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45c550ac9344c1" /></Relationships>
</file>

<file path=xl/workbook.xml><?xml version="1.0" encoding="utf-8"?>
<x:workbook xmlns:x="http://schemas.openxmlformats.org/spreadsheetml/2006/main">
  <x:sheets>
    <x:sheet xmlns:r="http://schemas.openxmlformats.org/officeDocument/2006/relationships" name="方法选择" sheetId="1" r:id="Reb37a37c501f40a8"/>
    <x:sheet xmlns:r="http://schemas.openxmlformats.org/officeDocument/2006/relationships" name="MCP结果" sheetId="2" r:id="Re1962967590f456b"/>
    <x:sheet xmlns:r="http://schemas.openxmlformats.org/officeDocument/2006/relationships" name="逐题证据" sheetId="3" r:id="R75a4502d06374f3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
    <x:numFmt numFmtId="201" formatCode="0.00"/>
    <x:numFmt numFmtId="202" formatCode="#,##0"/>
    <x:numFmt numFmtId="203" formatCode="0%"/>
  </x:numFmts>
  <x:fonts count="5">
    <x:font>
      <x:sz val="11"/>
      <x:name val="Carlito"/>
    </x:font>
    <x:font>
      <x:sz val="11"/>
      <x:color rgb="FF203044"/>
      <x:name val="Arial"/>
    </x:font>
    <x:font>
      <x:b/>
      <x:sz val="16"/>
      <x:color rgb="FF233B57"/>
      <x:name val="Arial"/>
    </x:font>
    <x:font>
      <x:sz val="11"/>
      <x:color rgb="FF5C6C7D"/>
      <x:name val="Arial"/>
    </x:font>
    <x:font>
      <x:b/>
      <x:sz val="11"/>
      <x:color rgb="FFFFFFFF"/>
      <x:name val="Arial"/>
    </x:font>
  </x:fonts>
  <x:fills count="4">
    <x:fill>
      <x:patternFill patternType="none"/>
    </x:fill>
    <x:fill>
      <x:patternFill patternType="gray125"/>
    </x:fill>
    <x:fill>
      <x:patternFill patternType="solid">
        <x:fgColor rgb="FF233B57"/>
      </x:patternFill>
    </x:fill>
    <x:fill>
      <x:patternFill patternType="solid">
        <x:fgColor rgb="FFF3F6FA"/>
      </x:patternFill>
    </x:fill>
  </x:fills>
  <x:borders count="2">
    <x:border/>
    <x:border>
      <x:bottom style="thin">
        <x:color rgb="FFC9D3DF"/>
      </x:bottom>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1" fontId="1" fillId="3"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2" fontId="1" fillId="3" borderId="0" xfId="0" applyNumberFormat="1" applyFont="1" applyFill="1" applyBorder="1" applyAlignment="1">
      <x:alignment vertical="center" wrapText="1"/>
    </x:xf>
    <x:xf numFmtId="203"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cellXfs>
  <x:cellStyles count="1">
    <x:cellStyle name="Normal" xfId="0"/>
  </x:cellStyles>
  <x:dxfs count="1">
    <x:dxf>
      <x:font>
        <x:b/>
        <x:color rgb="FF9C4C12"/>
      </x:font>
      <x:fill>
        <x:patternFill patternType="solid">
          <x:bgColor rgb="FFFFF1D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6ec31105dc14e1f" /><Relationship Type="http://schemas.openxmlformats.org/officeDocument/2006/relationships/theme" Target="/xl/theme/theme1.xml" Id="R4256e57dc8614e00" /><Relationship Type="http://schemas.openxmlformats.org/officeDocument/2006/relationships/sharedStrings" Target="/xl/sharedStrings.xml" Id="Rdd843e058754407f" /><Relationship Type="http://schemas.openxmlformats.org/officeDocument/2006/relationships/worksheet" Target="/xl/worksheets/sheet1.xml" Id="Reb37a37c501f40a8" /><Relationship Type="http://schemas.openxmlformats.org/officeDocument/2006/relationships/worksheet" Target="/xl/worksheets/sheet2.xml" Id="Re1962967590f456b" /><Relationship Type="http://schemas.openxmlformats.org/officeDocument/2006/relationships/worksheet" Target="/xl/worksheets/sheet3.xml" Id="R75a4502d06374f37" /></Relationships>
</file>

<file path=xl/tables/table1.xml><?xml version="1.0" encoding="utf-8"?>
<x:table xmlns:x="http://schemas.openxmlformats.org/spreadsheetml/2006/main" id="1" name="SelectionResults" displayName="SelectionResults" ref="A8:K34" headerRowCount="1" totalsRowCount="0" totalsRowShown="0">
  <x:tableColumns count="11">
    <x:tableColumn id="1" name="ID"/>
    <x:tableColumn id="2" name="问题"/>
    <x:tableColumn id="3" name="预期核心／路径"/>
    <x:tableColumn id="4" name="历史18题选择"/>
    <x:tableColumn id="5" name="本次服务端选择"/>
    <x:tableColumn id="6" name="核心／空集"/>
    <x:tableColumn id="7" name="首轮结构"/>
    <x:tableColumn id="8" name="方法数"/>
    <x:tableColumn id="9" name="模型秒"/>
    <x:tableColumn id="10" name="Token"/>
    <x:tableColumn id="11" name="评审说明"/>
  </x:tableColumns>
  <x:tableStyleInfo name="TableStyleMedium2" showFirstColumn="0" showLastColumn="0" showRowStripes="1" showColumnStripes="0"/>
</x:table>
</file>

<file path=xl/tables/table2.xml><?xml version="1.0" encoding="utf-8"?>
<x:table xmlns:x="http://schemas.openxmlformats.org/spreadsheetml/2006/main" id="2" name="McpResults" displayName="McpResults" ref="A8:I16" headerRowCount="1" totalsRowCount="0" totalsRowShown="0">
  <x:tableColumns count="9">
    <x:tableColumn id="1" name="ID"/>
    <x:tableColumn id="2" name="问题"/>
    <x:tableColumn id="3" name="推荐数据入口"/>
    <x:tableColumn id="4" name="实际数据 API"/>
    <x:tableColumn id="5" name="记录数"/>
    <x:tableColumn id="6" name="Turns"/>
    <x:tableColumn id="7" name="请求秒"/>
    <x:tableColumn id="8" name="Token"/>
    <x:tableColumn id="9" name="我的判断"/>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56fc3711af341d2" /></Relationships>
</file>

<file path=xl/worksheets/_rels/sheet2.xml.rels>&#65279;<?xml version="1.0" encoding="utf-8"?><Relationships xmlns="http://schemas.openxmlformats.org/package/2006/relationships"><Relationship Type="http://schemas.openxmlformats.org/officeDocument/2006/relationships/table" Target="/xl/tables/table2.xml" Id="R29c9de7013c5472e" /></Relationships>
</file>

<file path=xl/worksheets/sheet1.xml><?xml version="1.0" encoding="utf-8"?>
<x:worksheet xmlns:x="http://schemas.openxmlformats.org/spreadsheetml/2006/main">
  <x:sheetPr>
    <x:tabColor rgb="FF233B57"/>
  </x:sheetPr>
  <x:sheetViews>
    <x:sheetView showGridLines="0" workbookViewId="0">
      <x:pane xSplit="2" ySplit="8" topLeftCell="C9" activePane="bottomRight" state="frozen"/>
    </x:sheetView>
  </x:sheetViews>
  <x:sheetFormatPr defaultRowHeight="15"/>
  <x:cols>
    <x:col min="1" max="1" width="25" hidden="0" customWidth="1"/>
    <x:col min="2" max="2" width="54" hidden="0" customWidth="1"/>
    <x:col min="3" max="3" width="19" hidden="0" customWidth="1"/>
    <x:col min="4" max="4" width="34" hidden="0" customWidth="1"/>
    <x:col min="5" max="5" width="36" hidden="0" customWidth="1"/>
    <x:col min="6" max="6" width="12" hidden="0" customWidth="1"/>
    <x:col min="7" max="7" width="12" hidden="0" customWidth="1"/>
    <x:col min="8" max="8" width="9" hidden="0" customWidth="1"/>
    <x:col min="9" max="9" width="10" hidden="0" customWidth="1"/>
    <x:col min="10" max="10" width="13" hidden="0" customWidth="1"/>
    <x:col min="11" max="11" width="40" hidden="0" customWidth="1"/>
  </x:cols>
  <x:sheetData>
    <x:row r="1" ht="12" customHeight="1">
      <x:c r="A1" s="2"/>
      <x:c r="B1" s="2"/>
      <x:c r="C1" s="2"/>
      <x:c r="D1" s="2"/>
      <x:c r="E1" s="2"/>
      <x:c r="F1" s="2"/>
      <x:c r="G1" s="2"/>
      <x:c r="H1" s="2"/>
      <x:c r="I1" s="2"/>
      <x:c r="J1" s="2"/>
      <x:c r="K1" s="2"/>
    </x:row>
    <x:row r="2" ht="30" customHeight="1">
      <x:c r="A2" s="4" t="str">
        <x:v>方法选择 · 同题对照与纯取数检查</x:v>
      </x:c>
      <x:c r="B2" s="5"/>
      <x:c r="C2" s="5"/>
      <x:c r="D2" s="5"/>
      <x:c r="E2" s="5"/>
      <x:c r="F2" s="5"/>
      <x:c r="G2" s="5"/>
      <x:c r="H2" s="5"/>
      <x:c r="I2" s="5"/>
      <x:c r="J2" s="5"/>
      <x:c r="K2" s="5"/>
    </x:row>
    <x:row r="3" ht="25" customHeight="1">
      <x:c r="A3" s="6" t="str">
        <x:v>服务端阿里云 DeepSeek Flash / low；26题首请求回放，不执行业务工具。历史18题来自本地DashScope端点，非严格A/B。</x:v>
      </x:c>
      <x:c r="B3" s="2"/>
      <x:c r="C3" s="2"/>
      <x:c r="D3" s="2"/>
      <x:c r="E3" s="2"/>
      <x:c r="F3" s="2"/>
      <x:c r="G3" s="2"/>
      <x:c r="H3" s="2"/>
      <x:c r="I3" s="2"/>
      <x:c r="J3" s="2"/>
      <x:c r="K3" s="2"/>
    </x:row>
    <x:row r="4" ht="25" customHeight="1">
      <x:c r="A4" s="2"/>
      <x:c r="B4" s="2"/>
      <x:c r="C4" s="2"/>
      <x:c r="D4" s="2"/>
      <x:c r="E4" s="2"/>
      <x:c r="F4" s="2"/>
      <x:c r="G4" s="2"/>
      <x:c r="H4" s="2"/>
      <x:c r="I4" s="2"/>
      <x:c r="J4" s="2"/>
      <x:c r="K4" s="2"/>
    </x:row>
    <x:row r="5" ht="25" customHeight="1">
      <x:c r="A5" s="2" t="str">
        <x:v>分析核心命中</x:v>
      </x:c>
      <x:c r="B5" s="2"/>
      <x:c r="C5" s="2" t="str">
        <x:v>取数走通用路径</x:v>
      </x:c>
      <x:c r="D5" s="2"/>
      <x:c r="E5" s="2" t="str">
        <x:v>首轮结构可调用</x:v>
      </x:c>
      <x:c r="F5" s="2"/>
      <x:c r="G5" s="2"/>
      <x:c r="H5" s="2"/>
      <x:c r="I5" s="2"/>
      <x:c r="J5" s="2"/>
      <x:c r="K5" s="2"/>
    </x:row>
    <x:row r="6" ht="25" customHeight="1">
      <x:c r="A6" s="7" t="n">
        <x:f>COUNTIFS(C9:C34,"&lt;&gt;通用路径",F9:F34,"符合")/COUNTIF(C9:C34,"&lt;&gt;通用路径")</x:f>
        <x:v>1</x:v>
      </x:c>
      <x:c r="B6" s="2"/>
      <x:c r="C6" s="7" t="n">
        <x:f>COUNTIFS(C9:C34,"通用路径",F9:F34,"符合")/COUNTIF(C9:C34,"通用路径")</x:f>
        <x:v>0.5555555555555556</x:v>
      </x:c>
      <x:c r="D6" s="2"/>
      <x:c r="E6" s="7" t="n">
        <x:f>COUNTIF(G9:G34,"合规")/COUNTA(A9:A34)</x:f>
        <x:v>0.9615384615384616</x:v>
      </x:c>
      <x:c r="F6" s="2"/>
      <x:c r="G6" s="2"/>
      <x:c r="H6" s="2"/>
      <x:c r="I6" s="2"/>
      <x:c r="J6" s="2"/>
      <x:c r="K6" s="2"/>
    </x:row>
    <x:row r="7" ht="25" customHeight="1">
      <x:c r="A7" s="2"/>
      <x:c r="B7" s="2"/>
      <x:c r="C7" s="2"/>
      <x:c r="D7" s="2"/>
      <x:c r="E7" s="2"/>
      <x:c r="F7" s="2"/>
      <x:c r="G7" s="2"/>
      <x:c r="H7" s="2"/>
      <x:c r="I7" s="2"/>
      <x:c r="J7" s="2"/>
      <x:c r="K7" s="2"/>
    </x:row>
    <x:row r="8" ht="32" customHeight="1">
      <x:c r="A8" s="11" t="str">
        <x:v>ID</x:v>
      </x:c>
      <x:c r="B8" s="11" t="str">
        <x:v>问题</x:v>
      </x:c>
      <x:c r="C8" s="11" t="str">
        <x:v>预期核心／路径</x:v>
      </x:c>
      <x:c r="D8" s="11" t="str">
        <x:v>历史18题选择</x:v>
      </x:c>
      <x:c r="E8" s="11" t="str">
        <x:v>本次服务端选择</x:v>
      </x:c>
      <x:c r="F8" s="11" t="str">
        <x:v>核心／空集</x:v>
      </x:c>
      <x:c r="G8" s="11" t="str">
        <x:v>首轮结构</x:v>
      </x:c>
      <x:c r="H8" s="11" t="str">
        <x:v>方法数</x:v>
      </x:c>
      <x:c r="I8" s="11" t="str">
        <x:v>模型秒</x:v>
      </x:c>
      <x:c r="J8" s="11" t="str">
        <x:v>Token</x:v>
      </x:c>
      <x:c r="K8" s="11" t="str">
        <x:v>评审说明</x:v>
      </x:c>
    </x:row>
    <x:row r="9" ht="55" customHeight="1">
      <x:c r="A9" s="12" t="str">
        <x:v>market_overview_real</x:v>
      </x:c>
      <x:c r="B9" s="12" t="str">
        <x:v>复盘最近一个完整交易日的A股市场环境：主要指数、成交活跃度、涨跌宽度和大小盘风格分别怎样？目前最值得警惕的风险是什么？</x:v>
      </x:c>
      <x:c r="C9" s="12" t="str">
        <x:v>市场分析</x:v>
      </x:c>
      <x:c r="D9" s="12" t="str">
        <x:v>市场分析</x:v>
      </x:c>
      <x:c r="E9" s="12" t="str">
        <x:v>市场分析</x:v>
      </x:c>
      <x:c r="F9" s="12" t="str">
        <x:v>符合</x:v>
      </x:c>
      <x:c r="G9" s="12" t="str">
        <x:v>不合规</x:v>
      </x:c>
      <x:c r="H9" s="12" t="n">
        <x:v>1</x:v>
      </x:c>
      <x:c r="I9" s="14" t="n">
        <x:v>5.32</x:v>
      </x:c>
      <x:c r="J9" s="16" t="n">
        <x:v>3605</x:v>
      </x:c>
      <x:c r="K9" s="12" t="str">
        <x:v>预期核心方法单独加载。 原生Schema通过，但目录调用缺少dataview，实际handler会拒绝。</x:v>
      </x:c>
    </x:row>
    <x:row r="10" ht="55" customHeight="1">
      <x:c r="A10" s="13" t="str">
        <x:v>sector_theme_real</x:v>
      </x:c>
      <x:c r="B10" s="13" t="str">
        <x:v>分析白酒板块最近20个交易日的表现和内部结构：板块整体强弱、成交变化、领涨与落后公司分别怎样，这种表现是否具有持续性？</x:v>
      </x:c>
      <x:c r="C10" s="13" t="str">
        <x:v>板块主题分析</x:v>
      </x:c>
      <x:c r="D10" s="13" t="str">
        <x:v>板块主题分析、市场分析、技术结构分析</x:v>
      </x:c>
      <x:c r="E10" s="13" t="str">
        <x:v>板块主题分析、市场分析</x:v>
      </x:c>
      <x:c r="F10" s="13" t="str">
        <x:v>符合</x:v>
      </x:c>
      <x:c r="G10" s="13" t="str">
        <x:v>合规</x:v>
      </x:c>
      <x:c r="H10" s="13" t="n">
        <x:v>2</x:v>
      </x:c>
      <x:c r="I10" s="15" t="n">
        <x:v>4.256</x:v>
      </x:c>
      <x:c r="J10" s="17" t="n">
        <x:v>3506</x:v>
      </x:c>
      <x:c r="K10" s="13" t="str">
        <x:v>核心方法已覆盖；辅助方法是否必要需结合执行，不一律判错。</x:v>
      </x:c>
    </x:row>
    <x:row r="11" ht="55" customHeight="1">
      <x:c r="A11" s="12" t="str">
        <x:v>stock_research_real</x:v>
      </x:c>
      <x:c r="B11" s="12" t="str">
        <x:v>从中期投资视角研究宁德时代：结合近期行情、最近三年经营与现金流、当前估值和行业位置，给出核心优势、主要风险及最值得继续观察的三个变量。</x:v>
      </x:c>
      <x:c r="C11" s="12" t="str">
        <x:v>个股分析</x:v>
      </x:c>
      <x:c r="D11" s="12" t="str">
        <x:v>个股分析、估值分析、财务质量分析、技术结构分析、业绩分析、研报分析</x:v>
      </x:c>
      <x:c r="E11" s="12" t="str">
        <x:v>个股分析、财务质量分析、估值分析、业绩分析</x:v>
      </x:c>
      <x:c r="F11" s="12" t="str">
        <x:v>符合</x:v>
      </x:c>
      <x:c r="G11" s="12" t="str">
        <x:v>合规</x:v>
      </x:c>
      <x:c r="H11" s="12" t="n">
        <x:v>4</x:v>
      </x:c>
      <x:c r="I11" s="14" t="n">
        <x:v>6.481</x:v>
      </x:c>
      <x:c r="J11" s="16" t="n">
        <x:v>3757</x:v>
      </x:c>
      <x:c r="K11" s="12" t="str">
        <x:v>核心方法已覆盖；辅助方法是否必要需结合执行，不一律判错。</x:v>
      </x:c>
    </x:row>
    <x:row r="12" ht="55" customHeight="1">
      <x:c r="A12" s="13" t="str">
        <x:v>earnings_analysis_real</x:v>
      </x:c>
      <x:c r="B12" s="13" t="str">
        <x:v>分析贵州茅台最近一期年度报告的增长质量。重点看收入与利润增长是否匹配、利润率变化、经营现金流表现，以及增长中是否存在基数或一次性因素。</x:v>
      </x:c>
      <x:c r="C12" s="13" t="str">
        <x:v>业绩分析</x:v>
      </x:c>
      <x:c r="D12" s="13" t="str">
        <x:v>业绩分析、财务质量分析</x:v>
      </x:c>
      <x:c r="E12" s="13" t="str">
        <x:v>业绩分析、财务质量分析</x:v>
      </x:c>
      <x:c r="F12" s="13" t="str">
        <x:v>符合</x:v>
      </x:c>
      <x:c r="G12" s="13" t="str">
        <x:v>合规</x:v>
      </x:c>
      <x:c r="H12" s="13" t="n">
        <x:v>2</x:v>
      </x:c>
      <x:c r="I12" s="15" t="n">
        <x:v>4.576</x:v>
      </x:c>
      <x:c r="J12" s="17" t="n">
        <x:v>3535</x:v>
      </x:c>
      <x:c r="K12" s="13" t="str">
        <x:v>核心方法已覆盖；辅助方法是否必要需结合执行，不一律判错。</x:v>
      </x:c>
    </x:row>
    <x:row r="13" ht="55" customHeight="1">
      <x:c r="A13" s="12" t="str">
        <x:v>stock_screening_real</x:v>
      </x:c>
      <x:c r="B13" s="12" t="str">
        <x:v>在沪深300成分股中筛选最近60日走势较强、最新PE TTM低于50倍且最近一期ROE为正的股票，列出前10个候选，并说明每只股票为什么入选。</x:v>
      </x:c>
      <x:c r="C13" s="12" t="str">
        <x:v>选股筛选</x:v>
      </x:c>
      <x:c r="D13" s="12" t="str">
        <x:v>选股筛选、技术结构分析、财务质量分析</x:v>
      </x:c>
      <x:c r="E13" s="12" t="str">
        <x:v>选股筛选</x:v>
      </x:c>
      <x:c r="F13" s="12" t="str">
        <x:v>符合</x:v>
      </x:c>
      <x:c r="G13" s="12" t="str">
        <x:v>合规</x:v>
      </x:c>
      <x:c r="H13" s="12" t="n">
        <x:v>1</x:v>
      </x:c>
      <x:c r="I13" s="14" t="n">
        <x:v>4.886</x:v>
      </x:c>
      <x:c r="J13" s="16" t="n">
        <x:v>3600</x:v>
      </x:c>
      <x:c r="K13" s="12" t="str">
        <x:v>预期核心方法单独加载。</x:v>
      </x:c>
    </x:row>
    <x:row r="14" ht="55" customHeight="1">
      <x:c r="A14" s="13" t="str">
        <x:v>factor_analysis_real</x:v>
      </x:c>
      <x:c r="B14" s="13" t="str">
        <x:v>比较沪深300成分股最近60日动量因子的横截面差异，列出动量靠前和靠后的代表股票，同时检查20日波动率，解释这个因子当前可能偏好的股票特征和主要局限。</x:v>
      </x:c>
      <x:c r="C14" s="13" t="str">
        <x:v>因子分析</x:v>
      </x:c>
      <x:c r="D14" s="13" t="str">
        <x:v>因子分析</x:v>
      </x:c>
      <x:c r="E14" s="13" t="str">
        <x:v>因子分析</x:v>
      </x:c>
      <x:c r="F14" s="13" t="str">
        <x:v>符合</x:v>
      </x:c>
      <x:c r="G14" s="13" t="str">
        <x:v>合规</x:v>
      </x:c>
      <x:c r="H14" s="13" t="n">
        <x:v>1</x:v>
      </x:c>
      <x:c r="I14" s="15" t="n">
        <x:v>4.815</x:v>
      </x:c>
      <x:c r="J14" s="17" t="n">
        <x:v>3546</x:v>
      </x:c>
      <x:c r="K14" s="13" t="str">
        <x:v>预期核心方法单独加载。</x:v>
      </x:c>
    </x:row>
    <x:row r="15" ht="55" customHeight="1">
      <x:c r="A15" s="12" t="str">
        <x:v>valuation_analysis_real</x:v>
      </x:c>
      <x:c r="B15" s="12" t="str">
        <x:v>判断美的集团当前估值是否有基本面支撑：分析最新PE、PB及其近五年历史位置，并结合最近三年的盈利增长、ROE和经营现金流给出有条件的估值判断。</x:v>
      </x:c>
      <x:c r="C15" s="12" t="str">
        <x:v>估值分析</x:v>
      </x:c>
      <x:c r="D15" s="12" t="str">
        <x:v>估值分析、个股分析、财务质量分析、业绩分析</x:v>
      </x:c>
      <x:c r="E15" s="12" t="str">
        <x:v>估值分析</x:v>
      </x:c>
      <x:c r="F15" s="12" t="str">
        <x:v>符合</x:v>
      </x:c>
      <x:c r="G15" s="12" t="str">
        <x:v>合规</x:v>
      </x:c>
      <x:c r="H15" s="12" t="n">
        <x:v>1</x:v>
      </x:c>
      <x:c r="I15" s="14" t="n">
        <x:v>4.736</x:v>
      </x:c>
      <x:c r="J15" s="16" t="n">
        <x:v>3595</x:v>
      </x:c>
      <x:c r="K15" s="12" t="str">
        <x:v>预期核心方法单独加载。</x:v>
      </x:c>
    </x:row>
    <x:row r="16" ht="55" customHeight="1">
      <x:c r="A16" s="13" t="str">
        <x:v>financial_quality_real</x:v>
      </x:c>
      <x:c r="B16" s="13" t="str">
        <x:v>评估海天味业最近三年的财务质量：利润现金含量、应收和存货变化、负债与偿债压力、ROE趋势分别怎样？请指出最值得关注的财务背离。</x:v>
      </x:c>
      <x:c r="C16" s="13" t="str">
        <x:v>财务质量分析</x:v>
      </x:c>
      <x:c r="D16" s="13" t="str">
        <x:v>财务质量分析、业绩分析</x:v>
      </x:c>
      <x:c r="E16" s="13" t="str">
        <x:v>财务质量分析</x:v>
      </x:c>
      <x:c r="F16" s="13" t="str">
        <x:v>符合</x:v>
      </x:c>
      <x:c r="G16" s="13" t="str">
        <x:v>合规</x:v>
      </x:c>
      <x:c r="H16" s="13" t="n">
        <x:v>1</x:v>
      </x:c>
      <x:c r="I16" s="15" t="n">
        <x:v>5.245</x:v>
      </x:c>
      <x:c r="J16" s="17" t="n">
        <x:v>3560</x:v>
      </x:c>
      <x:c r="K16" s="13" t="str">
        <x:v>预期核心方法单独加载。</x:v>
      </x:c>
    </x:row>
    <x:row r="17" ht="55" customHeight="1">
      <x:c r="A17" s="12" t="str">
        <x:v>stock_comparison_real</x:v>
      </x:c>
      <x:c r="B17" s="12" t="str">
        <x:v>比较贵州茅台和五粮液最近三年的成长、盈利能力、经营现金流质量、资产负债和当前估值。不要机械打分，而要说明两家公司各自的优势、代价和更适合的投资前提。</x:v>
      </x:c>
      <x:c r="C17" s="12" t="str">
        <x:v>个股比较</x:v>
      </x:c>
      <x:c r="D17" s="12" t="str">
        <x:v>个股比较、财务质量分析、估值分析、分红分析</x:v>
      </x:c>
      <x:c r="E17" s="12" t="str">
        <x:v>个股比较、财务质量分析、估值分析</x:v>
      </x:c>
      <x:c r="F17" s="12" t="str">
        <x:v>符合</x:v>
      </x:c>
      <x:c r="G17" s="12" t="str">
        <x:v>合规</x:v>
      </x:c>
      <x:c r="H17" s="12" t="n">
        <x:v>3</x:v>
      </x:c>
      <x:c r="I17" s="14" t="n">
        <x:v>4.363</x:v>
      </x:c>
      <x:c r="J17" s="16" t="n">
        <x:v>3558</x:v>
      </x:c>
      <x:c r="K17" s="12" t="str">
        <x:v>核心方法已覆盖；辅助方法是否必要需结合执行，不一律判错。</x:v>
      </x:c>
    </x:row>
    <x:row r="18" ht="55" customHeight="1">
      <x:c r="A18" s="13" t="str">
        <x:v>technical_structure_real</x:v>
      </x:c>
      <x:c r="B18" s="13" t="str">
        <x:v>分析宁德时代最近120个交易日的技术结构：趋势和高低点结构、20日与60日均线、成交量确认、20日波动率以及关键支撑阻力分别怎样？给出信号失效条件。</x:v>
      </x:c>
      <x:c r="C18" s="13" t="str">
        <x:v>技术结构分析</x:v>
      </x:c>
      <x:c r="D18" s="13" t="str">
        <x:v>技术结构分析</x:v>
      </x:c>
      <x:c r="E18" s="13" t="str">
        <x:v>技术结构分析</x:v>
      </x:c>
      <x:c r="F18" s="13" t="str">
        <x:v>符合</x:v>
      </x:c>
      <x:c r="G18" s="13" t="str">
        <x:v>合规</x:v>
      </x:c>
      <x:c r="H18" s="13" t="n">
        <x:v>1</x:v>
      </x:c>
      <x:c r="I18" s="15" t="n">
        <x:v>3.512</x:v>
      </x:c>
      <x:c r="J18" s="17" t="n">
        <x:v>3470</x:v>
      </x:c>
      <x:c r="K18" s="13" t="str">
        <x:v>预期核心方法单独加载。</x:v>
      </x:c>
    </x:row>
    <x:row r="19" ht="55" customHeight="1">
      <x:c r="A19" s="12" t="str">
        <x:v>dividend_analysis_real</x:v>
      </x:c>
      <x:c r="B19" s="12" t="str">
        <x:v>评估中国神华近五年的分红质量和可持续性：分红是否稳定、当前股息率处于什么水平、利润与经营现金流能否支撑，以及高股息背后最大的风险是什么？</x:v>
      </x:c>
      <x:c r="C19" s="12" t="str">
        <x:v>分红分析</x:v>
      </x:c>
      <x:c r="D19" s="12" t="str">
        <x:v>分红分析、财务质量分析</x:v>
      </x:c>
      <x:c r="E19" s="12" t="str">
        <x:v>分红分析、财务质量分析</x:v>
      </x:c>
      <x:c r="F19" s="12" t="str">
        <x:v>符合</x:v>
      </x:c>
      <x:c r="G19" s="12" t="str">
        <x:v>合规</x:v>
      </x:c>
      <x:c r="H19" s="12" t="n">
        <x:v>2</x:v>
      </x:c>
      <x:c r="I19" s="14" t="n">
        <x:v>3.321</x:v>
      </x:c>
      <x:c r="J19" s="16" t="n">
        <x:v>3458</x:v>
      </x:c>
      <x:c r="K19" s="12" t="str">
        <x:v>核心方法已覆盖；辅助方法是否必要需结合执行，不一律判错。</x:v>
      </x:c>
    </x:row>
    <x:row r="20" ht="70" customHeight="1">
      <x:c r="A20" s="13" t="str">
        <x:v>consensus</x:v>
      </x:c>
      <x:c r="B20" s="13" t="str">
        <x:v>请比较2026年6月8日至9月8日各机构对贵州茅台的研报观点：主要共识和分歧是什么？分歧来自增长预期、渠道判断还是估值假设？请说明实际覆盖的报告与机构范围，并给出来源。</x:v>
      </x:c>
      <x:c r="C20" s="13" t="str">
        <x:v>研报分析</x:v>
      </x:c>
      <x:c r="D20" s="13" t="str">
        <x:v>研报分析、个股分析</x:v>
      </x:c>
      <x:c r="E20" s="13" t="str">
        <x:v>研报分析</x:v>
      </x:c>
      <x:c r="F20" s="13" t="str">
        <x:v>符合</x:v>
      </x:c>
      <x:c r="G20" s="13" t="str">
        <x:v>合规</x:v>
      </x:c>
      <x:c r="H20" s="13" t="n">
        <x:v>1</x:v>
      </x:c>
      <x:c r="I20" s="15" t="n">
        <x:v>3.053</x:v>
      </x:c>
      <x:c r="J20" s="17" t="n">
        <x:v>3394</x:v>
      </x:c>
      <x:c r="K20" s="13" t="str">
        <x:v>预期核心方法单独加载。</x:v>
      </x:c>
    </x:row>
    <x:row r="21" ht="70" customHeight="1">
      <x:c r="A21" s="12" t="str">
        <x:v>sensitivity</x:v>
      </x:c>
      <x:c r="B21" s="12" t="str">
        <x:v>如果糖蜜采购价格上涨10%，会怎样影响安琪酵母的利润？请结合2026年6月8日至9月8日的机构研究，分析水解糖替代、库存和提价能否缓冲；如果资料没有量化测算，不要硬给利润变化比例。</x:v>
      </x:c>
      <x:c r="C21" s="12" t="str">
        <x:v>研报分析</x:v>
      </x:c>
      <x:c r="D21" s="12" t="str">
        <x:v>个股分析、研报分析、业绩分析</x:v>
      </x:c>
      <x:c r="E21" s="12" t="str">
        <x:v>个股分析、研报分析、业绩分析</x:v>
      </x:c>
      <x:c r="F21" s="12" t="str">
        <x:v>符合</x:v>
      </x:c>
      <x:c r="G21" s="12" t="str">
        <x:v>合规</x:v>
      </x:c>
      <x:c r="H21" s="12" t="n">
        <x:v>3</x:v>
      </x:c>
      <x:c r="I21" s="14" t="n">
        <x:v>5.06</x:v>
      </x:c>
      <x:c r="J21" s="16" t="n">
        <x:v>3591</x:v>
      </x:c>
      <x:c r="K21" s="12" t="str">
        <x:v>核心方法已覆盖；辅助方法是否必要需结合执行，不一律判错。</x:v>
      </x:c>
    </x:row>
    <x:row r="22" ht="70" customHeight="1">
      <x:c r="A22" s="13" t="str">
        <x:v>revisions</x:v>
      </x:c>
      <x:c r="B22" s="13" t="str">
        <x:v>2026年6月8日至9月8日，机构是否调整了安琪酵母的盈利预测？请找出明确的上调或下调及原因，区分同一家机构的预测修订和不同机构之间的分歧，解释为什么下调盈利预测仍可能维持买入评级。</x:v>
      </x:c>
      <x:c r="C22" s="13" t="str">
        <x:v>研报分析</x:v>
      </x:c>
      <x:c r="D22" s="13" t="str">
        <x:v>研报分析、个股分析</x:v>
      </x:c>
      <x:c r="E22" s="13" t="str">
        <x:v>研报分析、业绩分析</x:v>
      </x:c>
      <x:c r="F22" s="13" t="str">
        <x:v>符合</x:v>
      </x:c>
      <x:c r="G22" s="13" t="str">
        <x:v>合规</x:v>
      </x:c>
      <x:c r="H22" s="13" t="n">
        <x:v>2</x:v>
      </x:c>
      <x:c r="I22" s="15" t="n">
        <x:v>4.044</x:v>
      </x:c>
      <x:c r="J22" s="17" t="n">
        <x:v>3488</x:v>
      </x:c>
      <x:c r="K22" s="13" t="str">
        <x:v>核心方法已覆盖；辅助方法是否必要需结合执行，不一律判错。</x:v>
      </x:c>
    </x:row>
    <x:row r="23" ht="40" customHeight="1">
      <x:c r="A23" s="12" t="str">
        <x:v>RTE001</x:v>
      </x:c>
      <x:c r="B23" s="12" t="str">
        <x:v>泸州老窖在金融科技领域的布局有哪些？</x:v>
      </x:c>
      <x:c r="C23" s="12" t="str">
        <x:v>个股分析</x:v>
      </x:c>
      <x:c r="D23" s="12" t="str">
        <x:v>个股分析、研报分析</x:v>
      </x:c>
      <x:c r="E23" s="12" t="str">
        <x:v>个股分析</x:v>
      </x:c>
      <x:c r="F23" s="12" t="str">
        <x:v>符合</x:v>
      </x:c>
      <x:c r="G23" s="12" t="str">
        <x:v>合规</x:v>
      </x:c>
      <x:c r="H23" s="12" t="n">
        <x:v>1</x:v>
      </x:c>
      <x:c r="I23" s="14" t="n">
        <x:v>4.14</x:v>
      </x:c>
      <x:c r="J23" s="16" t="n">
        <x:v>3499</x:v>
      </x:c>
      <x:c r="K23" s="12" t="str">
        <x:v>预期核心方法单独加载。</x:v>
      </x:c>
    </x:row>
    <x:row r="24" ht="40" customHeight="1">
      <x:c r="A24" s="13" t="str">
        <x:v>RTE003</x:v>
      </x:c>
      <x:c r="B24" s="13" t="str">
        <x:v>鹏鼎控股与沪电股份2026年净利润预测增速有何差异？</x:v>
      </x:c>
      <x:c r="C24" s="13" t="str">
        <x:v>研报分析</x:v>
      </x:c>
      <x:c r="D24" s="13" t="str">
        <x:v>个股比较、研报分析、业绩分析</x:v>
      </x:c>
      <x:c r="E24" s="13" t="str">
        <x:v>个股比较、研报分析</x:v>
      </x:c>
      <x:c r="F24" s="13" t="str">
        <x:v>符合</x:v>
      </x:c>
      <x:c r="G24" s="13" t="str">
        <x:v>合规</x:v>
      </x:c>
      <x:c r="H24" s="13" t="n">
        <x:v>2</x:v>
      </x:c>
      <x:c r="I24" s="15" t="n">
        <x:v>4.961</x:v>
      </x:c>
      <x:c r="J24" s="17" t="n">
        <x:v>3556</x:v>
      </x:c>
      <x:c r="K24" s="13" t="str">
        <x:v>核心方法已覆盖；辅助方法是否必要需结合执行，不一律判错。</x:v>
      </x:c>
    </x:row>
    <x:row r="25" ht="40" customHeight="1">
      <x:c r="A25" s="12" t="str">
        <x:v>RTE005</x:v>
      </x:c>
      <x:c r="B25" s="12" t="str">
        <x:v>不同机构对今世缘的估值方法有何差异？</x:v>
      </x:c>
      <x:c r="C25" s="12" t="str">
        <x:v>研报分析</x:v>
      </x:c>
      <x:c r="D25" s="12" t="str">
        <x:v>研报分析、估值分析、个股分析</x:v>
      </x:c>
      <x:c r="E25" s="12" t="str">
        <x:v>研报分析</x:v>
      </x:c>
      <x:c r="F25" s="12" t="str">
        <x:v>符合</x:v>
      </x:c>
      <x:c r="G25" s="12" t="str">
        <x:v>合规</x:v>
      </x:c>
      <x:c r="H25" s="12" t="n">
        <x:v>1</x:v>
      </x:c>
      <x:c r="I25" s="14" t="n">
        <x:v>3.375</x:v>
      </x:c>
      <x:c r="J25" s="16" t="n">
        <x:v>3431</x:v>
      </x:c>
      <x:c r="K25" s="12" t="str">
        <x:v>预期核心方法单独加载。</x:v>
      </x:c>
    </x:row>
    <x:row r="26" ht="40" customHeight="1">
      <x:c r="A26" s="13" t="str">
        <x:v>raw_quote_control</x:v>
      </x:c>
      <x:c r="B26" s="13" t="str">
        <x:v>宁德时代最近一个交易日的收盘价和涨跌幅是多少？</x:v>
      </x:c>
      <x:c r="C26" s="13" t="str">
        <x:v>通用路径</x:v>
      </x:c>
      <x:c r="D26" s="13" t="str">
        <x:v>个股分析</x:v>
      </x:c>
      <x:c r="E26" s="13" t="str">
        <x:v>直接数据目录</x:v>
      </x:c>
      <x:c r="F26" s="13" t="str">
        <x:v>符合</x:v>
      </x:c>
      <x:c r="G26" s="13" t="str">
        <x:v>合规</x:v>
      </x:c>
      <x:c r="H26" s="13" t="n">
        <x:v>0</x:v>
      </x:c>
      <x:c r="I26" s="15" t="n">
        <x:v>3.138</x:v>
      </x:c>
      <x:c r="J26" s="17" t="n">
        <x:v>3339</x:v>
      </x:c>
      <x:c r="K26" s="13" t="str">
        <x:v>按数据需求走通用路径。</x:v>
      </x:c>
    </x:row>
    <x:row r="27" ht="40" customHeight="1">
      <x:c r="A27" s="12" t="str">
        <x:v>direct_01</x:v>
      </x:c>
      <x:c r="B27" s="12" t="str">
        <x:v>最近 10 个交易日，上证、深证、北证三大市场的总成交额分别是什么走势？帮我按日期列出来。</x:v>
      </x:c>
      <x:c r="C27" s="12" t="str">
        <x:v>通用路径</x:v>
      </x:c>
      <x:c r="D27" s="12" t="str">
        <x:v>未测</x:v>
      </x:c>
      <x:c r="E27" s="12" t="str">
        <x:v>直接数据目录</x:v>
      </x:c>
      <x:c r="F27" s="12" t="str">
        <x:v>符合</x:v>
      </x:c>
      <x:c r="G27" s="12" t="str">
        <x:v>合规</x:v>
      </x:c>
      <x:c r="H27" s="12" t="n">
        <x:v>0</x:v>
      </x:c>
      <x:c r="I27" s="14" t="n">
        <x:v>3.583</x:v>
      </x:c>
      <x:c r="J27" s="16" t="n">
        <x:v>3380</x:v>
      </x:c>
      <x:c r="K27" s="12" t="str">
        <x:v>按数据需求走通用路径。</x:v>
      </x:c>
    </x:row>
    <x:row r="28" ht="40" customHeight="1">
      <x:c r="A28" s="13" t="str">
        <x:v>direct_03</x:v>
      </x:c>
      <x:c r="B28" s="13" t="str">
        <x:v>现在全市场上涨家数和下跌家数分别是多少？涨停和跌停家数也一起给我。</x:v>
      </x:c>
      <x:c r="C28" s="13" t="str">
        <x:v>通用路径</x:v>
      </x:c>
      <x:c r="D28" s="13" t="str">
        <x:v>未测</x:v>
      </x:c>
      <x:c r="E28" s="13" t="str">
        <x:v>市场分析</x:v>
      </x:c>
      <x:c r="F28" s="13" t="str">
        <x:v>偏离</x:v>
      </x:c>
      <x:c r="G28" s="13" t="str">
        <x:v>合规</x:v>
      </x:c>
      <x:c r="H28" s="13" t="n">
        <x:v>1</x:v>
      </x:c>
      <x:c r="I28" s="15" t="n">
        <x:v>3.22</x:v>
      </x:c>
      <x:c r="J28" s="17" t="n">
        <x:v>3376</x:v>
      </x:c>
      <x:c r="K28" s="13" t="str">
        <x:v>预设可直接取数，仍加载分析方法；保留为误入／额外开销。</x:v>
      </x:c>
    </x:row>
    <x:row r="29" ht="40" customHeight="1">
      <x:c r="A29" s="12" t="str">
        <x:v>direct_04</x:v>
      </x:c>
      <x:c r="B29" s="12" t="str">
        <x:v>帮我看一下宁德时代现在的实时价格、开盘价、盘中最高和最低，以及成交额。</x:v>
      </x:c>
      <x:c r="C29" s="12" t="str">
        <x:v>通用路径</x:v>
      </x:c>
      <x:c r="D29" s="12" t="str">
        <x:v>未测</x:v>
      </x:c>
      <x:c r="E29" s="12" t="str">
        <x:v>直接数据目录</x:v>
      </x:c>
      <x:c r="F29" s="12" t="str">
        <x:v>符合</x:v>
      </x:c>
      <x:c r="G29" s="12" t="str">
        <x:v>合规</x:v>
      </x:c>
      <x:c r="H29" s="12" t="n">
        <x:v>0</x:v>
      </x:c>
      <x:c r="I29" s="14" t="n">
        <x:v>1.701</x:v>
      </x:c>
      <x:c r="J29" s="16" t="n">
        <x:v>3234</x:v>
      </x:c>
      <x:c r="K29" s="12" t="str">
        <x:v>按数据需求走通用路径。</x:v>
      </x:c>
    </x:row>
    <x:row r="30" ht="40" customHeight="1">
      <x:c r="A30" s="13" t="str">
        <x:v>direct_05</x:v>
      </x:c>
      <x:c r="B30" s="13" t="str">
        <x:v>比亚迪现在主力资金是净流入还是净流出？特大单和大单分别是什么情况？</x:v>
      </x:c>
      <x:c r="C30" s="13" t="str">
        <x:v>通用路径</x:v>
      </x:c>
      <x:c r="D30" s="13" t="str">
        <x:v>未测</x:v>
      </x:c>
      <x:c r="E30" s="13" t="str">
        <x:v>个股分析</x:v>
      </x:c>
      <x:c r="F30" s="13" t="str">
        <x:v>偏离</x:v>
      </x:c>
      <x:c r="G30" s="13" t="str">
        <x:v>合规</x:v>
      </x:c>
      <x:c r="H30" s="13" t="n">
        <x:v>1</x:v>
      </x:c>
      <x:c r="I30" s="15" t="n">
        <x:v>2.556</x:v>
      </x:c>
      <x:c r="J30" s="17" t="n">
        <x:v>3360</x:v>
      </x:c>
      <x:c r="K30" s="13" t="str">
        <x:v>预设可直接取数，仍加载分析方法；保留为误入／额外开销。</x:v>
      </x:c>
    </x:row>
    <x:row r="31" ht="40" customHeight="1">
      <x:c r="A31" s="12" t="str">
        <x:v>direct_09</x:v>
      </x:c>
      <x:c r="B31" s="12" t="str">
        <x:v>帮我查一下中信证券最近 20 个交易日的 MA5、MA10、MACD 和 RSI 序列。</x:v>
      </x:c>
      <x:c r="C31" s="12" t="str">
        <x:v>通用路径</x:v>
      </x:c>
      <x:c r="D31" s="12" t="str">
        <x:v>未测</x:v>
      </x:c>
      <x:c r="E31" s="12" t="str">
        <x:v>技术结构分析</x:v>
      </x:c>
      <x:c r="F31" s="12" t="str">
        <x:v>偏离</x:v>
      </x:c>
      <x:c r="G31" s="12" t="str">
        <x:v>合规</x:v>
      </x:c>
      <x:c r="H31" s="12" t="n">
        <x:v>1</x:v>
      </x:c>
      <x:c r="I31" s="14" t="n">
        <x:v>5.516</x:v>
      </x:c>
      <x:c r="J31" s="16" t="n">
        <x:v>3624</x:v>
      </x:c>
      <x:c r="K31" s="12" t="str">
        <x:v>预设可直接取数，仍加载分析方法；保留为误入／额外开销。</x:v>
      </x:c>
    </x:row>
    <x:row r="32" ht="40" customHeight="1">
      <x:c r="A32" s="13" t="str">
        <x:v>direct_10</x:v>
      </x:c>
      <x:c r="B32" s="13" t="str">
        <x:v>现在市场涨停股有哪些？帮我列出涨停列表。</x:v>
      </x:c>
      <x:c r="C32" s="13" t="str">
        <x:v>通用路径</x:v>
      </x:c>
      <x:c r="D32" s="13" t="str">
        <x:v>未测</x:v>
      </x:c>
      <x:c r="E32" s="13" t="str">
        <x:v>选股筛选</x:v>
      </x:c>
      <x:c r="F32" s="13" t="str">
        <x:v>偏离</x:v>
      </x:c>
      <x:c r="G32" s="13" t="str">
        <x:v>合规</x:v>
      </x:c>
      <x:c r="H32" s="13" t="n">
        <x:v>1</x:v>
      </x:c>
      <x:c r="I32" s="15" t="n">
        <x:v>8.048</x:v>
      </x:c>
      <x:c r="J32" s="17" t="n">
        <x:v>3666</x:v>
      </x:c>
      <x:c r="K32" s="13" t="str">
        <x:v>预设可直接取数，仍加载分析方法；保留为误入／额外开销。</x:v>
      </x:c>
    </x:row>
    <x:row r="33" ht="40" customHeight="1">
      <x:c r="A33" s="12" t="str">
        <x:v>direct_13</x:v>
      </x:c>
      <x:c r="B33" s="12" t="str">
        <x:v>帮我看一下现在全市场成交额排名前 20 的股票。</x:v>
      </x:c>
      <x:c r="C33" s="12" t="str">
        <x:v>通用路径</x:v>
      </x:c>
      <x:c r="D33" s="12" t="str">
        <x:v>未测</x:v>
      </x:c>
      <x:c r="E33" s="12" t="str">
        <x:v>直接数据目录</x:v>
      </x:c>
      <x:c r="F33" s="12" t="str">
        <x:v>符合</x:v>
      </x:c>
      <x:c r="G33" s="12" t="str">
        <x:v>合规</x:v>
      </x:c>
      <x:c r="H33" s="12" t="n">
        <x:v>0</x:v>
      </x:c>
      <x:c r="I33" s="14" t="n">
        <x:v>4.626</x:v>
      </x:c>
      <x:c r="J33" s="16" t="n">
        <x:v>3440</x:v>
      </x:c>
      <x:c r="K33" s="12" t="str">
        <x:v>按数据需求走通用路径。</x:v>
      </x:c>
    </x:row>
    <x:row r="34" ht="40" customHeight="1">
      <x:c r="A34" s="13" t="str">
        <x:v>direct_17</x:v>
      </x:c>
      <x:c r="B34" s="13" t="str">
        <x:v>帮我看一下兆易创新属于什么行业、板块和热点概念。</x:v>
      </x:c>
      <x:c r="C34" s="13" t="str">
        <x:v>通用路径</x:v>
      </x:c>
      <x:c r="D34" s="13" t="str">
        <x:v>未测</x:v>
      </x:c>
      <x:c r="E34" s="13" t="str">
        <x:v>直接数据目录</x:v>
      </x:c>
      <x:c r="F34" s="13" t="str">
        <x:v>符合</x:v>
      </x:c>
      <x:c r="G34" s="13" t="str">
        <x:v>合规</x:v>
      </x:c>
      <x:c r="H34" s="13" t="n">
        <x:v>0</x:v>
      </x:c>
      <x:c r="I34" s="15" t="n">
        <x:v>2.847</x:v>
      </x:c>
      <x:c r="J34" s="17" t="n">
        <x:v>3318</x:v>
      </x:c>
      <x:c r="K34" s="13" t="str">
        <x:v>按数据需求走通用路径。</x:v>
      </x:c>
    </x:row>
    <x:row r="35" ht="25" customHeight="1">
      <x:c r="A35" s="2"/>
      <x:c r="B35" s="2"/>
      <x:c r="C35" s="2"/>
      <x:c r="D35" s="2"/>
      <x:c r="E35" s="2"/>
      <x:c r="F35" s="2"/>
      <x:c r="G35" s="2"/>
      <x:c r="H35" s="2"/>
      <x:c r="I35" s="2"/>
      <x:c r="J35" s="2"/>
      <x:c r="K35" s="2"/>
    </x:row>
    <x:row r="36" ht="25" customHeight="1">
      <x:c r="A36" s="2"/>
      <x:c r="B36" s="2"/>
      <x:c r="C36" s="2"/>
      <x:c r="D36" s="2"/>
      <x:c r="E36" s="2"/>
      <x:c r="F36" s="2"/>
      <x:c r="G36" s="2"/>
      <x:c r="H36" s="2"/>
      <x:c r="I36" s="2"/>
      <x:c r="J36" s="2"/>
      <x:c r="K36" s="2"/>
    </x:row>
    <x:row r="37" ht="25" customHeight="1">
      <x:c r="A37" s="2" t="str">
        <x:v>首轮结构＝原生Schema＋既有目录结构的离线核验（非业务执行）。方法命中不代表目录选择正确；历史原始评分保留。</x:v>
      </x:c>
      <x:c r="B37" s="2"/>
      <x:c r="C37" s="2"/>
      <x:c r="D37" s="2"/>
      <x:c r="E37" s="2"/>
      <x:c r="F37" s="2"/>
      <x:c r="G37" s="2"/>
      <x:c r="H37" s="2"/>
      <x:c r="I37" s="2"/>
      <x:c r="J37" s="2"/>
      <x:c r="K37" s="2"/>
    </x:row>
    <x:row r="38" ht="25" customHeight="1">
      <x:c r="A38" s="2"/>
      <x:c r="B38" s="2"/>
      <x:c r="C38" s="2"/>
      <x:c r="D38" s="2"/>
      <x:c r="E38" s="2"/>
      <x:c r="F38" s="2"/>
      <x:c r="G38" s="2"/>
      <x:c r="H38" s="2"/>
      <x:c r="I38" s="2"/>
      <x:c r="J38" s="2"/>
      <x:c r="K38" s="2"/>
    </x:row>
    <x:row r="39" ht="25" customHeight="1">
      <x:c r="A39" s="2"/>
      <x:c r="B39" s="2"/>
      <x:c r="C39" s="2"/>
      <x:c r="D39" s="2"/>
      <x:c r="E39" s="2"/>
      <x:c r="F39" s="2"/>
      <x:c r="G39" s="2"/>
      <x:c r="H39" s="2"/>
      <x:c r="I39" s="2"/>
      <x:c r="J39" s="2"/>
      <x:c r="K39" s="2"/>
    </x:row>
    <x:row r="40" ht="25" customHeight="1">
      <x:c r="A40" s="2"/>
      <x:c r="B40" s="2"/>
      <x:c r="C40" s="2"/>
      <x:c r="D40" s="2"/>
      <x:c r="E40" s="2"/>
      <x:c r="F40" s="2"/>
      <x:c r="G40" s="2"/>
      <x:c r="H40" s="2"/>
      <x:c r="I40" s="2"/>
      <x:c r="J40" s="2"/>
      <x:c r="K40" s="2"/>
    </x:row>
  </x:sheetData>
  <x:conditionalFormatting sqref="F9:F34">
    <x:cfRule type="expression" dxfId="0" priority="1">
      <x:formula>F9="偏离"</x:formula>
    </x:cfRule>
  </x:conditionalFormatting>
  <x:pageMargins left="0.7" right="0.7" top="0.75" bottom="0.75" header="0.3" footer="0.3"/>
  <x:tableParts count="1">
    <x:tablePart xmlns:r="http://schemas.openxmlformats.org/officeDocument/2006/relationships" r:id="R956fc3711af341d2"/>
  </x:tableParts>
</x:worksheet>
</file>

<file path=xl/worksheets/sheet2.xml><?xml version="1.0" encoding="utf-8"?>
<x:worksheet xmlns:x="http://schemas.openxmlformats.org/spreadsheetml/2006/main">
  <x:sheetPr>
    <x:tabColor rgb="FF233B57"/>
  </x:sheetPr>
  <x:sheetViews>
    <x:sheetView showGridLines="0" workbookViewId="0">
      <x:pane xSplit="2" ySplit="8" topLeftCell="C9" activePane="bottomRight" state="frozen"/>
    </x:sheetView>
  </x:sheetViews>
  <x:sheetFormatPr defaultRowHeight="15"/>
  <x:cols>
    <x:col min="1" max="1" width="23" hidden="0" customWidth="1"/>
    <x:col min="2" max="2" width="46" hidden="0" customWidth="1"/>
    <x:col min="3" max="3" width="38" hidden="0" customWidth="1"/>
    <x:col min="4" max="4" width="38" hidden="0" customWidth="1"/>
    <x:col min="5" max="5" width="11" hidden="0" customWidth="1"/>
    <x:col min="6" max="6" width="9" hidden="0" customWidth="1"/>
    <x:col min="7" max="7" width="11" hidden="0" customWidth="1"/>
    <x:col min="8" max="8" width="13" hidden="0" customWidth="1"/>
    <x:col min="9" max="9" width="62" hidden="0" customWidth="1"/>
  </x:cols>
  <x:sheetData>
    <x:row r="1" ht="12" customHeight="1">
      <x:c r="A1" s="2"/>
      <x:c r="B1" s="2"/>
      <x:c r="C1" s="2"/>
      <x:c r="D1" s="2"/>
      <x:c r="E1" s="2"/>
      <x:c r="F1" s="2"/>
      <x:c r="G1" s="2"/>
      <x:c r="H1" s="2"/>
      <x:c r="I1" s="2"/>
    </x:row>
    <x:row r="2" ht="30" customHeight="1">
      <x:c r="A2" s="4" t="str">
        <x:v>MCP · 原始数据 + summary</x:v>
      </x:c>
      <x:c r="B2" s="5"/>
      <x:c r="C2" s="5"/>
      <x:c r="D2" s="5"/>
      <x:c r="E2" s="5"/>
      <x:c r="F2" s="5"/>
      <x:c r="G2" s="5"/>
      <x:c r="H2" s="5"/>
      <x:c r="I2" s="5"/>
    </x:row>
    <x:row r="3" ht="25" customHeight="1">
      <x:c r="A3" s="2" t="str">
        <x:v>服务端真实 HTTP；阿里云DeepSeek，8题、全12个系统Skill；both + detail + fast；入口、调用、答案分开判断。</x:v>
      </x:c>
      <x:c r="B3" s="2"/>
      <x:c r="C3" s="2"/>
      <x:c r="D3" s="2"/>
      <x:c r="E3" s="2"/>
      <x:c r="F3" s="2"/>
      <x:c r="G3" s="2"/>
      <x:c r="H3" s="2"/>
      <x:c r="I3" s="2"/>
    </x:row>
    <x:row r="4" ht="25" customHeight="1">
      <x:c r="A4" s="2"/>
      <x:c r="B4" s="2"/>
      <x:c r="C4" s="2"/>
      <x:c r="D4" s="2"/>
      <x:c r="E4" s="2"/>
      <x:c r="F4" s="2"/>
      <x:c r="G4" s="2"/>
      <x:c r="H4" s="2"/>
      <x:c r="I4" s="2"/>
    </x:row>
    <x:row r="5" ht="25" customHeight="1">
      <x:c r="A5" s="2" t="str">
        <x:v>请求完成率</x:v>
      </x:c>
      <x:c r="B5" s="2"/>
      <x:c r="C5" s="2" t="str">
        <x:v>平均请求秒</x:v>
      </x:c>
      <x:c r="D5" s="2" t="str">
        <x:v>总 Token</x:v>
      </x:c>
      <x:c r="E5" s="2"/>
      <x:c r="F5" s="2"/>
      <x:c r="G5" s="2"/>
      <x:c r="H5" s="2"/>
      <x:c r="I5" s="2"/>
    </x:row>
    <x:row r="6" ht="25" customHeight="1">
      <x:c r="A6" s="18" t="n">
        <x:v>1</x:v>
      </x:c>
      <x:c r="B6" s="2"/>
      <x:c r="C6" s="19" t="n">
        <x:f>AVERAGE(G9:G16)</x:f>
        <x:v>22.697716500000002</x:v>
      </x:c>
      <x:c r="D6" s="20" t="n">
        <x:f>SUM(H9:H16)</x:f>
        <x:v>293333</x:v>
      </x:c>
      <x:c r="E6" s="2"/>
      <x:c r="F6" s="2"/>
      <x:c r="G6" s="2"/>
      <x:c r="H6" s="2"/>
      <x:c r="I6" s="2"/>
    </x:row>
    <x:row r="7" ht="25" customHeight="1">
      <x:c r="A7" s="2"/>
      <x:c r="B7" s="2"/>
      <x:c r="C7" s="2"/>
      <x:c r="D7" s="2"/>
      <x:c r="E7" s="2"/>
      <x:c r="F7" s="2"/>
      <x:c r="G7" s="2"/>
      <x:c r="H7" s="2"/>
      <x:c r="I7" s="2"/>
    </x:row>
    <x:row r="8" ht="32" customHeight="1">
      <x:c r="A8" s="11" t="str">
        <x:v>ID</x:v>
      </x:c>
      <x:c r="B8" s="11" t="str">
        <x:v>问题</x:v>
      </x:c>
      <x:c r="C8" s="11" t="str">
        <x:v>推荐数据入口</x:v>
      </x:c>
      <x:c r="D8" s="11" t="str">
        <x:v>实际数据 API</x:v>
      </x:c>
      <x:c r="E8" s="11" t="str">
        <x:v>记录数</x:v>
      </x:c>
      <x:c r="F8" s="11" t="str">
        <x:v>Turns</x:v>
      </x:c>
      <x:c r="G8" s="11" t="str">
        <x:v>请求秒</x:v>
      </x:c>
      <x:c r="H8" s="11" t="str">
        <x:v>Token</x:v>
      </x:c>
      <x:c r="I8" s="11" t="str">
        <x:v>我的判断</x:v>
      </x:c>
    </x:row>
    <x:row r="9" ht="40" customHeight="1">
      <x:c r="A9" s="12" t="str">
        <x:v>RTE009</x:v>
      </x:c>
      <x:c r="B9" s="12" t="str">
        <x:v>网易的净利率变化反映了什么行业趋势？</x:v>
      </x:c>
      <x:c r="C9" s="12" t="str">
        <x:v>stock.financial_3_table.query；研报文字可补充行业背景</x:v>
      </x:c>
      <x:c r="D9" s="12" t="str">
        <x:v>stock.basic_info.query
stock.financial_3_table.query</x:v>
      </x:c>
      <x:c r="E9" s="12" t="n">
        <x:v>0</x:v>
      </x:c>
      <x:c r="F9" s="12" t="n">
        <x:v>4</x:v>
      </x:c>
      <x:c r="G9" s="14" t="n">
        <x:v>22.031629000000002</x:v>
      </x:c>
      <x:c r="H9" s="16" t="n">
        <x:v>28185</x:v>
      </x:c>
      <x:c r="I9" s="12" t="str">
        <x:v>财务入口合理，2次查询均执行通过；零行保守返回，未编造净利率。</x:v>
      </x:c>
    </x:row>
    <x:row r="10" ht="40" customHeight="1">
      <x:c r="A10" s="13" t="str">
        <x:v>RTE010</x:v>
      </x:c>
      <x:c r="B10" s="13" t="str">
        <x:v>AI大模型技术发展对科大讯飞的业务增长有何催化作用？</x:v>
      </x:c>
      <x:c r="C10" s="13" t="str">
        <x:v>stock.report.query 核心观点；stock.business_segment.query 辅助经营事实</x:v>
      </x:c>
      <x:c r="D10" s="13" t="str">
        <x:v>stock.report.query
stock.business_segment.query</x:v>
      </x:c>
      <x:c r="E10" s="13" t="n">
        <x:v>58</x:v>
      </x:c>
      <x:c r="F10" s="13" t="n">
        <x:v>4</x:v>
      </x:c>
      <x:c r="G10" s="15" t="n">
        <x:v>20.722661</x:v>
      </x:c>
      <x:c r="H10" s="17" t="n">
        <x:v>42793</x:v>
      </x:c>
      <x:c r="I10" s="13" t="str">
        <x:v>8条研报＋50条分部，入口及协议合理；summary有证据，但因果和时点表述偏强。</x:v>
      </x:c>
    </x:row>
    <x:row r="11" ht="40" customHeight="1">
      <x:c r="A11" s="12" t="str">
        <x:v>RTE017</x:v>
      </x:c>
      <x:c r="B11" s="12" t="str">
        <x:v>看多蔚来汽车的机构主要理由是什么？</x:v>
      </x:c>
      <x:c r="C11" s="12" t="str">
        <x:v>stock.report.query 投资要点与机构</x:v>
      </x:c>
      <x:c r="D11" s="12" t="str">
        <x:v>stock.report.query</x:v>
      </x:c>
      <x:c r="E11" s="12" t="n">
        <x:v>5</x:v>
      </x:c>
      <x:c r="F11" s="12" t="n">
        <x:v>11</x:v>
      </x:c>
      <x:c r="G11" s="14" t="n">
        <x:v>43.238951</x:v>
      </x:c>
      <x:c r="H11" s="16" t="n">
        <x:v>100645</x:v>
      </x:c>
      <x:c r="I11" s="12" t="str">
        <x:v>相关数据0条可接受；11轮扩搜过多，5条诊断样本不是蔚来成果，summary断言过满。</x:v>
      </x:c>
    </x:row>
    <x:row r="12" ht="55" customHeight="1">
      <x:c r="A12" s="13" t="str">
        <x:v>RTE020</x:v>
      </x:c>
      <x:c r="B12" s="13" t="str">
        <x:v>阳光电源在光伏行业的竞争格局中处于什么位置？</x:v>
      </x:c>
      <x:c r="C12" s="13" t="str">
        <x:v>stock.report.query；stock.business_segment.query</x:v>
      </x:c>
      <x:c r="D12" s="13" t="str">
        <x:v>stock.basic_info.query
stock.business_segment.query
stock.report.query</x:v>
      </x:c>
      <x:c r="E12" s="13" t="n">
        <x:v>39</x:v>
      </x:c>
      <x:c r="F12" s="13" t="n">
        <x:v>5</x:v>
      </x:c>
      <x:c r="G12" s="15" t="n">
        <x:v>29.748749</x:v>
      </x:c>
      <x:c r="H12" s="17" t="n">
        <x:v>36088</x:v>
      </x:c>
      <x:c r="I12" s="13" t="str">
        <x:v>1条基本信息＋30条分部＋8条研报；核心数字有依据。一次目录空operation错误后恢复。</x:v>
      </x:c>
    </x:row>
    <x:row r="13" ht="40" customHeight="1">
      <x:c r="A13" s="12" t="str">
        <x:v>raw_quote_control</x:v>
      </x:c>
      <x:c r="B13" s="12" t="str">
        <x:v>宁德时代最近一个交易日的收盘价和涨跌幅是多少？</x:v>
      </x:c>
      <x:c r="C13" s="12" t="str">
        <x:v>stock.quote.query 最新可用日K；同时标明实际日期</x:v>
      </x:c>
      <x:c r="D13" s="12" t="str">
        <x:v>stock.quote.query</x:v>
      </x:c>
      <x:c r="E13" s="12" t="n">
        <x:v>1</x:v>
      </x:c>
      <x:c r="F13" s="12" t="n">
        <x:v>3</x:v>
      </x:c>
      <x:c r="G13" s="14" t="n">
        <x:v>6.586009</x:v>
      </x:c>
      <x:c r="H13" s="16" t="n">
        <x:v>19478</x:v>
      </x:c>
      <x:c r="I13" s="12" t="str">
        <x:v>不选Skill，3轮取得1条；348.20与-0.7977%对应09-07，需区分最新可用数据和最新交易日。</x:v>
      </x:c>
    </x:row>
    <x:row r="14" ht="55" customHeight="1">
      <x:c r="A14" s="13" t="str">
        <x:v>direct_01</x:v>
      </x:c>
      <x:c r="B14" s="13" t="str">
        <x:v>最近 10 个交易日，上证、深证、北证三大市场的总成交额分别是什么走势？帮我按日期列出来。</x:v>
      </x:c>
      <x:c r="C14" s="13" t="str">
        <x:v>stock.quote.agg 按市场范围与交易日汇总成交额（历史market_history_amount不在当前目录）</x:v>
      </x:c>
      <x:c r="D14" s="13" t="str">
        <x:v>index.quote.query</x:v>
      </x:c>
      <x:c r="E14" s="13" t="n">
        <x:v>30</x:v>
      </x:c>
      <x:c r="F14" s="13" t="n">
        <x:v>4</x:v>
      </x:c>
      <x:c r="G14" s="15" t="n">
        <x:v>21.765876</x:v>
      </x:c>
      <x:c r="H14" s="17" t="n">
        <x:v>26099</x:v>
      </x:c>
      <x:c r="I14" s="13" t="str">
        <x:v>实质口径偏离：指数样本成交额替代市场总额。summary还夹带组织回答的草稿文字。</x:v>
      </x:c>
    </x:row>
    <x:row r="15" ht="40" customHeight="1">
      <x:c r="A15" s="12" t="str">
        <x:v>direct_03</x:v>
      </x:c>
      <x:c r="B15" s="12" t="str">
        <x:v>现在全市场上涨家数和下跌家数分别是多少？涨停和跌停家数也一起给我。</x:v>
      </x:c>
      <x:c r="C15" s="12" t="str">
        <x:v>stock.quote.agg 实时涨跌与涨跌停计数</x:v>
      </x:c>
      <x:c r="D15" s="12" t="str">
        <x:v>stock.quote.agg</x:v>
      </x:c>
      <x:c r="E15" s="12" t="n">
        <x:v>4</x:v>
      </x:c>
      <x:c r="F15" s="12" t="n">
        <x:v>3</x:v>
      </x:c>
      <x:c r="G15" s="14" t="n">
        <x:v>20.644097000000002</x:v>
      </x:c>
      <x:c r="H15" s="16" t="n">
        <x:v>21906</x:v>
      </x:c>
      <x:c r="I15" s="12" t="str">
        <x:v>4次聚合返回4条，数值与summary一致；仍多选市场分析，额外强弱解读非必需。</x:v>
      </x:c>
    </x:row>
    <x:row r="16" ht="40" customHeight="1">
      <x:c r="A16" s="13" t="str">
        <x:v>direct_13</x:v>
      </x:c>
      <x:c r="B16" s="13" t="str">
        <x:v>帮我看一下现在全市场成交额排名前 20 的股票。</x:v>
      </x:c>
      <x:c r="C16" s="13" t="str">
        <x:v>stock.quote.query mode=2，amount倒序前20</x:v>
      </x:c>
      <x:c r="D16" s="13" t="str">
        <x:v>stock.quote.query</x:v>
      </x:c>
      <x:c r="E16" s="13" t="n">
        <x:v>20</x:v>
      </x:c>
      <x:c r="F16" s="13" t="n">
        <x:v>3</x:v>
      </x:c>
      <x:c r="G16" s="15" t="n">
        <x:v>16.84376</x:v>
      </x:c>
      <x:c r="H16" s="17" t="n">
        <x:v>18139</x:v>
      </x:c>
      <x:c r="I16" s="13" t="str">
        <x:v>不选Skill，3轮返回排名20条；前两条数值与summary一致。附加行业与放量判断证据不足。</x:v>
      </x:c>
    </x:row>
    <x:row r="17" ht="25" customHeight="1">
      <x:c r="A17" s="2"/>
      <x:c r="B17" s="2"/>
      <x:c r="C17" s="2"/>
      <x:c r="D17" s="2"/>
      <x:c r="E17" s="2"/>
      <x:c r="F17" s="2"/>
      <x:c r="G17" s="2"/>
      <x:c r="H17" s="2"/>
      <x:c r="I17" s="2"/>
    </x:row>
    <x:row r="18" ht="25" customHeight="1">
      <x:c r="A18" s="2"/>
      <x:c r="B18" s="2"/>
      <x:c r="C18" s="2"/>
      <x:c r="D18" s="2"/>
      <x:c r="E18" s="2"/>
      <x:c r="F18" s="2"/>
      <x:c r="G18" s="2"/>
      <x:c r="H18" s="2"/>
      <x:c r="I18" s="2"/>
    </x:row>
    <x:row r="19" ht="25" customHeight="1">
      <x:c r="A19" s="2" t="str">
        <x:v>记录数为各数据集行数之和，不是相关事实数：蔚来5条来自其他公司的诊断查询，相关0条；涨跌家数为4条聚合结果。</x:v>
      </x:c>
      <x:c r="B19" s="2"/>
      <x:c r="C19" s="2"/>
      <x:c r="D19" s="2"/>
      <x:c r="E19" s="2"/>
      <x:c r="F19" s="2"/>
      <x:c r="G19" s="2"/>
      <x:c r="H19" s="2"/>
      <x:c r="I19" s="2"/>
    </x:row>
    <x:row r="20" ht="25" customHeight="1">
      <x:c r="A20" s="2" t="str">
        <x:v>Turns = 模型响应次数；Token 含缓存上下文。模型秒含请求准备及响应，不是纯思考秒；API秒含提供方执行，两者不能直接相加。</x:v>
      </x:c>
      <x:c r="B20" s="2"/>
      <x:c r="C20" s="2"/>
      <x:c r="D20" s="2"/>
      <x:c r="E20" s="2"/>
      <x:c r="F20" s="2"/>
      <x:c r="G20" s="2"/>
      <x:c r="H20" s="2"/>
      <x:c r="I20" s="2"/>
    </x:row>
    <x:row r="21" ht="25" customHeight="1">
      <x:c r="A21" s="2" t="str">
        <x:v>每题完整summary、每个数据集前2条、方法与工具逐步耗时见“逐题证据”。不把HTTP成功率当成业务准确率。</x:v>
      </x:c>
      <x:c r="B21" s="2"/>
      <x:c r="C21" s="2"/>
      <x:c r="D21" s="2"/>
      <x:c r="E21" s="2"/>
      <x:c r="F21" s="2"/>
      <x:c r="G21" s="2"/>
      <x:c r="H21" s="2"/>
      <x:c r="I21" s="2"/>
    </x:row>
    <x:row r="22" ht="25" customHeight="1">
      <x:c r="A22" s="2"/>
      <x:c r="B22" s="2"/>
      <x:c r="C22" s="2"/>
      <x:c r="D22" s="2"/>
      <x:c r="E22" s="2"/>
      <x:c r="F22" s="2"/>
      <x:c r="G22" s="2"/>
      <x:c r="H22" s="2"/>
      <x:c r="I22" s="2"/>
    </x:row>
    <x:row r="23" ht="25" customHeight="1">
      <x:c r="A23" s="2"/>
      <x:c r="B23" s="2"/>
      <x:c r="C23" s="2"/>
      <x:c r="D23" s="2"/>
      <x:c r="E23" s="2"/>
      <x:c r="F23" s="2"/>
      <x:c r="G23" s="2"/>
      <x:c r="H23" s="2"/>
      <x:c r="I23" s="2"/>
    </x:row>
    <x:row r="24" ht="25" customHeight="1">
      <x:c r="A24" s="2"/>
      <x:c r="B24" s="2"/>
      <x:c r="C24" s="2"/>
      <x:c r="D24" s="2"/>
      <x:c r="E24" s="2"/>
      <x:c r="F24" s="2"/>
      <x:c r="G24" s="2"/>
      <x:c r="H24" s="2"/>
      <x:c r="I24" s="2"/>
    </x:row>
  </x:sheetData>
  <x:pageMargins left="0.7" right="0.7" top="0.75" bottom="0.75" header="0.3" footer="0.3"/>
  <x:tableParts count="1">
    <x:tablePart xmlns:r="http://schemas.openxmlformats.org/officeDocument/2006/relationships" r:id="R29c9de7013c5472e"/>
  </x:tableParts>
</x:worksheet>
</file>

<file path=xl/worksheets/sheet3.xml><?xml version="1.0" encoding="utf-8"?>
<x:worksheet xmlns:x="http://schemas.openxmlformats.org/spreadsheetml/2006/main">
  <x:sheetPr>
    <x:tabColor rgb="FF233B57"/>
  </x:sheetPr>
  <x:sheetViews>
    <x:sheetView showGridLines="0" workbookViewId="0">
      <x:pane ySplit="4" topLeftCell="A5" activePane="bottomLeft" state="frozen"/>
    </x:sheetView>
  </x:sheetViews>
  <x:sheetFormatPr defaultRowHeight="15"/>
  <x:cols>
    <x:col min="1" max="1" width="28" hidden="0" customWidth="1"/>
    <x:col min="2" max="2" width="132" hidden="0" customWidth="1"/>
  </x:cols>
  <x:sheetData>
    <x:row r="1" ht="12" customHeight="1">
      <x:c r="A1" s="2"/>
      <x:c r="B1" s="2"/>
    </x:row>
    <x:row r="2" ht="30" customHeight="1">
      <x:c r="A2" s="4" t="str">
        <x:v>逐题证据 · 原样结果与可观察执行过程</x:v>
      </x:c>
      <x:c r="B2" s="5"/>
    </x:row>
    <x:row r="3" ht="25" customHeight="1">
      <x:c r="A3" s="2" t="str">
        <x:v>正式API返回的summary原文如实保留；只记录公开tool调用与计量，不包含模型原生reasoning字段或密钥。</x:v>
      </x:c>
      <x:c r="B3" s="2"/>
    </x:row>
    <x:row r="4" ht="25" customHeight="1">
      <x:c r="A4" s="2"/>
      <x:c r="B4" s="2"/>
    </x:row>
    <x:row r="5" ht="32" customHeight="1">
      <x:c r="A5" s="11" t="str">
        <x:v>RTE009</x:v>
      </x:c>
      <x:c r="B5" s="11" t="str">
        <x:v>网易的净利率变化反映了什么行业趋势？</x:v>
      </x:c>
    </x:row>
    <x:row r="6" ht="40" customHeight="1">
      <x:c r="A6" s="13" t="str">
        <x:v>评审</x:v>
      </x:c>
      <x:c r="B6" s="13" t="str">
        <x:v>基础信息和财务三表均实际执行，返回0条；随后专用身份工具也无候选。summary准确限定在当前数据范围与查询条件，不把零行当作协议失败。未取得数据，不能评价行业趋势分析质量。先用basic_info查身份仍有冗余；新增身份工具并不意味着模型每次必然优先使用。</x:v>
      </x:c>
    </x:row>
    <x:row r="7" ht="40" customHeight="1">
      <x:c r="A7" s="12" t="str">
        <x:v>入口覆盖</x:v>
      </x:c>
      <x:c r="B7" s="12" t="str">
        <x:v>已查询所需财务趋势入口；当前条件下相关数据0条（仅评价数据入口与范围，不代表数据有值或答案正确）</x:v>
      </x:c>
    </x:row>
    <x:row r="8" ht="40" customHeight="1">
      <x:c r="A8" s="13" t="str">
        <x:v>方法与性能</x:v>
      </x:c>
      <x:c r="B8" s="13" t="str">
        <x:v>Skill：空集（通用路径）；Turns 4；Token 28,185；请求 22.03秒；模型 21.66秒；API执行累计 0.046秒</x:v>
      </x:c>
    </x:row>
    <x:row r="9" ht="40" customHeight="1">
      <x:c r="A9" s="12" t="str">
        <x:v>执行状态</x:v>
      </x:c>
      <x:c r="B9" s="12" t="str">
        <x:v>HTTP 200；ok=true；传输／响应结构检查：通过；工具拒绝／错误 0 次（区别于提供方执行失败）</x:v>
      </x:c>
    </x:row>
    <x:row r="10" ht="40" customHeight="1">
      <x:c r="A10" s="13" t="str">
        <x:v>r1 · 数据</x:v>
      </x:c>
      <x:c r="B10" s="13" t="str">
        <x:v>获取网易基础身份信息
实际 0 行；本次 API 返回 0 行；分页截断 否</x:v>
      </x:c>
    </x:row>
    <x:row r="11" ht="40" customHeight="1">
      <x:c r="A11" s="12" t="str">
        <x:v>结果</x:v>
      </x:c>
      <x:c r="B11" s="12" t="str">
        <x:v>零行</x:v>
      </x:c>
    </x:row>
    <x:row r="12" ht="40" customHeight="1">
      <x:c r="A12" s="13" t="str">
        <x:v>r2 · 数据</x:v>
      </x:c>
      <x:c r="B12" s="13" t="str">
        <x:v>获取网易多期财务数据以观察净利率变化
实际 0 行；本次 API 返回 0 行；分页截断 否</x:v>
      </x:c>
    </x:row>
    <x:row r="13" ht="40" customHeight="1">
      <x:c r="A13" s="12" t="str">
        <x:v>结果</x:v>
      </x:c>
      <x:c r="B13" s="12" t="str">
        <x:v>零行</x:v>
      </x:c>
    </x:row>
    <x:row r="14" ht="40" customHeight="1">
      <x:c r="A14" s="13" t="str">
        <x:v>summary（原文）</x:v>
      </x:c>
      <x:c r="B14" s="13" t="str">
        <x:v>本次已查询：获取网易基础身份信息；获取网易多期财务数据以观察净利率变化。当前数据范围与查询条件下返回 0 条记录，因此无法从现有结果给出所问数值。</x:v>
      </x:c>
    </x:row>
    <x:row r="15" ht="40" customHeight="1">
      <x:c r="A15" s="12" t="str">
        <x:v>步骤 1</x:v>
      </x:c>
      <x:c r="B15" s="12" t="str">
        <x:v>模型响应；4.178秒；Token 3413</x:v>
      </x:c>
    </x:row>
    <x:row r="16" ht="40" customHeight="1">
      <x:c r="A16" s="13" t="str">
        <x:v>步骤 1</x:v>
      </x:c>
      <x:c r="B16" s="13" t="str">
        <x:v>read_finance_catalog；0.019秒；完成</x:v>
      </x:c>
    </x:row>
    <x:row r="17" ht="40" customHeight="1">
      <x:c r="A17" s="12" t="str">
        <x:v>步骤 1 续</x:v>
      </x:c>
      <x:c r="B17" s="12" t="str">
        <x:v>{"subject":"stock","dataview":"basic_info","operation":"query"}</x:v>
      </x:c>
    </x:row>
    <x:row r="18" ht="40" customHeight="1">
      <x:c r="A18" s="13" t="str">
        <x:v>步骤 1</x:v>
      </x:c>
      <x:c r="B18" s="13" t="str">
        <x:v>read_finance_catalog；0.016秒；完成</x:v>
      </x:c>
    </x:row>
    <x:row r="19" ht="40" customHeight="1">
      <x:c r="A19" s="12" t="str">
        <x:v>步骤 1 续</x:v>
      </x:c>
      <x:c r="B19" s="12" t="str">
        <x:v>{"subject":"stock","dataview":"financial_3_table","operation":"query"}</x:v>
      </x:c>
    </x:row>
    <x:row r="20" ht="40" customHeight="1">
      <x:c r="A20" s="13" t="str">
        <x:v>步骤 2</x:v>
      </x:c>
      <x:c r="B20" s="13" t="str">
        <x:v>模型响应；2.532秒；Token 7238</x:v>
      </x:c>
    </x:row>
    <x:row r="21" ht="40" customHeight="1">
      <x:c r="A21" s="12" t="str">
        <x:v>步骤 2</x:v>
      </x:c>
      <x:c r="B21" s="12" t="str">
        <x:v>finance_query；0.098秒；完成</x:v>
      </x:c>
    </x:row>
    <x:row r="22" ht="70" customHeight="1">
      <x:c r="A22" s="13" t="str">
        <x:v>步骤 2 续</x:v>
      </x:c>
      <x:c r="B22" s="13" t="str">
        <x:v>{"steps":[{"goal":"获取网易基础身份信息","request":"r1 = stock.basic_info.query(filter = \"name == '网易'\", limit = 1) -&gt; code, name, industry"},{"goal":"获取网易多期财务数据以观察净利率变化","request":"r2 = stock.financial_3_table.query(filter = \"(name == '网易') and (report_period &gt;= '2021-12-31')\", order = \"report_period asc\", limit = 8) -&gt; code, name, report_period, revenue, net_profit, net_margin, gross_margin, revenue_yoy"}]}</x:v>
      </x:c>
    </x:row>
    <x:row r="23" ht="40" customHeight="1">
      <x:c r="A23" s="12" t="str">
        <x:v>步骤 3</x:v>
      </x:c>
      <x:c r="B23" s="12" t="str">
        <x:v>模型响应；2.321秒；Token 8259</x:v>
      </x:c>
    </x:row>
    <x:row r="24" ht="40" customHeight="1">
      <x:c r="A24" s="13" t="str">
        <x:v>步骤 3</x:v>
      </x:c>
      <x:c r="B24" s="13" t="str">
        <x:v>resolve_security；0.036秒；完成</x:v>
      </x:c>
    </x:row>
    <x:row r="25" ht="40" customHeight="1">
      <x:c r="A25" s="12" t="str">
        <x:v>步骤 3 续</x:v>
      </x:c>
      <x:c r="B25" s="12" t="str">
        <x:v>{"identifiers":["网易","网易-S","NetEase"]}</x:v>
      </x:c>
    </x:row>
    <x:row r="26" ht="40" customHeight="1">
      <x:c r="A26" s="13" t="str">
        <x:v>步骤 4</x:v>
      </x:c>
      <x:c r="B26" s="13" t="str">
        <x:v>模型响应；12.629秒；Token 9275</x:v>
      </x:c>
    </x:row>
    <x:row r="27" ht="40" customHeight="1">
      <x:c r="A27" s="12" t="str">
        <x:v>实际执行测量</x:v>
      </x:c>
      <x:c r="B27" s="12" t="str">
        <x:v>r1 = stock.basic_info.query(filter = "name == '网易'", limit = 1) -&gt; code, name, industry
静态检查 4.576ms；API执行 23.448ms；结果 0行</x:v>
      </x:c>
    </x:row>
    <x:row r="28" ht="55" customHeight="1">
      <x:c r="A28" s="13" t="str">
        <x:v>实际执行测量</x:v>
      </x:c>
      <x:c r="B28" s="13" t="str">
        <x:v>r2 = stock.financial_3_table.query(filter = "(name == '网易') and (report_period &gt;= '2021-12-31')", order = "report_period asc", limit = 8) -&gt; code, name, report_period, revenue, net_profit, net_margin, gross_margin, revenue_yoy
静态检查 6.665ms；API执行 22.344ms；结果 0行</x:v>
      </x:c>
    </x:row>
    <x:row r="29" ht="40" customHeight="1">
      <x:c r="A29" s="12" t="str">
        <x:v>来源</x:v>
      </x:c>
      <x:c r="B29" s="12" t="str">
        <x:v>server_mcp_v4/RTE009.json；代码 1dfb8ae</x:v>
      </x:c>
    </x:row>
    <x:row r="30" ht="40" customHeight="1">
      <x:c r="A30" s="13" t="str"/>
      <x:c r="B30" s="13" t="str"/>
    </x:row>
    <x:row r="31" ht="32" customHeight="1">
      <x:c r="A31" s="11" t="str">
        <x:v>RTE010</x:v>
      </x:c>
      <x:c r="B31" s="11" t="str">
        <x:v>AI大模型技术发展对科大讯飞的业务增长有何催化作用？</x:v>
      </x:c>
    </x:row>
    <x:row r="32" ht="55" customHeight="1">
      <x:c r="A32" s="13" t="str">
        <x:v>评审</x:v>
      </x:c>
      <x:c r="B32" s="13" t="str">
        <x:v>加载研报分析与个股分析，读到report.query和business_segment.query后执行，全部一次通过。中标23.16亿元、API/MaaS收入3.85亿元与263%增速等在返回研报文字中可追溯。分部数据时点2026-06-30，最新返回研报时点2026-05；不能把研报观点一概当成已由半年报对照验证的事实。催化是核心引擎等属于分析判断，不是数据层已证明的因果。</x:v>
      </x:c>
    </x:row>
    <x:row r="33" ht="40" customHeight="1">
      <x:c r="A33" s="12" t="str">
        <x:v>入口覆盖</x:v>
      </x:c>
      <x:c r="B33" s="12" t="str">
        <x:v>研报观点与业务分部入口覆盖了本题所需数据类别（仅评价数据入口与范围，不代表数据有值或答案正确）</x:v>
      </x:c>
    </x:row>
    <x:row r="34" ht="40" customHeight="1">
      <x:c r="A34" s="13" t="str">
        <x:v>方法与性能</x:v>
      </x:c>
      <x:c r="B34" s="13" t="str">
        <x:v>Skill：研报分析、个股分析；Turns 4；Token 42,793；请求 20.72秒；模型 20.14秒；API执行累计 0.204秒</x:v>
      </x:c>
    </x:row>
    <x:row r="35" ht="40" customHeight="1">
      <x:c r="A35" s="12" t="str">
        <x:v>执行状态</x:v>
      </x:c>
      <x:c r="B35" s="12" t="str">
        <x:v>HTTP 200；ok=true；传输／响应结构检查：通过；工具拒绝／错误 0 次（区别于提供方执行失败）</x:v>
      </x:c>
    </x:row>
    <x:row r="36" ht="40" customHeight="1">
      <x:c r="A36" s="13" t="str">
        <x:v>r1 · 数据</x:v>
      </x:c>
      <x:c r="B36" s="13" t="str">
        <x:v>获取科大讯飞近期机构研报中关于AI大模型催化业务增长的观点
实际 8 行；本次 API 返回 2 行；分页截断 是</x:v>
      </x:c>
    </x:row>
    <x:row r="37" ht="40" customHeight="1">
      <x:c r="A37" s="12" t="str">
        <x:v>1.code</x:v>
      </x:c>
      <x:c r="B37" s="12" t="str">
        <x:v>002230.SZ</x:v>
      </x:c>
    </x:row>
    <x:row r="38" ht="40" customHeight="1">
      <x:c r="A38" s="13" t="str">
        <x:v>1.name</x:v>
      </x:c>
      <x:c r="B38" s="13" t="str">
        <x:v>科大讯飞</x:v>
      </x:c>
    </x:row>
    <x:row r="39" ht="40" customHeight="1">
      <x:c r="A39" s="12" t="str">
        <x:v>1.report_date</x:v>
      </x:c>
      <x:c r="B39" s="12" t="str">
        <x:v>2026-05-07T16:00:00</x:v>
      </x:c>
    </x:row>
    <x:row r="40" ht="40" customHeight="1">
      <x:c r="A40" s="13" t="str">
        <x:v>1.institution</x:v>
      </x:c>
      <x:c r="B40" s="13" t="str">
        <x:v>信达证券股份有限公司</x:v>
      </x:c>
    </x:row>
    <x:row r="41" ht="40" customHeight="1">
      <x:c r="A41" s="12" t="str">
        <x:v>1.rating</x:v>
      </x:c>
      <x:c r="B41" s="12" t="str">
        <x:v>买入</x:v>
      </x:c>
    </x:row>
    <x:row r="42" ht="40" customHeight="1">
      <x:c r="A42" s="13" t="str">
        <x:v>1.title</x:v>
      </x:c>
      <x:c r="B42" s="13" t="str">
        <x:v>盈利能力提升，AI大模型商业化加速落地</x:v>
      </x:c>
    </x:row>
    <x:row r="43" ht="70" customHeight="1">
      <x:c r="A43" s="12" t="str">
        <x:v>1.investment_highlights</x:v>
      </x:c>
      <x:c r="B43" s="12" t="str">
        <x:v>核心业务保持稳健增长，盈利表现持续改善。收入端：2025年，公司核心业务保持增长。其中，智慧教育实现营收89.67亿元，同比增长24.04%；智慧医疗实现营收8.58亿元，同比增长24.07%；开放平台实现营收60.88亿元，同比增长17.72%；数字政府实现营收15.58亿元，同比增长30.35%；智能硬件业务实现收入21.83亿元，同比增长7.92%；智慧汽车和企业AI解决方案分别同比增长25.41%、33.65%。现金流：2025年上半年，公司销售回款总额超274亿元，较去年同期增长45亿元；报告期末经营活动产生的现金流量净额32.08亿元，创历史新高。</x:v>
      </x:c>
    </x:row>
    <x:row r="44" ht="40" customHeight="1">
      <x:c r="A44" s="13" t="str">
        <x:v>1.investment_highlights 续</x:v>
      </x:c>
      <x:c r="B44" s="13" t="str"/>
    </x:row>
    <x:row r="45" ht="55" customHeight="1">
      <x:c r="A45" s="12" t="str">
        <x:v>1.investment_highlights 续</x:v>
      </x:c>
      <x:c r="B45" s="12" t="str">
        <x:v>毛利率保持稳定，研发投入保持高位。2025年公司毛利率为42.36%同比下降0.28个百分点。费用方面：公司2025年销售/管理/研发费用率分别为19.15%/5.12%/16.38%，分别较上年同期变动+1.66%/-1.11%/-0.29个百分点。研发投入方面，2025年公司研发投入较上年同比增长7.84亿元，占营业收入比重为19.79%。</x:v>
      </x:c>
    </x:row>
    <x:row r="46" ht="40" customHeight="1">
      <x:c r="A46" s="13" t="str">
        <x:v>1.investment_highlights 续</x:v>
      </x:c>
      <x:c r="B46" s="13" t="str"/>
    </x:row>
    <x:row r="47" ht="70" customHeight="1">
      <x:c r="A47" s="12" t="str">
        <x:v>1.investment_highlights 续</x:v>
      </x:c>
      <x:c r="B47" s="12" t="str">
        <x:v>星火大模型持续迭代升级，稳固人工智能国家队地位。2025年，公司在全国产算力平台上攻克了长思维链强化学习和MoE模型全链路训练难题，并在11月发布深度推理大模型星火X1.5。在模型参数小一倍的情况下对标业界领先水平，支持多语言数目超130种，整体性能达到GPT-5（high）的95%以上。2025年科大讯飞大模型相关项目的中标数量和金额在全行业统计中再次获得双第一，大模型相关项目中标金额23.16亿元，央国企市场领先地位稳固。</x:v>
      </x:c>
    </x:row>
    <x:row r="48" ht="40" customHeight="1">
      <x:c r="A48" s="13" t="str">
        <x:v>1.investment_highlights 续</x:v>
      </x:c>
      <x:c r="B48" s="13" t="str"/>
    </x:row>
    <x:row r="49" ht="55" customHeight="1">
      <x:c r="A49" s="12" t="str">
        <x:v>1.investment_highlights 续</x:v>
      </x:c>
      <x:c r="B49" s="12" t="str">
        <x:v>公司构建“API经济”+大模型“Token经济”双轮增长的开发平台新模式。2025年公司AI开发平台"1+N+X"模型矩阵全系列升级，平台已开放920项AI能力与解决方案，AI开发者规模突破1000万，大模型开发者达到229万，年度增速124%。AI平台及授权服务收入12.52亿元，其中大模型API及MaaS平台服务收入3.85亿元，同比增长263%截至2026年3月末，依托星辰MaaS底座及星火大模型，平台三方开发者大模型日均Tokens同比增长4241%</x:v>
      </x:c>
    </x:row>
    <x:row r="50" ht="40" customHeight="1">
      <x:c r="A50" s="13" t="str">
        <x:v>1.investment_highlights 续</x:v>
      </x:c>
      <x:c r="B50" s="13" t="str"/>
    </x:row>
    <x:row r="51" ht="100" customHeight="1">
      <x:c r="A51" s="12" t="str">
        <x:v>1.investment_highlights 续</x:v>
      </x:c>
      <x:c r="B51" s="12" t="str">
        <x:v>AI融合生态不断完善，C端+海外引领新增长曲线。1）智慧教育：星火智能批阅机服务超三千所学校，市占率超75%；2025年4月公司发布新一代AI学伴解决方案，驱动B端民办校业务全年增长350%；星火教师助手覆盖全国超80万名教师。C端AI学习机、智能办公本、翻译机、录音笔等产品连续多年稳居全周期榜首，618全周期销售额同比增长42%，双十一全周期销售额同比增加30%。2）智慧医疗：截至2025年底，智医助力稳居市场份额80%以上，已服务超过7.7万个基层医疗机构，累计提供AI辅诊建议超11亿次；3）AI+汽车：2025年智能汽车业务实现超40个客户400多款车型的智能化产品成功交付，累计出货量超7300万套；4）海外市场：围绕数字营销、AI硬件、多语种技术授权与B端产品方案等核心业务，聚焦东南亚、中东、美国、日韩等关键市场，实现营收同比增长275%，增长态势强劲。其中智能硬件产品在美日韩等重点市场实现营收增长438%。</x:v>
      </x:c>
    </x:row>
    <x:row r="52" ht="40" customHeight="1">
      <x:c r="A52" s="13" t="str">
        <x:v>1.risk_warnings</x:v>
      </x:c>
      <x:c r="B52" s="13" t="str">
        <x:v>风险因素：AI大模型应用落地不及预期；商业化推进速度不及预期；行业竞争加剧。</x:v>
      </x:c>
    </x:row>
    <x:row r="53" ht="40" customHeight="1">
      <x:c r="A53" s="12" t="str">
        <x:v>2.code</x:v>
      </x:c>
      <x:c r="B53" s="12" t="str">
        <x:v>002230.SZ</x:v>
      </x:c>
    </x:row>
    <x:row r="54" ht="40" customHeight="1">
      <x:c r="A54" s="13" t="str">
        <x:v>2.name</x:v>
      </x:c>
      <x:c r="B54" s="13" t="str">
        <x:v>科大讯飞</x:v>
      </x:c>
    </x:row>
    <x:row r="55" ht="40" customHeight="1">
      <x:c r="A55" s="12" t="str">
        <x:v>2.report_date</x:v>
      </x:c>
      <x:c r="B55" s="12" t="str">
        <x:v>2026-02-02T16:00:00</x:v>
      </x:c>
    </x:row>
    <x:row r="56" ht="40" customHeight="1">
      <x:c r="A56" s="13" t="str">
        <x:v>2.institution</x:v>
      </x:c>
      <x:c r="B56" s="13" t="str">
        <x:v>中邮证券研究所</x:v>
      </x:c>
    </x:row>
    <x:row r="57" ht="40" customHeight="1">
      <x:c r="A57" s="12" t="str">
        <x:v>2.rating</x:v>
      </x:c>
      <x:c r="B57" s="12" t="str">
        <x:v>买入</x:v>
      </x:c>
    </x:row>
    <x:row r="58" ht="40" customHeight="1">
      <x:c r="A58" s="13" t="str">
        <x:v>2.title</x:v>
      </x:c>
      <x:c r="B58" s="13" t="str">
        <x:v>科大讯飞 (002230)：经营质量显著改善，C 端业务打开增长天花板</x:v>
      </x:c>
    </x:row>
    <x:row r="59" ht="85" customHeight="1">
      <x:c r="A59" s="12" t="str">
        <x:v>2.investment_highlights</x:v>
      </x:c>
      <x:c r="B59" s="12" t="str">
        <x:v>自主可控的国产化算力底座，保障人工智能技术可持续发展。公司坚持核心技术底座自主可控，算法、算力、数据等要素自主可控的 AI 核心技术研究和模型训练体系领先性得到进一步验证。通过与华为强强联合，合力打造我国通用人工智能新底座，让国产大模型架构在自主创新的软硬件基础之上，实现了大模型核心技术底座自主可控。“讯飞星火”大模型是目前我国唯一基于全国产算力训练出来的全民可下载的主流大模型，整体技术指标持续对标全球第一梯队，并在教育、医疗、安全、能源等行业的模型效果全球领先；星火多语言大模型已覆盖超 130 个语种，有力支撑中国人工智能出海，为世界提供第二种选择的同时，将形成公司业务收入增长的有力支撑。</x:v>
      </x:c>
    </x:row>
    <x:row r="60" ht="40" customHeight="1">
      <x:c r="A60" s="13" t="str">
        <x:v>2.investment_highlights 续</x:v>
      </x:c>
      <x:c r="B60" s="13" t="str"/>
    </x:row>
    <x:row r="61" ht="70" customHeight="1">
      <x:c r="A61" s="12" t="str">
        <x:v>2.investment_highlights 续</x:v>
      </x:c>
      <x:c r="B61" s="12" t="str">
        <x:v>讯飞星火持续升级迭代，加速规模化商业落地。面对人工智能从技术突破到规模化商业落地的关键阶段，公司强化高端品牌建设，在包括讯飞 AI 学习机在内的 C 端人工智能产品的品牌推广和渠道建设，以及面对人工智能出海方面继续增加营销投入，销售费用同比增长超过 25% 。以讯飞 AI 学习机为例，大模型赋能答疑辅导、精准学、AI 互动，不断提升自主学习效果，连续三年在京东天猫 618、双 11 电商节中获得学习机品类全周期销售额冠军，用户推荐值 NPS 持续行业第一。</x:v>
      </x:c>
    </x:row>
    <x:row r="62" ht="40" customHeight="1">
      <x:c r="A62" s="13" t="str">
        <x:v>2.risk_warnings</x:v>
      </x:c>
      <x:c r="B62" s="13" t="str">
        <x:v>技术迭代与竞争加剧风险；商业化落地不及预期风险；宏观经济与政策风险等。</x:v>
      </x:c>
    </x:row>
    <x:row r="63" ht="40" customHeight="1">
      <x:c r="A63" s="12" t="str">
        <x:v>r2 · 数据</x:v>
      </x:c>
      <x:c r="B63" s="12" t="str">
        <x:v>获取科大讯飞最新业务分部收入结构，观察AI/大模型相关业务增长
实际 50 行；本次 API 返回 2 行；分页截断 是</x:v>
      </x:c>
    </x:row>
    <x:row r="64" ht="40" customHeight="1">
      <x:c r="A64" s="13" t="str">
        <x:v>1.code</x:v>
      </x:c>
      <x:c r="B64" s="13" t="str">
        <x:v>002230.SZ</x:v>
      </x:c>
    </x:row>
    <x:row r="65" ht="40" customHeight="1">
      <x:c r="A65" s="12" t="str">
        <x:v>1.name</x:v>
      </x:c>
      <x:c r="B65" s="12" t="str">
        <x:v>科大讯飞</x:v>
      </x:c>
    </x:row>
    <x:row r="66" ht="40" customHeight="1">
      <x:c r="A66" s="13" t="str">
        <x:v>1.report_period</x:v>
      </x:c>
      <x:c r="B66" s="13" t="str">
        <x:v>2026-06-30</x:v>
      </x:c>
    </x:row>
    <x:row r="67" ht="40" customHeight="1">
      <x:c r="A67" s="12" t="str">
        <x:v>1.segment_type</x:v>
      </x:c>
      <x:c r="B67" s="12" t="str">
        <x:v>1</x:v>
      </x:c>
    </x:row>
    <x:row r="68" ht="40" customHeight="1">
      <x:c r="A68" s="13" t="str">
        <x:v>1.project_name</x:v>
      </x:c>
      <x:c r="B68" s="13" t="str">
        <x:v>其他业务</x:v>
      </x:c>
    </x:row>
    <x:row r="69" ht="40" customHeight="1">
      <x:c r="A69" s="12" t="str">
        <x:v>1.segment_sales</x:v>
      </x:c>
      <x:c r="B69" s="12" t="str">
        <x:v>31812550.75</x:v>
      </x:c>
    </x:row>
    <x:row r="70" ht="40" customHeight="1">
      <x:c r="A70" s="13" t="str">
        <x:v>1.gross_profit_margin</x:v>
      </x:c>
      <x:c r="B70" s="13" t="str">
        <x:v>75.5214</x:v>
      </x:c>
    </x:row>
    <x:row r="71" ht="40" customHeight="1">
      <x:c r="A71" s="12" t="str">
        <x:v>1.pct_segment_sales</x:v>
      </x:c>
      <x:c r="B71" s="12" t="str">
        <x:v>0.2737</x:v>
      </x:c>
    </x:row>
    <x:row r="72" ht="40" customHeight="1">
      <x:c r="A72" s="13" t="str">
        <x:v>1.inc_segment_sales</x:v>
      </x:c>
      <x:c r="B72" s="13" t="str">
        <x:v>null</x:v>
      </x:c>
    </x:row>
    <x:row r="73" ht="40" customHeight="1">
      <x:c r="A73" s="12" t="str">
        <x:v>2.code</x:v>
      </x:c>
      <x:c r="B73" s="12" t="str">
        <x:v>002230.SZ</x:v>
      </x:c>
    </x:row>
    <x:row r="74" ht="40" customHeight="1">
      <x:c r="A74" s="13" t="str">
        <x:v>2.name</x:v>
      </x:c>
      <x:c r="B74" s="13" t="str">
        <x:v>科大讯飞</x:v>
      </x:c>
    </x:row>
    <x:row r="75" ht="40" customHeight="1">
      <x:c r="A75" s="12" t="str">
        <x:v>2.report_period</x:v>
      </x:c>
      <x:c r="B75" s="12" t="str">
        <x:v>2026-06-30</x:v>
      </x:c>
    </x:row>
    <x:row r="76" ht="40" customHeight="1">
      <x:c r="A76" s="13" t="str">
        <x:v>2.segment_type</x:v>
      </x:c>
      <x:c r="B76" s="13" t="str">
        <x:v>1</x:v>
      </x:c>
    </x:row>
    <x:row r="77" ht="40" customHeight="1">
      <x:c r="A77" s="12" t="str">
        <x:v>2.project_name</x:v>
      </x:c>
      <x:c r="B77" s="12" t="str">
        <x:v>教育教学</x:v>
      </x:c>
    </x:row>
    <x:row r="78" ht="40" customHeight="1">
      <x:c r="A78" s="13" t="str">
        <x:v>2.segment_sales</x:v>
      </x:c>
      <x:c r="B78" s="13" t="str">
        <x:v>183040483.56</x:v>
      </x:c>
    </x:row>
    <x:row r="79" ht="40" customHeight="1">
      <x:c r="A79" s="12" t="str">
        <x:v>2.gross_profit_margin</x:v>
      </x:c>
      <x:c r="B79" s="12" t="str">
        <x:v>11.1826</x:v>
      </x:c>
    </x:row>
    <x:row r="80" ht="40" customHeight="1">
      <x:c r="A80" s="13" t="str">
        <x:v>2.pct_segment_sales</x:v>
      </x:c>
      <x:c r="B80" s="13" t="str">
        <x:v>1.5748</x:v>
      </x:c>
    </x:row>
    <x:row r="81" ht="40" customHeight="1">
      <x:c r="A81" s="12" t="str">
        <x:v>2.inc_segment_sales</x:v>
      </x:c>
      <x:c r="B81" s="12" t="str">
        <x:v>null</x:v>
      </x:c>
    </x:row>
    <x:row r="82" ht="40" customHeight="1">
      <x:c r="A82" s="13" t="str">
        <x:v>summary（原文）</x:v>
      </x:c>
      <x:c r="B82" s="13" t="str">
        <x:v>基于机构研报证据，AI大模型技术对科大讯飞业务增长的催化作用已进入"技术→产品→规模化收入"的兑现期。以下是核心结论（数据截至2026年中报/研报披露）：</x:v>
      </x:c>
    </x:row>
    <x:row r="83" ht="40" customHeight="1">
      <x:c r="A83" s="12" t="str">
        <x:v>summary 续</x:v>
      </x:c>
      <x:c r="B83" s="12" t="str"/>
    </x:row>
    <x:row r="84" ht="40" customHeight="1">
      <x:c r="A84" s="13" t="str">
        <x:v>summary 续</x:v>
      </x:c>
      <x:c r="B84" s="13" t="str">
        <x:v>## 核心判断</x:v>
      </x:c>
    </x:row>
    <x:row r="85" ht="40" customHeight="1">
      <x:c r="A85" s="12" t="str">
        <x:v>summary 续</x:v>
      </x:c>
      <x:c r="B85" s="12" t="str"/>
    </x:row>
    <x:row r="86" ht="40" customHeight="1">
      <x:c r="A86" s="13" t="str">
        <x:v>summary 续</x:v>
      </x:c>
      <x:c r="B86" s="13" t="str">
        <x:v>AI大模型是科大讯飞当前增长的核心引擎，催化已从"概念"转为"可验证的收入与订单"，并同时拉动 B 端项目、C 端产品与海外、以及平台"Token经济"三条价值曲线。</x:v>
      </x:c>
    </x:row>
    <x:row r="87" ht="40" customHeight="1">
      <x:c r="A87" s="12" t="str">
        <x:v>summary 续</x:v>
      </x:c>
      <x:c r="B87" s="12" t="str"/>
    </x:row>
    <x:row r="88" ht="40" customHeight="1">
      <x:c r="A88" s="13" t="str">
        <x:v>summary 续</x:v>
      </x:c>
      <x:c r="B88" s="13" t="str">
        <x:v>## 催化的三个具体路径与证据</x:v>
      </x:c>
    </x:row>
    <x:row r="89" ht="40" customHeight="1">
      <x:c r="A89" s="12" t="str">
        <x:v>summary 续</x:v>
      </x:c>
      <x:c r="B89" s="12" t="str"/>
    </x:row>
    <x:row r="90" ht="40" customHeight="1">
      <x:c r="A90" s="13" t="str">
        <x:v>summary 续</x:v>
      </x:c>
      <x:c r="B90" s="13" t="str">
        <x:v>**1. B端：大模型产业化中标双第一，直接贡献收入订单**</x:v>
      </x:c>
    </x:row>
    <x:row r="91" ht="40" customHeight="1">
      <x:c r="A91" s="12" t="str">
        <x:v>summary 续</x:v>
      </x:c>
      <x:c r="B91" s="12" t="str">
        <x:v>- 2025年公司大模型相关项目中标数量和金额在全行业统计中再次双第一，中标金额 **23.16亿元**，位居央国企市场领先。</x:v>
      </x:c>
    </x:row>
    <x:row r="92" ht="40" customHeight="1">
      <x:c r="A92" s="13" t="str">
        <x:v>summary 续</x:v>
      </x:c>
      <x:c r="B92" s="13" t="str">
        <x:v>- 对应业务增速：数字政府 +30.35%、企业AI解决方案 +33.65%、智慧汽车 +25.41%、智慧医疗 +24.07%。</x:v>
      </x:c>
    </x:row>
    <x:row r="93" ht="40" customHeight="1">
      <x:c r="A93" s="12" t="str">
        <x:v>summary 续</x:v>
      </x:c>
      <x:c r="B93" s="12" t="str"/>
    </x:row>
    <x:row r="94" ht="40" customHeight="1">
      <x:c r="A94" s="13" t="str">
        <x:v>summary 续</x:v>
      </x:c>
      <x:c r="B94" s="13" t="str">
        <x:v>**2. 平台化：构建"API经济+Token经济"新商业模式**</x:v>
      </x:c>
    </x:row>
    <x:row r="95" ht="40" customHeight="1">
      <x:c r="A95" s="12" t="str">
        <x:v>summary 续</x:v>
      </x:c>
      <x:c r="B95" s="12" t="str">
        <x:v>- 大模型API及MaaS平台服务收入 **3.85亿元，同比+263%**。</x:v>
      </x:c>
    </x:row>
    <x:row r="96" ht="40" customHeight="1">
      <x:c r="A96" s="13" t="str">
        <x:v>summary 续</x:v>
      </x:c>
      <x:c r="B96" s="13" t="str">
        <x:v>- AI开发者规模突破1000万，大模型开发者达229万（年增124%）；截至2026年3月末，三方开发者大模型日均Tokens同比+4241%（以星辰MaaS+星火底座驱动）。</x:v>
      </x:c>
    </x:row>
    <x:row r="97" ht="40" customHeight="1">
      <x:c r="A97" s="12" t="str">
        <x:v>summary 续</x:v>
      </x:c>
      <x:c r="B97" s="12" t="str"/>
    </x:row>
    <x:row r="98" ht="40" customHeight="1">
      <x:c r="A98" s="13" t="str">
        <x:v>summary 续</x:v>
      </x:c>
      <x:c r="B98" s="13" t="str">
        <x:v>**3. C端+海外：大模型赋能产品升级，打开增长天花板**</x:v>
      </x:c>
    </x:row>
    <x:row r="99" ht="40" customHeight="1">
      <x:c r="A99" s="12" t="str">
        <x:v>summary 续</x:v>
      </x:c>
      <x:c r="B99" s="12" t="str">
        <x:v>- 智慧教育：星火智能批阅机服务超三千所学校（市占率超75%）；AI学伴驱动B端民办校业务全年+350%；星火教师助手覆盖超80万名教师。</x:v>
      </x:c>
    </x:row>
    <x:row r="100" ht="40" customHeight="1">
      <x:c r="A100" s="13" t="str">
        <x:v>summary 续</x:v>
      </x:c>
      <x:c r="B100" s="13" t="str">
        <x:v>- 海外市场：营收同比+275%，其中美日韩等重点市场智能硬件营收+438%（依托星火多语种大模型底座）。</x:v>
      </x:c>
    </x:row>
    <x:row r="101" ht="40" customHeight="1">
      <x:c r="A101" s="12" t="str">
        <x:v>summary 续</x:v>
      </x:c>
      <x:c r="B101" s="12" t="str"/>
    </x:row>
    <x:row r="102" ht="40" customHeight="1">
      <x:c r="A102" s="13" t="str">
        <x:v>summary 续</x:v>
      </x:c>
      <x:c r="B102" s="13" t="str">
        <x:v>## 盈利与质量佐证</x:v>
      </x:c>
    </x:row>
    <x:row r="103" ht="40" customHeight="1">
      <x:c r="A103" s="12" t="str">
        <x:v>summary 续</x:v>
      </x:c>
      <x:c r="B103" s="12" t="str"/>
    </x:row>
    <x:row r="104" ht="40" customHeight="1">
      <x:c r="A104" s="13" t="str">
        <x:v>summary 续</x:v>
      </x:c>
      <x:c r="B104" s="13" t="str">
        <x:v>催化不仅体现在收入端，还改善经营质量：2025年毛利率42.36%保持稳定，经营现金流净额32.08亿元创新高；25Q3归母净利同比+202%，1-9月净亏损同比减亏80.6%。模型研发投入进入稳定期，费用率被视为后续有望下降。</x:v>
      </x:c>
    </x:row>
    <x:row r="105" ht="40" customHeight="1">
      <x:c r="A105" s="12" t="str">
        <x:v>summary 续</x:v>
      </x:c>
      <x:c r="B105" s="12" t="str"/>
    </x:row>
    <x:row r="106" ht="40" customHeight="1">
      <x:c r="A106" s="13" t="str">
        <x:v>summary 续</x:v>
      </x:c>
      <x:c r="B106" s="13" t="str">
        <x:v>---</x:v>
      </x:c>
    </x:row>
    <x:row r="107" ht="40" customHeight="1">
      <x:c r="A107" s="12" t="str">
        <x:v>summary 续</x:v>
      </x:c>
      <x:c r="B107" s="12" t="str"/>
    </x:row>
    <x:row r="108" ht="55" customHeight="1">
      <x:c r="A108" s="13" t="str">
        <x:v>summary 续</x:v>
      </x:c>
      <x:c r="B108" s="13" t="str">
        <x:v>**边界与风险提示**：以上均为机构研报观点与公司披露口径，非实际披露对照（如API收入占整体收入比重仍小，2025年总营收规模约百亿级，大模型API 3.85亿元占比仍属早期）。主要风险为：AI大模型应用落地与商业化推进不及预期、行业竞争加剧（对标GPT-5等国际模型）。当前证据支持"催化正在兑现但仍在放量早期"的判断，API/Token收入的持续高速增长是后续需跟踪的验证点。</x:v>
      </x:c>
    </x:row>
    <x:row r="109" ht="40" customHeight="1">
      <x:c r="A109" s="12" t="str">
        <x:v>步骤 1</x:v>
      </x:c>
      <x:c r="B109" s="12" t="str">
        <x:v>模型响应；4.438秒；Token 3515</x:v>
      </x:c>
    </x:row>
    <x:row r="110" ht="40" customHeight="1">
      <x:c r="A110" s="13" t="str">
        <x:v>步骤 1</x:v>
      </x:c>
      <x:c r="B110" s="13" t="str">
        <x:v>read_finance_skill；0.014秒；完成</x:v>
      </x:c>
    </x:row>
    <x:row r="111" ht="40" customHeight="1">
      <x:c r="A111" s="12" t="str">
        <x:v>步骤 1 续</x:v>
      </x:c>
      <x:c r="B111" s="12" t="str">
        <x:v>{"skill_ids":["equity-report-analysis","stock-research"]}</x:v>
      </x:c>
    </x:row>
    <x:row r="112" ht="40" customHeight="1">
      <x:c r="A112" s="13" t="str">
        <x:v>步骤 1</x:v>
      </x:c>
      <x:c r="B112" s="13" t="str">
        <x:v>read_finance_catalog；0.024秒；完成</x:v>
      </x:c>
    </x:row>
    <x:row r="113" ht="40" customHeight="1">
      <x:c r="A113" s="12" t="str">
        <x:v>步骤 1 续</x:v>
      </x:c>
      <x:c r="B113" s="12" t="str">
        <x:v>{"subject":"stock","dataview":"report","operation":"query"}</x:v>
      </x:c>
    </x:row>
    <x:row r="114" ht="40" customHeight="1">
      <x:c r="A114" s="13" t="str">
        <x:v>步骤 1</x:v>
      </x:c>
      <x:c r="B114" s="13" t="str">
        <x:v>read_finance_catalog；0.023秒；完成</x:v>
      </x:c>
    </x:row>
    <x:row r="115" ht="40" customHeight="1">
      <x:c r="A115" s="12" t="str">
        <x:v>步骤 1 续</x:v>
      </x:c>
      <x:c r="B115" s="12" t="str">
        <x:v>{"subject":"stock","dataview":"business_segment","operation":"query"}</x:v>
      </x:c>
    </x:row>
    <x:row r="116" ht="40" customHeight="1">
      <x:c r="A116" s="13" t="str">
        <x:v>步骤 2</x:v>
      </x:c>
      <x:c r="B116" s="13" t="str">
        <x:v>模型响应；1.777秒；Token 11435</x:v>
      </x:c>
    </x:row>
    <x:row r="117" ht="40" customHeight="1">
      <x:c r="A117" s="12" t="str">
        <x:v>步骤 2</x:v>
      </x:c>
      <x:c r="B117" s="12" t="str">
        <x:v>resolve_security；0.025秒；完成</x:v>
      </x:c>
    </x:row>
    <x:row r="118" ht="40" customHeight="1">
      <x:c r="A118" s="13" t="str">
        <x:v>步骤 2 续</x:v>
      </x:c>
      <x:c r="B118" s="13" t="str">
        <x:v>{"identifiers":["科大讯飞"]}</x:v>
      </x:c>
    </x:row>
    <x:row r="119" ht="40" customHeight="1">
      <x:c r="A119" s="12" t="str">
        <x:v>步骤 3</x:v>
      </x:c>
      <x:c r="B119" s="12" t="str">
        <x:v>模型响应；3.367秒；Token 12003</x:v>
      </x:c>
    </x:row>
    <x:row r="120" ht="40" customHeight="1">
      <x:c r="A120" s="13" t="str">
        <x:v>步骤 3</x:v>
      </x:c>
      <x:c r="B120" s="13" t="str">
        <x:v>finance_query；0.261秒；完成</x:v>
      </x:c>
    </x:row>
    <x:row r="121" ht="100" customHeight="1">
      <x:c r="A121" s="12" t="str">
        <x:v>步骤 3 续</x:v>
      </x:c>
      <x:c r="B121" s="12" t="str">
        <x:v>{"steps":[{"goal":"获取科大讯飞近期机构研报中关于AI大模型催化业务增长的观点","request":"r1 = stock.report.query(filter = \"(code == '002230.SZ') and (report_date &gt;= '2025-09-01')\", order = \"report_date desc\", limit = 15) -&gt; code, name, report_date, institution, rating, title, investment_highlights, risk_warnings"},{"goal":"获取科大讯飞最新业务分部收入结构，观察AI/大模型相关业务增长","request":"r2 = stock.business_segment.query(filter = \"(code == '002230.SZ') and (source == 'salessegment')\", order = \"report_period desc, segment_sales desc\", limit = 50) -&gt; code, name, report_period, segment_type, project_name, segment_sales, gross_profit_margin, pct_segment_sales, inc_segment_sales"}]}</x:v>
      </x:c>
    </x:row>
    <x:row r="122" ht="40" customHeight="1">
      <x:c r="A122" s="13" t="str">
        <x:v>步骤 4</x:v>
      </x:c>
      <x:c r="B122" s="13" t="str">
        <x:v>模型响应；10.559秒；Token 15840</x:v>
      </x:c>
    </x:row>
    <x:row r="123" ht="55" customHeight="1">
      <x:c r="A123" s="12" t="str">
        <x:v>实际执行测量</x:v>
      </x:c>
      <x:c r="B123" s="12" t="str">
        <x:v>r1 = stock.report.query(filter = "(code == '002230.SZ') and (report_date &gt;= '2025-09-01')", order = "report_date desc", limit = 15) -&gt; code, name, report_date, institution, rating, title, investment_highlights, risk_warnings
静态检查 6.156ms；API执行 76.228ms；结果 8行</x:v>
      </x:c>
    </x:row>
    <x:row r="124" ht="70" customHeight="1">
      <x:c r="A124" s="13" t="str">
        <x:v>实际执行测量</x:v>
      </x:c>
      <x:c r="B124" s="13" t="str">
        <x:v>r2 = stock.business_segment.query(filter = "(code == '002230.SZ') and (source == 'salessegment')", order = "report_period desc, segment_sales desc", limit = 50) -&gt; code, name, report_period, segment_type, project_name, segment_sales, gross_profit_margin, pct_segment_sales, inc_segment_sales
静态检查 4.555ms；API执行 128.026ms；结果 50行</x:v>
      </x:c>
    </x:row>
    <x:row r="125" ht="40" customHeight="1">
      <x:c r="A125" s="12" t="str">
        <x:v>来源</x:v>
      </x:c>
      <x:c r="B125" s="12" t="str">
        <x:v>server_mcp_v4/RTE010.json；代码 1dfb8ae</x:v>
      </x:c>
    </x:row>
    <x:row r="126" ht="40" customHeight="1">
      <x:c r="A126" s="13" t="str"/>
      <x:c r="B126" s="13" t="str"/>
    </x:row>
    <x:row r="127" ht="32" customHeight="1">
      <x:c r="A127" s="11" t="str">
        <x:v>RTE017</x:v>
      </x:c>
      <x:c r="B127" s="11" t="str">
        <x:v>看多蔚来汽车的机构主要理由是什么？</x:v>
      </x:c>
    </x:row>
    <x:row r="128" ht="55" customHeight="1">
      <x:c r="A128" s="13" t="str">
        <x:v>评审</x:v>
      </x:c>
      <x:c r="B128" s="13" t="str">
        <x:v>初次查询合并了尚未读取执行包的basic_info，框架在数据执行前拦住；后续研报和身份检索均无蔚来匹配。随后查比亚迪／宁德时代返回5条用于诊断覆盖，未当作蔚来的机构理由，但最终称证据完整、仅覆盖A股、穷尽合理查询，不能由几个样本和零行推导。标题扩搜还含无关词“锂想”。本轮保持0相关条的结论，不为此题追加关键词或拒绝规则。</x:v>
      </x:c>
    </x:row>
    <x:row r="129" ht="40" customHeight="1">
      <x:c r="A129" s="12" t="str">
        <x:v>入口覆盖</x:v>
      </x:c>
      <x:c r="B129" s="12" t="str">
        <x:v>研报入口正确；蔚来相关记录0条，5条为其他公司的探测样本（仅评价数据入口与范围，不代表数据有值或答案正确）</x:v>
      </x:c>
    </x:row>
    <x:row r="130" ht="40" customHeight="1">
      <x:c r="A130" s="13" t="str">
        <x:v>方法与性能</x:v>
      </x:c>
      <x:c r="B130" s="13" t="str">
        <x:v>Skill：研报分析；Turns 11；Token 100,645；请求 43.24秒；模型 42.53秒；API执行累计 0.172秒</x:v>
      </x:c>
    </x:row>
    <x:row r="131" ht="40" customHeight="1">
      <x:c r="A131" s="12" t="str">
        <x:v>执行状态</x:v>
      </x:c>
      <x:c r="B131" s="12" t="str">
        <x:v>HTTP 200；ok=true；传输／响应结构检查：通过；工具拒绝／错误 1 次（区别于提供方执行失败）</x:v>
      </x:c>
    </x:row>
    <x:row r="132" ht="40" customHeight="1">
      <x:c r="A132" s="13" t="str">
        <x:v>r1 · 数据</x:v>
      </x:c>
      <x:c r="B132" s="13" t="str">
        <x:v>查询蔚来汽车最近机构研报
实际 0 行；本次 API 返回 0 行；分页截断 否</x:v>
      </x:c>
    </x:row>
    <x:row r="133" ht="40" customHeight="1">
      <x:c r="A133" s="12" t="str">
        <x:v>结果</x:v>
      </x:c>
      <x:c r="B133" s="12" t="str">
        <x:v>零行</x:v>
      </x:c>
    </x:row>
    <x:row r="134" ht="40" customHeight="1">
      <x:c r="A134" s="13" t="str">
        <x:v>r2 · 数据</x:v>
      </x:c>
      <x:c r="B134" s="13" t="str">
        <x:v>用多个名称变体在研报数据源中尝试匹配蔚来
实际 0 行；本次 API 返回 0 行；分页截断 否</x:v>
      </x:c>
    </x:row>
    <x:row r="135" ht="40" customHeight="1">
      <x:c r="A135" s="12" t="str">
        <x:v>结果</x:v>
      </x:c>
      <x:c r="B135" s="12" t="str">
        <x:v>零行</x:v>
      </x:c>
    </x:row>
    <x:row r="136" ht="40" customHeight="1">
      <x:c r="A136" s="13" t="str">
        <x:v>r3 · 数据</x:v>
      </x:c>
      <x:c r="B136" s="13" t="str">
        <x:v>确认研报数据源的市场覆盖范围，验证是否仅A股
实际 5 行；本次 API 返回 2 行；分页截断 是</x:v>
      </x:c>
    </x:row>
    <x:row r="137" ht="40" customHeight="1">
      <x:c r="A137" s="12" t="str">
        <x:v>1.code</x:v>
      </x:c>
      <x:c r="B137" s="12" t="str">
        <x:v>002594.SZ</x:v>
      </x:c>
    </x:row>
    <x:row r="138" ht="40" customHeight="1">
      <x:c r="A138" s="13" t="str">
        <x:v>1.name</x:v>
      </x:c>
      <x:c r="B138" s="13" t="str">
        <x:v>比亚迪</x:v>
      </x:c>
    </x:row>
    <x:row r="139" ht="40" customHeight="1">
      <x:c r="A139" s="12" t="str">
        <x:v>1.market</x:v>
      </x:c>
      <x:c r="B139" s="12" t="str">
        <x:v>null</x:v>
      </x:c>
    </x:row>
    <x:row r="140" ht="40" customHeight="1">
      <x:c r="A140" s="13" t="str">
        <x:v>1.report_date</x:v>
      </x:c>
      <x:c r="B140" s="13" t="str">
        <x:v>2026-09-03T16:00:00</x:v>
      </x:c>
    </x:row>
    <x:row r="141" ht="40" customHeight="1">
      <x:c r="A141" s="12" t="str">
        <x:v>1.institution</x:v>
      </x:c>
      <x:c r="B141" s="12" t="str">
        <x:v>太平洋证券</x:v>
      </x:c>
    </x:row>
    <x:row r="142" ht="40" customHeight="1">
      <x:c r="A142" s="13" t="str">
        <x:v>1.rating</x:v>
      </x:c>
      <x:c r="B142" s="13" t="str">
        <x:v>买入</x:v>
      </x:c>
    </x:row>
    <x:row r="143" ht="40" customHeight="1">
      <x:c r="A143" s="12" t="str">
        <x:v>2.code</x:v>
      </x:c>
      <x:c r="B143" s="12" t="str">
        <x:v>002594.SZ</x:v>
      </x:c>
    </x:row>
    <x:row r="144" ht="40" customHeight="1">
      <x:c r="A144" s="13" t="str">
        <x:v>2.name</x:v>
      </x:c>
      <x:c r="B144" s="13" t="str">
        <x:v>比亚迪</x:v>
      </x:c>
    </x:row>
    <x:row r="145" ht="40" customHeight="1">
      <x:c r="A145" s="12" t="str">
        <x:v>2.market</x:v>
      </x:c>
      <x:c r="B145" s="12" t="str">
        <x:v>null</x:v>
      </x:c>
    </x:row>
    <x:row r="146" ht="40" customHeight="1">
      <x:c r="A146" s="13" t="str">
        <x:v>2.report_date</x:v>
      </x:c>
      <x:c r="B146" s="13" t="str">
        <x:v>2026-09-01T16:00:00</x:v>
      </x:c>
    </x:row>
    <x:row r="147" ht="40" customHeight="1">
      <x:c r="A147" s="12" t="str">
        <x:v>2.institution</x:v>
      </x:c>
      <x:c r="B147" s="12" t="str">
        <x:v>东吴证券</x:v>
      </x:c>
    </x:row>
    <x:row r="148" ht="40" customHeight="1">
      <x:c r="A148" s="13" t="str">
        <x:v>2.rating</x:v>
      </x:c>
      <x:c r="B148" s="13" t="str">
        <x:v>买入</x:v>
      </x:c>
    </x:row>
    <x:row r="149" ht="40" customHeight="1">
      <x:c r="A149" s="12" t="str">
        <x:v>summary（原文）</x:v>
      </x:c>
      <x:c r="B149" s="12" t="str">
        <x:v>数据已取得。证据链完整：</x:v>
      </x:c>
    </x:row>
    <x:row r="150" ht="40" customHeight="1">
      <x:c r="A150" s="13" t="str">
        <x:v>summary 续</x:v>
      </x:c>
      <x:c r="B150" s="13" t="str"/>
    </x:row>
    <x:row r="151" ht="40" customHeight="1">
      <x:c r="A151" s="12" t="str">
        <x:v>summary 续</x:v>
      </x:c>
      <x:c r="B151" s="12" t="str">
        <x:v>- **report 研报数据源**有效且覆盖A股公司（比亚迪002594、宁德时代300750等均能返回研报），但围绕蔚来（名称/标题含"蔚来"或"NIO"）的多次查询均返回 0 行。</x:v>
      </x:c>
    </x:row>
    <x:row r="152" ht="40" customHeight="1">
      <x:c r="A152" s="13" t="str">
        <x:v>summary 续</x:v>
      </x:c>
      <x:c r="B152" s="13" t="str">
        <x:v>- **身份库**对"蔚来/NIO/9866.HK"均无匹配。</x:v>
      </x:c>
    </x:row>
    <x:row r="153" ht="40" customHeight="1">
      <x:c r="A153" s="12" t="str">
        <x:v>summary 续</x:v>
      </x:c>
      <x:c r="B153" s="12" t="str">
        <x:v>- report 数据源的 `market` 字段在所有返回中均为空，无法用于证明多市场覆盖，但样本公司全部为A股（.SZ）。</x:v>
      </x:c>
    </x:row>
    <x:row r="154" ht="40" customHeight="1">
      <x:c r="A154" s="13" t="str">
        <x:v>summary 续</x:v>
      </x:c>
      <x:c r="B154" s="13" t="str"/>
    </x:row>
    <x:row r="155" ht="40" customHeight="1">
      <x:c r="A155" s="12" t="str">
        <x:v>summary 续</x:v>
      </x:c>
      <x:c r="B155" s="12" t="str">
        <x:v>## 结论</x:v>
      </x:c>
    </x:row>
    <x:row r="156" ht="40" customHeight="1">
      <x:c r="A156" s="13" t="str">
        <x:v>summary 续</x:v>
      </x:c>
      <x:c r="B156" s="13" t="str"/>
    </x:row>
    <x:row r="157" ht="40" customHeight="1">
      <x:c r="A157" s="12" t="str">
        <x:v>summary 续</x:v>
      </x:c>
      <x:c r="B157" s="12" t="str">
        <x:v>**当前授权的金融数据源无法检索到蔚来汽车（NIO）的机构研报，因此无法提供"看多蔚来汽车的机构主要理由"。**</x:v>
      </x:c>
    </x:row>
    <x:row r="158" ht="40" customHeight="1">
      <x:c r="A158" s="13" t="str">
        <x:v>summary 续</x:v>
      </x:c>
      <x:c r="B158" s="13" t="str"/>
    </x:row>
    <x:row r="159" ht="40" customHeight="1">
      <x:c r="A159" s="12" t="str">
        <x:v>summary 续</x:v>
      </x:c>
      <x:c r="B159" s="12" t="str">
        <x:v>### 已执行的取证范围</x:v>
      </x:c>
    </x:row>
    <x:row r="160" ht="40" customHeight="1">
      <x:c r="A160" s="13" t="str">
        <x:v>summary 续</x:v>
      </x:c>
      <x:c r="B160" s="13" t="str"/>
    </x:row>
    <x:row r="161" ht="40" customHeight="1">
      <x:c r="A161" s="12" t="str">
        <x:v>summary 续</x:v>
      </x:c>
      <x:c r="B161" s="12" t="str">
        <x:v>| 步骤 | 查询 | 结果 |</x:v>
      </x:c>
    </x:row>
    <x:row r="162" ht="40" customHeight="1">
      <x:c r="A162" s="13" t="str">
        <x:v>summary 续</x:v>
      </x:c>
      <x:c r="B162" s="13" t="str">
        <x:v>|---|---|---|</x:v>
      </x:c>
    </x:row>
    <x:row r="163" ht="40" customHeight="1">
      <x:c r="A163" s="12" t="str">
        <x:v>summary 续</x:v>
      </x:c>
      <x:c r="B163" s="12" t="str">
        <x:v>| 身份识别 | "蔚来"、"NIO"、"9866.HK"、"蔚来汽车"、"NIO Inc." | 均无候选匹配 |</x:v>
      </x:c>
    </x:row>
    <x:row r="164" ht="40" customHeight="1">
      <x:c r="A164" s="13" t="str">
        <x:v>summary 续</x:v>
      </x:c>
      <x:c r="B164" s="13" t="str">
        <x:v>| 研报查询① | `name contains '蔚来'` | 0 行 |</x:v>
      </x:c>
    </x:row>
    <x:row r="165" ht="40" customHeight="1">
      <x:c r="A165" s="12" t="str">
        <x:v>summary 续</x:v>
      </x:c>
      <x:c r="B165" s="12" t="str">
        <x:v>| 研报查询② | title 含"蔚来"/"NIO"/"锂想" | 0 行 |</x:v>
      </x:c>
    </x:row>
    <x:row r="166" ht="40" customHeight="1">
      <x:c r="A166" s="13" t="str">
        <x:v>summary 续</x:v>
      </x:c>
      <x:c r="B166" s="13" t="str">
        <x:v>| 数据源有效性验证 | 比亚迪、宁德时代研报 | 正常返回（买入评级） |</x:v>
      </x:c>
    </x:row>
    <x:row r="167" ht="40" customHeight="1">
      <x:c r="A167" s="12" t="str">
        <x:v>summary 续</x:v>
      </x:c>
      <x:c r="B167" s="12" t="str"/>
    </x:row>
    <x:row r="168" ht="40" customHeight="1">
      <x:c r="A168" s="13" t="str">
        <x:v>summary 续</x:v>
      </x:c>
      <x:c r="B168" s="13" t="str">
        <x:v>### 数据边界说明</x:v>
      </x:c>
    </x:row>
    <x:row r="169" ht="40" customHeight="1">
      <x:c r="A169" s="12" t="str">
        <x:v>summary 续</x:v>
      </x:c>
      <x:c r="B169" s="12" t="str"/>
    </x:row>
    <x:row r="170" ht="40" customHeight="1">
      <x:c r="A170" s="13" t="str">
        <x:v>summary 续</x:v>
      </x:c>
      <x:c r="B170" s="13" t="str">
        <x:v>- **核心原因**：蔚来汽车在美国纽交所（NIO.N）和中国香港联交所（9866.HK）上市，**并非A股公司**。当前授权的研报（`stock.report`）与股票基础信息（`stock.basic_info`）数据源实际仅覆盖 **A股市场**（验证样本均为 `.SZ`/`.SH` 代码）。</x:v>
      </x:c>
    </x:row>
    <x:row r="171" ht="40" customHeight="1">
      <x:c r="A171" s="12" t="str">
        <x:v>summary 续</x:v>
      </x:c>
      <x:c r="B171" s="12" t="str">
        <x:v>- 本阶段已在唯一可能包含蔚来研报的视图（`stock.report`）中穷尽了合理查询（名称、标题多关键词），得到**确定的零行结果**，符合"零行按当前查询条件下未匹配记录完成"的交付规范。</x:v>
      </x:c>
    </x:row>
    <x:row r="172" ht="40" customHeight="1">
      <x:c r="A172" s="13" t="str">
        <x:v>summary 续</x:v>
      </x:c>
      <x:c r="B172" s="13" t="str"/>
    </x:row>
    <x:row r="173" ht="40" customHeight="1">
      <x:c r="A173" s="12" t="str">
        <x:v>summary 续</x:v>
      </x:c>
      <x:c r="B173" s="12" t="str">
        <x:v>### 建议</x:v>
      </x:c>
    </x:row>
    <x:row r="174" ht="40" customHeight="1">
      <x:c r="A174" s="13" t="str">
        <x:v>summary 续</x:v>
      </x:c>
      <x:c r="B174" s="13" t="str"/>
    </x:row>
    <x:row r="175" ht="40" customHeight="1">
      <x:c r="A175" s="12" t="str">
        <x:v>summary 续</x:v>
      </x:c>
      <x:c r="B175" s="12" t="str">
        <x:v>如需覆盖蔚来看多理由，需获取**港股/美股研报数据源**（或国际市场研报库）。在当前授权范围内，该数据缺口无法通过放宽名称、代码或日期条件弥补。</x:v>
      </x:c>
    </x:row>
    <x:row r="176" ht="40" customHeight="1">
      <x:c r="A176" s="13" t="str">
        <x:v>步骤 1</x:v>
      </x:c>
      <x:c r="B176" s="13" t="str">
        <x:v>模型响应；2.771秒；Token 3244</x:v>
      </x:c>
    </x:row>
    <x:row r="177" ht="40" customHeight="1">
      <x:c r="A177" s="12" t="str">
        <x:v>步骤 1</x:v>
      </x:c>
      <x:c r="B177" s="12" t="str">
        <x:v>read_finance_skill；0.014秒；完成</x:v>
      </x:c>
    </x:row>
    <x:row r="178" ht="40" customHeight="1">
      <x:c r="A178" s="13" t="str">
        <x:v>步骤 1 续</x:v>
      </x:c>
      <x:c r="B178" s="13" t="str">
        <x:v>{"skill_id":"equity-report-analysis"}</x:v>
      </x:c>
    </x:row>
    <x:row r="179" ht="40" customHeight="1">
      <x:c r="A179" s="12" t="str">
        <x:v>步骤 1</x:v>
      </x:c>
      <x:c r="B179" s="12" t="str">
        <x:v>read_finance_catalog；0.017秒；完成</x:v>
      </x:c>
    </x:row>
    <x:row r="180" ht="40" customHeight="1">
      <x:c r="A180" s="13" t="str">
        <x:v>步骤 1 续</x:v>
      </x:c>
      <x:c r="B180" s="13" t="str">
        <x:v>{"subject":"stock","dataview":"report"}</x:v>
      </x:c>
    </x:row>
    <x:row r="181" ht="40" customHeight="1">
      <x:c r="A181" s="12" t="str">
        <x:v>步骤 2</x:v>
      </x:c>
      <x:c r="B181" s="12" t="str">
        <x:v>模型响应；1.450秒；Token 7343</x:v>
      </x:c>
    </x:row>
    <x:row r="182" ht="40" customHeight="1">
      <x:c r="A182" s="13" t="str">
        <x:v>步骤 2</x:v>
      </x:c>
      <x:c r="B182" s="13" t="str">
        <x:v>resolve_security；0.029秒；完成</x:v>
      </x:c>
    </x:row>
    <x:row r="183" ht="40" customHeight="1">
      <x:c r="A183" s="12" t="str">
        <x:v>步骤 2 续</x:v>
      </x:c>
      <x:c r="B183" s="12" t="str">
        <x:v>{"identifiers":["蔚来"]}</x:v>
      </x:c>
    </x:row>
    <x:row r="184" ht="40" customHeight="1">
      <x:c r="A184" s="13" t="str">
        <x:v>步骤 3</x:v>
      </x:c>
      <x:c r="B184" s="13" t="str">
        <x:v>模型响应；2.359秒；Token 7578</x:v>
      </x:c>
    </x:row>
    <x:row r="185" ht="40" customHeight="1">
      <x:c r="A185" s="12" t="str">
        <x:v>步骤 3</x:v>
      </x:c>
      <x:c r="B185" s="12" t="str">
        <x:v>resolve_security；0.037秒；完成</x:v>
      </x:c>
    </x:row>
    <x:row r="186" ht="40" customHeight="1">
      <x:c r="A186" s="13" t="str">
        <x:v>步骤 3 续</x:v>
      </x:c>
      <x:c r="B186" s="13" t="str">
        <x:v>{"identifiers":["9866.HK","NIO","09866"]}</x:v>
      </x:c>
    </x:row>
    <x:row r="187" ht="40" customHeight="1">
      <x:c r="A187" s="12" t="str">
        <x:v>步骤 4</x:v>
      </x:c>
      <x:c r="B187" s="12" t="str">
        <x:v>模型响应；4.092秒；Token 8026</x:v>
      </x:c>
    </x:row>
    <x:row r="188" ht="40" customHeight="1">
      <x:c r="A188" s="13" t="str">
        <x:v>步骤 4</x:v>
      </x:c>
      <x:c r="B188" s="13" t="str">
        <x:v>finance_query；0.103秒；完成</x:v>
      </x:c>
    </x:row>
    <x:row r="189" ht="55" customHeight="1">
      <x:c r="A189" s="12" t="str">
        <x:v>步骤 4 续</x:v>
      </x:c>
      <x:c r="B189" s="12" t="str">
        <x:v>{"data_request_complete":false,"steps":[{"goal":"查询蔚来汽车最近机构研报","request":"r1 = stock.report.query(filter=\"name.contains('蔚来')\", order=\"report_date desc\", limit=20) -&gt; report_id, code, name, report_date, institution, rating, rating_change, investment_highlights, risk_warnings"}]}</x:v>
      </x:c>
    </x:row>
    <x:row r="190" ht="40" customHeight="1">
      <x:c r="A190" s="13" t="str">
        <x:v>步骤 5</x:v>
      </x:c>
      <x:c r="B190" s="13" t="str">
        <x:v>模型响应；2.885秒；Token 8513</x:v>
      </x:c>
    </x:row>
    <x:row r="191" ht="40" customHeight="1">
      <x:c r="A191" s="12" t="str">
        <x:v>步骤 5</x:v>
      </x:c>
      <x:c r="B191" s="12" t="str">
        <x:v>finance_query；0.001秒；拒绝／错误</x:v>
      </x:c>
    </x:row>
    <x:row r="192" ht="70" customHeight="1">
      <x:c r="A192" s="13" t="str">
        <x:v>步骤 5 续</x:v>
      </x:c>
      <x:c r="B192" s="13" t="str">
        <x:v>{"data_request_complete":true,"steps":[{"goal":"查询蔚来汽车相关机构研报，尝试多个名称变体","request":"r1 = stock.report.query(filter=\"(name.contains('蔚来')) or (name.contains('NIO'))\", order=\"report_date desc\", limit=20) -&gt; report_id, code, name, report_date, institution, rating, rating_change, investment_highlights"},{"goal":"查询蔚来汽车基本面信息兜底","request":"r2 = stock.basic_info.query(filter=\"(name.contains('蔚来')) or (code.contains('9866'))\", limit=20) -&gt; code, name, market"}]}</x:v>
      </x:c>
    </x:row>
    <x:row r="193" ht="40" customHeight="1">
      <x:c r="A193" s="12" t="str">
        <x:v>步骤 6</x:v>
      </x:c>
      <x:c r="B193" s="12" t="str">
        <x:v>模型响应；2.287秒；Token 9011</x:v>
      </x:c>
    </x:row>
    <x:row r="194" ht="40" customHeight="1">
      <x:c r="A194" s="13" t="str">
        <x:v>步骤 6</x:v>
      </x:c>
      <x:c r="B194" s="13" t="str">
        <x:v>read_finance_catalog；0.020秒；完成</x:v>
      </x:c>
    </x:row>
    <x:row r="195" ht="40" customHeight="1">
      <x:c r="A195" s="12" t="str">
        <x:v>步骤 6 续</x:v>
      </x:c>
      <x:c r="B195" s="12" t="str">
        <x:v>{"subject":"stock","dataview":"basic_info","operation":"query"}</x:v>
      </x:c>
    </x:row>
    <x:row r="196" ht="40" customHeight="1">
      <x:c r="A196" s="13" t="str">
        <x:v>步骤 7</x:v>
      </x:c>
      <x:c r="B196" s="13" t="str">
        <x:v>模型响应；6.073秒；Token 9623</x:v>
      </x:c>
    </x:row>
    <x:row r="197" ht="40" customHeight="1">
      <x:c r="A197" s="12" t="str">
        <x:v>步骤 8</x:v>
      </x:c>
      <x:c r="B197" s="12" t="str">
        <x:v>模型响应；3.123秒；Token 9863</x:v>
      </x:c>
    </x:row>
    <x:row r="198" ht="40" customHeight="1">
      <x:c r="A198" s="13" t="str">
        <x:v>步骤 8</x:v>
      </x:c>
      <x:c r="B198" s="13" t="str">
        <x:v>resolve_security；0.037秒；完成</x:v>
      </x:c>
    </x:row>
    <x:row r="199" ht="40" customHeight="1">
      <x:c r="A199" s="12" t="str">
        <x:v>步骤 8 续</x:v>
      </x:c>
      <x:c r="B199" s="12" t="str">
        <x:v>{"identifiers":["蔚来汽车","NIO Inc.","蔚来"]}</x:v>
      </x:c>
    </x:row>
    <x:row r="200" ht="40" customHeight="1">
      <x:c r="A200" s="13" t="str">
        <x:v>步骤 8</x:v>
      </x:c>
      <x:c r="B200" s="13" t="str">
        <x:v>read_finance_catalog；0.015秒；完成</x:v>
      </x:c>
    </x:row>
    <x:row r="201" ht="40" customHeight="1">
      <x:c r="A201" s="12" t="str">
        <x:v>步骤 8 续</x:v>
      </x:c>
      <x:c r="B201" s="12" t="str">
        <x:v>{"subject":"stock","dataview":"report","operation":"query"}</x:v>
      </x:c>
    </x:row>
    <x:row r="202" ht="40" customHeight="1">
      <x:c r="A202" s="13" t="str">
        <x:v>步骤 9</x:v>
      </x:c>
      <x:c r="B202" s="13" t="str">
        <x:v>模型响应；4.865秒；Token 11395</x:v>
      </x:c>
    </x:row>
    <x:row r="203" ht="40" customHeight="1">
      <x:c r="A203" s="12" t="str">
        <x:v>步骤 9</x:v>
      </x:c>
      <x:c r="B203" s="12" t="str">
        <x:v>finance_query；0.108秒；完成</x:v>
      </x:c>
    </x:row>
    <x:row r="204" ht="55" customHeight="1">
      <x:c r="A204" s="13" t="str">
        <x:v>步骤 9 续</x:v>
      </x:c>
      <x:c r="B204" s="13" t="str">
        <x:v>{"data_request_complete":false,"steps":[{"goal":"用多个名称变体在研报数据源中尝试匹配蔚来","request":"r1 = stock.report.query(filter=\"(title.contains('蔚来')) or (title.contains('NIO')) or (title.contains('锂想'))\", order=\"report_date desc\", limit=20) -&gt; report_id, code, name, market, title, report_date, institution, rating"}]}</x:v>
      </x:c>
    </x:row>
    <x:row r="205" ht="40" customHeight="1">
      <x:c r="A205" s="12" t="str">
        <x:v>步骤 10</x:v>
      </x:c>
      <x:c r="B205" s="12" t="str">
        <x:v>模型响应；6.321秒；Token 12329</x:v>
      </x:c>
    </x:row>
    <x:row r="206" ht="40" customHeight="1">
      <x:c r="A206" s="13" t="str">
        <x:v>步骤 10</x:v>
      </x:c>
      <x:c r="B206" s="13" t="str">
        <x:v>finance_query；0.126秒；完成</x:v>
      </x:c>
    </x:row>
    <x:row r="207" ht="55" customHeight="1">
      <x:c r="A207" s="12" t="str">
        <x:v>步骤 10 续</x:v>
      </x:c>
      <x:c r="B207" s="12" t="str">
        <x:v>{"data_request_complete":true,"steps":[{"goal":"确认研报数据源的市场覆盖范围，验证是否仅A股","request":"r1 = stock.report.query(filter=\"(name.contains('宁德时代')) or (name.contains('比亚迪'))\", limit=5) -&gt; code, name, market, report_date, institution, rating"}]}</x:v>
      </x:c>
    </x:row>
    <x:row r="208" ht="40" customHeight="1">
      <x:c r="A208" s="13" t="str">
        <x:v>步骤 11</x:v>
      </x:c>
      <x:c r="B208" s="13" t="str">
        <x:v>模型响应；6.303秒；Token 13720</x:v>
      </x:c>
    </x:row>
    <x:row r="209" ht="55" customHeight="1">
      <x:c r="A209" s="12" t="str">
        <x:v>实际执行测量</x:v>
      </x:c>
      <x:c r="B209" s="12" t="str">
        <x:v>r1 = stock.report.query(filter="name.contains('蔚来')", order="report_date desc", limit=20) -&gt; report_id, code, name, report_date, institution, rating, rating_change, investment_highlights, risk_warnings
静态检查 8.081ms；API执行 72.616ms；结果 0行</x:v>
      </x:c>
    </x:row>
    <x:row r="210" ht="55" customHeight="1">
      <x:c r="A210" s="13" t="str">
        <x:v>实际执行测量</x:v>
      </x:c>
      <x:c r="B210" s="13" t="str">
        <x:v>r2 = stock.report.query(filter="(title.contains('蔚来')) or (title.contains('NIO')) or (title.contains('锂想'))", order="report_date desc", limit=20) -&gt; report_id, code, name, market, title, report_date, institution, rating
静态检查 9.2ms；API执行 76.732ms；结果 0行</x:v>
      </x:c>
    </x:row>
    <x:row r="211" ht="55" customHeight="1">
      <x:c r="A211" s="12" t="str">
        <x:v>实际执行测量</x:v>
      </x:c>
      <x:c r="B211" s="12" t="str">
        <x:v>r3 = stock.report.query(filter="(name.contains('宁德时代')) or (name.contains('比亚迪'))", limit=5) -&gt; code, name, market, report_date, institution, rating
静态检查 4.798ms；API执行 22.593ms；结果 5行</x:v>
      </x:c>
    </x:row>
    <x:row r="212" ht="40" customHeight="1">
      <x:c r="A212" s="13" t="str">
        <x:v>来源</x:v>
      </x:c>
      <x:c r="B212" s="13" t="str">
        <x:v>server_mcp_v4/RTE017.json；代码 1dfb8ae</x:v>
      </x:c>
    </x:row>
    <x:row r="213" ht="40" customHeight="1">
      <x:c r="A213" s="12" t="str"/>
      <x:c r="B213" s="12" t="str"/>
    </x:row>
    <x:row r="214" ht="32" customHeight="1">
      <x:c r="A214" s="11" t="str">
        <x:v>RTE020</x:v>
      </x:c>
      <x:c r="B214" s="11" t="str">
        <x:v>阳光电源在光伏行业的竞争格局中处于什么位置？</x:v>
      </x:c>
    </x:row>
    <x:row r="215" ht="55" customHeight="1">
      <x:c r="A215" s="12" t="str">
        <x:v>评审</x:v>
      </x:c>
      <x:c r="B215" s="12" t="str">
        <x:v>初始调用subject=stock并填operation空字符串，被原生Schema拒绝（operation若提供应为操作类别；省略可浏览）；随后正常读包并取得数据。储能154.56亿元／约50%、光伏124.19亿元／约40.2%与返回分部一致，逆变器66GW等有研报文字依据。公司相对位置的分析可基于机构证据，但全球排名和竞争对手结论未做独立查证，不等于数据层已证明。</x:v>
      </x:c>
    </x:row>
    <x:row r="216" ht="40" customHeight="1">
      <x:c r="A216" s="13" t="str">
        <x:v>入口覆盖</x:v>
      </x:c>
      <x:c r="B216" s="13" t="str">
        <x:v>研报观点与主营分部入口已覆盖（仅评价数据入口与范围，不代表数据有值或答案正确）</x:v>
      </x:c>
    </x:row>
    <x:row r="217" ht="40" customHeight="1">
      <x:c r="A217" s="12" t="str">
        <x:v>方法与性能</x:v>
      </x:c>
      <x:c r="B217" s="12" t="str">
        <x:v>Skill：板块主题分析；Turns 5；Token 36,088；请求 29.75秒；模型 29.21秒；API执行累计 0.089秒</x:v>
      </x:c>
    </x:row>
    <x:row r="218" ht="40" customHeight="1">
      <x:c r="A218" s="13" t="str">
        <x:v>执行状态</x:v>
      </x:c>
      <x:c r="B218" s="13" t="str">
        <x:v>HTTP 200；ok=true；传输／响应结构检查：通过；工具拒绝／错误 1 次（区别于提供方执行失败）</x:v>
      </x:c>
    </x:row>
    <x:row r="219" ht="40" customHeight="1">
      <x:c r="A219" s="12" t="str">
        <x:v>r1 · 数据</x:v>
      </x:c>
      <x:c r="B219" s="12" t="str">
        <x:v>获取阳光电源基础身份与行业归属
实际 1 行；本次 API 返回 1 行；分页截断 否</x:v>
      </x:c>
    </x:row>
    <x:row r="220" ht="40" customHeight="1">
      <x:c r="A220" s="13" t="str">
        <x:v>1.code</x:v>
      </x:c>
      <x:c r="B220" s="13" t="str">
        <x:v>300274.SZ</x:v>
      </x:c>
    </x:row>
    <x:row r="221" ht="40" customHeight="1">
      <x:c r="A221" s="12" t="str">
        <x:v>1.name</x:v>
      </x:c>
      <x:c r="B221" s="12" t="str">
        <x:v>阳光电源</x:v>
      </x:c>
    </x:row>
    <x:row r="222" ht="40" customHeight="1">
      <x:c r="A222" s="13" t="str">
        <x:v>1.industry</x:v>
      </x:c>
      <x:c r="B222" s="13" t="str">
        <x:v>逆变器</x:v>
      </x:c>
    </x:row>
    <x:row r="223" ht="40" customHeight="1">
      <x:c r="A223" s="12" t="str">
        <x:v>1.listed_date</x:v>
      </x:c>
      <x:c r="B223" s="12" t="str">
        <x:v>2011-11-02</x:v>
      </x:c>
    </x:row>
    <x:row r="224" ht="40" customHeight="1">
      <x:c r="A224" s="13" t="str">
        <x:v>r2 · 数据</x:v>
      </x:c>
      <x:c r="B224" s="13" t="str">
        <x:v>查询阳光电源主营业务分部收入数据，了解光伏相关业务占比
实际 30 行；本次 API 返回 2 行；分页截断 是</x:v>
      </x:c>
    </x:row>
    <x:row r="225" ht="40" customHeight="1">
      <x:c r="A225" s="12" t="str">
        <x:v>1.code</x:v>
      </x:c>
      <x:c r="B225" s="12" t="str">
        <x:v>300274.SZ</x:v>
      </x:c>
    </x:row>
    <x:row r="226" ht="40" customHeight="1">
      <x:c r="A226" s="13" t="str">
        <x:v>1.name</x:v>
      </x:c>
      <x:c r="B226" s="13" t="str">
        <x:v>阳光电源</x:v>
      </x:c>
    </x:row>
    <x:row r="227" ht="40" customHeight="1">
      <x:c r="A227" s="12" t="str">
        <x:v>1.report_period</x:v>
      </x:c>
      <x:c r="B227" s="12" t="str">
        <x:v>2026-06-30</x:v>
      </x:c>
    </x:row>
    <x:row r="228" ht="40" customHeight="1">
      <x:c r="A228" s="13" t="str">
        <x:v>1.segment_type</x:v>
      </x:c>
      <x:c r="B228" s="13" t="str">
        <x:v>1</x:v>
      </x:c>
    </x:row>
    <x:row r="229" ht="40" customHeight="1">
      <x:c r="A229" s="12" t="str">
        <x:v>1.project_name</x:v>
      </x:c>
      <x:c r="B229" s="12" t="str">
        <x:v>储能行业</x:v>
      </x:c>
    </x:row>
    <x:row r="230" ht="40" customHeight="1">
      <x:c r="A230" s="13" t="str">
        <x:v>1.segment_sales</x:v>
      </x:c>
      <x:c r="B230" s="13" t="str">
        <x:v>15455765101.22</x:v>
      </x:c>
    </x:row>
    <x:row r="231" ht="40" customHeight="1">
      <x:c r="A231" s="12" t="str">
        <x:v>1.segment_profit</x:v>
      </x:c>
      <x:c r="B231" s="12" t="str">
        <x:v>5012403338.41</x:v>
      </x:c>
    </x:row>
    <x:row r="232" ht="40" customHeight="1">
      <x:c r="A232" s="13" t="str">
        <x:v>1.gross_profit_margin</x:v>
      </x:c>
      <x:c r="B232" s="13" t="str">
        <x:v>32.4306</x:v>
      </x:c>
    </x:row>
    <x:row r="233" ht="40" customHeight="1">
      <x:c r="A233" s="12" t="str">
        <x:v>1.pct_segment_sales</x:v>
      </x:c>
      <x:c r="B233" s="12" t="str">
        <x:v>49.9988</x:v>
      </x:c>
    </x:row>
    <x:row r="234" ht="40" customHeight="1">
      <x:c r="A234" s="13" t="str">
        <x:v>1.inc_segment_sales</x:v>
      </x:c>
      <x:c r="B234" s="13" t="str">
        <x:v>null</x:v>
      </x:c>
    </x:row>
    <x:row r="235" ht="40" customHeight="1">
      <x:c r="A235" s="12" t="str">
        <x:v>2.code</x:v>
      </x:c>
      <x:c r="B235" s="12" t="str">
        <x:v>300274.SZ</x:v>
      </x:c>
    </x:row>
    <x:row r="236" ht="40" customHeight="1">
      <x:c r="A236" s="13" t="str">
        <x:v>2.name</x:v>
      </x:c>
      <x:c r="B236" s="13" t="str">
        <x:v>阳光电源</x:v>
      </x:c>
    </x:row>
    <x:row r="237" ht="40" customHeight="1">
      <x:c r="A237" s="12" t="str">
        <x:v>2.report_period</x:v>
      </x:c>
      <x:c r="B237" s="12" t="str">
        <x:v>2026-06-30</x:v>
      </x:c>
    </x:row>
    <x:row r="238" ht="40" customHeight="1">
      <x:c r="A238" s="13" t="str">
        <x:v>2.segment_type</x:v>
      </x:c>
      <x:c r="B238" s="13" t="str">
        <x:v>1</x:v>
      </x:c>
    </x:row>
    <x:row r="239" ht="40" customHeight="1">
      <x:c r="A239" s="12" t="str">
        <x:v>2.project_name</x:v>
      </x:c>
      <x:c r="B239" s="12" t="str">
        <x:v>光伏行业</x:v>
      </x:c>
    </x:row>
    <x:row r="240" ht="40" customHeight="1">
      <x:c r="A240" s="13" t="str">
        <x:v>2.segment_sales</x:v>
      </x:c>
      <x:c r="B240" s="13" t="str">
        <x:v>12418666204.49</x:v>
      </x:c>
    </x:row>
    <x:row r="241" ht="40" customHeight="1">
      <x:c r="A241" s="12" t="str">
        <x:v>2.segment_profit</x:v>
      </x:c>
      <x:c r="B241" s="12" t="str">
        <x:v>null</x:v>
      </x:c>
    </x:row>
    <x:row r="242" ht="40" customHeight="1">
      <x:c r="A242" s="13" t="str">
        <x:v>2.gross_profit_margin</x:v>
      </x:c>
      <x:c r="B242" s="13" t="str">
        <x:v>null</x:v>
      </x:c>
    </x:row>
    <x:row r="243" ht="40" customHeight="1">
      <x:c r="A243" s="12" t="str">
        <x:v>2.pct_segment_sales</x:v>
      </x:c>
      <x:c r="B243" s="12" t="str">
        <x:v>40.1739</x:v>
      </x:c>
    </x:row>
    <x:row r="244" ht="40" customHeight="1">
      <x:c r="A244" s="13" t="str">
        <x:v>2.inc_segment_sales</x:v>
      </x:c>
      <x:c r="B244" s="13" t="str">
        <x:v>null</x:v>
      </x:c>
    </x:row>
    <x:row r="245" ht="40" customHeight="1">
      <x:c r="A245" s="12" t="str">
        <x:v>r3 · 数据</x:v>
      </x:c>
      <x:c r="B245" s="12" t="str">
        <x:v>查询阳光电源近期机构研报观点，重点看竞争格局与市场份额描述
实际 8 行；本次 API 返回 2 行；分页截断 是</x:v>
      </x:c>
    </x:row>
    <x:row r="246" ht="40" customHeight="1">
      <x:c r="A246" s="13" t="str">
        <x:v>1.code</x:v>
      </x:c>
      <x:c r="B246" s="13" t="str">
        <x:v>300274.SZ</x:v>
      </x:c>
    </x:row>
    <x:row r="247" ht="40" customHeight="1">
      <x:c r="A247" s="12" t="str">
        <x:v>1.name</x:v>
      </x:c>
      <x:c r="B247" s="12" t="str">
        <x:v>阳光电源</x:v>
      </x:c>
    </x:row>
    <x:row r="248" ht="40" customHeight="1">
      <x:c r="A248" s="13" t="str">
        <x:v>1.report_date</x:v>
      </x:c>
      <x:c r="B248" s="13" t="str">
        <x:v>2026-09-04T16:00:00</x:v>
      </x:c>
    </x:row>
    <x:row r="249" ht="40" customHeight="1">
      <x:c r="A249" s="12" t="str">
        <x:v>1.institution</x:v>
      </x:c>
      <x:c r="B249" s="12" t="str">
        <x:v>中邮证券</x:v>
      </x:c>
    </x:row>
    <x:row r="250" ht="40" customHeight="1">
      <x:c r="A250" s="13" t="str">
        <x:v>1.rating</x:v>
      </x:c>
      <x:c r="B250" s="13" t="str">
        <x:v>买入</x:v>
      </x:c>
    </x:row>
    <x:row r="251" ht="70" customHeight="1">
      <x:c r="A251" s="12" t="str">
        <x:v>1.investment_highlights</x:v>
      </x:c>
      <x:c r="B251" s="12" t="str">
        <x:v>事件：2026年8月28日，公司发布2026年半年度报告。2026年上半年公司实现营收309.1亿元，同比-29.0%；归母净利润52.6亿元，同比-32.0%；扣非归母净利润42.8亿元，同比-43.0%；毛利率35.9%，同比+1.6pcts，主要系产品结构优化；归母净利率17.0%，同比-0.8pcts。2026年二季度，公司实现营收153.5亿元，同比-37.3%，环比-1.3%；归母净利润29.7亿元，同比-24.1%，环比+29.5%；扣非归母净利润22.4亿元，同比-41.3%，环比+10.4%；毛利率38.6%，同比+4.9pcts，环比+5.4pcts；归母净利率19.3%，同比+3.4pcts，环比+4.6pcts。</x:v>
      </x:c>
    </x:row>
    <x:row r="252" ht="40" customHeight="1">
      <x:c r="A252" s="13" t="str">
        <x:v>1.investment_highlights 续</x:v>
      </x:c>
      <x:c r="B252" s="13" t="str"/>
    </x:row>
    <x:row r="253" ht="55" customHeight="1">
      <x:c r="A253" s="12" t="str">
        <x:v>1.investment_highlights 续</x:v>
      </x:c>
      <x:c r="B253" s="12" t="str">
        <x:v>逆变器出货受国内装机影响下滑，海外业务占比提升带动毛利率改善。2026年上半年，公司1）逆变器业务收入123.9亿元，同比-19.2%；发货66GW，同比减少10GW，主要系国内光伏装机下降影响；毛利率42.7%，同比+7.0pcts，主要因海外高毛利业务占比上升。2)新能源投资开发收入12.6亿元，同比-85.0%，上半年净亏损3.8亿元。</x:v>
      </x:c>
    </x:row>
    <x:row r="254" ht="40" customHeight="1">
      <x:c r="A254" s="13" t="str">
        <x:v>1.investment_highlights 续</x:v>
      </x:c>
      <x:c r="B254" s="13" t="str"/>
    </x:row>
    <x:row r="255" ht="70" customHeight="1">
      <x:c r="A255" s="12" t="str">
        <x:v>1.investment_highlights 续</x:v>
      </x:c>
      <x:c r="B255" s="12" t="str">
        <x:v>储能发货稳步增长，积极拓展户用、工商业渠道。2026年上半年，公司储能业务收入154.6亿元，同比-13.2%，主要是电力储能收入下降，中东同比减少52亿元（去年同期沙特大项目高基数）；发货25GWh，同比增长28%；毛利率32.4%，同比-7.5pcts，主要系原材料价格波动等影响。26H1公司新获阿联酋7.5GWh大单，并且公司新设面向户用和工商业渠道的独立业务单元，目标快速补齐产品型谱，持续稳固提升欧澳日韩等高价值市场地位，积极拓展亚非拉等市场。</x:v>
      </x:c>
    </x:row>
    <x:row r="256" ht="40" customHeight="1">
      <x:c r="A256" s="13" t="str">
        <x:v>1.investment_highlights 续</x:v>
      </x:c>
      <x:c r="B256" s="13" t="str"/>
    </x:row>
    <x:row r="257" ht="70" customHeight="1">
      <x:c r="A257" s="12" t="str">
        <x:v>1.investment_highlights 续</x:v>
      </x:c>
      <x:c r="B257" s="12" t="str">
        <x:v>AIDC 业务逐步落地，有望成为公司新的增长曲线。1）AIDC 电源方面，公司已推出 EnerNeo 系列 SST 并面向市场供货，除 13.8kV 和 10kV 的 SST 外，公司预计明年上半年完成 35kV SST 研发。公司已向客户交付的 SST 预计在 26Q4 可以投运，有望率先实现 SST 800V 直流供电方案在真实算力场景中的带载运行；上半年公司也与东阳光、中联数据签署战略合作暨框架采购协议。上半年，公司 800V HVDC 相关产品已完成国内市场小批量交付。2）AIDC 配储方面，公司目前在手订单约 2GWh。</x:v>
      </x:c>
    </x:row>
    <x:row r="258" ht="40" customHeight="1">
      <x:c r="A258" s="13" t="str">
        <x:v>1.investment_highlights 续</x:v>
      </x:c>
      <x:c r="B258" s="13" t="str"/>
    </x:row>
    <x:row r="259" ht="55" customHeight="1">
      <x:c r="A259" s="12" t="str">
        <x:v>1.investment_highlights 续</x:v>
      </x:c>
      <x:c r="B259" s="12" t="str">
        <x:v>汇兑损失同比扩大，备货导致存货增加。2026年上半年公司销售/管理/研发/财务费用率分别为 6.9% / 2.4% / 6.8% / 1.2% ，分别同比 +1.6 / +0.5 / +2.1 / +1.8 pcts；26H1汇兑损失同比增加9.1亿元。至26年中，公司存货期末净值321.5亿元，较年初增加49.0亿元，主要是26Q2增加43.9亿元，其中光储业务基于在手订单及交付计划备货，储能电芯及海外销售库存增加超30亿元，新能源电站项目开发投入增加超10亿元。</x:v>
      </x:c>
    </x:row>
    <x:row r="260" ht="40" customHeight="1">
      <x:c r="A260" s="13" t="str">
        <x:v>1.risk_warnings</x:v>
      </x:c>
      <x:c r="B260" s="13" t="str">
        <x:v>需求不及预期的风险；海外政策及汇率波动风险；新业务拓展不及预期风险；行业竞争加剧风险</x:v>
      </x:c>
    </x:row>
    <x:row r="261" ht="40" customHeight="1">
      <x:c r="A261" s="12" t="str">
        <x:v>2.code</x:v>
      </x:c>
      <x:c r="B261" s="12" t="str">
        <x:v>300274.SZ</x:v>
      </x:c>
    </x:row>
    <x:row r="262" ht="40" customHeight="1">
      <x:c r="A262" s="13" t="str">
        <x:v>2.name</x:v>
      </x:c>
      <x:c r="B262" s="13" t="str">
        <x:v>阳光电源</x:v>
      </x:c>
    </x:row>
    <x:row r="263" ht="40" customHeight="1">
      <x:c r="A263" s="12" t="str">
        <x:v>2.report_date</x:v>
      </x:c>
      <x:c r="B263" s="12" t="str">
        <x:v>2026-08-31T16:00:00</x:v>
      </x:c>
    </x:row>
    <x:row r="264" ht="40" customHeight="1">
      <x:c r="A264" s="13" t="str">
        <x:v>2.institution</x:v>
      </x:c>
      <x:c r="B264" s="13" t="str">
        <x:v>开源证券</x:v>
      </x:c>
    </x:row>
    <x:row r="265" ht="40" customHeight="1">
      <x:c r="A265" s="12" t="str">
        <x:v>2.rating</x:v>
      </x:c>
      <x:c r="B265" s="12" t="str">
        <x:v>买入</x:v>
      </x:c>
    </x:row>
    <x:row r="266" ht="85" customHeight="1">
      <x:c r="A266" s="13" t="str">
        <x:v>2.investment_highlights</x:v>
      </x:c>
      <x:c r="B266" s="13" t="str">
        <x:v>公司发布2026年半年报，H1实现营业收入309.12亿元，同比下降28.99%；归母净利润52.59亿元，同比下降32.01%；扣非归母净利润42.75亿元，同比下降42.96%。其中，Q2实现营业收入153.52亿元，同比下降37.33%、环比下降1.34% 归母净利润29.67亿元，同比下降24.08%、环比增长29.50%。Q2综合毛利率为38.62%，环比提升5.36pct，盈利能力有所改善；扣非归母净利润22.43亿元，环比增长10.37%。考虑行业竞争加剧，我们下调公司2026-2028年盈利预测，预计2026-2028年归母净利润分别为129.52/161.99/187.01亿元（原2026-2028年154.73/193.47/230.84亿元），EPS分别为6.25/7.81/9.02元，当前股价对应PE为14.6/11.7/10.1。考虑到公司在手订单饱满，维持“买入”评级。</x:v>
      </x:c>
    </x:row>
    <x:row r="267" ht="40" customHeight="1">
      <x:c r="A267" s="12" t="str">
        <x:v>2.investment_highlights 续</x:v>
      </x:c>
      <x:c r="B267" s="12" t="str"/>
    </x:row>
    <x:row r="268" ht="85" customHeight="1">
      <x:c r="A268" s="13" t="str">
        <x:v>2.investment_highlights 续</x:v>
      </x:c>
      <x:c r="B268" s="13" t="str">
        <x:v>2026H1，公司光伏逆变器等电力电子转换设备实现营业收入 123.88 亿元，同比下降 19.17%，毛利率 42.72%，同比提升 6.98pct。上半年逆变器发货 66GW，2025 年同期为 76GW，发货下降主要来自国内市场。储能系统实现营业收入 154.56 亿元，同比下降 13.18%，毛利率 32.43%，同比下降 7.49pct；储能发货 25GWh，同比增长 28%，收入下降主要受到电力储能业务影响，其中中东地区储能收入同比减少约 52 亿元。此外，新能源投资开发业务收入 12.58 亿元，同比下降 85.02%，对公司整体营收形成较大拖累。新业务方面，公司推进 AIDC 供电产品布局，已推出 Ener Neo 系列固态变压器并面向市场供货，800V 高压直流相关产品完成国内小批量交付。</x:v>
      </x:c>
    </x:row>
    <x:row r="269" ht="40" customHeight="1">
      <x:c r="A269" s="12" t="str">
        <x:v>2.investment_highlights 续</x:v>
      </x:c>
      <x:c r="B269" s="12" t="str"/>
    </x:row>
    <x:row r="270" ht="40" customHeight="1">
      <x:c r="A270" s="13" t="str">
        <x:v>2.investment_highlights 续</x:v>
      </x:c>
      <x:c r="B270" s="13" t="str">
        <x:v>2026H1，公司经营活动产生的现金流量净额为37.35亿元，同比增长8.75%，在收入下降的情况下仍保持增长。公司财务费用为3.68亿元，2025年同期为-2.63亿元，同比增加6.31亿元，主要系欧元及美元贬值导致汇兑损失增加，对当期利润形成压力。H1研发投入20.95亿元，同比增长2.85%。</x:v>
      </x:c>
    </x:row>
    <x:row r="271" ht="40" customHeight="1">
      <x:c r="A271" s="12" t="str">
        <x:v>2.risk_warnings</x:v>
      </x:c>
      <x:c r="B271" s="12" t="str">
        <x:v>海外贸易政策变化；行业竞争加剧；AIDC业务进展不及预期。</x:v>
      </x:c>
    </x:row>
    <x:row r="272" ht="40" customHeight="1">
      <x:c r="A272" s="13" t="str">
        <x:v>summary（原文）</x:v>
      </x:c>
      <x:c r="B272" s="13" t="str">
        <x:v>## 阳光电源在光伏行业的竞争格局位置</x:v>
      </x:c>
    </x:row>
    <x:row r="273" ht="40" customHeight="1">
      <x:c r="A273" s="12" t="str">
        <x:v>summary 续</x:v>
      </x:c>
      <x:c r="B273" s="12" t="str"/>
    </x:row>
    <x:row r="274" ht="40" customHeight="1">
      <x:c r="A274" s="13" t="str">
        <x:v>summary 续</x:v>
      </x:c>
      <x:c r="B274" s="13" t="str">
        <x:v>**结论：阳光电源是光伏逆变器全球第一梯队的龙头厂商，与华为、Tesla 同处全球电力电子与储能第一梯队，在光伏逆变器环节保持全球头部地位，并凭借全球化布局维持较高盈利质量。**</x:v>
      </x:c>
    </x:row>
    <x:row r="275" ht="40" customHeight="1">
      <x:c r="A275" s="12" t="str">
        <x:v>summary 续</x:v>
      </x:c>
      <x:c r="B275" s="12" t="str"/>
    </x:row>
    <x:row r="276" ht="40" customHeight="1">
      <x:c r="A276" s="13" t="str">
        <x:v>summary 续</x:v>
      </x:c>
      <x:c r="B276" s="13" t="str">
        <x:v>**关键证据（来源：公司2026年半年报分部数据、机构研报）：**</x:v>
      </x:c>
    </x:row>
    <x:row r="277" ht="40" customHeight="1">
      <x:c r="A277" s="12" t="str">
        <x:v>summary 续</x:v>
      </x:c>
      <x:c r="B277" s="12" t="str"/>
    </x:row>
    <x:row r="278" ht="40" customHeight="1">
      <x:c r="A278" s="13" t="str">
        <x:v>summary 续</x:v>
      </x:c>
      <x:c r="B278" s="13" t="str">
        <x:v>**1. 业务结构中光伏仍为核心支柱**</x:v>
      </x:c>
    </x:row>
    <x:row r="279" ht="40" customHeight="1">
      <x:c r="A279" s="12" t="str">
        <x:v>summary 续</x:v>
      </x:c>
      <x:c r="B279" s="12" t="str">
        <x:v>2026年上半年（2026-06-30 分部数据），光伏行业收入124.2亿元，占公司总营收约40.2%；储能行业收入154.6亿元，占约50%（储能已超光伏成为第一大业务）。光伏绝对规模超过120亿元，在行业内体量领先。</x:v>
      </x:c>
    </x:row>
    <x:row r="280" ht="40" customHeight="1">
      <x:c r="A280" s="13" t="str">
        <x:v>summary 续</x:v>
      </x:c>
      <x:c r="B280" s="13" t="str"/>
    </x:row>
    <x:row r="281" ht="40" customHeight="1">
      <x:c r="A281" s="12" t="str">
        <x:v>summary 续</x:v>
      </x:c>
      <x:c r="B281" s="12" t="str">
        <x:v>**2. 光伏逆变器环节的龙头地位**</x:v>
      </x:c>
    </x:row>
    <x:row r="282" ht="40" customHeight="1">
      <x:c r="A282" s="13" t="str">
        <x:v>summary 续</x:v>
      </x:c>
      <x:c r="B282" s="13" t="str">
        <x:v>- 2026H1 逆变器收入123.9亿元，同比-19.2%（主要受国内光伏装机下滑影响）；**发货66GW**，毛利率42.7%、同比+7.0pct，靠海外高毛利业务占比提升对冲量价压力。</x:v>
      </x:c>
    </x:row>
    <x:row r="283" ht="40" customHeight="1">
      <x:c r="A283" s="12" t="str">
        <x:v>summary 续</x:v>
      </x:c>
      <x:c r="B283" s="12" t="str">
        <x:v>- 机构观点（东吴证券）确认公司"**深耕电力电子二十余年，稳坐光储龙头**"，逆变器是其起家核心，具备全球化营销网络（海外20+分支、520+服务网点，销往100多个国家和地区）。</x:v>
      </x:c>
    </x:row>
    <x:row r="284" ht="40" customHeight="1">
      <x:c r="A284" s="13" t="str">
        <x:v>summary 续</x:v>
      </x:c>
      <x:c r="B284" s="13" t="str"/>
    </x:row>
    <x:row r="285" ht="40" customHeight="1">
      <x:c r="A285" s="12" t="str">
        <x:v>summary 续</x:v>
      </x:c>
      <x:c r="B285" s="12" t="str">
        <x:v>**3. 光伏与储能合并形成的综合竞争力**</x:v>
      </x:c>
    </x:row>
    <x:row r="286" ht="40" customHeight="1">
      <x:c r="A286" s="13" t="str">
        <x:v>summary 续</x:v>
      </x:c>
      <x:c r="B286" s="13" t="str">
        <x:v>- 东吴证券指出：公司在全球储能系统集成商中"2023年起市场份额位列全球第二，2025年北美稳居第二、欧洲第一"，并与特斯拉、华为同处**构网型储能第一梯队**。</x:v>
      </x:c>
    </x:row>
    <x:row r="287" ht="40" customHeight="1">
      <x:c r="A287" s="12" t="str">
        <x:v>summary 续</x:v>
      </x:c>
      <x:c r="B287" s="12" t="str">
        <x:v>- 2025年公司营收891.8亿元(+14.6%)、归母净利134.6亿元(+22.0%)，再创历史新高，行业地位与盈利能力领先。</x:v>
      </x:c>
    </x:row>
    <x:row r="288" ht="40" customHeight="1">
      <x:c r="A288" s="13" t="str">
        <x:v>summary 续</x:v>
      </x:c>
      <x:c r="B288" s="13" t="str"/>
    </x:row>
    <x:row r="289" ht="55" customHeight="1">
      <x:c r="A289" s="12" t="str">
        <x:v>summary 续</x:v>
      </x:c>
      <x:c r="B289" s="12" t="str">
        <x:v>**结论性判断：** 就光伏领域而言，阳光电源在**逆变器**环节处于全球第一梯队龙头位置；其更大价值来自"光伏逆变器+储能系统"的电力电子平台整合能力，后者是其在行业竞争加剧背景下维持高毛利和全球化优势的关键。需要说明的是，以上市场份额表述主要来源于机构研报观点，具体市占率数据建议以第三方咨询机构口径为基准。</x:v>
      </x:c>
    </x:row>
    <x:row r="290" ht="40" customHeight="1">
      <x:c r="A290" s="13" t="str">
        <x:v>summary 续</x:v>
      </x:c>
      <x:c r="B290" s="13" t="str"/>
    </x:row>
    <x:row r="291" ht="40" customHeight="1">
      <x:c r="A291" s="12" t="str">
        <x:v>summary 续</x:v>
      </x:c>
      <x:c r="B291" s="12" t="str">
        <x:v>**风险提示（研报披露）：** 光伏国内装机需求下滑、行业竞争加剧、海外贸易政策与汇率波动、AIDC新业务不及预期。</x:v>
      </x:c>
    </x:row>
    <x:row r="292" ht="40" customHeight="1">
      <x:c r="A292" s="13" t="str">
        <x:v>步骤 1</x:v>
      </x:c>
      <x:c r="B292" s="13" t="str">
        <x:v>模型响应；4.639秒；Token 3392</x:v>
      </x:c>
    </x:row>
    <x:row r="293" ht="40" customHeight="1">
      <x:c r="A293" s="12" t="str">
        <x:v>步骤 1</x:v>
      </x:c>
      <x:c r="B293" s="12" t="str">
        <x:v>read_finance_catalog；0.014秒；完成</x:v>
      </x:c>
    </x:row>
    <x:row r="294" ht="40" customHeight="1">
      <x:c r="A294" s="13" t="str">
        <x:v>步骤 1 续</x:v>
      </x:c>
      <x:c r="B294" s="13" t="str">
        <x:v>{"subject":"stock","dataview":"basic_info","operation":"query"}</x:v>
      </x:c>
    </x:row>
    <x:row r="295" ht="40" customHeight="1">
      <x:c r="A295" s="12" t="str">
        <x:v>步骤 1</x:v>
      </x:c>
      <x:c r="B295" s="12" t="str">
        <x:v>read_finance_catalog；0.006秒；拒绝／错误</x:v>
      </x:c>
    </x:row>
    <x:row r="296" ht="40" customHeight="1">
      <x:c r="A296" s="13" t="str">
        <x:v>步骤 1 续</x:v>
      </x:c>
      <x:c r="B296" s="13" t="str">
        <x:v>{"subject":"stock","operation":""}</x:v>
      </x:c>
    </x:row>
    <x:row r="297" ht="40" customHeight="1">
      <x:c r="A297" s="12" t="str">
        <x:v>步骤 2</x:v>
      </x:c>
      <x:c r="B297" s="12" t="str">
        <x:v>模型响应；3.191秒；Token 5113</x:v>
      </x:c>
    </x:row>
    <x:row r="298" ht="40" customHeight="1">
      <x:c r="A298" s="13" t="str">
        <x:v>步骤 2</x:v>
      </x:c>
      <x:c r="B298" s="13" t="str">
        <x:v>resolve_security；0.026秒；完成</x:v>
      </x:c>
    </x:row>
    <x:row r="299" ht="40" customHeight="1">
      <x:c r="A299" s="12" t="str">
        <x:v>步骤 2 续</x:v>
      </x:c>
      <x:c r="B299" s="12" t="str">
        <x:v>{"identifiers":["阳光电源"]}</x:v>
      </x:c>
    </x:row>
    <x:row r="300" ht="40" customHeight="1">
      <x:c r="A300" s="13" t="str">
        <x:v>步骤 2</x:v>
      </x:c>
      <x:c r="B300" s="13" t="str">
        <x:v>finance_query；0.044秒；完成</x:v>
      </x:c>
    </x:row>
    <x:row r="301" ht="40" customHeight="1">
      <x:c r="A301" s="12" t="str">
        <x:v>步骤 2 续</x:v>
      </x:c>
      <x:c r="B301" s="12" t="str">
        <x:v>{"data_request_complete":true,"steps":[{"goal":"获取阳光电源基础身份与行业归属","request":"r1 = stock.basic_info.query(filter = \"name == '阳光电源'\", limit = 1) -&gt; code, name, industry, listed_date"}]}</x:v>
      </x:c>
    </x:row>
    <x:row r="302" ht="40" customHeight="1">
      <x:c r="A302" s="13" t="str">
        <x:v>步骤 3</x:v>
      </x:c>
      <x:c r="B302" s="13" t="str">
        <x:v>模型响应；4.647秒；Token 5929</x:v>
      </x:c>
    </x:row>
    <x:row r="303" ht="40" customHeight="1">
      <x:c r="A303" s="12" t="str">
        <x:v>步骤 3</x:v>
      </x:c>
      <x:c r="B303" s="12" t="str">
        <x:v>read_finance_catalog；0.015秒；完成</x:v>
      </x:c>
    </x:row>
    <x:row r="304" ht="40" customHeight="1">
      <x:c r="A304" s="13" t="str">
        <x:v>步骤 3 续</x:v>
      </x:c>
      <x:c r="B304" s="13" t="str">
        <x:v>{"subject":"stock","dataview":"business_segment","operation":"query"}</x:v>
      </x:c>
    </x:row>
    <x:row r="305" ht="40" customHeight="1">
      <x:c r="A305" s="12" t="str">
        <x:v>步骤 3</x:v>
      </x:c>
      <x:c r="B305" s="12" t="str">
        <x:v>read_finance_catalog；0.017秒；完成</x:v>
      </x:c>
    </x:row>
    <x:row r="306" ht="40" customHeight="1">
      <x:c r="A306" s="13" t="str">
        <x:v>步骤 3 续</x:v>
      </x:c>
      <x:c r="B306" s="13" t="str">
        <x:v>{"subject":"stock","dataview":"report","operation":"query"}</x:v>
      </x:c>
    </x:row>
    <x:row r="307" ht="40" customHeight="1">
      <x:c r="A307" s="12" t="str">
        <x:v>步骤 4</x:v>
      </x:c>
      <x:c r="B307" s="12" t="str">
        <x:v>模型响应；4.038秒；Token 7903</x:v>
      </x:c>
    </x:row>
    <x:row r="308" ht="40" customHeight="1">
      <x:c r="A308" s="13" t="str">
        <x:v>步骤 4</x:v>
      </x:c>
      <x:c r="B308" s="13" t="str">
        <x:v>read_finance_skill；0.008秒；完成</x:v>
      </x:c>
    </x:row>
    <x:row r="309" ht="40" customHeight="1">
      <x:c r="A309" s="12" t="str">
        <x:v>步骤 4 续</x:v>
      </x:c>
      <x:c r="B309" s="12" t="str">
        <x:v>{"skill_ids":["sector-theme-analysis"]}</x:v>
      </x:c>
    </x:row>
    <x:row r="310" ht="40" customHeight="1">
      <x:c r="A310" s="13" t="str">
        <x:v>步骤 4</x:v>
      </x:c>
      <x:c r="B310" s="13" t="str">
        <x:v>finance_query；0.196秒；完成</x:v>
      </x:c>
    </x:row>
    <x:row r="311" ht="100" customHeight="1">
      <x:c r="A311" s="12" t="str">
        <x:v>步骤 4 续</x:v>
      </x:c>
      <x:c r="B311" s="12" t="str">
        <x:v>{"data_request_complete":true,"steps":[{"goal":"查询阳光电源主营业务分部收入数据，了解光伏相关业务占比","request":"r1 = stock.business_segment.query(filter = \"(code == '300274.SZ') and (source == 'salessegment')\", order = \"report_period desc, segment_sales desc\", limit = 30) -&gt; code, name, report_period, segment_type, project_name, segment_sales, segment_profit, gross_profit_margin, pct_segment_sales, inc_segment_sales"},{"goal":"查询阳光电源近期机构研报观点，重点看竞争格局与市场份额描述","request":"r2 = stock.report.query(filter = \"(code == '300274.SZ') and (report_date &gt;= '2025-06-01')\", order = \"report_date desc\", limit = 8) -&gt; code, name, report_date, institution, rating, investment_hi</x:v>
      </x:c>
    </x:row>
    <x:row r="312" ht="40" customHeight="1">
      <x:c r="A312" s="13" t="str">
        <x:v>步骤 4 续</x:v>
      </x:c>
      <x:c r="B312" s="13" t="str">
        <x:v>ghlights, risk_warnings"}]}</x:v>
      </x:c>
    </x:row>
    <x:row r="313" ht="40" customHeight="1">
      <x:c r="A313" s="12" t="str">
        <x:v>步骤 5</x:v>
      </x:c>
      <x:c r="B313" s="12" t="str">
        <x:v>模型响应；12.694秒；Token 13751</x:v>
      </x:c>
    </x:row>
    <x:row r="314" ht="40" customHeight="1">
      <x:c r="A314" s="13" t="str">
        <x:v>实际执行测量</x:v>
      </x:c>
      <x:c r="B314" s="13" t="str">
        <x:v>r1 = stock.basic_info.query(filter = "name == '阳光电源'", limit = 1) -&gt; code, name, industry, listed_date
静态检查 4.512ms；API执行 19.611ms；结果 1行</x:v>
      </x:c>
    </x:row>
    <x:row r="315" ht="70" customHeight="1">
      <x:c r="A315" s="12" t="str">
        <x:v>实际执行测量</x:v>
      </x:c>
      <x:c r="B315" s="12" t="str">
        <x:v>r2 = stock.business_segment.query(filter = "(code == '300274.SZ') and (source == 'salessegment')", order = "report_period desc, segment_sales desc", limit = 30) -&gt; code, name, report_period, segment_type, project_name, segment_sales, segment_profit, gross_profit_margin, pct_segment_sales, inc_segment_sales
静态检查 4.399ms；API执行 24.365ms；结果 30行</x:v>
      </x:c>
    </x:row>
    <x:row r="316" ht="55" customHeight="1">
      <x:c r="A316" s="13" t="str">
        <x:v>实际执行测量</x:v>
      </x:c>
      <x:c r="B316" s="13" t="str">
        <x:v>r3 = stock.report.query(filter = "(code == '300274.SZ') and (report_date &gt;= '2025-06-01')", order = "report_date desc", limit = 8) -&gt; code, name, report_date, institution, rating, investment_highlights, risk_warnings
静态检查 5.198ms；API执行 45.309ms；结果 8行</x:v>
      </x:c>
    </x:row>
    <x:row r="317" ht="40" customHeight="1">
      <x:c r="A317" s="12" t="str">
        <x:v>来源</x:v>
      </x:c>
      <x:c r="B317" s="12" t="str">
        <x:v>server_mcp_v4/RTE020.json；代码 1dfb8ae</x:v>
      </x:c>
    </x:row>
    <x:row r="318" ht="40" customHeight="1">
      <x:c r="A318" s="13" t="str"/>
      <x:c r="B318" s="13" t="str"/>
    </x:row>
    <x:row r="319" ht="32" customHeight="1">
      <x:c r="A319" s="11" t="str">
        <x:v>raw_quote_control</x:v>
      </x:c>
      <x:c r="B319" s="11" t="str">
        <x:v>宁德时代最近一个交易日的收盘价和涨跌幅是多少？</x:v>
      </x:c>
    </x:row>
    <x:row r="320" ht="40" customHeight="1">
      <x:c r="A320" s="13" t="str">
        <x:v>评审</x:v>
      </x:c>
      <x:c r="B320" s="13" t="str">
        <x:v>mode=0、count=1、日期倒序符合最新日K取数，未发生窗口包错读或执行重试。summary如实给出09-07，但本轮测试已在09-08晚间，不能把最新可用日K无条件称为客观最新交易日。新增的涨跌额-2.80未直接出现在查询字段中，可由收盘价与涨跌幅近似推导，但应与原始返回区分。</x:v>
      </x:c>
    </x:row>
    <x:row r="321" ht="40" customHeight="1">
      <x:c r="A321" s="12" t="str">
        <x:v>入口覆盖</x:v>
      </x:c>
      <x:c r="B321" s="12" t="str">
        <x:v>行情入口已覆盖；日K返回的最新日期为09-07（仅评价数据入口与范围，不代表数据有值或答案正确）</x:v>
      </x:c>
    </x:row>
    <x:row r="322" ht="40" customHeight="1">
      <x:c r="A322" s="13" t="str">
        <x:v>方法与性能</x:v>
      </x:c>
      <x:c r="B322" s="13" t="str">
        <x:v>Skill：空集（通用路径）；Turns 3；Token 19,478；请求 6.59秒；模型 6.38秒；API执行累计 0.017秒</x:v>
      </x:c>
    </x:row>
    <x:row r="323" ht="40" customHeight="1">
      <x:c r="A323" s="12" t="str">
        <x:v>执行状态</x:v>
      </x:c>
      <x:c r="B323" s="12" t="str">
        <x:v>HTTP 200；ok=true；传输／响应结构检查：通过；工具拒绝／错误 0 次（区别于提供方执行失败）</x:v>
      </x:c>
    </x:row>
    <x:row r="324" ht="40" customHeight="1">
      <x:c r="A324" s="13" t="str">
        <x:v>r1 · 数据</x:v>
      </x:c>
      <x:c r="B324" s="13" t="str">
        <x:v>获取宁德时代最新交易日的收盘价和涨跌幅
实际 1 行；本次 API 返回 1 行；分页截断 否</x:v>
      </x:c>
    </x:row>
    <x:row r="325" ht="40" customHeight="1">
      <x:c r="A325" s="12" t="str">
        <x:v>1.code</x:v>
      </x:c>
      <x:c r="B325" s="12" t="str">
        <x:v>300750.SZ</x:v>
      </x:c>
    </x:row>
    <x:row r="326" ht="40" customHeight="1">
      <x:c r="A326" s="13" t="str">
        <x:v>1.name</x:v>
      </x:c>
      <x:c r="B326" s="13" t="str">
        <x:v>宁德时代</x:v>
      </x:c>
    </x:row>
    <x:row r="327" ht="40" customHeight="1">
      <x:c r="A327" s="12" t="str">
        <x:v>1.tradedate</x:v>
      </x:c>
      <x:c r="B327" s="12" t="str">
        <x:v>2026-09-07</x:v>
      </x:c>
    </x:row>
    <x:row r="328" ht="40" customHeight="1">
      <x:c r="A328" s="13" t="str">
        <x:v>1.close</x:v>
      </x:c>
      <x:c r="B328" s="13" t="str">
        <x:v>348.2</x:v>
      </x:c>
    </x:row>
    <x:row r="329" ht="40" customHeight="1">
      <x:c r="A329" s="12" t="str">
        <x:v>1.pct</x:v>
      </x:c>
      <x:c r="B329" s="12" t="str">
        <x:v>-0.7977</x:v>
      </x:c>
    </x:row>
    <x:row r="330" ht="40" customHeight="1">
      <x:c r="A330" s="13" t="str">
        <x:v>summary（原文）</x:v>
      </x:c>
      <x:c r="B330" s="13" t="str">
        <x:v>根据最新交易日行情数据，宁德时代（300750.SZ）最近一个交易日（2026-09-07）：</x:v>
      </x:c>
    </x:row>
    <x:row r="331" ht="40" customHeight="1">
      <x:c r="A331" s="12" t="str">
        <x:v>summary 续</x:v>
      </x:c>
      <x:c r="B331" s="12" t="str"/>
    </x:row>
    <x:row r="332" ht="40" customHeight="1">
      <x:c r="A332" s="13" t="str">
        <x:v>summary 续</x:v>
      </x:c>
      <x:c r="B332" s="13" t="str">
        <x:v>- **收盘价：348.20元**</x:v>
      </x:c>
    </x:row>
    <x:row r="333" ht="40" customHeight="1">
      <x:c r="A333" s="12" t="str">
        <x:v>summary 续</x:v>
      </x:c>
      <x:c r="B333" s="12" t="str">
        <x:v>- **涨跌幅：-0.80%**</x:v>
      </x:c>
    </x:row>
    <x:row r="334" ht="40" customHeight="1">
      <x:c r="A334" s="13" t="str">
        <x:v>summary 续</x:v>
      </x:c>
      <x:c r="B334" s="13" t="str"/>
    </x:row>
    <x:row r="335" ht="40" customHeight="1">
      <x:c r="A335" s="12" t="str">
        <x:v>summary 续</x:v>
      </x:c>
      <x:c r="B335" s="12" t="str">
        <x:v>涨跌额为 -2.80元（348.20元 对比前一交易日收盘价的变动幅度）。数据为 2026-09-07 日收盘实际行情。</x:v>
      </x:c>
    </x:row>
    <x:row r="336" ht="40" customHeight="1">
      <x:c r="A336" s="13" t="str">
        <x:v>步骤 1</x:v>
      </x:c>
      <x:c r="B336" s="13" t="str">
        <x:v>模型响应；2.063秒；Token 3262</x:v>
      </x:c>
    </x:row>
    <x:row r="337" ht="40" customHeight="1">
      <x:c r="A337" s="12" t="str">
        <x:v>步骤 1</x:v>
      </x:c>
      <x:c r="B337" s="12" t="str">
        <x:v>read_finance_catalog；0.019秒；完成</x:v>
      </x:c>
    </x:row>
    <x:row r="338" ht="40" customHeight="1">
      <x:c r="A338" s="13" t="str">
        <x:v>步骤 1 续</x:v>
      </x:c>
      <x:c r="B338" s="13" t="str">
        <x:v>{"subject":"stock","dataview":"quote"}</x:v>
      </x:c>
    </x:row>
    <x:row r="339" ht="40" customHeight="1">
      <x:c r="A339" s="12" t="str">
        <x:v>步骤 1</x:v>
      </x:c>
      <x:c r="B339" s="12" t="str">
        <x:v>read_finance_catalog；0.019秒；完成</x:v>
      </x:c>
    </x:row>
    <x:row r="340" ht="40" customHeight="1">
      <x:c r="A340" s="13" t="str">
        <x:v>步骤 1 续</x:v>
      </x:c>
      <x:c r="B340" s="13" t="str">
        <x:v>{"subject":"stock","dataview":"basic_info"}</x:v>
      </x:c>
    </x:row>
    <x:row r="341" ht="40" customHeight="1">
      <x:c r="A341" s="12" t="str">
        <x:v>步骤 2</x:v>
      </x:c>
      <x:c r="B341" s="12" t="str">
        <x:v>模型响应；1.689秒；Token 7857</x:v>
      </x:c>
    </x:row>
    <x:row r="342" ht="40" customHeight="1">
      <x:c r="A342" s="13" t="str">
        <x:v>步骤 2</x:v>
      </x:c>
      <x:c r="B342" s="13" t="str">
        <x:v>finance_query；0.043秒；完成</x:v>
      </x:c>
    </x:row>
    <x:row r="343" ht="40" customHeight="1">
      <x:c r="A343" s="12" t="str">
        <x:v>步骤 2 续</x:v>
      </x:c>
      <x:c r="B343" s="12" t="str">
        <x:v>{"data_request_complete":true,"steps":[{"goal":"获取宁德时代最新交易日的收盘价和涨跌幅","request":"r1 = stock.quote.query(codes = ['300750.SZ'], order = \"tradedate desc\", mode = 0, count = 1) -&gt; code, name, tradedate, close, pct"}]}</x:v>
      </x:c>
    </x:row>
    <x:row r="344" ht="40" customHeight="1">
      <x:c r="A344" s="13" t="str">
        <x:v>步骤 3</x:v>
      </x:c>
      <x:c r="B344" s="13" t="str">
        <x:v>模型响应；2.630秒；Token 8359</x:v>
      </x:c>
    </x:row>
    <x:row r="345" ht="40" customHeight="1">
      <x:c r="A345" s="12" t="str">
        <x:v>实际执行测量</x:v>
      </x:c>
      <x:c r="B345" s="12" t="str">
        <x:v>r1 = stock.quote.query(codes = ['300750.SZ'], order = "tradedate desc", mode = 0, count = 1) -&gt; code, name, tradedate, close, pct
静态检查 7.1ms；API执行 17.454ms；结果 1行</x:v>
      </x:c>
    </x:row>
    <x:row r="346" ht="40" customHeight="1">
      <x:c r="A346" s="13" t="str">
        <x:v>来源</x:v>
      </x:c>
      <x:c r="B346" s="13" t="str">
        <x:v>server_mcp_v4/raw_quote_control.json；代码 1dfb8ae</x:v>
      </x:c>
    </x:row>
    <x:row r="347" ht="40" customHeight="1">
      <x:c r="A347" s="12" t="str"/>
      <x:c r="B347" s="12" t="str"/>
    </x:row>
    <x:row r="348" ht="32" customHeight="1">
      <x:c r="A348" s="11" t="str">
        <x:v>direct_01</x:v>
      </x:c>
      <x:c r="B348" s="11" t="str">
        <x:v>最近 10 个交易日，上证、深证、北证三大市场的总成交额分别是什么走势？帮我按日期列出来。</x:v>
      </x:c>
    </x:row>
    <x:row r="349" ht="55" customHeight="1">
      <x:c r="A349" s="12" t="str">
        <x:v>评审</x:v>
      </x:c>
      <x:c r="B349" s="12" t="str">
        <x:v>index.quote返回上证指数／深证成指／北证50各10日，共30条，语法和执行正常。但代表指数并不自动等于对应交易所全部市场，尤其深证成指与北证50，不能当作原要求完整覆盖。summary虽标题写指数，仍称三大市场且没有清楚限定替代范围，表内最大值与小结也不完全一致。正文开头“数据已完整…可以直接组织回答”是API实际返回的公开文本，原样记录；未把原生reasoning字段加入报告。</x:v>
      </x:c>
    </x:row>
    <x:row r="350" ht="40" customHeight="1">
      <x:c r="A350" s="13" t="str">
        <x:v>入口覆盖</x:v>
      </x:c>
      <x:c r="B350" s="13" t="str">
        <x:v>未满足三市场总成交额口径；返回的是代表指数成交额（仅评价数据入口与范围，不代表数据有值或答案正确）</x:v>
      </x:c>
    </x:row>
    <x:row r="351" ht="40" customHeight="1">
      <x:c r="A351" s="12" t="str">
        <x:v>方法与性能</x:v>
      </x:c>
      <x:c r="B351" s="12" t="str">
        <x:v>Skill：空集（通用路径）；Turns 4；Token 26,099；请求 21.77秒；模型 21.46秒；API执行累计 0.065秒</x:v>
      </x:c>
    </x:row>
    <x:row r="352" ht="40" customHeight="1">
      <x:c r="A352" s="13" t="str">
        <x:v>执行状态</x:v>
      </x:c>
      <x:c r="B352" s="13" t="str">
        <x:v>HTTP 200；ok=true；传输／响应结构检查：通过；工具拒绝／错误 0 次（区别于提供方执行失败）</x:v>
      </x:c>
    </x:row>
    <x:row r="353" ht="40" customHeight="1">
      <x:c r="A353" s="12" t="str">
        <x:v>r1 · 数据</x:v>
      </x:c>
      <x:c r="B353" s="12" t="str">
        <x:v>获取上证指数最近10个交易日的每日成交额
实际 10 行；本次 API 返回 2 行；分页截断 是</x:v>
      </x:c>
    </x:row>
    <x:row r="354" ht="40" customHeight="1">
      <x:c r="A354" s="13" t="str">
        <x:v>1.code</x:v>
      </x:c>
      <x:c r="B354" s="13" t="str">
        <x:v>000001.SH</x:v>
      </x:c>
    </x:row>
    <x:row r="355" ht="40" customHeight="1">
      <x:c r="A355" s="12" t="str">
        <x:v>1.name</x:v>
      </x:c>
      <x:c r="B355" s="12" t="str">
        <x:v>上证指数</x:v>
      </x:c>
    </x:row>
    <x:row r="356" ht="40" customHeight="1">
      <x:c r="A356" s="13" t="str">
        <x:v>1.tradedate</x:v>
      </x:c>
      <x:c r="B356" s="13" t="str">
        <x:v>2026-09-08</x:v>
      </x:c>
    </x:row>
    <x:row r="357" ht="40" customHeight="1">
      <x:c r="A357" s="12" t="str">
        <x:v>1.close</x:v>
      </x:c>
      <x:c r="B357" s="12" t="str">
        <x:v>3940.5509</x:v>
      </x:c>
    </x:row>
    <x:row r="358" ht="40" customHeight="1">
      <x:c r="A358" s="13" t="str">
        <x:v>1.pct</x:v>
      </x:c>
      <x:c r="B358" s="13" t="str">
        <x:v>0.1997</x:v>
      </x:c>
    </x:row>
    <x:row r="359" ht="40" customHeight="1">
      <x:c r="A359" s="12" t="str">
        <x:v>1.amount</x:v>
      </x:c>
      <x:c r="B359" s="12" t="str">
        <x:v>915566238948.8</x:v>
      </x:c>
    </x:row>
    <x:row r="360" ht="40" customHeight="1">
      <x:c r="A360" s="13" t="str">
        <x:v>2.code</x:v>
      </x:c>
      <x:c r="B360" s="13" t="str">
        <x:v>000001.SH</x:v>
      </x:c>
    </x:row>
    <x:row r="361" ht="40" customHeight="1">
      <x:c r="A361" s="12" t="str">
        <x:v>2.name</x:v>
      </x:c>
      <x:c r="B361" s="12" t="str">
        <x:v>上证指数</x:v>
      </x:c>
    </x:row>
    <x:row r="362" ht="40" customHeight="1">
      <x:c r="A362" s="13" t="str">
        <x:v>2.tradedate</x:v>
      </x:c>
      <x:c r="B362" s="13" t="str">
        <x:v>2026-09-07</x:v>
      </x:c>
    </x:row>
    <x:row r="363" ht="40" customHeight="1">
      <x:c r="A363" s="12" t="str">
        <x:v>2.close</x:v>
      </x:c>
      <x:c r="B363" s="12" t="str">
        <x:v>3932.6992</x:v>
      </x:c>
    </x:row>
    <x:row r="364" ht="40" customHeight="1">
      <x:c r="A364" s="13" t="str">
        <x:v>2.pct</x:v>
      </x:c>
      <x:c r="B364" s="13" t="str">
        <x:v>0.0657</x:v>
      </x:c>
    </x:row>
    <x:row r="365" ht="40" customHeight="1">
      <x:c r="A365" s="12" t="str">
        <x:v>2.amount</x:v>
      </x:c>
      <x:c r="B365" s="12" t="str">
        <x:v>897904014869</x:v>
      </x:c>
    </x:row>
    <x:row r="366" ht="40" customHeight="1">
      <x:c r="A366" s="13" t="str">
        <x:v>r2 · 数据</x:v>
      </x:c>
      <x:c r="B366" s="13" t="str">
        <x:v>获取深证成指最近10个交易日的每日成交额
实际 10 行；本次 API 返回 2 行；分页截断 是</x:v>
      </x:c>
    </x:row>
    <x:row r="367" ht="40" customHeight="1">
      <x:c r="A367" s="12" t="str">
        <x:v>1.code</x:v>
      </x:c>
      <x:c r="B367" s="12" t="str">
        <x:v>399001.SZ</x:v>
      </x:c>
    </x:row>
    <x:row r="368" ht="40" customHeight="1">
      <x:c r="A368" s="13" t="str">
        <x:v>1.name</x:v>
      </x:c>
      <x:c r="B368" s="13" t="str">
        <x:v>深证成指</x:v>
      </x:c>
    </x:row>
    <x:row r="369" ht="40" customHeight="1">
      <x:c r="A369" s="12" t="str">
        <x:v>1.tradedate</x:v>
      </x:c>
      <x:c r="B369" s="12" t="str">
        <x:v>2026-09-08</x:v>
      </x:c>
    </x:row>
    <x:row r="370" ht="40" customHeight="1">
      <x:c r="A370" s="13" t="str">
        <x:v>1.close</x:v>
      </x:c>
      <x:c r="B370" s="13" t="str">
        <x:v>13703.2081</x:v>
      </x:c>
    </x:row>
    <x:row r="371" ht="40" customHeight="1">
      <x:c r="A371" s="12" t="str">
        <x:v>1.pct</x:v>
      </x:c>
      <x:c r="B371" s="12" t="str">
        <x:v>-0.5206</x:v>
      </x:c>
    </x:row>
    <x:row r="372" ht="40" customHeight="1">
      <x:c r="A372" s="13" t="str">
        <x:v>1.amount</x:v>
      </x:c>
      <x:c r="B372" s="13" t="str">
        <x:v>530304210346.89</x:v>
      </x:c>
    </x:row>
    <x:row r="373" ht="40" customHeight="1">
      <x:c r="A373" s="12" t="str">
        <x:v>2.code</x:v>
      </x:c>
      <x:c r="B373" s="12" t="str">
        <x:v>399001.SZ</x:v>
      </x:c>
    </x:row>
    <x:row r="374" ht="40" customHeight="1">
      <x:c r="A374" s="13" t="str">
        <x:v>2.name</x:v>
      </x:c>
      <x:c r="B374" s="13" t="str">
        <x:v>深证成指</x:v>
      </x:c>
    </x:row>
    <x:row r="375" ht="40" customHeight="1">
      <x:c r="A375" s="12" t="str">
        <x:v>2.tradedate</x:v>
      </x:c>
      <x:c r="B375" s="12" t="str">
        <x:v>2026-09-07</x:v>
      </x:c>
    </x:row>
    <x:row r="376" ht="40" customHeight="1">
      <x:c r="A376" s="13" t="str">
        <x:v>2.close</x:v>
      </x:c>
      <x:c r="B376" s="13" t="str">
        <x:v>13774.9146</x:v>
      </x:c>
    </x:row>
    <x:row r="377" ht="40" customHeight="1">
      <x:c r="A377" s="12" t="str">
        <x:v>2.pct</x:v>
      </x:c>
      <x:c r="B377" s="12" t="str">
        <x:v>1.9083</x:v>
      </x:c>
    </x:row>
    <x:row r="378" ht="40" customHeight="1">
      <x:c r="A378" s="13" t="str">
        <x:v>2.amount</x:v>
      </x:c>
      <x:c r="B378" s="13" t="str">
        <x:v>566853327530.6</x:v>
      </x:c>
    </x:row>
    <x:row r="379" ht="40" customHeight="1">
      <x:c r="A379" s="12" t="str">
        <x:v>r3 · 数据</x:v>
      </x:c>
      <x:c r="B379" s="12" t="str">
        <x:v>获取北证50最近10个交易日的每日成交额
实际 10 行；本次 API 返回 2 行；分页截断 是</x:v>
      </x:c>
    </x:row>
    <x:row r="380" ht="40" customHeight="1">
      <x:c r="A380" s="13" t="str">
        <x:v>1.code</x:v>
      </x:c>
      <x:c r="B380" s="13" t="str">
        <x:v>899050.BJ</x:v>
      </x:c>
    </x:row>
    <x:row r="381" ht="40" customHeight="1">
      <x:c r="A381" s="12" t="str">
        <x:v>1.name</x:v>
      </x:c>
      <x:c r="B381" s="12" t="str">
        <x:v>北证50</x:v>
      </x:c>
    </x:row>
    <x:row r="382" ht="40" customHeight="1">
      <x:c r="A382" s="13" t="str">
        <x:v>1.tradedate</x:v>
      </x:c>
      <x:c r="B382" s="13" t="str">
        <x:v>2026-09-08</x:v>
      </x:c>
    </x:row>
    <x:row r="383" ht="40" customHeight="1">
      <x:c r="A383" s="12" t="str">
        <x:v>1.close</x:v>
      </x:c>
      <x:c r="B383" s="12" t="str">
        <x:v>1086.254</x:v>
      </x:c>
    </x:row>
    <x:row r="384" ht="40" customHeight="1">
      <x:c r="A384" s="13" t="str">
        <x:v>1.pct</x:v>
      </x:c>
      <x:c r="B384" s="13" t="str">
        <x:v>-0.9656</x:v>
      </x:c>
    </x:row>
    <x:row r="385" ht="40" customHeight="1">
      <x:c r="A385" s="12" t="str">
        <x:v>1.amount</x:v>
      </x:c>
      <x:c r="B385" s="12" t="str">
        <x:v>18072906308</x:v>
      </x:c>
    </x:row>
    <x:row r="386" ht="40" customHeight="1">
      <x:c r="A386" s="13" t="str">
        <x:v>2.code</x:v>
      </x:c>
      <x:c r="B386" s="13" t="str">
        <x:v>899050.BJ</x:v>
      </x:c>
    </x:row>
    <x:row r="387" ht="40" customHeight="1">
      <x:c r="A387" s="12" t="str">
        <x:v>2.name</x:v>
      </x:c>
      <x:c r="B387" s="12" t="str">
        <x:v>北证50</x:v>
      </x:c>
    </x:row>
    <x:row r="388" ht="40" customHeight="1">
      <x:c r="A388" s="13" t="str">
        <x:v>2.tradedate</x:v>
      </x:c>
      <x:c r="B388" s="13" t="str">
        <x:v>2026-09-07</x:v>
      </x:c>
    </x:row>
    <x:row r="389" ht="40" customHeight="1">
      <x:c r="A389" s="12" t="str">
        <x:v>2.close</x:v>
      </x:c>
      <x:c r="B389" s="12" t="str">
        <x:v>1096.8455</x:v>
      </x:c>
    </x:row>
    <x:row r="390" ht="40" customHeight="1">
      <x:c r="A390" s="13" t="str">
        <x:v>2.pct</x:v>
      </x:c>
      <x:c r="B390" s="13" t="str">
        <x:v>0.8464</x:v>
      </x:c>
    </x:row>
    <x:row r="391" ht="40" customHeight="1">
      <x:c r="A391" s="12" t="str">
        <x:v>2.amount</x:v>
      </x:c>
      <x:c r="B391" s="12" t="str">
        <x:v>18416855308</x:v>
      </x:c>
    </x:row>
    <x:row r="392" ht="40" customHeight="1">
      <x:c r="A392" s="13" t="str">
        <x:v>summary（原文）</x:v>
      </x:c>
      <x:c r="B392" s="13" t="str">
        <x:v>三大指数的最近10个交易日成交额已全部取到。用户选择"快速回答"模式，我直接按日期列表呈现三大市场成交额走势。</x:v>
      </x:c>
    </x:row>
    <x:row r="393" ht="40" customHeight="1">
      <x:c r="A393" s="12" t="str">
        <x:v>summary 续</x:v>
      </x:c>
      <x:c r="B393" s="12" t="str"/>
    </x:row>
    <x:row r="394" ht="40" customHeight="1">
      <x:c r="A394" s="13" t="str">
        <x:v>summary 续</x:v>
      </x:c>
      <x:c r="B394" s="13" t="str">
        <x:v>数据已完整（sample_complete=true，各10行），可以直接组织回答。成交额单位换算为亿元更清晰。</x:v>
      </x:c>
    </x:row>
    <x:row r="395" ht="40" customHeight="1">
      <x:c r="A395" s="12" t="str">
        <x:v>summary 续</x:v>
      </x:c>
      <x:c r="B395" s="12" t="str"/>
    </x:row>
    <x:row r="396" ht="40" customHeight="1">
      <x:c r="A396" s="13" t="str">
        <x:v>summary 续</x:v>
      </x:c>
      <x:c r="B396" s="13" t="str">
        <x:v>**上证指数 (000001.SH) / 深证成指 (399001.SZ) / 北证50 (899050.BJ) 最近10个交易日成交额**</x:v>
      </x:c>
    </x:row>
    <x:row r="397" ht="40" customHeight="1">
      <x:c r="A397" s="12" t="str">
        <x:v>summary 续</x:v>
      </x:c>
      <x:c r="B397" s="12" t="str"/>
    </x:row>
    <x:row r="398" ht="40" customHeight="1">
      <x:c r="A398" s="13" t="str">
        <x:v>summary 续</x:v>
      </x:c>
      <x:c r="B398" s="13" t="str">
        <x:v>金额单位：亿元</x:v>
      </x:c>
    </x:row>
    <x:row r="399" ht="40" customHeight="1">
      <x:c r="A399" s="12" t="str">
        <x:v>summary 续</x:v>
      </x:c>
      <x:c r="B399" s="12" t="str"/>
    </x:row>
    <x:row r="400" ht="40" customHeight="1">
      <x:c r="A400" s="13" t="str">
        <x:v>summary 续</x:v>
      </x:c>
      <x:c r="B400" s="13" t="str">
        <x:v>| 交易日 | 上证指数 | 深证成指 | 北证50 |</x:v>
      </x:c>
    </x:row>
    <x:row r="401" ht="40" customHeight="1">
      <x:c r="A401" s="12" t="str">
        <x:v>summary 续</x:v>
      </x:c>
      <x:c r="B401" s="12" t="str">
        <x:v>|---|---|---|---|</x:v>
      </x:c>
    </x:row>
    <x:row r="402" ht="40" customHeight="1">
      <x:c r="A402" s="13" t="str">
        <x:v>summary 续</x:v>
      </x:c>
      <x:c r="B402" s="13" t="str">
        <x:v>| 2026-08-26 | 8,572 | 4,972 | 134 |</x:v>
      </x:c>
    </x:row>
    <x:row r="403" ht="40" customHeight="1">
      <x:c r="A403" s="12" t="str">
        <x:v>summary 续</x:v>
      </x:c>
      <x:c r="B403" s="12" t="str">
        <x:v>| 2026-08-27 | 10,102 | 6,060 | 153 |</x:v>
      </x:c>
    </x:row>
    <x:row r="404" ht="40" customHeight="1">
      <x:c r="A404" s="13" t="str">
        <x:v>summary 续</x:v>
      </x:c>
      <x:c r="B404" s="13" t="str">
        <x:v>| 2026-08-28 | 9,704 | 6,114 | 163 |</x:v>
      </x:c>
    </x:row>
    <x:row r="405" ht="40" customHeight="1">
      <x:c r="A405" s="12" t="str">
        <x:v>summary 续</x:v>
      </x:c>
      <x:c r="B405" s="12" t="str">
        <x:v>| 2026-08-31 | 10,143 | 5,982 | 148 |</x:v>
      </x:c>
    </x:row>
    <x:row r="406" ht="40" customHeight="1">
      <x:c r="A406" s="13" t="str">
        <x:v>summary 续</x:v>
      </x:c>
      <x:c r="B406" s="13" t="str">
        <x:v>| 2026-09-01 | 9,443 | 5,744 | 190 |</x:v>
      </x:c>
    </x:row>
    <x:row r="407" ht="40" customHeight="1">
      <x:c r="A407" s="12" t="str">
        <x:v>summary 续</x:v>
      </x:c>
      <x:c r="B407" s="12" t="str">
        <x:v>| 2026-09-02 | 8,354 | 4,865 | 294 |</x:v>
      </x:c>
    </x:row>
    <x:row r="408" ht="40" customHeight="1">
      <x:c r="A408" s="13" t="str">
        <x:v>summary 续</x:v>
      </x:c>
      <x:c r="B408" s="13" t="str">
        <x:v>| 2026-09-03 | 8,199 | 4,554 | 215 |</x:v>
      </x:c>
    </x:row>
    <x:row r="409" ht="40" customHeight="1">
      <x:c r="A409" s="12" t="str">
        <x:v>summary 续</x:v>
      </x:c>
      <x:c r="B409" s="12" t="str">
        <x:v>| 2026-09-04 | 9,383 | 5,513 | 206 |</x:v>
      </x:c>
    </x:row>
    <x:row r="410" ht="40" customHeight="1">
      <x:c r="A410" s="13" t="str">
        <x:v>summary 续</x:v>
      </x:c>
      <x:c r="B410" s="13" t="str">
        <x:v>| 2026-09-07 | 8,979 | 5,669 | 184 |</x:v>
      </x:c>
    </x:row>
    <x:row r="411" ht="40" customHeight="1">
      <x:c r="A411" s="12" t="str">
        <x:v>summary 续</x:v>
      </x:c>
      <x:c r="B411" s="12" t="str">
        <x:v>| 2026-09-08 | 9,156 | 5,303 | 181 |</x:v>
      </x:c>
    </x:row>
    <x:row r="412" ht="40" customHeight="1">
      <x:c r="A412" s="13" t="str">
        <x:v>summary 续</x:v>
      </x:c>
      <x:c r="B412" s="13" t="str"/>
    </x:row>
    <x:row r="413" ht="40" customHeight="1">
      <x:c r="A413" s="12" t="str">
        <x:v>summary 续</x:v>
      </x:c>
      <x:c r="B413" s="12" t="str">
        <x:v>**走势小结：**</x:v>
      </x:c>
    </x:row>
    <x:row r="414" ht="40" customHeight="1">
      <x:c r="A414" s="13" t="str">
        <x:v>summary 续</x:v>
      </x:c>
      <x:c r="B414" s="13" t="str"/>
    </x:row>
    <x:row r="415" ht="40" customHeight="1">
      <x:c r="A415" s="12" t="str">
        <x:v>summary 续</x:v>
      </x:c>
      <x:c r="B415" s="12" t="str">
        <x:v>- **上证指数**：成交额在 8,199亿~10,193亿 区间震荡。8月27日~31日放量（万亿上方），随后（9月2日、3日）回落至 8,200亿左右，9月4日后有所回升，9月8日为 9,156亿元。整体呈"先放量、后回落、再企稳"的走势。</x:v>
      </x:c>
    </x:row>
    <x:row r="416" ht="40" customHeight="1">
      <x:c r="A416" s="13" t="str">
        <x:v>summary 续</x:v>
      </x:c>
      <x:c r="B416" s="13" t="str">
        <x:v>- **深证成指**：量能与上证同步，8月26~28日在 5,000~6,100亿，9月2日、3日回落至 4,500~4,900亿的低点后企稳，9月7日回升至 5,669亿，9月8日小幅回落至 5,303亿。</x:v>
      </x:c>
    </x:row>
    <x:row r="417" ht="40" customHeight="1">
      <x:c r="A417" s="12" t="str">
        <x:v>summary 续</x:v>
      </x:c>
      <x:c r="B417" s="12" t="str">
        <x:v>- **北证50**：绝对规模小（130亿~294亿），但波动最剧烈。9月2日放量至 294亿（10日最高），当日涨幅 +2.50%，其后缩量回落至 180亿左右。8月26日为10日最低的 134亿。</x:v>
      </x:c>
    </x:row>
    <x:row r="418" ht="40" customHeight="1">
      <x:c r="A418" s="13" t="str">
        <x:v>summary 续</x:v>
      </x:c>
      <x:c r="B418" s="13" t="str"/>
    </x:row>
    <x:row r="419" ht="40" customHeight="1">
      <x:c r="A419" s="12" t="str">
        <x:v>summary 续</x:v>
      </x:c>
      <x:c r="B419" s="12" t="str">
        <x:v>三大市场量能节奏基本同步：8月末放量，9月初（2日、3日）缩量调整，随后企稳；北证波动弹性最大。数据来源为指数日行情（截至 2026-09-08）。</x:v>
      </x:c>
    </x:row>
    <x:row r="420" ht="40" customHeight="1">
      <x:c r="A420" s="13" t="str">
        <x:v>步骤 1</x:v>
      </x:c>
      <x:c r="B420" s="13" t="str">
        <x:v>模型响应；5.363秒；Token 3526</x:v>
      </x:c>
    </x:row>
    <x:row r="421" ht="40" customHeight="1">
      <x:c r="A421" s="12" t="str">
        <x:v>步骤 1</x:v>
      </x:c>
      <x:c r="B421" s="12" t="str">
        <x:v>read_finance_catalog；0.011秒；完成</x:v>
      </x:c>
    </x:row>
    <x:row r="422" ht="40" customHeight="1">
      <x:c r="A422" s="13" t="str">
        <x:v>步骤 1 续</x:v>
      </x:c>
      <x:c r="B422" s="13" t="str">
        <x:v>{"subject":"index","dataview":"quote"}</x:v>
      </x:c>
    </x:row>
    <x:row r="423" ht="40" customHeight="1">
      <x:c r="A423" s="12" t="str">
        <x:v>步骤 1</x:v>
      </x:c>
      <x:c r="B423" s="12" t="str">
        <x:v>read_finance_catalog；0.014秒；完成</x:v>
      </x:c>
    </x:row>
    <x:row r="424" ht="40" customHeight="1">
      <x:c r="A424" s="13" t="str">
        <x:v>步骤 1 续</x:v>
      </x:c>
      <x:c r="B424" s="13" t="str">
        <x:v>{"subject":"index","dataview":"basic_info"}</x:v>
      </x:c>
    </x:row>
    <x:row r="425" ht="40" customHeight="1">
      <x:c r="A425" s="12" t="str">
        <x:v>步骤 2</x:v>
      </x:c>
      <x:c r="B425" s="12" t="str">
        <x:v>模型响应；2.528秒；Token 5825</x:v>
      </x:c>
    </x:row>
    <x:row r="426" ht="40" customHeight="1">
      <x:c r="A426" s="13" t="str">
        <x:v>步骤 2</x:v>
      </x:c>
      <x:c r="B426" s="13" t="str">
        <x:v>resolve_security；0.037秒；完成</x:v>
      </x:c>
    </x:row>
    <x:row r="427" ht="40" customHeight="1">
      <x:c r="A427" s="12" t="str">
        <x:v>步骤 2 续</x:v>
      </x:c>
      <x:c r="B427" s="12" t="str">
        <x:v>{"identifiers":["上证指数","深证成指","北证50"]}</x:v>
      </x:c>
    </x:row>
    <x:row r="428" ht="40" customHeight="1">
      <x:c r="A428" s="13" t="str">
        <x:v>步骤 3</x:v>
      </x:c>
      <x:c r="B428" s="13" t="str">
        <x:v>模型响应；6.755秒；Token 6825</x:v>
      </x:c>
    </x:row>
    <x:row r="429" ht="40" customHeight="1">
      <x:c r="A429" s="12" t="str">
        <x:v>步骤 3</x:v>
      </x:c>
      <x:c r="B429" s="12" t="str">
        <x:v>finance_query；0.109秒；完成</x:v>
      </x:c>
    </x:row>
    <x:row r="430" ht="85" customHeight="1">
      <x:c r="A430" s="13" t="str">
        <x:v>步骤 3 续</x:v>
      </x:c>
      <x:c r="B430" s="13" t="str">
        <x:v>{"steps":[{"goal":"获取上证指数最近10个交易日的每日成交额","request":"r1 = index.quote.query(filter = \"code == '000001.SH'\", order = \"tradedate desc\", limit = 10) -&gt; code, name, tradedate, close, pct, amount"},{"goal":"获取深证成指最近10个交易日的每日成交额","request":"r2 = index.quote.query(filter = \"code == '399001.SZ'\", order = \"tradedate desc\", limit = 10) -&gt; code, name, tradedate, close, pct, amount"},{"goal":"获取北证50最近10个交易日的每日成交额","request":"r3 = index.quote.query(filter = \"code == '899050.BJ'\", order = \"tradedate desc\", limit = 10) -&gt; code, name, tradedate, close, pct, amount"}]}</x:v>
      </x:c>
    </x:row>
    <x:row r="431" ht="40" customHeight="1">
      <x:c r="A431" s="12" t="str">
        <x:v>步骤 4</x:v>
      </x:c>
      <x:c r="B431" s="12" t="str">
        <x:v>模型响应；6.812秒；Token 9923</x:v>
      </x:c>
    </x:row>
    <x:row r="432" ht="55" customHeight="1">
      <x:c r="A432" s="13" t="str">
        <x:v>实际执行测量</x:v>
      </x:c>
      <x:c r="B432" s="13" t="str">
        <x:v>r1 = index.quote.query(filter = "code == '000001.SH'", order = "tradedate desc", limit = 10) -&gt; code, name, tradedate, close, pct, amount
静态检查 4.053ms；API执行 21.799ms；结果 10行</x:v>
      </x:c>
    </x:row>
    <x:row r="433" ht="55" customHeight="1">
      <x:c r="A433" s="12" t="str">
        <x:v>实际执行测量</x:v>
      </x:c>
      <x:c r="B433" s="12" t="str">
        <x:v>r2 = index.quote.query(filter = "code == '399001.SZ'", order = "tradedate desc", limit = 10) -&gt; code, name, tradedate, close, pct, amount
静态检查 4.048ms；API执行 22.772ms；结果 10行</x:v>
      </x:c>
    </x:row>
    <x:row r="434" ht="55" customHeight="1">
      <x:c r="A434" s="13" t="str">
        <x:v>实际执行测量</x:v>
      </x:c>
      <x:c r="B434" s="13" t="str">
        <x:v>r3 = index.quote.query(filter = "code == '899050.BJ'", order = "tradedate desc", limit = 10) -&gt; code, name, tradedate, close, pct, amount
静态检查 4.231ms；API执行 20.206ms；结果 10行</x:v>
      </x:c>
    </x:row>
    <x:row r="435" ht="40" customHeight="1">
      <x:c r="A435" s="12" t="str">
        <x:v>来源</x:v>
      </x:c>
      <x:c r="B435" s="12" t="str">
        <x:v>server_mcp_v4/direct_01.json；代码 1dfb8ae</x:v>
      </x:c>
    </x:row>
    <x:row r="436" ht="40" customHeight="1">
      <x:c r="A436" s="13" t="str"/>
      <x:c r="B436" s="13" t="str"/>
    </x:row>
    <x:row r="437" ht="32" customHeight="1">
      <x:c r="A437" s="11" t="str">
        <x:v>direct_03</x:v>
      </x:c>
      <x:c r="B437" s="11" t="str">
        <x:v>现在全市场上涨家数和下跌家数分别是多少？涨停和跌停家数也一起给我。</x:v>
      </x:c>
    </x:row>
    <x:row r="438" ht="40" customHeight="1">
      <x:c r="A438" s="13" t="str">
        <x:v>评审</x:v>
      </x:c>
      <x:c r="B438" s="13" t="str">
        <x:v>上涨3417、下跌2026、涨停75、跌停1均与聚合返回一致。没有再先拉5569条快照，较第一轮减少一次冗余查询；4次实时聚合API累计约9.50秒，是否复用快照可后续单独测量。summary的沪深市场范围没有在本题filter中明确限定，市场偏强等是额外分析，不算本轮已验证的数据事实。</x:v>
      </x:c>
    </x:row>
    <x:row r="439" ht="40" customHeight="1">
      <x:c r="A439" s="12" t="str">
        <x:v>入口覆盖</x:v>
      </x:c>
      <x:c r="B439" s="12" t="str">
        <x:v>四个实时计数入口均覆盖（仅评价数据入口与范围，不代表数据有值或答案正确）</x:v>
      </x:c>
    </x:row>
    <x:row r="440" ht="40" customHeight="1">
      <x:c r="A440" s="13" t="str">
        <x:v>方法与性能</x:v>
      </x:c>
      <x:c r="B440" s="13" t="str">
        <x:v>Skill：市场分析；Turns 3；Token 21,906；请求 20.64秒；模型 10.84秒；API执行累计 9.501秒</x:v>
      </x:c>
    </x:row>
    <x:row r="441" ht="40" customHeight="1">
      <x:c r="A441" s="12" t="str">
        <x:v>执行状态</x:v>
      </x:c>
      <x:c r="B441" s="12" t="str">
        <x:v>HTTP 200；ok=true；传输／响应结构检查：通过；工具拒绝／错误 0 次（区别于提供方执行失败）</x:v>
      </x:c>
    </x:row>
    <x:row r="442" ht="40" customHeight="1">
      <x:c r="A442" s="13" t="str">
        <x:v>r1 · 数据</x:v>
      </x:c>
      <x:c r="B442" s="13" t="str">
        <x:v>统计上涨家数（pct&gt;0）
实际 1 行；本次 API 返回 1 行；分页截断 否</x:v>
      </x:c>
    </x:row>
    <x:row r="443" ht="40" customHeight="1">
      <x:c r="A443" s="12" t="str">
        <x:v>1.up_count</x:v>
      </x:c>
      <x:c r="B443" s="12" t="str">
        <x:v>3417</x:v>
      </x:c>
    </x:row>
    <x:row r="444" ht="40" customHeight="1">
      <x:c r="A444" s="13" t="str">
        <x:v>r2 · 数据</x:v>
      </x:c>
      <x:c r="B444" s="13" t="str">
        <x:v>统计下跌家数（pct&lt;0）
实际 1 行；本次 API 返回 1 行；分页截断 否</x:v>
      </x:c>
    </x:row>
    <x:row r="445" ht="40" customHeight="1">
      <x:c r="A445" s="12" t="str">
        <x:v>1.down_count</x:v>
      </x:c>
      <x:c r="B445" s="12" t="str">
        <x:v>2026</x:v>
      </x:c>
    </x:row>
    <x:row r="446" ht="40" customHeight="1">
      <x:c r="A446" s="13" t="str">
        <x:v>r3 · 数据</x:v>
      </x:c>
      <x:c r="B446" s="13" t="str">
        <x:v>统计涨停家数（is_limit_price=1）
实际 1 行；本次 API 返回 1 行；分页截断 否</x:v>
      </x:c>
    </x:row>
    <x:row r="447" ht="40" customHeight="1">
      <x:c r="A447" s="12" t="str">
        <x:v>1.limit_up_count</x:v>
      </x:c>
      <x:c r="B447" s="12" t="str">
        <x:v>75</x:v>
      </x:c>
    </x:row>
    <x:row r="448" ht="40" customHeight="1">
      <x:c r="A448" s="13" t="str">
        <x:v>r4 · 数据</x:v>
      </x:c>
      <x:c r="B448" s="13" t="str">
        <x:v>统计跌停家数（is_limit_price=2）
实际 1 行；本次 API 返回 1 行；分页截断 否</x:v>
      </x:c>
    </x:row>
    <x:row r="449" ht="40" customHeight="1">
      <x:c r="A449" s="12" t="str">
        <x:v>1.limit_down_count</x:v>
      </x:c>
      <x:c r="B449" s="12" t="str">
        <x:v>1</x:v>
      </x:c>
    </x:row>
    <x:row r="450" ht="40" customHeight="1">
      <x:c r="A450" s="13" t="str">
        <x:v>summary（原文）</x:v>
      </x:c>
      <x:c r="B450" s="13" t="str">
        <x:v>全市场个股实时快照统计如下（数据时点：截至系统日期的当日实时快照，mode=2）：</x:v>
      </x:c>
    </x:row>
    <x:row r="451" ht="40" customHeight="1">
      <x:c r="A451" s="12" t="str">
        <x:v>summary 续</x:v>
      </x:c>
      <x:c r="B451" s="12" t="str"/>
    </x:row>
    <x:row r="452" ht="40" customHeight="1">
      <x:c r="A452" s="13" t="str">
        <x:v>summary 续</x:v>
      </x:c>
      <x:c r="B452" s="13" t="str">
        <x:v>- **上涨家数**：3,417 家（涨幅 &gt;0）</x:v>
      </x:c>
    </x:row>
    <x:row r="453" ht="40" customHeight="1">
      <x:c r="A453" s="12" t="str">
        <x:v>summary 续</x:v>
      </x:c>
      <x:c r="B453" s="12" t="str">
        <x:v>- **下跌家数**：2,026 家（跌幅 &lt;0）</x:v>
      </x:c>
    </x:row>
    <x:row r="454" ht="40" customHeight="1">
      <x:c r="A454" s="13" t="str">
        <x:v>summary 续</x:v>
      </x:c>
      <x:c r="B454" s="13" t="str">
        <x:v>- **涨停家数**：75 家</x:v>
      </x:c>
    </x:row>
    <x:row r="455" ht="40" customHeight="1">
      <x:c r="A455" s="12" t="str">
        <x:v>summary 续</x:v>
      </x:c>
      <x:c r="B455" s="12" t="str">
        <x:v>- **跌停家数**：1 家</x:v>
      </x:c>
    </x:row>
    <x:row r="456" ht="40" customHeight="1">
      <x:c r="A456" s="13" t="str">
        <x:v>summary 续</x:v>
      </x:c>
      <x:c r="B456" s="13" t="str"/>
    </x:row>
    <x:row r="457" ht="40" customHeight="1">
      <x:c r="A457" s="12" t="str">
        <x:v>summary 续</x:v>
      </x:c>
      <x:c r="B457" s="12" t="str">
        <x:v>**市场宽度解读**：上涨家数明显多于下跌家数（约 3417:2026），涨跌家数比约 1.69:1，市场整体偏强；涨停 75 家 vs 跌停仅 1 家，赚钱效应占优，风险偏好处于偏积极状态。</x:v>
      </x:c>
    </x:row>
    <x:row r="458" ht="40" customHeight="1">
      <x:c r="A458" s="13" t="str">
        <x:v>summary 续</x:v>
      </x:c>
      <x:c r="B458" s="13" t="str"/>
    </x:row>
    <x:row r="459" ht="40" customHeight="1">
      <x:c r="A459" s="12" t="str">
        <x:v>summary 续</x:v>
      </x:c>
      <x:c r="B459" s="12" t="str">
        <x:v>注：以上为全市场（含沪深两市全部 A 股口径，不含平盘股票）的当日实时快照统计；涨停/跌停以 `is_limit_price` 状态字段标记（1=涨停、2=跌停）。平盘家数未单独统计。</x:v>
      </x:c>
    </x:row>
    <x:row r="460" ht="40" customHeight="1">
      <x:c r="A460" s="13" t="str">
        <x:v>步骤 1</x:v>
      </x:c>
      <x:c r="B460" s="13" t="str">
        <x:v>模型响应；3.647秒；Token 3389</x:v>
      </x:c>
    </x:row>
    <x:row r="461" ht="40" customHeight="1">
      <x:c r="A461" s="12" t="str">
        <x:v>步骤 1</x:v>
      </x:c>
      <x:c r="B461" s="12" t="str">
        <x:v>read_finance_catalog；0.022秒；完成</x:v>
      </x:c>
    </x:row>
    <x:row r="462" ht="40" customHeight="1">
      <x:c r="A462" s="13" t="str">
        <x:v>步骤 1 续</x:v>
      </x:c>
      <x:c r="B462" s="13" t="str">
        <x:v>{"subject":"stock","dataview":"quote"}</x:v>
      </x:c>
    </x:row>
    <x:row r="463" ht="40" customHeight="1">
      <x:c r="A463" s="12" t="str">
        <x:v>步骤 1</x:v>
      </x:c>
      <x:c r="B463" s="12" t="str">
        <x:v>read_finance_skill；0.022秒；完成</x:v>
      </x:c>
    </x:row>
    <x:row r="464" ht="40" customHeight="1">
      <x:c r="A464" s="13" t="str">
        <x:v>步骤 1 续</x:v>
      </x:c>
      <x:c r="B464" s="13" t="str">
        <x:v>{"skill_ids":["market-overview"]}</x:v>
      </x:c>
    </x:row>
    <x:row r="465" ht="40" customHeight="1">
      <x:c r="A465" s="12" t="str">
        <x:v>步骤 2</x:v>
      </x:c>
      <x:c r="B465" s="12" t="str">
        <x:v>模型响应；3.708秒；Token 8567</x:v>
      </x:c>
    </x:row>
    <x:row r="466" ht="40" customHeight="1">
      <x:c r="A466" s="13" t="str">
        <x:v>步骤 2</x:v>
      </x:c>
      <x:c r="B466" s="13" t="str">
        <x:v>finance_query；9.588秒；完成</x:v>
      </x:c>
    </x:row>
    <x:row r="467" ht="100" customHeight="1">
      <x:c r="A467" s="12" t="str">
        <x:v>步骤 2 续</x:v>
      </x:c>
      <x:c r="B467" s="12" t="str">
        <x:v>{"data_request_complete":true,"steps":[{"goal":"统计上涨家数（pct&gt;0）","request":"r1 = stock.quote.agg(filter = \"pct &gt; 0\", agg = count(stock.quote.code), mode = 2) -&gt; up_count"},{"goal":"统计下跌家数（pct&lt;0）","request":"r2 = stock.quote.agg(filter = \"pct &lt; 0\", agg = count(stock.quote.code), mode = 2) -&gt; down_count"},{"goal":"统计涨停家数（is_limit_price=1）","request":"r3 = stock.quote.agg(filter = \"is_limit_price == 1\", agg = count(stock.quote.code), mode = 2) -&gt; limit_up_count"},{"goal":"统计跌停家数（is_limit_price=2）","request":"r4 = stock.quote.agg(filter = \"is_limit_price == 2\", agg = count(stock.quote.code), mode = 2) -&gt; limit_down_count"}]}</x:v>
      </x:c>
    </x:row>
    <x:row r="468" ht="40" customHeight="1">
      <x:c r="A468" s="13" t="str">
        <x:v>步骤 3</x:v>
      </x:c>
      <x:c r="B468" s="13" t="str">
        <x:v>模型响应；3.483秒；Token 9950</x:v>
      </x:c>
    </x:row>
    <x:row r="469" ht="40" customHeight="1">
      <x:c r="A469" s="12" t="str">
        <x:v>实际执行测量</x:v>
      </x:c>
      <x:c r="B469" s="12" t="str">
        <x:v>r1 = stock.quote.agg(filter = "pct &gt; 0", agg = count(stock.quote.code), mode = 2) -&gt; up_count
静态检查 8.111ms；API执行 2418.346ms；结果 1行</x:v>
      </x:c>
    </x:row>
    <x:row r="470" ht="40" customHeight="1">
      <x:c r="A470" s="13" t="str">
        <x:v>实际执行测量</x:v>
      </x:c>
      <x:c r="B470" s="13" t="str">
        <x:v>r2 = stock.quote.agg(filter = "pct &lt; 0", agg = count(stock.quote.code), mode = 2) -&gt; down_count
静态检查 12.103ms；API执行 2453.288ms；结果 1行</x:v>
      </x:c>
    </x:row>
    <x:row r="471" ht="40" customHeight="1">
      <x:c r="A471" s="12" t="str">
        <x:v>实际执行测量</x:v>
      </x:c>
      <x:c r="B471" s="12" t="str">
        <x:v>r3 = stock.quote.agg(filter = "is_limit_price == 1", agg = count(stock.quote.code), mode = 2) -&gt; limit_up_count
静态检查 6.531ms；API执行 2499.788ms；结果 1行</x:v>
      </x:c>
    </x:row>
    <x:row r="472" ht="40" customHeight="1">
      <x:c r="A472" s="13" t="str">
        <x:v>实际执行测量</x:v>
      </x:c>
      <x:c r="B472" s="13" t="str">
        <x:v>r4 = stock.quote.agg(filter = "is_limit_price == 2", agg = count(stock.quote.code), mode = 2) -&gt; limit_down_count
静态检查 6.429ms；API执行 2129.828ms；结果 1行</x:v>
      </x:c>
    </x:row>
    <x:row r="473" ht="40" customHeight="1">
      <x:c r="A473" s="12" t="str">
        <x:v>来源</x:v>
      </x:c>
      <x:c r="B473" s="12" t="str">
        <x:v>server_mcp_v4/direct_03.json；代码 1dfb8ae</x:v>
      </x:c>
    </x:row>
    <x:row r="474" ht="40" customHeight="1">
      <x:c r="A474" s="13" t="str"/>
      <x:c r="B474" s="13" t="str"/>
    </x:row>
    <x:row r="475" ht="32" customHeight="1">
      <x:c r="A475" s="11" t="str">
        <x:v>direct_13</x:v>
      </x:c>
      <x:c r="B475" s="11" t="str">
        <x:v>帮我看一下现在全市场成交额排名前 20 的股票。</x:v>
      </x:c>
    </x:row>
    <x:row r="476" ht="40" customHeight="1">
      <x:c r="A476" s="13" t="str">
        <x:v>评审</x:v>
      </x:c>
      <x:c r="B476" s="13" t="str">
        <x:v>实时mode、排序、limit均符合问题；前两条中际旭创262.23亿、宁德时代174.45亿与summary四舍五入一致。返回字段没有行业分类，也没有历史成交量基准，故额外的产业链归类和“大幅放量”不能记为本次已取证的结果。</x:v>
      </x:c>
    </x:row>
    <x:row r="477" ht="40" customHeight="1">
      <x:c r="A477" s="12" t="str">
        <x:v>入口覆盖</x:v>
      </x:c>
      <x:c r="B477" s="12" t="str">
        <x:v>实时成交额排名入口已覆盖（仅评价数据入口与范围，不代表数据有值或答案正确）</x:v>
      </x:c>
    </x:row>
    <x:row r="478" ht="40" customHeight="1">
      <x:c r="A478" s="13" t="str">
        <x:v>方法与性能</x:v>
      </x:c>
      <x:c r="B478" s="13" t="str">
        <x:v>Skill：空集（通用路径）；Turns 3；Token 18,139；请求 16.84秒；模型 14.23秒；API执行累计 2.445秒</x:v>
      </x:c>
    </x:row>
    <x:row r="479" ht="40" customHeight="1">
      <x:c r="A479" s="12" t="str">
        <x:v>执行状态</x:v>
      </x:c>
      <x:c r="B479" s="12" t="str">
        <x:v>HTTP 200；ok=true；传输／响应结构检查：通过；工具拒绝／错误 0 次（区别于提供方执行失败）</x:v>
      </x:c>
    </x:row>
    <x:row r="480" ht="40" customHeight="1">
      <x:c r="A480" s="13" t="str">
        <x:v>r1 · 数据</x:v>
      </x:c>
      <x:c r="B480" s="13" t="str">
        <x:v>查询全市场成交额排名前20的股票最新行情快照
实际 20 行；本次 API 返回 2 行；分页截断 是</x:v>
      </x:c>
    </x:row>
    <x:row r="481" ht="40" customHeight="1">
      <x:c r="A481" s="12" t="str">
        <x:v>1.code</x:v>
      </x:c>
      <x:c r="B481" s="12" t="str">
        <x:v>300308</x:v>
      </x:c>
    </x:row>
    <x:row r="482" ht="40" customHeight="1">
      <x:c r="A482" s="13" t="str">
        <x:v>1.name</x:v>
      </x:c>
      <x:c r="B482" s="13" t="str">
        <x:v>中际旭创</x:v>
      </x:c>
    </x:row>
    <x:row r="483" ht="40" customHeight="1">
      <x:c r="A483" s="12" t="str">
        <x:v>1.close</x:v>
      </x:c>
      <x:c r="B483" s="12" t="str">
        <x:v>902.37</x:v>
      </x:c>
    </x:row>
    <x:row r="484" ht="40" customHeight="1">
      <x:c r="A484" s="13" t="str">
        <x:v>1.pct</x:v>
      </x:c>
      <x:c r="B484" s="13" t="str">
        <x:v>0.435189</x:v>
      </x:c>
    </x:row>
    <x:row r="485" ht="40" customHeight="1">
      <x:c r="A485" s="12" t="str">
        <x:v>1.amount</x:v>
      </x:c>
      <x:c r="B485" s="12" t="str">
        <x:v>26222814282</x:v>
      </x:c>
    </x:row>
    <x:row r="486" ht="40" customHeight="1">
      <x:c r="A486" s="13" t="str">
        <x:v>1.volumn</x:v>
      </x:c>
      <x:c r="B486" s="13" t="str">
        <x:v>287658</x:v>
      </x:c>
    </x:row>
    <x:row r="487" ht="40" customHeight="1">
      <x:c r="A487" s="12" t="str">
        <x:v>1.turn_ratio</x:v>
      </x:c>
      <x:c r="B487" s="12" t="str">
        <x:v>2.59</x:v>
      </x:c>
    </x:row>
    <x:row r="488" ht="40" customHeight="1">
      <x:c r="A488" s="13" t="str">
        <x:v>2.code</x:v>
      </x:c>
      <x:c r="B488" s="13" t="str">
        <x:v>300750</x:v>
      </x:c>
    </x:row>
    <x:row r="489" ht="40" customHeight="1">
      <x:c r="A489" s="12" t="str">
        <x:v>2.name</x:v>
      </x:c>
      <x:c r="B489" s="12" t="str">
        <x:v>宁德时代</x:v>
      </x:c>
    </x:row>
    <x:row r="490" ht="40" customHeight="1">
      <x:c r="A490" s="13" t="str">
        <x:v>2.close</x:v>
      </x:c>
      <x:c r="B490" s="13" t="str">
        <x:v>335.49</x:v>
      </x:c>
    </x:row>
    <x:row r="491" ht="40" customHeight="1">
      <x:c r="A491" s="12" t="str">
        <x:v>2.pct</x:v>
      </x:c>
      <x:c r="B491" s="12" t="str">
        <x:v>-3.650201</x:v>
      </x:c>
    </x:row>
    <x:row r="492" ht="40" customHeight="1">
      <x:c r="A492" s="13" t="str">
        <x:v>2.amount</x:v>
      </x:c>
      <x:c r="B492" s="13" t="str">
        <x:v>17445391393</x:v>
      </x:c>
    </x:row>
    <x:row r="493" ht="40" customHeight="1">
      <x:c r="A493" s="12" t="str">
        <x:v>2.volumn</x:v>
      </x:c>
      <x:c r="B493" s="12" t="str">
        <x:v>519551</x:v>
      </x:c>
    </x:row>
    <x:row r="494" ht="40" customHeight="1">
      <x:c r="A494" s="13" t="str">
        <x:v>2.turn_ratio</x:v>
      </x:c>
      <x:c r="B494" s="13" t="str">
        <x:v>1.22</x:v>
      </x:c>
    </x:row>
    <x:row r="495" ht="40" customHeight="1">
      <x:c r="A495" s="12" t="str">
        <x:v>summary（原文）</x:v>
      </x:c>
      <x:c r="B495" s="12" t="str">
        <x:v>已获取全市场成交额排名前 20 的股票（实时行情快照，成交额降序排列）。以下为结果：</x:v>
      </x:c>
    </x:row>
    <x:row r="496" ht="40" customHeight="1">
      <x:c r="A496" s="13" t="str">
        <x:v>summary 续</x:v>
      </x:c>
      <x:c r="B496" s="13" t="str"/>
    </x:row>
    <x:row r="497" ht="40" customHeight="1">
      <x:c r="A497" s="12" t="str">
        <x:v>summary 续</x:v>
      </x:c>
      <x:c r="B497" s="12" t="str">
        <x:v>## 全市场成交额排名前 20 的股票</x:v>
      </x:c>
    </x:row>
    <x:row r="498" ht="40" customHeight="1">
      <x:c r="A498" s="13" t="str">
        <x:v>summary 续</x:v>
      </x:c>
      <x:c r="B498" s="13" t="str">
        <x:v>（数据时间：2026-09-08 实时行情快照，按成交额降序）</x:v>
      </x:c>
    </x:row>
    <x:row r="499" ht="40" customHeight="1">
      <x:c r="A499" s="12" t="str">
        <x:v>summary 续</x:v>
      </x:c>
      <x:c r="B499" s="12" t="str"/>
    </x:row>
    <x:row r="500" ht="40" customHeight="1">
      <x:c r="A500" s="13" t="str">
        <x:v>summary 续</x:v>
      </x:c>
      <x:c r="B500" s="13" t="str">
        <x:v>| 排名 | 代码 | 名称 | 最新价(元) | 涨跌幅 | 成交额(亿元) | 换手率 |</x:v>
      </x:c>
    </x:row>
    <x:row r="501" ht="40" customHeight="1">
      <x:c r="A501" s="12" t="str">
        <x:v>summary 续</x:v>
      </x:c>
      <x:c r="B501" s="12" t="str">
        <x:v>|---|---|---|---|---|---|---|</x:v>
      </x:c>
    </x:row>
    <x:row r="502" ht="40" customHeight="1">
      <x:c r="A502" s="13" t="str">
        <x:v>summary 续</x:v>
      </x:c>
      <x:c r="B502" s="13" t="str">
        <x:v>| 1 | 300308 | 中际旭创 | 902.37 | +0.44% | 262.2 | 2.59% |</x:v>
      </x:c>
    </x:row>
    <x:row r="503" ht="40" customHeight="1">
      <x:c r="A503" s="12" t="str">
        <x:v>summary 续</x:v>
      </x:c>
      <x:c r="B503" s="12" t="str">
        <x:v>| 2 | 300750 | 宁德时代 | 335.49 | -3.65% | 174.5 | 1.22% |</x:v>
      </x:c>
    </x:row>
    <x:row r="504" ht="40" customHeight="1">
      <x:c r="A504" s="13" t="str">
        <x:v>summary 续</x:v>
      </x:c>
      <x:c r="B504" s="13" t="str">
        <x:v>| 3 | 300502 | 新易盛 | 416.40 | -0.19% | 155.8 | 2.95% |</x:v>
      </x:c>
    </x:row>
    <x:row r="505" ht="40" customHeight="1">
      <x:c r="A505" s="12" t="str">
        <x:v>summary 续</x:v>
      </x:c>
      <x:c r="B505" s="12" t="str">
        <x:v>| 4 | 603986 | 兆易创新 | 385.96 | +0.13% | 146.1 | 5.59% |</x:v>
      </x:c>
    </x:row>
    <x:row r="506" ht="40" customHeight="1">
      <x:c r="A506" s="13" t="str">
        <x:v>summary 续</x:v>
      </x:c>
      <x:c r="B506" s="13" t="str">
        <x:v>| 5 | 688825 | 长鑫科技 | 58.39 | -0.14% | 115.7 | 4.39% |</x:v>
      </x:c>
    </x:row>
    <x:row r="507" ht="40" customHeight="1">
      <x:c r="A507" s="12" t="str">
        <x:v>summary 续</x:v>
      </x:c>
      <x:c r="B507" s="12" t="str">
        <x:v>| 6 | 002436 | 兴森科技 | 40.12 | +9.17% | 114.1 | 18.75% |</x:v>
      </x:c>
    </x:row>
    <x:row r="508" ht="40" customHeight="1">
      <x:c r="A508" s="13" t="str">
        <x:v>summary 续</x:v>
      </x:c>
      <x:c r="B508" s="13" t="str">
        <x:v>| 7 | 002384 | 东山精密 | 186.42 | -2.17% | 110.2 | 4.19% |</x:v>
      </x:c>
    </x:row>
    <x:row r="509" ht="40" customHeight="1">
      <x:c r="A509" s="12" t="str">
        <x:v>summary 续</x:v>
      </x:c>
      <x:c r="B509" s="12" t="str">
        <x:v>| 8 | 603083 | XD剑桥科 | 222.30 | +7.33% | 109.5 | 17.74% |</x:v>
      </x:c>
    </x:row>
    <x:row r="510" ht="40" customHeight="1">
      <x:c r="A510" s="13" t="str">
        <x:v>summary 续</x:v>
      </x:c>
      <x:c r="B510" s="13" t="str">
        <x:v>| 9 | 300394 | 天孚通信 | 258.50 | -3.18% | 108.9 | 3.78% |</x:v>
      </x:c>
    </x:row>
    <x:row r="511" ht="40" customHeight="1">
      <x:c r="A511" s="12" t="str">
        <x:v>summary 续</x:v>
      </x:c>
      <x:c r="B511" s="12" t="str">
        <x:v>| 10 | 600183 | 生益科技 | 146.28 | -1.26% | 102.5 | 2.86% |</x:v>
      </x:c>
    </x:row>
    <x:row r="512" ht="40" customHeight="1">
      <x:c r="A512" s="13" t="str">
        <x:v>summary 续</x:v>
      </x:c>
      <x:c r="B512" s="13" t="str">
        <x:v>| 11 | 600487 | 亨通光电 | 63.11 | -1.39% | 97.0 | 6.14% |</x:v>
      </x:c>
    </x:row>
    <x:row r="513" ht="40" customHeight="1">
      <x:c r="A513" s="12" t="str">
        <x:v>summary 续</x:v>
      </x:c>
      <x:c r="B513" s="12" t="str">
        <x:v>| 12 | 688256 | 寒武纪 | 1058.99 | -3.06% | 92.9 | 1.37% |</x:v>
      </x:c>
    </x:row>
    <x:row r="514" ht="40" customHeight="1">
      <x:c r="A514" s="13" t="str">
        <x:v>summary 续</x:v>
      </x:c>
      <x:c r="B514" s="13" t="str">
        <x:v>| 13 | 002463 | 沪电股份 | 124.90 | +1.83% | 87.2 | 3.59% |</x:v>
      </x:c>
    </x:row>
    <x:row r="515" ht="40" customHeight="1">
      <x:c r="A515" s="12" t="str">
        <x:v>summary 续</x:v>
      </x:c>
      <x:c r="B515" s="12" t="str">
        <x:v>| 14 | 601899 | 紫金矿业 | 33.86 | +3.01% | 84.6 | 1.21% |</x:v>
      </x:c>
    </x:row>
    <x:row r="516" ht="40" customHeight="1">
      <x:c r="A516" s="13" t="str">
        <x:v>summary 续</x:v>
      </x:c>
      <x:c r="B516" s="13" t="str">
        <x:v>| 15 | 000977 | 浪潮信息 | 72.32 | -3.24% | 77.3 | 7.22% |</x:v>
      </x:c>
    </x:row>
    <x:row r="517" ht="40" customHeight="1">
      <x:c r="A517" s="12" t="str">
        <x:v>summary 续</x:v>
      </x:c>
      <x:c r="B517" s="12" t="str">
        <x:v>| 16 | 600176 | 中国巨石 | 41.39 | -0.74% | 73.4 | 4.41% |</x:v>
      </x:c>
    </x:row>
    <x:row r="518" ht="40" customHeight="1">
      <x:c r="A518" s="13" t="str">
        <x:v>summary 续</x:v>
      </x:c>
      <x:c r="B518" s="13" t="str">
        <x:v>| 17 | 600869 | 远东股份 | 22.66 | +8.52% | 70.7 | 14.63% |</x:v>
      </x:c>
    </x:row>
    <x:row r="519" ht="40" customHeight="1">
      <x:c r="A519" s="12" t="str">
        <x:v>summary 续</x:v>
      </x:c>
      <x:c r="B519" s="12" t="str">
        <x:v>| 18 | 601138 | 工业富联 | 64.75 | -2.73% | 70.6 | 0.54% |</x:v>
      </x:c>
    </x:row>
    <x:row r="520" ht="40" customHeight="1">
      <x:c r="A520" s="13" t="str">
        <x:v>summary 续</x:v>
      </x:c>
      <x:c r="B520" s="13" t="str">
        <x:v>| 19 | 300475 | 香农芯创 | 179.66 | +1.59% | 69.1 | 8.47% |</x:v>
      </x:c>
    </x:row>
    <x:row r="521" ht="40" customHeight="1">
      <x:c r="A521" s="12" t="str">
        <x:v>summary 续</x:v>
      </x:c>
      <x:c r="B521" s="12" t="str">
        <x:v>| 20 | 688498 | 源杰科技 | 1715.00 | +0.76% | 68.2 | 3.22% |</x:v>
      </x:c>
    </x:row>
    <x:row r="522" ht="40" customHeight="1">
      <x:c r="A522" s="13" t="str">
        <x:v>summary 续</x:v>
      </x:c>
      <x:c r="B522" s="13" t="str"/>
    </x:row>
    <x:row r="523" ht="40" customHeight="1">
      <x:c r="A523" s="12" t="str">
        <x:v>summary 续</x:v>
      </x:c>
      <x:c r="B523" s="12" t="str">
        <x:v>几点观察：</x:v>
      </x:c>
    </x:row>
    <x:row r="524" ht="40" customHeight="1">
      <x:c r="A524" s="13" t="str">
        <x:v>summary 续</x:v>
      </x:c>
      <x:c r="B524" s="13" t="str">
        <x:v>- **中际旭创**以 262.2 亿元成交额居首，显著领先第二名宁德时代（174.5亿元）。</x:v>
      </x:c>
    </x:row>
    <x:row r="525" ht="40" customHeight="1">
      <x:c r="A525" s="12" t="str">
        <x:v>summary 续</x:v>
      </x:c>
      <x:c r="B525" s="12" t="str">
        <x:v>- **市场结构高度集中在科技/算力链**：光模块（中际旭创、新易盛、天孚通信、源杰科技、剑桥科技）、PCB（沪电、东山精密、生益科技）、存储/半导体（长鑫科技、兆易创新、寒武纪）占主导，另有宁德时代、紫金矿业等权重股。</x:v>
      </x:c>
    </x:row>
    <x:row r="526" ht="40" customHeight="1">
      <x:c r="A526" s="13" t="str">
        <x:v>summary 续</x:v>
      </x:c>
      <x:c r="B526" s="13" t="str">
        <x:v>- **高换手高波动标的多为算力/PCB 题材**：兴森科技（+9.17%，换手18.75%）、远东股份（+8.52%）、剑桥科技（+7.33%）均大幅放量上涨，短线资金活跃。</x:v>
      </x:c>
    </x:row>
    <x:row r="527" ht="40" customHeight="1">
      <x:c r="A527" s="12" t="str">
        <x:v>summary 续</x:v>
      </x:c>
      <x:c r="B527" s="12" t="str">
        <x:v>- 宁德时代、寒武纪、浪潮信息、天孚通信等成交居前个股当日回调明显。</x:v>
      </x:c>
    </x:row>
    <x:row r="528" ht="40" customHeight="1">
      <x:c r="A528" s="13" t="str">
        <x:v>summary 续</x:v>
      </x:c>
      <x:c r="B528" s="13" t="str"/>
    </x:row>
    <x:row r="529" ht="40" customHeight="1">
      <x:c r="A529" s="12" t="str">
        <x:v>summary 续</x:v>
      </x:c>
      <x:c r="B529" s="12" t="str">
        <x:v>注：成交额为元，已折算为亿元；「XD剑桥科」为当日除息标记。数据来自实时行情快照，交易日为单位。</x:v>
      </x:c>
    </x:row>
    <x:row r="530" ht="40" customHeight="1">
      <x:c r="A530" s="13" t="str">
        <x:v>步骤 1</x:v>
      </x:c>
      <x:c r="B530" s="13" t="str">
        <x:v>模型响应；3.041秒；Token 3310</x:v>
      </x:c>
    </x:row>
    <x:row r="531" ht="40" customHeight="1">
      <x:c r="A531" s="12" t="str">
        <x:v>步骤 1</x:v>
      </x:c>
      <x:c r="B531" s="12" t="str">
        <x:v>read_finance_catalog；0.014秒；完成</x:v>
      </x:c>
    </x:row>
    <x:row r="532" ht="40" customHeight="1">
      <x:c r="A532" s="13" t="str">
        <x:v>步骤 1 续</x:v>
      </x:c>
      <x:c r="B532" s="13" t="str">
        <x:v>{"subject":"stock","dataview":"quote","operation":"query"}</x:v>
      </x:c>
    </x:row>
    <x:row r="533" ht="40" customHeight="1">
      <x:c r="A533" s="12" t="str">
        <x:v>步骤 2</x:v>
      </x:c>
      <x:c r="B533" s="12" t="str">
        <x:v>模型响应；2.004秒；Token 6177</x:v>
      </x:c>
    </x:row>
    <x:row r="534" ht="40" customHeight="1">
      <x:c r="A534" s="13" t="str">
        <x:v>步骤 2</x:v>
      </x:c>
      <x:c r="B534" s="13" t="str">
        <x:v>finance_query；2.471秒；完成</x:v>
      </x:c>
    </x:row>
    <x:row r="535" ht="40" customHeight="1">
      <x:c r="A535" s="12" t="str">
        <x:v>步骤 2 续</x:v>
      </x:c>
      <x:c r="B535" s="12" t="str">
        <x:v>{"data_request_complete":true,"steps":[{"goal":"查询全市场成交额排名前20的股票最新行情快照","request":"r1 = stock.quote.query(mode = 2, order = \"amount desc\", limit = 20) -&gt; code, name, close, pct, amount, volumn, turn_ratio"}]}</x:v>
      </x:c>
    </x:row>
    <x:row r="536" ht="40" customHeight="1">
      <x:c r="A536" s="13" t="str">
        <x:v>步骤 3</x:v>
      </x:c>
      <x:c r="B536" s="13" t="str">
        <x:v>模型响应；9.183秒；Token 8652</x:v>
      </x:c>
    </x:row>
    <x:row r="537" ht="40" customHeight="1">
      <x:c r="A537" s="12" t="str">
        <x:v>实际执行测量</x:v>
      </x:c>
      <x:c r="B537" s="12" t="str">
        <x:v>r1 = stock.quote.query(mode = 2, order = "amount desc", limit = 20) -&gt; code, name, close, pct, amount, volumn, turn_ratio
静态检查 7.271ms；API执行 2444.547ms；结果 20行</x:v>
      </x:c>
    </x:row>
    <x:row r="538" ht="40" customHeight="1">
      <x:c r="A538" s="13" t="str">
        <x:v>来源</x:v>
      </x:c>
      <x:c r="B538" s="13" t="str">
        <x:v>server_mcp_v4/direct_13.json；代码 1dfb8ae</x:v>
      </x:c>
    </x:row>
    <x:row r="539" ht="40" customHeight="1">
      <x:c r="A539" s="12" t="str"/>
      <x:c r="B539" s="12" t="str"/>
    </x:row>
    <x:row r="540" ht="25" customHeight="1">
      <x:c r="A540" s="2"/>
      <x:c r="B540" s="2"/>
    </x:row>
  </x:sheetData>
  <x:pageMargins left="0.7" right="0.7" top="0.75" bottom="0.75" header="0.3" footer="0.3"/>
</x:worksheet>
</file>