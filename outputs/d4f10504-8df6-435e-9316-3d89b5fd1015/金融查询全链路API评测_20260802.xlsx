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6053b0150b4e9c" /></Relationships>
</file>

<file path=xl/workbook.xml><?xml version="1.0" encoding="utf-8"?>
<x:workbook xmlns:x="http://schemas.openxmlformats.org/spreadsheetml/2006/main">
  <x:sheets>
    <x:sheet xmlns:r="http://schemas.openxmlformats.org/officeDocument/2006/relationships" name="执行摘要" sheetId="1" r:id="R8afe53c68fcb421c"/>
    <x:sheet xmlns:r="http://schemas.openxmlformats.org/officeDocument/2006/relationships" name="Query明细" sheetId="2" r:id="R2afbc0884b354977"/>
    <x:sheet xmlns:r="http://schemas.openxmlformats.org/officeDocument/2006/relationships" name="阶段耗时" sheetId="3" r:id="R8cfa61b69fea407d"/>
    <x:sheet xmlns:r="http://schemas.openxmlformats.org/officeDocument/2006/relationships" name="操作明细" sheetId="4" r:id="Ra7ea2443cd4c4b07"/>
    <x:sheet xmlns:r="http://schemas.openxmlformats.org/officeDocument/2006/relationships" name="答案审计" sheetId="5" r:id="Ra2aa869ed273466f"/>
    <x:sheet xmlns:r="http://schemas.openxmlformats.org/officeDocument/2006/relationships" name="长尾根因" sheetId="6" r:id="R75c20c401a50442c"/>
    <x:sheet xmlns:r="http://schemas.openxmlformats.org/officeDocument/2006/relationships" name="口径说明" sheetId="7" r:id="Ra47b6bf37c2541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
    <x:numFmt numFmtId="203" formatCode="0.0x"/>
  </x:numFmts>
  <x:fonts count="16">
    <x:font>
      <x:sz val="11"/>
      <x:name val="Carlito"/>
    </x:font>
    <x:font>
      <x:b/>
      <x:sz val="18"/>
      <x:color rgb="FFFFFFFF"/>
      <x:name val="Carlito"/>
    </x:font>
    <x:font>
      <x:i/>
      <x:sz val="10"/>
      <x:color rgb="FF60758A"/>
      <x:name val="Carlito"/>
    </x:font>
    <x:font>
      <x:b/>
      <x:sz val="10"/>
      <x:color rgb="FFFFFFFF"/>
      <x:name val="Carlito"/>
    </x:font>
    <x:font>
      <x:sz val="9"/>
      <x:color rgb="FF172B3A"/>
      <x:name val="Carlito"/>
    </x:font>
    <x:font>
      <x:b/>
      <x:sz val="11"/>
      <x:color rgb="FF0F766E"/>
      <x:name val="Carlito"/>
    </x:font>
    <x:font>
      <x:b/>
      <x:sz val="10"/>
      <x:color rgb="FF0F766E"/>
      <x:name val="Carlito"/>
    </x:font>
    <x:font>
      <x:sz val="10"/>
      <x:color rgb="FF172B3A"/>
      <x:name val="Carlito"/>
    </x:font>
    <x:font>
      <x:b/>
      <x:sz val="10"/>
      <x:color rgb="FF163A59"/>
      <x:name val="Carlito"/>
    </x:font>
    <x:font>
      <x:b/>
      <x:sz val="9"/>
      <x:color rgb="FF60758A"/>
      <x:name val="Carlito"/>
    </x:font>
    <x:font>
      <x:b/>
      <x:sz val="18"/>
      <x:color rgb="FF0F766E"/>
      <x:name val="Carlito"/>
    </x:font>
    <x:font>
      <x:b/>
      <x:sz val="18"/>
      <x:color rgb="FF15803D"/>
      <x:name val="Carlito"/>
    </x:font>
    <x:font>
      <x:b/>
      <x:sz val="18"/>
      <x:color rgb="FF2563EB"/>
      <x:name val="Carlito"/>
    </x:font>
    <x:font>
      <x:b/>
      <x:sz val="18"/>
      <x:color rgb="FFD97706"/>
      <x:name val="Carlito"/>
    </x:font>
    <x:font>
      <x:b/>
      <x:sz val="18"/>
      <x:color rgb="FFB91C1C"/>
      <x:name val="Carlito"/>
    </x:font>
    <x:font>
      <x:b/>
      <x:sz val="9"/>
      <x:color rgb="FFFFFFFF"/>
      <x:name val="Carlito"/>
    </x:font>
  </x:fonts>
  <x:fills count="9">
    <x:fill>
      <x:patternFill patternType="none"/>
    </x:fill>
    <x:fill>
      <x:patternFill patternType="gray125"/>
    </x:fill>
    <x:fill>
      <x:patternFill patternType="solid">
        <x:fgColor rgb="FF0B1F33"/>
      </x:patternFill>
    </x:fill>
    <x:fill>
      <x:patternFill patternType="solid">
        <x:fgColor rgb="FFF4F8FB"/>
      </x:patternFill>
    </x:fill>
    <x:fill>
      <x:patternFill patternType="solid">
        <x:fgColor rgb="FF163A59"/>
      </x:patternFill>
    </x:fill>
    <x:fill>
      <x:patternFill patternType="solid">
        <x:fgColor rgb="FF0F766E"/>
      </x:patternFill>
    </x:fill>
    <x:fill>
      <x:patternFill patternType="solid">
        <x:fgColor rgb="FFFFFFFF"/>
      </x:patternFill>
    </x:fill>
    <x:fill>
      <x:patternFill patternType="solid">
        <x:fgColor rgb="FFD9F0EC"/>
      </x:patternFill>
    </x:fill>
    <x:fill>
      <x:patternFill patternType="solid">
        <x:fgColor rgb="FFE8F0FE"/>
      </x:patternFill>
    </x:fill>
  </x:fills>
  <x:borders count="8">
    <x:border/>
    <x:border>
      <x:left style="thin">
        <x:color rgb="FFD6E0E8"/>
      </x:left>
      <x:right style="thin">
        <x:color rgb="FFD6E0E8"/>
      </x:right>
      <x:top style="thin">
        <x:color rgb="FFD6E0E8"/>
      </x:top>
      <x:bottom style="thin">
        <x:color rgb="FFD6E0E8"/>
      </x:bottom>
    </x:border>
    <x:border>
      <x:left style="thin">
        <x:color rgb="FFD6E0E8"/>
      </x:left>
      <x:top style="thin">
        <x:color rgb="FFD6E0E8"/>
      </x:top>
      <x:bottom style="thin">
        <x:color rgb="FFD6E0E8"/>
      </x:bottom>
    </x:border>
    <x:border>
      <x:right style="thin">
        <x:color rgb="FFD6E0E8"/>
      </x:right>
      <x:top style="thin">
        <x:color rgb="FFD6E0E8"/>
      </x:top>
      <x:bottom style="thin">
        <x:color rgb="FFD6E0E8"/>
      </x:bottom>
    </x:border>
    <x:border>
      <x:left style="thin">
        <x:color rgb="FFD6E0E8"/>
      </x:left>
      <x:top style="thin">
        <x:color rgb="FFD6E0E8"/>
      </x:top>
    </x:border>
    <x:border>
      <x:right style="thin">
        <x:color rgb="FFD6E0E8"/>
      </x:right>
      <x:top style="thin">
        <x:color rgb="FFD6E0E8"/>
      </x:top>
    </x:border>
    <x:border>
      <x:left style="thin">
        <x:color rgb="FFD6E0E8"/>
      </x:left>
      <x:bottom style="thin">
        <x:color rgb="FFD6E0E8"/>
      </x:bottom>
    </x:border>
    <x:border>
      <x:right style="thin">
        <x:color rgb="FFD6E0E8"/>
      </x:right>
      <x:bottom style="thin">
        <x:color rgb="FFD6E0E8"/>
      </x:bottom>
    </x:border>
  </x:borders>
  <x:cellStyleXfs count="1">
    <x:xf numFmtId="0" fontId="0" fillId="0" borderId="0"/>
  </x:cellStyleXfs>
  <x:cellXfs count="1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200" fontId="4" fillId="6" borderId="1" xfId="0" applyNumberFormat="1" applyFont="1" applyFill="1" applyBorder="1"/>
    <x:xf numFmtId="201" fontId="4" fillId="6" borderId="1" xfId="0" applyNumberFormat="1" applyFont="1" applyFill="1" applyBorder="1"/>
    <x:xf numFmtId="202" fontId="4" fillId="0"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vertical="center"/>
    </x:xf>
    <x:xf numFmtId="203" fontId="4" fillId="0" borderId="1" xfId="0" applyNumberFormat="1" applyFont="1" applyFill="1" applyBorder="1" applyAlignment="1">
      <x:alignment vertical="top" wrapText="1"/>
    </x:xf>
    <x:xf numFmtId="0" fontId="6" fillId="7" borderId="0"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vertical="top"/>
    </x:xf>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horizontal="center"/>
    </x:xf>
    <x:xf numFmtId="0" fontId="8" fillId="8" borderId="0" xfId="0" applyNumberFormat="1" applyFont="1" applyFill="1" applyBorder="1" applyAlignment="1">
      <x:alignment horizontal="center" vertical="center"/>
    </x:xf>
    <x:xf numFmtId="0" fontId="9" fillId="3" borderId="0" xfId="0" applyNumberFormat="1" applyFont="1" applyFill="1" applyBorder="1"/>
    <x:xf numFmtId="0" fontId="9" fillId="3" borderId="2" xfId="0" applyNumberFormat="1" applyFont="1" applyFill="1" applyBorder="1"/>
    <x:xf numFmtId="0" fontId="9" fillId="3" borderId="3" xfId="0" applyNumberFormat="1" applyFont="1" applyFill="1" applyBorder="1"/>
    <x:xf numFmtId="0" fontId="9" fillId="3" borderId="2" xfId="0" applyNumberFormat="1" applyFont="1" applyFill="1" applyBorder="1" applyAlignment="1">
      <x:alignment horizontal="center"/>
    </x:xf>
    <x:xf numFmtId="0" fontId="9" fillId="3" borderId="3" xfId="0" applyNumberFormat="1" applyFont="1" applyFill="1" applyBorder="1" applyAlignment="1">
      <x:alignment horizontal="center"/>
    </x:xf>
    <x:xf numFmtId="0" fontId="9" fillId="3" borderId="2" xfId="0" applyNumberFormat="1" applyFont="1" applyFill="1" applyBorder="1" applyAlignment="1">
      <x:alignment horizontal="center" vertical="center"/>
    </x:xf>
    <x:xf numFmtId="0" fontId="9" fillId="3" borderId="3" xfId="0" applyNumberFormat="1" applyFont="1" applyFill="1" applyBorder="1" applyAlignment="1">
      <x:alignment horizontal="center" vertical="center"/>
    </x:xf>
    <x:xf numFmtId="0" fontId="10" fillId="6" borderId="0" xfId="0" applyNumberFormat="1" applyFont="1" applyFill="1" applyBorder="1"/>
    <x:xf numFmtId="0" fontId="10" fillId="6" borderId="4" xfId="0" applyNumberFormat="1" applyFont="1" applyFill="1" applyBorder="1"/>
    <x:xf numFmtId="0" fontId="10" fillId="6" borderId="5" xfId="0" applyNumberFormat="1" applyFont="1" applyFill="1" applyBorder="1"/>
    <x:xf numFmtId="0" fontId="10" fillId="6" borderId="6" xfId="0" applyNumberFormat="1" applyFont="1" applyFill="1" applyBorder="1"/>
    <x:xf numFmtId="0" fontId="10" fillId="6" borderId="7" xfId="0" applyNumberFormat="1" applyFont="1" applyFill="1" applyBorder="1"/>
    <x:xf numFmtId="0" fontId="10" fillId="6" borderId="4" xfId="0" applyNumberFormat="1" applyFont="1" applyFill="1" applyBorder="1" applyAlignment="1">
      <x:alignment horizontal="center"/>
    </x:xf>
    <x:xf numFmtId="0" fontId="10" fillId="6" borderId="5" xfId="0" applyNumberFormat="1" applyFont="1" applyFill="1" applyBorder="1" applyAlignment="1">
      <x:alignment horizontal="center"/>
    </x:xf>
    <x:xf numFmtId="0" fontId="10" fillId="6" borderId="6" xfId="0" applyNumberFormat="1" applyFont="1" applyFill="1" applyBorder="1" applyAlignment="1">
      <x:alignment horizontal="center"/>
    </x:xf>
    <x:xf numFmtId="0" fontId="10" fillId="6" borderId="7" xfId="0" applyNumberFormat="1" applyFont="1" applyFill="1" applyBorder="1" applyAlignment="1">
      <x:alignment horizontal="center"/>
    </x:xf>
    <x:xf numFmtId="0" fontId="10" fillId="6" borderId="4" xfId="0" applyNumberFormat="1" applyFont="1" applyFill="1" applyBorder="1" applyAlignment="1">
      <x:alignment horizontal="center" vertical="center"/>
    </x:xf>
    <x:xf numFmtId="0" fontId="10" fillId="6" borderId="5" xfId="0" applyNumberFormat="1" applyFont="1" applyFill="1" applyBorder="1" applyAlignment="1">
      <x:alignment horizontal="center" vertical="center"/>
    </x:xf>
    <x:xf numFmtId="0" fontId="10" fillId="6" borderId="6" xfId="0" applyNumberFormat="1" applyFont="1" applyFill="1" applyBorder="1" applyAlignment="1">
      <x:alignment horizontal="center" vertical="center"/>
    </x:xf>
    <x:xf numFmtId="0" fontId="10" fillId="6" borderId="7" xfId="0" applyNumberFormat="1" applyFont="1" applyFill="1" applyBorder="1" applyAlignment="1">
      <x:alignment horizontal="center" vertical="center"/>
    </x:xf>
    <x:xf numFmtId="202" fontId="10" fillId="6" borderId="4" xfId="0" applyNumberFormat="1" applyFont="1" applyFill="1" applyBorder="1" applyAlignment="1">
      <x:alignment horizontal="center" vertical="center"/>
    </x:xf>
    <x:xf numFmtId="0" fontId="11" fillId="6" borderId="0" xfId="0" applyNumberFormat="1" applyFont="1" applyFill="1" applyBorder="1"/>
    <x:xf numFmtId="0" fontId="11" fillId="6" borderId="4" xfId="0" applyNumberFormat="1" applyFont="1" applyFill="1" applyBorder="1"/>
    <x:xf numFmtId="0" fontId="11" fillId="6" borderId="5" xfId="0" applyNumberFormat="1" applyFont="1" applyFill="1" applyBorder="1"/>
    <x:xf numFmtId="0" fontId="11" fillId="6" borderId="6" xfId="0" applyNumberFormat="1" applyFont="1" applyFill="1" applyBorder="1"/>
    <x:xf numFmtId="0" fontId="11" fillId="6" borderId="7" xfId="0" applyNumberFormat="1" applyFont="1" applyFill="1" applyBorder="1"/>
    <x:xf numFmtId="0" fontId="11" fillId="6" borderId="4" xfId="0" applyNumberFormat="1" applyFont="1" applyFill="1" applyBorder="1" applyAlignment="1">
      <x:alignment horizontal="center"/>
    </x:xf>
    <x:xf numFmtId="0" fontId="11" fillId="6" borderId="5" xfId="0" applyNumberFormat="1" applyFont="1" applyFill="1" applyBorder="1" applyAlignment="1">
      <x:alignment horizontal="center"/>
    </x:xf>
    <x:xf numFmtId="0" fontId="11" fillId="6" borderId="6" xfId="0" applyNumberFormat="1" applyFont="1" applyFill="1" applyBorder="1" applyAlignment="1">
      <x:alignment horizontal="center"/>
    </x:xf>
    <x:xf numFmtId="0" fontId="11" fillId="6" borderId="7" xfId="0" applyNumberFormat="1" applyFont="1" applyFill="1" applyBorder="1" applyAlignment="1">
      <x:alignment horizontal="center"/>
    </x:xf>
    <x:xf numFmtId="0" fontId="11" fillId="6" borderId="4" xfId="0" applyNumberFormat="1" applyFont="1" applyFill="1" applyBorder="1" applyAlignment="1">
      <x:alignment horizontal="center" vertical="center"/>
    </x:xf>
    <x:xf numFmtId="0" fontId="11" fillId="6" borderId="5" xfId="0" applyNumberFormat="1" applyFont="1" applyFill="1" applyBorder="1" applyAlignment="1">
      <x:alignment horizontal="center" vertical="center"/>
    </x:xf>
    <x:xf numFmtId="0" fontId="11" fillId="6" borderId="6" xfId="0" applyNumberFormat="1" applyFont="1" applyFill="1" applyBorder="1" applyAlignment="1">
      <x:alignment horizontal="center" vertical="center"/>
    </x:xf>
    <x:xf numFmtId="0" fontId="11" fillId="6" borderId="7" xfId="0" applyNumberFormat="1" applyFont="1" applyFill="1" applyBorder="1" applyAlignment="1">
      <x:alignment horizontal="center" vertical="center"/>
    </x:xf>
    <x:xf numFmtId="202" fontId="11" fillId="6" borderId="4" xfId="0" applyNumberFormat="1" applyFont="1" applyFill="1" applyBorder="1" applyAlignment="1">
      <x:alignment horizontal="center" vertical="center"/>
    </x:xf>
    <x:xf numFmtId="0" fontId="12" fillId="6" borderId="0" xfId="0" applyNumberFormat="1" applyFont="1" applyFill="1" applyBorder="1"/>
    <x:xf numFmtId="0" fontId="12" fillId="6" borderId="4" xfId="0" applyNumberFormat="1" applyFont="1" applyFill="1" applyBorder="1"/>
    <x:xf numFmtId="0" fontId="12" fillId="6" borderId="5" xfId="0" applyNumberFormat="1" applyFont="1" applyFill="1" applyBorder="1"/>
    <x:xf numFmtId="0" fontId="12" fillId="6" borderId="6" xfId="0" applyNumberFormat="1" applyFont="1" applyFill="1" applyBorder="1"/>
    <x:xf numFmtId="0" fontId="12" fillId="6" borderId="7" xfId="0" applyNumberFormat="1" applyFont="1" applyFill="1" applyBorder="1"/>
    <x:xf numFmtId="0" fontId="12" fillId="6" borderId="4" xfId="0" applyNumberFormat="1" applyFont="1" applyFill="1" applyBorder="1" applyAlignment="1">
      <x:alignment horizontal="center"/>
    </x:xf>
    <x:xf numFmtId="0" fontId="12" fillId="6" borderId="5" xfId="0" applyNumberFormat="1" applyFont="1" applyFill="1" applyBorder="1" applyAlignment="1">
      <x:alignment horizontal="center"/>
    </x:xf>
    <x:xf numFmtId="0" fontId="12" fillId="6" borderId="6" xfId="0" applyNumberFormat="1" applyFont="1" applyFill="1" applyBorder="1" applyAlignment="1">
      <x:alignment horizontal="center"/>
    </x:xf>
    <x:xf numFmtId="0" fontId="12" fillId="6" borderId="7" xfId="0" applyNumberFormat="1" applyFont="1" applyFill="1" applyBorder="1" applyAlignment="1">
      <x:alignment horizontal="center"/>
    </x:xf>
    <x:xf numFmtId="0"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0" fontId="12" fillId="6" borderId="7"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3" fillId="6" borderId="0" xfId="0" applyNumberFormat="1" applyFont="1" applyFill="1" applyBorder="1"/>
    <x:xf numFmtId="0" fontId="13" fillId="6" borderId="4" xfId="0" applyNumberFormat="1" applyFont="1" applyFill="1" applyBorder="1"/>
    <x:xf numFmtId="0" fontId="13" fillId="6" borderId="5" xfId="0" applyNumberFormat="1" applyFont="1" applyFill="1" applyBorder="1"/>
    <x:xf numFmtId="0" fontId="13" fillId="6" borderId="6" xfId="0" applyNumberFormat="1" applyFont="1" applyFill="1" applyBorder="1"/>
    <x:xf numFmtId="0" fontId="13" fillId="6" borderId="7" xfId="0" applyNumberFormat="1" applyFont="1" applyFill="1" applyBorder="1"/>
    <x:xf numFmtId="0" fontId="13" fillId="6" borderId="4" xfId="0" applyNumberFormat="1" applyFont="1" applyFill="1" applyBorder="1" applyAlignment="1">
      <x:alignment horizontal="center"/>
    </x:xf>
    <x:xf numFmtId="0" fontId="13" fillId="6" borderId="5" xfId="0" applyNumberFormat="1" applyFont="1" applyFill="1" applyBorder="1" applyAlignment="1">
      <x:alignment horizontal="center"/>
    </x:xf>
    <x:xf numFmtId="0" fontId="13" fillId="6" borderId="6" xfId="0" applyNumberFormat="1" applyFont="1" applyFill="1" applyBorder="1" applyAlignment="1">
      <x:alignment horizontal="center"/>
    </x:xf>
    <x:xf numFmtId="0" fontId="13" fillId="6" borderId="7" xfId="0" applyNumberFormat="1" applyFont="1" applyFill="1" applyBorder="1" applyAlignment="1">
      <x:alignment horizontal="center"/>
    </x:xf>
    <x:xf numFmtId="0" fontId="13" fillId="6" borderId="4" xfId="0" applyNumberFormat="1" applyFont="1" applyFill="1" applyBorder="1" applyAlignment="1">
      <x:alignment horizontal="center" vertical="center"/>
    </x:xf>
    <x:xf numFmtId="0" fontId="13" fillId="6" borderId="5" xfId="0" applyNumberFormat="1" applyFont="1" applyFill="1" applyBorder="1" applyAlignment="1">
      <x:alignment horizontal="center" vertical="center"/>
    </x:xf>
    <x:xf numFmtId="0" fontId="13" fillId="6" borderId="6" xfId="0" applyNumberFormat="1" applyFont="1" applyFill="1" applyBorder="1" applyAlignment="1">
      <x:alignment horizontal="center" vertical="center"/>
    </x:xf>
    <x:xf numFmtId="0" fontId="13" fillId="6" borderId="7" xfId="0" applyNumberFormat="1" applyFont="1" applyFill="1" applyBorder="1" applyAlignment="1">
      <x:alignment horizontal="center" vertical="center"/>
    </x:xf>
    <x:xf numFmtId="200" fontId="13" fillId="6" borderId="4" xfId="0" applyNumberFormat="1" applyFont="1" applyFill="1" applyBorder="1" applyAlignment="1">
      <x:alignment horizontal="center" vertical="center"/>
    </x:xf>
    <x:xf numFmtId="201" fontId="10" fillId="6" borderId="4" xfId="0" applyNumberFormat="1" applyFont="1" applyFill="1" applyBorder="1" applyAlignment="1">
      <x:alignment horizontal="center" vertical="center"/>
    </x:xf>
    <x:xf numFmtId="202" fontId="13" fillId="6" borderId="4" xfId="0" applyNumberFormat="1" applyFont="1" applyFill="1" applyBorder="1" applyAlignment="1">
      <x:alignment horizontal="center" vertical="center"/>
    </x:xf>
    <x:xf numFmtId="0" fontId="14" fillId="6" borderId="0" xfId="0" applyNumberFormat="1" applyFont="1" applyFill="1" applyBorder="1"/>
    <x:xf numFmtId="0" fontId="14" fillId="6" borderId="4" xfId="0" applyNumberFormat="1" applyFont="1" applyFill="1" applyBorder="1"/>
    <x:xf numFmtId="0" fontId="14" fillId="6" borderId="5" xfId="0" applyNumberFormat="1" applyFont="1" applyFill="1" applyBorder="1"/>
    <x:xf numFmtId="0" fontId="14" fillId="6" borderId="6" xfId="0" applyNumberFormat="1" applyFont="1" applyFill="1" applyBorder="1"/>
    <x:xf numFmtId="0" fontId="14" fillId="6" borderId="7" xfId="0" applyNumberFormat="1" applyFont="1" applyFill="1" applyBorder="1"/>
    <x:xf numFmtId="0" fontId="14" fillId="6" borderId="4" xfId="0" applyNumberFormat="1" applyFont="1" applyFill="1" applyBorder="1" applyAlignment="1">
      <x:alignment horizontal="center"/>
    </x:xf>
    <x:xf numFmtId="0" fontId="14" fillId="6" borderId="5" xfId="0" applyNumberFormat="1" applyFont="1" applyFill="1" applyBorder="1" applyAlignment="1">
      <x:alignment horizontal="center"/>
    </x:xf>
    <x:xf numFmtId="0" fontId="14" fillId="6" borderId="6" xfId="0" applyNumberFormat="1" applyFont="1" applyFill="1" applyBorder="1" applyAlignment="1">
      <x:alignment horizontal="center"/>
    </x:xf>
    <x:xf numFmtId="0" fontId="14" fillId="6" borderId="7" xfId="0" applyNumberFormat="1" applyFont="1" applyFill="1" applyBorder="1" applyAlignment="1">
      <x:alignment horizontal="center"/>
    </x:xf>
    <x:xf numFmtId="0" fontId="14" fillId="6" borderId="4" xfId="0" applyNumberFormat="1" applyFont="1" applyFill="1" applyBorder="1" applyAlignment="1">
      <x:alignment horizontal="center" vertical="center"/>
    </x:xf>
    <x:xf numFmtId="0" fontId="14" fillId="6" borderId="5" xfId="0" applyNumberFormat="1" applyFont="1" applyFill="1" applyBorder="1" applyAlignment="1">
      <x:alignment horizontal="center" vertical="center"/>
    </x:xf>
    <x:xf numFmtId="0" fontId="14" fillId="6" borderId="6" xfId="0" applyNumberFormat="1" applyFont="1" applyFill="1" applyBorder="1" applyAlignment="1">
      <x:alignment horizontal="center" vertical="center"/>
    </x:xf>
    <x:xf numFmtId="0" fontId="14" fillId="6" borderId="7" xfId="0" applyNumberFormat="1" applyFont="1" applyFill="1" applyBorder="1" applyAlignment="1">
      <x:alignment horizontal="center" vertical="center"/>
    </x:xf>
    <x:xf numFmtId="202" fontId="14"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4" fillId="4" borderId="1" xfId="0" applyNumberFormat="1" applyFont="1" applyFill="1" applyBorder="1"/>
    <x:xf numFmtId="0" fontId="15"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cellXfs>
  <x:cellStyles count="1">
    <x:cellStyle name="Normal" xfId="0"/>
  </x:cellStyles>
  <x:dxfs count="9">
    <x:dxf>
      <x:font>
        <x:b/>
        <x:color rgb="FFB91C1C"/>
      </x:font>
      <x:fill>
        <x:patternFill patternType="solid">
          <x:bgColor rgb="FFFEE2E2"/>
        </x:patternFill>
      </x:fill>
    </x:dxf>
    <x:dxf>
      <x:font>
        <x:b/>
        <x:color rgb="FFB91C1C"/>
      </x:font>
      <x:fill>
        <x:patternFill patternType="solid">
          <x:bgColor rgb="FFFEE2E2"/>
        </x:patternFill>
      </x:fill>
    </x:dxf>
    <x:dxf>
      <x:font>
        <x:b/>
        <x:color rgb="FFD97706"/>
      </x:font>
      <x:fill>
        <x:patternFill patternType="solid">
          <x:bgColor rgb="FFFEF3C7"/>
        </x:patternFill>
      </x:fill>
    </x:dxf>
    <x:dxf>
      <x:font>
        <x:b/>
        <x:color rgb="FFD97706"/>
      </x:font>
      <x:fill>
        <x:patternFill patternType="solid">
          <x:bgColor rgb="FFFEF3C7"/>
        </x:patternFill>
      </x:fill>
    </x:dxf>
    <x:dxf>
      <x:font>
        <x:b/>
        <x:color rgb="FFB91C1C"/>
      </x:font>
      <x:fill>
        <x:patternFill patternType="solid">
          <x:bgColor rgb="FFFEE2E2"/>
        </x:patternFill>
      </x:fill>
    </x:dxf>
    <x:dxf>
      <x:font>
        <x:color rgb="FF15803D"/>
      </x:font>
      <x:fill>
        <x:patternFill patternType="solid">
          <x:bgColor rgb="FFDCFCE7"/>
        </x:patternFill>
      </x:fill>
    </x:dxf>
    <x:dxf>
      <x:font>
        <x:color rgb="FF2563EB"/>
      </x:font>
      <x:fill>
        <x:patternFill patternType="solid">
          <x:bgColor rgb="FFE8F0FE"/>
        </x:patternFill>
      </x:fill>
    </x:dxf>
    <x:dxf>
      <x:font>
        <x:b/>
        <x:color rgb="FFB91C1C"/>
      </x:font>
      <x:fill>
        <x:patternFill patternType="solid">
          <x:bgColor rgb="FFFEE2E2"/>
        </x:patternFill>
      </x:fill>
    </x:dxf>
    <x:dxf>
      <x:font>
        <x:color rgb="FF15803D"/>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74c65bd0ff4bdd" /><Relationship Type="http://schemas.openxmlformats.org/officeDocument/2006/relationships/theme" Target="/xl/theme/theme1.xml" Id="Rddf60e1fa39c45f7" /><Relationship Type="http://schemas.openxmlformats.org/officeDocument/2006/relationships/sharedStrings" Target="/xl/sharedStrings.xml" Id="R8b0c4fd8bd52469b" /><Relationship Type="http://schemas.openxmlformats.org/officeDocument/2006/relationships/worksheet" Target="/xl/worksheets/sheet1.xml" Id="R8afe53c68fcb421c" /><Relationship Type="http://schemas.openxmlformats.org/officeDocument/2006/relationships/worksheet" Target="/xl/worksheets/sheet2.xml" Id="R2afbc0884b354977" /><Relationship Type="http://schemas.openxmlformats.org/officeDocument/2006/relationships/worksheet" Target="/xl/worksheets/sheet3.xml" Id="R8cfa61b69fea407d" /><Relationship Type="http://schemas.openxmlformats.org/officeDocument/2006/relationships/worksheet" Target="/xl/worksheets/sheet4.xml" Id="Ra7ea2443cd4c4b07" /><Relationship Type="http://schemas.openxmlformats.org/officeDocument/2006/relationships/worksheet" Target="/xl/worksheets/sheet5.xml" Id="Ra2aa869ed273466f" /><Relationship Type="http://schemas.openxmlformats.org/officeDocument/2006/relationships/worksheet" Target="/xl/worksheets/sheet6.xml" Id="R75c20c401a50442c" /><Relationship Type="http://schemas.openxmlformats.org/officeDocument/2006/relationships/worksheet" Target="/xl/worksheets/sheet7.xml" Id="Ra47b6bf37c2541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aac669ae9c4fb3" /><Relationship Type="http://schemas.openxmlformats.org/officeDocument/2006/relationships/chart" Target="/xl/drawings/charts/chart2.xml" Id="Rc42c0c57f1cf44e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Query 耗时分布（秒）</a:t>
            </a:r>
          </a:p>
        </c:rich>
      </c:tx>
      <c:overlay val="0"/>
    </c:title>
    <c:plotArea>
      <c:barChart>
        <c:barDir val="col"/>
        <c:varyColors val="0"/>
        <c:ser>
          <c:idx val="0"/>
          <c:order val="0"/>
          <c:tx>
            <c:v>Query数</c:v>
          </c:tx>
          <c:cat>
            <c:strRef>
              <c:f>'执行摘要'!$O$5:$O$9</c:f>
              <c:strCache>
                <c:ptCount val="0"/>
              </c:strCache>
            </c:strRef>
          </c:cat>
          <c:val>
            <c:numRef>
              <c:f>'执行摘要'!$P$5:$P$9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合理思考与设计浪费分开统计</a:t>
            </a:r>
          </a:p>
        </c:rich>
      </c:tx>
      <c:overlay val="0"/>
    </c:title>
    <c:plotArea>
      <c:barChart>
        <c:barDir val="col"/>
        <c:varyColors val="0"/>
        <c:ser>
          <c:idx val="0"/>
          <c:order val="0"/>
          <c:tx>
            <c:v>次数</c:v>
          </c:tx>
          <c:cat>
            <c:strRef>
              <c:f>'执行摘要'!$R$5:$R$9</c:f>
              <c:strCache>
                <c:ptCount val="0"/>
              </c:strCache>
            </c:strRef>
          </c:cat>
          <c:val>
            <c:numRef>
              <c:f>'执行摘要'!$S$5:$S$9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13</xdr:row>
      <xdr:rowOff>0</xdr:rowOff>
    </xdr:from>
    <xdr:to>
      <xdr:col>6</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aac669ae9c4fb3"/>
        </a:graphicData>
      </a:graphic>
    </xdr:graphicFrame>
    <xdr:clientData/>
  </xdr:twoCellAnchor>
  <xdr:twoCellAnchor>
    <xdr:from>
      <xdr:col>7</xdr:col>
      <xdr:colOff>0</xdr:colOff>
      <xdr:row>13</xdr:row>
      <xdr:rowOff>0</xdr:rowOff>
    </xdr:from>
    <xdr:to>
      <xdr:col>13</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2c0c57f1cf44ed"/>
        </a:graphicData>
      </a:graphic>
    </xdr:graphicFrame>
    <xdr:clientData/>
  </xdr:twoCellAnchor>
</xdr:wsDr>
</file>

<file path=xl/tables/table1.xml><?xml version="1.0" encoding="utf-8"?>
<x:table xmlns:x="http://schemas.openxmlformats.org/spreadsheetml/2006/main" id="1" name="QueryDetailTable" displayName="QueryDetailTable" ref="A4:AN232" headerRowCount="1" totalsRowCount="0" totalsRowShown="0">
  <x:autoFilter ref="A4:AN232"/>
  <x:tableColumns count="40">
    <x:tableColumn id="1" name="Case ID"/>
    <x:tableColumn id="2" name="金融问题"/>
    <x:tableColumn id="3" name="Subject"/>
    <x:tableColumn id="4" name="Dataview"/>
    <x:tableColumn id="5" name="期望路由"/>
    <x:tableColumn id="6" name="实际路由"/>
    <x:tableColumn id="7" name="路由错配"/>
    <x:tableColumn id="8" name="总耗时(ms)"/>
    <x:tableColumn id="9" name="总耗时(s)"/>
    <x:tableColumn id="10" name="轮次数"/>
    <x:tableColumn id="11" name="结果状态"/>
    <x:tableColumn id="12" name="操作总数"/>
    <x:tableColumn id="13" name="合理操作"/>
    <x:tableColumn id="14" name="可解释探索"/>
    <x:tableColumn id="15" name="设计浪费"/>
    <x:tableColumn id="16" name="错误/失败"/>
    <x:tableColumn id="17" name="未判定"/>
    <x:tableColumn id="18" name="合理操作率"/>
    <x:tableColumn id="19" name="Loop数"/>
    <x:tableColumn id="20" name="重试数"/>
    <x:tableColumn id="21" name="Token"/>
    <x:tableColumn id="22" name="答案审计"/>
    <x:tableColumn id="23" name="可观察审计通过率"/>
    <x:tableColumn id="24" name="长尾"/>
    <x:tableColumn id="25" name="分析策略/步骤"/>
    <x:tableColumn id="26" name="最终回答"/>
    <x:tableColumn id="27" name="错误信息"/>
    <x:tableColumn id="28" name="开始时间"/>
    <x:tableColumn id="29" name="结束时间"/>
    <x:tableColumn id="30" name="数据源/备注"/>
    <x:tableColumn id="31" name="CC耗时(ms)"/>
    <x:tableColumn id="32" name="非CC耗时(ms)"/>
    <x:tableColumn id="33" name="首反馈(ms)"/>
    <x:tableColumn id="34" name="首进度反馈(ms)"/>
    <x:tableColumn id="35" name="Provider请求数"/>
    <x:tableColumn id="36" name="LLM调用数"/>
    <x:tableColumn id="37" name="严格有效率"/>
    <x:tableColumn id="38" name="可接受操作率"/>
    <x:tableColumn id="39" name="设计浪费率"/>
    <x:tableColumn id="40" name="实际API"/>
  </x:tableColumns>
  <x:tableStyleInfo name="TableStyleMedium2" showFirstColumn="0" showLastColumn="0" showRowStripes="1" showColumnStripes="0"/>
</x:table>
</file>

<file path=xl/tables/table2.xml><?xml version="1.0" encoding="utf-8"?>
<x:table xmlns:x="http://schemas.openxmlformats.org/spreadsheetml/2006/main" id="2" name="StageDetailTable" displayName="StageDetailTable" ref="A4:O1274" headerRowCount="1" totalsRowCount="0" totalsRowShown="0">
  <x:autoFilter ref="A4:O1274"/>
  <x:tableColumns count="15">
    <x:tableColumn id="1" name="Case ID"/>
    <x:tableColumn id="2" name="金融问题"/>
    <x:tableColumn id="3" name="阶段序号"/>
    <x:tableColumn id="4" name="阶段名称"/>
    <x:tableColumn id="5" name="开始时间"/>
    <x:tableColumn id="6" name="结束时间"/>
    <x:tableColumn id="7" name="阶段耗时(ms)"/>
    <x:tableColumn id="8" name="阶段耗时(s)"/>
    <x:tableColumn id="9" name="占总耗时"/>
    <x:tableColumn id="10" name="Query总耗时(ms)"/>
    <x:tableColumn id="11" name="阶段状态"/>
    <x:tableColumn id="12" name="阶段线索/输出"/>
    <x:tableColumn id="13" name="阶段策略"/>
    <x:tableColumn id="14" name="阶段前未归因间隔(ms)"/>
    <x:tableColumn id="15" name="计时来源"/>
  </x:tableColumns>
  <x:tableStyleInfo name="TableStyleMedium2" showFirstColumn="0" showLastColumn="0" showRowStripes="1" showColumnStripes="0"/>
</x:table>
</file>

<file path=xl/tables/table3.xml><?xml version="1.0" encoding="utf-8"?>
<x:table xmlns:x="http://schemas.openxmlformats.org/spreadsheetml/2006/main" id="3" name="OperationDetailTable" displayName="OperationDetailTable" ref="A4:W1041" headerRowCount="1" totalsRowCount="0" totalsRowShown="0">
  <x:autoFilter ref="A4:W1041"/>
  <x:tableColumns count="23">
    <x:tableColumn id="1" name="Case ID"/>
    <x:tableColumn id="2" name="金融问题"/>
    <x:tableColumn id="3" name="序号"/>
    <x:tableColumn id="4" name="所属阶段"/>
    <x:tableColumn id="5" name="操作类型"/>
    <x:tableColumn id="6" name="工具/操作"/>
    <x:tableColumn id="7" name="请求参数"/>
    <x:tableColumn id="8" name="状态"/>
    <x:tableColumn id="9" name="效率分类"/>
    <x:tableColumn id="10" name="计入合理"/>
    <x:tableColumn id="11" name="耗时(ms)"/>
    <x:tableColumn id="12" name="重试"/>
    <x:tableColumn id="13" name="Loop"/>
    <x:tableColumn id="14" name="结果/错误"/>
    <x:tableColumn id="15" name="判定依据"/>
    <x:tableColumn id="16" name="Result Ref"/>
    <x:tableColumn id="17" name="时间戳"/>
    <x:tableColumn id="18" name="API"/>
    <x:tableColumn id="19" name="Subject"/>
    <x:tableColumn id="20" name="Dataview"/>
    <x:tableColumn id="21" name="结果变量"/>
    <x:tableColumn id="22" name="返回行数"/>
    <x:tableColumn id="23" name="置信度"/>
  </x:tableColumns>
  <x:tableStyleInfo name="TableStyleMedium2" showFirstColumn="0" showLastColumn="0" showRowStripes="1" showColumnStripes="0"/>
</x:table>
</file>

<file path=xl/tables/table4.xml><?xml version="1.0" encoding="utf-8"?>
<x:table xmlns:x="http://schemas.openxmlformats.org/spreadsheetml/2006/main" id="4" name="AnswerAuditTable" displayName="AnswerAuditTable" ref="A4:N232" headerRowCount="1" totalsRowCount="0" totalsRowShown="0">
  <x:autoFilter ref="A4:N232"/>
  <x:tableColumns count="14">
    <x:tableColumn id="1" name="Case ID"/>
    <x:tableColumn id="2" name="金融问题"/>
    <x:tableColumn id="3" name="执行状态"/>
    <x:tableColumn id="4" name="答案结论"/>
    <x:tableColumn id="5" name="可观察规则通过率"/>
    <x:tableColumn id="6" name="审计理由"/>
    <x:tableColumn id="7" name="证据"/>
    <x:tableColumn id="8" name="数据时效"/>
    <x:tableColumn id="9" name="API/Schema合规"/>
    <x:tableColumn id="10" name="数值一致性"/>
    <x:tableColumn id="11" name="实体/日期正确性"/>
    <x:tableColumn id="12" name="幻觉风险"/>
    <x:tableColumn id="13" name="路由错配"/>
    <x:tableColumn id="14" name="最终回答"/>
  </x:tableColumns>
  <x:tableStyleInfo name="TableStyleMedium2" showFirstColumn="0" showLastColumn="0" showRowStripes="1" showColumnStripes="0"/>
</x:table>
</file>

<file path=xl/tables/table5.xml><?xml version="1.0" encoding="utf-8"?>
<x:table xmlns:x="http://schemas.openxmlformats.org/spreadsheetml/2006/main" id="5" name="RootCauseTable" displayName="RootCauseTable" ref="A5:H13" headerRowCount="1" totalsRowCount="0" totalsRowShown="0">
  <x:autoFilter ref="A5:H13"/>
  <x:tableColumns count="8">
    <x:tableColumn id="1" name="维度"/>
    <x:tableColumn id="2" name="根因"/>
    <x:tableColumn id="3" name="影响Case数"/>
    <x:tableColumn id="4" name="Case列表"/>
    <x:tableColumn id="5" name="估算额外耗时(ms)"/>
    <x:tableColumn id="6" name="证据"/>
    <x:tableColumn id="7" name="严重度"/>
    <x:tableColumn id="8" name="改进方向"/>
  </x:tableColumns>
  <x:tableStyleInfo name="TableStyleMedium2" showFirstColumn="0" showLastColumn="0" showRowStripes="1" showColumnStripes="0"/>
</x:table>
</file>

<file path=xl/tables/table6.xml><?xml version="1.0" encoding="utf-8"?>
<x:table xmlns:x="http://schemas.openxmlformats.org/spreadsheetml/2006/main" id="6" name="LongTailCaseTable" displayName="LongTailCaseTable" ref="A17:Q97" headerRowCount="1" totalsRowCount="0" totalsRowShown="0">
  <x:autoFilter ref="A17:Q97"/>
  <x:tableColumns count="17">
    <x:tableColumn id="1" name="Case ID"/>
    <x:tableColumn id="2" name="金融问题"/>
    <x:tableColumn id="3" name="总耗时(ms)"/>
    <x:tableColumn id="4" name="长尾阈值(ms)"/>
    <x:tableColumn id="5" name="阈值倍数"/>
    <x:tableColumn id="6" name="阶段数"/>
    <x:tableColumn id="7" name="操作数"/>
    <x:tableColumn id="8" name="Loop"/>
    <x:tableColumn id="9" name="重试"/>
    <x:tableColumn id="10" name="路由错配"/>
    <x:tableColumn id="11" name="设计浪费"/>
    <x:tableColumn id="12" name="错误/失败"/>
    <x:tableColumn id="13" name="瓶颈阶段"/>
    <x:tableColumn id="14" name="直接原因"/>
    <x:tableColumn id="15" name="根因维度"/>
    <x:tableColumn id="16" name="根因"/>
    <x:tableColumn id="17" name="改进方向"/>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dcc87243294007" /></Relationships>
</file>

<file path=xl/worksheets/_rels/sheet2.xml.rels>&#65279;<?xml version="1.0" encoding="utf-8"?><Relationships xmlns="http://schemas.openxmlformats.org/package/2006/relationships"><Relationship Type="http://schemas.openxmlformats.org/officeDocument/2006/relationships/table" Target="/xl/tables/table1.xml" Id="R2499be4e7fae40bd" /></Relationships>
</file>

<file path=xl/worksheets/_rels/sheet3.xml.rels>&#65279;<?xml version="1.0" encoding="utf-8"?><Relationships xmlns="http://schemas.openxmlformats.org/package/2006/relationships"><Relationship Type="http://schemas.openxmlformats.org/officeDocument/2006/relationships/table" Target="/xl/tables/table2.xml" Id="Rc40084e920824cc6" /></Relationships>
</file>

<file path=xl/worksheets/_rels/sheet4.xml.rels>&#65279;<?xml version="1.0" encoding="utf-8"?><Relationships xmlns="http://schemas.openxmlformats.org/package/2006/relationships"><Relationship Type="http://schemas.openxmlformats.org/officeDocument/2006/relationships/table" Target="/xl/tables/table3.xml" Id="Ra083664b1a984044" /></Relationships>
</file>

<file path=xl/worksheets/_rels/sheet5.xml.rels>&#65279;<?xml version="1.0" encoding="utf-8"?><Relationships xmlns="http://schemas.openxmlformats.org/package/2006/relationships"><Relationship Type="http://schemas.openxmlformats.org/officeDocument/2006/relationships/table" Target="/xl/tables/table4.xml" Id="Re551d22bb8e24a63" /></Relationships>
</file>

<file path=xl/worksheets/_rels/sheet6.xml.rels>&#65279;<?xml version="1.0" encoding="utf-8"?><Relationships xmlns="http://schemas.openxmlformats.org/package/2006/relationships"><Relationship Type="http://schemas.openxmlformats.org/officeDocument/2006/relationships/table" Target="/xl/tables/table5.xml" Id="R0b66985d8e8741de" /><Relationship Type="http://schemas.openxmlformats.org/officeDocument/2006/relationships/table" Target="/xl/tables/table6.xml" Id="R572670099eb2426b"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6" customHeight="1">
      <x:c r="A1" s="3" t="str">
        <x:v>金融查询全链路 API 评测｜执行摘要</x:v>
      </x:c>
      <x:c r="B1" s="3"/>
      <x:c r="C1" s="3"/>
      <x:c r="D1" s="3"/>
      <x:c r="E1" s="3"/>
      <x:c r="F1" s="3"/>
      <x:c r="G1" s="3"/>
      <x:c r="H1" s="3"/>
      <x:c r="I1" s="3"/>
      <x:c r="J1" s="3"/>
      <x:c r="K1" s="3"/>
      <x:c r="L1" s="3"/>
    </x:row>
    <x:row r="2" ht="30" customHeight="1">
      <x:c r="A2" s="7" t="str">
        <x:v>生成时间：2026/08/02 05:26:21；样本来自真实 API 批测。关注长尾与可重复设计浪费，不追求 100% 无 Loop。</x:v>
      </x:c>
      <x:c r="B2" s="7"/>
      <x:c r="C2" s="7"/>
      <x:c r="D2" s="7"/>
      <x:c r="E2" s="7"/>
      <x:c r="F2" s="7"/>
      <x:c r="G2" s="7"/>
      <x:c r="H2" s="7"/>
      <x:c r="I2" s="7"/>
      <x:c r="J2" s="7"/>
      <x:c r="K2" s="7"/>
      <x:c r="L2" s="7"/>
    </x:row>
    <x:row r="3" ht="24" customHeight="1">
      <x:c r="A3" s="43" t="str">
        <x:v>已完成 228/228 个（本表 228 行）｜长尾阈值 84.1 秒｜输入 1 个 raw 文件｜识别 8 个根因/审计信号</x:v>
      </x:c>
      <x:c r="B3" s="43"/>
      <x:c r="C3" s="43"/>
      <x:c r="D3" s="43"/>
      <x:c r="E3" s="43"/>
      <x:c r="F3" s="43"/>
      <x:c r="G3" s="43"/>
      <x:c r="H3" s="43"/>
      <x:c r="I3" s="43"/>
      <x:c r="J3" s="43"/>
      <x:c r="K3" s="43"/>
      <x:c r="L3" s="43"/>
    </x:row>
    <x:row r="4" ht="23" customHeight="1">
      <x:c r="A4" s="47" t="str">
        <x:v>逐条人工证据审计：正确 77｜部分正确 69｜错误 63｜证据不足 19。执行成功不等于答案正确。</x:v>
      </x:c>
      <x:c r="B4" s="47"/>
      <x:c r="C4" s="47"/>
      <x:c r="D4" s="47"/>
      <x:c r="E4" s="47"/>
      <x:c r="F4" s="47"/>
      <x:c r="G4" s="47"/>
      <x:c r="H4" s="47"/>
      <x:c r="I4" s="47"/>
      <x:c r="J4" s="47"/>
      <x:c r="K4" s="47"/>
      <x:c r="L4" s="47"/>
      <x:c r="O4" s="129" t="str">
        <x:v>耗时区间</x:v>
      </x:c>
      <x:c r="P4" s="129" t="str">
        <x:v>Query数</x:v>
      </x:c>
      <x:c r="R4" s="129" t="str">
        <x:v>操作分类</x:v>
      </x:c>
      <x:c r="S4" s="129" t="str">
        <x:v>次数</x:v>
      </x:c>
    </x:row>
    <x:row r="5">
      <x:c r="A5" s="53" t="str">
        <x:v>Query 数</x:v>
      </x:c>
      <x:c r="B5" s="54"/>
      <x:c r="C5" s="53" t="str">
        <x:v>成功 Query</x:v>
      </x:c>
      <x:c r="D5" s="54"/>
      <x:c r="E5" s="53" t="str">
        <x:v>平均耗时（秒）</x:v>
      </x:c>
      <x:c r="F5" s="54"/>
      <x:c r="G5" s="53" t="str">
        <x:v>P95 耗时（秒）</x:v>
      </x:c>
      <x:c r="H5" s="54"/>
      <x:c r="I5" s="53" t="str">
        <x:v>合理操作率</x:v>
      </x:c>
      <x:c r="J5" s="54"/>
      <x:c r="K5" s="53" t="str">
        <x:v>设计浪费操作</x:v>
      </x:c>
      <x:c r="L5" s="54"/>
      <x:c r="O5" s="27" t="str">
        <x:v>&lt;10秒</x:v>
      </x:c>
      <x:c r="P5" s="27" t="n">
        <x:f>COUNTIFS('Query明细'!$I$5:$I$232,"&lt;&gt;",'Query明细'!$I$5:$I$232,"&lt;10")</x:f>
        <x:v>15</x:v>
      </x:c>
      <x:c r="R5" s="27" t="str">
        <x:v>合理操作</x:v>
      </x:c>
      <x:c r="S5" s="27" t="n">
        <x:f>COUNTIF('操作明细'!$I$5:$I$1041,"合理操作")</x:f>
        <x:v>915</x:v>
      </x:c>
    </x:row>
    <x:row r="6">
      <x:c r="A6" s="68" t="n">
        <x:f>COUNTIF('Query明细'!$A$5:$A$232,"&lt;&gt;暂无数据")</x:f>
        <x:v>228</x:v>
      </x:c>
      <x:c r="B6" s="65"/>
      <x:c r="C6" s="82" t="n">
        <x:f>COUNTIF('Query明细'!$K$5:$K$232,"成功")</x:f>
        <x:v>227</x:v>
      </x:c>
      <x:c r="D6" s="79"/>
      <x:c r="E6" s="96" t="n">
        <x:f>IF(COUNT('Query明细'!$I$5:$I$232)=0,"",AVERAGE('Query明细'!$I$5:$I$232))</x:f>
        <x:v>36.51056736842106</x:v>
      </x:c>
      <x:c r="F6" s="93"/>
      <x:c r="G6" s="110" t="n">
        <x:f>IF(COUNT('Query明细'!$I$5:$I$232)=0,"",PERCENTILE.INC('Query明细'!$I$5:$I$232,0.95))</x:f>
        <x:v>84.11625199999997</x:v>
      </x:c>
      <x:c r="H6" s="107"/>
      <x:c r="I6" s="111" t="n">
        <x:f>IFERROR((SUM('Query明细'!$M$5:$M$232)+SUM('Query明细'!$N$5:$N$232))/SUM('Query明细'!$L$5:$L$232),"")</x:f>
        <x:v>0.8939247830279653</x:v>
      </x:c>
      <x:c r="J6" s="65"/>
      <x:c r="K6" s="112" t="n">
        <x:f>SUM('Query明细'!$O$5:$O$232)</x:f>
        <x:v>95</x:v>
      </x:c>
      <x:c r="L6" s="107"/>
      <x:c r="O6" s="27" t="str">
        <x:v>10–30秒</x:v>
      </x:c>
      <x:c r="P6" s="27" t="n">
        <x:f>COUNTIFS('Query明细'!$I$5:$I$232,"&lt;&gt;",'Query明细'!$I$5:$I$232,"&gt;=10",'Query明细'!$I$5:$I$232,"&lt;30")</x:f>
        <x:v>94</x:v>
      </x:c>
      <x:c r="R6" s="27" t="str">
        <x:v>可解释探索</x:v>
      </x:c>
      <x:c r="S6" s="27" t="n">
        <x:f>COUNTIF('操作明细'!$I$5:$I$1041,"可解释探索")</x:f>
        <x:v>12</x:v>
      </x:c>
    </x:row>
    <x:row r="7">
      <x:c r="A7" s="66"/>
      <x:c r="B7" s="67"/>
      <x:c r="C7" s="80"/>
      <x:c r="D7" s="81"/>
      <x:c r="E7" s="94"/>
      <x:c r="F7" s="95"/>
      <x:c r="G7" s="108"/>
      <x:c r="H7" s="109"/>
      <x:c r="I7" s="66"/>
      <x:c r="J7" s="67"/>
      <x:c r="K7" s="108"/>
      <x:c r="L7" s="109"/>
      <x:c r="O7" s="27" t="str">
        <x:v>30–60秒</x:v>
      </x:c>
      <x:c r="P7" s="27" t="n">
        <x:f>COUNTIFS('Query明细'!$I$5:$I$232,"&lt;&gt;",'Query明细'!$I$5:$I$232,"&gt;=30",'Query明细'!$I$5:$I$232,"&lt;60")</x:f>
        <x:v>92</x:v>
      </x:c>
      <x:c r="R7" s="27" t="str">
        <x:v>设计浪费</x:v>
      </x:c>
      <x:c r="S7" s="27" t="n">
        <x:f>COUNTIF('操作明细'!$I$5:$I$1041,"设计浪费")</x:f>
        <x:v>95</x:v>
      </x:c>
    </x:row>
    <x:row r="8">
      <x:c r="O8" s="27" t="str">
        <x:v>60–120秒</x:v>
      </x:c>
      <x:c r="P8" s="27" t="n">
        <x:f>COUNTIFS('Query明细'!$I$5:$I$232,"&lt;&gt;",'Query明细'!$I$5:$I$232,"&gt;=60",'Query明细'!$I$5:$I$232,"&lt;120")</x:f>
        <x:v>24</x:v>
      </x:c>
      <x:c r="R8" s="27" t="str">
        <x:v>错误/失败</x:v>
      </x:c>
      <x:c r="S8" s="27" t="n">
        <x:f>COUNTIF('操作明细'!$I$5:$I$1041,"错误/失败")</x:f>
        <x:v>0</x:v>
      </x:c>
    </x:row>
    <x:row r="9">
      <x:c r="A9" s="53" t="str">
        <x:v>失败 Query</x:v>
      </x:c>
      <x:c r="B9" s="54"/>
      <x:c r="C9" s="53" t="str">
        <x:v>路由错配</x:v>
      </x:c>
      <x:c r="D9" s="54"/>
      <x:c r="E9" s="53" t="str">
        <x:v>长尾 Query</x:v>
      </x:c>
      <x:c r="F9" s="54"/>
      <x:c r="G9" s="53" t="str">
        <x:v>操作错误/失败</x:v>
      </x:c>
      <x:c r="H9" s="54"/>
      <x:c r="I9" s="53" t="str">
        <x:v>Token 合计</x:v>
      </x:c>
      <x:c r="J9" s="54"/>
      <x:c r="K9" s="53" t="str">
        <x:v>审计为正确</x:v>
      </x:c>
      <x:c r="L9" s="54"/>
      <x:c r="O9" s="27" t="str">
        <x:v>&gt;=120秒</x:v>
      </x:c>
      <x:c r="P9" s="27" t="n">
        <x:f>COUNTIFS('Query明细'!$I$5:$I$232,"&lt;&gt;",'Query明细'!$I$5:$I$232,"&gt;=120")</x:f>
        <x:v>3</x:v>
      </x:c>
      <x:c r="R9" s="27" t="str">
        <x:v>未判定</x:v>
      </x:c>
      <x:c r="S9" s="27" t="n">
        <x:f>COUNTIF('操作明细'!$I$5:$I$1041,"未判定")</x:f>
        <x:v>15</x:v>
      </x:c>
    </x:row>
    <x:row r="10">
      <x:c r="A10" s="126" t="n">
        <x:f>COUNTIF('Query明细'!$K$5:$K$232,"失败")</x:f>
        <x:v>1</x:v>
      </x:c>
      <x:c r="B10" s="123"/>
      <x:c r="C10" s="126" t="n">
        <x:f>COUNTIF('Query明细'!$G$5:$G$232,"是")</x:f>
        <x:v>21</x:v>
      </x:c>
      <x:c r="D10" s="123"/>
      <x:c r="E10" s="112" t="n">
        <x:f>COUNTIF('Query明细'!$X$5:$X$232,"是")</x:f>
        <x:v>12</x:v>
      </x:c>
      <x:c r="F10" s="107"/>
      <x:c r="G10" s="126" t="n">
        <x:f>SUM('Query明细'!$P$5:$P$232)</x:f>
        <x:v>0</x:v>
      </x:c>
      <x:c r="H10" s="123"/>
      <x:c r="I10" s="127" t="n">
        <x:f>SUM('Query明细'!$U$5:$U$232)</x:f>
        <x:v>3673916</x:v>
      </x:c>
      <x:c r="J10" s="93"/>
      <x:c r="K10" s="82" t="n">
        <x:f>COUNTIF('Query明细'!$V$5:$V$232,"正确")</x:f>
        <x:v>77</x:v>
      </x:c>
      <x:c r="L10" s="79"/>
    </x:row>
    <x:row r="11">
      <x:c r="A11" s="124"/>
      <x:c r="B11" s="125"/>
      <x:c r="C11" s="124"/>
      <x:c r="D11" s="125"/>
      <x:c r="E11" s="108"/>
      <x:c r="F11" s="109"/>
      <x:c r="G11" s="124"/>
      <x:c r="H11" s="125"/>
      <x:c r="I11" s="94"/>
      <x:c r="J11" s="95"/>
      <x:c r="K11" s="80"/>
      <x:c r="L11" s="81"/>
    </x:row>
    <x:row r="13" ht="25" customHeight="1">
      <x:c r="A13" s="33" t="str">
        <x:v>耗时分布</x:v>
      </x:c>
      <x:c r="B13" s="33"/>
      <x:c r="C13" s="33"/>
      <x:c r="D13" s="33"/>
      <x:c r="E13" s="33"/>
      <x:c r="F13" s="33"/>
      <x:c r="H13" s="33" t="str">
        <x:v>操作效率结构</x:v>
      </x:c>
      <x:c r="I13" s="33"/>
      <x:c r="J13" s="33"/>
      <x:c r="K13" s="33"/>
      <x:c r="L13" s="33"/>
      <x:c r="M13" s="33"/>
    </x:row>
    <x:row r="30" ht="25" customHeight="1">
      <x:c r="A30" s="33" t="str">
        <x:v>最重要的设计级根因（来自 analysis.json / trace 证据）</x:v>
      </x:c>
      <x:c r="B30" s="33"/>
      <x:c r="C30" s="33"/>
      <x:c r="D30" s="33"/>
      <x:c r="E30" s="33"/>
      <x:c r="F30" s="33"/>
      <x:c r="G30" s="33"/>
      <x:c r="H30" s="33"/>
      <x:c r="I30" s="33"/>
      <x:c r="J30" s="33"/>
      <x:c r="K30" s="33"/>
      <x:c r="L30" s="33"/>
    </x:row>
    <x:row r="31">
      <x:c r="A31" s="131" t="str">
        <x:v>维度</x:v>
      </x:c>
      <x:c r="B31" s="131" t="str">
        <x:v>根因</x:v>
      </x:c>
      <x:c r="C31" s="131" t="str"/>
      <x:c r="D31" s="131" t="str">
        <x:v>影响Case数</x:v>
      </x:c>
      <x:c r="E31" s="131" t="str">
        <x:v>证据</x:v>
      </x:c>
      <x:c r="F31" s="131" t="str"/>
      <x:c r="G31" s="131" t="str"/>
      <x:c r="H31" s="131" t="str"/>
      <x:c r="I31" s="131" t="str">
        <x:v>建议方向</x:v>
      </x:c>
      <x:c r="J31" s="131" t="str"/>
      <x:c r="K31" s="131" t="str"/>
      <x:c r="L31" s="131" t="str"/>
    </x:row>
    <x:row r="32" ht="56" customHeight="1">
      <x:c r="A32" s="133" t="str">
        <x:v>系统路由</x:v>
      </x:c>
      <x:c r="B32" s="133" t="str">
        <x:v>明确的金融数据意图仍可能在进入金融查询前被通用澄清或默认助手截断</x:v>
      </x:c>
      <x:c r="C32" s="133" t="str"/>
      <x:c r="D32" s="133" t="n">
        <x:v>21</x:v>
      </x:c>
      <x:c r="E32" s="133" t="str">
        <x:v>人工审计确认 21 条 route_ok=false；其中包含股票筛选、行业聚合、债券发行人和 hot_event 查询。快速返回不代表主线有效。</x:v>
      </x:c>
      <x:c r="F32" s="133" t="str"/>
      <x:c r="G32" s="133" t="str"/>
      <x:c r="H32" s="133" t="str"/>
      <x:c r="I32" s="133" t="str">
        <x:v>先补齐顶层业务责任描述与入口契约；路由只决定是否进入金融查询，不替下游猜业务细节。</x:v>
      </x:c>
      <x:c r="J32" s="133" t="str"/>
      <x:c r="K32" s="133" t="str"/>
      <x:c r="L32" s="133" t="str"/>
    </x:row>
    <x:row r="33" ht="56" customHeight="1">
      <x:c r="A33" s="133" t="str">
        <x:v>HARD 结果协议</x:v>
      </x:c>
      <x:c r="B33" s="133" t="str">
        <x:v>返回样本、全集规模与下游可用完整性没有成为稳定事实</x:v>
      </x:c>
      <x:c r="C33" s="133" t="str"/>
      <x:c r="D33" s="133" t="n">
        <x:v>30</x:v>
      </x:c>
      <x:c r="E33" s="133" t="str">
        <x:v>limit=50/100、limit=-1仍封顶、以及2000字符答案上限多次被当成全量；上游截断继续污染计数、TopN、均值和跨表筛选。</x:v>
      </x:c>
      <x:c r="F33" s="133" t="str"/>
      <x:c r="G33" s="133" t="str"/>
      <x:c r="H33" s="133" t="str"/>
      <x:c r="I33" s="133" t="str">
        <x:v>统一 returned_count、total_count/unknown、truncated、sample_complete，并让不完整性随 result_ref 进入下一步。</x:v>
      </x:c>
      <x:c r="J33" s="133" t="str"/>
      <x:c r="K33" s="133" t="str"/>
      <x:c r="L33" s="133" t="str"/>
    </x:row>
    <x:row r="34" ht="56" customHeight="1">
      <x:c r="A34" s="133" t="str">
        <x:v>工具/数据流</x:v>
      </x:c>
      <x:c r="B34" s="133" t="str">
        <x:v>缺少 groupwise-latest、稳定 Join 与当前成员快照语义</x:v>
      </x:c>
      <x:c r="C34" s="133" t="str"/>
      <x:c r="D34" s="133" t="n">
        <x:v>18</x:v>
      </x:c>
      <x:c r="E34" s="133" t="str">
        <x:v>股东、行业成分、热点 state/member 等视图需要每实体最新一条或当前批次；模型只能在截断历史样本上临时聚合，轮次增加后结论仍不可证。</x:v>
      </x:c>
      <x:c r="F34" s="133" t="str"/>
      <x:c r="G34" s="133" t="str"/>
      <x:c r="H34" s="133" t="str"/>
      <x:c r="I34" s="133" t="str">
        <x:v>把每实体最新、当前快照、成员集合一致性做成通用查询能力或可组合执行原语，而不是继续加提示词。</x:v>
      </x:c>
      <x:c r="J34" s="133" t="str"/>
      <x:c r="K34" s="133" t="str"/>
      <x:c r="L34" s="133" t="str"/>
    </x:row>
    <x:row r="35" ht="56" customHeight="1">
      <x:c r="A35" s="133" t="str">
        <x:v>工具契约/Harness</x:v>
      </x:c>
      <x:c r="B35" s="133" t="str">
        <x:v>过滤、中文枚举和代码规范化失败方式不一致，部分无效过滤会静默返回未过滤数据</x:v>
      </x:c>
      <x:c r="C35" s="133" t="str"/>
      <x:c r="D35" s="133" t="n">
        <x:v>18</x:v>
      </x:c>
      <x:c r="E35" s="133" t="str">
        <x:v>LIKE、债券名称/代码范围、热点日期偏移和带市场后缀代码在多条 Case 中出现空查或静默失效；BUS203/204因此产生长循环。</x:v>
      </x:c>
      <x:c r="F35" s="133" t="str"/>
      <x:c r="G35" s="133" t="str"/>
      <x:c r="H35" s="133" t="str"/>
      <x:c r="I35" s="133" t="str">
        <x:v>目录一次说明可用语法和枚举；执行层必须返回实际应用的 filter/selection 及未支持项，不能把请求参数回显当成已生效证据。</x:v>
      </x:c>
      <x:c r="J35" s="133" t="str"/>
      <x:c r="K35" s="133" t="str"/>
      <x:c r="L35" s="133" t="str"/>
    </x:row>
    <x:row r="36" ht="56" customHeight="1">
      <x:c r="A36" s="133" t="str">
        <x:v>时间协议</x:v>
      </x:c>
      <x:c r="B36" s="133" t="str">
        <x:v>全局交易日与各 dataview 最新可用日期、窗口结束日和日内最后快照没有统一解析</x:v>
      </x:c>
      <x:c r="C36" s="133" t="str"/>
      <x:c r="D36" s="133" t="n">
        <x:v>22</x:v>
      </x:c>
      <x:c r="E36" s="133" t="str">
        <x:v>同一交易日下行情、融资、估值、热点等数据新鲜度不同；出现空查、陈旧快照当当前值，以及窗口 end_date 被补写。</x:v>
      </x:c>
      <x:c r="F36" s="133" t="str"/>
      <x:c r="G36" s="133" t="str"/>
      <x:c r="H36" s="133" t="str"/>
      <x:c r="I36" s="133" t="str">
        <x:v>先由交易日模块解析用户日期，再由目标 dataview 返回真实 as_of/end_date；非交易日回退和数据滞后都显式展示。</x:v>
      </x:c>
      <x:c r="J36" s="133" t="str"/>
      <x:c r="K36" s="133" t="str"/>
      <x:c r="L36" s="133" t="str"/>
    </x:row>
    <x:row r="37" ht="56" customHeight="1">
      <x:c r="A37" s="133" t="str">
        <x:v>Renderer</x:v>
      </x:c>
      <x:c r="B37" s="133" t="str">
        <x:v>最终表达仍会越过证据边界，且字段单位、行对齐和完整列表交付不稳定</x:v>
      </x:c>
      <x:c r="C37" s="133" t="str"/>
      <x:c r="D37" s="133" t="n">
        <x:v>31</x:v>
      </x:c>
      <x:c r="E37" s="133" t="str">
        <x:v>逐案复核发现比例10/100倍误读、元/亿元换算错误、零行推导生命周期、有限字段推导因果/龙头，以及完整结果漏行。</x:v>
      </x:c>
      <x:c r="F37" s="133" t="str"/>
      <x:c r="G37" s="133" t="str"/>
      <x:c r="H37" s="133" t="str"/>
      <x:c r="I37" s="133" t="str">
        <x:v>Renderer消费字段级单位和证据边界；大结果转表格/附件；原因解释若非工具证据则降级为假设并明确标记。</x:v>
      </x:c>
      <x:c r="J37" s="133" t="str"/>
      <x:c r="K37" s="133" t="str"/>
      <x:c r="L37" s="133" t="str"/>
    </x:row>
    <x:row r="38" ht="56" customHeight="1">
      <x:c r="A38" s="133" t="str">
        <x:v>性能/可观测性</x:v>
      </x:c>
      <x:c r="B38" s="133" t="str">
        <x:v>少数长尾由数据查询或模型等待主导，并非减少 loop 就能解决</x:v>
      </x:c>
      <x:c r="C38" s="133" t="str"/>
      <x:c r="D38" s="133" t="n">
        <x:v>6</x:v>
      </x:c>
      <x:c r="E38" s="133" t="str">
        <x:v>BUS012 单次全市场实时排序查询约93.5秒；BUS194仅2次 finance_query仍耗时97.8秒。现有查询阶段是SSE估算，缺少逐工具服务端精确span。</x:v>
      </x:c>
      <x:c r="F38" s="133" t="str"/>
      <x:c r="G38" s="133" t="str"/>
      <x:c r="H38" s="133" t="str"/>
      <x:c r="I38" s="133" t="str">
        <x:v>增加目录、模型决策、SQL/API、结果装载、Renderer 的服务端 span；分别治理慢查询和推理等待，不用工具次数代理全部耗时。</x:v>
      </x:c>
      <x:c r="J38" s="133" t="str"/>
      <x:c r="K38" s="133" t="str"/>
      <x:c r="L38" s="133" t="str"/>
    </x:row>
    <x:row r="39" ht="56" customHeight="1">
      <x:c r="A39" s="133" t="str">
        <x:v>Harness效率</x:v>
      </x:c>
      <x:c r="B39" s="133" t="str">
        <x:v>能力发现仍依赖多层目录和试探，但一次有针对性的恢复通常是合理的</x:v>
      </x:c>
      <x:c r="C39" s="133" t="str"/>
      <x:c r="D39" s="133" t="n">
        <x:v>13</x:v>
      </x:c>
      <x:c r="E39" s="133" t="str">
        <x:v>全量 1037 次操作中，设计浪费率为 9.16%；主要是终态零结果后继续重查、重复装载和无效过滤恢复，而非所有loop。</x:v>
      </x:c>
      <x:c r="F39" s="133" t="str"/>
      <x:c r="G39" s="133" t="str"/>
      <x:c r="H39" s="133" t="str"/>
      <x:c r="I39" s="133" t="str">
        <x:v>保留一次有解释的纠错；目录先给全局五类规则与目标dataview完整协议，失败反馈直接指出不可用字段/语法和可恢复方向。</x:v>
      </x:c>
      <x:c r="J39" s="133" t="str"/>
      <x:c r="K39" s="133" t="str"/>
      <x:c r="L39" s="133" t="str"/>
    </x:row>
  </x:sheetData>
  <x:mergeCells>
    <x:mergeCell ref="A1:L1"/>
    <x:mergeCell ref="A2:L2"/>
    <x:mergeCell ref="A3:L3"/>
    <x:mergeCell ref="A4:L4"/>
    <x:mergeCell ref="A5:B5"/>
    <x:mergeCell ref="A6:B7"/>
    <x:mergeCell ref="C5:D5"/>
    <x:mergeCell ref="C6:D7"/>
    <x:mergeCell ref="E5:F5"/>
    <x:mergeCell ref="E6:F7"/>
    <x:mergeCell ref="G5:H5"/>
    <x:mergeCell ref="G6:H7"/>
    <x:mergeCell ref="I5:J5"/>
    <x:mergeCell ref="I6:J7"/>
    <x:mergeCell ref="K5:L5"/>
    <x:mergeCell ref="K6:L7"/>
    <x:mergeCell ref="A9:B9"/>
    <x:mergeCell ref="A10:B11"/>
    <x:mergeCell ref="C9:D9"/>
    <x:mergeCell ref="C10:D11"/>
    <x:mergeCell ref="E9:F9"/>
    <x:mergeCell ref="E10:F11"/>
    <x:mergeCell ref="G9:H9"/>
    <x:mergeCell ref="G10:H11"/>
    <x:mergeCell ref="I9:J9"/>
    <x:mergeCell ref="I10:J11"/>
    <x:mergeCell ref="K9:L9"/>
    <x:mergeCell ref="K10:L11"/>
    <x:mergeCell ref="A13:F13"/>
    <x:mergeCell ref="H13:M13"/>
    <x:mergeCell ref="A30:L30"/>
    <x:mergeCell ref="B31:C31"/>
    <x:mergeCell ref="E31:H31"/>
    <x:mergeCell ref="I31:L31"/>
    <x:mergeCell ref="B32:C32"/>
    <x:mergeCell ref="E32:H32"/>
    <x:mergeCell ref="I32:L32"/>
    <x:mergeCell ref="B33:C33"/>
    <x:mergeCell ref="E33:H33"/>
    <x:mergeCell ref="I33:L33"/>
    <x:mergeCell ref="B34:C34"/>
    <x:mergeCell ref="E34:H34"/>
    <x:mergeCell ref="I34:L34"/>
    <x:mergeCell ref="B35:C35"/>
    <x:mergeCell ref="E35:H35"/>
    <x:mergeCell ref="I35:L35"/>
    <x:mergeCell ref="B36:C36"/>
    <x:mergeCell ref="E36:H36"/>
    <x:mergeCell ref="I36:L36"/>
    <x:mergeCell ref="B37:C37"/>
    <x:mergeCell ref="E37:H37"/>
    <x:mergeCell ref="I37:L37"/>
    <x:mergeCell ref="B38:C38"/>
    <x:mergeCell ref="E38:H38"/>
    <x:mergeCell ref="I38:L38"/>
    <x:mergeCell ref="B39:C39"/>
    <x:mergeCell ref="E39:H39"/>
    <x:mergeCell ref="I39:L39"/>
  </x:mergeCells>
  <x:pageMargins left="0.7" right="0.7" top="0.75" bottom="0.75" header="0.3" footer="0.3"/>
  <x:drawing xmlns:r="http://schemas.openxmlformats.org/officeDocument/2006/relationships" r:id="R3bdcc87243294007"/>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13" hidden="0" customWidth="1"/>
    <x:col min="4" max="4" width="18" hidden="0" customWidth="1"/>
    <x:col min="5" max="5" width="18" hidden="0" customWidth="1"/>
    <x:col min="6" max="6" width="24" hidden="0" customWidth="1"/>
    <x:col min="7" max="7" width="10" hidden="0" customWidth="1"/>
    <x:col min="8" max="8" width="13" hidden="0" customWidth="1"/>
    <x:col min="9" max="9" width="12" hidden="0" customWidth="1"/>
    <x:col min="10" max="10" width="9" hidden="0" customWidth="1"/>
    <x:col min="11" max="11" width="11" hidden="0" customWidth="1"/>
    <x:col min="12" max="12" width="10" hidden="0" customWidth="1"/>
    <x:col min="13" max="13" width="10" hidden="0" customWidth="1"/>
    <x:col min="14" max="14" width="11" hidden="0" customWidth="1"/>
    <x:col min="15" max="15" width="10" hidden="0" customWidth="1"/>
    <x:col min="16" max="16" width="10" hidden="0" customWidth="1"/>
    <x:col min="17" max="17" width="10" hidden="0" customWidth="1"/>
    <x:col min="18" max="18" width="12" hidden="0" customWidth="1"/>
    <x:col min="19" max="19" width="8" hidden="0" customWidth="1"/>
    <x:col min="20" max="20" width="8" hidden="0" customWidth="1"/>
    <x:col min="21" max="21" width="11" hidden="0" customWidth="1"/>
    <x:col min="22" max="22" width="11" hidden="0" customWidth="1"/>
    <x:col min="23" max="23" width="12" hidden="0" customWidth="1"/>
    <x:col min="24" max="24" width="9" hidden="0" customWidth="1"/>
    <x:col min="25" max="25" width="54" hidden="0" customWidth="1"/>
    <x:col min="26" max="26" width="68" hidden="0" customWidth="1"/>
    <x:col min="27" max="27" width="42" hidden="0" customWidth="1"/>
    <x:col min="28" max="28" width="20" hidden="0" customWidth="1"/>
    <x:col min="29" max="29" width="20" hidden="0" customWidth="1"/>
    <x:col min="30" max="30" width="28" hidden="0" customWidth="1"/>
    <x:col min="31" max="31" width="13" hidden="0" customWidth="1"/>
    <x:col min="32" max="32" width="14" hidden="0" customWidth="1"/>
    <x:col min="33" max="33" width="13" hidden="0" customWidth="1"/>
    <x:col min="34" max="34" width="15" hidden="0" customWidth="1"/>
    <x:col min="35" max="35" width="13" hidden="0" customWidth="1"/>
    <x:col min="36" max="36" width="11" hidden="0" customWidth="1"/>
    <x:col min="37" max="37" width="12" hidden="0" customWidth="1"/>
    <x:col min="38" max="38" width="14" hidden="0" customWidth="1"/>
    <x:col min="39" max="39" width="12" hidden="0" customWidth="1"/>
    <x:col min="40" max="40" width="30" hidden="0" customWidth="1"/>
  </x:cols>
  <x:sheetData>
    <x:row r="1" ht="36" customHeight="1">
      <x:c r="A1" s="3" t="str">
        <x:v>Query 明细｜全链路事实底表</x:v>
      </x:c>
      <x:c r="B1" s="3"/>
      <x:c r="C1" s="3"/>
      <x:c r="D1" s="3"/>
      <x:c r="E1" s="3"/>
      <x:c r="F1" s="3"/>
      <x:c r="G1" s="3"/>
      <x:c r="H1" s="3"/>
      <x:c r="I1" s="3"/>
      <x:c r="J1" s="3"/>
      <x:c r="K1" s="3"/>
      <x:c r="L1" s="3"/>
    </x:row>
    <x:row r="2" ht="30" customHeight="1">
      <x:c r="A2" s="7" t="str">
        <x:v>生成时间：2026/08/02 05:26:21；每行对应一个真实 API Query，回答与策略长文本保留用于复核。</x:v>
      </x:c>
      <x:c r="B2" s="7"/>
      <x:c r="C2" s="7"/>
      <x:c r="D2" s="7"/>
      <x:c r="E2" s="7"/>
      <x:c r="F2" s="7"/>
      <x:c r="G2" s="7"/>
      <x:c r="H2" s="7"/>
      <x:c r="I2" s="7"/>
      <x:c r="J2" s="7"/>
      <x:c r="K2" s="7"/>
      <x:c r="L2" s="7"/>
    </x:row>
    <x:row r="4" ht="28" customHeight="1">
      <x:c r="A4" s="13" t="str">
        <x:v>Case ID</x:v>
      </x:c>
      <x:c r="B4" s="13" t="str">
        <x:v>金融问题</x:v>
      </x:c>
      <x:c r="C4" s="13" t="str">
        <x:v>Subject</x:v>
      </x:c>
      <x:c r="D4" s="13" t="str">
        <x:v>Dataview</x:v>
      </x:c>
      <x:c r="E4" s="13" t="str">
        <x:v>期望路由</x:v>
      </x:c>
      <x:c r="F4" s="13" t="str">
        <x:v>实际路由</x:v>
      </x:c>
      <x:c r="G4" s="13" t="str">
        <x:v>路由错配</x:v>
      </x:c>
      <x:c r="H4" s="13" t="str">
        <x:v>总耗时(ms)</x:v>
      </x:c>
      <x:c r="I4" s="13" t="str">
        <x:v>总耗时(s)</x:v>
      </x:c>
      <x:c r="J4" s="13" t="str">
        <x:v>轮次数</x:v>
      </x:c>
      <x:c r="K4" s="13" t="str">
        <x:v>结果状态</x:v>
      </x:c>
      <x:c r="L4" s="13" t="str">
        <x:v>操作总数</x:v>
      </x:c>
      <x:c r="M4" s="13" t="str">
        <x:v>合理操作</x:v>
      </x:c>
      <x:c r="N4" s="13" t="str">
        <x:v>可解释探索</x:v>
      </x:c>
      <x:c r="O4" s="13" t="str">
        <x:v>设计浪费</x:v>
      </x:c>
      <x:c r="P4" s="13" t="str">
        <x:v>错误/失败</x:v>
      </x:c>
      <x:c r="Q4" s="13" t="str">
        <x:v>未判定</x:v>
      </x:c>
      <x:c r="R4" s="13" t="str">
        <x:v>合理操作率</x:v>
      </x:c>
      <x:c r="S4" s="13" t="str">
        <x:v>Loop数</x:v>
      </x:c>
      <x:c r="T4" s="13" t="str">
        <x:v>重试数</x:v>
      </x:c>
      <x:c r="U4" s="13" t="str">
        <x:v>Token</x:v>
      </x:c>
      <x:c r="V4" s="13" t="str">
        <x:v>答案审计</x:v>
      </x:c>
      <x:c r="W4" s="13" t="str">
        <x:v>可观察审计通过率</x:v>
      </x:c>
      <x:c r="X4" s="13" t="str">
        <x:v>长尾</x:v>
      </x:c>
      <x:c r="Y4" s="13" t="str">
        <x:v>分析策略/步骤</x:v>
      </x:c>
      <x:c r="Z4" s="13" t="str">
        <x:v>最终回答</x:v>
      </x:c>
      <x:c r="AA4" s="13" t="str">
        <x:v>错误信息</x:v>
      </x:c>
      <x:c r="AB4" s="13" t="str">
        <x:v>开始时间</x:v>
      </x:c>
      <x:c r="AC4" s="13" t="str">
        <x:v>结束时间</x:v>
      </x:c>
      <x:c r="AD4" s="13" t="str">
        <x:v>数据源/备注</x:v>
      </x:c>
      <x:c r="AE4" s="13" t="str">
        <x:v>CC耗时(ms)</x:v>
      </x:c>
      <x:c r="AF4" s="13" t="str">
        <x:v>非CC耗时(ms)</x:v>
      </x:c>
      <x:c r="AG4" s="13" t="str">
        <x:v>首反馈(ms)</x:v>
      </x:c>
      <x:c r="AH4" s="13" t="str">
        <x:v>首进度反馈(ms)</x:v>
      </x:c>
      <x:c r="AI4" s="13" t="str">
        <x:v>Provider请求数</x:v>
      </x:c>
      <x:c r="AJ4" s="13" t="str">
        <x:v>LLM调用数</x:v>
      </x:c>
      <x:c r="AK4" s="13" t="str">
        <x:v>严格有效率</x:v>
      </x:c>
      <x:c r="AL4" s="13" t="str">
        <x:v>可接受操作率</x:v>
      </x:c>
      <x:c r="AM4" s="13" t="str">
        <x:v>设计浪费率</x:v>
      </x:c>
      <x:c r="AN4" s="13" t="str">
        <x:v>实际API</x:v>
      </x:c>
    </x:row>
    <x:row r="5" ht="58" customHeight="1">
      <x:c r="A5" s="17" t="str">
        <x:v>BUS001</x:v>
      </x:c>
      <x:c r="B5" s="17" t="str">
        <x:v>查询贵州茅台的股票代码、所属行业和上市日期。</x:v>
      </x:c>
      <x:c r="C5" s="17" t="str">
        <x:v>stock</x:v>
      </x:c>
      <x:c r="D5" s="17" t="str">
        <x:v>stock.basic_info</x:v>
      </x:c>
      <x:c r="E5" s="17" t="str"/>
      <x:c r="F5" s="17" t="str">
        <x:v>financial_qa_cc</x:v>
      </x:c>
      <x:c r="G5" s="17" t="str">
        <x:v>否</x:v>
      </x:c>
      <x:c r="H5" s="18" t="n">
        <x:v>16182.25</x:v>
      </x:c>
      <x:c r="I5" s="18" t="n">
        <x:f>IFERROR(H5/1000,"")</x:f>
        <x:v>16.18225</x:v>
      </x:c>
      <x:c r="J5" s="17" t="n">
        <x:v>6</x:v>
      </x:c>
      <x:c r="K5" s="17" t="str">
        <x:v>成功</x:v>
      </x:c>
      <x:c r="L5" s="17" t="n">
        <x:v>2</x:v>
      </x:c>
      <x:c r="M5" s="17" t="n">
        <x:v>2</x:v>
      </x:c>
      <x:c r="N5" s="17" t="n">
        <x:v>0</x:v>
      </x:c>
      <x:c r="O5" s="17" t="n">
        <x:v>0</x:v>
      </x:c>
      <x:c r="P5" s="17" t="n">
        <x:v>0</x:v>
      </x:c>
      <x:c r="Q5" s="17" t="n">
        <x:v>0</x:v>
      </x:c>
      <x:c r="R5" s="19" t="n">
        <x:f>IFERROR((M5+N5)/L5,"")</x:f>
        <x:v>1</x:v>
      </x:c>
      <x:c r="S5" s="17" t="n">
        <x:v>0</x:v>
      </x:c>
      <x:c r="T5" s="17" t="n">
        <x:v>0</x:v>
      </x:c>
      <x:c r="U5" s="17" t="n">
        <x:v>4255</x:v>
      </x:c>
      <x:c r="V5" s="17" t="str">
        <x:v>正确</x:v>
      </x:c>
      <x:c r="W5" s="19" t="n">
        <x:v>1</x:v>
      </x:c>
      <x:c r="X5" s="17" t="str">
        <x:v>否</x:v>
      </x:c>
      <x:c r="Y5" s="17" t="str"/>
      <x:c r="Z5" s="17" t="str">
        <x:v>贵州茅台的基础信息如下：
- **股票代码**：600519.SH
- **所属行业**：白酒Ⅲ
- **上市日期**：2001-08-27</x:v>
      </x:c>
      <x:c r="AA5" s="17" t="str"/>
      <x:c r="AB5" s="17" t="n">
        <x:v>46235.82217810185</x:v>
      </x:c>
      <x:c r="AC5" s="17" t="n">
        <x:v>46235.822365405096</x:v>
      </x:c>
      <x:c r="AD5" s="17" t="str">
        <x:v>analysis.json</x:v>
      </x:c>
      <x:c r="AE5" s="18" t="n">
        <x:v>7681</x:v>
      </x:c>
      <x:c r="AF5" s="18" t="n">
        <x:v>8501.25</x:v>
      </x:c>
      <x:c r="AG5" s="18" t="n">
        <x:v>743.98</x:v>
      </x:c>
      <x:c r="AH5" s="18" t="n">
        <x:v>5267.36</x:v>
      </x:c>
      <x:c r="AI5" s="17" t="n">
        <x:v>6</x:v>
      </x:c>
      <x:c r="AJ5" s="17" t="n">
        <x:v>1</x:v>
      </x:c>
      <x:c r="AK5" s="19" t="n">
        <x:v>1</x:v>
      </x:c>
      <x:c r="AL5" s="19" t="n">
        <x:v>1</x:v>
      </x:c>
      <x:c r="AM5" s="19" t="n">
        <x:v>0</x:v>
      </x:c>
      <x:c r="AN5" s="17" t="str">
        <x:v>[
  "stock.basic_info"
]</x:v>
      </x:c>
    </x:row>
    <x:row r="6" ht="58" customHeight="1">
      <x:c r="A6" s="17" t="str">
        <x:v>BUS002</x:v>
      </x:c>
      <x:c r="B6" s="17" t="str">
        <x:v>查询宁德时代的股票代码、股票名称、所属行业。</x:v>
      </x:c>
      <x:c r="C6" s="17" t="str">
        <x:v>stock</x:v>
      </x:c>
      <x:c r="D6" s="17" t="str">
        <x:v>stock.basic_info</x:v>
      </x:c>
      <x:c r="E6" s="17" t="str"/>
      <x:c r="F6" s="17" t="str">
        <x:v>financial_qa_cc</x:v>
      </x:c>
      <x:c r="G6" s="17" t="str">
        <x:v>否</x:v>
      </x:c>
      <x:c r="H6" s="18" t="n">
        <x:v>15779.27</x:v>
      </x:c>
      <x:c r="I6" s="18" t="n">
        <x:f>IFERROR(H6/1000,"")</x:f>
        <x:v>15.77927</x:v>
      </x:c>
      <x:c r="J6" s="17" t="n">
        <x:v>6</x:v>
      </x:c>
      <x:c r="K6" s="17" t="str">
        <x:v>成功</x:v>
      </x:c>
      <x:c r="L6" s="17" t="n">
        <x:v>2</x:v>
      </x:c>
      <x:c r="M6" s="17" t="n">
        <x:v>2</x:v>
      </x:c>
      <x:c r="N6" s="17" t="n">
        <x:v>0</x:v>
      </x:c>
      <x:c r="O6" s="17" t="n">
        <x:v>0</x:v>
      </x:c>
      <x:c r="P6" s="17" t="n">
        <x:v>0</x:v>
      </x:c>
      <x:c r="Q6" s="17" t="n">
        <x:v>0</x:v>
      </x:c>
      <x:c r="R6" s="19" t="n">
        <x:f>IFERROR((M6+N6)/L6,"")</x:f>
        <x:v>1</x:v>
      </x:c>
      <x:c r="S6" s="17" t="n">
        <x:v>0</x:v>
      </x:c>
      <x:c r="T6" s="17" t="n">
        <x:v>0</x:v>
      </x:c>
      <x:c r="U6" s="17" t="n">
        <x:v>4150</x:v>
      </x:c>
      <x:c r="V6" s="17" t="str">
        <x:v>正确</x:v>
      </x:c>
      <x:c r="W6" s="19" t="n">
        <x:v>1</x:v>
      </x:c>
      <x:c r="X6" s="17" t="str">
        <x:v>否</x:v>
      </x:c>
      <x:c r="Y6" s="17" t="str"/>
      <x:c r="Z6" s="17" t="str">
        <x:v>宁德时代的信息如下：
- **股票代码**：300750.SZ
- **股票名称**：宁德时代
- **所属行业**：锂电池</x:v>
      </x:c>
      <x:c r="AA6" s="17" t="str"/>
      <x:c r="AB6" s="17" t="n">
        <x:v>46235.822178125</x:v>
      </x:c>
      <x:c r="AC6" s="17" t="n">
        <x:v>46235.82236076389</x:v>
      </x:c>
      <x:c r="AD6" s="17" t="str">
        <x:v>analysis.json</x:v>
      </x:c>
      <x:c r="AE6" s="18" t="n">
        <x:v>7048</x:v>
      </x:c>
      <x:c r="AF6" s="18" t="n">
        <x:v>8731.27</x:v>
      </x:c>
      <x:c r="AG6" s="18" t="n">
        <x:v>804.77</x:v>
      </x:c>
      <x:c r="AH6" s="18" t="n">
        <x:v>5746.22</x:v>
      </x:c>
      <x:c r="AI6" s="17" t="n">
        <x:v>6</x:v>
      </x:c>
      <x:c r="AJ6" s="17" t="n">
        <x:v>1</x:v>
      </x:c>
      <x:c r="AK6" s="19" t="n">
        <x:v>1</x:v>
      </x:c>
      <x:c r="AL6" s="19" t="n">
        <x:v>1</x:v>
      </x:c>
      <x:c r="AM6" s="19" t="n">
        <x:v>0</x:v>
      </x:c>
      <x:c r="AN6" s="17" t="str">
        <x:v>[
  "stock.basic_info"
]</x:v>
      </x:c>
    </x:row>
    <x:row r="7" ht="58" customHeight="1">
      <x:c r="A7" s="17" t="str">
        <x:v>BUS003</x:v>
      </x:c>
      <x:c r="B7" s="17" t="str">
        <x:v>筛选所属行业包含银行的股票，返回代码、名称和上市日期。</x:v>
      </x:c>
      <x:c r="C7" s="17" t="str">
        <x:v>stock</x:v>
      </x:c>
      <x:c r="D7" s="17" t="str">
        <x:v>stock.basic_info</x:v>
      </x:c>
      <x:c r="E7" s="17" t="str"/>
      <x:c r="F7" s="17" t="str">
        <x:v>financial_qa_cc</x:v>
      </x:c>
      <x:c r="G7" s="17" t="str">
        <x:v>否</x:v>
      </x:c>
      <x:c r="H7" s="18" t="n">
        <x:v>22493.96</x:v>
      </x:c>
      <x:c r="I7" s="18" t="n">
        <x:f>IFERROR(H7/1000,"")</x:f>
        <x:v>22.493959999999998</x:v>
      </x:c>
      <x:c r="J7" s="17" t="n">
        <x:v>8</x:v>
      </x:c>
      <x:c r="K7" s="17" t="str">
        <x:v>成功</x:v>
      </x:c>
      <x:c r="L7" s="17" t="n">
        <x:v>3</x:v>
      </x:c>
      <x:c r="M7" s="17" t="n">
        <x:v>3</x:v>
      </x:c>
      <x:c r="N7" s="17" t="n">
        <x:v>0</x:v>
      </x:c>
      <x:c r="O7" s="17" t="n">
        <x:v>0</x:v>
      </x:c>
      <x:c r="P7" s="17" t="n">
        <x:v>0</x:v>
      </x:c>
      <x:c r="Q7" s="17" t="n">
        <x:v>0</x:v>
      </x:c>
      <x:c r="R7" s="19" t="n">
        <x:f>IFERROR((M7+N7)/L7,"")</x:f>
        <x:v>1</x:v>
      </x:c>
      <x:c r="S7" s="17" t="n">
        <x:v>0</x:v>
      </x:c>
      <x:c r="T7" s="17" t="n">
        <x:v>0</x:v>
      </x:c>
      <x:c r="U7" s="17" t="n">
        <x:v>7041</x:v>
      </x:c>
      <x:c r="V7" s="17" t="str">
        <x:v>部分正确</x:v>
      </x:c>
      <x:c r="W7" s="19" t="n">
        <x:v>1</x:v>
      </x:c>
      <x:c r="X7" s="17" t="str">
        <x:v>否</x:v>
      </x:c>
      <x:c r="Y7" s="17" t="str"/>
      <x:c r="Z7" s="17" t="str">
        <x:v>A股所属行业为银行的股票共 **15 只**，涵盖国有大型银行和股份制银行两类，具体如下：
| 代码 | 名称 | 行业分类 | 上市日期 |
|:--|:--|:--|:--|
| 000001.SZ | 平安银行 | 股份制银行Ⅲ | 1991-04-03 |
| 600000.SH | 浦发银行 | 股份制银行Ⅲ | 1999-11-10 |
| 600015.SH | 华夏银行 | 股份制银行Ⅲ | 2003-09-12 |
| 600016.SH | 民生银行 | 股份制银行Ⅲ | 2000-12-19 |
| 600036.SH | 招商银行 | 股份制银行Ⅲ | 2002-04-09 |
| 601166.SH | 兴业银行 | 股份制银行Ⅲ | 2007-02-05 |
| 601288.SH | 农业银行 | 国有大型银行Ⅲ | 2010-07-15 |
| 601328.SH | 交通银行 | 国有大型银行Ⅲ | 2007-05-15 |
| 601398.SH | 工商银行 | 国有大型银行Ⅲ | 2006-10-27 |
| 601658.SH | 邮储银行 | 国有大型银行Ⅲ | 2019-12-10 |
| 601818.SH | 光大银行 | 股份制银行Ⅲ | 2010-08-18 |
| 601916.SH | 浙商银行 | 股份制银行Ⅲ | 2019-11-26 |
| 601939.SH | 建设银行 | 国有大型银行Ⅲ | 2007-09-25 |
| 601988.SH | 中国银行 | 国有大型银行Ⅲ | 2006-07-05 |
| 601998.SH | 中信银行 | 股份制银行Ⅲ | 2007-04-27 |
**分布特征：** 国有大型银行 5 家（工农中建交+邮储），股份制银行 10 家。上市时间最早的是平安银行（1991年），最晚的是邮储银行和浙商银行（均为2019年上市）。</x:v>
      </x:c>
      <x:c r="AA7" s="17" t="str"/>
      <x:c r="AB7" s="17" t="n">
        <x:v>46235.82236190972</x:v>
      </x:c>
      <x:c r="AC7" s="17" t="n">
        <x:v>46235.82262225694</x:v>
      </x:c>
      <x:c r="AD7" s="17" t="str">
        <x:v>analysis.json</x:v>
      </x:c>
      <x:c r="AE7" s="18" t="n">
        <x:v>14936</x:v>
      </x:c>
      <x:c r="AF7" s="18" t="n">
        <x:v>7557.96</x:v>
      </x:c>
      <x:c r="AG7" s="18" t="n">
        <x:v>756.47</x:v>
      </x:c>
      <x:c r="AH7" s="18" t="n">
        <x:v>5066.32</x:v>
      </x:c>
      <x:c r="AI7" s="17" t="n">
        <x:v>8</x:v>
      </x:c>
      <x:c r="AJ7" s="17" t="n">
        <x:v>1</x:v>
      </x:c>
      <x:c r="AK7" s="19" t="n">
        <x:v>1</x:v>
      </x:c>
      <x:c r="AL7" s="19" t="n">
        <x:v>1</x:v>
      </x:c>
      <x:c r="AM7" s="19" t="n">
        <x:v>0</x:v>
      </x:c>
      <x:c r="AN7" s="17" t="str">
        <x:v>[
  "stock.basic_info"
]</x:v>
      </x:c>
    </x:row>
    <x:row r="8" ht="58" customHeight="1">
      <x:c r="A8" s="17" t="str">
        <x:v>BUS004</x:v>
      </x:c>
      <x:c r="B8" s="17" t="str">
        <x:v>列出上市日期最早的20只A股股票。</x:v>
      </x:c>
      <x:c r="C8" s="17" t="str">
        <x:v>stock</x:v>
      </x:c>
      <x:c r="D8" s="17" t="str">
        <x:v>stock.basic_info</x:v>
      </x:c>
      <x:c r="E8" s="17" t="str"/>
      <x:c r="F8" s="17" t="str">
        <x:v>financial_qa_cc</x:v>
      </x:c>
      <x:c r="G8" s="17" t="str">
        <x:v>否</x:v>
      </x:c>
      <x:c r="H8" s="18" t="n">
        <x:v>23506.42</x:v>
      </x:c>
      <x:c r="I8" s="18" t="n">
        <x:f>IFERROR(H8/1000,"")</x:f>
        <x:v>23.50642</x:v>
      </x:c>
      <x:c r="J8" s="17" t="n">
        <x:v>8</x:v>
      </x:c>
      <x:c r="K8" s="17" t="str">
        <x:v>成功</x:v>
      </x:c>
      <x:c r="L8" s="17" t="n">
        <x:v>3</x:v>
      </x:c>
      <x:c r="M8" s="17" t="n">
        <x:v>3</x:v>
      </x:c>
      <x:c r="N8" s="17" t="n">
        <x:v>0</x:v>
      </x:c>
      <x:c r="O8" s="17" t="n">
        <x:v>0</x:v>
      </x:c>
      <x:c r="P8" s="17" t="n">
        <x:v>0</x:v>
      </x:c>
      <x:c r="Q8" s="17" t="n">
        <x:v>0</x:v>
      </x:c>
      <x:c r="R8" s="19" t="n">
        <x:f>IFERROR((M8+N8)/L8,"")</x:f>
        <x:v>1</x:v>
      </x:c>
      <x:c r="S8" s="17" t="n">
        <x:v>0</x:v>
      </x:c>
      <x:c r="T8" s="17" t="n">
        <x:v>0</x:v>
      </x:c>
      <x:c r="U8" s="17" t="n">
        <x:v>13455</x:v>
      </x:c>
      <x:c r="V8" s="17" t="str">
        <x:v>证据不足</x:v>
      </x:c>
      <x:c r="W8" s="19" t="n">
        <x:v>0.95</x:v>
      </x:c>
      <x:c r="X8" s="17" t="str">
        <x:v>否</x:v>
      </x:c>
      <x:c r="Y8" s="17" t="str"/>
      <x:c r="Z8" s="17" t="str">
        <x:v>抱歉，当前数据源中 **上市日期（listed_date）** 字段不可用，虽然服务端返回了20条记录，但该字段全部为空值，无法确认上市日期并按之排序。
不过从返回结果来看，这20只股票实际上是按 `listed_date` 升序排列的候选记录，但该字段为空导致排序结果不具备参考意义。列表中包含的是一些比较特殊的公司，例如：
| 代码 | 名称 |
|------|------|
| 301707.SZ | 展芯股份 |
| 001232.SZ | 嘉立创 |
| 300361.SZ | 奥赛康 |
| 001235.SZ | 里得电科 |
| 002525.SZ | 胜景山河 |
| 301655.SZ | 绿控传动 |
| 301717.SZ | 超纯应材 |
| 002257.SZ | 立立电子 |
| 002710.SZ | 慈铭体检 |
| 300060.SZ | 苏州恒久 |
| 600349.SH | 富通昭和 |
| 603302.SH | 鑫广绿环 |
| 000991.SZ | 通海高科 |
| 603468.SH | 津富士达 |
| 002720.SZ | 宏良股份 |
| 300728.SZ | 天常股份 |
| 300646.SZ | 侨源气体 |
| 688688.SH | 蚂蚁集团 |
| 601206.SH | 海尔施 |
| 603361.SH | 浙江国祥 |
其中包含了不少**IPO未成功或已终止上市**的公司（如蚂蚁集团、胜景山河、立立电子、通海高科等），这进一步说明当前数据源中的 `listed_date` 字段内容不完整，无法据此准确筛选出A股中上市日期最早的20只股票。建议后续有更完整的上市日期数据源时再执行此查询。</x:v>
      </x:c>
      <x:c r="AA8" s="17" t="str"/>
      <x:c r="AB8" s="17" t="n">
        <x:v>46235.82236608796</x:v>
      </x:c>
      <x:c r="AC8" s="17" t="n">
        <x:v>46235.82263815972</x:v>
      </x:c>
      <x:c r="AD8" s="17" t="str">
        <x:v>analysis.json</x:v>
      </x:c>
      <x:c r="AE8" s="18" t="n">
        <x:v>15771</x:v>
      </x:c>
      <x:c r="AF8" s="18" t="n">
        <x:v>7735.42</x:v>
      </x:c>
      <x:c r="AG8" s="18" t="n">
        <x:v>834.75</x:v>
      </x:c>
      <x:c r="AH8" s="18" t="n">
        <x:v>5131.62</x:v>
      </x:c>
      <x:c r="AI8" s="17" t="n">
        <x:v>8</x:v>
      </x:c>
      <x:c r="AJ8" s="17" t="n">
        <x:v>1</x:v>
      </x:c>
      <x:c r="AK8" s="19" t="n">
        <x:v>1</x:v>
      </x:c>
      <x:c r="AL8" s="19" t="n">
        <x:v>1</x:v>
      </x:c>
      <x:c r="AM8" s="19" t="n">
        <x:v>0</x:v>
      </x:c>
      <x:c r="AN8" s="17" t="str">
        <x:v>[
  "stock.basic_info"
]</x:v>
      </x:c>
    </x:row>
    <x:row r="9" ht="58" customHeight="1">
      <x:c r="A9" s="17" t="str">
        <x:v>BUS005</x:v>
      </x:c>
      <x:c r="B9" s="17" t="str">
        <x:v>查询名称包含新能源的股票代码、名称和所属行业。</x:v>
      </x:c>
      <x:c r="C9" s="17" t="str">
        <x:v>stock</x:v>
      </x:c>
      <x:c r="D9" s="17" t="str">
        <x:v>stock.basic_info</x:v>
      </x:c>
      <x:c r="E9" s="17" t="str"/>
      <x:c r="F9" s="17" t="str">
        <x:v>financial_qa_cc</x:v>
      </x:c>
      <x:c r="G9" s="17" t="str">
        <x:v>否</x:v>
      </x:c>
      <x:c r="H9" s="18" t="n">
        <x:v>22041.75</x:v>
      </x:c>
      <x:c r="I9" s="18" t="n">
        <x:f>IFERROR(H9/1000,"")</x:f>
        <x:v>22.04175</x:v>
      </x:c>
      <x:c r="J9" s="17" t="n">
        <x:v>6</x:v>
      </x:c>
      <x:c r="K9" s="17" t="str">
        <x:v>成功</x:v>
      </x:c>
      <x:c r="L9" s="17" t="n">
        <x:v>3</x:v>
      </x:c>
      <x:c r="M9" s="17" t="n">
        <x:v>3</x:v>
      </x:c>
      <x:c r="N9" s="17" t="n">
        <x:v>0</x:v>
      </x:c>
      <x:c r="O9" s="17" t="n">
        <x:v>0</x:v>
      </x:c>
      <x:c r="P9" s="17" t="n">
        <x:v>0</x:v>
      </x:c>
      <x:c r="Q9" s="17" t="n">
        <x:v>0</x:v>
      </x:c>
      <x:c r="R9" s="19" t="n">
        <x:f>IFERROR((M9+N9)/L9,"")</x:f>
        <x:v>1</x:v>
      </x:c>
      <x:c r="S9" s="17" t="n">
        <x:v>0</x:v>
      </x:c>
      <x:c r="T9" s="17" t="n">
        <x:v>0</x:v>
      </x:c>
      <x:c r="U9" s="17" t="n">
        <x:v>13150</x:v>
      </x:c>
      <x:c r="V9" s="17" t="str">
        <x:v>正确</x:v>
      </x:c>
      <x:c r="W9" s="19" t="n">
        <x:v>0.95</x:v>
      </x:c>
      <x:c r="X9" s="17" t="str">
        <x:v>否</x:v>
      </x:c>
      <x:c r="Y9" s="17" t="str"/>
      <x:c r="Z9" s="17" t="str">
        <x:v>名称包含"新能源"的股票共有 **4 只**，具体情况如下：
| 股票代码 | 股票名称 | 所属行业 |
|:---:|:---:|:---:|
| 000690.SZ | 宝新能源 | 火力发电 |
| 001248.SZ | 华润新能源 | — |
| 001258.SZ | 立新能源 | — |
| 600617.SH | 国新能源 | 燃气Ⅲ |
其中 **宝新能源**（000690.SZ）所属行业为火力发电，**国新能源**（600617.SH）所属行业为燃气Ⅲ。**华润新能源**（001248.SZ）和**立新能源**（001258.SZ）的行业归属在当前数据源中未提供。</x:v>
      </x:c>
      <x:c r="AA9" s="17" t="str"/>
      <x:c r="AB9" s="17" t="n">
        <x:v>46235.822624803244</x:v>
      </x:c>
      <x:c r="AC9" s="17" t="n">
        <x:v>46235.82287991898</x:v>
      </x:c>
      <x:c r="AD9" s="17" t="str">
        <x:v>analysis.json</x:v>
      </x:c>
      <x:c r="AE9" s="18" t="n">
        <x:v>14282</x:v>
      </x:c>
      <x:c r="AF9" s="18" t="n">
        <x:v>7759.75</x:v>
      </x:c>
      <x:c r="AG9" s="18" t="n">
        <x:v>826.5</x:v>
      </x:c>
      <x:c r="AH9" s="18" t="n">
        <x:v>5324.21</x:v>
      </x:c>
      <x:c r="AI9" s="17" t="n">
        <x:v>6</x:v>
      </x:c>
      <x:c r="AJ9" s="17" t="n">
        <x:v>1</x:v>
      </x:c>
      <x:c r="AK9" s="19" t="n">
        <x:v>1</x:v>
      </x:c>
      <x:c r="AL9" s="19" t="n">
        <x:v>1</x:v>
      </x:c>
      <x:c r="AM9" s="19" t="n">
        <x:v>0</x:v>
      </x:c>
      <x:c r="AN9" s="17" t="str">
        <x:v>[
  "stock.basic_info"
]</x:v>
      </x:c>
    </x:row>
    <x:row r="10" ht="58" customHeight="1">
      <x:c r="A10" s="17" t="str">
        <x:v>BUS006</x:v>
      </x:c>
      <x:c r="B10" s="17" t="str">
        <x:v>筛选近三年上市的A股公司，返回代码、名称和行业。</x:v>
      </x:c>
      <x:c r="C10" s="17" t="str">
        <x:v>stock</x:v>
      </x:c>
      <x:c r="D10" s="17" t="str">
        <x:v>stock.basic_info</x:v>
      </x:c>
      <x:c r="E10" s="17" t="str"/>
      <x:c r="F10" s="17" t="str">
        <x:v>free_chat</x:v>
      </x:c>
      <x:c r="G10" s="17" t="str">
        <x:v>是</x:v>
      </x:c>
      <x:c r="H10" s="18" t="n">
        <x:v>7567.81</x:v>
      </x:c>
      <x:c r="I10" s="18" t="n">
        <x:f>IFERROR(H10/1000,"")</x:f>
        <x:v>7.567810000000001</x:v>
      </x:c>
      <x:c r="J10" s="17"/>
      <x:c r="K10" s="17" t="str">
        <x:v>成功</x:v>
      </x:c>
      <x:c r="L10" s="17" t="n">
        <x:v>0</x:v>
      </x:c>
      <x:c r="M10" s="17" t="n">
        <x:v>0</x:v>
      </x:c>
      <x:c r="N10" s="17" t="n">
        <x:v>0</x:v>
      </x:c>
      <x:c r="O10" s="17" t="n">
        <x:v>0</x:v>
      </x:c>
      <x:c r="P10" s="17" t="n">
        <x:v>0</x:v>
      </x:c>
      <x:c r="Q10" s="17" t="n">
        <x:v>0</x:v>
      </x:c>
      <x:c r="R10" s="19" t="str">
        <x:f>IFERROR((M10+N10)/L10,"")</x:f>
      </x:c>
      <x:c r="S10" s="17" t="n">
        <x:v>0</x:v>
      </x:c>
      <x:c r="T10" s="17" t="n">
        <x:v>0</x:v>
      </x:c>
      <x:c r="U10" s="17" t="n">
        <x:v>1265</x:v>
      </x:c>
      <x:c r="V10" s="17" t="str">
        <x:v>错误</x:v>
      </x:c>
      <x:c r="W10" s="19" t="n">
        <x:v>0.7</x:v>
      </x:c>
      <x:c r="X10" s="17" t="str">
        <x:v>否</x:v>
      </x:c>
      <x:c r="Y10" s="17" t="str"/>
      <x:c r="Z1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"clarify_608e5eb2d0274895", "slot_hints": {"task_focus": "请说明你更想做个股深度分析，还是热点/概念追踪。"}, "context_summary": {"task_type": "", "code": "", "name": ""}}</x:v>
      </x:c>
      <x:c r="AA10" s="17" t="str"/>
      <x:c r="AB10" s="17" t="n">
        <x:v>46235.822639398146</x:v>
      </x:c>
      <x:c r="AC10" s="17" t="n">
        <x:v>46235.822726990744</x:v>
      </x:c>
      <x:c r="AD10" s="17" t="str">
        <x:v>analysis.json</x:v>
      </x:c>
      <x:c r="AE10" s="18"/>
      <x:c r="AF10" s="18"/>
      <x:c r="AG10" s="18" t="n">
        <x:v>757.37</x:v>
      </x:c>
      <x:c r="AH10" s="18"/>
      <x:c r="AI10" s="17"/>
      <x:c r="AJ10" s="17"/>
      <x:c r="AK10" s="19"/>
      <x:c r="AL10" s="19"/>
      <x:c r="AM10" s="19"/>
      <x:c r="AN10" s="17" t="str"/>
    </x:row>
    <x:row r="11" ht="58" customHeight="1">
      <x:c r="A11" s="17" t="str">
        <x:v>BUS007</x:v>
      </x:c>
      <x:c r="B11" s="17" t="str">
        <x:v>贵州茅台当前最新价、涨跌幅和成交额是多少？</x:v>
      </x:c>
      <x:c r="C11" s="17" t="str">
        <x:v>stock</x:v>
      </x:c>
      <x:c r="D11" s="17" t="str">
        <x:v>stock.quote</x:v>
      </x:c>
      <x:c r="E11" s="17" t="str"/>
      <x:c r="F11" s="17" t="str">
        <x:v>financial_qa_cc</x:v>
      </x:c>
      <x:c r="G11" s="17" t="str">
        <x:v>否</x:v>
      </x:c>
      <x:c r="H11" s="18" t="n">
        <x:v>27439.41</x:v>
      </x:c>
      <x:c r="I11" s="18" t="n">
        <x:f>IFERROR(H11/1000,"")</x:f>
        <x:v>27.43941</x:v>
      </x:c>
      <x:c r="J11" s="17" t="n">
        <x:v>7</x:v>
      </x:c>
      <x:c r="K11" s="17" t="str">
        <x:v>成功</x:v>
      </x:c>
      <x:c r="L11" s="17" t="n">
        <x:v>3</x:v>
      </x:c>
      <x:c r="M11" s="17" t="n">
        <x:v>3</x:v>
      </x:c>
      <x:c r="N11" s="17" t="n">
        <x:v>0</x:v>
      </x:c>
      <x:c r="O11" s="17" t="n">
        <x:v>0</x:v>
      </x:c>
      <x:c r="P11" s="17" t="n">
        <x:v>0</x:v>
      </x:c>
      <x:c r="Q11" s="17" t="n">
        <x:v>0</x:v>
      </x:c>
      <x:c r="R11" s="19" t="n">
        <x:f>IFERROR((M11+N11)/L11,"")</x:f>
        <x:v>1</x:v>
      </x:c>
      <x:c r="S11" s="17" t="n">
        <x:v>0</x:v>
      </x:c>
      <x:c r="T11" s="17" t="n">
        <x:v>0</x:v>
      </x:c>
      <x:c r="U11" s="17" t="n">
        <x:v>10995</x:v>
      </x:c>
      <x:c r="V11" s="17" t="str">
        <x:v>正确</x:v>
      </x:c>
      <x:c r="W11" s="19" t="n">
        <x:v>1</x:v>
      </x:c>
      <x:c r="X11" s="17" t="str">
        <x:v>否</x:v>
      </x:c>
      <x:c r="Y11" s="17" t="str"/>
      <x:c r="Z11" s="17" t="str">
        <x:v>贵州茅台最新行情数据如下（截至最近一个交易日 **2026-07-31**）：
- **最新价**：1,350.60 元
- **涨跌幅**：-0.82%
- **成交额**：约 73.73 亿元
由于今日是周日（8月2日），A股市场休市中，以上数据为上一个交易日（7月31日周五）的收盘情况。</x:v>
      </x:c>
      <x:c r="AA11" s="17" t="str"/>
      <x:c r="AB11" s="17" t="n">
        <x:v>46235.82272899306</x:v>
      </x:c>
      <x:c r="AC11" s="17" t="n">
        <x:v>46235.82304658565</x:v>
      </x:c>
      <x:c r="AD11" s="17" t="str">
        <x:v>analysis.json</x:v>
      </x:c>
      <x:c r="AE11" s="18" t="n">
        <x:v>19320</x:v>
      </x:c>
      <x:c r="AF11" s="18" t="n">
        <x:v>8119.41</x:v>
      </x:c>
      <x:c r="AG11" s="18" t="n">
        <x:v>704.58</x:v>
      </x:c>
      <x:c r="AH11" s="18" t="n">
        <x:v>5702.73</x:v>
      </x:c>
      <x:c r="AI11" s="17" t="n">
        <x:v>7</x:v>
      </x:c>
      <x:c r="AJ11" s="17" t="n">
        <x:v>1</x:v>
      </x:c>
      <x:c r="AK11" s="19" t="n">
        <x:v>1</x:v>
      </x:c>
      <x:c r="AL11" s="19" t="n">
        <x:v>1</x:v>
      </x:c>
      <x:c r="AM11" s="19" t="n">
        <x:v>0</x:v>
      </x:c>
      <x:c r="AN11" s="17" t="str">
        <x:v>[
  "stock.quote"
]</x:v>
      </x:c>
    </x:row>
    <x:row r="12" ht="58" customHeight="1">
      <x:c r="A12" s="17" t="str">
        <x:v>BUS008</x:v>
      </x:c>
      <x:c r="B12" s="17" t="str">
        <x:v>今天A股涨幅最高的前20只股票是谁？</x:v>
      </x:c>
      <x:c r="C12" s="17" t="str">
        <x:v>stock</x:v>
      </x:c>
      <x:c r="D12" s="17" t="str">
        <x:v>stock.quote</x:v>
      </x:c>
      <x:c r="E12" s="17" t="str"/>
      <x:c r="F12" s="17" t="str">
        <x:v>financial_qa_cc</x:v>
      </x:c>
      <x:c r="G12" s="17" t="str">
        <x:v>否</x:v>
      </x:c>
      <x:c r="H12" s="18" t="n">
        <x:v>34830.3</x:v>
      </x:c>
      <x:c r="I12" s="18" t="n">
        <x:f>IFERROR(H12/1000,"")</x:f>
        <x:v>34.8303</x:v>
      </x:c>
      <x:c r="J12" s="17" t="n">
        <x:v>8</x:v>
      </x:c>
      <x:c r="K12" s="17" t="str">
        <x:v>成功</x:v>
      </x:c>
      <x:c r="L12" s="17" t="n">
        <x:v>3</x:v>
      </x:c>
      <x:c r="M12" s="17" t="n">
        <x:v>3</x:v>
      </x:c>
      <x:c r="N12" s="17" t="n">
        <x:v>0</x:v>
      </x:c>
      <x:c r="O12" s="17" t="n">
        <x:v>0</x:v>
      </x:c>
      <x:c r="P12" s="17" t="n">
        <x:v>0</x:v>
      </x:c>
      <x:c r="Q12" s="17" t="n">
        <x:v>0</x:v>
      </x:c>
      <x:c r="R12" s="19" t="n">
        <x:f>IFERROR((M12+N12)/L12,"")</x:f>
        <x:v>1</x:v>
      </x:c>
      <x:c r="S12" s="17" t="n">
        <x:v>0</x:v>
      </x:c>
      <x:c r="T12" s="17" t="n">
        <x:v>0</x:v>
      </x:c>
      <x:c r="U12" s="17" t="n">
        <x:v>20865</x:v>
      </x:c>
      <x:c r="V12" s="17" t="str">
        <x:v>正确</x:v>
      </x:c>
      <x:c r="W12" s="19" t="n">
        <x:v>1</x:v>
      </x:c>
      <x:c r="X12" s="17" t="str">
        <x:v>否</x:v>
      </x:c>
      <x:c r="Y12" s="17" t="str"/>
      <x:c r="Z12" s="17" t="str">
        <x:v>今天（8月2日周日）A股休市，以下为**最近一个交易日（7月31日周五）**涨幅最高的前20只股票：
| 排名 | 代码 | 名称 | 最新价（元） | 涨幅（%） | 成交额（元） |
|:---:|:---:|:---:|:---:|:---:|:---:|
| 1 | 920130.BJ | 立方控股 | 20.42 | **+29.98** | 1.79亿 |
| 2 | 920575.BJ | *ST康乐 | 4.71 | **+23.95** | 1.15亿 |
| 3 | 300364.SZ | 中文在线 | 24.83 | **+20.01** | 20.54亿 |
| 4 | 300720.SZ | 海川智能 | 50.80 | **+20.01** | 3.35亿 |
| 5 | 301396.SZ | 宏景科技 | 156.16 | **+20.00** | 10.32亿 |
| 6 | 300789.SZ | 唐源电气 | 18.96 | **+20.00** | 1.73亿 |
| 7 | 300508.SZ | 维宏股份 | 38.52 | **+20.00** | 0.75亿 |
| 8 | 300795.SZ | 米奥会展 | 16.44 | **+20.00** | 8.95亿 |
| 9 | 300418.SZ | 昆仑万维 | 43.20 | **+20.00** | 60.66亿 |
| 10 | 688095.SH | 福昕软件 | 67.03 | **+20.00** | 4.58亿 |
| 11 | 301171.SZ | 易点天下 | 30.49 | **+19.99** | 20.77亿 |
| 12 | 301231.SZ | 荣信文化 | 26.41 | **+19.99** | 2.55亿 |
| 13 | 300058.SZ | 蓝色光标 | 14.35 | **+19.98** | 85.53亿 |
| 14 | 300996.SZ | 普联软件 | 18.62 | **+19.97** | 11.92亿 |
| 15 | 920238.BJ | 长鹰硬科 | 73.08 | **+19.78** | 6.33亿 |
| 16 | 920510.BJ | 丰光精密 | 21.17 | **+18.93** | 2.88亿 |
| 17 | 688661.SH | 和林微纳 | 81.28 | **+18.74** | 7.55亿 |
| 18 | 300017.SZ | 网宿科技 | 14.03 | **+17.50** | 38.08亿 |
| 19 | 688322.SH | 奥比中光 | 93.86 | **+17.35** | 22.08亿 |
| 20 | 920976.BJ | 视声智能 | 19.06 | **+17.29** | 0.79亿 |
**7月31日市场亮点：**
- 北交所表现突出，立方控股以 **+29.98%** 领涨全场，*ST康乐、长鹰硬科、丰光精密、视声智能也均上榜
- 20cm涨停（+20%）的创业板/科创板个股多达 **8只**：中文在线、海川智能、宏景科技、唐源电气、维宏股份、米奥会展、昆仑万维、福昕软件
- 成交额最大的为蓝色光标（85.53亿）和昆仑万维（60.66亿），资金博弈激烈</x:v>
      </x:c>
      <x:c r="AA12" s="17" t="str"/>
      <x:c r="AB12" s="17" t="n">
        <x:v>46235.82288219907</x:v>
      </x:c>
      <x:c r="AC12" s="17" t="n">
        <x:v>46235.823285335646</x:v>
      </x:c>
      <x:c r="AD12" s="17" t="str">
        <x:v>analysis.json</x:v>
      </x:c>
      <x:c r="AE12" s="18" t="n">
        <x:v>26776</x:v>
      </x:c>
      <x:c r="AF12" s="18" t="n">
        <x:v>8054.3</x:v>
      </x:c>
      <x:c r="AG12" s="18" t="n">
        <x:v>840.53</x:v>
      </x:c>
      <x:c r="AH12" s="18" t="n">
        <x:v>5672.38</x:v>
      </x:c>
      <x:c r="AI12" s="17" t="n">
        <x:v>8</x:v>
      </x:c>
      <x:c r="AJ12" s="17" t="n">
        <x:v>1</x:v>
      </x:c>
      <x:c r="AK12" s="19" t="n">
        <x:v>1</x:v>
      </x:c>
      <x:c r="AL12" s="19" t="n">
        <x:v>1</x:v>
      </x:c>
      <x:c r="AM12" s="19" t="n">
        <x:v>0</x:v>
      </x:c>
      <x:c r="AN12" s="17" t="str">
        <x:v>[
  "stock.quote"
]</x:v>
      </x:c>
    </x:row>
    <x:row r="13" ht="58" customHeight="1">
      <x:c r="A13" s="17" t="str">
        <x:v>BUS009</x:v>
      </x:c>
      <x:c r="B13" s="17" t="str">
        <x:v>今天跌幅超过5%且成交额超过5亿元的股票有哪些？</x:v>
      </x:c>
      <x:c r="C13" s="17" t="str">
        <x:v>stock</x:v>
      </x:c>
      <x:c r="D13" s="17" t="str">
        <x:v>stock.quote</x:v>
      </x:c>
      <x:c r="E13" s="17" t="str"/>
      <x:c r="F13" s="17" t="str">
        <x:v>financial_qa_cc</x:v>
      </x:c>
      <x:c r="G13" s="17" t="str">
        <x:v>否</x:v>
      </x:c>
      <x:c r="H13" s="18" t="n">
        <x:v>29371.04</x:v>
      </x:c>
      <x:c r="I13" s="18" t="n">
        <x:f>IFERROR(H13/1000,"")</x:f>
        <x:v>29.37104</x:v>
      </x:c>
      <x:c r="J13" s="17" t="n">
        <x:v>8</x:v>
      </x:c>
      <x:c r="K13" s="17" t="str">
        <x:v>成功</x:v>
      </x:c>
      <x:c r="L13" s="17" t="n">
        <x:v>3</x:v>
      </x:c>
      <x:c r="M13" s="17" t="n">
        <x:v>3</x:v>
      </x:c>
      <x:c r="N13" s="17" t="n">
        <x:v>0</x:v>
      </x:c>
      <x:c r="O13" s="17" t="n">
        <x:v>0</x:v>
      </x:c>
      <x:c r="P13" s="17" t="n">
        <x:v>0</x:v>
      </x:c>
      <x:c r="Q13" s="17" t="n">
        <x:v>0</x:v>
      </x:c>
      <x:c r="R13" s="19" t="n">
        <x:f>IFERROR((M13+N13)/L13,"")</x:f>
        <x:v>1</x:v>
      </x:c>
      <x:c r="S13" s="17" t="n">
        <x:v>0</x:v>
      </x:c>
      <x:c r="T13" s="17" t="n">
        <x:v>0</x:v>
      </x:c>
      <x:c r="U13" s="17" t="n">
        <x:v>19888</x:v>
      </x:c>
      <x:c r="V13" s="17" t="str">
        <x:v>正确</x:v>
      </x:c>
      <x:c r="W13" s="19" t="n">
        <x:v>1</x:v>
      </x:c>
      <x:c r="X13" s="17" t="str">
        <x:v>否</x:v>
      </x:c>
      <x:c r="Y13" s="17" t="str"/>
      <x:c r="Z13" s="17" t="str">
        <x:v>由于今天（8月2日）是周日，数据取自最近交易日 **2026年7月31日（周五）**。当日跌幅超过5%且成交额超过5亿元的股票共 **10只**，按跌幅从大到小排列：
| 股票 | 代码 | 收盘价 | 跌幅 | 成交额（亿元） |
|---|---|---|---|---|
| 凯发电气 | 300407.SZ | 11.39 | **-11.71%** | 5.44 |
| 中船特气 | 688146.SH | 266.00 | **-6.55%** | 85.77 |
| 日科化学 | 300214.SZ | 11.69 | **-6.10%** | 6.15 |
| 飞龙股份 | 002536.SZ | 34.60 | **-6.05%** | 24.02 |
| 百合花 | 603823.SH | 46.80 | **-6.04%** | 16.17 |
| 艾艾精工 | 603580.SH | 52.90 | **-5.87%** | 8.12 |
| 北新建材 | 000786.SZ | 19.28 | **-5.54%** | 7.17 |
| 托伦斯 | 301583.SZ | 149.60 | **-5.36%** | 28.27 |
| 博源化工 | 000683.SZ | 5.98 | **-5.23%** | 10.16 |
| 益方生物 | 688382.SH | 20.16 | **-5.13%** | 5.21 |
**简要说明：**
- **凯发电气**跌幅最猛，接近跌停（-11.71%），但成交额相对较小（5.44亿）。
- **中船特气**成交额最大，达85.77亿元，跌幅-6.55%，属于放量大幅下跌的典型。
- **飞龙股份**、**托伦斯**、**百合花**成交额也都在15亿元以上，筹码交换活跃。</x:v>
      </x:c>
      <x:c r="AA13" s="17" t="str"/>
      <x:c r="AB13" s="17" t="n">
        <x:v>46235.823048680555</x:v>
      </x:c>
      <x:c r="AC13" s="17" t="n">
        <x:v>46235.82338862269</x:v>
      </x:c>
      <x:c r="AD13" s="17" t="str">
        <x:v>analysis.json</x:v>
      </x:c>
      <x:c r="AE13" s="18" t="n">
        <x:v>21167</x:v>
      </x:c>
      <x:c r="AF13" s="18" t="n">
        <x:v>8204.04</x:v>
      </x:c>
      <x:c r="AG13" s="18" t="n">
        <x:v>885.22</x:v>
      </x:c>
      <x:c r="AH13" s="18" t="n">
        <x:v>5560.41</x:v>
      </x:c>
      <x:c r="AI13" s="17" t="n">
        <x:v>8</x:v>
      </x:c>
      <x:c r="AJ13" s="17" t="n">
        <x:v>1</x:v>
      </x:c>
      <x:c r="AK13" s="19" t="n">
        <x:v>1</x:v>
      </x:c>
      <x:c r="AL13" s="19" t="n">
        <x:v>1</x:v>
      </x:c>
      <x:c r="AM13" s="19" t="n">
        <x:v>0</x:v>
      </x:c>
      <x:c r="AN13" s="17" t="str">
        <x:v>[
  "stock.quote"
]</x:v>
      </x:c>
    </x:row>
    <x:row r="14" ht="58" customHeight="1">
      <x:c r="A14" s="17" t="str">
        <x:v>BUS010</x:v>
      </x:c>
      <x:c r="B14" s="17" t="str">
        <x:v>查询宁德时代最近10个交易日的收盘价和涨跌幅。</x:v>
      </x:c>
      <x:c r="C14" s="17" t="str">
        <x:v>stock</x:v>
      </x:c>
      <x:c r="D14" s="17" t="str">
        <x:v>stock.quote</x:v>
      </x:c>
      <x:c r="E14" s="17" t="str"/>
      <x:c r="F14" s="17" t="str">
        <x:v>financial_qa_cc</x:v>
      </x:c>
      <x:c r="G14" s="17" t="str">
        <x:v>否</x:v>
      </x:c>
      <x:c r="H14" s="18" t="n">
        <x:v>21773.12</x:v>
      </x:c>
      <x:c r="I14" s="18" t="n">
        <x:f>IFERROR(H14/1000,"")</x:f>
        <x:v>21.77312</x:v>
      </x:c>
      <x:c r="J14" s="17" t="n">
        <x:v>6</x:v>
      </x:c>
      <x:c r="K14" s="17" t="str">
        <x:v>成功</x:v>
      </x:c>
      <x:c r="L14" s="17" t="n">
        <x:v>3</x:v>
      </x:c>
      <x:c r="M14" s="17" t="n">
        <x:v>3</x:v>
      </x:c>
      <x:c r="N14" s="17" t="n">
        <x:v>0</x:v>
      </x:c>
      <x:c r="O14" s="17" t="n">
        <x:v>0</x:v>
      </x:c>
      <x:c r="P14" s="17" t="n">
        <x:v>0</x:v>
      </x:c>
      <x:c r="Q14" s="17" t="n">
        <x:v>0</x:v>
      </x:c>
      <x:c r="R14" s="19" t="n">
        <x:f>IFERROR((M14+N14)/L14,"")</x:f>
        <x:v>1</x:v>
      </x:c>
      <x:c r="S14" s="17" t="n">
        <x:v>0</x:v>
      </x:c>
      <x:c r="T14" s="17" t="n">
        <x:v>0</x:v>
      </x:c>
      <x:c r="U14" s="17" t="n">
        <x:v>17458</x:v>
      </x:c>
      <x:c r="V14" s="17" t="str">
        <x:v>正确</x:v>
      </x:c>
      <x:c r="W14" s="19" t="n">
        <x:v>1</x:v>
      </x:c>
      <x:c r="X14" s="17" t="str">
        <x:v>否</x:v>
      </x:c>
      <x:c r="Y14" s="17" t="str"/>
      <x:c r="Z14" s="17" t="str">
        <x:v>宁德时代（300750.SZ）最近10个交易日的收盘价和涨跌幅如下：
| 日期 | 收盘价（元） | 涨跌幅 |
|:---:|:---:|:---:|
| 2026-07-20 | 376.43 | +4.56% |
| 2026-07-21 | 382.20 | +1.53% |
| 2026-07-22 | 372.26 | -2.60% |
| 2026-07-23 | 385.99 | +3.69% |
| 2026-07-24 | 383.01 | -0.77% |
| 2026-07-27 | 400.00 | +4.44% |
| 2026-07-28 | 390.86 | -2.29% |
| 2026-07-29 | 396.84 | +1.53% |
| 2026-07-30 | 401.88 | +1.27% |
| 2026-07-31 | 395.30 | -1.64% |
最近10个交易日股价从376.43元涨至395.30元，区间累计涨幅约5.0%。其中7月20日和7月27日两个交易日涨幅均超过4%，上涨动能较为明显；7月22日回调幅度最大（-2.60%），但次日即反弹收复失地。最新交易日（7月31日）小幅收跌，收于395.30元。</x:v>
      </x:c>
      <x:c r="AA14" s="17" t="str"/>
      <x:c r="AB14" s="17" t="n">
        <x:v>46235.823287430554</x:v>
      </x:c>
      <x:c r="AC14" s="17" t="n">
        <x:v>46235.82353943287</x:v>
      </x:c>
      <x:c r="AD14" s="17" t="str">
        <x:v>analysis.json</x:v>
      </x:c>
      <x:c r="AE14" s="18" t="n">
        <x:v>13237</x:v>
      </x:c>
      <x:c r="AF14" s="18" t="n">
        <x:v>8536.12</x:v>
      </x:c>
      <x:c r="AG14" s="18" t="n">
        <x:v>799.91</x:v>
      </x:c>
      <x:c r="AH14" s="18" t="n">
        <x:v>5342.24</x:v>
      </x:c>
      <x:c r="AI14" s="17" t="n">
        <x:v>6</x:v>
      </x:c>
      <x:c r="AJ14" s="17" t="n">
        <x:v>1</x:v>
      </x:c>
      <x:c r="AK14" s="19" t="n">
        <x:v>1</x:v>
      </x:c>
      <x:c r="AL14" s="19" t="n">
        <x:v>1</x:v>
      </x:c>
      <x:c r="AM14" s="19" t="n">
        <x:v>0</x:v>
      </x:c>
      <x:c r="AN14" s="17" t="str">
        <x:v>[
  "stock.quote"
]</x:v>
      </x:c>
    </x:row>
    <x:row r="15" ht="58" customHeight="1">
      <x:c r="A15" s="17" t="str">
        <x:v>BUS011</x:v>
      </x:c>
      <x:c r="B15" s="17" t="str">
        <x:v>过去20个交易日振幅最高的前20只股票。</x:v>
      </x:c>
      <x:c r="C15" s="17" t="str">
        <x:v>stock</x:v>
      </x:c>
      <x:c r="D15" s="17" t="str">
        <x:v>stock.quote</x:v>
      </x:c>
      <x:c r="E15" s="17" t="str"/>
      <x:c r="F15" s="17" t="str">
        <x:v>financial_qa_cc</x:v>
      </x:c>
      <x:c r="G15" s="17" t="str">
        <x:v>否</x:v>
      </x:c>
      <x:c r="H15" s="18" t="n">
        <x:v>30790</x:v>
      </x:c>
      <x:c r="I15" s="18" t="n">
        <x:f>IFERROR(H15/1000,"")</x:f>
        <x:v>30.79</x:v>
      </x:c>
      <x:c r="J15" s="17" t="n">
        <x:v>6</x:v>
      </x:c>
      <x:c r="K15" s="17" t="str">
        <x:v>成功</x:v>
      </x:c>
      <x:c r="L15" s="17" t="n">
        <x:v>3</x:v>
      </x:c>
      <x:c r="M15" s="17" t="n">
        <x:v>3</x:v>
      </x:c>
      <x:c r="N15" s="17" t="n">
        <x:v>0</x:v>
      </x:c>
      <x:c r="O15" s="17" t="n">
        <x:v>0</x:v>
      </x:c>
      <x:c r="P15" s="17" t="n">
        <x:v>0</x:v>
      </x:c>
      <x:c r="Q15" s="17" t="n">
        <x:v>0</x:v>
      </x:c>
      <x:c r="R15" s="19" t="n">
        <x:f>IFERROR((M15+N15)/L15,"")</x:f>
        <x:v>1</x:v>
      </x:c>
      <x:c r="S15" s="17" t="n">
        <x:v>0</x:v>
      </x:c>
      <x:c r="T15" s="17" t="n">
        <x:v>0</x:v>
      </x:c>
      <x:c r="U15" s="17" t="n">
        <x:v>18509</x:v>
      </x:c>
      <x:c r="V15" s="17" t="str">
        <x:v>部分正确</x:v>
      </x:c>
      <x:c r="W15" s="19" t="n">
        <x:v>1</x:v>
      </x:c>
      <x:c r="X15" s="17" t="str">
        <x:v>否</x:v>
      </x:c>
      <x:c r="Y15" s="17" t="str"/>
      <x:c r="Z15" s="17" t="str">
        <x:v>过去20个交易日平均振幅最高的前20只股票如下：
| 排名 | 代码 | 名称 | 20日平均振幅（%） |
|:---:|:---:|:---|:---:|
| 1 | 920176.BJ | 维琪科技 | 159.24 |
| 2 | 920065.BJ | 千岸科技 | 79.14 |
| 3 | 301677.SZ | 欣兴工具 | 58.18 |
| 4 | 688825.SH | 长鑫科技 | 49.18 |
| 5 | 301583.SZ | 托伦斯 | 34.37 |
| 6 | 920238.BJ | 长鹰硬科 | 31.75 |
| 7 | 688806.SH | 泰诺麦博 | 26.12 |
| 8 | 920305.BJ | 云创退 | 19.97 |
| 9 | 920189.BJ | 康美特 | 19.54 |
| 10 | 301520.SZ | 万邦医药 | 17.72 |
| 11 | 920079.BJ | 乔路铭 | 17.44 |
| 12 | 920367.BJ | 新赣江 | 17.08 |
| 13 | 688146.SH | 中船特气 | 15.63 |
| 14 | 688432.SH | 有研硅 | 15.45 |
| 15 | 688260.SH | 昀冢科技 | 15.06 |
| 16 | 688766.SH | 普冉股份 | 15.02 |
| 17 | 688371.SH | 菲沃泰 | 14.39 |
| 18 | 300029.SZ | 天龙退 | 14.32 |
| 19 | 920699.BJ | 海达尔 | 14.32 |
| 20 | 688328.SH | 深科达 | 14.26 |
**几点特征：**
- 北交所新股和次新股占主导：**维琪科技**以日均159%的振幅断崖式领先，属于极端波动；**千岸科技**、**长鹰硬科**、**康美特**等均为北交所标的，因上市初期筹码集中、流通盘小，日内振幅显著放大。
- 科创板次新紧随其后：**欣兴工具**（创业板）、**长鑫科技**、**泰诺麦博**等新上市股票也录得较高振幅。
- 前20只中，第1名（维琪科技）的振幅是第2名的2倍，分档明显；从第8名往后振幅集中在14%-20%区间，差异不大。</x:v>
      </x:c>
      <x:c r="AA15" s="17" t="str"/>
      <x:c r="AB15" s="17" t="n">
        <x:v>46235.82339150463</x:v>
      </x:c>
      <x:c r="AC15" s="17" t="n">
        <x:v>46235.82374787037</x:v>
      </x:c>
      <x:c r="AD15" s="17" t="str">
        <x:v>analysis.json</x:v>
      </x:c>
      <x:c r="AE15" s="18" t="n">
        <x:v>22748</x:v>
      </x:c>
      <x:c r="AF15" s="18" t="n">
        <x:v>8042</x:v>
      </x:c>
      <x:c r="AG15" s="18" t="n">
        <x:v>915.91</x:v>
      </x:c>
      <x:c r="AH15" s="18" t="n">
        <x:v>5677.45</x:v>
      </x:c>
      <x:c r="AI15" s="17" t="n">
        <x:v>6</x:v>
      </x:c>
      <x:c r="AJ15" s="17" t="n">
        <x:v>1</x:v>
      </x:c>
      <x:c r="AK15" s="19" t="n">
        <x:v>1</x:v>
      </x:c>
      <x:c r="AL15" s="19" t="n">
        <x:v>1</x:v>
      </x:c>
      <x:c r="AM15" s="19" t="n">
        <x:v>0</x:v>
      </x:c>
      <x:c r="AN15" s="17" t="str">
        <x:v>[
  "stock.quote.kd_amplitude_avg"
]</x:v>
      </x:c>
    </x:row>
    <x:row r="16" ht="58" customHeight="1">
      <x:c r="A16" s="17" t="str">
        <x:v>BUS012</x:v>
      </x:c>
      <x:c r="B16" s="17" t="str">
        <x:v>当前分钟成交量最大的前20只股票。</x:v>
      </x:c>
      <x:c r="C16" s="17" t="str">
        <x:v>stock</x:v>
      </x:c>
      <x:c r="D16" s="17" t="str">
        <x:v>stock.quote</x:v>
      </x:c>
      <x:c r="E16" s="17" t="str"/>
      <x:c r="F16" s="17" t="str">
        <x:v>financial_qa_cc</x:v>
      </x:c>
      <x:c r="G16" s="17" t="str">
        <x:v>否</x:v>
      </x:c>
      <x:c r="H16" s="18" t="n">
        <x:v>130013.52</x:v>
      </x:c>
      <x:c r="I16" s="18" t="n">
        <x:f>IFERROR(H16/1000,"")</x:f>
        <x:v>130.01352</x:v>
      </x:c>
      <x:c r="J16" s="17" t="n">
        <x:v>20</x:v>
      </x:c>
      <x:c r="K16" s="17" t="str">
        <x:v>成功</x:v>
      </x:c>
      <x:c r="L16" s="17" t="n">
        <x:v>3</x:v>
      </x:c>
      <x:c r="M16" s="17" t="n">
        <x:v>3</x:v>
      </x:c>
      <x:c r="N16" s="17" t="n">
        <x:v>0</x:v>
      </x:c>
      <x:c r="O16" s="17" t="n">
        <x:v>0</x:v>
      </x:c>
      <x:c r="P16" s="17" t="n">
        <x:v>0</x:v>
      </x:c>
      <x:c r="Q16" s="17" t="n">
        <x:v>0</x:v>
      </x:c>
      <x:c r="R16" s="19" t="n">
        <x:f>IFERROR((M16+N16)/L16,"")</x:f>
        <x:v>1</x:v>
      </x:c>
      <x:c r="S16" s="17" t="n">
        <x:v>0</x:v>
      </x:c>
      <x:c r="T16" s="17" t="n">
        <x:v>0</x:v>
      </x:c>
      <x:c r="U16" s="17" t="n">
        <x:v>19871</x:v>
      </x:c>
      <x:c r="V16" s="17" t="str">
        <x:v>证据不足</x:v>
      </x:c>
      <x:c r="W16" s="19" t="n">
        <x:v>1</x:v>
      </x:c>
      <x:c r="X16" s="17" t="str">
        <x:v>是</x:v>
      </x:c>
      <x:c r="Y16" s="17" t="str"/>
      <x:c r="Z16" s="17" t="str">
        <x:v>以下是当前分钟成交量最大的前20只股票（按分钟成交量降序排列，单位：手）：
| 排名 | 代码 | 名称 | 最新价(元) | 涨跌幅 | 分钟成交量(手) | 分钟成交额(元) |
|:---:|:---:|:---:|:---:|:---:|:---:|:---:|
| 1 | 600028 | 中国石化 | 5.26 | -0.19% | **75,698** | 39,817,042 |
| 2 | 601328 | 交通银行 | 7.18 | -1.91% | **65,682** | 47,159,676 |
| 3 | 601825 | 沪农商行 | 8.59 | -1.49% | **45,042** | 38,691,078 |
| 4 | 600016 | 民生银行 | 3.62 | -0.28% | 41,477 | 15,014,811 |
| 5 | 600008 | 首创环保 | 2.95 | +0.34% | 38,508 | 11,359,860 |
| 6 | 601211 | 国泰君安 | 18.36 | -3.52% | 33,882 | 62,208,270 |
| 7 | 600396 | 华电辽能 | 14.10 | -3.03% | 29,337 | 41,365,170 |
| 8 | 601857 | 中国石油 | 11.08 | -1.69% | 27,540 | 30,514,009 |
| 9 | 603993 | 洛阳钼业 | 19.52 | +2.95% | 26,235 | 51,210,720 |
| 10| 601801 | 皖新传媒 | 5.58 | -1.93% | 25,985 | 14,499,630 |
| 11| 600887 | 伊利股份 | 27.10 | -2.13% | 25,078 | 67,962,274 |
| 12| 601088 | 中国神华 | 45.69 | -0.02% | 24,003 | 109,669,707 |
| 13| 600487 | 亨通光电 | 47.61 | +0.87% | 23,514 | 111,947,630 |
| 14| 600900 | 长江电力 | 29.09 | -1.36% | 23,492 | 68,339,450 |
| 15| 601998 | 中信银行 | 7.82 | -1.39% | 21,891 | 17,118,574 |
| 16| 601678 | 滨化股份 | 6.29 | 0.00% | 20,852 | 13,115,669 |
| 17| 600733 | 北汽蓝谷 | 6.02 | +1.01% | 20,845 | 12,548,744 |
| 18| 600821 | 金开新能 | 6.44 | +5.40% | 20,238 | 13,033,272 |
| 19| 600666 | 奥瑞德 | 3.34 | +5.70% | 19,465 | 6,501,310 |
| 20| 601985 | 中国核电 | 9.06 | -0.11% | 19,441 | 17,613,546 |
**要点：**
- **中国石化、交通银行、沪农商行**位列前三，分钟成交量均超过4.5万手，遥遥领先。
- 上榜个股以**银行、能源、公用事业等大盘蓝筹**为主，这类股票流动性好、单笔挂单量大，单分钟成交活跃。
- 涨幅方面，**奥瑞德（+5.70%）和金开新能（+5.40%）** 在成交活跃的同时涨幅居前；而**国泰君安（-3.52%）和华电辽能（-3.03%）** 则是放量下跌的典型。
- 分钟成交额最大的是**亨通光电（约1.12亿元）和中国神华（约1.10亿元）**，主要由高价股属性驱动。</x:v>
      </x:c>
      <x:c r="AA16" s="17" t="str"/>
      <x:c r="AB16" s="17" t="n">
        <x:v>46235.82354261574</x:v>
      </x:c>
      <x:c r="AC16" s="17" t="n">
        <x:v>46235.82504740741</x:v>
      </x:c>
      <x:c r="AD16" s="17" t="str">
        <x:v>analysis.json</x:v>
      </x:c>
      <x:c r="AE16" s="18" t="n">
        <x:v>120710</x:v>
      </x:c>
      <x:c r="AF16" s="18" t="n">
        <x:v>9303.52</x:v>
      </x:c>
      <x:c r="AG16" s="18" t="n">
        <x:v>1013.2</x:v>
      </x:c>
      <x:c r="AH16" s="18" t="n">
        <x:v>5573.95</x:v>
      </x:c>
      <x:c r="AI16" s="17" t="n">
        <x:v>20</x:v>
      </x:c>
      <x:c r="AJ16" s="17" t="n">
        <x:v>1</x:v>
      </x:c>
      <x:c r="AK16" s="19" t="n">
        <x:v>1</x:v>
      </x:c>
      <x:c r="AL16" s="19" t="n">
        <x:v>1</x:v>
      </x:c>
      <x:c r="AM16" s="19" t="n">
        <x:v>0</x:v>
      </x:c>
      <x:c r="AN16" s="17" t="str">
        <x:v>[
  "stock.quote"
]</x:v>
      </x:c>
    </x:row>
    <x:row r="17" ht="58" customHeight="1">
      <x:c r="A17" s="17" t="str">
        <x:v>BUS013</x:v>
      </x:c>
      <x:c r="B17" s="17" t="str">
        <x:v>今天主力净流入最高的前20只股票有哪些？</x:v>
      </x:c>
      <x:c r="C17" s="17" t="str">
        <x:v>stock</x:v>
      </x:c>
      <x:c r="D17" s="17" t="str">
        <x:v>stock.moneyflow</x:v>
      </x:c>
      <x:c r="E17" s="17" t="str"/>
      <x:c r="F17" s="17" t="str">
        <x:v>financial_qa_cc</x:v>
      </x:c>
      <x:c r="G17" s="17" t="str">
        <x:v>否</x:v>
      </x:c>
      <x:c r="H17" s="18" t="n">
        <x:v>27196.29</x:v>
      </x:c>
      <x:c r="I17" s="18" t="n">
        <x:f>IFERROR(H17/1000,"")</x:f>
        <x:v>27.19629</x:v>
      </x:c>
      <x:c r="J17" s="17" t="n">
        <x:v>4</x:v>
      </x:c>
      <x:c r="K17" s="17" t="str">
        <x:v>成功</x:v>
      </x:c>
      <x:c r="L17" s="17" t="n">
        <x:v>3</x:v>
      </x:c>
      <x:c r="M17" s="17" t="n">
        <x:v>3</x:v>
      </x:c>
      <x:c r="N17" s="17" t="n">
        <x:v>0</x:v>
      </x:c>
      <x:c r="O17" s="17" t="n">
        <x:v>0</x:v>
      </x:c>
      <x:c r="P17" s="17" t="n">
        <x:v>0</x:v>
      </x:c>
      <x:c r="Q17" s="17" t="n">
        <x:v>0</x:v>
      </x:c>
      <x:c r="R17" s="19" t="n">
        <x:f>IFERROR((M17+N17)/L17,"")</x:f>
        <x:v>1</x:v>
      </x:c>
      <x:c r="S17" s="17" t="n">
        <x:v>0</x:v>
      </x:c>
      <x:c r="T17" s="17" t="n">
        <x:v>0</x:v>
      </x:c>
      <x:c r="U17" s="17" t="n">
        <x:v>10568</x:v>
      </x:c>
      <x:c r="V17" s="17" t="str">
        <x:v>正确</x:v>
      </x:c>
      <x:c r="W17" s="19" t="n">
        <x:v>1</x:v>
      </x:c>
      <x:c r="X17" s="17" t="str">
        <x:v>否</x:v>
      </x:c>
      <x:c r="Y17" s="17" t="str"/>
      <x:c r="Z17" s="17" t="str">
        <x:v>以下是 **2026-07-31（上周五）** 主力净流入最高的前20只股票，按净流入金额从高到低排列：
| 排名 | 股票 | 主力净流入（元） | 主力净占比 |
|:---:|:---:|---:|:---:|
| 1 | **东山精密** | 35.46亿 | 16.52% |
| 2 | **太极实业** | 29.21亿 | 46.09% |
| 3 | **蓝色光标** | 24.16亿 | 28.25% |
| 4 | **中国巨石** | 22.88亿 | 14.48% |
| 5 | **新易盛** | 18.06亿 | 5.79% |
| 6 | **中际旭创** | 17.56亿 | 3.25% |
| 7 | **寒武纪** | 16.71亿 | 9.01% |
| 8 | **兆易创新** | 16.45亿 | 4.83% |
| 9 | **生益科技** | 14.43亿 | 16.42% |
| 10 | **三环集团** | 13.05亿 | 10.59% |
| 11 | **普冉股份** | 12.92亿 | 11.58% |
| 12 | **北京君正** | 12.24亿 | 12.10% |
| 13 | **利欧股份** | 11.89亿 | 31.62% |
| 14 | **昆仑万维** | 10.19亿 | 16.81% |
| 15 | **长鑫科技** | 10.06亿 | 2.00% |
| 16 | **云南锗业** | 9.68亿 | 25.11% |
| 17 | **利通电子** | 9.40亿 | 51.88% |
| 18 | **金山办公** | 9.04亿 | 11.62% |
| 19 | **光迅科技** | 8.68亿 | 9.92% |
| 20 | **佰维存储** | 8.43亿 | 6.36% |
**主力净流入** = 主力买入金额 − 主力卖出金额。当日东山精密以 **35.46亿** 净流入居首，太极实业、蓝色光标分列二三位。从净占比看，**利通电子（51.88%）** 和 **太极实业（46.09%）** 的主力资金主导性最强，说明这两只个股的买入力量几乎全部来自大资金。榜单中半导体、光通信和电子板块个股较为集中，资金偏好明显。</x:v>
      </x:c>
      <x:c r="AA17" s="17" t="str"/>
      <x:c r="AB17" s="17" t="n">
        <x:v>46235.823751111115</x:v>
      </x:c>
      <x:c r="AC17" s="17" t="n">
        <x:v>46235.824065891204</x:v>
      </x:c>
      <x:c r="AD17" s="17" t="str">
        <x:v>analysis.json</x:v>
      </x:c>
      <x:c r="AE17" s="18" t="n">
        <x:v>19608</x:v>
      </x:c>
      <x:c r="AF17" s="18" t="n">
        <x:v>7588.29</x:v>
      </x:c>
      <x:c r="AG17" s="18" t="n">
        <x:v>698.84</x:v>
      </x:c>
      <x:c r="AH17" s="18" t="n">
        <x:v>5309.92</x:v>
      </x:c>
      <x:c r="AI17" s="17" t="n">
        <x:v>4</x:v>
      </x:c>
      <x:c r="AJ17" s="17" t="n">
        <x:v>1</x:v>
      </x:c>
      <x:c r="AK17" s="19" t="n">
        <x:v>1</x:v>
      </x:c>
      <x:c r="AL17" s="19" t="n">
        <x:v>1</x:v>
      </x:c>
      <x:c r="AM17" s="19" t="n">
        <x:v>0</x:v>
      </x:c>
      <x:c r="AN17" s="17" t="str">
        <x:v>[
  "stock.moneyflow"
]</x:v>
      </x:c>
    </x:row>
    <x:row r="18" ht="58" customHeight="1">
      <x:c r="A18" s="17" t="str">
        <x:v>BUS014</x:v>
      </x:c>
      <x:c r="B18" s="17" t="str">
        <x:v>查询贵州茅台最新主力净额、主力净占比和大单净额。</x:v>
      </x:c>
      <x:c r="C18" s="17" t="str">
        <x:v>stock</x:v>
      </x:c>
      <x:c r="D18" s="17" t="str">
        <x:v>stock.moneyflow</x:v>
      </x:c>
      <x:c r="E18" s="17" t="str"/>
      <x:c r="F18" s="17" t="str">
        <x:v>financial_qa_cc</x:v>
      </x:c>
      <x:c r="G18" s="17" t="str">
        <x:v>否</x:v>
      </x:c>
      <x:c r="H18" s="18" t="n">
        <x:v>21836.68</x:v>
      </x:c>
      <x:c r="I18" s="18" t="n">
        <x:f>IFERROR(H18/1000,"")</x:f>
        <x:v>21.83668</x:v>
      </x:c>
      <x:c r="J18" s="17" t="n">
        <x:v>3</x:v>
      </x:c>
      <x:c r="K18" s="17" t="str">
        <x:v>成功</x:v>
      </x:c>
      <x:c r="L18" s="17" t="n">
        <x:v>2</x:v>
      </x:c>
      <x:c r="M18" s="17" t="n">
        <x:v>2</x:v>
      </x:c>
      <x:c r="N18" s="17" t="n">
        <x:v>0</x:v>
      </x:c>
      <x:c r="O18" s="17" t="n">
        <x:v>0</x:v>
      </x:c>
      <x:c r="P18" s="17" t="n">
        <x:v>0</x:v>
      </x:c>
      <x:c r="Q18" s="17" t="n">
        <x:v>0</x:v>
      </x:c>
      <x:c r="R18" s="19" t="n">
        <x:f>IFERROR((M18+N18)/L18,"")</x:f>
        <x:v>1</x:v>
      </x:c>
      <x:c r="S18" s="17" t="n">
        <x:v>0</x:v>
      </x:c>
      <x:c r="T18" s="17" t="n">
        <x:v>0</x:v>
      </x:c>
      <x:c r="U18" s="17" t="n">
        <x:v>13955</x:v>
      </x:c>
      <x:c r="V18" s="17" t="str">
        <x:v>正确</x:v>
      </x:c>
      <x:c r="W18" s="19" t="n">
        <x:v>1</x:v>
      </x:c>
      <x:c r="X18" s="17" t="str">
        <x:v>否</x:v>
      </x:c>
      <x:c r="Y18" s="17" t="str"/>
      <x:c r="Z18" s="17" t="str">
        <x:v>贵州茅台（600519.SH）最新交易日（2026-07-31）资金流向数据如下：
- **主力净额**：约 **-3.09 亿元**（-309,029,596 元）
- **主力净占比**：**-4.19%**
- **大单净额**：约 **-0.81 亿元**（-80,690,256 元）
三项指标均为负值，说明当日主力资金净流出约 3.09 亿元，其中大单（属主力的一部分）净流出约 0.81 亿元，主力整体呈净卖出态势。</x:v>
      </x:c>
      <x:c r="AA18" s="17" t="str"/>
      <x:c r="AB18" s="17" t="n">
        <x:v>46235.824069814815</x:v>
      </x:c>
      <x:c r="AC18" s="17" t="n">
        <x:v>46235.82432255787</x:v>
      </x:c>
      <x:c r="AD18" s="17" t="str">
        <x:v>analysis.json</x:v>
      </x:c>
      <x:c r="AE18" s="18" t="n">
        <x:v>13204</x:v>
      </x:c>
      <x:c r="AF18" s="18" t="n">
        <x:v>8632.68</x:v>
      </x:c>
      <x:c r="AG18" s="18" t="n">
        <x:v>856.03</x:v>
      </x:c>
      <x:c r="AH18" s="18" t="n">
        <x:v>6053.22</x:v>
      </x:c>
      <x:c r="AI18" s="17" t="n">
        <x:v>3</x:v>
      </x:c>
      <x:c r="AJ18" s="17" t="n">
        <x:v>1</x:v>
      </x:c>
      <x:c r="AK18" s="19" t="n">
        <x:v>1</x:v>
      </x:c>
      <x:c r="AL18" s="19" t="n">
        <x:v>1</x:v>
      </x:c>
      <x:c r="AM18" s="19" t="n">
        <x:v>0</x:v>
      </x:c>
      <x:c r="AN18" s="17" t="str">
        <x:v>[
  "stock.moneyflow"
]</x:v>
      </x:c>
    </x:row>
    <x:row r="19" ht="58" customHeight="1">
      <x:c r="A19" s="17" t="str">
        <x:v>BUS015</x:v>
      </x:c>
      <x:c r="B19" s="17" t="str">
        <x:v>近5个交易日主力净流入合计最高的前10只股票。</x:v>
      </x:c>
      <x:c r="C19" s="17" t="str">
        <x:v>stock</x:v>
      </x:c>
      <x:c r="D19" s="17" t="str">
        <x:v>stock.moneyflow</x:v>
      </x:c>
      <x:c r="E19" s="17" t="str"/>
      <x:c r="F19" s="17" t="str">
        <x:v>financial_qa_cc</x:v>
      </x:c>
      <x:c r="G19" s="17" t="str">
        <x:v>否</x:v>
      </x:c>
      <x:c r="H19" s="18" t="n">
        <x:v>28834.71</x:v>
      </x:c>
      <x:c r="I19" s="18" t="n">
        <x:f>IFERROR(H19/1000,"")</x:f>
        <x:v>28.834709999999998</x:v>
      </x:c>
      <x:c r="J19" s="17" t="n">
        <x:v>4</x:v>
      </x:c>
      <x:c r="K19" s="17" t="str">
        <x:v>成功</x:v>
      </x:c>
      <x:c r="L19" s="17" t="n">
        <x:v>3</x:v>
      </x:c>
      <x:c r="M19" s="17" t="n">
        <x:v>3</x:v>
      </x:c>
      <x:c r="N19" s="17" t="n">
        <x:v>0</x:v>
      </x:c>
      <x:c r="O19" s="17" t="n">
        <x:v>0</x:v>
      </x:c>
      <x:c r="P19" s="17" t="n">
        <x:v>0</x:v>
      </x:c>
      <x:c r="Q19" s="17" t="n">
        <x:v>0</x:v>
      </x:c>
      <x:c r="R19" s="19" t="n">
        <x:f>IFERROR((M19+N19)/L19,"")</x:f>
        <x:v>1</x:v>
      </x:c>
      <x:c r="S19" s="17" t="n">
        <x:v>0</x:v>
      </x:c>
      <x:c r="T19" s="17" t="n">
        <x:v>0</x:v>
      </x:c>
      <x:c r="U19" s="17" t="n">
        <x:v>15230</x:v>
      </x:c>
      <x:c r="V19" s="17" t="str">
        <x:v>部分正确</x:v>
      </x:c>
      <x:c r="W19" s="19" t="n">
        <x:v>1</x:v>
      </x:c>
      <x:c r="X19" s="17" t="str">
        <x:v>否</x:v>
      </x:c>
      <x:c r="Y19" s="17" t="str"/>
      <x:c r="Z19" s="17" t="str">
        <x:v>近5个交易日主力净流入合计最高的前10只股票如下：
| 排名 | 股票 | 代码 | 近5日主力净流入合计 |
|:---:|:---|:---:|---:|
| 1 | **长鑫科技** | 688825.SH | **812.80亿** |
| 2 | 中国巨石 | 600176.SH | 31.74亿 |
| 3 | 太极实业 | 600667.SH | 31.07亿 |
| 4 | 三环集团 | 300408.SZ | 28.15亿 |
| 5 | 蓝色光标 | 300058.SZ | 23.42亿 |
| 6 | 国际复材 | 301526.SZ | 19.89亿 |
| 7 | 普冉股份 | 688766.SH | 18.34亿 |
| 8 | 利欧股份 | 002131.SZ | 17.44亿 |
| 9 | 贵州茅台 | 600519.SH | 17.20亿 |
| 10 | 招商银行 | 600036.SH | 16.61亿 |
**长鑫科技**以超 **812亿** 的绝对优势位居榜首，远超其他个股，说明近5个交易日主力资金对该股有非常集中的净买入。其余9只股票主力净流入合计在16亿—32亿区间，与长鑫科技差距较大。中国巨石和太极实业分别以31.74亿和31.07亿位列第二、第三。</x:v>
      </x:c>
      <x:c r="AA19" s="17" t="str"/>
      <x:c r="AB19" s="17" t="n">
        <x:v>46235.82432648148</x:v>
      </x:c>
      <x:c r="AC19" s="17" t="n">
        <x:v>46235.82466021991</x:v>
      </x:c>
      <x:c r="AD19" s="17" t="str">
        <x:v>analysis.json</x:v>
      </x:c>
      <x:c r="AE19" s="18" t="n">
        <x:v>20580</x:v>
      </x:c>
      <x:c r="AF19" s="18" t="n">
        <x:v>8254.71</x:v>
      </x:c>
      <x:c r="AG19" s="18" t="n">
        <x:v>863.9</x:v>
      </x:c>
      <x:c r="AH19" s="18" t="n">
        <x:v>5876.85</x:v>
      </x:c>
      <x:c r="AI19" s="17" t="n">
        <x:v>4</x:v>
      </x:c>
      <x:c r="AJ19" s="17" t="n">
        <x:v>1</x:v>
      </x:c>
      <x:c r="AK19" s="19" t="n">
        <x:v>1</x:v>
      </x:c>
      <x:c r="AL19" s="19" t="n">
        <x:v>1</x:v>
      </x:c>
      <x:c r="AM19" s="19" t="n">
        <x:v>0</x:v>
      </x:c>
      <x:c r="AN19" s="17" t="str">
        <x:v>[
  "stock.moneyflow.kd_main_net_sum"
]</x:v>
      </x:c>
    </x:row>
    <x:row r="20" ht="58" customHeight="1">
      <x:c r="A20" s="17" t="str">
        <x:v>BUS016</x:v>
      </x:c>
      <x:c r="B20" s="17" t="str">
        <x:v>筛选今天大单净额为正且主力净占比超过5%的股票。</x:v>
      </x:c>
      <x:c r="C20" s="17" t="str">
        <x:v>stock</x:v>
      </x:c>
      <x:c r="D20" s="17" t="str">
        <x:v>stock.moneyflow</x:v>
      </x:c>
      <x:c r="E20" s="17" t="str"/>
      <x:c r="F20" s="17" t="str">
        <x:v>free_chat</x:v>
      </x:c>
      <x:c r="G20" s="17" t="str">
        <x:v>是</x:v>
      </x:c>
      <x:c r="H20" s="18" t="n">
        <x:v>8098.98</x:v>
      </x:c>
      <x:c r="I20" s="18" t="n">
        <x:f>IFERROR(H20/1000,"")</x:f>
        <x:v>8.09898</x:v>
      </x:c>
      <x:c r="J20" s="17"/>
      <x:c r="K20" s="17" t="str">
        <x:v>成功</x:v>
      </x:c>
      <x:c r="L20" s="17" t="n">
        <x:v>0</x:v>
      </x:c>
      <x:c r="M20" s="17" t="n">
        <x:v>0</x:v>
      </x:c>
      <x:c r="N20" s="17" t="n">
        <x:v>0</x:v>
      </x:c>
      <x:c r="O20" s="17" t="n">
        <x:v>0</x:v>
      </x:c>
      <x:c r="P20" s="17" t="n">
        <x:v>0</x:v>
      </x:c>
      <x:c r="Q20" s="17" t="n">
        <x:v>0</x:v>
      </x:c>
      <x:c r="R20" s="19" t="str">
        <x:f>IFERROR((M20+N20)/L20,"")</x:f>
      </x:c>
      <x:c r="S20" s="17" t="n">
        <x:v>0</x:v>
      </x:c>
      <x:c r="T20" s="17" t="n">
        <x:v>0</x:v>
      </x:c>
      <x:c r="U20" s="17" t="n">
        <x:v>1273</x:v>
      </x:c>
      <x:c r="V20" s="17" t="str">
        <x:v>错误</x:v>
      </x:c>
      <x:c r="W20" s="19" t="n">
        <x:v>0.7</x:v>
      </x:c>
      <x:c r="X20" s="17" t="str">
        <x:v>否</x:v>
      </x:c>
      <x:c r="Y20" s="17" t="str"/>
      <x:c r="Z2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"clarify_99a54c5628f84838", "slot_hints": {"task_focus": "请说明你更想做个股深度分析，还是热点/概念追踪。"}, "context_summary": {"task_type": "", "code": "", "name": ""}}</x:v>
      </x:c>
      <x:c r="AA20" s="17" t="str"/>
      <x:c r="AB20" s="17" t="n">
        <x:v>46235.82466417824</x:v>
      </x:c>
      <x:c r="AC20" s="17" t="n">
        <x:v>46235.824757916664</x:v>
      </x:c>
      <x:c r="AD20" s="17" t="str">
        <x:v>analysis.json</x:v>
      </x:c>
      <x:c r="AE20" s="18"/>
      <x:c r="AF20" s="18"/>
      <x:c r="AG20" s="18" t="n">
        <x:v>773.86</x:v>
      </x:c>
      <x:c r="AH20" s="18"/>
      <x:c r="AI20" s="17"/>
      <x:c r="AJ20" s="17"/>
      <x:c r="AK20" s="19"/>
      <x:c r="AL20" s="19"/>
      <x:c r="AM20" s="19"/>
      <x:c r="AN20" s="17" t="str"/>
    </x:row>
    <x:row r="21" ht="58" customHeight="1">
      <x:c r="A21" s="17" t="str">
        <x:v>BUS017</x:v>
      </x:c>
      <x:c r="B21" s="17" t="str">
        <x:v>查询宁德时代最近10个交易日的主力净流入明细。</x:v>
      </x:c>
      <x:c r="C21" s="17" t="str">
        <x:v>stock</x:v>
      </x:c>
      <x:c r="D21" s="17" t="str">
        <x:v>stock.moneyflow</x:v>
      </x:c>
      <x:c r="E21" s="17" t="str"/>
      <x:c r="F21" s="17" t="str">
        <x:v>financial_qa_cc</x:v>
      </x:c>
      <x:c r="G21" s="17" t="str">
        <x:v>否</x:v>
      </x:c>
      <x:c r="H21" s="18" t="n">
        <x:v>23690.61</x:v>
      </x:c>
      <x:c r="I21" s="18" t="n">
        <x:f>IFERROR(H21/1000,"")</x:f>
        <x:v>23.69061</x:v>
      </x:c>
      <x:c r="J21" s="17" t="n">
        <x:v>5</x:v>
      </x:c>
      <x:c r="K21" s="17" t="str">
        <x:v>成功</x:v>
      </x:c>
      <x:c r="L21" s="17" t="n">
        <x:v>2</x:v>
      </x:c>
      <x:c r="M21" s="17" t="n">
        <x:v>2</x:v>
      </x:c>
      <x:c r="N21" s="17" t="n">
        <x:v>0</x:v>
      </x:c>
      <x:c r="O21" s="17" t="n">
        <x:v>0</x:v>
      </x:c>
      <x:c r="P21" s="17" t="n">
        <x:v>0</x:v>
      </x:c>
      <x:c r="Q21" s="17" t="n">
        <x:v>0</x:v>
      </x:c>
      <x:c r="R21" s="19" t="n">
        <x:f>IFERROR((M21+N21)/L21,"")</x:f>
        <x:v>1</x:v>
      </x:c>
      <x:c r="S21" s="17" t="n">
        <x:v>0</x:v>
      </x:c>
      <x:c r="T21" s="17" t="n">
        <x:v>0</x:v>
      </x:c>
      <x:c r="U21" s="17" t="n">
        <x:v>8216</x:v>
      </x:c>
      <x:c r="V21" s="17" t="str">
        <x:v>证据不足</x:v>
      </x:c>
      <x:c r="W21" s="19" t="n">
        <x:v>1</x:v>
      </x:c>
      <x:c r="X21" s="17" t="str">
        <x:v>否</x:v>
      </x:c>
      <x:c r="Y21" s="17" t="str"/>
      <x:c r="Z21" s="17" t="str">
        <x:v>宁德时代最近10个交易日的主力资金明细，当前数据源返回了最近一个交易日（2026-07-31）的记录，数据如下：
**2026-07-31（周五）**
| 指标 | 金额（元） |
|------|-----------|
| 主力流入 | 91.64 亿 |
| 主力流出 | 104.86 亿 |
| **主力净流入** | **-13.21 亿** |
| 主力净流入占比 | -8.47% |
| 超大单流入 | 60.15 亿 |
| 超大单流出 | 73.68 亿 |
| 大单净流入 | 0.32 亿 |
| 大单净流入占比 | 0.20% |
| 中单流入 | 39.94 亿 |
| 中单流出 | 31.98 亿 |
| 小单流入 | 24.45 亿 |
| 小单流出 | 19.19 亿 |
**小结：** 7月31日宁德时代主力资金净流出约 **13.21 亿元**，主力净流入占比为 -8.47%，说明当日主力整体呈净卖出态势。其中超大单净流出约 13.53 亿，是主力流出的主要来源；而大单小幅净流入 0.32 亿，部分对冲了超大单的流出。散户（小单）和中单均为净流入，承接了主力的抛压。
&gt; 数据源仅返回了最近1个交易日的主力资金明细，非完整的10个交易日记录，当前数据覆盖范围有限。</x:v>
      </x:c>
      <x:c r="AA21" s="17" t="str"/>
      <x:c r="AB21" s="17" t="n">
        <x:v>46235.82476296296</x:v>
      </x:c>
      <x:c r="AC21" s="17" t="n">
        <x:v>46235.82503716435</x:v>
      </x:c>
      <x:c r="AD21" s="17" t="str">
        <x:v>analysis.json</x:v>
      </x:c>
      <x:c r="AE21" s="18" t="n">
        <x:v>14451</x:v>
      </x:c>
      <x:c r="AF21" s="18" t="n">
        <x:v>9239.61</x:v>
      </x:c>
      <x:c r="AG21" s="18" t="n">
        <x:v>938.82</x:v>
      </x:c>
      <x:c r="AH21" s="18" t="n">
        <x:v>5959.89</x:v>
      </x:c>
      <x:c r="AI21" s="17" t="n">
        <x:v>5</x:v>
      </x:c>
      <x:c r="AJ21" s="17" t="n">
        <x:v>1</x:v>
      </x:c>
      <x:c r="AK21" s="19" t="n">
        <x:v>1</x:v>
      </x:c>
      <x:c r="AL21" s="19" t="n">
        <x:v>1</x:v>
      </x:c>
      <x:c r="AM21" s="19" t="n">
        <x:v>0</x:v>
      </x:c>
      <x:c r="AN21" s="17" t="str">
        <x:v>[
  "stock.moneyflow"
]</x:v>
      </x:c>
    </x:row>
    <x:row r="22" ht="58" customHeight="1">
      <x:c r="A22" s="17" t="str">
        <x:v>BUS018</x:v>
      </x:c>
      <x:c r="B22" s="17" t="str">
        <x:v>今天超大单买入额最高的前10只股票。</x:v>
      </x:c>
      <x:c r="C22" s="17" t="str">
        <x:v>stock</x:v>
      </x:c>
      <x:c r="D22" s="17" t="str">
        <x:v>stock.moneyflow</x:v>
      </x:c>
      <x:c r="E22" s="17" t="str"/>
      <x:c r="F22" s="17" t="str">
        <x:v>financial_qa_cc</x:v>
      </x:c>
      <x:c r="G22" s="17" t="str">
        <x:v>否</x:v>
      </x:c>
      <x:c r="H22" s="18" t="n">
        <x:v>26158.33</x:v>
      </x:c>
      <x:c r="I22" s="18" t="n">
        <x:f>IFERROR(H22/1000,"")</x:f>
        <x:v>26.158330000000003</x:v>
      </x:c>
      <x:c r="J22" s="17" t="n">
        <x:v>7</x:v>
      </x:c>
      <x:c r="K22" s="17" t="str">
        <x:v>成功</x:v>
      </x:c>
      <x:c r="L22" s="17" t="n">
        <x:v>3</x:v>
      </x:c>
      <x:c r="M22" s="17" t="n">
        <x:v>3</x:v>
      </x:c>
      <x:c r="N22" s="17" t="n">
        <x:v>0</x:v>
      </x:c>
      <x:c r="O22" s="17" t="n">
        <x:v>0</x:v>
      </x:c>
      <x:c r="P22" s="17" t="n">
        <x:v>0</x:v>
      </x:c>
      <x:c r="Q22" s="17" t="n">
        <x:v>0</x:v>
      </x:c>
      <x:c r="R22" s="19" t="n">
        <x:f>IFERROR((M22+N22)/L22,"")</x:f>
        <x:v>1</x:v>
      </x:c>
      <x:c r="S22" s="17" t="n">
        <x:v>0</x:v>
      </x:c>
      <x:c r="T22" s="17" t="n">
        <x:v>0</x:v>
      </x:c>
      <x:c r="U22" s="17" t="n">
        <x:v>10180</x:v>
      </x:c>
      <x:c r="V22" s="17" t="str">
        <x:v>正确</x:v>
      </x:c>
      <x:c r="W22" s="19" t="n">
        <x:v>1</x:v>
      </x:c>
      <x:c r="X22" s="17" t="str">
        <x:v>否</x:v>
      </x:c>
      <x:c r="Y22" s="17" t="str"/>
      <x:c r="Z22" s="17" t="str">
        <x:v>今天是 **2026年8月2日（周日）**，所属最近交易日为 **7月31日（周五）**，当日超大单买入额最高的前10只股票如下：
| 排名 | 股票 | 超大单买入额（元） | 超大单净流入占比 | 主力净流入（元） |
|:---:|:---|:---|---:|:---|
| 1 | **中际旭创** | 313.73亿 | +5.52% | +17.56亿 |
| 2 | **长鑫科技** | 272.84亿 | +1.29% | +10.06亿 |
| 3 | **新易盛** | 160.70亿 | +8.11% | +18.06亿 |
| 4 | **兆易创新** | 151.30亿 | +7.27% | +16.45亿 |
| 5 | **东山精密** | 96.36亿 | +18.31% | +35.46亿 |
| 6 | **寒武纪** | 72.35亿 | +9.14% | +16.71亿 |
| 7 | **德明利** | 66.84亿 | +7.35% | +7.73亿 |
| 8 | **宁德时代** | 60.15亿 | -8.67% | -13.21亿 |
| 9 | **三环集团** | 59.47亿 | +12.25% | +13.05亿 |
| 10 | **澜起科技** | 57.89亿 | +5.31% | +2.77亿 |
**主要特征：** 前10中半导体/AI算力链占据绝对主导——中际旭创、长鑫科技、新易盛、兆易创新、寒武纪、澜起科技等均属于光模块、存储和AI芯片方向，当日超大单资金高度聚焦科技硬件赛道。东山精密以 **+18.31%** 的超大单净流入占比居首，主力净流入达35.46亿元，为榜单中资金净流入力度最大的个股。宁德时代则是唯一超大单净流入占比为负的个股（-8.67%），虽有60亿超大单买入，但卖出更多，主力整体净流出。</x:v>
      </x:c>
      <x:c r="AA22" s="17" t="str"/>
      <x:c r="AB22" s="17" t="n">
        <x:v>46235.82504423611</x:v>
      </x:c>
      <x:c r="AC22" s="17" t="n">
        <x:v>46235.82534699074</x:v>
      </x:c>
      <x:c r="AD22" s="17" t="str">
        <x:v>analysis.json</x:v>
      </x:c>
      <x:c r="AE22" s="18" t="n">
        <x:v>18263</x:v>
      </x:c>
      <x:c r="AF22" s="18" t="n">
        <x:v>7895.33</x:v>
      </x:c>
      <x:c r="AG22" s="18" t="n">
        <x:v>814.19</x:v>
      </x:c>
      <x:c r="AH22" s="18" t="n">
        <x:v>5523.47</x:v>
      </x:c>
      <x:c r="AI22" s="17" t="n">
        <x:v>7</x:v>
      </x:c>
      <x:c r="AJ22" s="17" t="n">
        <x:v>1</x:v>
      </x:c>
      <x:c r="AK22" s="19" t="n">
        <x:v>1</x:v>
      </x:c>
      <x:c r="AL22" s="19" t="n">
        <x:v>1</x:v>
      </x:c>
      <x:c r="AM22" s="19" t="n">
        <x:v>0</x:v>
      </x:c>
      <x:c r="AN22" s="17" t="str">
        <x:v>[
  "stock.moneyflow"
]</x:v>
      </x:c>
    </x:row>
    <x:row r="23" ht="58" customHeight="1">
      <x:c r="A23" s="17" t="str">
        <x:v>BUS019</x:v>
      </x:c>
      <x:c r="B23" s="17" t="str">
        <x:v>查询招商银行当前PE、PB和总市值。</x:v>
      </x:c>
      <x:c r="C23" s="17" t="str">
        <x:v>stock</x:v>
      </x:c>
      <x:c r="D23" s="17" t="str">
        <x:v>stock.pricevalue</x:v>
      </x:c>
      <x:c r="E23" s="17" t="str"/>
      <x:c r="F23" s="17" t="str">
        <x:v>financial_qa_cc</x:v>
      </x:c>
      <x:c r="G23" s="17" t="str">
        <x:v>否</x:v>
      </x:c>
      <x:c r="H23" s="18" t="n">
        <x:v>19961.9</x:v>
      </x:c>
      <x:c r="I23" s="18" t="n">
        <x:f>IFERROR(H23/1000,"")</x:f>
        <x:v>19.9619</x:v>
      </x:c>
      <x:c r="J23" s="17" t="n">
        <x:v>7</x:v>
      </x:c>
      <x:c r="K23" s="17" t="str">
        <x:v>成功</x:v>
      </x:c>
      <x:c r="L23" s="17" t="n">
        <x:v>2</x:v>
      </x:c>
      <x:c r="M23" s="17" t="n">
        <x:v>2</x:v>
      </x:c>
      <x:c r="N23" s="17" t="n">
        <x:v>0</x:v>
      </x:c>
      <x:c r="O23" s="17" t="n">
        <x:v>0</x:v>
      </x:c>
      <x:c r="P23" s="17" t="n">
        <x:v>0</x:v>
      </x:c>
      <x:c r="Q23" s="17" t="n">
        <x:v>0</x:v>
      </x:c>
      <x:c r="R23" s="19" t="n">
        <x:f>IFERROR((M23+N23)/L23,"")</x:f>
        <x:v>1</x:v>
      </x:c>
      <x:c r="S23" s="17" t="n">
        <x:v>0</x:v>
      </x:c>
      <x:c r="T23" s="17" t="n">
        <x:v>0</x:v>
      </x:c>
      <x:c r="U23" s="17" t="n">
        <x:v>14882</x:v>
      </x:c>
      <x:c r="V23" s="17" t="str">
        <x:v>部分正确</x:v>
      </x:c>
      <x:c r="W23" s="19" t="n">
        <x:v>1</x:v>
      </x:c>
      <x:c r="X23" s="17" t="str">
        <x:v>否</x:v>
      </x:c>
      <x:c r="Y23" s="17" t="str"/>
      <x:c r="Z23" s="17" t="str">
        <x:v>截至 **2026年7月31日**（上一个交易日），招商银行的关键估值数据如下：
- **PE（市盈率）**：6.63 倍
- **PB（市净率）**：0.88 倍
- **总市值**：约 **1.02 万亿元**（1,019,587,139,881.5 元）
当前 PE 和 PB 均处于历史低位区间，PB 低于 1 倍，属于破净状态。</x:v>
      </x:c>
      <x:c r="AA23" s="17" t="str"/>
      <x:c r="AB23" s="17" t="n">
        <x:v>46235.82505259259</x:v>
      </x:c>
      <x:c r="AC23" s="17" t="n">
        <x:v>46235.82528363426</x:v>
      </x:c>
      <x:c r="AD23" s="17" t="str">
        <x:v>analysis.json</x:v>
      </x:c>
      <x:c r="AE23" s="18" t="n">
        <x:v>11934</x:v>
      </x:c>
      <x:c r="AF23" s="18" t="n">
        <x:v>8027.9</x:v>
      </x:c>
      <x:c r="AG23" s="18" t="n">
        <x:v>873.45</x:v>
      </x:c>
      <x:c r="AH23" s="18" t="n">
        <x:v>5370.69</x:v>
      </x:c>
      <x:c r="AI23" s="17" t="n">
        <x:v>7</x:v>
      </x:c>
      <x:c r="AJ23" s="17" t="n">
        <x:v>1</x:v>
      </x:c>
      <x:c r="AK23" s="19" t="n">
        <x:v>1</x:v>
      </x:c>
      <x:c r="AL23" s="19" t="n">
        <x:v>1</x:v>
      </x:c>
      <x:c r="AM23" s="19" t="n">
        <x:v>0</x:v>
      </x:c>
      <x:c r="AN23" s="17" t="str">
        <x:v>[
  "stock.pricevalue"
]</x:v>
      </x:c>
    </x:row>
    <x:row r="24" ht="58" customHeight="1">
      <x:c r="A24" s="17" t="str">
        <x:v>BUS020</x:v>
      </x:c>
      <x:c r="B24" s="17" t="str">
        <x:v>筛选PE_TTM低于15且PB低于1.5的股票。</x:v>
      </x:c>
      <x:c r="C24" s="17" t="str">
        <x:v>stock</x:v>
      </x:c>
      <x:c r="D24" s="17" t="str">
        <x:v>stock.pricevalue</x:v>
      </x:c>
      <x:c r="E24" s="17" t="str"/>
      <x:c r="F24" s="17" t="str">
        <x:v>free_chat</x:v>
      </x:c>
      <x:c r="G24" s="17" t="str">
        <x:v>是</x:v>
      </x:c>
      <x:c r="H24" s="18" t="n">
        <x:v>7745.51</x:v>
      </x:c>
      <x:c r="I24" s="18" t="n">
        <x:f>IFERROR(H24/1000,"")</x:f>
        <x:v>7.74551</x:v>
      </x:c>
      <x:c r="J24" s="17"/>
      <x:c r="K24" s="17" t="str">
        <x:v>成功</x:v>
      </x:c>
      <x:c r="L24" s="17" t="n">
        <x:v>0</x:v>
      </x:c>
      <x:c r="M24" s="17" t="n">
        <x:v>0</x:v>
      </x:c>
      <x:c r="N24" s="17" t="n">
        <x:v>0</x:v>
      </x:c>
      <x:c r="O24" s="17" t="n">
        <x:v>0</x:v>
      </x:c>
      <x:c r="P24" s="17" t="n">
        <x:v>0</x:v>
      </x:c>
      <x:c r="Q24" s="17" t="n">
        <x:v>0</x:v>
      </x:c>
      <x:c r="R24" s="19" t="str">
        <x:f>IFERROR((M24+N24)/L24,"")</x:f>
      </x:c>
      <x:c r="S24" s="17" t="n">
        <x:v>0</x:v>
      </x:c>
      <x:c r="T24" s="17" t="n">
        <x:v>0</x:v>
      </x:c>
      <x:c r="U24" s="17" t="n">
        <x:v>1261</x:v>
      </x:c>
      <x:c r="V24" s="17" t="str">
        <x:v>错误</x:v>
      </x:c>
      <x:c r="W24" s="19" t="n">
        <x:v>0.7</x:v>
      </x:c>
      <x:c r="X24" s="17" t="str">
        <x:v>否</x:v>
      </x:c>
      <x:c r="Y24" s="17" t="str"/>
      <x:c r="Z24" s="17" t="str">
        <x:v>已识别为自然语言请求，当前 agent = investment_analyst，route_type = clarify。
需要澄清: {"state_type": "clarification_state", "status": "needs_user_input", "missing_slots": ["task_focus"], "prompt": "请说明你更想做个股深度分析，还是热点/概念追踪。", "resume_token": "clarify_8186229eea19410d", "slot_hints": {"task_focus": "请说明你更想做个股深度分析，还是热点/概念追踪。"}, "context_summary": {"task_type": "", "code": "", "name": ""}}</x:v>
      </x:c>
      <x:c r="AA24" s="17" t="str"/>
      <x:c r="AB24" s="17" t="n">
        <x:v>46235.82528815972</x:v>
      </x:c>
      <x:c r="AC24" s="17" t="n">
        <x:v>46235.825377800924</x:v>
      </x:c>
      <x:c r="AD24" s="17" t="str">
        <x:v>analysis.json</x:v>
      </x:c>
      <x:c r="AE24" s="18"/>
      <x:c r="AF24" s="18"/>
      <x:c r="AG24" s="18" t="n">
        <x:v>686.86</x:v>
      </x:c>
      <x:c r="AH24" s="18"/>
      <x:c r="AI24" s="17"/>
      <x:c r="AJ24" s="17"/>
      <x:c r="AK24" s="19"/>
      <x:c r="AL24" s="19"/>
      <x:c r="AM24" s="19"/>
      <x:c r="AN24" s="17" t="str"/>
    </x:row>
    <x:row r="25" ht="58" customHeight="1">
      <x:c r="A25" s="17" t="str">
        <x:v>BUS021</x:v>
      </x:c>
      <x:c r="B25" s="17" t="str">
        <x:v>当前总市值最大的前20只股票有哪些？</x:v>
      </x:c>
      <x:c r="C25" s="17" t="str">
        <x:v>stock</x:v>
      </x:c>
      <x:c r="D25" s="17" t="str">
        <x:v>stock.pricevalue</x:v>
      </x:c>
      <x:c r="E25" s="17" t="str"/>
      <x:c r="F25" s="17" t="str">
        <x:v>financial_qa_cc</x:v>
      </x:c>
      <x:c r="G25" s="17" t="str">
        <x:v>否</x:v>
      </x:c>
      <x:c r="H25" s="18" t="n">
        <x:v>31274.83</x:v>
      </x:c>
      <x:c r="I25" s="18" t="n">
        <x:f>IFERROR(H25/1000,"")</x:f>
        <x:v>31.27483</x:v>
      </x:c>
      <x:c r="J25" s="17" t="n">
        <x:v>10</x:v>
      </x:c>
      <x:c r="K25" s="17" t="str">
        <x:v>成功</x:v>
      </x:c>
      <x:c r="L25" s="17" t="n">
        <x:v>5</x:v>
      </x:c>
      <x:c r="M25" s="17" t="n">
        <x:v>5</x:v>
      </x:c>
      <x:c r="N25" s="17" t="n">
        <x:v>0</x:v>
      </x:c>
      <x:c r="O25" s="17" t="n">
        <x:v>0</x:v>
      </x:c>
      <x:c r="P25" s="17" t="n">
        <x:v>0</x:v>
      </x:c>
      <x:c r="Q25" s="17" t="n">
        <x:v>0</x:v>
      </x:c>
      <x:c r="R25" s="19" t="n">
        <x:f>IFERROR((M25+N25)/L25,"")</x:f>
        <x:v>1</x:v>
      </x:c>
      <x:c r="S25" s="17" t="n">
        <x:v>0</x:v>
      </x:c>
      <x:c r="T25" s="17" t="n">
        <x:v>0</x:v>
      </x:c>
      <x:c r="U25" s="17" t="n">
        <x:v>16733</x:v>
      </x:c>
      <x:c r="V25" s="17" t="str">
        <x:v>正确</x:v>
      </x:c>
      <x:c r="W25" s="19" t="n">
        <x:v>1</x:v>
      </x:c>
      <x:c r="X25" s="17" t="str">
        <x:v>否</x:v>
      </x:c>
      <x:c r="Y25" s="17" t="str"/>
      <x:c r="Z25" s="17" t="str">
        <x:v>以 **2026年7月31日** 收盘数据为准，总市值最大的前20只股票如下：
| 排名 | 股票 | 总市值 | 自由流通市值 | PE(TTM) | PB |
|:---:|:---|---:|---:|:---:|:---:|
| 1 | **长鑫科技** (688825.SH) | **3.61万亿** | 2381亿 | 128.0 | 44.2 |
| 2 | **工商银行** (601398.SH) | **2.72万亿** | 2542亿 | 7.7 | 0.72 |
| 3 | **农业银行** (601288.SH) | **2.37万亿** | 2035亿 | 8.2 | 0.85 |
| 4 | **建设银行** (601939.SH) | **2.15万亿** | 728亿 | 8.3 | 0.80 |
| 5 | **中国石油** (601857.SH) | **1.98万亿** | 1278亿 | 12.8 | 1.25 |
| 6 | **宁德时代** (300750.SZ) | **1.86万亿** | 1.13万亿 | 21.5 | 4.82 |
| 7 | **中国银行** (601988.SH) | **1.84万亿** | 750亿 | 8.0 | 0.71 |
| 8 | **贵州茅台** (600519.SH) | **1.69万亿** | 7366亿 | 20.4 | 6.23 |
| 9 | **中国移动** (600941.SH) | **1.59万亿** | 891亿 | 15.6 | 1.48 |
| 10 | **工业富联** (601138.SH) | **1.13万亿** | 1731亿 | 27.7 | 6.39 |
| 11 | **中际旭创** (300308.SZ) | **1.05万亿** | 7132亿 | 70.6 | 29.6 |
| 12 | **招商银行** (600036.SH) | **1.02万亿** | 4752亿 | 6.6 | 0.88 |
| 13 | **中国海油** (600938.SH) | **1.01万亿** | 973亿 | 12.3 | 1.83 |
| 14 | **中国人寿** (601628.SH) | **1.01万亿** | 596亿 | 7.7 | 1.87 |
| 15 | **中国神华** (601088.SH) | **9637亿** | 1219亿 | 19.2 | 2.06 |
| 16 | **中国平安** (601318.SH) | **9633亿** | 5411亿 | 7.5 | 0.98 |
| 17 | **紫金矿业** (601899.SH) | **8511亿** | 4747亿 | 14.2 | 4.44 |
| 18 | **比亚迪** (002594.SZ) | **8206亿** | 2363亿 | 31.7 | 3.77 |
| 19 | **长江电力** (600900.SH) | **7118亿** | 3374亿 | 19.7 | 3.12 |
| 20 | **寒武纪** (688256.SH) | **6949亿** | 3197亿 | 255.8 | 54.0 |
**几个看点：**
- **长鑫科技**以3.61万亿总市值位居榜首，成为A股"市值一哥"，自由流通市值仅2381亿（占比约6.6%），PB高达44倍。
- 前10名中，**银行股占了4席**（工商银行、农业银行、建设银行、中国银行），估值普遍处于破净状态（PB&lt;1）。
- **科技成长股**在榜单中占据重要位置：宁德时代、工业富联、中际旭创、寒武纪均位列前20，但PE估值差异较大，寒武纪PE高达255倍，而招商银行仅6.6倍。</x:v>
      </x:c>
      <x:c r="AA25" s="17" t="str"/>
      <x:c r="AB25" s="17" t="n">
        <x:v>46235.82535319444</x:v>
      </x:c>
      <x:c r="AC25" s="17" t="n">
        <x:v>46235.82571517361</x:v>
      </x:c>
      <x:c r="AD25" s="17" t="str">
        <x:v>analysis.json</x:v>
      </x:c>
      <x:c r="AE25" s="18" t="n">
        <x:v>22810</x:v>
      </x:c>
      <x:c r="AF25" s="18" t="n">
        <x:v>8464.83</x:v>
      </x:c>
      <x:c r="AG25" s="18" t="n">
        <x:v>811.64</x:v>
      </x:c>
      <x:c r="AH25" s="18" t="n">
        <x:v>5656.34</x:v>
      </x:c>
      <x:c r="AI25" s="17" t="n">
        <x:v>10</x:v>
      </x:c>
      <x:c r="AJ25" s="17" t="n">
        <x:v>1</x:v>
      </x:c>
      <x:c r="AK25" s="19" t="n">
        <x:v>1</x:v>
      </x:c>
      <x:c r="AL25" s="19" t="n">
        <x:v>1</x:v>
      </x:c>
      <x:c r="AM25" s="19" t="n">
        <x:v>0</x:v>
      </x:c>
      <x:c r="AN25" s="17" t="str">
        <x:v>[
  "stock.pricevalue"
]</x:v>
      </x:c>
    </x:row>
    <x:row r="26" ht="58" customHeight="1">
      <x:c r="A26" s="17" t="str">
        <x:v>BUS022</x:v>
      </x:c>
      <x:c r="B26" s="17" t="str">
        <x:v>查询宁德时代最近20个交易日PE_TTM和PB变化。</x:v>
      </x:c>
      <x:c r="C26" s="17" t="str">
        <x:v>stock</x:v>
      </x:c>
      <x:c r="D26" s="17" t="str">
        <x:v>stock.pricevalue</x:v>
      </x:c>
      <x:c r="E26" s="17" t="str"/>
      <x:c r="F26" s="17" t="str">
        <x:v>financial_qa_cc</x:v>
      </x:c>
      <x:c r="G26" s="17" t="str">
        <x:v>否</x:v>
      </x:c>
      <x:c r="H26" s="18" t="n">
        <x:v>39282.44</x:v>
      </x:c>
      <x:c r="I26" s="18" t="n">
        <x:f>IFERROR(H26/1000,"")</x:f>
        <x:v>39.28244</x:v>
      </x:c>
      <x:c r="J26" s="17" t="n">
        <x:v>9</x:v>
      </x:c>
      <x:c r="K26" s="17" t="str">
        <x:v>成功</x:v>
      </x:c>
      <x:c r="L26" s="17" t="n">
        <x:v>6</x:v>
      </x:c>
      <x:c r="M26" s="17" t="n">
        <x:v>5</x:v>
      </x:c>
      <x:c r="N26" s="17" t="n">
        <x:v>0</x:v>
      </x:c>
      <x:c r="O26" s="17" t="n">
        <x:v>1</x:v>
      </x:c>
      <x:c r="P26" s="17" t="n">
        <x:v>0</x:v>
      </x:c>
      <x:c r="Q26" s="17" t="n">
        <x:v>0</x:v>
      </x:c>
      <x:c r="R26" s="19" t="n">
        <x:f>IFERROR((M26+N26)/L26,"")</x:f>
        <x:v>0.8333333333333334</x:v>
      </x:c>
      <x:c r="S26" s="17" t="n">
        <x:v>0</x:v>
      </x:c>
      <x:c r="T26" s="17" t="n">
        <x:v>0</x:v>
      </x:c>
      <x:c r="U26" s="17" t="n">
        <x:v>14805</x:v>
      </x:c>
      <x:c r="V26" s="17" t="str">
        <x:v>证据不足</x:v>
      </x:c>
      <x:c r="W26" s="19" t="n">
        <x:v>0.9545454545454546</x:v>
      </x:c>
      <x:c r="X26" s="17" t="str">
        <x:v>否</x:v>
      </x:c>
      <x:c r="Y26" s="17" t="str"/>
      <x:c r="Z26" s="17" t="str">
        <x:v>根据数据源查询结果，**宁德时代**的估值数据如下：
**最新估值（2026-07-31）**
- PE_TTM（滚动市盈率）：**21.52 倍**
- PB（市净率）：**4.82 倍**
**最近20个交易日收盘价走势**
| 日期 | 收盘价（元） |
|------|:-----------:|
| 07-31 | 395.30 |
| 07-30 | 401.88 |
| 07-29 | 396.84 |
| 07-28 | 390.86 |
| 07-27 | 400.00 |
| 07-24 | 383.01 |
| 07-23 | 385.99 |
| 07-22 | 372.26 |
| 07-21 | 382.20 |
| 07-20 | 376.43 |
| 07-17 | 360.00 |
| 07-16 | 366.20 |
| 07-15 | 373.00 |
| 07-14 | 364.01 |
| 07-13 | 359.06 |
| 07-10 | 348.76 |
| 07-09 | 375.50 |
| 07-08 | 361.00 |
| 07-07 | 372.49 |
| 07-06 | 374.51 |
不过需要说明的是，当前数据源只返回了**最新交易日（07-31）**的 PE_TTM 和 PB 数据，未提供历史每日的估值序列，因此无法展示 PE_TTM 和 PB 在过去20个交易日的逐日变化轨迹。从价格走势看，这20个交易日宁德时代股价从 374.51 元涨至 395.30 元，区间涨幅约 **5.5%**，估值在最新收盘水平上对应 PE_TTM 21.52 倍、PB 4.82 倍。</x:v>
      </x:c>
      <x:c r="AA26" s="17" t="str"/>
      <x:c r="AB26" s="17" t="n">
        <x:v>46235.82538418981</x:v>
      </x:c>
      <x:c r="AC26" s="17" t="n">
        <x:v>46235.825838854165</x:v>
      </x:c>
      <x:c r="AD26" s="17" t="str">
        <x:v>analysis.json</x:v>
      </x:c>
      <x:c r="AE26" s="18" t="n">
        <x:v>28465</x:v>
      </x:c>
      <x:c r="AF26" s="18" t="n">
        <x:v>10817.44</x:v>
      </x:c>
      <x:c r="AG26" s="18" t="n">
        <x:v>775.21</x:v>
      </x:c>
      <x:c r="AH26" s="18" t="n">
        <x:v>5520.81</x:v>
      </x:c>
      <x:c r="AI26" s="17" t="n">
        <x:v>9</x:v>
      </x:c>
      <x:c r="AJ26" s="17" t="n">
        <x:v>1</x:v>
      </x:c>
      <x:c r="AK26" s="19" t="n">
        <x:v>0.8333</x:v>
      </x:c>
      <x:c r="AL26" s="19" t="n">
        <x:v>0.8333</x:v>
      </x:c>
      <x:c r="AM26" s="19" t="n">
        <x:v>0.1667</x:v>
      </x:c>
      <x:c r="AN26" s="17" t="str">
        <x:v>[
  "stock.pricevalue",
  "stock.quote"
]</x:v>
      </x:c>
    </x:row>
    <x:row r="27" ht="58" customHeight="1">
      <x:c r="A27" s="17" t="str">
        <x:v>BUS023</x:v>
      </x:c>
      <x:c r="B27" s="17" t="str">
        <x:v>当前自由流通市值最高的前20只股票。</x:v>
      </x:c>
      <x:c r="C27" s="17" t="str">
        <x:v>stock</x:v>
      </x:c>
      <x:c r="D27" s="17" t="str">
        <x:v>stock.pricevalue</x:v>
      </x:c>
      <x:c r="E27" s="17" t="str"/>
      <x:c r="F27" s="17" t="str">
        <x:v>financial_qa_cc</x:v>
      </x:c>
      <x:c r="G27" s="17" t="str">
        <x:v>否</x:v>
      </x:c>
      <x:c r="H27" s="18" t="n">
        <x:v>33545.79</x:v>
      </x:c>
      <x:c r="I27" s="18" t="n">
        <x:f>IFERROR(H27/1000,"")</x:f>
        <x:v>33.545790000000004</x:v>
      </x:c>
      <x:c r="J27" s="17" t="n">
        <x:v>8</x:v>
      </x:c>
      <x:c r="K27" s="17" t="str">
        <x:v>成功</x:v>
      </x:c>
      <x:c r="L27" s="17" t="n">
        <x:v>4</x:v>
      </x:c>
      <x:c r="M27" s="17" t="n">
        <x:v>4</x:v>
      </x:c>
      <x:c r="N27" s="17" t="n">
        <x:v>0</x:v>
      </x:c>
      <x:c r="O27" s="17" t="n">
        <x:v>0</x:v>
      </x:c>
      <x:c r="P27" s="17" t="n">
        <x:v>0</x:v>
      </x:c>
      <x:c r="Q27" s="17" t="n">
        <x:v>0</x:v>
      </x:c>
      <x:c r="R27" s="19" t="n">
        <x:f>IFERROR((M27+N27)/L27,"")</x:f>
        <x:v>1</x:v>
      </x:c>
      <x:c r="S27" s="17" t="n">
        <x:v>0</x:v>
      </x:c>
      <x:c r="T27" s="17" t="n">
        <x:v>0</x:v>
      </x:c>
      <x:c r="U27" s="17" t="n">
        <x:v>14697</x:v>
      </x:c>
      <x:c r="V27" s="17" t="str">
        <x:v>部分正确</x:v>
      </x:c>
      <x:c r="W27" s="19" t="n">
        <x:v>1</x:v>
      </x:c>
      <x:c r="X27" s="17" t="str">
        <x:v>否</x:v>
      </x:c>
      <x:c r="Y27" s="17" t="str"/>
      <x:c r="Z27" s="17" t="str">
        <x:v>以下是以 **2026年7月31日** 收盘数据为准，自由流通市值最高的前20只股票（单位：亿元）：
| 排名 | 代码 | 名称 | 自由流通市值 | 总市值 | 流通市值 |
|:---:|:---:|:---|:---:|:---:|:---:|
| 1 | 300750.SZ | 宁德时代 | **11,333** | 18,602 | 16,840 |
| 2 | 600519.SH | 贵州茅台 | **7,366** | 16,884 | 16,884 |
| 3 | 300308.SZ | 中际旭创 | **7,132** | 10,544 | 10,012 |
| 4 | 601318.SH | 中国平安 | **5,411** | 9,633 | 5,852 |
| 5 | 600036.SH | 招商银行 | **4,752** | 10,196 | 8,173 |
| 6 | 601899.SH | 紫金矿业 | **4,747** | 8,511 | 6,788 |
| 7 | 300502.SZ | 新易盛 | **4,482** | 5,521 | 4,967 |
| 8 | 000333.SZ | 美的集团 | **4,192** | 6,671 | 6,030 |
| 9 | 600900.SH | 长江电力 | **3,374** | 7,118 | 7,118 |
| 10 | 688256.SH | 寒武纪 | **3,197** | 6,949 | 6,949 |
| 11 | 601166.SH | 兴业银行 | **2,889** | 4,000 | 4,000 |
| 12 | 002371.SZ | 北方华创 | **2,884** | 4,985 | 4,982 |
| 13 | 603259.SH | 药明康德 | **2,694** | 3,887 | 3,176 |
| 14 | 002475.SZ | 立讯精密 | **2,680** | 4,405 | 4,210 |
| 15 | 600030.SH | 中信证券 | **2,557** | 4,088 | 3,462 |
| 16 | 688012.SH | 中微公司 | **2,550** | 3,295 | 3,241 |
| 17 | 601398.SH | 工商银行 | **2,542** | 27,184 | 21,542 |
| 18 | 300059.SZ | 东方财富 | **2,484** | 3,191 | 2,693 |
| 19 | 688041.SH | 海光信息 | **2,456** | 6,438 | 6,438 |
| 20 | 688825.SH | 长鑫科技 | **2,381** | 36,096 | 2,430 |
**几个值得关注的要点：**
- **宁德时代**以约11,333亿元的自由流通市值居首，是唯一突破万亿的个股，但总市值约18,602亿，说明有相当比例股份尚未完全自由流通。
- **贵州茅台**总市值约16,884亿，但自由流通市值仅7,366亿，排在第二，与第一大股东持股比例高有关。
- **中际旭创**以7,132亿位列第三，与宁德时代、茅台一起形成"三千亿级"自由流通市值梯队。
- **工商银行**总市值高达27,184亿，但自由流通市值仅2,542亿（排名第17），国有大行流通比例较低是其特点。
- 榜单中科技成长股占比较高，包括宁德时代、中际旭创、新易盛、寒武纪、北方华创、海光信息等，反映市场对科技赛道的定价权重。</x:v>
      </x:c>
      <x:c r="AA27" s="17" t="str"/>
      <x:c r="AB27" s="17" t="n">
        <x:v>46235.8257215162</x:v>
      </x:c>
      <x:c r="AC27" s="17" t="n">
        <x:v>46235.82610978009</x:v>
      </x:c>
      <x:c r="AD27" s="17" t="str">
        <x:v>analysis.json</x:v>
      </x:c>
      <x:c r="AE27" s="18" t="n">
        <x:v>24267</x:v>
      </x:c>
      <x:c r="AF27" s="18" t="n">
        <x:v>9278.79</x:v>
      </x:c>
      <x:c r="AG27" s="18" t="n">
        <x:v>858.07</x:v>
      </x:c>
      <x:c r="AH27" s="18" t="n">
        <x:v>6373.05</x:v>
      </x:c>
      <x:c r="AI27" s="17" t="n">
        <x:v>8</x:v>
      </x:c>
      <x:c r="AJ27" s="17" t="n">
        <x:v>1</x:v>
      </x:c>
      <x:c r="AK27" s="19" t="n">
        <x:v>1</x:v>
      </x:c>
      <x:c r="AL27" s="19" t="n">
        <x:v>1</x:v>
      </x:c>
      <x:c r="AM27" s="19" t="n">
        <x:v>0</x:v>
      </x:c>
      <x:c r="AN27" s="17" t="str">
        <x:v>[
  "stock.pricevalue"
]</x:v>
      </x:c>
    </x:row>
    <x:row r="28" ht="58" customHeight="1">
      <x:c r="A28" s="17" t="str">
        <x:v>BUS024</x:v>
      </x:c>
      <x:c r="B28" s="17" t="str">
        <x:v>筛选PS_TTM低于3且总市值超过500亿元的股票。</x:v>
      </x:c>
      <x:c r="C28" s="17" t="str">
        <x:v>stock</x:v>
      </x:c>
      <x:c r="D28" s="17" t="str">
        <x:v>stock.pricevalue</x:v>
      </x:c>
      <x:c r="E28" s="17" t="str"/>
      <x:c r="F28" s="17" t="str">
        <x:v>financial_qa_cc</x:v>
      </x:c>
      <x:c r="G28" s="17" t="str">
        <x:v>否</x:v>
      </x:c>
      <x:c r="H28" s="18" t="n">
        <x:v>29690.35</x:v>
      </x:c>
      <x:c r="I28" s="18" t="n">
        <x:f>IFERROR(H28/1000,"")</x:f>
        <x:v>29.69035</x:v>
      </x:c>
      <x:c r="J28" s="17" t="n">
        <x:v>7</x:v>
      </x:c>
      <x:c r="K28" s="17" t="str">
        <x:v>成功</x:v>
      </x:c>
      <x:c r="L28" s="17" t="n">
        <x:v>3</x:v>
      </x:c>
      <x:c r="M28" s="17" t="n">
        <x:v>3</x:v>
      </x:c>
      <x:c r="N28" s="17" t="n">
        <x:v>0</x:v>
      </x:c>
      <x:c r="O28" s="17" t="n">
        <x:v>0</x:v>
      </x:c>
      <x:c r="P28" s="17" t="n">
        <x:v>0</x:v>
      </x:c>
      <x:c r="Q28" s="17" t="n">
        <x:v>0</x:v>
      </x:c>
      <x:c r="R28" s="19" t="n">
        <x:f>IFERROR((M28+N28)/L28,"")</x:f>
        <x:v>1</x:v>
      </x:c>
      <x:c r="S28" s="17" t="n">
        <x:v>0</x:v>
      </x:c>
      <x:c r="T28" s="17" t="n">
        <x:v>0</x:v>
      </x:c>
      <x:c r="U28" s="17" t="n">
        <x:v>20991</x:v>
      </x:c>
      <x:c r="V28" s="17" t="str">
        <x:v>部分正确</x:v>
      </x:c>
      <x:c r="W28" s="19" t="n">
        <x:v>1</x:v>
      </x:c>
      <x:c r="X28" s="17" t="str">
        <x:v>否</x:v>
      </x:c>
      <x:c r="Y28" s="17" t="str"/>
      <x:c r="Z28" s="17" t="str">
        <x:v>共筛选出 **PS_TTM &lt; 3 且总市值 &gt; 500亿元** 的股票 **100 只以上**（按总市值降序排列，仅展示前100）。以下是重点一览：
---
**市值最大的前10名（按总市值排序）：**
| 股票 | 代码 | PS_TTM | 总市值（亿元） |
|------|------|--------|------------|
| 中国石油 | 601857.SH | 0.71 | 19,756 |
| 中国银行 | 601988.SH | 2.90 | 18,447 |
| 中国移动 | 600941.SH | 2.01 | 15,926 |
| 工业富联 | 601138.SH | 1.13 | 11,252 |
| 招商银行 | 600036.SH | 2.93 | 10,196 |
| 中国人寿 | 601628.SH | 1.87 | 10,110 |
| 中国平安 | 601318.SH | 0.96 | 9,633 |
| 紫金矿业 | 601899.SH | 2.38 | 8,511 |
| 比亚迪 | 002594.SZ | 1.11 | 8,206 |
| 美的集团 | 000333.SZ | 1.45 | 6,671 |
**分布特征：**
- **银行保险**占比最高：中国银行、招商银行、中国平安、交通银行、兴业银行等多家均入选，PS_TTM多在 1–3 之间，银行股普遍低市销率属性明显。
- **能源资源类**：中国石油（0.71）、中国石化（0.23）、紫金矿业（2.38）、陕西煤业（1.53）、中煤能源（1.27）等。
- **电信/制造龙头**：中国移动（2.01）、中国电信（1.11）、工业富联（1.13）、比亚迪（1.11）、美的集团（1.45）。
- **最低PS_TTM**：中国建筑（0.095）、中国中铁（0.105）、中国交建（0.140），均低于 0.15，属于典型的低市销率基建央企。
**说明：** 数据基于最近一个交易日（2026-07-31 前后）的估值快照，不含数据缺失的股票。实际符合条件总数超过100只，这里展示了市值最大的前100只。</x:v>
      </x:c>
      <x:c r="AA28" s="17" t="str"/>
      <x:c r="AB28" s="17" t="n">
        <x:v>46235.82584621528</x:v>
      </x:c>
      <x:c r="AC28" s="17" t="n">
        <x:v>46235.82618984954</x:v>
      </x:c>
      <x:c r="AD28" s="17" t="str">
        <x:v>analysis.json</x:v>
      </x:c>
      <x:c r="AE28" s="18" t="n">
        <x:v>21032</x:v>
      </x:c>
      <x:c r="AF28" s="18" t="n">
        <x:v>8658.35</x:v>
      </x:c>
      <x:c r="AG28" s="18" t="n">
        <x:v>879.74</x:v>
      </x:c>
      <x:c r="AH28" s="18" t="n">
        <x:v>5835.1</x:v>
      </x:c>
      <x:c r="AI28" s="17" t="n">
        <x:v>7</x:v>
      </x:c>
      <x:c r="AJ28" s="17" t="n">
        <x:v>1</x:v>
      </x:c>
      <x:c r="AK28" s="19" t="n">
        <x:v>1</x:v>
      </x:c>
      <x:c r="AL28" s="19" t="n">
        <x:v>1</x:v>
      </x:c>
      <x:c r="AM28" s="19" t="n">
        <x:v>0</x:v>
      </x:c>
      <x:c r="AN28" s="17" t="str">
        <x:v>[
  "stock.pricevalue"
]</x:v>
      </x:c>
    </x:row>
    <x:row r="29" ht="58" customHeight="1">
      <x:c r="A29" s="17" t="str">
        <x:v>BUS025</x:v>
      </x:c>
      <x:c r="B29" s="17" t="str">
        <x:v>查询贵州茅台最新报告期营收、净利润和ROE。</x:v>
      </x:c>
      <x:c r="C29" s="17" t="str">
        <x:v>stock</x:v>
      </x:c>
      <x:c r="D29" s="17" t="str">
        <x:v>stock.financial_3_table</x:v>
      </x:c>
      <x:c r="E29" s="17" t="str"/>
      <x:c r="F29" s="17" t="str">
        <x:v>financial_qa_cc</x:v>
      </x:c>
      <x:c r="G29" s="17" t="str">
        <x:v>否</x:v>
      </x:c>
      <x:c r="H29" s="18" t="n">
        <x:v>40531.01</x:v>
      </x:c>
      <x:c r="I29" s="18" t="n">
        <x:f>IFERROR(H29/1000,"")</x:f>
        <x:v>40.53101</x:v>
      </x:c>
      <x:c r="J29" s="17" t="n">
        <x:v>14</x:v>
      </x:c>
      <x:c r="K29" s="17" t="str">
        <x:v>成功</x:v>
      </x:c>
      <x:c r="L29" s="17" t="n">
        <x:v>7</x:v>
      </x:c>
      <x:c r="M29" s="17" t="n">
        <x:v>4</x:v>
      </x:c>
      <x:c r="N29" s="17" t="n">
        <x:v>0</x:v>
      </x:c>
      <x:c r="O29" s="17" t="n">
        <x:v>3</x:v>
      </x:c>
      <x:c r="P29" s="17" t="n">
        <x:v>0</x:v>
      </x:c>
      <x:c r="Q29" s="17" t="n">
        <x:v>0</x:v>
      </x:c>
      <x:c r="R29" s="19" t="n">
        <x:f>IFERROR((M29+N29)/L29,"")</x:f>
        <x:v>0.5714285714285714</x:v>
      </x:c>
      <x:c r="S29" s="17" t="n">
        <x:v>0</x:v>
      </x:c>
      <x:c r="T29" s="17" t="n">
        <x:v>0</x:v>
      </x:c>
      <x:c r="U29" s="17" t="n">
        <x:v>26567</x:v>
      </x:c>
      <x:c r="V29" s="17" t="str">
        <x:v>证据不足</x:v>
      </x:c>
      <x:c r="W29" s="19" t="n">
        <x:v>0.95</x:v>
      </x:c>
      <x:c r="X29" s="17" t="str">
        <x:v>否</x:v>
      </x:c>
      <x:c r="Y29" s="17" t="str"/>
      <x:c r="Z29" s="17" t="str">
        <x:v>目前查询贵州茅台（600519.SH）的财务数据时，`financial_3_table` 数据源返回了零行记录，营收、净利润和 ROE 这三个字段均无法获取。虽然股票代码和名称已确认无误，但该数据源当前暂未提供贵州茅台的财报数据。
建议换个时间再试，或通过其他数据渠道查询贵州茅台最新报告期的这三项财务指标。</x:v>
      </x:c>
      <x:c r="AA29" s="17" t="str"/>
      <x:c r="AB29" s="17" t="n">
        <x:v>46235.82611666666</x:v>
      </x:c>
      <x:c r="AC29" s="17" t="n">
        <x:v>46235.82658577546</x:v>
      </x:c>
      <x:c r="AD29" s="17" t="str">
        <x:v>analysis.json</x:v>
      </x:c>
      <x:c r="AE29" s="18" t="n">
        <x:v>31873</x:v>
      </x:c>
      <x:c r="AF29" s="18" t="n">
        <x:v>8658.01</x:v>
      </x:c>
      <x:c r="AG29" s="18" t="n">
        <x:v>869.48</x:v>
      </x:c>
      <x:c r="AH29" s="18" t="n">
        <x:v>5690.44</x:v>
      </x:c>
      <x:c r="AI29" s="17" t="n">
        <x:v>14</x:v>
      </x:c>
      <x:c r="AJ29" s="17" t="n">
        <x:v>1</x:v>
      </x:c>
      <x:c r="AK29" s="19" t="n">
        <x:v>0.5714</x:v>
      </x:c>
      <x:c r="AL29" s="19" t="n">
        <x:v>0.5714</x:v>
      </x:c>
      <x:c r="AM29" s="19" t="n">
        <x:v>0.4286</x:v>
      </x:c>
      <x:c r="AN29" s="17" t="str">
        <x:v>[
  "stock.financial_3_table",
  "stock.basic_info"
]</x:v>
      </x:c>
    </x:row>
    <x:row r="30" ht="58" customHeight="1">
      <x:c r="A30" s="17" t="str">
        <x:v>BUS026</x:v>
      </x:c>
      <x:c r="B30" s="17" t="str">
        <x:v>最新年报ROE最高的前20家公司有哪些？</x:v>
      </x:c>
      <x:c r="C30" s="17" t="str">
        <x:v>stock</x:v>
      </x:c>
      <x:c r="D30" s="17" t="str">
        <x:v>stock.financial_3_table</x:v>
      </x:c>
      <x:c r="E30" s="17" t="str"/>
      <x:c r="F30" s="17" t="str">
        <x:v>financial_qa_cc</x:v>
      </x:c>
      <x:c r="G30" s="17" t="str">
        <x:v>否</x:v>
      </x:c>
      <x:c r="H30" s="18" t="n">
        <x:v>73541.94</x:v>
      </x:c>
      <x:c r="I30" s="18" t="n">
        <x:f>IFERROR(H30/1000,"")</x:f>
        <x:v>73.54194</x:v>
      </x:c>
      <x:c r="J30" s="17" t="n">
        <x:v>24</x:v>
      </x:c>
      <x:c r="K30" s="17" t="str">
        <x:v>成功</x:v>
      </x:c>
      <x:c r="L30" s="17" t="n">
        <x:v>12</x:v>
      </x:c>
      <x:c r="M30" s="17" t="n">
        <x:v>7</x:v>
      </x:c>
      <x:c r="N30" s="17" t="n">
        <x:v>0</x:v>
      </x:c>
      <x:c r="O30" s="17" t="n">
        <x:v>5</x:v>
      </x:c>
      <x:c r="P30" s="17" t="n">
        <x:v>0</x:v>
      </x:c>
      <x:c r="Q30" s="17" t="n">
        <x:v>0</x:v>
      </x:c>
      <x:c r="R30" s="19" t="n">
        <x:f>IFERROR((M30+N30)/L30,"")</x:f>
        <x:v>0.5833333333333334</x:v>
      </x:c>
      <x:c r="S30" s="17" t="n">
        <x:v>0</x:v>
      </x:c>
      <x:c r="T30" s="17" t="n">
        <x:v>0</x:v>
      </x:c>
      <x:c r="U30" s="17" t="n">
        <x:v>39248</x:v>
      </x:c>
      <x:c r="V30" s="17" t="str">
        <x:v>部分正确</x:v>
      </x:c>
      <x:c r="W30" s="19" t="n">
        <x:v>0.95</x:v>
      </x:c>
      <x:c r="X30" s="17" t="str">
        <x:v>否</x:v>
      </x:c>
      <x:c r="Y30" s="17" t="str"/>
      <x:c r="Z30" s="17" t="str">
        <x:v>数据源中没有2025年及之前的年报数据，但最新可用的报告期是**2026年中报（2026-06-30）**。以下是该报告期ROE最高的前20家公司：
| 排名 | 代码 | 名称 | ROE(%) | 扣非ROE(%) |
|:---:|:---:|:---|:---:|:---:|
| 1 | 600306.SH | 退市商城 | **101.36** | 0.83 |
| 2 | 002611.SZ | 东方精工 | **50.44** | 1.13 |
| 3 | 688266.SH | 泽璟制药 | **45.70** | 44.02 |
| 4 | 600844.SH | 金煤科技 | **28.56** | 26.75 |
| 5 | 603929.SH | 亚翔集成 | **20.91** | 20.90 |
| 6 | 601168.SH | 西部矿业 | **20.41** | 20.41 |
| 7 | 605499.SH | 东鹏饮料 | **19.84** | 17.98 |
| 8 | 688313.SH | 仕佳光子 | **19.28** | 18.91 |
| 9 | 000933.SZ | 神火股份 | **18.30** | 18.30 |
| 10 | 300503.SZ | 昊志机电 | **15.66** | 14.62 |
| 11 | 001339.SZ | 智微智能 | **15.63** | 14.98 |
| 12 | 002290.SZ | 禾盛新材 | **13.49** | 8.74 |
| 13 | 300750.SZ | 宁德时代 | **12.08** | 10.89 |
| 14 | 920258.BJ | 聚仁新材 | **11.48** | 11.42 |
| 15 | 603162.SH | 海通发展 | **11.14** | 11.10 |
| 16 | 002868.SZ | 绿康生化 | **10.91** | 10.91 |
| 17 | 000603.SZ | 盛达资源 | **10.76** | 10.55 |
| 18 | 600711.SH | 盛屯矿业 | **10.50** | 10.50 |
| 19 | 002107.SZ | 沃华医药 | **9.44** | 9.22 |
| 20 | 002415.SZ | 海康威视 | **9.42** | 9.20 |
**需要说明的是：** 当前数据源中2024、2025年年报数据暂未入库，无法按"最新年报"口径查询。以上结果为**2026年中报（半年报）**数据，是数据源中最新可用的完整报告期，ROE均为半年度累计口径，与年报全年口径不可直接等同。
**几点值得注意：**
- **退市商城**（101.36%）和**东方精工**（50.44%）ROE异常高，但扣非后分别仅0.83%和1.13%，说明高ROE主要来自非经常性损益，可持续性存疑。
- **泽璟制药**（45.70%）扣非后也达44.02%，盈利质量较扎实。
- 资源类公司如**西部矿业**（20.41%）、**神火股份**（18.30%）及**盛屯矿业**（10.50%）扣非与ROE一致，盈利质量较高。
- 知名公司中**宁德时代**（12.08%）、**海康威视**（9.42%）均在前20之列。</x:v>
      </x:c>
      <x:c r="AA30" s="17" t="str"/>
      <x:c r="AB30" s="17" t="n">
        <x:v>46235.82619787037</x:v>
      </x:c>
      <x:c r="AC30" s="17" t="n">
        <x:v>46235.8270490625</x:v>
      </x:c>
      <x:c r="AD30" s="17" t="str">
        <x:v>analysis.json</x:v>
      </x:c>
      <x:c r="AE30" s="18" t="n">
        <x:v>62951</x:v>
      </x:c>
      <x:c r="AF30" s="18" t="n">
        <x:v>10590.94</x:v>
      </x:c>
      <x:c r="AG30" s="18" t="n">
        <x:v>770.45</x:v>
      </x:c>
      <x:c r="AH30" s="18" t="n">
        <x:v>5524.57</x:v>
      </x:c>
      <x:c r="AI30" s="17" t="n">
        <x:v>24</x:v>
      </x:c>
      <x:c r="AJ30" s="17" t="n">
        <x:v>1</x:v>
      </x:c>
      <x:c r="AK30" s="19" t="n">
        <x:v>0.5833</x:v>
      </x:c>
      <x:c r="AL30" s="19" t="n">
        <x:v>0.5833</x:v>
      </x:c>
      <x:c r="AM30" s="19" t="n">
        <x:v>0.4167</x:v>
      </x:c>
      <x:c r="AN30" s="17" t="str">
        <x:v>[
  "stock.financial_3_table"
]</x:v>
      </x:c>
    </x:row>
    <x:row r="31" ht="58" customHeight="1">
      <x:c r="A31" s="17" t="str">
        <x:v>BUS027</x:v>
      </x:c>
      <x:c r="B31" s="17" t="str">
        <x:v>筛选资产负债率低于40%且毛利率高于30%的公司。</x:v>
      </x:c>
      <x:c r="C31" s="17" t="str">
        <x:v>stock</x:v>
      </x:c>
      <x:c r="D31" s="17" t="str">
        <x:v>stock.financial_3_table</x:v>
      </x:c>
      <x:c r="E31" s="17" t="str"/>
      <x:c r="F31" s="17" t="str">
        <x:v>financial_qa_cc</x:v>
      </x:c>
      <x:c r="G31" s="17" t="str">
        <x:v>否</x:v>
      </x:c>
      <x:c r="H31" s="18" t="n">
        <x:v>36807.29</x:v>
      </x:c>
      <x:c r="I31" s="18" t="n">
        <x:f>IFERROR(H31/1000,"")</x:f>
        <x:v>36.80729</x:v>
      </x:c>
      <x:c r="J31" s="17" t="n">
        <x:v>10</x:v>
      </x:c>
      <x:c r="K31" s="17" t="str">
        <x:v>成功</x:v>
      </x:c>
      <x:c r="L31" s="17" t="n">
        <x:v>3</x:v>
      </x:c>
      <x:c r="M31" s="17" t="n">
        <x:v>3</x:v>
      </x:c>
      <x:c r="N31" s="17" t="n">
        <x:v>0</x:v>
      </x:c>
      <x:c r="O31" s="17" t="n">
        <x:v>0</x:v>
      </x:c>
      <x:c r="P31" s="17" t="n">
        <x:v>0</x:v>
      </x:c>
      <x:c r="Q31" s="17" t="n">
        <x:v>0</x:v>
      </x:c>
      <x:c r="R31" s="19" t="n">
        <x:f>IFERROR((M31+N31)/L31,"")</x:f>
        <x:v>1</x:v>
      </x:c>
      <x:c r="S31" s="17" t="n">
        <x:v>0</x:v>
      </x:c>
      <x:c r="T31" s="17" t="n">
        <x:v>0</x:v>
      </x:c>
      <x:c r="U31" s="17" t="n">
        <x:v>13117</x:v>
      </x:c>
      <x:c r="V31" s="17" t="str">
        <x:v>正确</x:v>
      </x:c>
      <x:c r="W31" s="19" t="n">
        <x:v>1</x:v>
      </x:c>
      <x:c r="X31" s="17" t="str">
        <x:v>否</x:v>
      </x:c>
      <x:c r="Y31" s="17" t="str"/>
      <x:c r="Z31" s="17" t="str">
        <x:v>筛选完成。基于 **2026年半年报**（报告期 2026-06-30），全市场共有 **21家公司** 满足资产负债率低于40%且毛利率高于30%的条件。按毛利率从高到低排列如下：
| 排名 | 代码 | 名称 | 资产负债率 | 毛利率 | 营收（亿元） | 净利润（亿元） |
|:---:|:---:|:---|:---:|:---:|:---:|:---:|
| 1 | 002107.SZ | 沃华医药 | 26.3% | **77.8%** | 3.93 | 0.71 |
| 2 | 603877.SH | 太平鸟 | 38.7% | **61.2%** | 28.78 | 1.02 |
| 3 | 002296.SZ | 辉煌科技 | 24.2% | **59.5%** | 3.72 | 1.18 |
| 4 | 300463.SZ | 迈克生物 | 19.0% | **57.3%** | 10.34 | 0.30 |
| 5 | 600351.SH | 亚宝药业 | 15.0% | **54.0%** | 11.45 | 1.79 |
| 6 | 688475.SH | 萤石网络 | 37.4% | **50.3%** | 30.07 | 4.10 |
| 7 | 002415.SZ | 海康威视 | 32.4% | **50.0%** | 468.23 | 91.23 |
| 8 | 688018.SH | 乐鑫科技 | 10.3% | **49.3%** | 14.81 | 3.35 |
| 9 | 300508.SZ | 维宏股份 | 19.0% | **48.6%** | 2.86 | 0.06 |
| 10 | 600306.SH | 退市商城 | 18.3% | **46.9%** | 0.39 | 3.01 |
| 11 | 920262.BJ | 太湖雪 | 37.1% | **44.6%** | 3.25 | 0.27 |
| 12 | 603309.SH | 维力医疗 | 34.3% | **43.3%** | 7.69 | 1.08 |
| 13 | 300416.SZ | 苏试试验 | 39.5% | **42.2%** | 10.79 | 1.39 |
| 14 | 920258.BJ | 聚仁新材 | 11.2% | **39.7%** | 3.89 | 0.99 |
| 15 | 605033.SH | 美邦股份 | 35.8% | **37.2%** | 5.55 | 0.51 |
| 16 | 002413.SZ | 雷科防务 | 36.2% | **36.8%** | 5.61 | -0.18 |
| 17 | 001359.SZ | 平安电工 | 19.2% | **35.2%** | 6.86 | 1.25 |
| 18 | 301071.SZ | 力量钻石 | 19.5% | **34.4%** | 4.38 | 0.90 |
| 19 | 600885.SH | 宏发股份 | 34.3% | **32.7%** | 110.22 | 15.15 |
| 20 | 688146.SH | 中船特气 | 21.4% | **31.8%** | 19.04 | 3.48 |
| 21 | 002549.SZ | 凯美特气 | 28.0% | **31.1%** | 3.16 | 0.22 |
**核心发现：**
- **高毛利率阵营**：沃华医药（77.8%）、太平鸟（61.2%）、辉煌科技（59.5%）位列前三，以医药和科技类公司为主。
- **低负债突出**：乐鑫科技资产负债率仅10.3%，聚仁新材11.2%、亚宝药业15.0%，财务结构非常保守。
- **体量最大**：海康威视以468亿营收、91亿净利润居首，同时保持32.4%的低负债和50%的高毛利率，质量突出。
- **注意**：退市商城（600306.SH）已处于退市状态，其数据需审慎看待；雷科防务（002413.SZ）上半年亏损，需结合其他指标综合判断。
这是全量结果（21家），如需进一步分析某几家公司的详情，或增加其他筛选条件，随时告诉我。</x:v>
      </x:c>
      <x:c r="AA31" s="17" t="str"/>
      <x:c r="AB31" s="17" t="n">
        <x:v>46235.826592349535</x:v>
      </x:c>
      <x:c r="AC31" s="17" t="n">
        <x:v>46235.82701836806</x:v>
      </x:c>
      <x:c r="AD31" s="17" t="str">
        <x:v>analysis.json</x:v>
      </x:c>
      <x:c r="AE31" s="18" t="n">
        <x:v>28278</x:v>
      </x:c>
      <x:c r="AF31" s="18" t="n">
        <x:v>8529.29</x:v>
      </x:c>
      <x:c r="AG31" s="18" t="n">
        <x:v>845.78</x:v>
      </x:c>
      <x:c r="AH31" s="18" t="n">
        <x:v>5695.39</x:v>
      </x:c>
      <x:c r="AI31" s="17" t="n">
        <x:v>10</x:v>
      </x:c>
      <x:c r="AJ31" s="17" t="n">
        <x:v>1</x:v>
      </x:c>
      <x:c r="AK31" s="19" t="n">
        <x:v>1</x:v>
      </x:c>
      <x:c r="AL31" s="19" t="n">
        <x:v>1</x:v>
      </x:c>
      <x:c r="AM31" s="19" t="n">
        <x:v>0</x:v>
      </x:c>
      <x:c r="AN31" s="17" t="str">
        <x:v>[
  "stock.financial_3_table"
]</x:v>
      </x:c>
    </x:row>
    <x:row r="32" ht="58" customHeight="1">
      <x:c r="A32" s="17" t="str">
        <x:v>BUS028</x:v>
      </x:c>
      <x:c r="B32" s="17" t="str">
        <x:v>查询宁德时代最近4个报告期研发费用和净利润。</x:v>
      </x:c>
      <x:c r="C32" s="17" t="str">
        <x:v>stock</x:v>
      </x:c>
      <x:c r="D32" s="17" t="str">
        <x:v>stock.financial_3_table</x:v>
      </x:c>
      <x:c r="E32" s="17" t="str"/>
      <x:c r="F32" s="17" t="str">
        <x:v>financial_qa_cc</x:v>
      </x:c>
      <x:c r="G32" s="17" t="str">
        <x:v>否</x:v>
      </x:c>
      <x:c r="H32" s="18" t="n">
        <x:v>37519.74</x:v>
      </x:c>
      <x:c r="I32" s="18" t="n">
        <x:f>IFERROR(H32/1000,"")</x:f>
        <x:v>37.51974</x:v>
      </x:c>
      <x:c r="J32" s="17" t="n">
        <x:v>12</x:v>
      </x:c>
      <x:c r="K32" s="17" t="str">
        <x:v>成功</x:v>
      </x:c>
      <x:c r="L32" s="17" t="n">
        <x:v>5</x:v>
      </x:c>
      <x:c r="M32" s="17" t="n">
        <x:v>5</x:v>
      </x:c>
      <x:c r="N32" s="17" t="n">
        <x:v>0</x:v>
      </x:c>
      <x:c r="O32" s="17" t="n">
        <x:v>0</x:v>
      </x:c>
      <x:c r="P32" s="17" t="n">
        <x:v>0</x:v>
      </x:c>
      <x:c r="Q32" s="17" t="n">
        <x:v>0</x:v>
      </x:c>
      <x:c r="R32" s="19" t="n">
        <x:f>IFERROR((M32+N32)/L32,"")</x:f>
        <x:v>1</x:v>
      </x:c>
      <x:c r="S32" s="17" t="n">
        <x:v>0</x:v>
      </x:c>
      <x:c r="T32" s="17" t="n">
        <x:v>0</x:v>
      </x:c>
      <x:c r="U32" s="17" t="n">
        <x:v>23595</x:v>
      </x:c>
      <x:c r="V32" s="17" t="str">
        <x:v>证据不足</x:v>
      </x:c>
      <x:c r="W32" s="19" t="n">
        <x:v>0.95</x:v>
      </x:c>
      <x:c r="X32" s="17" t="str">
        <x:v>否</x:v>
      </x:c>
      <x:c r="Y32" s="17" t="str"/>
      <x:c r="Z32" s="17" t="str">
        <x:v>宁德时代当前数据源中仅收录了最近一个完整报告期（2026年中报）的财务数据，无法获取到4个报告期的序列。已获取到的数据如下：
**宁德时代 2026年上半年（报告期 2026-06-30）**
| 指标 | 金额（元） |
|------|-----------|
| 研发费用 | 113.77 亿 |
| 净利润 | 470.31 亿 |
2026年上半年，宁德时代研发费用为 **113.77 亿元**，净利润为 **470.31 亿元**。更早的报告期（2025年年报及之前）在当前数据源中暂未收录，因此无法提供4个报告期的完整对比序列。</x:v>
      </x:c>
      <x:c r="AA32" s="17" t="str"/>
      <x:c r="AB32" s="17" t="n">
        <x:v>46235.82702853009</x:v>
      </x:c>
      <x:c r="AC32" s="17" t="n">
        <x:v>46235.8274628125</x:v>
      </x:c>
      <x:c r="AD32" s="17" t="str">
        <x:v>analysis.json</x:v>
      </x:c>
      <x:c r="AE32" s="18" t="n">
        <x:v>28523</x:v>
      </x:c>
      <x:c r="AF32" s="18" t="n">
        <x:v>8996.74</x:v>
      </x:c>
      <x:c r="AG32" s="18" t="n">
        <x:v>861.16</x:v>
      </x:c>
      <x:c r="AH32" s="18" t="n">
        <x:v>5462.97</x:v>
      </x:c>
      <x:c r="AI32" s="17" t="n">
        <x:v>12</x:v>
      </x:c>
      <x:c r="AJ32" s="17" t="n">
        <x:v>1</x:v>
      </x:c>
      <x:c r="AK32" s="19" t="n">
        <x:v>1</x:v>
      </x:c>
      <x:c r="AL32" s="19" t="n">
        <x:v>1</x:v>
      </x:c>
      <x:c r="AM32" s="19" t="n">
        <x:v>0</x:v>
      </x:c>
      <x:c r="AN32" s="17" t="str">
        <x:v>[
  "stock.financial_3_table"
]</x:v>
      </x:c>
    </x:row>
    <x:row r="33" ht="58" customHeight="1">
      <x:c r="A33" s="17" t="str">
        <x:v>BUS029</x:v>
      </x:c>
      <x:c r="B33" s="17" t="str">
        <x:v>筛选最新报告期经营现金流为正且净利润为正的公司。</x:v>
      </x:c>
      <x:c r="C33" s="17" t="str">
        <x:v>stock</x:v>
      </x:c>
      <x:c r="D33" s="17" t="str">
        <x:v>stock.financial_3_table</x:v>
      </x:c>
      <x:c r="E33" s="17" t="str"/>
      <x:c r="F33" s="17" t="str">
        <x:v>financial_qa_cc</x:v>
      </x:c>
      <x:c r="G33" s="17" t="str">
        <x:v>否</x:v>
      </x:c>
      <x:c r="H33" s="18" t="n">
        <x:v>40628.27</x:v>
      </x:c>
      <x:c r="I33" s="18" t="n">
        <x:f>IFERROR(H33/1000,"")</x:f>
        <x:v>40.62826999999999</x:v>
      </x:c>
      <x:c r="J33" s="17" t="n">
        <x:v>11</x:v>
      </x:c>
      <x:c r="K33" s="17" t="str">
        <x:v>成功</x:v>
      </x:c>
      <x:c r="L33" s="17" t="n">
        <x:v>4</x:v>
      </x:c>
      <x:c r="M33" s="17" t="n">
        <x:v>4</x:v>
      </x:c>
      <x:c r="N33" s="17" t="n">
        <x:v>0</x:v>
      </x:c>
      <x:c r="O33" s="17" t="n">
        <x:v>0</x:v>
      </x:c>
      <x:c r="P33" s="17" t="n">
        <x:v>0</x:v>
      </x:c>
      <x:c r="Q33" s="17" t="n">
        <x:v>0</x:v>
      </x:c>
      <x:c r="R33" s="19" t="n">
        <x:f>IFERROR((M33+N33)/L33,"")</x:f>
        <x:v>1</x:v>
      </x:c>
      <x:c r="S33" s="17" t="n">
        <x:v>0</x:v>
      </x:c>
      <x:c r="T33" s="17" t="n">
        <x:v>0</x:v>
      </x:c>
      <x:c r="U33" s="17" t="n">
        <x:v>21857</x:v>
      </x:c>
      <x:c r="V33" s="17" t="str">
        <x:v>部分正确</x:v>
      </x:c>
      <x:c r="W33" s="19" t="n">
        <x:v>1</x:v>
      </x:c>
      <x:c r="X33" s="17" t="str">
        <x:v>否</x:v>
      </x:c>
      <x:c r="Y33" s="17" t="str"/>
      <x:c r="Z33" s="17" t="str">
        <x:v>以下是筛选结果。
---
**筛选口径**：2026年中报（报告期 2026-06-30）| 经营现金流 &gt; 0 且 净利润 &gt; 0 | 共返回 **20 家公司**（限前20条）
| 代码 | 名称 | 经营现金流(元) | 净利润(元) |
|------|------|---------------|-----------|
| 000603.SZ | 盛达资源 | 5.73亿 | 4.33亿 |
| 600351.SH | 亚宝药业 | 3.53亿 | 1.79亿 |
| 603058.SH | 永吉股份 | 0.69亿 | 0.92亿 |
| 002064.SZ | 华峰化学 | 13.73亿 | 19.84亿 |
| 605507.SH | 国邦医药 | 4.55亿 | 3.41亿 |
| 300738.SZ | 奥飞数据 | 8.52亿 | 2.17亿 |
| 688266.SH | 泽璟制药 | 8.09亿 | 6.40亿 |
| 601198.SH | 东兴证券 | 103.60亿 | 10.25亿 |
| 600236.SH | 桂冠电力 | 38.03亿 | 20.28亿 |
| 300508.SZ | 维宏股份 | 0.23亿 | 0.06亿 |
| 600423.SH | *ST柳化 | 0.03亿 | 0.14亿 |
| 601059.SH | 信达证券 | 6.39亿 | 11.28亿 |
| 300947.SZ | 德必集团 | 3.32亿 | 0.06亿 |
| 603101.SH | 汇嘉时代 | 2.57亿 | 0.98亿 |
| 603309.SH | 维力医疗 | 1.60亿 | 1.08亿 |
| 603797.SH | 联泰环保 | 1.47亿 | 0.83亿 |
| 603877.SH | 太平鸟 | 2.41亿 | 1.02亿 |
| 605499.SH | 东鹏饮料 | 24.93亿 | 28.67亿 |
| 688018.SH | 乐鑫科技 | 0.72亿 | 3.35亿 |
| 920050.BJ | 爱伦医疗 | 0.73亿 | 0.57亿 |
**几点观察**：
- **经营现金流与净利润双高**的头部公司：东兴证券（经营现金流103.6亿）、东鹏饮料（24.9亿经营现金流、28.7亿净利润）、桂冠电力（38.0亿经营现金流、20.3亿净利润）、华峰化学（13.7亿经营现金流、19.8亿净利润）。
- **净利润规模最大**：东鹏饮料（28.7亿）居首，其次是华峰化学（19.8亿）和桂冠电力（20.3亿）。
- 覆盖多个行业，包括有色金属（盛达资源）、医药（亚宝药业、泽璟制药、国邦医药）、化工（华峰化学）、电力（桂冠电力）、证券（东兴证券、信达证券）、食品饮料（东鹏饮料）等。
&gt; ⚠️ 说明：该结果基于当前数据库中已披露2026年中报的公司，返回前20条。实际满足条件的公司数可能更多，如需完整名单可放宽 limit 限制。</x:v>
      </x:c>
      <x:c r="AA33" s="17" t="str"/>
      <x:c r="AB33" s="17" t="n">
        <x:v>46235.827056064816</x:v>
      </x:c>
      <x:c r="AC33" s="17" t="n">
        <x:v>46235.827526319445</x:v>
      </x:c>
      <x:c r="AD33" s="17" t="str">
        <x:v>analysis.json</x:v>
      </x:c>
      <x:c r="AE33" s="18" t="n">
        <x:v>32266</x:v>
      </x:c>
      <x:c r="AF33" s="18" t="n">
        <x:v>8362.27</x:v>
      </x:c>
      <x:c r="AG33" s="18" t="n">
        <x:v>645.15</x:v>
      </x:c>
      <x:c r="AH33" s="18" t="n">
        <x:v>5056.86</x:v>
      </x:c>
      <x:c r="AI33" s="17" t="n">
        <x:v>11</x:v>
      </x:c>
      <x:c r="AJ33" s="17" t="n">
        <x:v>1</x:v>
      </x:c>
      <x:c r="AK33" s="19" t="n">
        <x:v>1</x:v>
      </x:c>
      <x:c r="AL33" s="19" t="n">
        <x:v>1</x:v>
      </x:c>
      <x:c r="AM33" s="19" t="n">
        <x:v>0</x:v>
      </x:c>
      <x:c r="AN33" s="17" t="str">
        <x:v>[
  "stock.financial_3_table"
]</x:v>
      </x:c>
    </x:row>
    <x:row r="34" ht="58" customHeight="1">
      <x:c r="A34" s="17" t="str">
        <x:v>BUS030</x:v>
      </x:c>
      <x:c r="B34" s="17" t="str">
        <x:v>最新报告期净利率最高的前20家公司。</x:v>
      </x:c>
      <x:c r="C34" s="17" t="str">
        <x:v>stock</x:v>
      </x:c>
      <x:c r="D34" s="17" t="str">
        <x:v>stock.financial_3_table</x:v>
      </x:c>
      <x:c r="E34" s="17" t="str"/>
      <x:c r="F34" s="17" t="str">
        <x:v>financial_qa_cc</x:v>
      </x:c>
      <x:c r="G34" s="17" t="str">
        <x:v>否</x:v>
      </x:c>
      <x:c r="H34" s="18" t="n">
        <x:v>35998.07</x:v>
      </x:c>
      <x:c r="I34" s="18" t="n">
        <x:f>IFERROR(H34/1000,"")</x:f>
        <x:v>35.99807</x:v>
      </x:c>
      <x:c r="J34" s="17" t="n">
        <x:v>8</x:v>
      </x:c>
      <x:c r="K34" s="17" t="str">
        <x:v>成功</x:v>
      </x:c>
      <x:c r="L34" s="17" t="n">
        <x:v>4</x:v>
      </x:c>
      <x:c r="M34" s="17" t="n">
        <x:v>4</x:v>
      </x:c>
      <x:c r="N34" s="17" t="n">
        <x:v>0</x:v>
      </x:c>
      <x:c r="O34" s="17" t="n">
        <x:v>0</x:v>
      </x:c>
      <x:c r="P34" s="17" t="n">
        <x:v>0</x:v>
      </x:c>
      <x:c r="Q34" s="17" t="n">
        <x:v>0</x:v>
      </x:c>
      <x:c r="R34" s="19" t="n">
        <x:f>IFERROR((M34+N34)/L34,"")</x:f>
        <x:v>1</x:v>
      </x:c>
      <x:c r="S34" s="17" t="n">
        <x:v>0</x:v>
      </x:c>
      <x:c r="T34" s="17" t="n">
        <x:v>0</x:v>
      </x:c>
      <x:c r="U34" s="17" t="n">
        <x:v>11043</x:v>
      </x:c>
      <x:c r="V34" s="17" t="str">
        <x:v>部分正确</x:v>
      </x:c>
      <x:c r="W34" s="19" t="n">
        <x:v>1</x:v>
      </x:c>
      <x:c r="X34" s="17" t="str">
        <x:v>否</x:v>
      </x:c>
      <x:c r="Y34" s="17" t="str"/>
      <x:c r="Z34" s="17" t="str">
        <x:v>以下是2026年中报（报告期2026-06-30）净利率排名前20的公司：
| 排名 | 公司 | 净利率(%) | 营业收入(元) | 净利润(元) |
|:---:|:---|:---:|:---|:---|
| 1 | 退市商城 | **775.18** | 3,886万 | 3.01亿 |
| 2 | 东方精工 | **228.52** | 16.91亿 | 38.64亿 |
| 3 | 泽璟制药 | **53.10** | 12.05亿 | 6.40亿 |
| 4 | 信达证券 | **46.33** | 24.35亿 | 11.28亿 |
| 5 | 东兴证券 | **40.93** | 25.06亿 | 10.25亿 |
| 6 | 盛达资源 | **37.57** | 11.52亿 | 4.33亿 |
| 7 | 桂冠电力 | **35.48** | 57.16亿 | 20.28亿 |
| 8 | 辉煌科技 | **31.59** | 3.72亿 | 1.18亿 |
| 9 | 永吉股份 | **25.67** | 3.57亿 | 9,153万 |
| 10 | 聚仁新材 | **25.36** | 3.89亿 | 9,869万 |
| 11 | 神火股份 | **24.52** | 247.91亿 | 60.78亿 |
| 12 | 东鹏饮料 | **23.04** | 124.43亿 | 28.67亿 |
| 13 | 乐鑫科技 | **22.64** | 14.81亿 | 3.35亿 |
| 14 | 智微智能 | **22.16** | 30.50亿 | 6.76亿 |
| 15 | 仕佳光子 | **21.05** | 14.95亿 | 3.15亿 |
| 16 | 力量钻石 | **20.57** | 4.38亿 | 9,005万 |
| 17 | 昊志机电 | **19.85** | 11.66亿 | 2.32亿 |
| 18 | 海康威视 | **19.48** | 468.23亿 | 91.23亿 |
| 19 | 亚翔集成 | **19.20** | 25.48亿 | 4.89亿 |
| 20 | *ST柳化 | **18.50** | 7,668万 | 1,418万 |
**几点说明：**
- **退市商城**（775%）和**东方精工**（228%）净利率远超100%，说明净利润中包含了大量非经常性损益（如资产处置、债务重组收益等），并非纯经营利润，参考性有限。剔除这两家后，**泽璟制药**（53.1%）以创新药高毛利特征居首。
- 券商板块表现突出，**信达证券**（46.3%）和**东兴证券**（40.9%）分列第4、5位，经纪与投资业务贡献了较高的利润留存。
- 大市值公司中，**海康威视**（19.5%）以468亿营收实现91亿净利润，净利率在科技硬件领域相当稳健；**东鹏饮料**（23.0%）和**神火股份**（24.5%）也保持了较强的盈利能力。</x:v>
      </x:c>
      <x:c r="AA34" s="17" t="str"/>
      <x:c r="AB34" s="17" t="n">
        <x:v>46235.82747859954</x:v>
      </x:c>
      <x:c r="AC34" s="17" t="n">
        <x:v>46235.827895243056</x:v>
      </x:c>
      <x:c r="AD34" s="17" t="str">
        <x:v>analysis.json</x:v>
      </x:c>
      <x:c r="AE34" s="18" t="n">
        <x:v>26760</x:v>
      </x:c>
      <x:c r="AF34" s="18" t="n">
        <x:v>9238.07</x:v>
      </x:c>
      <x:c r="AG34" s="18" t="n">
        <x:v>1312.58</x:v>
      </x:c>
      <x:c r="AH34" s="18" t="n">
        <x:v>6484.16</x:v>
      </x:c>
      <x:c r="AI34" s="17" t="n">
        <x:v>8</x:v>
      </x:c>
      <x:c r="AJ34" s="17" t="n">
        <x:v>1</x:v>
      </x:c>
      <x:c r="AK34" s="19" t="n">
        <x:v>1</x:v>
      </x:c>
      <x:c r="AL34" s="19" t="n">
        <x:v>1</x:v>
      </x:c>
      <x:c r="AM34" s="19" t="n">
        <x:v>0</x:v>
      </x:c>
      <x:c r="AN34" s="17" t="str">
        <x:v>[
  "stock.financial_3_table"
]</x:v>
      </x:c>
    </x:row>
    <x:row r="35" ht="58" customHeight="1">
      <x:c r="A35" s="17" t="str">
        <x:v>BUS031</x:v>
      </x:c>
      <x:c r="B35" s="17" t="str">
        <x:v>贵州茅台最新融资余额、融资买入额和融资偿还额是多少？</x:v>
      </x:c>
      <x:c r="C35" s="17" t="str">
        <x:v>stock</x:v>
      </x:c>
      <x:c r="D35" s="17" t="str">
        <x:v>stock.margin</x:v>
      </x:c>
      <x:c r="E35" s="17" t="str"/>
      <x:c r="F35" s="17" t="str">
        <x:v>financial_qa_cc</x:v>
      </x:c>
      <x:c r="G35" s="17" t="str">
        <x:v>否</x:v>
      </x:c>
      <x:c r="H35" s="18" t="n">
        <x:v>18361.45</x:v>
      </x:c>
      <x:c r="I35" s="18" t="n">
        <x:f>IFERROR(H35/1000,"")</x:f>
        <x:v>18.36145</x:v>
      </x:c>
      <x:c r="J35" s="17" t="n">
        <x:v>5</x:v>
      </x:c>
      <x:c r="K35" s="17" t="str">
        <x:v>成功</x:v>
      </x:c>
      <x:c r="L35" s="17" t="n">
        <x:v>2</x:v>
      </x:c>
      <x:c r="M35" s="17" t="n">
        <x:v>2</x:v>
      </x:c>
      <x:c r="N35" s="17" t="n">
        <x:v>0</x:v>
      </x:c>
      <x:c r="O35" s="17" t="n">
        <x:v>0</x:v>
      </x:c>
      <x:c r="P35" s="17" t="n">
        <x:v>0</x:v>
      </x:c>
      <x:c r="Q35" s="17" t="n">
        <x:v>0</x:v>
      </x:c>
      <x:c r="R35" s="19" t="n">
        <x:f>IFERROR((M35+N35)/L35,"")</x:f>
        <x:v>1</x:v>
      </x:c>
      <x:c r="S35" s="17" t="n">
        <x:v>0</x:v>
      </x:c>
      <x:c r="T35" s="17" t="n">
        <x:v>0</x:v>
      </x:c>
      <x:c r="U35" s="17" t="n">
        <x:v>6927</x:v>
      </x:c>
      <x:c r="V35" s="17" t="str">
        <x:v>正确</x:v>
      </x:c>
      <x:c r="W35" s="19" t="n">
        <x:v>1</x:v>
      </x:c>
      <x:c r="X35" s="17" t="str">
        <x:v>否</x:v>
      </x:c>
      <x:c r="Y35" s="17" t="str"/>
      <x:c r="Z35" s="17" t="str">
        <x:v>截至 **2026-07-30**（最近一个交易日），贵州茅台（600519.SH）融资数据如下：
- **融资余额**：172.43 亿元
- **融资买入额**：3.85 亿元
- **融资偿还额**：7.40 亿元
当日融资偿还额明显高于融资买入额，净偿还约 3.56 亿元，显示融资客在当日以减仓为主。</x:v>
      </x:c>
      <x:c r="AA35" s="17" t="str"/>
      <x:c r="AB35" s="17" t="n">
        <x:v>46235.82753538194</x:v>
      </x:c>
      <x:c r="AC35" s="17" t="n">
        <x:v>46235.82774789352</x:v>
      </x:c>
      <x:c r="AD35" s="17" t="str">
        <x:v>analysis.json</x:v>
      </x:c>
      <x:c r="AE35" s="18" t="n">
        <x:v>9753</x:v>
      </x:c>
      <x:c r="AF35" s="18" t="n">
        <x:v>8608.45</x:v>
      </x:c>
      <x:c r="AG35" s="18" t="n">
        <x:v>912.28</x:v>
      </x:c>
      <x:c r="AH35" s="18" t="n">
        <x:v>5721.75</x:v>
      </x:c>
      <x:c r="AI35" s="17" t="n">
        <x:v>5</x:v>
      </x:c>
      <x:c r="AJ35" s="17" t="n">
        <x:v>1</x:v>
      </x:c>
      <x:c r="AK35" s="19" t="n">
        <x:v>1</x:v>
      </x:c>
      <x:c r="AL35" s="19" t="n">
        <x:v>1</x:v>
      </x:c>
      <x:c r="AM35" s="19" t="n">
        <x:v>0</x:v>
      </x:c>
      <x:c r="AN35" s="17" t="str">
        <x:v>[
  "stock.margin"
]</x:v>
      </x:c>
    </x:row>
    <x:row r="36" ht="58" customHeight="1">
      <x:c r="A36" s="17" t="str">
        <x:v>BUS032</x:v>
      </x:c>
      <x:c r="B36" s="17" t="str">
        <x:v>最新融资余额最高的前20只股票有哪些？</x:v>
      </x:c>
      <x:c r="C36" s="17" t="str">
        <x:v>stock</x:v>
      </x:c>
      <x:c r="D36" s="17" t="str">
        <x:v>stock.margin</x:v>
      </x:c>
      <x:c r="E36" s="17" t="str"/>
      <x:c r="F36" s="17" t="str">
        <x:v>financial_qa_cc</x:v>
      </x:c>
      <x:c r="G36" s="17" t="str">
        <x:v>否</x:v>
      </x:c>
      <x:c r="H36" s="18" t="n">
        <x:v>40180.74</x:v>
      </x:c>
      <x:c r="I36" s="18" t="n">
        <x:f>IFERROR(H36/1000,"")</x:f>
        <x:v>40.18074</x:v>
      </x:c>
      <x:c r="J36" s="17" t="n">
        <x:v>11</x:v>
      </x:c>
      <x:c r="K36" s="17" t="str">
        <x:v>成功</x:v>
      </x:c>
      <x:c r="L36" s="17" t="n">
        <x:v>6</x:v>
      </x:c>
      <x:c r="M36" s="17" t="n">
        <x:v>3</x:v>
      </x:c>
      <x:c r="N36" s="17" t="n">
        <x:v>1</x:v>
      </x:c>
      <x:c r="O36" s="17" t="n">
        <x:v>2</x:v>
      </x:c>
      <x:c r="P36" s="17" t="n">
        <x:v>0</x:v>
      </x:c>
      <x:c r="Q36" s="17" t="n">
        <x:v>0</x:v>
      </x:c>
      <x:c r="R36" s="19" t="n">
        <x:f>IFERROR((M36+N36)/L36,"")</x:f>
        <x:v>0.6666666666666666</x:v>
      </x:c>
      <x:c r="S36" s="17" t="n">
        <x:v>0</x:v>
      </x:c>
      <x:c r="T36" s="17" t="n">
        <x:v>0</x:v>
      </x:c>
      <x:c r="U36" s="17" t="n">
        <x:v>17656</x:v>
      </x:c>
      <x:c r="V36" s="17" t="str">
        <x:v>正确</x:v>
      </x:c>
      <x:c r="W36" s="19" t="n">
        <x:v>0.9</x:v>
      </x:c>
      <x:c r="X36" s="17" t="str">
        <x:v>否</x:v>
      </x:c>
      <x:c r="Y36" s="17" t="str"/>
      <x:c r="Z36" s="17" t="str">
        <x:v>以下是最新数据日（2026-07-30）融资余额最高的前20只股票，数据按融资余额从高到低排列：
| 排名 | 代码 | 名称 | 融资余额（元） | 两融余额（元） | 融资余额占流通市值比 |
|:---:|:---:|:---|---:|:---:|:---:|
| 1 | 601318.SH | 中国平安 | 354.57亿 | 356.47亿 | 5.96% |
| 2 | 300308.SZ | 中际旭创 | 321.66亿 | 322.82亿 | 3.35% |
| 3 | 300059.SZ | 东方财富 | 232.38亿 | 232.89亿 | 8.71% |
| 4 | 300750.SZ | 宁德时代 | 222.89亿 | 224.48亿 | 1.30% |
| 5 | 300502.SZ | 新易盛 | 208.94亿 | 209.78亿 | 4.49% |
| 6 | 603986.SH | 兆易创新 | 182.02亿 | 182.49亿 | 7.34% |
| 7 | 600030.SH | 中信证券 | 181.84亿 | 182.09亿 | 5.24% |
| 8 | 600519.SH | 贵州茅台 | 172.43亿 | 174.15亿 | 1.01% |
| 9 | 688256.SH | 寒武纪 | 171.64亿 | 172.37亿 | 2.62% |
| 10 | 300476.SZ | 胜宏科技 | 156.80亿 | 157.07亿 | 10.05% |
| 11 | 688008.SH | 澜起科技 | 147.14亿 | 147.64亿 | 6.53% |
| 12 | 688825.SH | 长鑫科技 | 136.12亿 | 136.12亿 | 5.72% |
| 13 | 002594.SZ | 比亚迪 | 127.21亿 | 127.65亿 | 3.79% |
| 14 | 000725.SZ | 京东方A | 118.16亿 | 118.41亿 | 6.14% |
| 15 | 600900.SH | 长江电力 | 115.21亿 | 116.65亿 | 1.60% |
| 16 | 002384.SZ | 东山精密 | 109.81亿 | 110.21亿 | 4.90% |
| 17 | 688981.SH | 中芯国际 | 108.50亿 | 109.02亿 | 4.41% |
| 18 | 600036.SH | 招商银行 | 104.17亿 | 105.97亿 | 1.25% |
| 19 | 601899.SH | 紫金矿业 | 100.86亿 | 101.78亿 | 1.50% |
| 20 | 000063.SZ | 中兴通讯 | 98.55亿 | 98.74亿 | 7.35% |
**简要解读：**
- **中国平安**以354.57亿融资余额居首，是唯一超300亿的个股，同时两融余额也最大。
- 前5名中，**中际旭创**（321.66亿）和**东方财富**（232.38亿）紧随其后，这两只也是近年融资资金持续聚集的标的。
- **胜宏科技**融资余额占流通市值比例最高（10.05%），反映其筹码对融资资金依赖度较高；**贵州茅台**和**招商银行**该比例最低（约1%），融资杠杆参与度相对较低。
- 榜单行业分布以**科技（光模块、半导体）、金融（保险、券商、银行）**和**新能源**为主，也是当前融资资金重仓的几大方向。
&gt; 注：数据日期为2026-07-30（数据源最新可用交易日），融资余额单位均为元。</x:v>
      </x:c>
      <x:c r="AA36" s="17" t="str"/>
      <x:c r="AB36" s="17" t="n">
        <x:v>46235.827758576386</x:v>
      </x:c>
      <x:c r="AC36" s="17" t="n">
        <x:v>46235.82822363426</x:v>
      </x:c>
      <x:c r="AD36" s="17" t="str">
        <x:v>analysis.json</x:v>
      </x:c>
      <x:c r="AE36" s="18" t="n">
        <x:v>31562</x:v>
      </x:c>
      <x:c r="AF36" s="18" t="n">
        <x:v>8618.74</x:v>
      </x:c>
      <x:c r="AG36" s="18" t="n">
        <x:v>927.86</x:v>
      </x:c>
      <x:c r="AH36" s="18" t="n">
        <x:v>5640.57</x:v>
      </x:c>
      <x:c r="AI36" s="17" t="n">
        <x:v>11</x:v>
      </x:c>
      <x:c r="AJ36" s="17" t="n">
        <x:v>1</x:v>
      </x:c>
      <x:c r="AK36" s="19" t="n">
        <x:v>0.5</x:v>
      </x:c>
      <x:c r="AL36" s="19" t="n">
        <x:v>0.6667</x:v>
      </x:c>
      <x:c r="AM36" s="19" t="n">
        <x:v>0.3333</x:v>
      </x:c>
      <x:c r="AN36" s="17" t="str">
        <x:v>[
  "stock.margin"
]</x:v>
      </x:c>
    </x:row>
    <x:row r="37" ht="58" customHeight="1">
      <x:c r="A37" s="17" t="str">
        <x:v>BUS033</x:v>
      </x:c>
      <x:c r="B37" s="17" t="str">
        <x:v>近5个交易日融资净买入合计最高的前10只股票。</x:v>
      </x:c>
      <x:c r="C37" s="17" t="str">
        <x:v>stock</x:v>
      </x:c>
      <x:c r="D37" s="17" t="str">
        <x:v>stock.margin</x:v>
      </x:c>
      <x:c r="E37" s="17" t="str"/>
      <x:c r="F37" s="17" t="str">
        <x:v>financial_qa_cc</x:v>
      </x:c>
      <x:c r="G37" s="17" t="str">
        <x:v>否</x:v>
      </x:c>
      <x:c r="H37" s="18" t="n">
        <x:v>25055.46</x:v>
      </x:c>
      <x:c r="I37" s="18" t="n">
        <x:f>IFERROR(H37/1000,"")</x:f>
        <x:v>25.05546</x:v>
      </x:c>
      <x:c r="J37" s="17" t="n">
        <x:v>8</x:v>
      </x:c>
      <x:c r="K37" s="17" t="str">
        <x:v>成功</x:v>
      </x:c>
      <x:c r="L37" s="17" t="n">
        <x:v>3</x:v>
      </x:c>
      <x:c r="M37" s="17" t="n">
        <x:v>3</x:v>
      </x:c>
      <x:c r="N37" s="17" t="n">
        <x:v>0</x:v>
      </x:c>
      <x:c r="O37" s="17" t="n">
        <x:v>0</x:v>
      </x:c>
      <x:c r="P37" s="17" t="n">
        <x:v>0</x:v>
      </x:c>
      <x:c r="Q37" s="17" t="n">
        <x:v>0</x:v>
      </x:c>
      <x:c r="R37" s="19" t="n">
        <x:f>IFERROR((M37+N37)/L37,"")</x:f>
        <x:v>1</x:v>
      </x:c>
      <x:c r="S37" s="17" t="n">
        <x:v>0</x:v>
      </x:c>
      <x:c r="T37" s="17" t="n">
        <x:v>0</x:v>
      </x:c>
      <x:c r="U37" s="17" t="n">
        <x:v>8957</x:v>
      </x:c>
      <x:c r="V37" s="17" t="str">
        <x:v>部分正确</x:v>
      </x:c>
      <x:c r="W37" s="19" t="n">
        <x:v>1</x:v>
      </x:c>
      <x:c r="X37" s="17" t="str">
        <x:v>否</x:v>
      </x:c>
      <x:c r="Y37" s="17" t="str"/>
      <x:c r="Z37" s="17" t="str">
        <x:v>近5个交易日融资净买入合计最高的前10只股票如下：
| 排名 | 股票 | 代码 | 近5日融资净买入合计 |
|:---:|:---|:---:|---:|
| 1 | **长鑫科技** | 688825.SH | **136.12 亿元** |
| 2 | 中国巨石 | 600176.SH | 5.33 亿元 |
| 3 | 永鼎股份 | 600105.SH | 3.36 亿元 |
| 4 | 国际复材 | 301526.SZ | 3.25 亿元 |
| 5 | 国瓷材料 | 300285.SZ | 2.75 亿元 |
| 6 | 精测电子 | 300567.SZ | 2.29 亿元 |
| 7 | 华泰证券 | 601688.SH | 2.14 亿元 |
| 8 | 雅克科技 | 002409.SZ | 2.06 亿元 |
| 9 | 科伦药业 | 002422.SZ | 2.01 亿元 |
| 10 | 新莱应材 | 300260.SZ | 1.99 亿元 |
**长鑫科技**以 **136.12 亿元**的融资净买入遥遥领先，远超其余个股，这与其近期新股上市后的融资资金涌入有关。其余9只股票的融资净买入集中在 **1.99~5.33 亿元**，分布相对均匀，涉及玻纤（中国巨石、国际复材）、电子材料（国瓷材料、雅克科技、新莱应材）、券商（华泰证券）和医药（科伦药业）等多个方向。</x:v>
      </x:c>
      <x:c r="AA37" s="17" t="str"/>
      <x:c r="AB37" s="17" t="n">
        <x:v>46235.82790585648</x:v>
      </x:c>
      <x:c r="AC37" s="17" t="n">
        <x:v>46235.828195856484</x:v>
      </x:c>
      <x:c r="AD37" s="17" t="str">
        <x:v>analysis.json</x:v>
      </x:c>
      <x:c r="AE37" s="18" t="n">
        <x:v>17537</x:v>
      </x:c>
      <x:c r="AF37" s="18" t="n">
        <x:v>7518.46</x:v>
      </x:c>
      <x:c r="AG37" s="18" t="n">
        <x:v>815.74</x:v>
      </x:c>
      <x:c r="AH37" s="18" t="n">
        <x:v>5274</x:v>
      </x:c>
      <x:c r="AI37" s="17" t="n">
        <x:v>8</x:v>
      </x:c>
      <x:c r="AJ37" s="17" t="n">
        <x:v>1</x:v>
      </x:c>
      <x:c r="AK37" s="19" t="n">
        <x:v>1</x:v>
      </x:c>
      <x:c r="AL37" s="19" t="n">
        <x:v>1</x:v>
      </x:c>
      <x:c r="AM37" s="19" t="n">
        <x:v>0</x:v>
      </x:c>
      <x:c r="AN37" s="17" t="str">
        <x:v>[
  "stock.margin.kd_financing_net_buy_sum"
]</x:v>
      </x:c>
    </x:row>
    <x:row r="38" ht="58" customHeight="1">
      <x:c r="A38" s="17" t="str">
        <x:v>BUS034</x:v>
      </x:c>
      <x:c r="B38" s="17" t="str">
        <x:v>最新融券余量最高的前20只股票。</x:v>
      </x:c>
      <x:c r="C38" s="17" t="str">
        <x:v>stock</x:v>
      </x:c>
      <x:c r="D38" s="17" t="str">
        <x:v>stock.margin</x:v>
      </x:c>
      <x:c r="E38" s="17" t="str"/>
      <x:c r="F38" s="17" t="str">
        <x:v>financial_qa_cc</x:v>
      </x:c>
      <x:c r="G38" s="17" t="str">
        <x:v>否</x:v>
      </x:c>
      <x:c r="H38" s="18" t="n">
        <x:v>17838.01</x:v>
      </x:c>
      <x:c r="I38" s="18" t="n">
        <x:f>IFERROR(H38/1000,"")</x:f>
        <x:v>17.838009999999997</x:v>
      </x:c>
      <x:c r="J38" s="17" t="n">
        <x:v>5</x:v>
      </x:c>
      <x:c r="K38" s="17" t="str">
        <x:v>成功</x:v>
      </x:c>
      <x:c r="L38" s="17" t="n">
        <x:v>2</x:v>
      </x:c>
      <x:c r="M38" s="17" t="n">
        <x:v>2</x:v>
      </x:c>
      <x:c r="N38" s="17" t="n">
        <x:v>0</x:v>
      </x:c>
      <x:c r="O38" s="17" t="n">
        <x:v>0</x:v>
      </x:c>
      <x:c r="P38" s="17" t="n">
        <x:v>0</x:v>
      </x:c>
      <x:c r="Q38" s="17" t="n">
        <x:v>0</x:v>
      </x:c>
      <x:c r="R38" s="19" t="n">
        <x:f>IFERROR((M38+N38)/L38,"")</x:f>
        <x:v>1</x:v>
      </x:c>
      <x:c r="S38" s="17" t="n">
        <x:v>0</x:v>
      </x:c>
      <x:c r="T38" s="17" t="n">
        <x:v>0</x:v>
      </x:c>
      <x:c r="U38" s="17" t="n">
        <x:v>6259</x:v>
      </x:c>
      <x:c r="V38" s="17" t="str">
        <x:v>错误</x:v>
      </x:c>
      <x:c r="W38" s="19" t="n">
        <x:v>0.9</x:v>
      </x:c>
      <x:c r="X38" s="17" t="str">
        <x:v>否</x:v>
      </x:c>
      <x:c r="Y38" s="17" t="str"/>
      <x:c r="Z38" s="17" t="str">
        <x:v>根据最新交易日（2026-07-31）的查询，数据源中未返回融券余量的记录，当前条件下无法列出融券余量最高的前20只股票。
这可能是数据源中该日两融明细数据尚未加载或不可用导致的。建议后续交易日数据更新后再查询确认。</x:v>
      </x:c>
      <x:c r="AA38" s="17" t="str"/>
      <x:c r="AB38" s="17" t="n">
        <x:v>46235.82820429398</x:v>
      </x:c>
      <x:c r="AC38" s="17" t="n">
        <x:v>46235.828410752314</x:v>
      </x:c>
      <x:c r="AD38" s="17" t="str">
        <x:v>analysis.json</x:v>
      </x:c>
      <x:c r="AE38" s="18" t="n">
        <x:v>10289</x:v>
      </x:c>
      <x:c r="AF38" s="18" t="n">
        <x:v>7549.01</x:v>
      </x:c>
      <x:c r="AG38" s="18" t="n">
        <x:v>849.66</x:v>
      </x:c>
      <x:c r="AH38" s="18" t="n">
        <x:v>5531.73</x:v>
      </x:c>
      <x:c r="AI38" s="17" t="n">
        <x:v>5</x:v>
      </x:c>
      <x:c r="AJ38" s="17" t="n">
        <x:v>1</x:v>
      </x:c>
      <x:c r="AK38" s="19" t="n">
        <x:v>1</x:v>
      </x:c>
      <x:c r="AL38" s="19" t="n">
        <x:v>1</x:v>
      </x:c>
      <x:c r="AM38" s="19" t="n">
        <x:v>0</x:v>
      </x:c>
      <x:c r="AN38" s="17" t="str">
        <x:v>[
  "stock.margin"
]</x:v>
      </x:c>
    </x:row>
    <x:row r="39" ht="58" customHeight="1">
      <x:c r="A39" s="17" t="str">
        <x:v>BUS035</x:v>
      </x:c>
      <x:c r="B39" s="17" t="str">
        <x:v>筛选融资余额占流通市值比例超过5%的股票。</x:v>
      </x:c>
      <x:c r="C39" s="17" t="str">
        <x:v>stock</x:v>
      </x:c>
      <x:c r="D39" s="17" t="str">
        <x:v>stock.margin</x:v>
      </x:c>
      <x:c r="E39" s="17" t="str"/>
      <x:c r="F39" s="17" t="str">
        <x:v>financial_qa_cc</x:v>
      </x:c>
      <x:c r="G39" s="17" t="str">
        <x:v>否</x:v>
      </x:c>
      <x:c r="H39" s="18" t="n">
        <x:v>19059.61</x:v>
      </x:c>
      <x:c r="I39" s="18" t="n">
        <x:f>IFERROR(H39/1000,"")</x:f>
        <x:v>19.05961</x:v>
      </x:c>
      <x:c r="J39" s="17" t="n">
        <x:v>5</x:v>
      </x:c>
      <x:c r="K39" s="17" t="str">
        <x:v>成功</x:v>
      </x:c>
      <x:c r="L39" s="17" t="n">
        <x:v>3</x:v>
      </x:c>
      <x:c r="M39" s="17" t="n">
        <x:v>3</x:v>
      </x:c>
      <x:c r="N39" s="17" t="n">
        <x:v>0</x:v>
      </x:c>
      <x:c r="O39" s="17" t="n">
        <x:v>0</x:v>
      </x:c>
      <x:c r="P39" s="17" t="n">
        <x:v>0</x:v>
      </x:c>
      <x:c r="Q39" s="17" t="n">
        <x:v>0</x:v>
      </x:c>
      <x:c r="R39" s="19" t="n">
        <x:f>IFERROR((M39+N39)/L39,"")</x:f>
        <x:v>1</x:v>
      </x:c>
      <x:c r="S39" s="17" t="n">
        <x:v>0</x:v>
      </x:c>
      <x:c r="T39" s="17" t="n">
        <x:v>0</x:v>
      </x:c>
      <x:c r="U39" s="17" t="n">
        <x:v>17970</x:v>
      </x:c>
      <x:c r="V39" s="17" t="str">
        <x:v>错误</x:v>
      </x:c>
      <x:c r="W39" s="19" t="n">
        <x:v>0.9</x:v>
      </x:c>
      <x:c r="X39" s="17" t="str">
        <x:v>否</x:v>
      </x:c>
      <x:c r="Y39" s="17" t="str"/>
      <x:c r="Z39" s="17" t="str">
        <x:v>截至上一个交易日（2026-07-31），**没有融资余额占流通市值比例超过5%的股票**，查询结果为零条记录。
这个比例阈值在当前市场整体融资水平下相对较高（通常融资余额占流通市值比例在2%-4%区间较为常见，超过5%属于偏高水平），因此没有股票达到该条件是符合市场实际情况的。</x:v>
      </x:c>
      <x:c r="AA39" s="17" t="str"/>
      <x:c r="AB39" s="17" t="n">
        <x:v>46235.828231782405</x:v>
      </x:c>
      <x:c r="AC39" s="17" t="n">
        <x:v>46235.82845238426</x:v>
      </x:c>
      <x:c r="AD39" s="17" t="str">
        <x:v>analysis.json</x:v>
      </x:c>
      <x:c r="AE39" s="18" t="n">
        <x:v>11546</x:v>
      </x:c>
      <x:c r="AF39" s="18" t="n">
        <x:v>7513.61</x:v>
      </x:c>
      <x:c r="AG39" s="18" t="n">
        <x:v>707.94</x:v>
      </x:c>
      <x:c r="AH39" s="18" t="n">
        <x:v>5264.38</x:v>
      </x:c>
      <x:c r="AI39" s="17" t="n">
        <x:v>5</x:v>
      </x:c>
      <x:c r="AJ39" s="17" t="n">
        <x:v>1</x:v>
      </x:c>
      <x:c r="AK39" s="19" t="n">
        <x:v>1</x:v>
      </x:c>
      <x:c r="AL39" s="19" t="n">
        <x:v>1</x:v>
      </x:c>
      <x:c r="AM39" s="19" t="n">
        <x:v>0</x:v>
      </x:c>
      <x:c r="AN39" s="17" t="str">
        <x:v>[
  "stock.margin"
]</x:v>
      </x:c>
    </x:row>
    <x:row r="40" ht="58" customHeight="1">
      <x:c r="A40" s="17" t="str">
        <x:v>BUS036</x:v>
      </x:c>
      <x:c r="B40" s="17" t="str">
        <x:v>最新融资偿还额最高的前20只股票。</x:v>
      </x:c>
      <x:c r="C40" s="17" t="str">
        <x:v>stock</x:v>
      </x:c>
      <x:c r="D40" s="17" t="str">
        <x:v>stock.margin</x:v>
      </x:c>
      <x:c r="E40" s="17" t="str"/>
      <x:c r="F40" s="17" t="str">
        <x:v>financial_qa_cc</x:v>
      </x:c>
      <x:c r="G40" s="17" t="str">
        <x:v>否</x:v>
      </x:c>
      <x:c r="H40" s="18" t="n">
        <x:v>49425.43</x:v>
      </x:c>
      <x:c r="I40" s="18" t="n">
        <x:f>IFERROR(H40/1000,"")</x:f>
        <x:v>49.42543</x:v>
      </x:c>
      <x:c r="J40" s="17" t="n">
        <x:v>7</x:v>
      </x:c>
      <x:c r="K40" s="17" t="str">
        <x:v>成功</x:v>
      </x:c>
      <x:c r="L40" s="17" t="n">
        <x:v>4</x:v>
      </x:c>
      <x:c r="M40" s="17" t="n">
        <x:v>3</x:v>
      </x:c>
      <x:c r="N40" s="17" t="n">
        <x:v>0</x:v>
      </x:c>
      <x:c r="O40" s="17" t="n">
        <x:v>1</x:v>
      </x:c>
      <x:c r="P40" s="17" t="n">
        <x:v>0</x:v>
      </x:c>
      <x:c r="Q40" s="17" t="n">
        <x:v>0</x:v>
      </x:c>
      <x:c r="R40" s="19" t="n">
        <x:f>IFERROR((M40+N40)/L40,"")</x:f>
        <x:v>0.75</x:v>
      </x:c>
      <x:c r="S40" s="17" t="n">
        <x:v>0</x:v>
      </x:c>
      <x:c r="T40" s="17" t="n">
        <x:v>0</x:v>
      </x:c>
      <x:c r="U40" s="17" t="n">
        <x:v>14975</x:v>
      </x:c>
      <x:c r="V40" s="17" t="str">
        <x:v>错误</x:v>
      </x:c>
      <x:c r="W40" s="19" t="n">
        <x:v>0.95</x:v>
      </x:c>
      <x:c r="X40" s="17" t="str">
        <x:v>否</x:v>
      </x:c>
      <x:c r="Y40" s="17" t="str"/>
      <x:c r="Z40" s="17" t="str">
        <x:v>2026-07-31（周五）的两融数据尚未入库，最新可用数据截至 **2026-07-30（周四）**。按融资偿还额从高到低排序，前20只股票如下：
| 排名 | 股票 | 融资偿还额 | 融资买入额 | 融资净买入 |
|:---:|:---|:---|:---|:---|
| 1 | **深科技** | **4.22亿** | 3.81亿 | -4,161万 |
| 2 | **平安银行** | **2.61亿** | 2.15亿 | -4,517万 |
| 3 | **深桑达A** | **1.60亿** | 6,643万 | -9,350万 |
| 4 | **神州数码** | **1.02亿** | 9,114万 | -1,095万 |
| 5 | **万科A** | **5,824万** | 5,439万 | -384万 |
| 6 | 中国宝安 | 2,243万 | 2,310万 | +67万 |
| 7 | 深圳能源 | 2,237万 | 1,355万 | -881万 |
| 8 | 中国天楹 | 1,933万 | 1,460万 | -473万 |
| 9 | 中集集团 | 1,751万 | 1,128万 | -622万 |
| 10 | 华联控股 | 1,728万 | 1,318万 | -410万 |
| 11 | 深振业A | 1,559万 | 1,582万 | +22万 |
| 12 | 深深房A | 1,292万 | 779万 | -513万 |
| 13 | 特力A | 1,243万 | 2,595万 | +1,352万 |
| 14 | 京基智农 | 1,180万 | 4,619万 | +3,439万 |
| 15 | 大悦城 | 831万 | 781万 | -49万 |
| 16 | 南玻A | 789万 | 801万 | +11万 |
| 17 | 国药一致 | 636万 | 405万 | -231万 |
| 18 | 富奥股份 | 526万 | 355万 | -170万 |
| 19 | 神州高铁 | 507万 | 452万 | -55万 |
| 20 | 中洲控股 | 374万 | 517万 | +144万 |
**要点：** 深科技以 **4.22亿** 融资偿还额居首，同时融资买入额也达3.81亿，整体融资净偿还4,161万；平安银行以2.61亿排在第二，净偿还4,517万；深桑达A虽然偿还额1.60亿排名第三，但融资买入仅6,643万，净偿还高达9,350万，是前20中融资净流出最大的个股。前20中多数呈融资净偿还状态，仅中国宝安、深振业A、特力A、京基智农、南玻A和中洲控股为小额净买入。</x:v>
      </x:c>
      <x:c r="AA40" s="17" t="str"/>
      <x:c r="AB40" s="17" t="n">
        <x:v>46235.82841991898</x:v>
      </x:c>
      <x:c r="AC40" s="17" t="n">
        <x:v>46235.828991979164</x:v>
      </x:c>
      <x:c r="AD40" s="17" t="str">
        <x:v>analysis.json</x:v>
      </x:c>
      <x:c r="AE40" s="18" t="n">
        <x:v>40915</x:v>
      </x:c>
      <x:c r="AF40" s="18" t="n">
        <x:v>8510.43</x:v>
      </x:c>
      <x:c r="AG40" s="18" t="n">
        <x:v>741.04</x:v>
      </x:c>
      <x:c r="AH40" s="18" t="n">
        <x:v>5743.69</x:v>
      </x:c>
      <x:c r="AI40" s="17" t="n">
        <x:v>7</x:v>
      </x:c>
      <x:c r="AJ40" s="17" t="n">
        <x:v>1</x:v>
      </x:c>
      <x:c r="AK40" s="19" t="n">
        <x:v>0.75</x:v>
      </x:c>
      <x:c r="AL40" s="19" t="n">
        <x:v>0.75</x:v>
      </x:c>
      <x:c r="AM40" s="19" t="n">
        <x:v>0.25</x:v>
      </x:c>
      <x:c r="AN40" s="17" t="str">
        <x:v>[
  "stock.margin"
]</x:v>
      </x:c>
    </x:row>
    <x:row r="41" ht="58" customHeight="1">
      <x:c r="A41" s="17" t="str">
        <x:v>BUS037</x:v>
      </x:c>
      <x:c r="B41" s="17" t="str">
        <x:v>查询贵州茅台最新一期股东户数和截止日期。</x:v>
      </x:c>
      <x:c r="C41" s="17" t="str">
        <x:v>stock</x:v>
      </x:c>
      <x:c r="D41" s="17" t="str">
        <x:v>stock.shareholder</x:v>
      </x:c>
      <x:c r="E41" s="17" t="str"/>
      <x:c r="F41" s="17" t="str">
        <x:v>financial_qa_cc</x:v>
      </x:c>
      <x:c r="G41" s="17" t="str">
        <x:v>否</x:v>
      </x:c>
      <x:c r="H41" s="18" t="n">
        <x:v>60423.09</x:v>
      </x:c>
      <x:c r="I41" s="18" t="n">
        <x:f>IFERROR(H41/1000,"")</x:f>
        <x:v>60.423089999999995</x:v>
      </x:c>
      <x:c r="J41" s="17" t="n">
        <x:v>8</x:v>
      </x:c>
      <x:c r="K41" s="17" t="str">
        <x:v>成功</x:v>
      </x:c>
      <x:c r="L41" s="17" t="n">
        <x:v>2</x:v>
      </x:c>
      <x:c r="M41" s="17" t="n">
        <x:v>2</x:v>
      </x:c>
      <x:c r="N41" s="17" t="n">
        <x:v>0</x:v>
      </x:c>
      <x:c r="O41" s="17" t="n">
        <x:v>0</x:v>
      </x:c>
      <x:c r="P41" s="17" t="n">
        <x:v>0</x:v>
      </x:c>
      <x:c r="Q41" s="17" t="n">
        <x:v>0</x:v>
      </x:c>
      <x:c r="R41" s="19" t="n">
        <x:f>IFERROR((M41+N41)/L41,"")</x:f>
        <x:v>1</x:v>
      </x:c>
      <x:c r="S41" s="17" t="n">
        <x:v>0</x:v>
      </x:c>
      <x:c r="T41" s="17" t="n">
        <x:v>0</x:v>
      </x:c>
      <x:c r="U41" s="17" t="n">
        <x:v>5671</x:v>
      </x:c>
      <x:c r="V41" s="17" t="str">
        <x:v>正确</x:v>
      </x:c>
      <x:c r="W41" s="19" t="n">
        <x:v>0.95</x:v>
      </x:c>
      <x:c r="X41" s="17" t="str">
        <x:v>否</x:v>
      </x:c>
      <x:c r="Y41" s="17" t="str"/>
      <x:c r="Z41" s="17" t="str">
        <x:v>贵州茅台最新一期披露的股东户数为 **243,159 户**，截止日期为 **2026‑03‑31**（2026 年一季报），该数据于 2026‑04‑25 公告。</x:v>
      </x:c>
      <x:c r="AA41" s="17" t="str"/>
      <x:c r="AB41" s="17" t="n">
        <x:v>46235.828461909725</x:v>
      </x:c>
      <x:c r="AC41" s="17" t="n">
        <x:v>46235.82916126157</x:v>
      </x:c>
      <x:c r="AD41" s="17" t="str">
        <x:v>analysis.json</x:v>
      </x:c>
      <x:c r="AE41" s="18" t="n">
        <x:v>52374</x:v>
      </x:c>
      <x:c r="AF41" s="18" t="n">
        <x:v>8049.09</x:v>
      </x:c>
      <x:c r="AG41" s="18" t="n">
        <x:v>793.26</x:v>
      </x:c>
      <x:c r="AH41" s="18" t="n">
        <x:v>5340.31</x:v>
      </x:c>
      <x:c r="AI41" s="17" t="n">
        <x:v>8</x:v>
      </x:c>
      <x:c r="AJ41" s="17" t="n">
        <x:v>1</x:v>
      </x:c>
      <x:c r="AK41" s="19" t="n">
        <x:v>1</x:v>
      </x:c>
      <x:c r="AL41" s="19" t="n">
        <x:v>1</x:v>
      </x:c>
      <x:c r="AM41" s="19" t="n">
        <x:v>0</x:v>
      </x:c>
      <x:c r="AN41" s="17" t="str">
        <x:v>[
  "stock.shareholder"
]</x:v>
      </x:c>
    </x:row>
    <x:row r="42" ht="58" customHeight="1">
      <x:c r="A42" s="17" t="str">
        <x:v>BUS038</x:v>
      </x:c>
      <x:c r="B42" s="17" t="str">
        <x:v>查询宁德时代最新前十大流通股东名称、持股数量和持股比例。</x:v>
      </x:c>
      <x:c r="C42" s="17" t="str">
        <x:v>stock</x:v>
      </x:c>
      <x:c r="D42" s="17" t="str">
        <x:v>stock.shareholder</x:v>
      </x:c>
      <x:c r="E42" s="17" t="str"/>
      <x:c r="F42" s="17" t="str">
        <x:v>financial_qa_cc</x:v>
      </x:c>
      <x:c r="G42" s="17" t="str">
        <x:v>否</x:v>
      </x:c>
      <x:c r="H42" s="18" t="n">
        <x:v>56043.64</x:v>
      </x:c>
      <x:c r="I42" s="18" t="n">
        <x:f>IFERROR(H42/1000,"")</x:f>
        <x:v>56.043639999999996</x:v>
      </x:c>
      <x:c r="J42" s="17" t="n">
        <x:v>7</x:v>
      </x:c>
      <x:c r="K42" s="17" t="str">
        <x:v>成功</x:v>
      </x:c>
      <x:c r="L42" s="17" t="n">
        <x:v>3</x:v>
      </x:c>
      <x:c r="M42" s="17" t="n">
        <x:v>3</x:v>
      </x:c>
      <x:c r="N42" s="17" t="n">
        <x:v>0</x:v>
      </x:c>
      <x:c r="O42" s="17" t="n">
        <x:v>0</x:v>
      </x:c>
      <x:c r="P42" s="17" t="n">
        <x:v>0</x:v>
      </x:c>
      <x:c r="Q42" s="17" t="n">
        <x:v>0</x:v>
      </x:c>
      <x:c r="R42" s="19" t="n">
        <x:f>IFERROR((M42+N42)/L42,"")</x:f>
        <x:v>1</x:v>
      </x:c>
      <x:c r="S42" s="17" t="n">
        <x:v>0</x:v>
      </x:c>
      <x:c r="T42" s="17" t="n">
        <x:v>0</x:v>
      </x:c>
      <x:c r="U42" s="17" t="n">
        <x:v>15847</x:v>
      </x:c>
      <x:c r="V42" s="17" t="str">
        <x:v>正确</x:v>
      </x:c>
      <x:c r="W42" s="19" t="n">
        <x:v>1</x:v>
      </x:c>
      <x:c r="X42" s="17" t="str">
        <x:v>否</x:v>
      </x:c>
      <x:c r="Y42" s="17" t="str"/>
      <x:c r="Z42" s="17" t="str">
        <x:v>宁德时代最新一期（截止 2026-07-24）前十大流通股东明细如下：
| 排名 | 股东名称 | 持股数量（股） | 持股比例（%） |
|:---:|:---|--:|--:|
| 1 | 厦门瑞庭投资有限公司 | 10.20亿 | 22.04 |
| 2 | 香港中央结算有限公司 | 8.81亿 | 19.05 |
| 3 | 黄世霖 | 4.20亿 | 9.09 |
| 4 | 宁波联合创新新能源投资管理合伙企业(有限合伙) | 2.26亿 | 4.89 |
| 5 | HKSCC NOMINEES LIMITED | 2.18亿 | 4.72 |
| 6 | 李平 | 4,936.5万 | 1.07 |
| 7 | 富泰华工业(深圳)有限公司 | 2,870.7万 | 0.62 |
| 8 | 宁德时代回购专用证券账户 | 2,831.9万 | 0.61 |
| 9 | 易方达创业板ETF | 2,510.5万 | 0.54 |
| 10 | 北京华鼎新动力股权投资基金(有限合伙) | 2,389.3万 | 0.52 |
**要点：** 前两大股东——厦门瑞庭投资（实际控制人曾毓群控制）与香港中央结算（北向资金托管通道）合计持股超 **41%**；创始人黄世霖以 9.09% 位列第三；宁德时代回购专户以 2,832 万股排在第八位，体现了公司近期的回购力度。</x:v>
      </x:c>
      <x:c r="AA42" s="17" t="str"/>
      <x:c r="AB42" s="17" t="n">
        <x:v>46235.82900278935</x:v>
      </x:c>
      <x:c r="AC42" s="17" t="n">
        <x:v>46235.829651458334</x:v>
      </x:c>
      <x:c r="AD42" s="17" t="str">
        <x:v>analysis.json</x:v>
      </x:c>
      <x:c r="AE42" s="18" t="n">
        <x:v>48380</x:v>
      </x:c>
      <x:c r="AF42" s="18" t="n">
        <x:v>7663.64</x:v>
      </x:c>
      <x:c r="AG42" s="18" t="n">
        <x:v>711.62</x:v>
      </x:c>
      <x:c r="AH42" s="18" t="n">
        <x:v>5280.54</x:v>
      </x:c>
      <x:c r="AI42" s="17" t="n">
        <x:v>7</x:v>
      </x:c>
      <x:c r="AJ42" s="17" t="n">
        <x:v>1</x:v>
      </x:c>
      <x:c r="AK42" s="19" t="n">
        <x:v>1</x:v>
      </x:c>
      <x:c r="AL42" s="19" t="n">
        <x:v>1</x:v>
      </x:c>
      <x:c r="AM42" s="19" t="n">
        <x:v>0</x:v>
      </x:c>
      <x:c r="AN42" s="17" t="str">
        <x:v>[
  "stock.shareholder"
]</x:v>
      </x:c>
    </x:row>
    <x:row r="43" ht="58" customHeight="1">
      <x:c r="A43" s="17" t="str">
        <x:v>BUS039</x:v>
      </x:c>
      <x:c r="B43" s="17" t="str">
        <x:v>筛选最新股东户数最多的前20家公司。</x:v>
      </x:c>
      <x:c r="C43" s="17" t="str">
        <x:v>stock</x:v>
      </x:c>
      <x:c r="D43" s="17" t="str">
        <x:v>stock.shareholder</x:v>
      </x:c>
      <x:c r="E43" s="17" t="str"/>
      <x:c r="F43" s="17" t="str">
        <x:v>financial_qa_cc</x:v>
      </x:c>
      <x:c r="G43" s="17" t="str">
        <x:v>否</x:v>
      </x:c>
      <x:c r="H43" s="18" t="n">
        <x:v>145886.65</x:v>
      </x:c>
      <x:c r="I43" s="18" t="n">
        <x:f>IFERROR(H43/1000,"")</x:f>
        <x:v>145.88665</x:v>
      </x:c>
      <x:c r="J43" s="17" t="n">
        <x:v>16</x:v>
      </x:c>
      <x:c r="K43" s="17" t="str">
        <x:v>成功</x:v>
      </x:c>
      <x:c r="L43" s="17" t="n">
        <x:v>7</x:v>
      </x:c>
      <x:c r="M43" s="17" t="n">
        <x:v>7</x:v>
      </x:c>
      <x:c r="N43" s="17" t="n">
        <x:v>0</x:v>
      </x:c>
      <x:c r="O43" s="17" t="n">
        <x:v>0</x:v>
      </x:c>
      <x:c r="P43" s="17" t="n">
        <x:v>0</x:v>
      </x:c>
      <x:c r="Q43" s="17" t="n">
        <x:v>0</x:v>
      </x:c>
      <x:c r="R43" s="19" t="n">
        <x:f>IFERROR((M43+N43)/L43,"")</x:f>
        <x:v>1</x:v>
      </x:c>
      <x:c r="S43" s="17" t="n">
        <x:v>0</x:v>
      </x:c>
      <x:c r="T43" s="17" t="n">
        <x:v>0</x:v>
      </x:c>
      <x:c r="U43" s="17" t="n">
        <x:v>21804</x:v>
      </x:c>
      <x:c r="V43" s="17" t="str">
        <x:v>错误</x:v>
      </x:c>
      <x:c r="W43" s="19" t="n">
        <x:v>1</x:v>
      </x:c>
      <x:c r="X43" s="17" t="str">
        <x:v>是</x:v>
      </x:c>
      <x:c r="Y43" s="17" t="str"/>
      <x:c r="Z43" s="17" t="str">
        <x:v>好的，我来梳理结果。由于数据中存在同一公司多条记录（不同披露期），我去重后按**各公司最新一期**的股东户数降序排列，整理如下：
---
**股东户数最多的前20家公司（2026年最新披露）**
| 排名 | 代码 | 名称 | 截止日期 | 股东户数（户） |
|:---:|:---:|:---:|:---:|:---:|
| 1 | 688825.SH | **长鑫科技** | 2026-07-27 | **3,456,664** |
| 2 | 000858.SZ | **五粮液** | 2026-07-26 | **600,000** |
| 3 | 300699.SZ | **光威复材** | 2026-07-31 | **93,866** |
| 4 | 600572.SH | **康恩贝** | 2026-07-20 | **88,939** |
| 5 | 001257.SZ | **盛龙股份** | 2026-07-20 | **68,502** |
| 6 | 300674.SZ | **宇信科技** | 2026-07-20 | **62,981** |
| 7 | 300397.SZ | **天和防务** | 2026-07-31 | **52,121** |
| 8 | 000523.SZ | **红棉股份** | 2026-07-21 | **45,810** |
| 9 | 300777.SZ | **中简科技** | 2026-07-31 | **44,407** |
| 10 | 688806.SH | **泰诺麦博** | 2026-07-21 | **43,772** |
| 11 | 002906.SZ | **华阳集团** | 2026-07-20 | **37,728** |
| 12 | 301677.SZ | **欣兴工具** | 2026-07-30 | **30,353** |
| 13 | 600971.SH | **恒源煤电** | 2026-07-30 | **28,350** |
| 14 | 000702.SZ | **正虹科技** | 2026-07-20 | **26,163** |
| 15 | 300765.SZ | **石药创新** | 2026-07-20 | **25,432** |
| 16 | 001301.SZ | **尚太科技** | 2026-07-20 | **18,813** |
| 17 | 603231.SH | **索宝蛋白** | 2026-07-30 | **15,566** |
**数据说明：**
- 以2026年最新披露的股东户数为准，取各公司其最新一期数据，按户数降序排列。
- **长鑫科技**以约 **345.7万户** 遥遥领先，也是唯一突破百万户的公司；**五粮液**以 **60万户** 位居第二，其余公司均在10万户以下。
- 当前数据源覆盖的2026年披露记录中，去重后共17家公司的股东户数数据可查，未满20家。部分大盘股（如中国电信、三峡能源等）的股东户数历史数据更高，但最新披露期不在2026年内，故未包含在内。</x:v>
      </x:c>
      <x:c r="AA43" s="17" t="str"/>
      <x:c r="AB43" s="17" t="n">
        <x:v>46235.82917244213</x:v>
      </x:c>
      <x:c r="AC43" s="17" t="n">
        <x:v>46235.83086096065</x:v>
      </x:c>
      <x:c r="AD43" s="17" t="str">
        <x:v>analysis.json</x:v>
      </x:c>
      <x:c r="AE43" s="18" t="n">
        <x:v>137134</x:v>
      </x:c>
      <x:c r="AF43" s="18" t="n">
        <x:v>8752.65</x:v>
      </x:c>
      <x:c r="AG43" s="18" t="n">
        <x:v>785.65</x:v>
      </x:c>
      <x:c r="AH43" s="18" t="n">
        <x:v>5210.18</x:v>
      </x:c>
      <x:c r="AI43" s="17" t="n">
        <x:v>16</x:v>
      </x:c>
      <x:c r="AJ43" s="17" t="n">
        <x:v>1</x:v>
      </x:c>
      <x:c r="AK43" s="19" t="n">
        <x:v>1</x:v>
      </x:c>
      <x:c r="AL43" s="19" t="n">
        <x:v>1</x:v>
      </x:c>
      <x:c r="AM43" s="19" t="n">
        <x:v>0</x:v>
      </x:c>
      <x:c r="AN43" s="17" t="str">
        <x:v>[
  "stock.shareholder"
]</x:v>
      </x:c>
    </x:row>
    <x:row r="44" ht="58" customHeight="1">
      <x:c r="A44" s="17" t="str">
        <x:v>BUS040</x:v>
      </x:c>
      <x:c r="B44" s="17" t="str">
        <x:v>查询中央汇金持有的上市公司、持股比例和报告期。</x:v>
      </x:c>
      <x:c r="C44" s="17" t="str">
        <x:v>stock</x:v>
      </x:c>
      <x:c r="D44" s="17" t="str">
        <x:v>stock.shareholder</x:v>
      </x:c>
      <x:c r="E44" s="17" t="str"/>
      <x:c r="F44" s="17" t="str">
        <x:v>financial_qa_cc</x:v>
      </x:c>
      <x:c r="G44" s="17" t="str">
        <x:v>否</x:v>
      </x:c>
      <x:c r="H44" s="18" t="n">
        <x:v>83581.9</x:v>
      </x:c>
      <x:c r="I44" s="18" t="n">
        <x:f>IFERROR(H44/1000,"")</x:f>
        <x:v>83.58189999999999</x:v>
      </x:c>
      <x:c r="J44" s="17" t="n">
        <x:v>10</x:v>
      </x:c>
      <x:c r="K44" s="17" t="str">
        <x:v>成功</x:v>
      </x:c>
      <x:c r="L44" s="17" t="n">
        <x:v>3</x:v>
      </x:c>
      <x:c r="M44" s="17" t="n">
        <x:v>3</x:v>
      </x:c>
      <x:c r="N44" s="17" t="n">
        <x:v>0</x:v>
      </x:c>
      <x:c r="O44" s="17" t="n">
        <x:v>0</x:v>
      </x:c>
      <x:c r="P44" s="17" t="n">
        <x:v>0</x:v>
      </x:c>
      <x:c r="Q44" s="17" t="n">
        <x:v>0</x:v>
      </x:c>
      <x:c r="R44" s="19" t="n">
        <x:f>IFERROR((M44+N44)/L44,"")</x:f>
        <x:v>1</x:v>
      </x:c>
      <x:c r="S44" s="17" t="n">
        <x:v>0</x:v>
      </x:c>
      <x:c r="T44" s="17" t="n">
        <x:v>0</x:v>
      </x:c>
      <x:c r="U44" s="17" t="n">
        <x:v>25647</x:v>
      </x:c>
      <x:c r="V44" s="17" t="str">
        <x:v>部分正确</x:v>
      </x:c>
      <x:c r="W44" s="19" t="n">
        <x:v>0.95</x:v>
      </x:c>
      <x:c r="X44" s="17" t="str">
        <x:v>否</x:v>
      </x:c>
      <x:c r="Y44" s="17" t="str"/>
      <x:c r="Z44" s="17" t="str">
        <x:v>查询到中央汇金作为前十大股东（或前十大流通股东）持有的上市公司，共计涉及约 **80余家公司**，最新报告期主要为 **2026年一季报（2026-03-31）**，部分为近期公告更新。中央汇金主要通过两个主体持股：
---
### 一、中央汇金投资有限责任公司（大比例控股）
| 上市公司 | 持股比例 | 股东排名 | 股份数量 |
|:--|:--:|:--:|:--:|
| **中国银行** (601988.SH) | **58.59%** | 第1大股东 | 188.79亿股 |
| **建设银行** (601939.SH) | **54.61%** | 第1大股东 | 142.86亿股 |
| **农业银行** (601288.SH) | **40.14%** | 第1大股东 | 1,404.89亿股 |
| **中金公司** (601995.SH) | **40.11%** | 第1大股东 | 19.36亿股 |
| **工商银行** (601398.SH) | **34.79%** | 第1大股东 | 1,240.05亿股 |
| **新华保险** (601336.SH) | **31.34%** | 第1大股东 | 9.78亿股 |
| **中信建投** (601066.SH) | **30.76%** | 第2大股东 | 23.86亿股 |
| **申万宏源** (000166.SZ) | **20.05%** | 第2大股东 | 5.02亿股 |
这是中央汇金作为国家金融稳定平台的核心持股，以**国有大行和头部券商**为主，均为控股或重要股东身份。
---
### 二、中央汇金资产管理有限责任公司（少数持股、分散配置）
该主体持股比例多在 **0.5%–3.3%** 之间，属于前十大股东的财务性持股，代表性公司包括：
| 上市公司 | 持股比例 | 排名 |
|:--|:--:|:--:|
| 软控股份 | 3.25% | 第2 |
| 康缘药业 | 3.16% | 第3/第4 |
| 现代投资 | 3.11% | 第4 |
| **中国平安** | **2.60%** | 第5 |
| 永安药业 | 2.58% | 第3 |
| 鲁泰A | 2.43% | 第3 |
| 兰生股份 | 2.42% | 第3 |
| 长江传媒 | 2.40% | 第3 |
| 华发股份 | 2.36% | 第3 |
| 阳光照明 | 2.26% | 第4 |
| 友阿股份 | 2.21% | 第2 |
| 歌华有线 | 2.15% | 第3 |
| 中国医药 | 2.04% | 第4 |
| 浦东建设 | 2.04% | 第3 |
此外还持有**美的集团、五粮液、海螺水泥、中国建筑、中国神华、中国石油、中国石化、宝钢股份、上汽集团、万科A、立讯精密、隆基绿能、泸州老窖、云南白药、国电南瑞、大秦铁路、中国中车、中国中铁、中国铁建、中国电建、中国交建、中国能建、华电国际**等一大批龙头公司，持股比例多在 **0.5%–1.5%** 之间。
---
**报告期说明**：绝大多数数据以 **2026年一季报（2026-03-31）** 为截止日；美的集团、海螺水泥、ST文峰等少数公司已有更晚的公告（2026年4–5月），但未标注具体报告期。</x:v>
      </x:c>
      <x:c r="AA44" s="17" t="str"/>
      <x:c r="AB44" s="17" t="n">
        <x:v>46235.829663171295</x:v>
      </x:c>
      <x:c r="AC44" s="17" t="n">
        <x:v>46235.83063056713</x:v>
      </x:c>
      <x:c r="AD44" s="17" t="str">
        <x:v>analysis.json</x:v>
      </x:c>
      <x:c r="AE44" s="18" t="n">
        <x:v>75765</x:v>
      </x:c>
      <x:c r="AF44" s="18" t="n">
        <x:v>7816.9</x:v>
      </x:c>
      <x:c r="AG44" s="18" t="n">
        <x:v>681.01</x:v>
      </x:c>
      <x:c r="AH44" s="18" t="n">
        <x:v>5547.7</x:v>
      </x:c>
      <x:c r="AI44" s="17" t="n">
        <x:v>10</x:v>
      </x:c>
      <x:c r="AJ44" s="17" t="n">
        <x:v>1</x:v>
      </x:c>
      <x:c r="AK44" s="19" t="n">
        <x:v>1</x:v>
      </x:c>
      <x:c r="AL44" s="19" t="n">
        <x:v>1</x:v>
      </x:c>
      <x:c r="AM44" s="19" t="n">
        <x:v>0</x:v>
      </x:c>
      <x:c r="AN44" s="17" t="str">
        <x:v>[
  "stock.shareholder"
]</x:v>
      </x:c>
    </x:row>
    <x:row r="45" ht="58" customHeight="1">
      <x:c r="A45" s="17" t="str">
        <x:v>BUS041</x:v>
      </x:c>
      <x:c r="B45" s="17" t="str">
        <x:v>筛选最新持股比例超过5%的股东记录。</x:v>
      </x:c>
      <x:c r="C45" s="17" t="str">
        <x:v>stock</x:v>
      </x:c>
      <x:c r="D45" s="17" t="str">
        <x:v>stock.shareholder</x:v>
      </x:c>
      <x:c r="E45" s="17" t="str"/>
      <x:c r="F45" s="17" t="str">
        <x:v>financial_qa_cc</x:v>
      </x:c>
      <x:c r="G45" s="17" t="str">
        <x:v>否</x:v>
      </x:c>
      <x:c r="H45" s="18" t="n">
        <x:v>16536.18</x:v>
      </x:c>
      <x:c r="I45" s="18" t="n">
        <x:f>IFERROR(H45/1000,"")</x:f>
        <x:v>16.53618</x:v>
      </x:c>
      <x:c r="J45" s="17" t="n">
        <x:v>2</x:v>
      </x:c>
      <x:c r="K45" s="17" t="str">
        <x:v>成功</x:v>
      </x:c>
      <x:c r="L45" s="17" t="n">
        <x:v>1</x:v>
      </x:c>
      <x:c r="M45" s="17" t="n">
        <x:v>1</x:v>
      </x:c>
      <x:c r="N45" s="17" t="n">
        <x:v>0</x:v>
      </x:c>
      <x:c r="O45" s="17" t="n">
        <x:v>0</x:v>
      </x:c>
      <x:c r="P45" s="17" t="n">
        <x:v>0</x:v>
      </x:c>
      <x:c r="Q45" s="17" t="n">
        <x:v>0</x:v>
      </x:c>
      <x:c r="R45" s="19" t="n">
        <x:f>IFERROR((M45+N45)/L45,"")</x:f>
        <x:v>1</x:v>
      </x:c>
      <x:c r="S45" s="17" t="n">
        <x:v>0</x:v>
      </x:c>
      <x:c r="T45" s="17" t="n">
        <x:v>0</x:v>
      </x:c>
      <x:c r="U45" s="17" t="n">
        <x:v>10686</x:v>
      </x:c>
      <x:c r="V45" s="17" t="str">
        <x:v>错误</x:v>
      </x:c>
      <x:c r="W45" s="19" t="n">
        <x:v>0.8</x:v>
      </x:c>
      <x:c r="X45" s="17" t="str">
        <x:v>否</x:v>
      </x:c>
      <x:c r="Y45" s="17" t="str"/>
      <x:c r="Z45" s="17" t="str">
        <x:v>您想筛选持股比例超过5%的股东记录，但还需要确认一下查询范围——**是针对哪只股票（或哪些股票）？** 当前会话中没有指定具体的股票代码，而股东明细数据需要按个股查询。
请告诉我您关注的是哪只股票（或哪些股票），我来帮您查询最新一期中持股比例超过5%的股东名单。</x:v>
      </x:c>
      <x:c r="AA45" s="17" t="str"/>
      <x:c r="AB45" s="17" t="n">
        <x:v>46235.8306400463</x:v>
      </x:c>
      <x:c r="AC45" s="17" t="n">
        <x:v>46235.83083144676</x:v>
      </x:c>
      <x:c r="AD45" s="17" t="str">
        <x:v>analysis.json</x:v>
      </x:c>
      <x:c r="AE45" s="18" t="n">
        <x:v>8856</x:v>
      </x:c>
      <x:c r="AF45" s="18" t="n">
        <x:v>7680.18</x:v>
      </x:c>
      <x:c r="AG45" s="18" t="n">
        <x:v>790.42</x:v>
      </x:c>
      <x:c r="AH45" s="18" t="n">
        <x:v>5508.1</x:v>
      </x:c>
      <x:c r="AI45" s="17" t="n">
        <x:v>2</x:v>
      </x:c>
      <x:c r="AJ45" s="17" t="n">
        <x:v>1</x:v>
      </x:c>
      <x:c r="AK45" s="19" t="n">
        <x:v>1</x:v>
      </x:c>
      <x:c r="AL45" s="19" t="n">
        <x:v>1</x:v>
      </x:c>
      <x:c r="AM45" s="19" t="n">
        <x:v>0</x:v>
      </x:c>
      <x:c r="AN45" s="17" t="str"/>
    </x:row>
    <x:row r="46" ht="58" customHeight="1">
      <x:c r="A46" s="17" t="str">
        <x:v>BUS042</x:v>
      </x:c>
      <x:c r="B46" s="17" t="str">
        <x:v>查询万科A最新前十大股东及其股份性质。</x:v>
      </x:c>
      <x:c r="C46" s="17" t="str">
        <x:v>stock</x:v>
      </x:c>
      <x:c r="D46" s="17" t="str">
        <x:v>stock.shareholder</x:v>
      </x:c>
      <x:c r="E46" s="17" t="str"/>
      <x:c r="F46" s="17" t="str">
        <x:v>financial_qa_cc</x:v>
      </x:c>
      <x:c r="G46" s="17" t="str">
        <x:v>否</x:v>
      </x:c>
      <x:c r="H46" s="18" t="n">
        <x:v>65885.78</x:v>
      </x:c>
      <x:c r="I46" s="18" t="n">
        <x:f>IFERROR(H46/1000,"")</x:f>
        <x:v>65.88578</x:v>
      </x:c>
      <x:c r="J46" s="17" t="n">
        <x:v>10</x:v>
      </x:c>
      <x:c r="K46" s="17" t="str">
        <x:v>成功</x:v>
      </x:c>
      <x:c r="L46" s="17" t="n">
        <x:v>3</x:v>
      </x:c>
      <x:c r="M46" s="17" t="n">
        <x:v>3</x:v>
      </x:c>
      <x:c r="N46" s="17" t="n">
        <x:v>0</x:v>
      </x:c>
      <x:c r="O46" s="17" t="n">
        <x:v>0</x:v>
      </x:c>
      <x:c r="P46" s="17" t="n">
        <x:v>0</x:v>
      </x:c>
      <x:c r="Q46" s="17" t="n">
        <x:v>0</x:v>
      </x:c>
      <x:c r="R46" s="19" t="n">
        <x:f>IFERROR((M46+N46)/L46,"")</x:f>
        <x:v>1</x:v>
      </x:c>
      <x:c r="S46" s="17" t="n">
        <x:v>0</x:v>
      </x:c>
      <x:c r="T46" s="17" t="n">
        <x:v>0</x:v>
      </x:c>
      <x:c r="U46" s="17" t="n">
        <x:v>9392</x:v>
      </x:c>
      <x:c r="V46" s="17" t="str">
        <x:v>正确</x:v>
      </x:c>
      <x:c r="W46" s="19" t="n">
        <x:v>1</x:v>
      </x:c>
      <x:c r="X46" s="17" t="str">
        <x:v>否</x:v>
      </x:c>
      <x:c r="Y46" s="17" t="str"/>
      <x:c r="Z46" s="17" t="str">
        <x:v>截至 **2026年一季报（2026-03-31）**，万科A前十大股东持股及股份性质如下：
| 排名 | 股东名称 | 持股数量（股） | 持股比例 | 股份性质 |
|:---:|---|---:|---:|:---:|
| 1 | **深圳市地铁集团有限公司** | 32.43亿 | **27.18%** | 流通A股 |
| 2 | HKSCC NOMINEES LIMITED | 22.06亿 | 18.49% | 流通H股 |
| 3 | 中央汇金资产管理有限责任公司 | 1.85亿 | 1.55% | 流通A股 |
| 4 | 香港中央结算有限公司 | 1.47亿 | 1.23% | 流通A股 |
| 5 | 南方中证全指房地产ETF | 8,200万 | 0.69% | 流通A股 |
| 6 | 招商沪深300地产等权重指数分级 | 6,056万 | 0.51% | 流通A股 |
| 7 | 华泰柏瑞沪深300ETF | 5,479万 | 0.46% | 流通A股 |
| 8 | 易方达沪深300ETF | 3,807万 | 0.32% | 流通A股 |
| 9 | **卢毅**（个人） | 3,300万 | 0.28% | 流通A股 |
| 10 | 武汉盛隆创业投资有限公司 | 3,035万 | 0.25% | 流通A股 |
**要点：**
- **深铁集团**持股27.18%，为第一大股东，股份性质为流通A股；
- **HKSCC NOMINEES**（为H股股东名义持有）持股18.49%，为第二大股东，股份性质为流通H股；
- 第3–8名均为机构投资者，中央汇金持股1.55%居第三；
- 第9名卢毅为个人股东（自然人），持股0.28%，是前十中唯一的自然人股东；
- 前十股东合计持股约 **50.96%**，其中流通A股占比约32.47%，流通H股占比约18.49%。</x:v>
      </x:c>
      <x:c r="AA46" s="17" t="str"/>
      <x:c r="AB46" s="17" t="n">
        <x:v>46235.830841111114</x:v>
      </x:c>
      <x:c r="AC46" s="17" t="n">
        <x:v>46235.831603680555</x:v>
      </x:c>
      <x:c r="AD46" s="17" t="str">
        <x:v>analysis.json</x:v>
      </x:c>
      <x:c r="AE46" s="18" t="n">
        <x:v>58039</x:v>
      </x:c>
      <x:c r="AF46" s="18" t="n">
        <x:v>7846.78</x:v>
      </x:c>
      <x:c r="AG46" s="18" t="n">
        <x:v>798.77</x:v>
      </x:c>
      <x:c r="AH46" s="18" t="n">
        <x:v>5360</x:v>
      </x:c>
      <x:c r="AI46" s="17" t="n">
        <x:v>10</x:v>
      </x:c>
      <x:c r="AJ46" s="17" t="n">
        <x:v>1</x:v>
      </x:c>
      <x:c r="AK46" s="19" t="n">
        <x:v>1</x:v>
      </x:c>
      <x:c r="AL46" s="19" t="n">
        <x:v>1</x:v>
      </x:c>
      <x:c r="AM46" s="19" t="n">
        <x:v>0</x:v>
      </x:c>
      <x:c r="AN46" s="17" t="str">
        <x:v>[
  "stock.shareholder"
]</x:v>
      </x:c>
    </x:row>
    <x:row r="47" ht="58" customHeight="1">
      <x:c r="A47" s="17" t="str">
        <x:v>BUS043</x:v>
      </x:c>
      <x:c r="B47" s="17" t="str">
        <x:v>查询万科A最新股权质押比例和累计质押股数。</x:v>
      </x:c>
      <x:c r="C47" s="17" t="str">
        <x:v>stock</x:v>
      </x:c>
      <x:c r="D47" s="17" t="str">
        <x:v>stock.pledge</x:v>
      </x:c>
      <x:c r="E47" s="17" t="str"/>
      <x:c r="F47" s="17" t="str">
        <x:v>financial_qa_cc</x:v>
      </x:c>
      <x:c r="G47" s="17" t="str">
        <x:v>否</x:v>
      </x:c>
      <x:c r="H47" s="18" t="n">
        <x:v>23563.79</x:v>
      </x:c>
      <x:c r="I47" s="18" t="n">
        <x:f>IFERROR(H47/1000,"")</x:f>
        <x:v>23.56379</x:v>
      </x:c>
      <x:c r="J47" s="17" t="n">
        <x:v>4</x:v>
      </x:c>
      <x:c r="K47" s="17" t="str">
        <x:v>成功</x:v>
      </x:c>
      <x:c r="L47" s="17" t="n">
        <x:v>2</x:v>
      </x:c>
      <x:c r="M47" s="17" t="n">
        <x:v>2</x:v>
      </x:c>
      <x:c r="N47" s="17" t="n">
        <x:v>0</x:v>
      </x:c>
      <x:c r="O47" s="17" t="n">
        <x:v>0</x:v>
      </x:c>
      <x:c r="P47" s="17" t="n">
        <x:v>0</x:v>
      </x:c>
      <x:c r="Q47" s="17" t="n">
        <x:v>0</x:v>
      </x:c>
      <x:c r="R47" s="19" t="n">
        <x:f>IFERROR((M47+N47)/L47,"")</x:f>
        <x:v>1</x:v>
      </x:c>
      <x:c r="S47" s="17" t="n">
        <x:v>0</x:v>
      </x:c>
      <x:c r="T47" s="17" t="n">
        <x:v>0</x:v>
      </x:c>
      <x:c r="U47" s="17" t="n">
        <x:v>13110</x:v>
      </x:c>
      <x:c r="V47" s="17" t="str">
        <x:v>部分正确</x:v>
      </x:c>
      <x:c r="W47" s="19" t="n">
        <x:v>0.95</x:v>
      </x:c>
      <x:c r="X47" s="17" t="str">
        <x:v>否</x:v>
      </x:c>
      <x:c r="Y47" s="17" t="str"/>
      <x:c r="Z47" s="17" t="str">
        <x:v>截至最新披露日（2024-04-30），万科A的股权质押比例为 **1.23%**，处于较低水平。
累计质押股数方面，当前数据源未提供该字段的具体数值，无法直接展示。不过从1.23%的质押比例来看，以万科A约119亿股的总股本推算，累计质押股数大约在1.46亿股左右，整体质押规模不大。</x:v>
      </x:c>
      <x:c r="AA47" s="17" t="str"/>
      <x:c r="AB47" s="17" t="n">
        <x:v>46235.83087091435</x:v>
      </x:c>
      <x:c r="AC47" s="17" t="n">
        <x:v>46235.83114365741</x:v>
      </x:c>
      <x:c r="AD47" s="17" t="str">
        <x:v>analysis.json</x:v>
      </x:c>
      <x:c r="AE47" s="18" t="n">
        <x:v>16421</x:v>
      </x:c>
      <x:c r="AF47" s="18" t="n">
        <x:v>7142.79</x:v>
      </x:c>
      <x:c r="AG47" s="18" t="n">
        <x:v>731.05</x:v>
      </x:c>
      <x:c r="AH47" s="18" t="n">
        <x:v>5044.02</x:v>
      </x:c>
      <x:c r="AI47" s="17" t="n">
        <x:v>4</x:v>
      </x:c>
      <x:c r="AJ47" s="17" t="n">
        <x:v>1</x:v>
      </x:c>
      <x:c r="AK47" s="19" t="n">
        <x:v>1</x:v>
      </x:c>
      <x:c r="AL47" s="19" t="n">
        <x:v>1</x:v>
      </x:c>
      <x:c r="AM47" s="19" t="n">
        <x:v>0</x:v>
      </x:c>
      <x:c r="AN47" s="17" t="str">
        <x:v>[
  "stock.pledge"
]</x:v>
      </x:c>
    </x:row>
    <x:row r="48" ht="58" customHeight="1">
      <x:c r="A48" s="17" t="str">
        <x:v>BUS044</x:v>
      </x:c>
      <x:c r="B48" s="17" t="str">
        <x:v>最新公司累计质押比例最高的前20只股票。</x:v>
      </x:c>
      <x:c r="C48" s="17" t="str">
        <x:v>stock</x:v>
      </x:c>
      <x:c r="D48" s="17" t="str">
        <x:v>stock.pledge</x:v>
      </x:c>
      <x:c r="E48" s="17" t="str"/>
      <x:c r="F48" s="17" t="str">
        <x:v>financial_qa_cc</x:v>
      </x:c>
      <x:c r="G48" s="17" t="str">
        <x:v>否</x:v>
      </x:c>
      <x:c r="H48" s="18" t="n">
        <x:v>30450.72</x:v>
      </x:c>
      <x:c r="I48" s="18" t="n">
        <x:f>IFERROR(H48/1000,"")</x:f>
        <x:v>30.45072</x:v>
      </x:c>
      <x:c r="J48" s="17" t="n">
        <x:v>4</x:v>
      </x:c>
      <x:c r="K48" s="17" t="str">
        <x:v>成功</x:v>
      </x:c>
      <x:c r="L48" s="17" t="n">
        <x:v>2</x:v>
      </x:c>
      <x:c r="M48" s="17" t="n">
        <x:v>2</x:v>
      </x:c>
      <x:c r="N48" s="17" t="n">
        <x:v>0</x:v>
      </x:c>
      <x:c r="O48" s="17" t="n">
        <x:v>0</x:v>
      </x:c>
      <x:c r="P48" s="17" t="n">
        <x:v>0</x:v>
      </x:c>
      <x:c r="Q48" s="17" t="n">
        <x:v>0</x:v>
      </x:c>
      <x:c r="R48" s="19" t="n">
        <x:f>IFERROR((M48+N48)/L48,"")</x:f>
        <x:v>1</x:v>
      </x:c>
      <x:c r="S48" s="17" t="n">
        <x:v>0</x:v>
      </x:c>
      <x:c r="T48" s="17" t="n">
        <x:v>0</x:v>
      </x:c>
      <x:c r="U48" s="17" t="n">
        <x:v>6598</x:v>
      </x:c>
      <x:c r="V48" s="17" t="str">
        <x:v>证据不足</x:v>
      </x:c>
      <x:c r="W48" s="19" t="n">
        <x:v>0.95</x:v>
      </x:c>
      <x:c r="X48" s="17" t="str">
        <x:v>否</x:v>
      </x:c>
      <x:c r="Y48" s="17" t="str"/>
      <x:c r="Z48" s="17" t="str">
        <x:v>查询已返回20只股票的身份信息，但当前数据源中 **累计质押比例（`pledge_ratio_comp`）** 字段均为空，无法给出具体的比例数值和排名。
从返回的股票名单来看，最新的质押数据截止日期为 **2026-07-31**，前3只样例股票为：
| 代码 | 名称 |
|------|------|
| 000056.SZ | \*ST皇庭 |
| 000010.SZ | \*ST美丽 |
| 000050.SZ | 深天马A |
遗憾的是，由于数据源中 `pledge_ratio_comp`（占公司总股本比例）字段未提供具体数值，无法按质押比例排序并给出前20只的完整排名。建议后续通过公司公告或交易所披露的质押信息进一步核实具体比例。</x:v>
      </x:c>
      <x:c r="AA48" s="17" t="str"/>
      <x:c r="AB48" s="17" t="n">
        <x:v>46235.83115369213</x:v>
      </x:c>
      <x:c r="AC48" s="17" t="n">
        <x:v>46235.83150613426</x:v>
      </x:c>
      <x:c r="AD48" s="17" t="str">
        <x:v>analysis.json</x:v>
      </x:c>
      <x:c r="AE48" s="18" t="n">
        <x:v>22725</x:v>
      </x:c>
      <x:c r="AF48" s="18" t="n">
        <x:v>7725.72</x:v>
      </x:c>
      <x:c r="AG48" s="18" t="n">
        <x:v>773.77</x:v>
      </x:c>
      <x:c r="AH48" s="18" t="n">
        <x:v>5513.87</x:v>
      </x:c>
      <x:c r="AI48" s="17" t="n">
        <x:v>4</x:v>
      </x:c>
      <x:c r="AJ48" s="17" t="n">
        <x:v>1</x:v>
      </x:c>
      <x:c r="AK48" s="19" t="n">
        <x:v>1</x:v>
      </x:c>
      <x:c r="AL48" s="19" t="n">
        <x:v>1</x:v>
      </x:c>
      <x:c r="AM48" s="19" t="n">
        <x:v>0</x:v>
      </x:c>
      <x:c r="AN48" s="17" t="str">
        <x:v>[
  "stock.pledge"
]</x:v>
      </x:c>
    </x:row>
    <x:row r="49" ht="58" customHeight="1">
      <x:c r="A49" s="17" t="str">
        <x:v>BUS045</x:v>
      </x:c>
      <x:c r="B49" s="17" t="str">
        <x:v>查询尚未解除质押的股权质押记录。</x:v>
      </x:c>
      <x:c r="C49" s="17" t="str">
        <x:v>stock</x:v>
      </x:c>
      <x:c r="D49" s="17" t="str">
        <x:v>stock.pledge</x:v>
      </x:c>
      <x:c r="E49" s="17" t="str"/>
      <x:c r="F49" s="17" t="str">
        <x:v>financial_qa_cc</x:v>
      </x:c>
      <x:c r="G49" s="17" t="str">
        <x:v>否</x:v>
      </x:c>
      <x:c r="H49" s="18" t="n">
        <x:v>16747.03</x:v>
      </x:c>
      <x:c r="I49" s="18" t="n">
        <x:f>IFERROR(H49/1000,"")</x:f>
        <x:v>16.74703</x:v>
      </x:c>
      <x:c r="J49" s="17" t="n">
        <x:v>2</x:v>
      </x:c>
      <x:c r="K49" s="17" t="str">
        <x:v>成功</x:v>
      </x:c>
      <x:c r="L49" s="17" t="n">
        <x:v>1</x:v>
      </x:c>
      <x:c r="M49" s="17" t="n">
        <x:v>1</x:v>
      </x:c>
      <x:c r="N49" s="17" t="n">
        <x:v>0</x:v>
      </x:c>
      <x:c r="O49" s="17" t="n">
        <x:v>0</x:v>
      </x:c>
      <x:c r="P49" s="17" t="n">
        <x:v>0</x:v>
      </x:c>
      <x:c r="Q49" s="17" t="n">
        <x:v>0</x:v>
      </x:c>
      <x:c r="R49" s="19" t="n">
        <x:f>IFERROR((M49+N49)/L49,"")</x:f>
        <x:v>1</x:v>
      </x:c>
      <x:c r="S49" s="17" t="n">
        <x:v>0</x:v>
      </x:c>
      <x:c r="T49" s="17" t="n">
        <x:v>0</x:v>
      </x:c>
      <x:c r="U49" s="17" t="n">
        <x:v>10625</x:v>
      </x:c>
      <x:c r="V49" s="17" t="str">
        <x:v>错误</x:v>
      </x:c>
      <x:c r="W49" s="19" t="n">
        <x:v>0.8</x:v>
      </x:c>
      <x:c r="X49" s="17" t="str">
        <x:v>否</x:v>
      </x:c>
      <x:c r="Y49" s="17" t="str"/>
      <x:c r="Z49" s="17" t="str">
        <x:v>从目录来看，股权质押数据（`stock.pledge`）是按个股组织的，通过 `source=pledgeinfo` 可以查询质押/解押明细记录，其中 **`is_discharge`** 字段标识是否已解押。
不过，您没有指定具体的证券。请问您想查询**哪只股票**（或哪几家上市公司）的尚未解除质押的股权质押记录？</x:v>
      </x:c>
      <x:c r="AA49" s="17" t="str"/>
      <x:c r="AB49" s="17" t="n">
        <x:v>46235.83151798611</x:v>
      </x:c>
      <x:c r="AC49" s="17" t="n">
        <x:v>46235.83171181713</x:v>
      </x:c>
      <x:c r="AD49" s="17" t="str">
        <x:v>analysis.json</x:v>
      </x:c>
      <x:c r="AE49" s="18" t="n">
        <x:v>8752</x:v>
      </x:c>
      <x:c r="AF49" s="18" t="n">
        <x:v>7995.03</x:v>
      </x:c>
      <x:c r="AG49" s="18" t="n">
        <x:v>871.4</x:v>
      </x:c>
      <x:c r="AH49" s="18" t="n">
        <x:v>5549.52</x:v>
      </x:c>
      <x:c r="AI49" s="17" t="n">
        <x:v>2</x:v>
      </x:c>
      <x:c r="AJ49" s="17" t="n">
        <x:v>1</x:v>
      </x:c>
      <x:c r="AK49" s="19" t="n">
        <x:v>1</x:v>
      </x:c>
      <x:c r="AL49" s="19" t="n">
        <x:v>1</x:v>
      </x:c>
      <x:c r="AM49" s="19" t="n">
        <x:v>0</x:v>
      </x:c>
      <x:c r="AN49" s="17" t="str"/>
    </x:row>
    <x:row r="50" ht="58" customHeight="1">
      <x:c r="A50" s="17" t="str">
        <x:v>BUS046</x:v>
      </x:c>
      <x:c r="B50" s="17" t="str">
        <x:v>查询贵州茅台主要股东的股权质押明细。</x:v>
      </x:c>
      <x:c r="C50" s="17" t="str">
        <x:v>stock</x:v>
      </x:c>
      <x:c r="D50" s="17" t="str">
        <x:v>stock.pledge</x:v>
      </x:c>
      <x:c r="E50" s="17" t="str"/>
      <x:c r="F50" s="17" t="str">
        <x:v>financial_qa_cc</x:v>
      </x:c>
      <x:c r="G50" s="17" t="str">
        <x:v>否</x:v>
      </x:c>
      <x:c r="H50" s="18" t="n">
        <x:v>31868.03</x:v>
      </x:c>
      <x:c r="I50" s="18" t="n">
        <x:f>IFERROR(H50/1000,"")</x:f>
        <x:v>31.868029999999997</x:v>
      </x:c>
      <x:c r="J50" s="17" t="n">
        <x:v>5</x:v>
      </x:c>
      <x:c r="K50" s="17" t="str">
        <x:v>成功</x:v>
      </x:c>
      <x:c r="L50" s="17" t="n">
        <x:v>3</x:v>
      </x:c>
      <x:c r="M50" s="17" t="n">
        <x:v>2</x:v>
      </x:c>
      <x:c r="N50" s="17" t="n">
        <x:v>0</x:v>
      </x:c>
      <x:c r="O50" s="17" t="n">
        <x:v>1</x:v>
      </x:c>
      <x:c r="P50" s="17" t="n">
        <x:v>0</x:v>
      </x:c>
      <x:c r="Q50" s="17" t="n">
        <x:v>0</x:v>
      </x:c>
      <x:c r="R50" s="19" t="n">
        <x:f>IFERROR((M50+N50)/L50,"")</x:f>
        <x:v>0.6666666666666666</x:v>
      </x:c>
      <x:c r="S50" s="17" t="n">
        <x:v>0</x:v>
      </x:c>
      <x:c r="T50" s="17" t="n">
        <x:v>0</x:v>
      </x:c>
      <x:c r="U50" s="17" t="n">
        <x:v>6311</x:v>
      </x:c>
      <x:c r="V50" s="17" t="str">
        <x:v>部分正确</x:v>
      </x:c>
      <x:c r="W50" s="19" t="n">
        <x:v>0.9</x:v>
      </x:c>
      <x:c r="X50" s="17" t="str">
        <x:v>否</x:v>
      </x:c>
      <x:c r="Y50" s="17" t="str"/>
      <x:c r="Z50" s="17" t="str">
        <x:v>根据查询结果，**当前数据源中未查到贵州茅台（600519.SH）主要股东的股权质押明细记录**，具体包括：
- **质押/解押明细**：无任何质押或解押事件记录
- **股东累计质押与冻结汇总**：无股东累计质押或冻结数据
这一结果与贵州茅台作为A股核心资产的实际情况相符——茅台长期股权结构稳定，大股东（如贵州茅台集团）历史上极少进行股权质押融资，几乎没有公开的质押信息披露。</x:v>
      </x:c>
      <x:c r="AA50" s="17" t="str"/>
      <x:c r="AB50" s="17" t="n">
        <x:v>46235.83161770833</x:v>
      </x:c>
      <x:c r="AC50" s="17" t="n">
        <x:v>46235.8319865625</x:v>
      </x:c>
      <x:c r="AD50" s="17" t="str">
        <x:v>analysis.json</x:v>
      </x:c>
      <x:c r="AE50" s="18" t="n">
        <x:v>23628</x:v>
      </x:c>
      <x:c r="AF50" s="18" t="n">
        <x:v>8240.03</x:v>
      </x:c>
      <x:c r="AG50" s="18" t="n">
        <x:v>681.14</x:v>
      </x:c>
      <x:c r="AH50" s="18" t="n">
        <x:v>5780.22</x:v>
      </x:c>
      <x:c r="AI50" s="17" t="n">
        <x:v>5</x:v>
      </x:c>
      <x:c r="AJ50" s="17" t="n">
        <x:v>1</x:v>
      </x:c>
      <x:c r="AK50" s="19" t="n">
        <x:v>0.6667</x:v>
      </x:c>
      <x:c r="AL50" s="19" t="n">
        <x:v>0.6667</x:v>
      </x:c>
      <x:c r="AM50" s="19" t="n">
        <x:v>0.3333</x:v>
      </x:c>
      <x:c r="AN50" s="17" t="str">
        <x:v>[
  "stock.pledge"
]</x:v>
      </x:c>
    </x:row>
    <x:row r="51" ht="58" customHeight="1">
      <x:c r="A51" s="17" t="str">
        <x:v>BUS047</x:v>
      </x:c>
      <x:c r="B51" s="17" t="str">
        <x:v>筛选最新冻结股数最高的前20家公司。</x:v>
      </x:c>
      <x:c r="C51" s="17" t="str">
        <x:v>stock</x:v>
      </x:c>
      <x:c r="D51" s="17" t="str">
        <x:v>stock.pledge</x:v>
      </x:c>
      <x:c r="E51" s="17" t="str"/>
      <x:c r="F51" s="17" t="str">
        <x:v>financial_qa_cc</x:v>
      </x:c>
      <x:c r="G51" s="17" t="str">
        <x:v>否</x:v>
      </x:c>
      <x:c r="H51" s="18" t="n">
        <x:v>107462.4</x:v>
      </x:c>
      <x:c r="I51" s="18" t="n">
        <x:f>IFERROR(H51/1000,"")</x:f>
        <x:v>107.46239999999999</x:v>
      </x:c>
      <x:c r="J51" s="17" t="n">
        <x:v>18</x:v>
      </x:c>
      <x:c r="K51" s="17" t="str">
        <x:v>成功</x:v>
      </x:c>
      <x:c r="L51" s="17" t="n">
        <x:v>5</x:v>
      </x:c>
      <x:c r="M51" s="17" t="n">
        <x:v>5</x:v>
      </x:c>
      <x:c r="N51" s="17" t="n">
        <x:v>0</x:v>
      </x:c>
      <x:c r="O51" s="17" t="n">
        <x:v>0</x:v>
      </x:c>
      <x:c r="P51" s="17" t="n">
        <x:v>0</x:v>
      </x:c>
      <x:c r="Q51" s="17" t="n">
        <x:v>0</x:v>
      </x:c>
      <x:c r="R51" s="19" t="n">
        <x:f>IFERROR((M51+N51)/L51,"")</x:f>
        <x:v>1</x:v>
      </x:c>
      <x:c r="S51" s="17" t="n">
        <x:v>0</x:v>
      </x:c>
      <x:c r="T51" s="17" t="n">
        <x:v>0</x:v>
      </x:c>
      <x:c r="U51" s="17" t="n">
        <x:v>18810</x:v>
      </x:c>
      <x:c r="V51" s="17" t="str">
        <x:v>错误</x:v>
      </x:c>
      <x:c r="W51" s="19" t="n">
        <x:v>0.85</x:v>
      </x:c>
      <x:c r="X51" s="17" t="str">
        <x:v>是</x:v>
      </x:c>
      <x:c r="Y51" s="17" t="str"/>
      <x:c r="Z51" s="17" t="str">
        <x:v>以下是最新一期（2025年以来）前十大股东中累计冻结股数最高的前20家公司数据，已按每家公司最新记录展示：
| 排名 | 公司 | 冻结股东 | 累计冻结股数 | 数据截止日 |
|:--:|:--|:--|--:|:--:|
| 1 | **\*ST三房** | 三房巷集团有限公司 | **29.67亿股** | 2026-03-31 |
| 2 | **\*ST泛海** | 中国泛海控股集团有限公司 | **28.81亿股** | 2025-12-31 |
| 3 | **ST中南** | 中南城市建设投资有限公司 | **12.74亿股** | 2025-12-31 |
| 4 | **ST亿利** | 亿利资源集团有限公司 | **12.19亿股** | 2025-12-31 |
| 5 | **三安光电** | 厦门三安电子有限公司 | **12.14亿股** | 2026-03-31 |
| 6 | **民生银行** | 东方集团股份有限公司 | **11.85亿股** | 2025-09-30 |
| 7 | **新光退** | 新光控股集团有限公司 | **11.34亿股** | 2025-12-31 |
| 8 | **ST迪马** | 重庆东银控股集团有限公司 | **8.86亿股** | 2025-12-31 |
| 9 | **\*ST中天** | 金世旗国际控股股份有限公司 | **8.65亿股** | 2025-12-31 |
| 10 | **退市美都** | 闻掌华 | **9.73亿股** | 2025-12-31 |
| 11 | **\*ST利源** | 倍有智能科技(长春)有限公司 | **8.00亿股** | 2025-12-31 |
**几点说明：**
- 数据来源为个股前十大股东（`holdertop`）明细，反映的是**控股股东或重要股东**个人名下的累计冻结股份，而非上市公司全部冻结股份的总和。
- **\*ST三房**（29.67亿股）和 **\*ST泛海**（28.81亿股）的冻结规模遥遥领先，均属风险警示公司，其控股股东所持股份已几乎全部冻结。
- 其余公司的股东冻结规模在 8亿~13亿股之间，多为地产、能源类 ST 公司，与经营困境和债务问题高度相关。
- 三安光电是其中唯一非 ST 公司，控股股东所持 12.14亿股被冻结，值得关注其后续进展。</x:v>
      </x:c>
      <x:c r="AA51" s="17" t="str"/>
      <x:c r="AB51" s="17" t="n">
        <x:v>46235.831728680554</x:v>
      </x:c>
      <x:c r="AC51" s="17" t="n">
        <x:v>46235.83297247685</x:v>
      </x:c>
      <x:c r="AD51" s="17" t="str">
        <x:v>analysis.json</x:v>
      </x:c>
      <x:c r="AE51" s="18" t="n">
        <x:v>99199</x:v>
      </x:c>
      <x:c r="AF51" s="18" t="n">
        <x:v>8263.4</x:v>
      </x:c>
      <x:c r="AG51" s="18" t="n">
        <x:v>949.06</x:v>
      </x:c>
      <x:c r="AH51" s="18" t="n">
        <x:v>5443.14</x:v>
      </x:c>
      <x:c r="AI51" s="17" t="n">
        <x:v>18</x:v>
      </x:c>
      <x:c r="AJ51" s="17" t="n">
        <x:v>1</x:v>
      </x:c>
      <x:c r="AK51" s="19" t="n">
        <x:v>1</x:v>
      </x:c>
      <x:c r="AL51" s="19" t="n">
        <x:v>1</x:v>
      </x:c>
      <x:c r="AM51" s="19" t="n">
        <x:v>0</x:v>
      </x:c>
      <x:c r="AN51" s="17" t="str">
        <x:v>[
  "stock.shareholder"
]</x:v>
      </x:c>
    </x:row>
    <x:row r="52" ht="58" customHeight="1">
      <x:c r="A52" s="17" t="str">
        <x:v>BUS048</x:v>
      </x:c>
      <x:c r="B52" s="17" t="str">
        <x:v>查询质押比例超过30%的公司和质押股东。</x:v>
      </x:c>
      <x:c r="C52" s="17" t="str">
        <x:v>stock</x:v>
      </x:c>
      <x:c r="D52" s="17" t="str">
        <x:v>stock.pledge</x:v>
      </x:c>
      <x:c r="E52" s="17" t="str"/>
      <x:c r="F52" s="17" t="str">
        <x:v>financial_qa_cc</x:v>
      </x:c>
      <x:c r="G52" s="17" t="str">
        <x:v>否</x:v>
      </x:c>
      <x:c r="H52" s="18" t="n">
        <x:v>34692.55</x:v>
      </x:c>
      <x:c r="I52" s="18" t="n">
        <x:f>IFERROR(H52/1000,"")</x:f>
        <x:v>34.692550000000004</x:v>
      </x:c>
      <x:c r="J52" s="17" t="n">
        <x:v>4</x:v>
      </x:c>
      <x:c r="K52" s="17" t="str">
        <x:v>成功</x:v>
      </x:c>
      <x:c r="L52" s="17" t="n">
        <x:v>3</x:v>
      </x:c>
      <x:c r="M52" s="17" t="n">
        <x:v>2</x:v>
      </x:c>
      <x:c r="N52" s="17" t="n">
        <x:v>0</x:v>
      </x:c>
      <x:c r="O52" s="17" t="n">
        <x:v>1</x:v>
      </x:c>
      <x:c r="P52" s="17" t="n">
        <x:v>0</x:v>
      </x:c>
      <x:c r="Q52" s="17" t="n">
        <x:v>0</x:v>
      </x:c>
      <x:c r="R52" s="19" t="n">
        <x:f>IFERROR((M52+N52)/L52,"")</x:f>
        <x:v>0.6666666666666666</x:v>
      </x:c>
      <x:c r="S52" s="17" t="n">
        <x:v>0</x:v>
      </x:c>
      <x:c r="T52" s="17" t="n">
        <x:v>0</x:v>
      </x:c>
      <x:c r="U52" s="17" t="n">
        <x:v>16729</x:v>
      </x:c>
      <x:c r="V52" s="17" t="str">
        <x:v>证据不足</x:v>
      </x:c>
      <x:c r="W52" s="19" t="n">
        <x:v>0.9</x:v>
      </x:c>
      <x:c r="X52" s="17" t="str">
        <x:v>否</x:v>
      </x:c>
      <x:c r="Y52" s="17" t="str"/>
      <x:c r="Z52" s="17" t="str">
        <x:v>根据当前数据源查询，未检索到质押比例超过30%的公司记录。
具体分别在两个数据来源中进行了查询：
- **质押比例汇总（pledgeratio）**：筛选 `pledge_ratio_comp &gt; 30`，返回零行
- **股东累计质押/冻结汇总（pledge_frozen）**：筛选 `pledge_ratio_comp &gt; 30`，同样返回零行
当前数据源暂未收录质押比例超过30%的公司及对应质押股东信息。这可能是因为数据覆盖范围有限，而非市场上确实不存在此类公司。如需更全面的质押数据，建议结合其他数据源或交易所公开信息进一步核实。</x:v>
      </x:c>
      <x:c r="AA52" s="17" t="str"/>
      <x:c r="AB52" s="17" t="n">
        <x:v>46235.83199760417</x:v>
      </x:c>
      <x:c r="AC52" s="17" t="n">
        <x:v>46235.83239914352</x:v>
      </x:c>
      <x:c r="AD52" s="17" t="str">
        <x:v>analysis.json</x:v>
      </x:c>
      <x:c r="AE52" s="18" t="n">
        <x:v>26076</x:v>
      </x:c>
      <x:c r="AF52" s="18" t="n">
        <x:v>8616.55</x:v>
      </x:c>
      <x:c r="AG52" s="18" t="n">
        <x:v>732.41</x:v>
      </x:c>
      <x:c r="AH52" s="18" t="n">
        <x:v>5815.81</x:v>
      </x:c>
      <x:c r="AI52" s="17" t="n">
        <x:v>4</x:v>
      </x:c>
      <x:c r="AJ52" s="17" t="n">
        <x:v>1</x:v>
      </x:c>
      <x:c r="AK52" s="19" t="n">
        <x:v>0.6667</x:v>
      </x:c>
      <x:c r="AL52" s="19" t="n">
        <x:v>0.6667</x:v>
      </x:c>
      <x:c r="AM52" s="19" t="n">
        <x:v>0.3333</x:v>
      </x:c>
      <x:c r="AN52" s="17" t="str">
        <x:v>[
  "stock.pledge"
]</x:v>
      </x:c>
    </x:row>
    <x:row r="53" ht="58" customHeight="1">
      <x:c r="A53" s="17" t="str">
        <x:v>BUS049</x:v>
      </x:c>
      <x:c r="B53" s="17" t="str">
        <x:v>查询贵州茅台最近一次现金分红方案。</x:v>
      </x:c>
      <x:c r="C53" s="17" t="str">
        <x:v>stock</x:v>
      </x:c>
      <x:c r="D53" s="17" t="str">
        <x:v>stock.corporate_action</x:v>
      </x:c>
      <x:c r="E53" s="17" t="str"/>
      <x:c r="F53" s="17" t="str">
        <x:v>financial_qa_cc</x:v>
      </x:c>
      <x:c r="G53" s="17" t="str">
        <x:v>否</x:v>
      </x:c>
      <x:c r="H53" s="18" t="n">
        <x:v>21905.78</x:v>
      </x:c>
      <x:c r="I53" s="18" t="n">
        <x:f>IFERROR(H53/1000,"")</x:f>
        <x:v>21.90578</x:v>
      </x:c>
      <x:c r="J53" s="17" t="n">
        <x:v>3</x:v>
      </x:c>
      <x:c r="K53" s="17" t="str">
        <x:v>成功</x:v>
      </x:c>
      <x:c r="L53" s="17" t="n">
        <x:v>2</x:v>
      </x:c>
      <x:c r="M53" s="17" t="n">
        <x:v>2</x:v>
      </x:c>
      <x:c r="N53" s="17" t="n">
        <x:v>0</x:v>
      </x:c>
      <x:c r="O53" s="17" t="n">
        <x:v>0</x:v>
      </x:c>
      <x:c r="P53" s="17" t="n">
        <x:v>0</x:v>
      </x:c>
      <x:c r="Q53" s="17" t="n">
        <x:v>0</x:v>
      </x:c>
      <x:c r="R53" s="19" t="n">
        <x:f>IFERROR((M53+N53)/L53,"")</x:f>
        <x:v>1</x:v>
      </x:c>
      <x:c r="S53" s="17" t="n">
        <x:v>0</x:v>
      </x:c>
      <x:c r="T53" s="17" t="n">
        <x:v>0</x:v>
      </x:c>
      <x:c r="U53" s="17" t="n">
        <x:v>14716</x:v>
      </x:c>
      <x:c r="V53" s="17" t="str">
        <x:v>正确</x:v>
      </x:c>
      <x:c r="W53" s="19" t="n">
        <x:v>0.95</x:v>
      </x:c>
      <x:c r="X53" s="17" t="str">
        <x:v>否</x:v>
      </x:c>
      <x:c r="Y53" s="17" t="str"/>
      <x:c r="Z53" s="17" t="str">
        <x:v>贵州茅台（600519.SH）最近一次现金分红方案已实施完毕，具体如下：
**2025 年度利润分配**
| 项目 | 内容 |
|------|------|
| 公告日期 | 2026-06-22 |
| 股权登记日 | 2026-06-25 |
| 除权除息日 | 2026-06-26 |
| 税前现金分红 | **28.02 元/股**（每 10 股派 280.24 元） |
| 现金分红总额 | **约 350.33 亿元** |
| 分红进度 | 已实施（无送股及转增） |
本次分红对应 2025 年度，每股派发现金红利 28.02 元，已于 6 月 26 日完成除权除息。</x:v>
      </x:c>
      <x:c r="AA53" s="17" t="str"/>
      <x:c r="AB53" s="17" t="n">
        <x:v>46235.83241138889</x:v>
      </x:c>
      <x:c r="AC53" s="17" t="n">
        <x:v>46235.83266493055</x:v>
      </x:c>
      <x:c r="AD53" s="17" t="str">
        <x:v>analysis.json</x:v>
      </x:c>
      <x:c r="AE53" s="18" t="n">
        <x:v>14690</x:v>
      </x:c>
      <x:c r="AF53" s="18" t="n">
        <x:v>7215.78</x:v>
      </x:c>
      <x:c r="AG53" s="18" t="n">
        <x:v>669.13</x:v>
      </x:c>
      <x:c r="AH53" s="18" t="n">
        <x:v>4855.52</x:v>
      </x:c>
      <x:c r="AI53" s="17" t="n">
        <x:v>3</x:v>
      </x:c>
      <x:c r="AJ53" s="17" t="n">
        <x:v>1</x:v>
      </x:c>
      <x:c r="AK53" s="19" t="n">
        <x:v>1</x:v>
      </x:c>
      <x:c r="AL53" s="19" t="n">
        <x:v>1</x:v>
      </x:c>
      <x:c r="AM53" s="19" t="n">
        <x:v>0</x:v>
      </x:c>
      <x:c r="AN53" s="17" t="str">
        <x:v>[
  "stock.corporate_action"
]</x:v>
      </x:c>
    </x:row>
    <x:row r="54" ht="58" customHeight="1">
      <x:c r="A54" s="17" t="str">
        <x:v>BUS050</x:v>
      </x:c>
      <x:c r="B54" s="17" t="str">
        <x:v>查询近期除权除息的股票、除权日和每股现金分红。</x:v>
      </x:c>
      <x:c r="C54" s="17" t="str">
        <x:v>stock</x:v>
      </x:c>
      <x:c r="D54" s="17" t="str">
        <x:v>stock.corporate_action</x:v>
      </x:c>
      <x:c r="E54" s="17" t="str"/>
      <x:c r="F54" s="17" t="str">
        <x:v>financial_qa_cc</x:v>
      </x:c>
      <x:c r="G54" s="17" t="str">
        <x:v>否</x:v>
      </x:c>
      <x:c r="H54" s="18" t="n">
        <x:v>27970.56</x:v>
      </x:c>
      <x:c r="I54" s="18" t="n">
        <x:f>IFERROR(H54/1000,"")</x:f>
        <x:v>27.970560000000003</x:v>
      </x:c>
      <x:c r="J54" s="17" t="n">
        <x:v>5</x:v>
      </x:c>
      <x:c r="K54" s="17" t="str">
        <x:v>成功</x:v>
      </x:c>
      <x:c r="L54" s="17" t="n">
        <x:v>3</x:v>
      </x:c>
      <x:c r="M54" s="17" t="n">
        <x:v>3</x:v>
      </x:c>
      <x:c r="N54" s="17" t="n">
        <x:v>0</x:v>
      </x:c>
      <x:c r="O54" s="17" t="n">
        <x:v>0</x:v>
      </x:c>
      <x:c r="P54" s="17" t="n">
        <x:v>0</x:v>
      </x:c>
      <x:c r="Q54" s="17" t="n">
        <x:v>0</x:v>
      </x:c>
      <x:c r="R54" s="19" t="n">
        <x:f>IFERROR((M54+N54)/L54,"")</x:f>
        <x:v>1</x:v>
      </x:c>
      <x:c r="S54" s="17" t="n">
        <x:v>0</x:v>
      </x:c>
      <x:c r="T54" s="17" t="n">
        <x:v>0</x:v>
      </x:c>
      <x:c r="U54" s="17" t="n">
        <x:v>18255</x:v>
      </x:c>
      <x:c r="V54" s="17" t="str">
        <x:v>部分正确</x:v>
      </x:c>
      <x:c r="W54" s="19" t="n">
        <x:v>1</x:v>
      </x:c>
      <x:c r="X54" s="17" t="str">
        <x:v>否</x:v>
      </x:c>
      <x:c r="Y54" s="17" t="str"/>
      <x:c r="Z54" s="17" t="str">
        <x:v>以下是近期（2026年7月1日以来）已公告分红方案的除权除息股票，共20只，按除权日降序排列：
**除权日 2026-08-10（即将除权）**
| 股票 | 每股现金分红（元） | 股权登记日 |
|------|:---:|:---:|
| 南华期货 | 0.069 | 08-07 |
| 粤高速A | 0.604 | 08-07 |
**除权日 2026-08-07**
| 股票 | 每股现金分红（元） | 股权登记日 |
|------|:---:|:---:|
| 新华保险 | **2.060** | 08-06 |
| 九号公司 | **1.239** | 08-06 |
| 海信视像 | 0.940 | 08-06 |
| 时代电气 | 0.680 | 08-06 |
| 粤高速A | 0.604 | 08-07 |
| 国投电力 | 0.508 | 08-06 |
| 广发证券 | 0.500 | 08-06 |
| 金钼股份 | 0.400 | 08-05 |
| 上汽集团 | 0.266 | 08-06 |
| 东吴证券 | 0.220 | 08-06 |
| 金风科技 | 0.200 | 08-06 |
| 青达环保 | 0.280 | 08-05 |
| 新集能源 | 0.120 | 08-06 |
| 华谊集团 | 0.110 | 08-06 |
| 泰山石油 | 0.086 | 08-06 |
| 铁建重工 | 0.084 | 08-06 |
| 南华期货 | 0.069 | 08-07 |
| 四川长虹 | 0.060 | 08-06 |
| 粤传媒 | 0.063 | 08-05 |
| 弘业期货 | 0.004 | 08-06 |
**要点：**
- 派息最慷慨的是 **新华保险**（2.06元/股）、**九号公司**（1.24元/股）和 **海信视像**（0.94元/股）。
- 本金分红较低的如弘业期货（0.004元/股）和南华期货（0.069元/股）。
- 除权日集中在 **8月6日～7日**，这两天是密集除权窗口；8月10日还有粤高速A和南华期货。若持有上述股票，登记日收盘前买入即可享有本次分红权益。</x:v>
      </x:c>
      <x:c r="AA54" s="17" t="str"/>
      <x:c r="AB54" s="17" t="n">
        <x:v>46235.83267805556</x:v>
      </x:c>
      <x:c r="AC54" s="17" t="n">
        <x:v>46235.833001782405</x:v>
      </x:c>
      <x:c r="AD54" s="17" t="str">
        <x:v>analysis.json</x:v>
      </x:c>
      <x:c r="AE54" s="18" t="n">
        <x:v>19883</x:v>
      </x:c>
      <x:c r="AF54" s="18" t="n">
        <x:v>8087.56</x:v>
      </x:c>
      <x:c r="AG54" s="18" t="n">
        <x:v>840.19</x:v>
      </x:c>
      <x:c r="AH54" s="18" t="n">
        <x:v>5441.11</x:v>
      </x:c>
      <x:c r="AI54" s="17" t="n">
        <x:v>5</x:v>
      </x:c>
      <x:c r="AJ54" s="17" t="n">
        <x:v>1</x:v>
      </x:c>
      <x:c r="AK54" s="19" t="n">
        <x:v>1</x:v>
      </x:c>
      <x:c r="AL54" s="19" t="n">
        <x:v>1</x:v>
      </x:c>
      <x:c r="AM54" s="19" t="n">
        <x:v>0</x:v>
      </x:c>
      <x:c r="AN54" s="17" t="str">
        <x:v>[
  "stock.corporate_action"
]</x:v>
      </x:c>
    </x:row>
    <x:row r="55" ht="58" customHeight="1">
      <x:c r="A55" s="17" t="str">
        <x:v>BUS051</x:v>
      </x:c>
      <x:c r="B55" s="17" t="str">
        <x:v>筛选现金分红总额最高的前20家公司。</x:v>
      </x:c>
      <x:c r="C55" s="17" t="str">
        <x:v>stock</x:v>
      </x:c>
      <x:c r="D55" s="17" t="str">
        <x:v>stock.corporate_action</x:v>
      </x:c>
      <x:c r="E55" s="17" t="str"/>
      <x:c r="F55" s="17" t="str">
        <x:v>financial_qa_cc</x:v>
      </x:c>
      <x:c r="G55" s="17" t="str">
        <x:v>否</x:v>
      </x:c>
      <x:c r="H55" s="18" t="n">
        <x:v>57215.41</x:v>
      </x:c>
      <x:c r="I55" s="18" t="n">
        <x:f>IFERROR(H55/1000,"")</x:f>
        <x:v>57.215410000000006</x:v>
      </x:c>
      <x:c r="J55" s="17" t="n">
        <x:v>12</x:v>
      </x:c>
      <x:c r="K55" s="17" t="str">
        <x:v>成功</x:v>
      </x:c>
      <x:c r="L55" s="17" t="n">
        <x:v>6</x:v>
      </x:c>
      <x:c r="M55" s="17" t="n">
        <x:v>6</x:v>
      </x:c>
      <x:c r="N55" s="17" t="n">
        <x:v>0</x:v>
      </x:c>
      <x:c r="O55" s="17" t="n">
        <x:v>0</x:v>
      </x:c>
      <x:c r="P55" s="17" t="n">
        <x:v>0</x:v>
      </x:c>
      <x:c r="Q55" s="17" t="n">
        <x:v>0</x:v>
      </x:c>
      <x:c r="R55" s="19" t="n">
        <x:f>IFERROR((M55+N55)/L55,"")</x:f>
        <x:v>1</x:v>
      </x:c>
      <x:c r="S55" s="17" t="n">
        <x:v>0</x:v>
      </x:c>
      <x:c r="T55" s="17" t="n">
        <x:v>0</x:v>
      </x:c>
      <x:c r="U55" s="17" t="n">
        <x:v>23449</x:v>
      </x:c>
      <x:c r="V55" s="17" t="str">
        <x:v>部分正确</x:v>
      </x:c>
      <x:c r="W55" s="19" t="n">
        <x:v>1</x:v>
      </x:c>
      <x:c r="X55" s="17" t="str">
        <x:v>否</x:v>
      </x:c>
      <x:c r="Y55" s="17" t="str"/>
      <x:c r="Z55" s="17" t="str">
        <x:v>以下是 **2025年年报（2025-12-31报告期）现金分红总额最高的前20家公司**，按分红金额从高到低排列：
| 排名 | 公司 | 代码 | 现金分红总额 | 每股分红（税前） |
|:---:|:---|:---:|---:|:---:|
| 1 | **工商银行** | 601398.SH | **455.4亿** | 0.169元 |
| 2 | **农业银行** | 601288.SH | **415.0亿** | 0.130元 |
| 3 | **中国石油** | 601857.SH | **404.8亿** | 0.250元 |
| 4 | **贵州茅台** | 600519.SH | **350.3亿** | 28.024元 |
| 5 | **宁德时代** | 300750.SZ | **304.5亿** | 6.957元 |
| 6 | **中国银行** | 601988.SH | **278.9亿** | 0.117元 |
| 7 | **美的集团** | 000333.SZ | **259.2亿** | 3.800元 |
| 8 | **招商银行** | 600036.SH | **206.9亿** | 1.003元 |
| 9 | **长江电力** | 600900.SH | **193.3亿** | 0.790元 |
| 10 | **中国神华** | 601088.SH | **188.6亿** | 1.030元 |
| 11 | **中国平安** | 601318.SH | **186.6亿** | 1.750元 |
| 12 | **浦发银行** | 600000.SH | **139.9亿** | 0.420元 |
| 13 | **工业富联** | 601138.SH | **129.0亿** | 0.650元 |
| 14 | **中国人寿** | 601628.SH | **128.7亿** | 0.618元 |
| 15 | **中国建筑** | 601668.SH | **112.3亿** | 0.272元 |
| 16 | **格力电器** | 000651.SZ | **111.7亿** | 2.000元 |
| 17 | **中国石化** | 600028.SH | **108.8亿** | 0.112元 |
| 18 | **兴业银行** | 601166.SH | **106.0亿** | 0.501元 |
| 19 | **五粮液** | 000858.SZ | **100.1亿** | 2.580元 |
| 20 | **邮储银行** | 601658.SH | **95.5亿** | 0.095元 |
**主要特征：**
- **银行股占据绝对主导**：前20中银行占了6家（工商银行、农业银行、中国银行、招商银行、浦发银行、兴业银行、邮储银行），且工商银行以455.4亿元高居榜首。
- **"两桶油"分红慷慨**：中国石油（404.8亿）和中国石化（108.8亿）双双上榜，中石油排名第3。
- **白酒龙头分红力度大**：贵州茅台每股分红高达28.024元，是榜单中每股分红最高的公司，总额350.3亿排第4；五粮液也以100.1亿排第19。
- **新能源龙头宁德时代**以304.5亿位列第5，体现了其强劲的盈利能力和股东回报意愿。
&gt; 数据口径：2025年年报（报告期截止日 2025-12-31）披露的现金分红方案，金额单位为人民币元。</x:v>
      </x:c>
      <x:c r="AA55" s="17" t="str"/>
      <x:c r="AB55" s="17" t="n">
        <x:v>46235.83298565972</x:v>
      </x:c>
      <x:c r="AC55" s="17" t="n">
        <x:v>46235.83364788195</x:v>
      </x:c>
      <x:c r="AD55" s="17" t="str">
        <x:v>analysis.json</x:v>
      </x:c>
      <x:c r="AE55" s="18" t="n">
        <x:v>49251</x:v>
      </x:c>
      <x:c r="AF55" s="18" t="n">
        <x:v>7964.41</x:v>
      </x:c>
      <x:c r="AG55" s="18" t="n">
        <x:v>821.49</x:v>
      </x:c>
      <x:c r="AH55" s="18" t="n">
        <x:v>5504.8</x:v>
      </x:c>
      <x:c r="AI55" s="17" t="n">
        <x:v>12</x:v>
      </x:c>
      <x:c r="AJ55" s="17" t="n">
        <x:v>1</x:v>
      </x:c>
      <x:c r="AK55" s="19" t="n">
        <x:v>1</x:v>
      </x:c>
      <x:c r="AL55" s="19" t="n">
        <x:v>1</x:v>
      </x:c>
      <x:c r="AM55" s="19" t="n">
        <x:v>0</x:v>
      </x:c>
      <x:c r="AN55" s="17" t="str">
        <x:v>[
  "stock.corporate_action"
]</x:v>
      </x:c>
    </x:row>
    <x:row r="56" ht="58" customHeight="1">
      <x:c r="A56" s="17" t="str">
        <x:v>BUS052</x:v>
      </x:c>
      <x:c r="B56" s="17" t="str">
        <x:v>查询未来30天有限售股解禁的股票和解禁数量。</x:v>
      </x:c>
      <x:c r="C56" s="17" t="str">
        <x:v>stock</x:v>
      </x:c>
      <x:c r="D56" s="17" t="str">
        <x:v>stock.corporate_action</x:v>
      </x:c>
      <x:c r="E56" s="17" t="str"/>
      <x:c r="F56" s="17" t="str">
        <x:v>financial_qa_cc</x:v>
      </x:c>
      <x:c r="G56" s="17" t="str">
        <x:v>否</x:v>
      </x:c>
      <x:c r="H56" s="18" t="n">
        <x:v>39871.72</x:v>
      </x:c>
      <x:c r="I56" s="18" t="n">
        <x:f>IFERROR(H56/1000,"")</x:f>
        <x:v>39.87172</x:v>
      </x:c>
      <x:c r="J56" s="17" t="n">
        <x:v>9</x:v>
      </x:c>
      <x:c r="K56" s="17" t="str">
        <x:v>成功</x:v>
      </x:c>
      <x:c r="L56" s="17" t="n">
        <x:v>4</x:v>
      </x:c>
      <x:c r="M56" s="17" t="n">
        <x:v>4</x:v>
      </x:c>
      <x:c r="N56" s="17" t="n">
        <x:v>0</x:v>
      </x:c>
      <x:c r="O56" s="17" t="n">
        <x:v>0</x:v>
      </x:c>
      <x:c r="P56" s="17" t="n">
        <x:v>0</x:v>
      </x:c>
      <x:c r="Q56" s="17" t="n">
        <x:v>0</x:v>
      </x:c>
      <x:c r="R56" s="19" t="n">
        <x:f>IFERROR((M56+N56)/L56,"")</x:f>
        <x:v>1</x:v>
      </x:c>
      <x:c r="S56" s="17" t="n">
        <x:v>0</x:v>
      </x:c>
      <x:c r="T56" s="17" t="n">
        <x:v>0</x:v>
      </x:c>
      <x:c r="U56" s="17" t="n">
        <x:v>16677</x:v>
      </x:c>
      <x:c r="V56" s="17" t="str">
        <x:v>部分正确</x:v>
      </x:c>
      <x:c r="W56" s="19" t="n">
        <x:v>1</x:v>
      </x:c>
      <x:c r="X56" s="17" t="str">
        <x:v>否</x:v>
      </x:c>
      <x:c r="Y56" s="17" t="str"/>
      <x:c r="Z56" s="17" t="str">
        <x:v>查询结果已返回，共涉及 **100 条限售股解禁记录**，时间跨度从 **2026-08-03 至 2026-08-06**（未来 30 天窗口内的数据）。以下是按股票汇总的概况：
---
### 主要解禁标的（按解禁日期排列）
**8月3日（周一）**
| 股票 | 代码 | 合计解禁数量 | 备注 |
|------|------|-------------|------|
| **锌业股份** | 000751.SZ | **2.06亿股** | 单一股东葫芦岛宏跃集团 |
| **浙江荣泰** | 603119.SH | **2.08亿股** | 主要为葛泰荣等个人股东 |
| **正虹科技** | 000702.SZ | **8,000万股** | 岳阳观盛投资 |
| **岱勒新材** | 300700.SZ | **7,532万股** | 湖南诚熙颐科技 |
| **步步高** | 002251.SZ | **7,000万股** | 外贸信托产品 |
| **北方国际** | 000065.SZ | **约9,006万股** | 诺德、财通基金等多家机构参与定增 |
| 楚天科技 | 300358.SZ | 356万股 | 个人股东 |
| 纬达光电/芭薇股份/曙光数创等 | 北交所 | 数百万股 | 多为小规模解禁 |
**8月4日（周二）**
| 股票 | 代码 | 合计解禁数量 | 备注 |
|------|------|-------------|------|
| **星湖科技** | 600866.SH | **4.06亿股** | 广新控股集团单一股东，规模最大 |
| **中贝通信** | 603220.SH | **约8,038万股** | 诺德、财通基金等多家定增机构 |
| **永创智能** | 603901.SH | **约2,586万股** | 多家私募及个人股东 |
**8月5日（周三）**
| 股票 | 代码 | 合计解禁数量 | 备注 |
|------|------|-------------|------|
| **科翔股份** | 300903.SZ | **约1,603万股** | 诺德基金等多家参与 |
| **北芯生命** | 688712.SH | **849万股** | 网下限售股份 |
| **奥浦迈** | 688293.SH | **332万股** | 多家创投机构 |
| 敷尔佳 | 301371.SZ | 12万股 | 个人小规模解禁 |
**8月6日（周四）**
| 股票 | 代码 | 合计解禁数量 | 备注 |
|------|------|-------------|------|
| **麦格米特** | 002851.SZ | **约2,968万股** | 易方达基金等多家机构 |
| **汉桑科技** | 301491.SZ | **约940万股** | 多家创投及战略配售 |
---
### 整体概况
- **单笔规模最大**：星湖科技（8月4日，4.06亿股，广新控股集团）；锌业股份（8月3日，2.06亿股）；浙江荣泰（8月3日，2.08亿股）
- **机构参与较密集的个股**：北方国际、中贝通信、永创智能、麦格米特、科翔股份——均为定增配售股份解禁，涉及多家基金和券商
- 其余多为首发原股东限售、网下配售限售或员工持股计划解禁，规模相对较小
&gt; ⚠️ 数据覆盖至 2026-08-06，共 100 条记录，后续日期的解禁信息在当前数据源中暂未返回。如需关注某只个股的详细解禁股东结构，可以进一步查询。</x:v>
      </x:c>
      <x:c r="AA56" s="17" t="str"/>
      <x:c r="AB56" s="17" t="n">
        <x:v>46235.833014675925</x:v>
      </x:c>
      <x:c r="AC56" s="17" t="n">
        <x:v>46235.83347615741</x:v>
      </x:c>
      <x:c r="AD56" s="17" t="str">
        <x:v>analysis.json</x:v>
      </x:c>
      <x:c r="AE56" s="18" t="n">
        <x:v>31896</x:v>
      </x:c>
      <x:c r="AF56" s="18" t="n">
        <x:v>7975.72</x:v>
      </x:c>
      <x:c r="AG56" s="18" t="n">
        <x:v>896.08</x:v>
      </x:c>
      <x:c r="AH56" s="18" t="n">
        <x:v>5767.26</x:v>
      </x:c>
      <x:c r="AI56" s="17" t="n">
        <x:v>9</x:v>
      </x:c>
      <x:c r="AJ56" s="17" t="n">
        <x:v>1</x:v>
      </x:c>
      <x:c r="AK56" s="19" t="n">
        <x:v>1</x:v>
      </x:c>
      <x:c r="AL56" s="19" t="n">
        <x:v>1</x:v>
      </x:c>
      <x:c r="AM56" s="19" t="n">
        <x:v>0</x:v>
      </x:c>
      <x:c r="AN56" s="17" t="str">
        <x:v>[
  "stock.corporate_action"
]</x:v>
      </x:c>
    </x:row>
    <x:row r="57" ht="58" customHeight="1">
      <x:c r="A57" s="17" t="str">
        <x:v>BUS053</x:v>
      </x:c>
      <x:c r="B57" s="17" t="str">
        <x:v>查询最近定增进展为已实施的公司、发行价格和募资金额。</x:v>
      </x:c>
      <x:c r="C57" s="17" t="str">
        <x:v>stock</x:v>
      </x:c>
      <x:c r="D57" s="17" t="str">
        <x:v>stock.corporate_action</x:v>
      </x:c>
      <x:c r="E57" s="17" t="str"/>
      <x:c r="F57" s="17" t="str">
        <x:v>free_chat</x:v>
      </x:c>
      <x:c r="G57" s="17" t="str">
        <x:v>是</x:v>
      </x:c>
      <x:c r="H57" s="18" t="n">
        <x:v>8180.91</x:v>
      </x:c>
      <x:c r="I57" s="18" t="n">
        <x:f>IFERROR(H57/1000,"")</x:f>
        <x:v>8.180909999999999</x:v>
      </x:c>
      <x:c r="J57" s="17"/>
      <x:c r="K57" s="17" t="str">
        <x:v>成功</x:v>
      </x:c>
      <x:c r="L57" s="17" t="n">
        <x:v>0</x:v>
      </x:c>
      <x:c r="M57" s="17" t="n">
        <x:v>0</x:v>
      </x:c>
      <x:c r="N57" s="17" t="n">
        <x:v>0</x:v>
      </x:c>
      <x:c r="O57" s="17" t="n">
        <x:v>0</x:v>
      </x:c>
      <x:c r="P57" s="17" t="n">
        <x:v>0</x:v>
      </x:c>
      <x:c r="Q57" s="17" t="n">
        <x:v>0</x:v>
      </x:c>
      <x:c r="R57" s="19" t="str">
        <x:f>IFERROR((M57+N57)/L57,"")</x:f>
      </x:c>
      <x:c r="S57" s="17" t="n">
        <x:v>0</x:v>
      </x:c>
      <x:c r="T57" s="17" t="n">
        <x:v>0</x:v>
      </x:c>
      <x:c r="U57" s="17" t="n">
        <x:v>1273</x:v>
      </x:c>
      <x:c r="V57" s="17" t="str">
        <x:v>错误</x:v>
      </x:c>
      <x:c r="W57" s="19" t="n">
        <x:v>0.7</x:v>
      </x:c>
      <x:c r="X57" s="17" t="str">
        <x:v>否</x:v>
      </x:c>
      <x:c r="Y57" s="17" t="str"/>
      <x:c r="Z57"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"clarify_68d03177096e49b5", "slot_hints": {"task_focus": "请说明你更想做个股深度分析，还是热点/概念追踪。"}, "context_summary": {"task_type": "", "code": "", "name": ""}}</x:v>
      </x:c>
      <x:c r="AA57" s="17" t="str"/>
      <x:c r="AB57" s="17" t="n">
        <x:v>46235.83348851852</x:v>
      </x:c>
      <x:c r="AC57" s="17" t="n">
        <x:v>46235.83358320602</x:v>
      </x:c>
      <x:c r="AD57" s="17" t="str">
        <x:v>analysis.json</x:v>
      </x:c>
      <x:c r="AE57" s="18"/>
      <x:c r="AF57" s="18"/>
      <x:c r="AG57" s="18" t="n">
        <x:v>844.67</x:v>
      </x:c>
      <x:c r="AH57" s="18"/>
      <x:c r="AI57" s="17"/>
      <x:c r="AJ57" s="17"/>
      <x:c r="AK57" s="19"/>
      <x:c r="AL57" s="19"/>
      <x:c r="AM57" s="19"/>
      <x:c r="AN57" s="17" t="str"/>
    </x:row>
    <x:row r="58" ht="58" customHeight="1">
      <x:c r="A58" s="17" t="str">
        <x:v>BUS054</x:v>
      </x:c>
      <x:c r="B58" s="17" t="str">
        <x:v>查询配股比例最高的股票及配股价格。</x:v>
      </x:c>
      <x:c r="C58" s="17" t="str">
        <x:v>stock</x:v>
      </x:c>
      <x:c r="D58" s="17" t="str">
        <x:v>stock.corporate_action</x:v>
      </x:c>
      <x:c r="E58" s="17" t="str"/>
      <x:c r="F58" s="17" t="str">
        <x:v>financial_qa_cc</x:v>
      </x:c>
      <x:c r="G58" s="17" t="str">
        <x:v>否</x:v>
      </x:c>
      <x:c r="H58" s="18" t="n">
        <x:v>27091.25</x:v>
      </x:c>
      <x:c r="I58" s="18" t="n">
        <x:f>IFERROR(H58/1000,"")</x:f>
        <x:v>27.09125</x:v>
      </x:c>
      <x:c r="J58" s="17" t="n">
        <x:v>7</x:v>
      </x:c>
      <x:c r="K58" s="17" t="str">
        <x:v>成功</x:v>
      </x:c>
      <x:c r="L58" s="17" t="n">
        <x:v>3</x:v>
      </x:c>
      <x:c r="M58" s="17" t="n">
        <x:v>3</x:v>
      </x:c>
      <x:c r="N58" s="17" t="n">
        <x:v>0</x:v>
      </x:c>
      <x:c r="O58" s="17" t="n">
        <x:v>0</x:v>
      </x:c>
      <x:c r="P58" s="17" t="n">
        <x:v>0</x:v>
      </x:c>
      <x:c r="Q58" s="17" t="n">
        <x:v>0</x:v>
      </x:c>
      <x:c r="R58" s="19" t="n">
        <x:f>IFERROR((M58+N58)/L58,"")</x:f>
        <x:v>1</x:v>
      </x:c>
      <x:c r="S58" s="17" t="n">
        <x:v>0</x:v>
      </x:c>
      <x:c r="T58" s="17" t="n">
        <x:v>0</x:v>
      </x:c>
      <x:c r="U58" s="17" t="n">
        <x:v>8920</x:v>
      </x:c>
      <x:c r="V58" s="17" t="str">
        <x:v>正确</x:v>
      </x:c>
      <x:c r="W58" s="19" t="n">
        <x:v>0.95</x:v>
      </x:c>
      <x:c r="X58" s="17" t="str">
        <x:v>否</x:v>
      </x:c>
      <x:c r="Y58" s="17" t="str"/>
      <x:c r="Z58" s="17" t="str">
        <x:v>根据查询结果，**配股比例最高为 0.7（即10配7）**，共有两只股票达到这一比例：
| 股票 | 代码 | 配股比例 | 配股价格 | 公告日期 | 进度 |
|------|------|---------|---------|---------|------|
| **天下秀** | 600556.SH | 10配7（0.7） | **6.37 元/股** | 2004-09-09 | 已实施 |
| **ST平能** | 000780.SZ | 10配7（0.7） | **6.43 元/股** | 2002-12-20 | 已实施 |
两只股票的配股事项均为历史事件（均已实施完毕），时间较早，属于早期资本市场的高比例配股案例。
配股比例次高的（0.6，即10配6）还有：
- **方正科技**（600601.SH）— 配股价 5.58 元/股，2003年实施
- ***ST美丽**（000010.SZ）— 配股价 2.50 元/股，1995年实施
- **退市富控**（600634.SH）— 配股价 3.30 元/股，1994年实施
整体来看，配股比例 0.7 是 A 股历史上配股方案中较常见的最高一档，但相关案例时间较早，近年已较少见如此高比例的配股方案。</x:v>
      </x:c>
      <x:c r="AA58" s="17" t="str"/>
      <x:c r="AB58" s="17" t="n">
        <x:v>46235.83359712963</x:v>
      </x:c>
      <x:c r="AC58" s="17" t="n">
        <x:v>46235.83391068287</x:v>
      </x:c>
      <x:c r="AD58" s="17" t="str">
        <x:v>analysis.json</x:v>
      </x:c>
      <x:c r="AE58" s="18" t="n">
        <x:v>18943</x:v>
      </x:c>
      <x:c r="AF58" s="18" t="n">
        <x:v>8148.25</x:v>
      </x:c>
      <x:c r="AG58" s="18" t="n">
        <x:v>775.5</x:v>
      </x:c>
      <x:c r="AH58" s="18" t="n">
        <x:v>5825.93</x:v>
      </x:c>
      <x:c r="AI58" s="17" t="n">
        <x:v>7</x:v>
      </x:c>
      <x:c r="AJ58" s="17" t="n">
        <x:v>1</x:v>
      </x:c>
      <x:c r="AK58" s="19" t="n">
        <x:v>1</x:v>
      </x:c>
      <x:c r="AL58" s="19" t="n">
        <x:v>1</x:v>
      </x:c>
      <x:c r="AM58" s="19" t="n">
        <x:v>0</x:v>
      </x:c>
      <x:c r="AN58" s="17" t="str">
        <x:v>[
  "stock.corporate_action"
]</x:v>
      </x:c>
    </x:row>
    <x:row r="59" ht="58" customHeight="1">
      <x:c r="A59" s="17" t="str">
        <x:v>BUS055</x:v>
      </x:c>
      <x:c r="B59" s="17" t="str">
        <x:v>查询宁德时代最新业绩预告类型、预告摘要和公告日期。</x:v>
      </x:c>
      <x:c r="C59" s="17" t="str">
        <x:v>stock</x:v>
      </x:c>
      <x:c r="D59" s="17" t="str">
        <x:v>stock.performance_notice</x:v>
      </x:c>
      <x:c r="E59" s="17" t="str"/>
      <x:c r="F59" s="17" t="str">
        <x:v>financial_qa_cc</x:v>
      </x:c>
      <x:c r="G59" s="17" t="str">
        <x:v>否</x:v>
      </x:c>
      <x:c r="H59" s="18" t="n">
        <x:v>17463.49</x:v>
      </x:c>
      <x:c r="I59" s="18" t="n">
        <x:f>IFERROR(H59/1000,"")</x:f>
        <x:v>17.46349</x:v>
      </x:c>
      <x:c r="J59" s="17" t="n">
        <x:v>5</x:v>
      </x:c>
      <x:c r="K59" s="17" t="str">
        <x:v>成功</x:v>
      </x:c>
      <x:c r="L59" s="17" t="n">
        <x:v>2</x:v>
      </x:c>
      <x:c r="M59" s="17" t="n">
        <x:v>2</x:v>
      </x:c>
      <x:c r="N59" s="17" t="n">
        <x:v>0</x:v>
      </x:c>
      <x:c r="O59" s="17" t="n">
        <x:v>0</x:v>
      </x:c>
      <x:c r="P59" s="17" t="n">
        <x:v>0</x:v>
      </x:c>
      <x:c r="Q59" s="17" t="n">
        <x:v>0</x:v>
      </x:c>
      <x:c r="R59" s="19" t="n">
        <x:f>IFERROR((M59+N59)/L59,"")</x:f>
        <x:v>1</x:v>
      </x:c>
      <x:c r="S59" s="17" t="n">
        <x:v>0</x:v>
      </x:c>
      <x:c r="T59" s="17" t="n">
        <x:v>0</x:v>
      </x:c>
      <x:c r="U59" s="17" t="n">
        <x:v>13924</x:v>
      </x:c>
      <x:c r="V59" s="17" t="str">
        <x:v>正确</x:v>
      </x:c>
      <x:c r="W59" s="19" t="n">
        <x:v>1</x:v>
      </x:c>
      <x:c r="X59" s="17" t="str">
        <x:v>否</x:v>
      </x:c>
      <x:c r="Y59" s="17" t="str"/>
      <x:c r="Z59" s="17" t="str">
        <x:v>宁德时代（300750.SZ）最新业绩预告如下：
**公告日期**：2025-01-21（对应2024年年度报告期）
**预告类型**：业绩预增
**预告摘要**：预计2024年归属于母公司股东的净利润为 **490亿元至530亿元**，同比增长 **11.06%～20.12%**。上年同期净利润为441.21亿元。
**业绩变动主要原因**：电池产品销量持续增长，但碳酸锂等原材料价格下降导致产品价格相应调整，营业收入同比有所下降；利润实现增长主要得益于技术研发能力与产品竞争力持续增强，新产品、新技术不断推出，在不同市场领域均取得良好表现。</x:v>
      </x:c>
      <x:c r="AA59" s="17" t="str"/>
      <x:c r="AB59" s="17" t="n">
        <x:v>46235.833664212965</x:v>
      </x:c>
      <x:c r="AC59" s="17" t="n">
        <x:v>46235.83386634259</x:v>
      </x:c>
      <x:c r="AD59" s="17" t="str">
        <x:v>analysis.json</x:v>
      </x:c>
      <x:c r="AE59" s="18" t="n">
        <x:v>9813</x:v>
      </x:c>
      <x:c r="AF59" s="18" t="n">
        <x:v>7650.49</x:v>
      </x:c>
      <x:c r="AG59" s="18" t="n">
        <x:v>814.99</x:v>
      </x:c>
      <x:c r="AH59" s="18" t="n">
        <x:v>5168.55</x:v>
      </x:c>
      <x:c r="AI59" s="17" t="n">
        <x:v>5</x:v>
      </x:c>
      <x:c r="AJ59" s="17" t="n">
        <x:v>1</x:v>
      </x:c>
      <x:c r="AK59" s="19" t="n">
        <x:v>1</x:v>
      </x:c>
      <x:c r="AL59" s="19" t="n">
        <x:v>1</x:v>
      </x:c>
      <x:c r="AM59" s="19" t="n">
        <x:v>0</x:v>
      </x:c>
      <x:c r="AN59" s="17" t="str">
        <x:v>[
  "stock.performance_notice"
]</x:v>
      </x:c>
    </x:row>
    <x:row r="60" ht="58" customHeight="1">
      <x:c r="A60" s="17" t="str">
        <x:v>BUS056</x:v>
      </x:c>
      <x:c r="B60" s="17" t="str">
        <x:v>筛选最新业绩预告为预增的公司。</x:v>
      </x:c>
      <x:c r="C60" s="17" t="str">
        <x:v>stock</x:v>
      </x:c>
      <x:c r="D60" s="17" t="str">
        <x:v>stock.performance_notice</x:v>
      </x:c>
      <x:c r="E60" s="17" t="str"/>
      <x:c r="F60" s="17" t="str">
        <x:v>financial_qa_cc</x:v>
      </x:c>
      <x:c r="G60" s="17" t="str">
        <x:v>否</x:v>
      </x:c>
      <x:c r="H60" s="18" t="n">
        <x:v>40897.32</x:v>
      </x:c>
      <x:c r="I60" s="18" t="n">
        <x:f>IFERROR(H60/1000,"")</x:f>
        <x:v>40.89732</x:v>
      </x:c>
      <x:c r="J60" s="17" t="n">
        <x:v>9</x:v>
      </x:c>
      <x:c r="K60" s="17" t="str">
        <x:v>成功</x:v>
      </x:c>
      <x:c r="L60" s="17" t="n">
        <x:v>3</x:v>
      </x:c>
      <x:c r="M60" s="17" t="n">
        <x:v>3</x:v>
      </x:c>
      <x:c r="N60" s="17" t="n">
        <x:v>0</x:v>
      </x:c>
      <x:c r="O60" s="17" t="n">
        <x:v>0</x:v>
      </x:c>
      <x:c r="P60" s="17" t="n">
        <x:v>0</x:v>
      </x:c>
      <x:c r="Q60" s="17" t="n">
        <x:v>0</x:v>
      </x:c>
      <x:c r="R60" s="19" t="n">
        <x:f>IFERROR((M60+N60)/L60,"")</x:f>
        <x:v>1</x:v>
      </x:c>
      <x:c r="S60" s="17" t="n">
        <x:v>0</x:v>
      </x:c>
      <x:c r="T60" s="17" t="n">
        <x:v>0</x:v>
      </x:c>
      <x:c r="U60" s="17" t="n">
        <x:v>21873</x:v>
      </x:c>
      <x:c r="V60" s="17" t="str">
        <x:v>部分正确</x:v>
      </x:c>
      <x:c r="W60" s="19" t="n">
        <x:v>0.9</x:v>
      </x:c>
      <x:c r="X60" s="17" t="str">
        <x:v>否</x:v>
      </x:c>
      <x:c r="Y60" s="17" t="str"/>
      <x:c r="Z60" s="17" t="str">
        <x:v>以下是截至 **2026年8月2日**，最新发布业绩预告为**预增**的公司，共 **50家**，全部为 **2026年半年度（2026-06-30）** 报告期。按公告日期从近到远排列：
| 公司 | 代码 | 公告日期 | 净利润变动区间 |
|------|------|---------|--------------|
| 全聚德 | 002186.SZ | 07-25 | +3.39% ~ +25.20% |
| 东风股份 | 600006.SH | 07-24 | +23.45% ~ +33.74% |
| 海达股份 | 300320.SZ | 07-24 | +20% ~ +30% |
| 晶晨股份 | 688099.SH | 07-24 | +22.44% |
| 优利德 | 688628.SH | 07-23 | +42.82% |
| 腾景科技 | 688195.SH | 07-22 | +31.19% ~ +42.12% |
| 煌上煌 | 002695.SZ | 07-22 | +10.50% ~ +19.60% |
| 上港集团 | 600018.SH | 07-21 | +5.35% |
| 晶华新材 | 603683.SH | 07-21 | +16.79% ~ +35.37% |
| 纳睿雷达 | 688522.SH | 07-21 | +8.75% |
| 华特气体 | 688268.SH | 07-21 | +19.36% |
| 璞泰来 | 603659.SH | 07-20 | +32.66% ~ +42.14% |
| 菲利华 | 300395.SZ | 07-20 | +21.78% ~ +39.82% |
| 扬杰科技 | 300373.SZ | 07-20 | +20% ~ +40% |
| 传音控股 | 688036.SH | 07-20 | +44.82% |
| 特锐德 | 300001.SZ | 07-20 | +20% ~ +40% |
| 金禄电子 | 301282.SZ | 07-20 | +5.04% ~ +14.59% |
| 立中集团 | 300428.SZ | 07-18 | +34.57% ~ +45.78% |
| 天孚通信 | 300394.SZ | 07-18 | +25% ~ +45% |
| 厦门象屿 | 600057.SH | 07-17 | +1% ~ +5% |
| 艾力斯 | 688578.SH | 07-17 | +46.49% |
| 千岸科技 | 920065.BJ | 07-16 | -4.49% ~ +0.72% |
| 思特威 | 688213.SH | 07-16 | +29% ~ +34% |
| 锡业股份 | 000960.SZ | 07-15 | +38.43% ~ +47.85% |
| 孩子王 | 301078.SZ | 07-15 | +10% ~ +30% |
| 厦门港务 | 000905.SZ | 07-15 | -8.71% ~ +2.09% |
| 中国神华 | 601088.SH | 07-15 | -4.70% ~ +8% |
| 岭南控股 | 000524.SZ | 07-15 | +11.05% ~ +25.19% |
| 天奥电子 | 002935.SZ | 07-15 | +6.60% ~ +18.64% |
| 中水渔业 | 000798.SZ | 07-15 | +10.07% ~ +21.65% |
| 恒生电子 | 600570.SH | 07-15 | +0.69% |
| 建发致新 | 301584.SZ | 07-15 | +2.16% ~ +16.76% |
| 神通科技 | 605228.SH | 07-15 | +40.02% ~ +47.80% |
| 英联股份 | 002846.SZ | 07-15 | +27.10% ~ +39.01% |
| 仙坛股份 | 002746.SZ | 07-14 | +24.33% ~ +32.37% |
| 广电计量 | 002967.SZ | 07-14 | +18.17% ~ +28.45% |
| 亿联网络 | 300628.SZ | 07-14 | +20% ~ +24% |
| 康龙化成 | 300759.SZ | 07-13 | +4% ~ +10% |
| 珠江啤酒 | 002461.SZ | 07-11 | +5% ~ +15% |
| 艾迪精密 | 603638.SH | 07-10 | +44.02% ~ +48.80% |
| 甘肃能源 | 000791.SZ | 07-10 | +0.03% ~ +2.45</x:v>
      </x:c>
      <x:c r="AA60" s="17" t="str"/>
      <x:c r="AB60" s="17" t="n">
        <x:v>46235.833883101855</x:v>
      </x:c>
      <x:c r="AC60" s="17" t="n">
        <x:v>46235.834356458334</x:v>
      </x:c>
      <x:c r="AD60" s="17" t="str">
        <x:v>analysis.json</x:v>
      </x:c>
      <x:c r="AE60" s="18" t="n">
        <x:v>32954</x:v>
      </x:c>
      <x:c r="AF60" s="18" t="n">
        <x:v>7943.32</x:v>
      </x:c>
      <x:c r="AG60" s="18" t="n">
        <x:v>769.49</x:v>
      </x:c>
      <x:c r="AH60" s="18" t="n">
        <x:v>5322.27</x:v>
      </x:c>
      <x:c r="AI60" s="17" t="n">
        <x:v>9</x:v>
      </x:c>
      <x:c r="AJ60" s="17" t="n">
        <x:v>1</x:v>
      </x:c>
      <x:c r="AK60" s="19" t="n">
        <x:v>1</x:v>
      </x:c>
      <x:c r="AL60" s="19" t="n">
        <x:v>1</x:v>
      </x:c>
      <x:c r="AM60" s="19" t="n">
        <x:v>0</x:v>
      </x:c>
      <x:c r="AN60" s="17" t="str">
        <x:v>[
  "stock.performance_notice"
]</x:v>
      </x:c>
    </x:row>
    <x:row r="61" ht="58" customHeight="1">
      <x:c r="A61" s="17" t="str">
        <x:v>BUS057</x:v>
      </x:c>
      <x:c r="B61" s="17" t="str">
        <x:v>最新业绩预告净利润同比上限最高的前20家公司。</x:v>
      </x:c>
      <x:c r="C61" s="17" t="str">
        <x:v>stock</x:v>
      </x:c>
      <x:c r="D61" s="17" t="str">
        <x:v>stock.performance_notice</x:v>
      </x:c>
      <x:c r="E61" s="17" t="str"/>
      <x:c r="F61" s="17" t="str">
        <x:v>financial_qa_cc</x:v>
      </x:c>
      <x:c r="G61" s="17" t="str">
        <x:v>否</x:v>
      </x:c>
      <x:c r="H61" s="18" t="n">
        <x:v>40586.13</x:v>
      </x:c>
      <x:c r="I61" s="18" t="n">
        <x:f>IFERROR(H61/1000,"")</x:f>
        <x:v>40.58613</x:v>
      </x:c>
      <x:c r="J61" s="17" t="n">
        <x:v>8</x:v>
      </x:c>
      <x:c r="K61" s="17" t="str">
        <x:v>成功</x:v>
      </x:c>
      <x:c r="L61" s="17" t="n">
        <x:v>3</x:v>
      </x:c>
      <x:c r="M61" s="17" t="n">
        <x:v>3</x:v>
      </x:c>
      <x:c r="N61" s="17" t="n">
        <x:v>0</x:v>
      </x:c>
      <x:c r="O61" s="17" t="n">
        <x:v>0</x:v>
      </x:c>
      <x:c r="P61" s="17" t="n">
        <x:v>0</x:v>
      </x:c>
      <x:c r="Q61" s="17" t="n">
        <x:v>0</x:v>
      </x:c>
      <x:c r="R61" s="19" t="n">
        <x:f>IFERROR((M61+N61)/L61,"")</x:f>
        <x:v>1</x:v>
      </x:c>
      <x:c r="S61" s="17" t="n">
        <x:v>0</x:v>
      </x:c>
      <x:c r="T61" s="17" t="n">
        <x:v>0</x:v>
      </x:c>
      <x:c r="U61" s="17" t="n">
        <x:v>19697</x:v>
      </x:c>
      <x:c r="V61" s="17" t="str">
        <x:v>错误</x:v>
      </x:c>
      <x:c r="W61" s="19" t="n">
        <x:v>1</x:v>
      </x:c>
      <x:c r="X61" s="17" t="str">
        <x:v>否</x:v>
      </x:c>
      <x:c r="Y61" s="17" t="str"/>
      <x:c r="Z61" s="17" t="str">
        <x:v>以下是2026年中期（2026-06-30报告期）最新业绩预告中，**净利润同比变动上限最高**的前20家公司：
**Top 5 增幅最大：**
1. **中红医疗**（300981.SZ）— 净利润同比上限 **+3,557%**，预告净利润1.4亿~2.1亿元，业绩大幅上升，7月29日披露
2. **富瀚微**（300613.SZ）— 净利润同比上限 **+1,420.19%**，预告净利润2.7亿~3.5亿元，业绩大幅上升，7月31日披露
3. **并行科技**（920493.BJ）— 净利润同比上限 **+845.14%**，预告净利润4,000万~4,800万元，业绩大幅上升，7月28日披露
4. **福立旺**（688678.SH）— 净利润同比上限 **+489%**，预告净利润约6,900万元，预计扭亏，7月30日披露
5. **金山办公**（688111.SH）— 净利润同比上限 **+263.89%**，预告净利润23.16亿~27.19亿元，业绩大幅上升，7月29日披露
**第6~10名：**
6. **壹石通**（688733.SH）— 同比上限 +180.08%，预计扭亏（950~1,400万元）
7. **江苏北人**（688218.SH）— 同比上限 +166.71%，预计扭亏（约1,582万元）
8. **聚辰股份**（688123.SH）— 同比上限 +156.07%，净利润约5.25亿元，业绩大幅上升
9. ***ST京化**（600889.SH）— 同比上限 +153.97%，预计扭亏（4,000~4,800万元）
10. **海昌智能**（920156.BJ）— 同比上限 +130.14%，净利润1.2亿~1.4亿元，业绩大幅上升
**第11~15名：**
11. **海博思创**（688411.SH）— +121.63%，净利润6.2亿~7亿元
12. **大烨智能**（300670.SZ）— +120.82%，预计扭亏（600~900万元）
13. **华曙高科**（688433.SH）— +87.09%，净利润约843万元
14. **康农种业**（920403.BJ）— +84.15%，净利润1,400~1,600万元
15. **三未信安**（688489.SH）— +57.25%，预计减亏（-1,256万元）
**第16~20名：**（同比上限为负值，但按排序仍在前20内）
16. **双林股份**（300100.SZ）— -61.7%
17. **新天科技**（300259.SZ）— -69.58%
18. **百奥泰**（688177.SH）— -84.1%
19. **天微电子**（688511.SH）— -94.12%
20. **景业智能**（688290.SH）— -511.13%
前5名中，**中红医疗**和**富瀚微**的净利润同比增幅上限均超过1,000%，远超其他公司，主要受益于各自行业景气度回升和低基数效应。整体来看，业绩大幅上升类型占比最高，榜单中也有多家公司属于扭亏为盈，反映2026年上半年不少企业盈利改善明显。</x:v>
      </x:c>
      <x:c r="AA61" s="17" t="str"/>
      <x:c r="AB61" s="17" t="n">
        <x:v>46235.83392402778</x:v>
      </x:c>
      <x:c r="AC61" s="17" t="n">
        <x:v>46235.834393784724</x:v>
      </x:c>
      <x:c r="AD61" s="17" t="str">
        <x:v>analysis.json</x:v>
      </x:c>
      <x:c r="AE61" s="18" t="n">
        <x:v>31610</x:v>
      </x:c>
      <x:c r="AF61" s="18" t="n">
        <x:v>8976.13</x:v>
      </x:c>
      <x:c r="AG61" s="18" t="n">
        <x:v>712.36</x:v>
      </x:c>
      <x:c r="AH61" s="18" t="n">
        <x:v>5343.41</x:v>
      </x:c>
      <x:c r="AI61" s="17" t="n">
        <x:v>8</x:v>
      </x:c>
      <x:c r="AJ61" s="17" t="n">
        <x:v>1</x:v>
      </x:c>
      <x:c r="AK61" s="19" t="n">
        <x:v>1</x:v>
      </x:c>
      <x:c r="AL61" s="19" t="n">
        <x:v>1</x:v>
      </x:c>
      <x:c r="AM61" s="19" t="n">
        <x:v>0</x:v>
      </x:c>
      <x:c r="AN61" s="17" t="str">
        <x:v>[
  "stock.performance_notice"
]</x:v>
      </x:c>
    </x:row>
    <x:row r="62" ht="58" customHeight="1">
      <x:c r="A62" s="17" t="str">
        <x:v>BUS058</x:v>
      </x:c>
      <x:c r="B62" s="17" t="str">
        <x:v>筛选最新业绩预告为亏损或预减的公司。</x:v>
      </x:c>
      <x:c r="C62" s="17" t="str">
        <x:v>stock</x:v>
      </x:c>
      <x:c r="D62" s="17" t="str">
        <x:v>stock.performance_notice</x:v>
      </x:c>
      <x:c r="E62" s="17" t="str"/>
      <x:c r="F62" s="17" t="str">
        <x:v>financial_qa_cc</x:v>
      </x:c>
      <x:c r="G62" s="17" t="str">
        <x:v>否</x:v>
      </x:c>
      <x:c r="H62" s="18" t="n">
        <x:v>83507.85</x:v>
      </x:c>
      <x:c r="I62" s="18" t="n">
        <x:f>IFERROR(H62/1000,"")</x:f>
        <x:v>83.50785</x:v>
      </x:c>
      <x:c r="J62" s="17" t="n">
        <x:v>19</x:v>
      </x:c>
      <x:c r="K62" s="17" t="str">
        <x:v>成功</x:v>
      </x:c>
      <x:c r="L62" s="17" t="n">
        <x:v>8</x:v>
      </x:c>
      <x:c r="M62" s="17" t="n">
        <x:v>8</x:v>
      </x:c>
      <x:c r="N62" s="17" t="n">
        <x:v>0</x:v>
      </x:c>
      <x:c r="O62" s="17" t="n">
        <x:v>0</x:v>
      </x:c>
      <x:c r="P62" s="17" t="n">
        <x:v>0</x:v>
      </x:c>
      <x:c r="Q62" s="17" t="n">
        <x:v>0</x:v>
      </x:c>
      <x:c r="R62" s="19" t="n">
        <x:f>IFERROR((M62+N62)/L62,"")</x:f>
        <x:v>1</x:v>
      </x:c>
      <x:c r="S62" s="17" t="n">
        <x:v>0</x:v>
      </x:c>
      <x:c r="T62" s="17" t="n">
        <x:v>0</x:v>
      </x:c>
      <x:c r="U62" s="17" t="n">
        <x:v>51626</x:v>
      </x:c>
      <x:c r="V62" s="17" t="str">
        <x:v>部分正确</x:v>
      </x:c>
      <x:c r="W62" s="19" t="n">
        <x:v>0.95</x:v>
      </x:c>
      <x:c r="X62" s="17" t="str">
        <x:v>否</x:v>
      </x:c>
      <x:c r="Y62" s="17" t="str"/>
      <x:c r="Z62" s="17" t="str">
        <x:v>以下是截至 **2026年8月2日**，**2026年中报（报告期2026-06-30）**最新业绩预告为亏损或预减的公司名单：
---
## 一、亏损（业绩预亏/预计增亏）— 共44家
**业绩预亏：** 太极股份、东瑞股份、海格通信、元祖股份、ST葫芦娃、兰石重装、绿能慧充、爱仕达、长鸿高科、辽宁能源、ST麦趣、安阳钢铁、凤凰股份、*ST春天、华发股份、*ST瑞茂、金能科技、威帝股份、粤电力A、合肥城建、文灿股份、*ST威领、新五丰、厦工股份、山鹰国际、广电电气、*ST联翔、ST龙元、中农联合、富煌钢构、联创电子、春光科技、赛福天、梦网科技、栖霞建设等
**预计增亏（亏损扩大）：** 罗牛山、欢瑞世纪、唐人神、金新农、*ST发展、*ST集友
&gt; 亏损幅度最大的包括：**东瑞股份**（净利下降约139倍）、**太极股份**（净亏损3~4.2亿元）、**海格通信**（净亏损1.5~1.95亿元）、**华发股份**（净亏损30~40亿元）、**辽宁能源**（净亏损3.6~5.4亿元）
---
## 二、预减（业绩预降）— 共15家
| 公司 | 净利润变动 | 预告摘要 |
|------|-----------|---------|
| 哈尔斯 | -49.65%~-39.79% | 归母净利润4600~5500万元 |
| 航天智造 | -45%~-30% | 归母净利润2.15~2.74亿元 |
| 川金诺 | -38.03%~-26.76% | 归母净利润1.1~1.3亿元 |
| 锦浪科技 | -31.91%~-23.61% | 归母净利润4.1~4.6亿元 |
| 华润新能源 | -29.81%~-19.18% | 归母净利润33~38亿元 |
| 硕贝德 | -28.42%~-19.48% | 归母净利润2400~2700万元 |
| 光启技术 | -24.30%~-5.64% | 归母净利润2.92~3.64亿元 |
| 金宏气体 | -24.11%~-9.27% | 归母净利润6238~7458万元 |
| 晨光生物 | -17.66%~-11.62% | 归母净利润1.77~1.9亿元 |
| 惠科股份 | -14.42%~-5.17% | 归母净利润18.5~20.5亿元 |
| 彩客科技 | -14.39%~-3.97% | 归母净利润7400~8300万元 |
| 永大股份 | -14.35%~-1.19% | 归母净利润6103~7040万元 |
| 电投产融 | -13.71%~-6.09% | 归母净利润17~18.5亿元 |
| 维通利 | -12.90%~-6.42% | 归母净利润1.21~1.3亿元 |
| 红旗连锁 | -5.27%~-2.06% | 归母净利润2.66~2.75亿元 |
---
**合计：** 最新中报业绩预告披露中，**亏损类公司约44家**（含预亏和增亏），**预降类公司15家**，合计约59家公司业绩预告为亏损或预减。
&gt; 数据口径：报告期 = 2026-06-30（2026年中报），业绩预告类型 = 业绩预亏/预计增亏/业绩预降。净利润变动幅度为同比变化。</x:v>
      </x:c>
      <x:c r="AA62" s="17" t="str"/>
      <x:c r="AB62" s="17" t="n">
        <x:v>46235.83437471065</x:v>
      </x:c>
      <x:c r="AC62" s="17" t="n">
        <x:v>46235.83534125</x:v>
      </x:c>
      <x:c r="AD62" s="17" t="str">
        <x:v>analysis.json</x:v>
      </x:c>
      <x:c r="AE62" s="18" t="n">
        <x:v>73636</x:v>
      </x:c>
      <x:c r="AF62" s="18" t="n">
        <x:v>9871.85</x:v>
      </x:c>
      <x:c r="AG62" s="18" t="n">
        <x:v>855.63</x:v>
      </x:c>
      <x:c r="AH62" s="18" t="n">
        <x:v>5802.76</x:v>
      </x:c>
      <x:c r="AI62" s="17" t="n">
        <x:v>19</x:v>
      </x:c>
      <x:c r="AJ62" s="17" t="n">
        <x:v>1</x:v>
      </x:c>
      <x:c r="AK62" s="19" t="n">
        <x:v>1</x:v>
      </x:c>
      <x:c r="AL62" s="19" t="n">
        <x:v>1</x:v>
      </x:c>
      <x:c r="AM62" s="19" t="n">
        <x:v>0</x:v>
      </x:c>
      <x:c r="AN62" s="17" t="str">
        <x:v>[
  "stock.performance_notice"
]</x:v>
      </x:c>
    </x:row>
    <x:row r="63" ht="58" customHeight="1">
      <x:c r="A63" s="17" t="str">
        <x:v>BUS059</x:v>
      </x:c>
      <x:c r="B63" s="17" t="str">
        <x:v>查询贵州茅台最近一次业绩预告的净利润区间。</x:v>
      </x:c>
      <x:c r="C63" s="17" t="str">
        <x:v>stock</x:v>
      </x:c>
      <x:c r="D63" s="17" t="str">
        <x:v>stock.performance_notice</x:v>
      </x:c>
      <x:c r="E63" s="17" t="str"/>
      <x:c r="F63" s="17" t="str">
        <x:v>financial_qa_cc</x:v>
      </x:c>
      <x:c r="G63" s="17" t="str">
        <x:v>否</x:v>
      </x:c>
      <x:c r="H63" s="18" t="n">
        <x:v>18349.07</x:v>
      </x:c>
      <x:c r="I63" s="18" t="n">
        <x:f>IFERROR(H63/1000,"")</x:f>
        <x:v>18.34907</x:v>
      </x:c>
      <x:c r="J63" s="17" t="n">
        <x:v>5</x:v>
      </x:c>
      <x:c r="K63" s="17" t="str">
        <x:v>成功</x:v>
      </x:c>
      <x:c r="L63" s="17" t="n">
        <x:v>2</x:v>
      </x:c>
      <x:c r="M63" s="17" t="n">
        <x:v>2</x:v>
      </x:c>
      <x:c r="N63" s="17" t="n">
        <x:v>0</x:v>
      </x:c>
      <x:c r="O63" s="17" t="n">
        <x:v>0</x:v>
      </x:c>
      <x:c r="P63" s="17" t="n">
        <x:v>0</x:v>
      </x:c>
      <x:c r="Q63" s="17" t="n">
        <x:v>0</x:v>
      </x:c>
      <x:c r="R63" s="19" t="n">
        <x:f>IFERROR((M63+N63)/L63,"")</x:f>
        <x:v>1</x:v>
      </x:c>
      <x:c r="S63" s="17" t="n">
        <x:v>0</x:v>
      </x:c>
      <x:c r="T63" s="17" t="n">
        <x:v>0</x:v>
      </x:c>
      <x:c r="U63" s="17" t="n">
        <x:v>13009</x:v>
      </x:c>
      <x:c r="V63" s="17" t="str">
        <x:v>正确</x:v>
      </x:c>
      <x:c r="W63" s="19" t="n">
        <x:v>1</x:v>
      </x:c>
      <x:c r="X63" s="17" t="str">
        <x:v>否</x:v>
      </x:c>
      <x:c r="Y63" s="17" t="str"/>
      <x:c r="Z63" s="17" t="str">
        <x:v>贵州茅台最新一次业绩预告发布于 **2025年1月3日**，对应 **2024年年报**（报告期 2024-12-31）。
- **净利润区间**：约 **857 亿元**（下限和上限均为 857 亿元）
- **业绩变动**：归属于母公司股东的净利润增长约 **14.67%**
- **预告类型**：不确定（点估计式披露，非区间预告）
数据来源：贵州茅台 2024 年度业绩预告公告（币种 CNY）。</x:v>
      </x:c>
      <x:c r="AA63" s="17" t="str"/>
      <x:c r="AB63" s="17" t="n">
        <x:v>46235.83440890046</x:v>
      </x:c>
      <x:c r="AC63" s="17" t="n">
        <x:v>46235.834621284725</x:v>
      </x:c>
      <x:c r="AD63" s="17" t="str">
        <x:v>analysis.json</x:v>
      </x:c>
      <x:c r="AE63" s="18" t="n">
        <x:v>10530</x:v>
      </x:c>
      <x:c r="AF63" s="18" t="n">
        <x:v>7819.07</x:v>
      </x:c>
      <x:c r="AG63" s="18" t="n">
        <x:v>937.1</x:v>
      </x:c>
      <x:c r="AH63" s="18" t="n">
        <x:v>5329.66</x:v>
      </x:c>
      <x:c r="AI63" s="17" t="n">
        <x:v>5</x:v>
      </x:c>
      <x:c r="AJ63" s="17" t="n">
        <x:v>1</x:v>
      </x:c>
      <x:c r="AK63" s="19" t="n">
        <x:v>1</x:v>
      </x:c>
      <x:c r="AL63" s="19" t="n">
        <x:v>1</x:v>
      </x:c>
      <x:c r="AM63" s="19" t="n">
        <x:v>0</x:v>
      </x:c>
      <x:c r="AN63" s="17" t="str">
        <x:v>[
  "stock.performance_notice"
]</x:v>
      </x:c>
    </x:row>
    <x:row r="64" ht="58" customHeight="1">
      <x:c r="A64" s="17" t="str">
        <x:v>BUS060</x:v>
      </x:c>
      <x:c r="B64" s="17" t="str">
        <x:v>最新业绩预告收入上限最高的前20家公司。</x:v>
      </x:c>
      <x:c r="C64" s="17" t="str">
        <x:v>stock</x:v>
      </x:c>
      <x:c r="D64" s="17" t="str">
        <x:v>stock.performance_notice</x:v>
      </x:c>
      <x:c r="E64" s="17" t="str"/>
      <x:c r="F64" s="17" t="str">
        <x:v>financial_qa_cc</x:v>
      </x:c>
      <x:c r="G64" s="17" t="str">
        <x:v>否</x:v>
      </x:c>
      <x:c r="H64" s="18" t="n">
        <x:v>54923.79</x:v>
      </x:c>
      <x:c r="I64" s="18" t="n">
        <x:f>IFERROR(H64/1000,"")</x:f>
        <x:v>54.923790000000004</x:v>
      </x:c>
      <x:c r="J64" s="17" t="n">
        <x:v>12</x:v>
      </x:c>
      <x:c r="K64" s="17" t="str">
        <x:v>成功</x:v>
      </x:c>
      <x:c r="L64" s="17" t="n">
        <x:v>5</x:v>
      </x:c>
      <x:c r="M64" s="17" t="n">
        <x:v>5</x:v>
      </x:c>
      <x:c r="N64" s="17" t="n">
        <x:v>0</x:v>
      </x:c>
      <x:c r="O64" s="17" t="n">
        <x:v>0</x:v>
      </x:c>
      <x:c r="P64" s="17" t="n">
        <x:v>0</x:v>
      </x:c>
      <x:c r="Q64" s="17" t="n">
        <x:v>0</x:v>
      </x:c>
      <x:c r="R64" s="19" t="n">
        <x:f>IFERROR((M64+N64)/L64,"")</x:f>
        <x:v>1</x:v>
      </x:c>
      <x:c r="S64" s="17" t="n">
        <x:v>0</x:v>
      </x:c>
      <x:c r="T64" s="17" t="n">
        <x:v>0</x:v>
      </x:c>
      <x:c r="U64" s="17" t="n">
        <x:v>18234</x:v>
      </x:c>
      <x:c r="V64" s="17" t="str">
        <x:v>正确</x:v>
      </x:c>
      <x:c r="W64" s="19" t="n">
        <x:v>1</x:v>
      </x:c>
      <x:c r="X64" s="17" t="str">
        <x:v>否</x:v>
      </x:c>
      <x:c r="Y64" s="17" t="str"/>
      <x:c r="Z64" s="17" t="str">
        <x:v>以下是2026年中报（报告期2026-06-30）已披露业绩预告中，**收入上限最高的前20家公司**，按收入上限从高到低排列：
| 排名 | 公司 | 代码 | 收入上限（亿元） | 业绩预告类型 | 公告日期 |
|:---:|:---|:---|:---:|:---|:---:|
| 1 | **厦门象屿** | 600057.SH | **213.5** | 业绩预增 | 2026-07-17 |
| 2 | **长鑫科技** | 688825.SH | **120.0** | 预计扭亏 | 2026-07-09 |
| 3 | **华勤技术** | 603296.SH | **95.0** | 业绩大幅上升 | 2026-07-14 |
| 4 | **天音控股** | 000829.SZ | **59.0** | 预计扭亏 | 2026-07-15 |
| 5 | **传音控股** | 688036.SH | **35.7** | 业绩预增 | 2026-07-20 |
| 6 | **环旭电子** | 601231.SH | **27.3** | 不确定 | 2026-07-10 |
| 7 | **江波龙** | 301308.SZ | **25.0** | 业绩大幅上升 | 2026-07-03 |
| 8 | **世纪华通** | 002602.SZ | **22.0** | 业绩大幅上升 | 2026-07-15 |
| 9 | **惠科股份** | 001399.SZ | **22.0** | 业绩预降 | 2026-06-04 |
| 10 | **招商轮船** | 601872.SH | **20.6** | 业绩大幅上升 | 2026-07-06 |
| 11 | **德明利** | 001309.SZ | **18.0** | 预计扭亏 | 2026-07-15 |
| 12 | **佰维存储** | 688525.SH | **16.0** | 预计扭亏 | 2026-07-16 |
| 13 | **豪威集团** | 603501.SH | **14.0** | 不确定 | 2026-04-30 |
| 14 | **华润新能源** | 001248.SZ | **13.6** | 业绩预降 | 2026-06-11 |
| 15 | **兆易创新** | 603986.SH | **11.5** | 业绩大幅上升 | 2026-07-10 |
| 16 | **飞南资源** | 301500.SZ | **10.0** | 业绩大幅上升 | 2026-07-22 |
| 17 | **海光信息** | 688041.SH | **9.3** | 业绩大幅上升 | 2026-07-17 |
| 18 | **大连重工** | 002204.SZ | **8.0** | 业绩预增 | 2026-07-04 |
| 19 | **嘉元科技** | 688388.SH | **7.8** | 业绩大幅上升 | 2026-07-16 |
| 20 | **康龙化成** | 300759.SZ | **7.7** | 业绩预增 | 2026-07-13 |
**简要解读：**
- **厦门象屿**以213.5亿元的收入上限遥遥领先，是唯一一家半年报预告收入超200亿的公司，且预告类型为业绩预增，增长势头稳健。
- **长鑫科技**（120亿）和**华勤技术**（95亿）分列第二、三位，长鑫科技预计扭亏，华勤技术大幅上升，半导体与消费电子产业链景气度较高。
- 榜单中**业绩大幅上升**类型占多数（10家），**预计扭亏**有4家，整体预喜率较高，反映出2026年上半年多数公司经营改善。
数据来源：2026年中报（报告期2026-06-30）业绩预告，按营业收入上限排序，单位亿元。</x:v>
      </x:c>
      <x:c r="AA64" s="17" t="str"/>
      <x:c r="AB64" s="17" t="n">
        <x:v>46235.834635810184</x:v>
      </x:c>
      <x:c r="AC64" s="17" t="n">
        <x:v>46235.83527150463</x:v>
      </x:c>
      <x:c r="AD64" s="17" t="str">
        <x:v>analysis.json</x:v>
      </x:c>
      <x:c r="AE64" s="18" t="n">
        <x:v>46106</x:v>
      </x:c>
      <x:c r="AF64" s="18" t="n">
        <x:v>8817.79</x:v>
      </x:c>
      <x:c r="AG64" s="18" t="n">
        <x:v>806.5</x:v>
      </x:c>
      <x:c r="AH64" s="18" t="n">
        <x:v>5365.26</x:v>
      </x:c>
      <x:c r="AI64" s="17" t="n">
        <x:v>12</x:v>
      </x:c>
      <x:c r="AJ64" s="17" t="n">
        <x:v>1</x:v>
      </x:c>
      <x:c r="AK64" s="19" t="n">
        <x:v>1</x:v>
      </x:c>
      <x:c r="AL64" s="19" t="n">
        <x:v>1</x:v>
      </x:c>
      <x:c r="AM64" s="19" t="n">
        <x:v>0</x:v>
      </x:c>
      <x:c r="AN64" s="17" t="str">
        <x:v>[
  "stock.performance_notice"
]</x:v>
      </x:c>
    </x:row>
    <x:row r="65" ht="58" customHeight="1">
      <x:c r="A65" s="17" t="str">
        <x:v>BUS061</x:v>
      </x:c>
      <x:c r="B65" s="17" t="str">
        <x:v>查询贵州茅台最新主营业务分部收入、成本和毛利率。</x:v>
      </x:c>
      <x:c r="C65" s="17" t="str">
        <x:v>stock</x:v>
      </x:c>
      <x:c r="D65" s="17" t="str">
        <x:v>stock.business_segment</x:v>
      </x:c>
      <x:c r="E65" s="17" t="str"/>
      <x:c r="F65" s="17" t="str">
        <x:v>financial_qa_cc</x:v>
      </x:c>
      <x:c r="G65" s="17" t="str">
        <x:v>否</x:v>
      </x:c>
      <x:c r="H65" s="18" t="n">
        <x:v>49751.4</x:v>
      </x:c>
      <x:c r="I65" s="18" t="n">
        <x:f>IFERROR(H65/1000,"")</x:f>
        <x:v>49.751400000000004</x:v>
      </x:c>
      <x:c r="J65" s="17" t="n">
        <x:v>7</x:v>
      </x:c>
      <x:c r="K65" s="17" t="str">
        <x:v>成功</x:v>
      </x:c>
      <x:c r="L65" s="17" t="n">
        <x:v>3</x:v>
      </x:c>
      <x:c r="M65" s="17" t="n">
        <x:v>3</x:v>
      </x:c>
      <x:c r="N65" s="17" t="n">
        <x:v>0</x:v>
      </x:c>
      <x:c r="O65" s="17" t="n">
        <x:v>0</x:v>
      </x:c>
      <x:c r="P65" s="17" t="n">
        <x:v>0</x:v>
      </x:c>
      <x:c r="Q65" s="17" t="n">
        <x:v>0</x:v>
      </x:c>
      <x:c r="R65" s="19" t="n">
        <x:f>IFERROR((M65+N65)/L65,"")</x:f>
        <x:v>1</x:v>
      </x:c>
      <x:c r="S65" s="17" t="n">
        <x:v>0</x:v>
      </x:c>
      <x:c r="T65" s="17" t="n">
        <x:v>0</x:v>
      </x:c>
      <x:c r="U65" s="17" t="n">
        <x:v>10331</x:v>
      </x:c>
      <x:c r="V65" s="17" t="str">
        <x:v>部分正确</x:v>
      </x:c>
      <x:c r="W65" s="19" t="n">
        <x:v>0.95</x:v>
      </x:c>
      <x:c r="X65" s="17" t="str">
        <x:v>否</x:v>
      </x:c>
      <x:c r="Y65" s="17" t="str"/>
      <x:c r="Z65" s="17" t="str">
        <x:v>以下是贵州茅台最新主营业务分部数据。
---
## 最新季度：2026年一季度（2026-03-31）
一季报中仅披露了分部收入，**成本、毛利和毛利率数据暂未提供**。
**按产品：**
| 产品 | 收入 |
|---|---|
| 茅台酒 | 46.00 亿元 |
| 系列酒 | 7.88 亿元 |
| 其他业务 | 0.82 亿元 |
**按渠道：**
| 渠道 | 收入 |
|---|---|
| 直销 | 29.50 亿元 |
| 批发代理 | 24.38 亿元 |
**按地区：**
| 地区 | 收入 |
|---|---|
| 国内 | 53.73 亿元 |
| 国外 | 0.15 亿元 |
---
## 最近完整年度：2025年全年（2025-12-31）
完整披露了收入、成本和毛利率数据。
**按产品：**
| 产品 | 收入 | 成本 | 毛利 | 毛利率 |
|---|---|---|---|---|
| 茅台酒 | 1,464.99 亿 | 9.48 亿 | 1,370.15 亿 | **93.53%** |
| 其他系列酒 | 222.75 亿 | 53.21 亿 | 169.54 亿 | **76.11%** |
| 其他业务 | 32.80 亿 | 0.86 亿 | 31.93 亿 | 97.37% |
**按渠道：**
| 渠道 | 收入 | 成本 | 毛利 | 毛利率 |
|---|---|---|---|---|
| 直销 | 845.43 亿 | 45.80 亿 | 799.63 亿 | **94.58%** |
| 批发代理 | 842.32 亿 | 102.26 亿 | 740.05 亿 | **87.86%** |
**按地区：**
| 地区 | 收入 | 成本 | 毛利 | 毛利率 |
|---|---|---|---|---|
| 国内 | 1,639.24 亿 | 144.03 亿 | 1,495.22 亿 | **91.21%** |
| 国外 | 48.50 亿 | 4.03 亿 | 44.47 亿 | **91.69%** |
**酒类整体（合计）：** 收入 1,687.75 亿元，成本 148.06 亿元，毛利 1,539.69 亿元，**整体毛利率 91.23%**。
---
核心看点上，茅台酒 93.53% 的毛利率依然是公司利润的绝对支柱，直销渠道 94.58% 的毛利率也显著高于批发代理的 87.86%，渠道结构持续优化。2026年一季度的成本与毛利率数据将在中报或年报中进一步披露。</x:v>
      </x:c>
      <x:c r="AA65" s="17" t="str"/>
      <x:c r="AB65" s="17" t="n">
        <x:v>46235.83528931713</x:v>
      </x:c>
      <x:c r="AC65" s="17" t="n">
        <x:v>46235.83586515046</x:v>
      </x:c>
      <x:c r="AD65" s="17" t="str">
        <x:v>analysis.json</x:v>
      </x:c>
      <x:c r="AE65" s="18" t="n">
        <x:v>41031</x:v>
      </x:c>
      <x:c r="AF65" s="18" t="n">
        <x:v>8720.4</x:v>
      </x:c>
      <x:c r="AG65" s="18" t="n">
        <x:v>922.24</x:v>
      </x:c>
      <x:c r="AH65" s="18" t="n">
        <x:v>6140.73</x:v>
      </x:c>
      <x:c r="AI65" s="17" t="n">
        <x:v>7</x:v>
      </x:c>
      <x:c r="AJ65" s="17" t="n">
        <x:v>1</x:v>
      </x:c>
      <x:c r="AK65" s="19" t="n">
        <x:v>1</x:v>
      </x:c>
      <x:c r="AL65" s="19" t="n">
        <x:v>1</x:v>
      </x:c>
      <x:c r="AM65" s="19" t="n">
        <x:v>0</x:v>
      </x:c>
      <x:c r="AN65" s="17" t="str">
        <x:v>[
  "stock.business_segment"
]</x:v>
      </x:c>
    </x:row>
    <x:row r="66" ht="58" customHeight="1">
      <x:c r="A66" s="17" t="str">
        <x:v>BUS062</x:v>
      </x:c>
      <x:c r="B66" s="17" t="str">
        <x:v>查询宁德时代按产品分部的销售收入和收入占比。</x:v>
      </x:c>
      <x:c r="C66" s="17" t="str">
        <x:v>stock</x:v>
      </x:c>
      <x:c r="D66" s="17" t="str">
        <x:v>stock.basic_info, stock.business_segment</x:v>
      </x:c>
      <x:c r="E66" s="17" t="str"/>
      <x:c r="F66" s="17" t="str">
        <x:v>financial_qa_cc</x:v>
      </x:c>
      <x:c r="G66" s="17" t="str">
        <x:v>否</x:v>
      </x:c>
      <x:c r="H66" s="18" t="n">
        <x:v>56600.39</x:v>
      </x:c>
      <x:c r="I66" s="18" t="n">
        <x:f>IFERROR(H66/1000,"")</x:f>
        <x:v>56.60039</x:v>
      </x:c>
      <x:c r="J66" s="17" t="n">
        <x:v>8</x:v>
      </x:c>
      <x:c r="K66" s="17" t="str">
        <x:v>成功</x:v>
      </x:c>
      <x:c r="L66" s="17" t="n">
        <x:v>4</x:v>
      </x:c>
      <x:c r="M66" s="17" t="n">
        <x:v>3</x:v>
      </x:c>
      <x:c r="N66" s="17" t="n">
        <x:v>0</x:v>
      </x:c>
      <x:c r="O66" s="17" t="n">
        <x:v>1</x:v>
      </x:c>
      <x:c r="P66" s="17" t="n">
        <x:v>0</x:v>
      </x:c>
      <x:c r="Q66" s="17" t="n">
        <x:v>0</x:v>
      </x:c>
      <x:c r="R66" s="19" t="n">
        <x:f>IFERROR((M66+N66)/L66,"")</x:f>
        <x:v>0.75</x:v>
      </x:c>
      <x:c r="S66" s="17" t="n">
        <x:v>0</x:v>
      </x:c>
      <x:c r="T66" s="17" t="n">
        <x:v>0</x:v>
      </x:c>
      <x:c r="U66" s="17" t="n">
        <x:v>20293</x:v>
      </x:c>
      <x:c r="V66" s="17" t="str">
        <x:v>正确</x:v>
      </x:c>
      <x:c r="W66" s="19" t="n">
        <x:v>0.85</x:v>
      </x:c>
      <x:c r="X66" s="17" t="str">
        <x:v>否</x:v>
      </x:c>
      <x:c r="Y66" s="17" t="str"/>
      <x:c r="Z66" s="17" t="str">
        <x:v>以下是宁德时代（300750.SZ）最新报告期（**2026年上半年**）按产品分部的销售收入及收入占比：
| 产品分部 | 销售收入（元） | 收入占比 |
|:---|:---|:---|
| **动力电池系统** | 1,921.25 亿 | **69.38%** |
| **储能电池系统** | 532.61 亿 | **19.23%** |
| 电池材料及回收、矿产资源 | 188.11 亿 | 6.79% |
| 其他业务 | 127.20 亿 | 4.59% |
| **合计** | **2,769.17 亿** | **100%** |
**核心结论：** 动力电池系统仍是宁德时代的绝对主业，贡献近七成收入；储能电池系统已跃升至第二大收入来源（19.2%），较上年同期（15.9%）明显提升，反映储能业务正在加速放量。电池材料及回收与矿产资源合计占比约 6.8%，其他业务占 4.6%。</x:v>
      </x:c>
      <x:c r="AA66" s="17" t="str"/>
      <x:c r="AB66" s="17" t="n">
        <x:v>46235.83535971065</x:v>
      </x:c>
      <x:c r="AC66" s="17" t="n">
        <x:v>46235.83601481481</x:v>
      </x:c>
      <x:c r="AD66" s="17" t="str">
        <x:v>analysis.json</x:v>
      </x:c>
      <x:c r="AE66" s="18" t="n">
        <x:v>47357</x:v>
      </x:c>
      <x:c r="AF66" s="18" t="n">
        <x:v>9243.39</x:v>
      </x:c>
      <x:c r="AG66" s="18" t="n">
        <x:v>699.29</x:v>
      </x:c>
      <x:c r="AH66" s="18" t="n">
        <x:v>5600.14</x:v>
      </x:c>
      <x:c r="AI66" s="17" t="n">
        <x:v>8</x:v>
      </x:c>
      <x:c r="AJ66" s="17" t="n">
        <x:v>1</x:v>
      </x:c>
      <x:c r="AK66" s="19" t="n">
        <x:v>0.75</x:v>
      </x:c>
      <x:c r="AL66" s="19" t="n">
        <x:v>0.75</x:v>
      </x:c>
      <x:c r="AM66" s="19" t="n">
        <x:v>0.25</x:v>
      </x:c>
      <x:c r="AN66" s="17" t="str">
        <x:v>[
  "stock.business_segment"
]</x:v>
      </x:c>
    </x:row>
    <x:row r="67" ht="58" customHeight="1">
      <x:c r="A67" s="17" t="str">
        <x:v>BUS063</x:v>
      </x:c>
      <x:c r="B67" s="17" t="str">
        <x:v>筛选最新报告期毛利率最高的业务分部记录。</x:v>
      </x:c>
      <x:c r="C67" s="17" t="str">
        <x:v>stock</x:v>
      </x:c>
      <x:c r="D67" s="17" t="str">
        <x:v>stock.business_segment</x:v>
      </x:c>
      <x:c r="E67" s="17" t="str"/>
      <x:c r="F67" s="17" t="str">
        <x:v>financial_qa_cc</x:v>
      </x:c>
      <x:c r="G67" s="17" t="str">
        <x:v>否</x:v>
      </x:c>
      <x:c r="H67" s="18" t="n">
        <x:v>52912.91</x:v>
      </x:c>
      <x:c r="I67" s="18" t="n">
        <x:f>IFERROR(H67/1000,"")</x:f>
        <x:v>52.912910000000004</x:v>
      </x:c>
      <x:c r="J67" s="17" t="n">
        <x:v>7</x:v>
      </x:c>
      <x:c r="K67" s="17" t="str">
        <x:v>成功</x:v>
      </x:c>
      <x:c r="L67" s="17" t="n">
        <x:v>3</x:v>
      </x:c>
      <x:c r="M67" s="17" t="n">
        <x:v>3</x:v>
      </x:c>
      <x:c r="N67" s="17" t="n">
        <x:v>0</x:v>
      </x:c>
      <x:c r="O67" s="17" t="n">
        <x:v>0</x:v>
      </x:c>
      <x:c r="P67" s="17" t="n">
        <x:v>0</x:v>
      </x:c>
      <x:c r="Q67" s="17" t="n">
        <x:v>0</x:v>
      </x:c>
      <x:c r="R67" s="19" t="n">
        <x:f>IFERROR((M67+N67)/L67,"")</x:f>
        <x:v>1</x:v>
      </x:c>
      <x:c r="S67" s="17" t="n">
        <x:v>0</x:v>
      </x:c>
      <x:c r="T67" s="17" t="n">
        <x:v>0</x:v>
      </x:c>
      <x:c r="U67" s="17" t="n">
        <x:v>12187</x:v>
      </x:c>
      <x:c r="V67" s="17" t="str">
        <x:v>错误</x:v>
      </x:c>
      <x:c r="W67" s="19" t="n">
        <x:v>1</x:v>
      </x:c>
      <x:c r="X67" s="17" t="str">
        <x:v>否</x:v>
      </x:c>
      <x:c r="Y67" s="17" t="str"/>
      <x:c r="Z67" s="17" t="str">
        <x:v>最新报告期（2026-06-30）中，毛利率最高的业务分部记录如下：
**🥇 盛达资源（000603.SZ）— 银精粉(含金) — 毛利率 87.08%**
收入 3.98 亿元，毛利 3.47 亿元，属于产品分部。
**🥈 盛达资源 — 内蒙古自治区内 — 毛利率 79.76%**
收入 1.61 亿元，毛利 1.29 亿元，属于地区分部。
**🥉 盛达资源 — 有色金属采选（行业）— 毛利率 78.37%**
收入 10.17 亿元，毛利 7.97 亿元，金额最大。
其余进入前五的还有：
- **盛达资源** — 铅精粉(含银) — **73.59%**
- **盛达资源** — 锌精粉(含银) — **70.64%**
**整体来看**，盛达资源在报告期内旗下多个业务分部毛利率极高，银精粉、铅精粉、锌精粉等产品线毛利率均超 70%，有色金属采选行业整体毛利率也在 78% 以上，是当前样本中毛利率表现最突出的公司。合金投资（000633.SZ）和太湖雪（920262.BJ）的毛利率相对较低，最高分部毛利率分别为 35.20%（其他业务）和 43.58%（线下销售）。盛达资源的再生新能源金属分部则出现亏损，毛利率为 **-6.69%**。</x:v>
      </x:c>
      <x:c r="AA67" s="17" t="str"/>
      <x:c r="AB67" s="17" t="n">
        <x:v>46235.83588472222</x:v>
      </x:c>
      <x:c r="AC67" s="17" t="n">
        <x:v>46235.8364971412</x:v>
      </x:c>
      <x:c r="AD67" s="17" t="str">
        <x:v>analysis.json</x:v>
      </x:c>
      <x:c r="AE67" s="18" t="n">
        <x:v>44385</x:v>
      </x:c>
      <x:c r="AF67" s="18" t="n">
        <x:v>8527.91</x:v>
      </x:c>
      <x:c r="AG67" s="18" t="n">
        <x:v>844.25</x:v>
      </x:c>
      <x:c r="AH67" s="18" t="n">
        <x:v>5543.31</x:v>
      </x:c>
      <x:c r="AI67" s="17" t="n">
        <x:v>7</x:v>
      </x:c>
      <x:c r="AJ67" s="17" t="n">
        <x:v>1</x:v>
      </x:c>
      <x:c r="AK67" s="19" t="n">
        <x:v>1</x:v>
      </x:c>
      <x:c r="AL67" s="19" t="n">
        <x:v>1</x:v>
      </x:c>
      <x:c r="AM67" s="19" t="n">
        <x:v>0</x:v>
      </x:c>
      <x:c r="AN67" s="17" t="str">
        <x:v>[
  "stock.business_segment"
]</x:v>
      </x:c>
    </x:row>
    <x:row r="68" ht="58" customHeight="1">
      <x:c r="A68" s="17" t="str">
        <x:v>BUS064</x:v>
      </x:c>
      <x:c r="B68" s="17" t="str">
        <x:v>查询美的集团按地区分部的收入占比。</x:v>
      </x:c>
      <x:c r="C68" s="17" t="str">
        <x:v>stock</x:v>
      </x:c>
      <x:c r="D68" s="17" t="str">
        <x:v>stock.business_segment</x:v>
      </x:c>
      <x:c r="E68" s="17" t="str"/>
      <x:c r="F68" s="17" t="str">
        <x:v>financial_qa_cc</x:v>
      </x:c>
      <x:c r="G68" s="17" t="str">
        <x:v>否</x:v>
      </x:c>
      <x:c r="H68" s="18" t="n">
        <x:v>80163.19</x:v>
      </x:c>
      <x:c r="I68" s="18" t="n">
        <x:f>IFERROR(H68/1000,"")</x:f>
        <x:v>80.16319</x:v>
      </x:c>
      <x:c r="J68" s="17" t="n">
        <x:v>12</x:v>
      </x:c>
      <x:c r="K68" s="17" t="str">
        <x:v>成功</x:v>
      </x:c>
      <x:c r="L68" s="17" t="n">
        <x:v>6</x:v>
      </x:c>
      <x:c r="M68" s="17" t="n">
        <x:v>5</x:v>
      </x:c>
      <x:c r="N68" s="17" t="n">
        <x:v>0</x:v>
      </x:c>
      <x:c r="O68" s="17" t="n">
        <x:v>1</x:v>
      </x:c>
      <x:c r="P68" s="17" t="n">
        <x:v>0</x:v>
      </x:c>
      <x:c r="Q68" s="17" t="n">
        <x:v>0</x:v>
      </x:c>
      <x:c r="R68" s="19" t="n">
        <x:f>IFERROR((M68+N68)/L68,"")</x:f>
        <x:v>0.8333333333333334</x:v>
      </x:c>
      <x:c r="S68" s="17" t="n">
        <x:v>0</x:v>
      </x:c>
      <x:c r="T68" s="17" t="n">
        <x:v>0</x:v>
      </x:c>
      <x:c r="U68" s="17" t="n">
        <x:v>19286</x:v>
      </x:c>
      <x:c r="V68" s="17" t="str">
        <x:v>部分正确</x:v>
      </x:c>
      <x:c r="W68" s="19" t="n">
        <x:v>0.95</x:v>
      </x:c>
      <x:c r="X68" s="17" t="str">
        <x:v>否</x:v>
      </x:c>
      <x:c r="Y68" s="17" t="str"/>
      <x:c r="Z68" s="17" t="str">
        <x:v>美的集团按地区分部的收入占比如下（以最新年报 **2025年度** 为主）：
---
**2025年度（最新年报）**
| 地区 | 收入（亿元） | 占比 |
|------|------------|:---:|
| 国内 | 2,605.04 | **56.82%** |
| 海外 | 1,959.48 | **42.74%** |
| 其他业务 | 20.51 | 0.45% |
**近年趋势对比**
| 报告期 | 国内 | 海外 |
|--------|:---:|:---:|
| 2022年度 | 58.22% | 41.26% |
| 2023年度 | 59.17% | 40.38% |
| 2024年度 | 58.21% | 41.32% |
| 2025年度 | **56.82%** | **42.74%** |
美的集团收入结构以国内为主（约57%），海外占比持续提升，从2023年的40.4%增长至2025年的42.7%，海外收入规模已达约1,959亿元，国际化程度在同业中处于领先水平。</x:v>
      </x:c>
      <x:c r="AA68" s="17" t="str"/>
      <x:c r="AB68" s="17" t="n">
        <x:v>46235.836039270835</x:v>
      </x:c>
      <x:c r="AC68" s="17" t="n">
        <x:v>46235.83696709491</x:v>
      </x:c>
      <x:c r="AD68" s="17" t="str">
        <x:v>analysis.json</x:v>
      </x:c>
      <x:c r="AE68" s="18" t="n">
        <x:v>71682</x:v>
      </x:c>
      <x:c r="AF68" s="18" t="n">
        <x:v>8481.19</x:v>
      </x:c>
      <x:c r="AG68" s="18" t="n">
        <x:v>779.7</x:v>
      </x:c>
      <x:c r="AH68" s="18" t="n">
        <x:v>5876.76</x:v>
      </x:c>
      <x:c r="AI68" s="17" t="n">
        <x:v>12</x:v>
      </x:c>
      <x:c r="AJ68" s="17" t="n">
        <x:v>1</x:v>
      </x:c>
      <x:c r="AK68" s="19" t="n">
        <x:v>0.8333</x:v>
      </x:c>
      <x:c r="AL68" s="19" t="n">
        <x:v>0.8333</x:v>
      </x:c>
      <x:c r="AM68" s="19" t="n">
        <x:v>0.1667</x:v>
      </x:c>
      <x:c r="AN68" s="17" t="str">
        <x:v>[
  "stock.business_segment"
]</x:v>
      </x:c>
    </x:row>
    <x:row r="69" ht="58" customHeight="1">
      <x:c r="A69" s="17" t="str">
        <x:v>BUS065</x:v>
      </x:c>
      <x:c r="B69" s="17" t="str">
        <x:v>最新报告期业务分部销售收入最高的前20条记录。</x:v>
      </x:c>
      <x:c r="C69" s="17" t="str">
        <x:v>stock</x:v>
      </x:c>
      <x:c r="D69" s="17" t="str">
        <x:v>stock.business_segment</x:v>
      </x:c>
      <x:c r="E69" s="17" t="str"/>
      <x:c r="F69" s="17" t="str">
        <x:v>financial_qa_cc</x:v>
      </x:c>
      <x:c r="G69" s="17" t="str">
        <x:v>否</x:v>
      </x:c>
      <x:c r="H69" s="18" t="n">
        <x:v>56364.52</x:v>
      </x:c>
      <x:c r="I69" s="18" t="n">
        <x:f>IFERROR(H69/1000,"")</x:f>
        <x:v>56.36452</x:v>
      </x:c>
      <x:c r="J69" s="17" t="n">
        <x:v>10</x:v>
      </x:c>
      <x:c r="K69" s="17" t="str">
        <x:v>成功</x:v>
      </x:c>
      <x:c r="L69" s="17" t="n">
        <x:v>5</x:v>
      </x:c>
      <x:c r="M69" s="17" t="n">
        <x:v>3</x:v>
      </x:c>
      <x:c r="N69" s="17" t="n">
        <x:v>1</x:v>
      </x:c>
      <x:c r="O69" s="17" t="n">
        <x:v>1</x:v>
      </x:c>
      <x:c r="P69" s="17" t="n">
        <x:v>0</x:v>
      </x:c>
      <x:c r="Q69" s="17" t="n">
        <x:v>0</x:v>
      </x:c>
      <x:c r="R69" s="19" t="n">
        <x:f>IFERROR((M69+N69)/L69,"")</x:f>
        <x:v>0.8</x:v>
      </x:c>
      <x:c r="S69" s="17" t="n">
        <x:v>0</x:v>
      </x:c>
      <x:c r="T69" s="17" t="n">
        <x:v>0</x:v>
      </x:c>
      <x:c r="U69" s="17" t="n">
        <x:v>20090</x:v>
      </x:c>
      <x:c r="V69" s="17" t="str">
        <x:v>正确</x:v>
      </x:c>
      <x:c r="W69" s="19" t="n">
        <x:v>0.95</x:v>
      </x:c>
      <x:c r="X69" s="17" t="str">
        <x:v>否</x:v>
      </x:c>
      <x:c r="Y69" s="17" t="str"/>
      <x:c r="Z69" s="17" t="str">
        <x:v>最新报告期 **2026-06-30（中报）** 业务分部销售收入最高的前20条记录如下：
| 排名 | 公司 | 分部类型 | 项目名称 | 销售收入（元） | 收入占比 |
|:---:|:---|:---:|:---|:---:|:---:|
| 1 | 宁德时代 | 行业 | 电气机械及器材制造业 | 2,769.17亿 | 100.0% |
| 2 | 宁德时代 | 产品 | 动力电池系统 | 1,921.25亿 | 69.4% |
| 3 | 宁德时代 | 地区 | 境内 | 1,897.87亿 | 68.5% |
| 4 | 宁德时代 | 地区 | 境外 | 871.29亿 | 31.5% |
| 5 | 宁德时代 | 产品 | 储能电池系统 | 532.61亿 | 19.2% |
| 6 | 海康威视 | 行业 | 智能物联产品及服务 | 468.23亿 | 100.0% |
| 7 | 西部矿业 | 地区 | 中国大陆 | 393.58亿 | 99.8% |
| 8 | 西部矿业 | 行业 | 有色金属采选冶 | 350.30亿 | 88.8% |
| 9 | 海康威视 | 产品 | 主业产品及服务 | 306.16亿 | 65.4% |
| 10 | 海康威视 | 地区 | 境内 | 297.59亿 | 63.6% |
| 11 | 神火股份 | 行业 | 有色金属冶炼和压延加工 | 207.09亿 | 83.5% |
| 12 | 宁德时代 | 产品 | 电池材料及回收、矿产资源 | 188.11亿 | 6.8% |
| 13 | 海康威视 | 地区 | 境外 | 170.64亿 | 36.4% |
| 14 | 神火股份 | 产品 | 电解铝 | 170.51亿 | 68.8% |
| 15 | 海康威视 | 产品 | 创新业务 | 151.70亿 | 32.4% |
| 16 | 盛屯矿业 | 行业 | 能源金属业务 | 145.43亿 | 75.5% |
| 17 | 华峰化学 | 行业 | 工业 | 141.67亿 | 100.0% |
| 18 | 盛屯矿业 | 地区 | 境外收入 | 138.15亿 | 71.7% |
| 19 | 宁德时代 | 产品 | 其他业务 | 127.20亿 | 4.6% |
| 20 | 华峰化学 | 地区 | 国内 | 119.58亿 | 84.4% |
**要点：**
- **宁德时代** 包揽前5名，其动力电池系统（1,921亿）和储能电池系统（533亿）是最大收入来源，境内外收入分别约1,898亿和871亿。
- **海康威视** 主业产品及服务（306亿）和创新业务（152亿）贡献主要营收，境内收入298亿，境外171亿。
- **西部矿业、神火股份、盛屯矿业、华峰化学** 分别以有色金属采选冶、电解铝、能源金属等业务进入前20，收入集中在140亿~394亿区间。</x:v>
      </x:c>
      <x:c r="AA69" s="17" t="str"/>
      <x:c r="AB69" s="17" t="n">
        <x:v>46235.83651581019</x:v>
      </x:c>
      <x:c r="AC69" s="17" t="n">
        <x:v>46235.83716818287</x:v>
      </x:c>
      <x:c r="AD69" s="17" t="str">
        <x:v>analysis.json</x:v>
      </x:c>
      <x:c r="AE69" s="18" t="n">
        <x:v>48649</x:v>
      </x:c>
      <x:c r="AF69" s="18" t="n">
        <x:v>7715.52</x:v>
      </x:c>
      <x:c r="AG69" s="18" t="n">
        <x:v>671.84</x:v>
      </x:c>
      <x:c r="AH69" s="18" t="n">
        <x:v>5406.85</x:v>
      </x:c>
      <x:c r="AI69" s="17" t="n">
        <x:v>10</x:v>
      </x:c>
      <x:c r="AJ69" s="17" t="n">
        <x:v>1</x:v>
      </x:c>
      <x:c r="AK69" s="19" t="n">
        <x:v>0.6</x:v>
      </x:c>
      <x:c r="AL69" s="19" t="n">
        <x:v>0.8</x:v>
      </x:c>
      <x:c r="AM69" s="19" t="n">
        <x:v>0.2</x:v>
      </x:c>
      <x:c r="AN69" s="17" t="str">
        <x:v>[
  "stock.business_segment"
]</x:v>
      </x:c>
    </x:row>
    <x:row r="70" ht="58" customHeight="1">
      <x:c r="A70" s="17" t="str">
        <x:v>BUS066</x:v>
      </x:c>
      <x:c r="B70" s="17" t="str">
        <x:v>查询项目名称包含新能源的业务分部销售收入和毛利率。</x:v>
      </x:c>
      <x:c r="C70" s="17" t="str">
        <x:v>stock</x:v>
      </x:c>
      <x:c r="D70" s="17" t="str">
        <x:v>stock.business_segment</x:v>
      </x:c>
      <x:c r="E70" s="17" t="str"/>
      <x:c r="F70" s="17" t="str">
        <x:v>financial_qa_cc</x:v>
      </x:c>
      <x:c r="G70" s="17" t="str">
        <x:v>否</x:v>
      </x:c>
      <x:c r="H70" s="18" t="n">
        <x:v>40715.07</x:v>
      </x:c>
      <x:c r="I70" s="18" t="n">
        <x:f>IFERROR(H70/1000,"")</x:f>
        <x:v>40.71507</x:v>
      </x:c>
      <x:c r="J70" s="17" t="n">
        <x:v>7</x:v>
      </x:c>
      <x:c r="K70" s="17" t="str">
        <x:v>成功</x:v>
      </x:c>
      <x:c r="L70" s="17" t="n">
        <x:v>3</x:v>
      </x:c>
      <x:c r="M70" s="17" t="n">
        <x:v>3</x:v>
      </x:c>
      <x:c r="N70" s="17" t="n">
        <x:v>0</x:v>
      </x:c>
      <x:c r="O70" s="17" t="n">
        <x:v>0</x:v>
      </x:c>
      <x:c r="P70" s="17" t="n">
        <x:v>0</x:v>
      </x:c>
      <x:c r="Q70" s="17" t="n">
        <x:v>0</x:v>
      </x:c>
      <x:c r="R70" s="19" t="n">
        <x:f>IFERROR((M70+N70)/L70,"")</x:f>
        <x:v>1</x:v>
      </x:c>
      <x:c r="S70" s="17" t="n">
        <x:v>0</x:v>
      </x:c>
      <x:c r="T70" s="17" t="n">
        <x:v>0</x:v>
      </x:c>
      <x:c r="U70" s="17" t="n">
        <x:v>20469</x:v>
      </x:c>
      <x:c r="V70" s="17" t="str">
        <x:v>部分正确</x:v>
      </x:c>
      <x:c r="W70" s="19" t="n">
        <x:v>1</x:v>
      </x:c>
      <x:c r="X70" s="17" t="str">
        <x:v>否</x:v>
      </x:c>
      <x:c r="Y70" s="17" t="str"/>
      <x:c r="Z70" s="17" t="str">
        <x:v>共有 **50条记录**，涉及多家上市公司在新能源领域的业务分部，涵盖 2025 年报、2026 一季报和 2026 中报三个报告期。以下是主要结果：
---
### 2026 年中报（最新）
| 公司 | 项目名称 | 销售收入（元） | 毛利率 |
|------|---------|--------------|-------|
| **盛达资源** | 再生新能源金属 | 8,488万 | **-6.69%** |
| **平安电工** | 新能源热失控安全防护件 | 2.08亿 | **37.22%** |
### 2026 年一季报
| 公司 | 项目名称 | 销售收入（元） | 毛利率 |
|------|---------|--------------|-------|
| **兴发集团** | 新能源材料 | 8.17亿 | — |
| **禾望电气** | 新能源电控业务 | 4.45亿 | 36.16% |
| **卧龙新能** | 新能源 | 3.81亿 | — |
| **东材科技** | 新能源材料 | 3.05亿 | — |
| **英威腾** | 新能源动力业务 | 1.35亿 | — |
| **北巴传媒** | 新能源充电服务 | 7,490万 | 26.61% |
| **北巴传媒** | 新能源与循环经济业务 | 8,222万 | 25.34% |
| **申华控股** | 新能源发电/新能源业 | 415万 | 51.41% |
| **\*ST纳川** | 新能源业务 | 840万 | 40.12% |
| **麦加芯彩** | 新能源行业涂料 | 1.42亿 | — |
| **科瑞技术** | 新能源业务 | 1.29亿 | — |
| **智新电子** | 汽车及新能源类连接器线缆组件 | 4,299万 | — |
### 2025 年报（部分重点）
- **TCL科技** — 新能源光伏及半导体材料业务 **29.05亿**，毛利率 **-6.36%**
- **浙商中拓** — 新能源供应链 **129.71亿**，毛利率 **2.64%**
- **越秀资本** — 新能源业务 **46.44亿**，毛利率 **26.76%**（另一条记录毛利率 51.52%）
- **绿发电力** — 新能源发电 **47.93亿**，毛利率 **46.29%**
- **中通客车** — 新能源客车 **36.51亿**，毛利率 **17.29%**
- **许继电气** — 新能源及系统集成 **14.21亿**，毛利率 **13.80%**
- **珠海港** — 新能源板块 **24.72亿**，毛利率 **24.53%**
- **银星能源** — 新能源发电 **12.49亿**，毛利率 **35.39%**
- **华鲁恒升** — 新能源新材料相关产品 **45.55亿**，毛利率未披露
- **美锦能源** — 新能源车辆及运营 **4.09亿**，毛利率 **-31.44%**
- **盛达资源** — 再生新能源金属 **1.50亿**，毛利率 **-36.48%**
- **方大集团** — 新能源产业 **1,856万**，毛利率 **57.06%**
- **金房能源** — 新能源-供热运营 **7,161万**，毛利率 **13.70%**
- **欧克科技** — 新能源锂电智能装备 **1.30亿**，毛利率 **35.12%**
- **豪鹏科技** — 储能类应用场景新能源解决方案产品 **6.50亿**，毛利率 **5.77%**
- **长虹华意** — 新能源汽车空调压缩机 **6.68亿**，毛利率 **8.68%**
- **国风新材** — 新能源汽车配套材料 **3.22亿**，毛利率 **4.80%**
- 另有 **粤桂股份**（新能源材料，毛利率 -0.29%）、**东莞控股**（新能源汽车充电业务，毛利率 -1.16%）、**南京公用**（新能源业务，毛利率 -4.33%）、**金圆股份**（新能源材料行业，毛利率 -2.77%）等分部毛利率为负。
---
**说明：** 部分公司该字段未披露（标记为"—"），毛利率为 null 表示数据源中未提供该数值。数据按 `report_period desc` 排序，同一公司可能有多个报告期的记录。整体来看，新能源业务分部毛利率差异很大，**绿发电力、方大集团、申华控股**等毛利率较高（超 45%），而 **TCL科技、盛达资源、美锦能源**的新能源分部毛利率为负，仍处于亏损或低利润阶段。</x:v>
      </x:c>
      <x:c r="AA70" s="17" t="str"/>
      <x:c r="AB70" s="17" t="n">
        <x:v>46235.836985462964</x:v>
      </x:c>
      <x:c r="AC70" s="17" t="n">
        <x:v>46235.837456712965</x:v>
      </x:c>
      <x:c r="AD70" s="17" t="str">
        <x:v>analysis.json</x:v>
      </x:c>
      <x:c r="AE70" s="18" t="n">
        <x:v>32895</x:v>
      </x:c>
      <x:c r="AF70" s="18" t="n">
        <x:v>7820.07</x:v>
      </x:c>
      <x:c r="AG70" s="18" t="n">
        <x:v>729.77</x:v>
      </x:c>
      <x:c r="AH70" s="18" t="n">
        <x:v>5117.41</x:v>
      </x:c>
      <x:c r="AI70" s="17" t="n">
        <x:v>7</x:v>
      </x:c>
      <x:c r="AJ70" s="17" t="n">
        <x:v>1</x:v>
      </x:c>
      <x:c r="AK70" s="19" t="n">
        <x:v>1</x:v>
      </x:c>
      <x:c r="AL70" s="19" t="n">
        <x:v>1</x:v>
      </x:c>
      <x:c r="AM70" s="19" t="n">
        <x:v>0</x:v>
      </x:c>
      <x:c r="AN70" s="17" t="str">
        <x:v>[
  "stock.business_segment"
]</x:v>
      </x:c>
    </x:row>
    <x:row r="71" ht="58" customHeight="1">
      <x:c r="A71" s="17" t="str">
        <x:v>BUS067</x:v>
      </x:c>
      <x:c r="B71" s="17" t="str">
        <x:v>按申万一级行业统计今天股票平均涨跌幅和上涨家数。</x:v>
      </x:c>
      <x:c r="C71" s="17" t="str">
        <x:v>industry</x:v>
      </x:c>
      <x:c r="D71" s="17" t="str">
        <x:v>industry.basic_info, industry.constitution</x:v>
      </x:c>
      <x:c r="E71" s="17" t="str"/>
      <x:c r="F71" s="17" t="str">
        <x:v>financial_qa_cc</x:v>
      </x:c>
      <x:c r="G71" s="17" t="str">
        <x:v>否</x:v>
      </x:c>
      <x:c r="H71" s="18" t="n">
        <x:v>67029.44</x:v>
      </x:c>
      <x:c r="I71" s="18" t="n">
        <x:f>IFERROR(H71/1000,"")</x:f>
        <x:v>67.02944000000001</x:v>
      </x:c>
      <x:c r="J71" s="17" t="n">
        <x:v>16</x:v>
      </x:c>
      <x:c r="K71" s="17" t="str">
        <x:v>成功</x:v>
      </x:c>
      <x:c r="L71" s="17" t="n">
        <x:v>11</x:v>
      </x:c>
      <x:c r="M71" s="17" t="n">
        <x:v>8</x:v>
      </x:c>
      <x:c r="N71" s="17" t="n">
        <x:v>0</x:v>
      </x:c>
      <x:c r="O71" s="17" t="n">
        <x:v>3</x:v>
      </x:c>
      <x:c r="P71" s="17" t="n">
        <x:v>0</x:v>
      </x:c>
      <x:c r="Q71" s="17" t="n">
        <x:v>0</x:v>
      </x:c>
      <x:c r="R71" s="19" t="n">
        <x:f>IFERROR((M71+N71)/L71,"")</x:f>
        <x:v>0.7272727272727273</x:v>
      </x:c>
      <x:c r="S71" s="17" t="n">
        <x:v>0</x:v>
      </x:c>
      <x:c r="T71" s="17" t="n">
        <x:v>0</x:v>
      </x:c>
      <x:c r="U71" s="17" t="n">
        <x:v>31143</x:v>
      </x:c>
      <x:c r="V71" s="17" t="str">
        <x:v>正确</x:v>
      </x:c>
      <x:c r="W71" s="19" t="n">
        <x:v>0.95</x:v>
      </x:c>
      <x:c r="X71" s="17" t="str">
        <x:v>否</x:v>
      </x:c>
      <x:c r="Y71" s="17" t="str"/>
      <x:c r="Z71" s="17" t="str">
        <x:v>数据已获取完毕。今天是 **2026-08-02（周日）**，数据取自最近交易日 **2026-07-31（周五）**，覆盖全部31个申万一级行业。以下是按行业统计的结果：
---
### 行业平均涨跌幅 TOP 5
| 行业 | 平均涨跌幅 |
|:--|--:|
| 计算机 | **+5.35%** |
| 传媒 | **+4.66%** |
| 通信 | **+3.72%** |
| 电子 | **+3.39%** |
| 机械设备 | **+3.33%** |
30个行业平均收涨，仅 **银行（-0.76%）** 录得平均下跌，钢铁（+0.31%）、非银金融（+0.58%）、石油石化（+0.58%）涨幅垫底。
---
### 上涨家数 TOP 5
| 行业 | 上涨家数 |
|:--|--:|
| 机械设备 | **384** |
| 医药生物 | **321** |
| 电子 | **295** |
| 计算机 | **256** |
| 基础化工 | **243** |
上涨家数最少的行业是银行（9家）、煤炭（19家）、综合（19家）、美容护理（20家）和钢铁（21家）。
---
**整体格局：** TMT板块（计算机、传媒、通信、电子）领涨，平均涨幅均超3.3%，市场情绪偏向科技成长方向；银行是唯一平均下跌的行业，且仅9只成分股收涨，表现最弱。</x:v>
      </x:c>
      <x:c r="AA71" s="17" t="str"/>
      <x:c r="AB71" s="17" t="n">
        <x:v>46235.837186516204</x:v>
      </x:c>
      <x:c r="AC71" s="17" t="n">
        <x:v>46235.83796232639</x:v>
      </x:c>
      <x:c r="AD71" s="17" t="str">
        <x:v>analysis.json</x:v>
      </x:c>
      <x:c r="AE71" s="18" t="n">
        <x:v>57907</x:v>
      </x:c>
      <x:c r="AF71" s="18" t="n">
        <x:v>9122.44</x:v>
      </x:c>
      <x:c r="AG71" s="18" t="n">
        <x:v>724.81</x:v>
      </x:c>
      <x:c r="AH71" s="18" t="n">
        <x:v>5712.78</x:v>
      </x:c>
      <x:c r="AI71" s="17" t="n">
        <x:v>16</x:v>
      </x:c>
      <x:c r="AJ71" s="17" t="n">
        <x:v>1</x:v>
      </x:c>
      <x:c r="AK71" s="19" t="n">
        <x:v>0.7273</x:v>
      </x:c>
      <x:c r="AL71" s="19" t="n">
        <x:v>0.7273</x:v>
      </x:c>
      <x:c r="AM71" s="19" t="n">
        <x:v>0.2727</x:v>
      </x:c>
      <x:c r="AN71" s="17" t="str">
        <x:v>[
  "industry.constitution.agg",
  "industry.constitution",
  "industry.basic_info"
]</x:v>
      </x:c>
    </x:row>
    <x:row r="72" ht="58" customHeight="1">
      <x:c r="A72" s="17" t="str">
        <x:v>BUS068</x:v>
      </x:c>
      <x:c r="B72" s="17" t="str">
        <x:v>筛选近20个交易日累计涨幅超过30%且当前成交额超过10亿元的股票。</x:v>
      </x:c>
      <x:c r="C72" s="17" t="str">
        <x:v>stock</x:v>
      </x:c>
      <x:c r="D72" s="17" t="str">
        <x:v>stock.quote</x:v>
      </x:c>
      <x:c r="E72" s="17" t="str"/>
      <x:c r="F72" s="17" t="str">
        <x:v>financial_qa_cc</x:v>
      </x:c>
      <x:c r="G72" s="17" t="str">
        <x:v>否</x:v>
      </x:c>
      <x:c r="H72" s="18" t="n">
        <x:v>52056.29</x:v>
      </x:c>
      <x:c r="I72" s="18" t="n">
        <x:f>IFERROR(H72/1000,"")</x:f>
        <x:v>52.056290000000004</x:v>
      </x:c>
      <x:c r="J72" s="17" t="n">
        <x:v>12</x:v>
      </x:c>
      <x:c r="K72" s="17" t="str">
        <x:v>成功</x:v>
      </x:c>
      <x:c r="L72" s="17" t="n">
        <x:v>5</x:v>
      </x:c>
      <x:c r="M72" s="17" t="n">
        <x:v>5</x:v>
      </x:c>
      <x:c r="N72" s="17" t="n">
        <x:v>0</x:v>
      </x:c>
      <x:c r="O72" s="17" t="n">
        <x:v>0</x:v>
      </x:c>
      <x:c r="P72" s="17" t="n">
        <x:v>0</x:v>
      </x:c>
      <x:c r="Q72" s="17" t="n">
        <x:v>0</x:v>
      </x:c>
      <x:c r="R72" s="19" t="n">
        <x:f>IFERROR((M72+N72)/L72,"")</x:f>
        <x:v>1</x:v>
      </x:c>
      <x:c r="S72" s="17" t="n">
        <x:v>0</x:v>
      </x:c>
      <x:c r="T72" s="17" t="n">
        <x:v>0</x:v>
      </x:c>
      <x:c r="U72" s="17" t="n">
        <x:v>25679</x:v>
      </x:c>
      <x:c r="V72" s="17" t="str">
        <x:v>部分正确</x:v>
      </x:c>
      <x:c r="W72" s="19" t="n">
        <x:v>1</x:v>
      </x:c>
      <x:c r="X72" s="17" t="str">
        <x:v>否</x:v>
      </x:c>
      <x:c r="Y72" s="17" t="str"/>
      <x:c r="Z72" s="17" t="str">
        <x:v>筛选完成！以下是同时满足**近20日累计涨幅超30%**且**最新交易日成交额超10亿元**的14只股票（数据截至2026-07-31）：
| 股票 | 代码 | 近20日涨幅 | 7/31成交额 | 7/31涨跌幅 |
|------|------|-----------|-----------|-----------|
| **深信服** | 300454.SZ | 32.78% | **50.37亿** | +14.77% |
| **西部矿业** | 601168.SH | 34.17% | **26.00亿** | +4.88% |
| **哈药股份** | 600664.SH | 85.22% | **24.27亿** | +5.94% |
| **通源石油** | 300164.SZ | 53.34% | **22.70亿** | -0.08% |
| **立新能源** | 001258.SZ | 76.29% | **19.88亿** | -0.08% |
| **惠城环保** | 300779.SZ | 33.91% | **16.25亿** | +9.82% |
| **宏桥控股** | 002379.SZ | 36.91% | **16.20亿** | -1.10% |
| **恒尚节能** | 603137.SH | 32.00% | **13.09亿** | -4.62% |
| **金牛化工** | 600722.SH | 31.78% | **12.80亿** | -1.29% |
| **科蓝软件** | 300663.SZ | 61.64% | **12.46亿** | +13.95% |
| **陇神戎发** | 300534.SZ | 80.66% | **12.45亿** | +2.69% |
| **普联软件** | 300996.SZ | 64.92% | **11.92亿** | +19.97% |
| **绿盟科技** | 300369.SZ | 34.54% | **10.87亿** | +13.41% |
| **智度股份** | 000676.SZ | 20日涨幅 | 43.21% | **10.20亿** | +9.99% |
**概况**：全市场有41只股票近20日涨幅超30%，其中14只同时满足最新日成交额超10亿元。哈药股份（+85.2%）、陇神戎发（+80.7%）、立新能源（+76.3%）累计涨幅居前，且7/31当日成交额均超10亿，显示资金承接力度较强。此外，深信服、普联软件、科蓝软件、绿盟科技等软件/信息安全类个股在7/31当日仍保持10%以上的单日涨幅，短期动量延续。</x:v>
      </x:c>
      <x:c r="AA72" s="17" t="str"/>
      <x:c r="AB72" s="17" t="n">
        <x:v>46235.83748074074</x:v>
      </x:c>
      <x:c r="AC72" s="17" t="n">
        <x:v>46235.83808325232</x:v>
      </x:c>
      <x:c r="AD72" s="17" t="str">
        <x:v>analysis.json</x:v>
      </x:c>
      <x:c r="AE72" s="18" t="n">
        <x:v>43902</x:v>
      </x:c>
      <x:c r="AF72" s="18" t="n">
        <x:v>8154.29</x:v>
      </x:c>
      <x:c r="AG72" s="18" t="n">
        <x:v>663.6</x:v>
      </x:c>
      <x:c r="AH72" s="18" t="n">
        <x:v>5453.17</x:v>
      </x:c>
      <x:c r="AI72" s="17" t="n">
        <x:v>12</x:v>
      </x:c>
      <x:c r="AJ72" s="17" t="n">
        <x:v>1</x:v>
      </x:c>
      <x:c r="AK72" s="19" t="n">
        <x:v>1</x:v>
      </x:c>
      <x:c r="AL72" s="19" t="n">
        <x:v>1</x:v>
      </x:c>
      <x:c r="AM72" s="19" t="n">
        <x:v>0</x:v>
      </x:c>
      <x:c r="AN72" s="17" t="str">
        <x:v>[
  "stock.quote.kd_pct_sum",
  "stock.quote"
]</x:v>
      </x:c>
    </x:row>
    <x:row r="73" ht="58" customHeight="1">
      <x:c r="A73" s="17" t="str">
        <x:v>BUS069</x:v>
      </x:c>
      <x:c r="B73" s="17" t="str">
        <x:v>找出近5日主力净流入合计最高且今天涨幅为正的前20只股票。</x:v>
      </x:c>
      <x:c r="C73" s="17" t="str">
        <x:v>stock</x:v>
      </x:c>
      <x:c r="D73" s="17" t="str">
        <x:v>stock.moneyflow, stock.quote</x:v>
      </x:c>
      <x:c r="E73" s="17" t="str"/>
      <x:c r="F73" s="17" t="str">
        <x:v>financial_qa_cc</x:v>
      </x:c>
      <x:c r="G73" s="17" t="str">
        <x:v>否</x:v>
      </x:c>
      <x:c r="H73" s="18" t="n">
        <x:v>98398.66</x:v>
      </x:c>
      <x:c r="I73" s="18" t="n">
        <x:f>IFERROR(H73/1000,"")</x:f>
        <x:v>98.39866</x:v>
      </x:c>
      <x:c r="J73" s="17" t="n">
        <x:v>13</x:v>
      </x:c>
      <x:c r="K73" s="17" t="str">
        <x:v>成功</x:v>
      </x:c>
      <x:c r="L73" s="17" t="n">
        <x:v>8</x:v>
      </x:c>
      <x:c r="M73" s="17" t="n">
        <x:v>6</x:v>
      </x:c>
      <x:c r="N73" s="17" t="n">
        <x:v>0</x:v>
      </x:c>
      <x:c r="O73" s="17" t="n">
        <x:v>2</x:v>
      </x:c>
      <x:c r="P73" s="17" t="n">
        <x:v>0</x:v>
      </x:c>
      <x:c r="Q73" s="17" t="n">
        <x:v>0</x:v>
      </x:c>
      <x:c r="R73" s="19" t="n">
        <x:f>IFERROR((M73+N73)/L73,"")</x:f>
        <x:v>0.75</x:v>
      </x:c>
      <x:c r="S73" s="17" t="n">
        <x:v>0</x:v>
      </x:c>
      <x:c r="T73" s="17" t="n">
        <x:v>0</x:v>
      </x:c>
      <x:c r="U73" s="17" t="n">
        <x:v>41515</x:v>
      </x:c>
      <x:c r="V73" s="17" t="str">
        <x:v>部分正确</x:v>
      </x:c>
      <x:c r="W73" s="19" t="n">
        <x:v>0.9090909090909091</x:v>
      </x:c>
      <x:c r="X73" s="17" t="str">
        <x:v>是</x:v>
      </x:c>
      <x:c r="Y73" s="17" t="str"/>
      <x:c r="Z73" s="17" t="str">
        <x:v>现在我来整理最终结果。从 r1（按近5日主力净流入合计排序）中筛选出 r2（今日涨幅为正）的股票，得到前20名。
---
**近5日主力净流入合计最高且今日涨幅为正的Top 20股票：**
| 排名 | 股票 | 近5日主力净流入(元) | 今日涨幅(%) |
|:---:|:---|:---:|:---:|
| 1 | **中国巨石** | 31.74亿 | +3.28 |
| 2 | **太极实业** | 31.07亿 | +10.03 |
| 3 | **三环集团** | 28.15亿 | +6.86 |
| 4 | **蓝色光标** | 23.42亿 | +19.98 |
| 5 | **普冉股份** | 18.34亿 | +0.50 |
| 6 | **利欧股份** | 17.44亿 | +9.91 |
| 7 | **江淮汽车** | 11.96亿 | +7.67 |
| 8 | **紫金矿业** | 10.77亿 | +0.76 |
| 9 | **金山办公** | 10.70亿 | +6.67 |
| 10 | **昆仑万维** | 9.45亿 | +20.00 |
| 11 | **药明康德** | 9.15亿 | +2.41 |
| 12 | **华峰测控** | 8.74亿 | +7.13 |
| 13 | **巨人网络** | 7.70亿 | +5.85 |
| 14 | **赛力斯** | 7.44亿 | +1.11 |
| 15 | **国瓷材料** | 7.31亿 | +1.24 |
| 16 | **正帆科技** | 7.25亿 | +1.78 |
| 17 | **博迁新材** | 6.84亿 | +2.35 |
| 18 | **宏和科技** | 6.08亿 | +2.38 |
| 19 | **利和兴** | 5.84亿 | +11.81 |
| 20 | **双星新材** | 5.82亿 | +4.16 |
**要点：**
- 近5日主力净流入合计最高的是**长鑫科技**（812.8亿），但今日涨幅未转正，因此未进入前20。
- 前20中，**昆仑万维**（+20.00%）、**蓝色光标**（+19.98%）和**太极实业**（+10.03%）今日涨幅领先，其中蓝色光标和昆仑万维近5日主力净流入均超9亿，量价配合明显。
- 整体来看，榜单覆盖了玻纤（中国巨石）、半导体（太极实业、华峰测控）、AI应用（昆仑万维、蓝色光标、金山办公）、新能源车（江淮汽车、赛力斯）等多条主线，资金面与股价表现同步共振较强。</x:v>
      </x:c>
      <x:c r="AA73" s="17" t="str"/>
      <x:c r="AB73" s="17" t="n">
        <x:v>46235.837982523146</x:v>
      </x:c>
      <x:c r="AC73" s="17" t="n">
        <x:v>46235.839121412035</x:v>
      </x:c>
      <x:c r="AD73" s="17" t="str">
        <x:v>analysis.json</x:v>
      </x:c>
      <x:c r="AE73" s="18" t="n">
        <x:v>90321</x:v>
      </x:c>
      <x:c r="AF73" s="18" t="n">
        <x:v>8077.66</x:v>
      </x:c>
      <x:c r="AG73" s="18" t="n">
        <x:v>698.62</x:v>
      </x:c>
      <x:c r="AH73" s="18" t="n">
        <x:v>5470.32</x:v>
      </x:c>
      <x:c r="AI73" s="17" t="n">
        <x:v>13</x:v>
      </x:c>
      <x:c r="AJ73" s="17" t="n">
        <x:v>1</x:v>
      </x:c>
      <x:c r="AK73" s="19" t="n">
        <x:v>0.75</x:v>
      </x:c>
      <x:c r="AL73" s="19" t="n">
        <x:v>0.75</x:v>
      </x:c>
      <x:c r="AM73" s="19" t="n">
        <x:v>0.25</x:v>
      </x:c>
      <x:c r="AN73" s="17" t="str">
        <x:v>[
  "stock.moneyflow.kd_main_net_sum",
  "stock.quote"
]</x:v>
      </x:c>
    </x:row>
    <x:row r="74" ht="58" customHeight="1">
      <x:c r="A74" s="17" t="str">
        <x:v>BUS070</x:v>
      </x:c>
      <x:c r="B74" s="17" t="str">
        <x:v>筛选ROE高于15%、PE_TTM低于25且最新涨幅为正的股票。</x:v>
      </x:c>
      <x:c r="C74" s="17" t="str">
        <x:v>stock</x:v>
      </x:c>
      <x:c r="D74" s="17" t="str">
        <x:v>stock.financial_3_table, stock.pricevalue, stock.quote</x:v>
      </x:c>
      <x:c r="E74" s="17" t="str"/>
      <x:c r="F74" s="17" t="str">
        <x:v>financial_qa_cc</x:v>
      </x:c>
      <x:c r="G74" s="17" t="str">
        <x:v>否</x:v>
      </x:c>
      <x:c r="H74" s="18" t="n">
        <x:v>42168.75</x:v>
      </x:c>
      <x:c r="I74" s="18" t="n">
        <x:f>IFERROR(H74/1000,"")</x:f>
        <x:v>42.16875</x:v>
      </x:c>
      <x:c r="J74" s="17" t="n">
        <x:v>7</x:v>
      </x:c>
      <x:c r="K74" s="17" t="str">
        <x:v>成功</x:v>
      </x:c>
      <x:c r="L74" s="17" t="n">
        <x:v>8</x:v>
      </x:c>
      <x:c r="M74" s="17" t="n">
        <x:v>8</x:v>
      </x:c>
      <x:c r="N74" s="17" t="n">
        <x:v>0</x:v>
      </x:c>
      <x:c r="O74" s="17" t="n">
        <x:v>0</x:v>
      </x:c>
      <x:c r="P74" s="17" t="n">
        <x:v>0</x:v>
      </x:c>
      <x:c r="Q74" s="17" t="n">
        <x:v>0</x:v>
      </x:c>
      <x:c r="R74" s="19" t="n">
        <x:f>IFERROR((M74+N74)/L74,"")</x:f>
        <x:v>1</x:v>
      </x:c>
      <x:c r="S74" s="17" t="n">
        <x:v>0</x:v>
      </x:c>
      <x:c r="T74" s="17" t="n">
        <x:v>0</x:v>
      </x:c>
      <x:c r="U74" s="17" t="n">
        <x:v>20605</x:v>
      </x:c>
      <x:c r="V74" s="17" t="str">
        <x:v>错误</x:v>
      </x:c>
      <x:c r="W74" s="19" t="n">
        <x:v>1</x:v>
      </x:c>
      <x:c r="X74" s="17" t="str">
        <x:v>否</x:v>
      </x:c>
      <x:c r="Y74" s="17" t="str"/>
      <x:c r="Z74" s="17" t="str">
        <x:v>筛选完成，以下是全过程和结果：
---
**筛选条件：ROE &gt; 15% 且 PE_TTM &lt; 25 且 最新涨幅为正**
**数据口径：** 财务数据基于最新一期报告（2026-06-30 中报），估值数据为最新交易日，涨跌幅为盘中实时行情。
**第一步：ROE &gt; 15% → 11 只股票入围**
泽璟制药（45.70%）、东方精工（50.44%）、金煤科技（28.56%）、亚翔集成（20.91%）、西部矿业（20.41%）、东鹏饮料（19.84%）、仕佳光子（19.28%）、神火股份（18.30%）、昊志机电（15.66%）、智微智能（15.63%）、退市商城（101.36%）。
**第二步：PE_TTM &lt; 25 → 5 只通过**
| 股票 | ROE | PE_TTM |
|------|:---:|:------:|
| 东方精工 | 50.44% | 4.66 |
| 神火股份 | 18.30% | 8.52 |
| 西部矿业 | 20.41% | 15.41 |
| 东鹏饮料 | 19.84% | 20.33 |
| 金煤科技 | 28.56% | -44.03 |
**第三步：最新涨幅为正 → 最终 2 只命中**
- **东方精工（002611）** — ROE 50.44%，PE_TTM 4.66，最新涨幅 **+1.85%**，收盘价 15.98 元
- **西部矿业（601168）** — ROE 20.41%，PE_TTM 15.41，最新涨幅 **+4.15%**，收盘价 38.17 元
两只股票的共同特征是：高盈利（ROE均超20%）、低估值（PE_TTM均低于16倍），且当天盘中均保持上涨态势。</x:v>
      </x:c>
      <x:c r="AA74" s="17" t="str"/>
      <x:c r="AB74" s="17" t="n">
        <x:v>46235.83810596065</x:v>
      </x:c>
      <x:c r="AC74" s="17" t="n">
        <x:v>46235.83859402778</x:v>
      </x:c>
      <x:c r="AD74" s="17" t="str">
        <x:v>analysis.json</x:v>
      </x:c>
      <x:c r="AE74" s="18" t="n">
        <x:v>33533</x:v>
      </x:c>
      <x:c r="AF74" s="18" t="n">
        <x:v>8635.75</x:v>
      </x:c>
      <x:c r="AG74" s="18" t="n">
        <x:v>750.58</x:v>
      </x:c>
      <x:c r="AH74" s="18" t="n">
        <x:v>5741.65</x:v>
      </x:c>
      <x:c r="AI74" s="17" t="n">
        <x:v>7</x:v>
      </x:c>
      <x:c r="AJ74" s="17" t="n">
        <x:v>1</x:v>
      </x:c>
      <x:c r="AK74" s="19" t="n">
        <x:v>1</x:v>
      </x:c>
      <x:c r="AL74" s="19" t="n">
        <x:v>1</x:v>
      </x:c>
      <x:c r="AM74" s="19" t="n">
        <x:v>0</x:v>
      </x:c>
      <x:c r="AN74" s="17" t="str">
        <x:v>[
  "stock.financial_3_table",
  "stock.pricevalue",
  "stock.quote"
]</x:v>
      </x:c>
    </x:row>
    <x:row r="75" ht="58" customHeight="1">
      <x:c r="A75" s="17" t="str">
        <x:v>BUS071</x:v>
      </x:c>
      <x:c r="B75" s="17" t="str">
        <x:v>同时查询贵州茅台当前行情、最新PE/PB和最新股东户数。</x:v>
      </x:c>
      <x:c r="C75" s="17" t="str">
        <x:v>stock</x:v>
      </x:c>
      <x:c r="D75" s="17" t="str">
        <x:v>stock.quote, stock.pricevalue, stock.shareholder</x:v>
      </x:c>
      <x:c r="E75" s="17" t="str"/>
      <x:c r="F75" s="17" t="str">
        <x:v>financial_qa_cc</x:v>
      </x:c>
      <x:c r="G75" s="17" t="str">
        <x:v>否</x:v>
      </x:c>
      <x:c r="H75" s="18" t="n">
        <x:v>69208.08</x:v>
      </x:c>
      <x:c r="I75" s="18" t="n">
        <x:f>IFERROR(H75/1000,"")</x:f>
        <x:v>69.20808</x:v>
      </x:c>
      <x:c r="J75" s="17" t="n">
        <x:v>5</x:v>
      </x:c>
      <x:c r="K75" s="17" t="str">
        <x:v>成功</x:v>
      </x:c>
      <x:c r="L75" s="17" t="n">
        <x:v>6</x:v>
      </x:c>
      <x:c r="M75" s="17" t="n">
        <x:v>6</x:v>
      </x:c>
      <x:c r="N75" s="17" t="n">
        <x:v>0</x:v>
      </x:c>
      <x:c r="O75" s="17" t="n">
        <x:v>0</x:v>
      </x:c>
      <x:c r="P75" s="17" t="n">
        <x:v>0</x:v>
      </x:c>
      <x:c r="Q75" s="17" t="n">
        <x:v>0</x:v>
      </x:c>
      <x:c r="R75" s="19" t="n">
        <x:f>IFERROR((M75+N75)/L75,"")</x:f>
        <x:v>1</x:v>
      </x:c>
      <x:c r="S75" s="17" t="n">
        <x:v>0</x:v>
      </x:c>
      <x:c r="T75" s="17" t="n">
        <x:v>0</x:v>
      </x:c>
      <x:c r="U75" s="17" t="n">
        <x:v>22495</x:v>
      </x:c>
      <x:c r="V75" s="17" t="str">
        <x:v>部分正确</x:v>
      </x:c>
      <x:c r="W75" s="19" t="n">
        <x:v>1</x:v>
      </x:c>
      <x:c r="X75" s="17" t="str">
        <x:v>否</x:v>
      </x:c>
      <x:c r="Y75" s="17" t="str"/>
      <x:c r="Z75" s="17" t="str">
        <x:v>三项数据均已查到，口径如下：
**📊 最新行情（2026-07-31 周五）**
- 收盘价：**1,350.60 元**，跌 0.82%
- 成交额：73.73 亿元，换手率 0.44%
**📈 最新估值（同日）**
- PE（静态）：**20.41 倍** | PE（TTM）：**20.41 倍**
- PB：**6.23 倍**
- 总市值：**1.69 万亿元**
**👥 最新股东户数**
- 截至 **2026-03-31**（一季报）：**243,159 户**
茅台当前静态 PE 约 20.4 倍，处于历史相对偏低水平，市值维持在 1.69 万亿。股东户数数据目前披露至一季报，最新二季报披露后可查到更近的户数变化。</x:v>
      </x:c>
      <x:c r="AA75" s="17" t="str"/>
      <x:c r="AB75" s="17" t="n">
        <x:v>46235.83861462963</x:v>
      </x:c>
      <x:c r="AC75" s="17" t="n">
        <x:v>46235.83941565972</x:v>
      </x:c>
      <x:c r="AD75" s="17" t="str">
        <x:v>analysis.json</x:v>
      </x:c>
      <x:c r="AE75" s="18" t="n">
        <x:v>59206</x:v>
      </x:c>
      <x:c r="AF75" s="18" t="n">
        <x:v>10002.08</x:v>
      </x:c>
      <x:c r="AG75" s="18" t="n">
        <x:v>873.85</x:v>
      </x:c>
      <x:c r="AH75" s="18" t="n">
        <x:v>5459.93</x:v>
      </x:c>
      <x:c r="AI75" s="17" t="n">
        <x:v>5</x:v>
      </x:c>
      <x:c r="AJ75" s="17" t="n">
        <x:v>1</x:v>
      </x:c>
      <x:c r="AK75" s="19" t="n">
        <x:v>1</x:v>
      </x:c>
      <x:c r="AL75" s="19" t="n">
        <x:v>1</x:v>
      </x:c>
      <x:c r="AM75" s="19" t="n">
        <x:v>0</x:v>
      </x:c>
      <x:c r="AN75" s="17" t="str">
        <x:v>[
  "stock.quote",
  "stock.pricevalue",
  "stock.shareholder"
]</x:v>
      </x:c>
    </x:row>
    <x:row r="76" ht="58" customHeight="1">
      <x:c r="A76" s="17" t="str">
        <x:v>BUS072</x:v>
      </x:c>
      <x:c r="B76" s="17" t="str">
        <x:v>找出今天主力净流入前20只股票，并返回它们的融资余额和涨跌幅。</x:v>
      </x:c>
      <x:c r="C76" s="17" t="str">
        <x:v>stock</x:v>
      </x:c>
      <x:c r="D76" s="17" t="str">
        <x:v>stock.moneyflow, stock.margin, stock.quote</x:v>
      </x:c>
      <x:c r="E76" s="17" t="str"/>
      <x:c r="F76" s="17" t="str">
        <x:v>financial_qa_cc</x:v>
      </x:c>
      <x:c r="G76" s="17" t="str">
        <x:v>否</x:v>
      </x:c>
      <x:c r="H76" s="18" t="n">
        <x:v>47510.37</x:v>
      </x:c>
      <x:c r="I76" s="18" t="n">
        <x:f>IFERROR(H76/1000,"")</x:f>
        <x:v>47.51037</x:v>
      </x:c>
      <x:c r="J76" s="17" t="n">
        <x:v>7</x:v>
      </x:c>
      <x:c r="K76" s="17" t="str">
        <x:v>成功</x:v>
      </x:c>
      <x:c r="L76" s="17" t="n">
        <x:v>8</x:v>
      </x:c>
      <x:c r="M76" s="17" t="n">
        <x:v>8</x:v>
      </x:c>
      <x:c r="N76" s="17" t="n">
        <x:v>0</x:v>
      </x:c>
      <x:c r="O76" s="17" t="n">
        <x:v>0</x:v>
      </x:c>
      <x:c r="P76" s="17" t="n">
        <x:v>0</x:v>
      </x:c>
      <x:c r="Q76" s="17" t="n">
        <x:v>0</x:v>
      </x:c>
      <x:c r="R76" s="19" t="n">
        <x:f>IFERROR((M76+N76)/L76,"")</x:f>
        <x:v>1</x:v>
      </x:c>
      <x:c r="S76" s="17" t="n">
        <x:v>0</x:v>
      </x:c>
      <x:c r="T76" s="17" t="n">
        <x:v>0</x:v>
      </x:c>
      <x:c r="U76" s="17" t="n">
        <x:v>20952</x:v>
      </x:c>
      <x:c r="V76" s="17" t="str">
        <x:v>部分正确</x:v>
      </x:c>
      <x:c r="W76" s="19" t="n">
        <x:v>0.95</x:v>
      </x:c>
      <x:c r="X76" s="17" t="str">
        <x:v>否</x:v>
      </x:c>
      <x:c r="Y76" s="17" t="str"/>
      <x:c r="Z76" s="17" t="str">
        <x:v>数据已全部取回。以下是 **7月31日（最近交易日）** 主力净流入前20只股票的情况：
---
**主力净流入前20 &amp; 涨跌幅**
| 排名 | 股票 | 主力净流入（元） | 涨跌幅 |
|:---:|:---|:---|:---:|
| 1 | 东山精密 | 35.46亿 | +5.98% |
| 2 | 太极实业 | 29.21亿 | +10.03% |
| 3 | 蓝色光标 | 24.16亿 | +19.98% |
| 4 | 中国巨石 | 22.88亿 | +3.30% |
| 5 | 新易盛 | 18.06亿 | +6.71% |
| 6 | 中际旭创 | 17.56亿 | +4.40% |
| 7 | 寒武纪 | 16.71亿 | +6.10% |
| 8 | 兆易创新 | 16.45亿 | +2.02% |
| 9 | 生益科技 | 14.43亿 | +5.56% |
| 10 | 三环集团 | 13.05亿 | +6.06% |
| 11 | 普冉股份 | 12.92亿 | +0.50% |
| 12 | 北京君正 | 12.24亿 | +2.55% |
| 13 | 利欧股份 | 11.89亿 | +9.91% |
| 14 | 昆仑万维 | 10.19亿 | +20.00% |
| 15 | 长鑫科技 | 10.06亿 | +2.08% |
| 16 | 云南锗业 | 9.68亿 | +8.33% |
| 17 | 利通电子 | 9.40亿 | +10.00% |
| 18 | 金山办公 | 9.04亿 | +6.90% |
| 19 | 光迅科技 | 8.68亿 | +6.12% |
| 20 | 佰维存储 | 8.43亿 | +2.80% |
**融资余额**：当前数据源未返回融资余额记录，该字段暂不可得。
**整体特征**：当日主力资金大幅流入科技/半导体方向（东山精密、太极实业、新易盛、中际旭创、寒武纪等），且前20只股票全部收涨，其中昆仑万维（+20%）、蓝色光标（+20%）和太极实业（+10%）涨停或逼近涨停，显示主力资金驱动下的强势行情。</x:v>
      </x:c>
      <x:c r="AA76" s="17" t="str"/>
      <x:c r="AB76" s="17" t="n">
        <x:v>46235.83913965278</x:v>
      </x:c>
      <x:c r="AC76" s="17" t="n">
        <x:v>46235.83968954861</x:v>
      </x:c>
      <x:c r="AD76" s="17" t="str">
        <x:v>analysis.json</x:v>
      </x:c>
      <x:c r="AE76" s="18" t="n">
        <x:v>39072</x:v>
      </x:c>
      <x:c r="AF76" s="18" t="n">
        <x:v>8438.37</x:v>
      </x:c>
      <x:c r="AG76" s="18" t="n">
        <x:v>741.6</x:v>
      </x:c>
      <x:c r="AH76" s="18" t="n">
        <x:v>5478.42</x:v>
      </x:c>
      <x:c r="AI76" s="17" t="n">
        <x:v>7</x:v>
      </x:c>
      <x:c r="AJ76" s="17" t="n">
        <x:v>1</x:v>
      </x:c>
      <x:c r="AK76" s="19" t="n">
        <x:v>1</x:v>
      </x:c>
      <x:c r="AL76" s="19" t="n">
        <x:v>1</x:v>
      </x:c>
      <x:c r="AM76" s="19" t="n">
        <x:v>0</x:v>
      </x:c>
      <x:c r="AN76" s="17" t="str">
        <x:v>[
  "stock.moneyflow",
  "stock.margin",
  "stock.quote"
]</x:v>
      </x:c>
    </x:row>
    <x:row r="77" ht="58" customHeight="1">
      <x:c r="A77" s="17" t="str">
        <x:v>BUS073</x:v>
      </x:c>
      <x:c r="B77" s="17" t="str">
        <x:v>查询宁德时代最新财务ROE、当前估值和最近10日股价表现。</x:v>
      </x:c>
      <x:c r="C77" s="17" t="str">
        <x:v>stock</x:v>
      </x:c>
      <x:c r="D77" s="17" t="str">
        <x:v>stock.financial_3_table, stock.pricevalue, stock.quote</x:v>
      </x:c>
      <x:c r="E77" s="17" t="str"/>
      <x:c r="F77" s="17" t="str">
        <x:v>financial_qa_cc</x:v>
      </x:c>
      <x:c r="G77" s="17" t="str">
        <x:v>否</x:v>
      </x:c>
      <x:c r="H77" s="18" t="n">
        <x:v>42984.17</x:v>
      </x:c>
      <x:c r="I77" s="18" t="n">
        <x:f>IFERROR(H77/1000,"")</x:f>
        <x:v>42.98417</x:v>
      </x:c>
      <x:c r="J77" s="17" t="n">
        <x:v>6</x:v>
      </x:c>
      <x:c r="K77" s="17" t="str">
        <x:v>成功</x:v>
      </x:c>
      <x:c r="L77" s="17" t="n">
        <x:v>7</x:v>
      </x:c>
      <x:c r="M77" s="17" t="n">
        <x:v>7</x:v>
      </x:c>
      <x:c r="N77" s="17" t="n">
        <x:v>0</x:v>
      </x:c>
      <x:c r="O77" s="17" t="n">
        <x:v>0</x:v>
      </x:c>
      <x:c r="P77" s="17" t="n">
        <x:v>0</x:v>
      </x:c>
      <x:c r="Q77" s="17" t="n">
        <x:v>0</x:v>
      </x:c>
      <x:c r="R77" s="19" t="n">
        <x:f>IFERROR((M77+N77)/L77,"")</x:f>
        <x:v>1</x:v>
      </x:c>
      <x:c r="S77" s="17" t="n">
        <x:v>0</x:v>
      </x:c>
      <x:c r="T77" s="17" t="n">
        <x:v>0</x:v>
      </x:c>
      <x:c r="U77" s="17" t="n">
        <x:v>26614</x:v>
      </x:c>
      <x:c r="V77" s="17" t="str">
        <x:v>正确</x:v>
      </x:c>
      <x:c r="W77" s="19" t="n">
        <x:v>1</x:v>
      </x:c>
      <x:c r="X77" s="17" t="str">
        <x:v>否</x:v>
      </x:c>
      <x:c r="Y77" s="17" t="str"/>
      <x:c r="Z77" s="17" t="str">
        <x:v>以下是宁德时代（300750.SZ）三项核心数据：
---
**① 最新ROE（2026年半年报，截至2026-06-30）**
| 指标 | 数值 |
|------|------|
| ROE | **12.08%** |
| 扣非ROE | 10.89% |
| 归母净利润 | 432.84亿元 |
| 归母权益 | 3,793.54亿元 |
半年ROE已达12%，全年维度盈利能力强劲。
---
**② 当前估值（2026-07-31收盘）**
| 指标 | 数值 |
|------|------|
| PE（TTM） | **21.52倍** |
| PB（MRQ） | **4.82倍** |
| 总市值 | **1.86万亿元** |
---
**③ 最近10个交易日股价表现（2026-07-20 → 2026-07-31）**
期间从376.43元涨至395.30元，累计上涨 **+5.0%**。节奏上先扬后震荡：
| 日期 | 收盘价（元） | 涨跌幅 | 成交额（亿元） |
|------|------------|-------|-------------|
| 07-20 | 376.43 | **+4.56%** | 16.63 |
| 07-21 | 382.20 | +1.53% | 16.94 |
| 07-22 | 372.26 | -2.60% | 11.69 |
| 07-23 | 385.99 | **+3.69%** | 13.61 |
| 07-24 | 383.01 | -0.77% | 9.82 |
| 07-27 | 400.00 | **+4.44%** | 18.88 |
| 07-28 | 390.86 | -2.29% | 14.65 |
| 07-29 | 396.84 | +1.53% | 15.93 |
| 07-30 | 401.88 | +1.27% | 18.10 |
| 07-31 | 395.30 | -1.64% | 15.60 |
整体来看，10日中有两个明显放量阳线（7/20和7/27涨幅超4.4%），股价中枢从376元上移至395元附近，成交额日均约15.2亿元，交投活跃。</x:v>
      </x:c>
      <x:c r="AA77" s="17" t="str"/>
      <x:c r="AB77" s="17" t="n">
        <x:v>46235.839442627315</x:v>
      </x:c>
      <x:c r="AC77" s="17" t="n">
        <x:v>46235.83994012731</x:v>
      </x:c>
      <x:c r="AD77" s="17" t="str">
        <x:v>analysis.json</x:v>
      </x:c>
      <x:c r="AE77" s="18" t="n">
        <x:v>32260</x:v>
      </x:c>
      <x:c r="AF77" s="18" t="n">
        <x:v>10724.17</x:v>
      </x:c>
      <x:c r="AG77" s="18" t="n">
        <x:v>862.13</x:v>
      </x:c>
      <x:c r="AH77" s="18" t="n">
        <x:v>5407.79</x:v>
      </x:c>
      <x:c r="AI77" s="17" t="n">
        <x:v>6</x:v>
      </x:c>
      <x:c r="AJ77" s="17" t="n">
        <x:v>1</x:v>
      </x:c>
      <x:c r="AK77" s="19" t="n">
        <x:v>1</x:v>
      </x:c>
      <x:c r="AL77" s="19" t="n">
        <x:v>1</x:v>
      </x:c>
      <x:c r="AM77" s="19" t="n">
        <x:v>0</x:v>
      </x:c>
      <x:c r="AN77" s="17" t="str">
        <x:v>[
  "stock.financial_3_table",
  "stock.pricevalue",
  "stock.quote"
]</x:v>
      </x:c>
    </x:row>
    <x:row r="78" ht="58" customHeight="1">
      <x:c r="A78" s="17" t="str">
        <x:v>BUS074</x:v>
      </x:c>
      <x:c r="B78" s="17" t="str">
        <x:v>筛选最新现金分红较高且当前PE_TTM低于20的股票。</x:v>
      </x:c>
      <x:c r="C78" s="17" t="str">
        <x:v>stock</x:v>
      </x:c>
      <x:c r="D78" s="17" t="str">
        <x:v>stock.corporate_action, stock.pricevalue</x:v>
      </x:c>
      <x:c r="E78" s="17" t="str"/>
      <x:c r="F78" s="17" t="str">
        <x:v>financial_qa_cc</x:v>
      </x:c>
      <x:c r="G78" s="17" t="str">
        <x:v>否</x:v>
      </x:c>
      <x:c r="H78" s="18" t="n">
        <x:v>80748.96</x:v>
      </x:c>
      <x:c r="I78" s="18" t="n">
        <x:f>IFERROR(H78/1000,"")</x:f>
        <x:v>80.74896000000001</x:v>
      </x:c>
      <x:c r="J78" s="17" t="n">
        <x:v>14</x:v>
      </x:c>
      <x:c r="K78" s="17" t="str">
        <x:v>成功</x:v>
      </x:c>
      <x:c r="L78" s="17" t="n">
        <x:v>8</x:v>
      </x:c>
      <x:c r="M78" s="17" t="n">
        <x:v>8</x:v>
      </x:c>
      <x:c r="N78" s="17" t="n">
        <x:v>0</x:v>
      </x:c>
      <x:c r="O78" s="17" t="n">
        <x:v>0</x:v>
      </x:c>
      <x:c r="P78" s="17" t="n">
        <x:v>0</x:v>
      </x:c>
      <x:c r="Q78" s="17" t="n">
        <x:v>0</x:v>
      </x:c>
      <x:c r="R78" s="19" t="n">
        <x:f>IFERROR((M78+N78)/L78,"")</x:f>
        <x:v>1</x:v>
      </x:c>
      <x:c r="S78" s="17" t="n">
        <x:v>0</x:v>
      </x:c>
      <x:c r="T78" s="17" t="n">
        <x:v>0</x:v>
      </x:c>
      <x:c r="U78" s="17" t="n">
        <x:v>37041</x:v>
      </x:c>
      <x:c r="V78" s="17" t="str">
        <x:v>错误</x:v>
      </x:c>
      <x:c r="W78" s="19" t="n">
        <x:v>0.95</x:v>
      </x:c>
      <x:c r="X78" s="17" t="str">
        <x:v>否</x:v>
      </x:c>
      <x:c r="Y78" s="17" t="str"/>
      <x:c r="Z78" s="17" t="str">
        <x:v>筛选完成！以下是 **PE_TTM &lt; 20 且最新现金分红较高的股票**，按每股分红金额降序排列（数据截至 2026-08-01 最新交易日）：
---
### 🏆 Top 候选
| 股票 | 每股分红(元) | 公告日 | PE_TTM | 总市值(亿) |
|:--|:--:|:--:|:--:|:--:|
| **山西汾酒** | **6.56** | 07-27 | 14.14 | 1,552 |
| **达仁堂** | **2.34** | 07-03 | 13.52 | 218 |
| **新华保险** | **2.06** | 07-31 | **5.34** | 1,750 |
| **中国太保** | **1.15** | 07-09 | **5.77** | 2,949 |
| **招商银行** | **1.00** | 07-04 | **6.63** | 10,196 |
| **华域汽车** | **1.00** | 07-22 | **7.41** | 532 |
| **新奥股份** | **0.96** | 07-03 | 12.64 | 551 |
| **海信视像** | **0.94** | 08-01 | 14.23 | 355 |
| **成都银行** | **0.92** | 07-07 | **5.84** | 784 |
| **宁波银行** | **0.90** | 07-09 | **6.99** | 2,105 |
| **瀚蓝环境** | **0.80** | 07-10 | 11.84 | 252 |
| **招商港口** | **0.80** | 07-08 | — | — |
| **老凤祥** | **1.32** | 07-08 | 11.17 | 157 |
| **中国人寿** | **0.62** | 07-03 | **7.72** | 10,110 |
| **广发证券** | **0.50** | 07-31 | 10.68 | 1,545 |
---
### 关键发现
**双重低估值+高分红的代表**：新华保险（PE 5.34 + 每股派2.06元）、招商银行（PE 6.63 + 每股派1.00元）、成都银行（PE 5.84 + 每股派0.92元）、中国太保（PE 5.77 + 每股派1.15元）等，既满足 PE_TTM &lt; 20，又给出了业内领先的现金分红方案。
**高分红的行业分布**：银行（招商、浦发、宁波、成都）、保险（新华、太保、人寿）、白酒（山西汾酒）、中药（达仁堂）和公用事业（瀚蓝环境、申能股份）是 PE 低且分红高的主要板块。
**筛选口径说明**：PE_TTM 取自最新交易日（2026-08-01 前最近交易日），现金分红为最新公告的分红预案（div_progress=5 表示已实施或已公告），每股分红为税前金额。
需要我进一步分析其中某只股票的分红可持续性，或按股息率排序做个对比吗？</x:v>
      </x:c>
      <x:c r="AA78" s="17" t="str"/>
      <x:c r="AB78" s="17" t="n">
        <x:v>46235.839712280096</x:v>
      </x:c>
      <x:c r="AC78" s="17" t="n">
        <x:v>46235.84064688657</x:v>
      </x:c>
      <x:c r="AD78" s="17" t="str">
        <x:v>analysis.json</x:v>
      </x:c>
      <x:c r="AE78" s="18" t="n">
        <x:v>70498</x:v>
      </x:c>
      <x:c r="AF78" s="18" t="n">
        <x:v>10250.96</x:v>
      </x:c>
      <x:c r="AG78" s="18" t="n">
        <x:v>766.47</x:v>
      </x:c>
      <x:c r="AH78" s="18" t="n">
        <x:v>5752.86</x:v>
      </x:c>
      <x:c r="AI78" s="17" t="n">
        <x:v>14</x:v>
      </x:c>
      <x:c r="AJ78" s="17" t="n">
        <x:v>1</x:v>
      </x:c>
      <x:c r="AK78" s="19" t="n">
        <x:v>1</x:v>
      </x:c>
      <x:c r="AL78" s="19" t="n">
        <x:v>1</x:v>
      </x:c>
      <x:c r="AM78" s="19" t="n">
        <x:v>0</x:v>
      </x:c>
      <x:c r="AN78" s="17" t="str">
        <x:v>[
  "stock.pricevalue",
  "stock.corporate_action"
]</x:v>
      </x:c>
    </x:row>
    <x:row r="79" ht="58" customHeight="1">
      <x:c r="A79" s="17" t="str">
        <x:v>BUS075</x:v>
      </x:c>
      <x:c r="B79" s="17" t="str">
        <x:v>查询沪深300指数代码和指数名称。</x:v>
      </x:c>
      <x:c r="C79" s="17" t="str">
        <x:v>index</x:v>
      </x:c>
      <x:c r="D79" s="17" t="str">
        <x:v>index.basic_info</x:v>
      </x:c>
      <x:c r="E79" s="17" t="str"/>
      <x:c r="F79" s="17" t="str">
        <x:v>financial_qa_cc</x:v>
      </x:c>
      <x:c r="G79" s="17" t="str">
        <x:v>否</x:v>
      </x:c>
      <x:c r="H79" s="18" t="n">
        <x:v>17471.7</x:v>
      </x:c>
      <x:c r="I79" s="18" t="n">
        <x:f>IFERROR(H79/1000,"")</x:f>
        <x:v>17.471700000000002</x:v>
      </x:c>
      <x:c r="J79" s="17" t="n">
        <x:v>3</x:v>
      </x:c>
      <x:c r="K79" s="17" t="str">
        <x:v>成功</x:v>
      </x:c>
      <x:c r="L79" s="17" t="n">
        <x:v>2</x:v>
      </x:c>
      <x:c r="M79" s="17" t="n">
        <x:v>2</x:v>
      </x:c>
      <x:c r="N79" s="17" t="n">
        <x:v>0</x:v>
      </x:c>
      <x:c r="O79" s="17" t="n">
        <x:v>0</x:v>
      </x:c>
      <x:c r="P79" s="17" t="n">
        <x:v>0</x:v>
      </x:c>
      <x:c r="Q79" s="17" t="n">
        <x:v>0</x:v>
      </x:c>
      <x:c r="R79" s="19" t="n">
        <x:f>IFERROR((M79+N79)/L79,"")</x:f>
        <x:v>1</x:v>
      </x:c>
      <x:c r="S79" s="17" t="n">
        <x:v>0</x:v>
      </x:c>
      <x:c r="T79" s="17" t="n">
        <x:v>0</x:v>
      </x:c>
      <x:c r="U79" s="17" t="n">
        <x:v>3903</x:v>
      </x:c>
      <x:c r="V79" s="17" t="str">
        <x:v>正确</x:v>
      </x:c>
      <x:c r="W79" s="19" t="n">
        <x:v>1</x:v>
      </x:c>
      <x:c r="X79" s="17" t="str">
        <x:v>否</x:v>
      </x:c>
      <x:c r="Y79" s="17" t="str"/>
      <x:c r="Z79" s="17" t="str">
        <x:v>沪深300指数的信息如下：
- **指数代码**：000300.SH
- **指数名称**：沪深300
该指数由沪深市场中规模大、流动性好的最具代表性的300只证券组成，综合反映沪深市场上市公司证券的整体表现。</x:v>
      </x:c>
      <x:c r="AA79" s="17" t="str"/>
      <x:c r="AB79" s="17" t="n">
        <x:v>46235.839968761575</x:v>
      </x:c>
      <x:c r="AC79" s="17" t="n">
        <x:v>46235.8401709838</x:v>
      </x:c>
      <x:c r="AD79" s="17" t="str">
        <x:v>analysis.json</x:v>
      </x:c>
      <x:c r="AE79" s="18" t="n">
        <x:v>9326</x:v>
      </x:c>
      <x:c r="AF79" s="18" t="n">
        <x:v>8145.7</x:v>
      </x:c>
      <x:c r="AG79" s="18" t="n">
        <x:v>826.66</x:v>
      </x:c>
      <x:c r="AH79" s="18" t="n">
        <x:v>5681.63</x:v>
      </x:c>
      <x:c r="AI79" s="17" t="n">
        <x:v>3</x:v>
      </x:c>
      <x:c r="AJ79" s="17" t="n">
        <x:v>1</x:v>
      </x:c>
      <x:c r="AK79" s="19" t="n">
        <x:v>1</x:v>
      </x:c>
      <x:c r="AL79" s="19" t="n">
        <x:v>1</x:v>
      </x:c>
      <x:c r="AM79" s="19" t="n">
        <x:v>0</x:v>
      </x:c>
      <x:c r="AN79" s="17" t="str">
        <x:v>[
  "index.basic_info"
]</x:v>
      </x:c>
    </x:row>
    <x:row r="80" ht="58" customHeight="1">
      <x:c r="A80" s="17" t="str">
        <x:v>BUS076</x:v>
      </x:c>
      <x:c r="B80" s="17" t="str">
        <x:v>列出名称包含中证的指数代码和名称。</x:v>
      </x:c>
      <x:c r="C80" s="17" t="str">
        <x:v>index</x:v>
      </x:c>
      <x:c r="D80" s="17" t="str">
        <x:v>index.basic_info</x:v>
      </x:c>
      <x:c r="E80" s="17" t="str"/>
      <x:c r="F80" s="17" t="str">
        <x:v>financial_qa_cc</x:v>
      </x:c>
      <x:c r="G80" s="17" t="str">
        <x:v>否</x:v>
      </x:c>
      <x:c r="H80" s="18" t="n">
        <x:v>34398.06</x:v>
      </x:c>
      <x:c r="I80" s="18" t="n">
        <x:f>IFERROR(H80/1000,"")</x:f>
        <x:v>34.39806</x:v>
      </x:c>
      <x:c r="J80" s="17" t="n">
        <x:v>7</x:v>
      </x:c>
      <x:c r="K80" s="17" t="str">
        <x:v>成功</x:v>
      </x:c>
      <x:c r="L80" s="17" t="n">
        <x:v>3</x:v>
      </x:c>
      <x:c r="M80" s="17" t="n">
        <x:v>3</x:v>
      </x:c>
      <x:c r="N80" s="17" t="n">
        <x:v>0</x:v>
      </x:c>
      <x:c r="O80" s="17" t="n">
        <x:v>0</x:v>
      </x:c>
      <x:c r="P80" s="17" t="n">
        <x:v>0</x:v>
      </x:c>
      <x:c r="Q80" s="17" t="n">
        <x:v>0</x:v>
      </x:c>
      <x:c r="R80" s="19" t="n">
        <x:f>IFERROR((M80+N80)/L80,"")</x:f>
        <x:v>1</x:v>
      </x:c>
      <x:c r="S80" s="17" t="n">
        <x:v>0</x:v>
      </x:c>
      <x:c r="T80" s="17" t="n">
        <x:v>0</x:v>
      </x:c>
      <x:c r="U80" s="17" t="n">
        <x:v>8405</x:v>
      </x:c>
      <x:c r="V80" s="17" t="str">
        <x:v>部分正确</x:v>
      </x:c>
      <x:c r="W80" s="19" t="n">
        <x:v>0.9</x:v>
      </x:c>
      <x:c r="X80" s="17" t="str">
        <x:v>否</x:v>
      </x:c>
      <x:c r="Y80" s="17" t="str"/>
      <x:c r="Z80" s="17" t="str">
        <x:v>名称包含"中证"的指数共 **100 只**，以下是完整列表：
| 代码 | 名称 |
|------|------|
| 000510.CSI | 中证A500 |
| 000510CNY010.CSI | 中证A500全收益 |
| 000510CNY020.CSI | 中证A500净收益 |
| 000510HKD200.CSI | 中证A500HKD |
| 000510HKD210.CSI | 中证A500(全)HKD |
| 000510HKD220.CSI | 中证A500(净)HKD |
| 000510HKD300.CSI | 中证A500HKD(CNH) |
| 000510HKD310.CSI | 中证A500(全)HKD(CNH) |
| 000510HKD320.CSI | 中证A500(净)HKD(CNH) |
| 000510USD200.CSI | 中证A500USD |
| 000510USD210.CSI | 中证A500(全)USD |
| 000510USD220.CSI | 中证A500(净)USD |
| 000510USD300.CSI | 中证A500USD(CNH) |
| 000510USD310.CSI | 中证A500(全)USD(CNH) |
| 000510USD320.CSI | 中证A500(净)USD(CNH) |
| 000827.SH | 中证环保 |
| 000852.SH | 中证1000 |
| 000894.CSI | 中证A100USD |
| 000902.CSI | 中证流通 |
| 000903.SH | 中证A100 |
| 000903USD210.CSI | 中证A100(全)USD |
| 000903USD220.CSI | 中证A100(净)USD |
| 000904.CSI | 中证200 |
| 000905.SH | 中证500 |
| 000905SEK200.CSI | 中证500SEK |
| 000906.SH | 中证800 |
| 000907.CSI | 中证700 |
| 000922.CSI | 中证红利 |
| 000922CNY020.CSI | 中证红利净收益 |
| 000926.CSI | 中证央企 |
| 000938.CSI | 中证民企 |
| 000949.CSI | 中证农业 |
| 000953.CSI | 中证地企 |
| 000955.CSI | 中证国企 |
| 000961.CSI | 中证上游 |
| 000962.CSI | 中证中游 |
| 000963.CSI | 中证下游 |
| 000964.CSI | 中证新兴 |
| 000980.CSI | 中证超大 |
| 000985.CSI | 中证全指 |
| 000985USD210.CSI | 中证全指(全)USD |
| 000985USD220.CSI | 中证全指(净)USD |
| 000985USD310.CSI | 中证全指(全)USD(CNH) |
| 000985USD320.CSI | 中证全指(净)USD(CNH) |
| 000998.CSI | 中证TMT |
| 399804.SZ | 中证体育 |
| 399808.SZ | 中证新能 |
| 399813.SZ | 中证国安 |
| 399852.SZ | 中证1000 |
| 399903.SZ | 中证A100 |
| 399904.SZ | 中证200 |
| 399905.SZ | 中证500 |
| 399922.SZ | 中证红利 |
| 399931.SZ | 中证可选 |
| 399961.SZ | 中证上游 |
| 399963.SZ | 中证下游 |
| 399964.SZ | 中证新兴 |
| 399967.SZ | 中证军工 |
| 399971.SZ | 中证传媒 |
| 399973.SZ | 中证国防 |
| 399986.SZ | 中证银行 |
| 399987.SZ | 中证酒 |
| 399989.SZ | 中证医疗 |
| 399997.SZ | 中证白酒 |
| 399997CNY02.CSI | 中证白酒净收益 |
| 399998.SZ | 中证煤炭 |
| 883304.TI | 中证500 |
| 921381.CSI | 中证长三角全收益 |
| 921459.SH | 中证800(全)USD |
| 921460.CSI | 中证1000(全)USD |
| 930050.CSI | 中证A50 |
| 930050CNY010.CSI | 中证A50全收益 |
| 930050C</x:v>
      </x:c>
      <x:c r="AA80" s="17" t="str"/>
      <x:c r="AB80" s="17" t="n">
        <x:v>46235.84019440972</x:v>
      </x:c>
      <x:c r="AC80" s="17" t="n">
        <x:v>46235.840592546294</x:v>
      </x:c>
      <x:c r="AD80" s="17" t="str">
        <x:v>analysis.json</x:v>
      </x:c>
      <x:c r="AE80" s="18" t="n">
        <x:v>25894</x:v>
      </x:c>
      <x:c r="AF80" s="18" t="n">
        <x:v>8504.06</x:v>
      </x:c>
      <x:c r="AG80" s="18" t="n">
        <x:v>869.74</x:v>
      </x:c>
      <x:c r="AH80" s="18" t="n">
        <x:v>5943.02</x:v>
      </x:c>
      <x:c r="AI80" s="17" t="n">
        <x:v>7</x:v>
      </x:c>
      <x:c r="AJ80" s="17" t="n">
        <x:v>1</x:v>
      </x:c>
      <x:c r="AK80" s="19" t="n">
        <x:v>1</x:v>
      </x:c>
      <x:c r="AL80" s="19" t="n">
        <x:v>1</x:v>
      </x:c>
      <x:c r="AM80" s="19" t="n">
        <x:v>0</x:v>
      </x:c>
      <x:c r="AN80" s="17" t="str">
        <x:v>[
  "index.basic_info"
]</x:v>
      </x:c>
    </x:row>
    <x:row r="81" ht="58" customHeight="1">
      <x:c r="A81" s="17" t="str">
        <x:v>BUS077</x:v>
      </x:c>
      <x:c r="B81" s="17" t="str">
        <x:v>查询上证指数、深证成指、创业板指的代码和名称。</x:v>
      </x:c>
      <x:c r="C81" s="17" t="str">
        <x:v>index</x:v>
      </x:c>
      <x:c r="D81" s="17" t="str">
        <x:v>index.basic_info</x:v>
      </x:c>
      <x:c r="E81" s="17" t="str"/>
      <x:c r="F81" s="17" t="str">
        <x:v>financial_qa_cc</x:v>
      </x:c>
      <x:c r="G81" s="17" t="str">
        <x:v>否</x:v>
      </x:c>
      <x:c r="H81" s="18" t="n">
        <x:v>19494.19</x:v>
      </x:c>
      <x:c r="I81" s="18" t="n">
        <x:f>IFERROR(H81/1000,"")</x:f>
        <x:v>19.49419</x:v>
      </x:c>
      <x:c r="J81" s="17" t="n">
        <x:v>5</x:v>
      </x:c>
      <x:c r="K81" s="17" t="str">
        <x:v>成功</x:v>
      </x:c>
      <x:c r="L81" s="17" t="n">
        <x:v>2</x:v>
      </x:c>
      <x:c r="M81" s="17" t="n">
        <x:v>2</x:v>
      </x:c>
      <x:c r="N81" s="17" t="n">
        <x:v>0</x:v>
      </x:c>
      <x:c r="O81" s="17" t="n">
        <x:v>0</x:v>
      </x:c>
      <x:c r="P81" s="17" t="n">
        <x:v>0</x:v>
      </x:c>
      <x:c r="Q81" s="17" t="n">
        <x:v>0</x:v>
      </x:c>
      <x:c r="R81" s="19" t="n">
        <x:f>IFERROR((M81+N81)/L81,"")</x:f>
        <x:v>1</x:v>
      </x:c>
      <x:c r="S81" s="17" t="n">
        <x:v>0</x:v>
      </x:c>
      <x:c r="T81" s="17" t="n">
        <x:v>0</x:v>
      </x:c>
      <x:c r="U81" s="17" t="n">
        <x:v>11600</x:v>
      </x:c>
      <x:c r="V81" s="17" t="str">
        <x:v>正确</x:v>
      </x:c>
      <x:c r="W81" s="19" t="n">
        <x:v>1</x:v>
      </x:c>
      <x:c r="X81" s="17" t="str">
        <x:v>否</x:v>
      </x:c>
      <x:c r="Y81" s="17" t="str"/>
      <x:c r="Z81" s="17" t="str">
        <x:v>三大指数的代码和名称如下：
| 指数名称 | 代码 |
|---------|------|
| **上证指数** | 000001.SH |
| **深证成指** | 399001.SZ |
| **创业板指** | 399006.SZ |</x:v>
      </x:c>
      <x:c r="AA81" s="17" t="str"/>
      <x:c r="AB81" s="17" t="n">
        <x:v>46235.84061394676</x:v>
      </x:c>
      <x:c r="AC81" s="17" t="n">
        <x:v>46235.840839571756</x:v>
      </x:c>
      <x:c r="AD81" s="17" t="str">
        <x:v>analysis.json</x:v>
      </x:c>
      <x:c r="AE81" s="18" t="n">
        <x:v>10882</x:v>
      </x:c>
      <x:c r="AF81" s="18" t="n">
        <x:v>8612.19</x:v>
      </x:c>
      <x:c r="AG81" s="18" t="n">
        <x:v>815.79</x:v>
      </x:c>
      <x:c r="AH81" s="18" t="n">
        <x:v>6337.27</x:v>
      </x:c>
      <x:c r="AI81" s="17" t="n">
        <x:v>5</x:v>
      </x:c>
      <x:c r="AJ81" s="17" t="n">
        <x:v>1</x:v>
      </x:c>
      <x:c r="AK81" s="19" t="n">
        <x:v>1</x:v>
      </x:c>
      <x:c r="AL81" s="19" t="n">
        <x:v>1</x:v>
      </x:c>
      <x:c r="AM81" s="19" t="n">
        <x:v>0</x:v>
      </x:c>
      <x:c r="AN81" s="17" t="str">
        <x:v>[
  "index.basic_info"
]</x:v>
      </x:c>
    </x:row>
    <x:row r="82" ht="58" customHeight="1">
      <x:c r="A82" s="17" t="str">
        <x:v>BUS078</x:v>
      </x:c>
      <x:c r="B82" s="17" t="str">
        <x:v>列出名称包含红利的指数代码和名称。</x:v>
      </x:c>
      <x:c r="C82" s="17" t="str">
        <x:v>index</x:v>
      </x:c>
      <x:c r="D82" s="17" t="str">
        <x:v>index.basic_info</x:v>
      </x:c>
      <x:c r="E82" s="17" t="str"/>
      <x:c r="F82" s="17" t="str">
        <x:v>financial_qa_cc</x:v>
      </x:c>
      <x:c r="G82" s="17" t="str">
        <x:v>否</x:v>
      </x:c>
      <x:c r="H82" s="18" t="n">
        <x:v>24494.56</x:v>
      </x:c>
      <x:c r="I82" s="18" t="n">
        <x:f>IFERROR(H82/1000,"")</x:f>
        <x:v>24.49456</x:v>
      </x:c>
      <x:c r="J82" s="17" t="n">
        <x:v>5</x:v>
      </x:c>
      <x:c r="K82" s="17" t="str">
        <x:v>成功</x:v>
      </x:c>
      <x:c r="L82" s="17" t="n">
        <x:v>3</x:v>
      </x:c>
      <x:c r="M82" s="17" t="n">
        <x:v>3</x:v>
      </x:c>
      <x:c r="N82" s="17" t="n">
        <x:v>0</x:v>
      </x:c>
      <x:c r="O82" s="17" t="n">
        <x:v>0</x:v>
      </x:c>
      <x:c r="P82" s="17" t="n">
        <x:v>0</x:v>
      </x:c>
      <x:c r="Q82" s="17" t="n">
        <x:v>0</x:v>
      </x:c>
      <x:c r="R82" s="19" t="n">
        <x:f>IFERROR((M82+N82)/L82,"")</x:f>
        <x:v>1</x:v>
      </x:c>
      <x:c r="S82" s="17" t="n">
        <x:v>0</x:v>
      </x:c>
      <x:c r="T82" s="17" t="n">
        <x:v>0</x:v>
      </x:c>
      <x:c r="U82" s="17" t="n">
        <x:v>7548</x:v>
      </x:c>
      <x:c r="V82" s="17" t="str">
        <x:v>部分正确</x:v>
      </x:c>
      <x:c r="W82" s="19" t="n">
        <x:v>1</x:v>
      </x:c>
      <x:c r="X82" s="17" t="str">
        <x:v>否</x:v>
      </x:c>
      <x:c r="Y82" s="17" t="str"/>
      <x:c r="Z82" s="17" t="str">
        <x:v>名称包含"红利"的指数共有 **100** 只，以下是主要品种（已剔除全收益/净收益/人民币中间价等衍生版本，仅保留主代码）：
| 代码 | 名称 |
|------|------|
| 000015.SH | 红利指数 |
| 000149.SH | 180红利 |
| 000150.SH | 380红利 |
| 000151.SH | 上国红利 |
| 000152.SH | 上央红利 |
| 000153.SH | 上民红利 |
| 000821.CSI | 300红利 |
| 000822.CSI | 500红利 |
| 000824.CSI | 国企红利 |
| 000825.CSI | 央企红利 |
| 000826.CSI | 民企红利 |
| 000922.CSI | 中证红利 |
| 399321.SZ | 国证红利 |
| 399324.SZ | 深证红利 |
| 399411.SZ | 红利100 |
| 399649.SZ | 中小红利 |
| 399672.SZ | 深红利50 |
| 399922.SZ | 中证红利 |
| 803614.SL | SWHY红利增长 |
| 930740.CSI | 300红利低波 |
| 930784.CSI | HK红利EW |
| 930955.CSI | 红利低波100 |
| 930992.CSI | 沪港深红利低波 |
| 931056.CSI | 红利增长 |
| 931130.CSI | 红利成长低波 |
| 931132.CSI | 诚通央企红利 |
| 931157.CSI | SHS红利成长LV |
| 931231.CSI | 央企红利50 |
| 931233.CSI | 港股通央企红利 |
| 931345.CSI | 大湾区红利低波 |
| 931376.CSI | 泰康红利LV |
| 931446.CSI | 东证红利低波 |
| 931468.CSI | 红利质量 |
| 931644.CSI | 800红利 |
| 931645.CSI | 1000红利 |
| 931722.CSI | 国新港股通央企红利 |
| 931847.CSI | 500红利低波 |
| 931848.CSI | 800红利低波 |
| 931849.CSI | 1000红利低波 |
| 932017.CSI | 800红利增长 |
| 932018.CSI | 300红利增长 |
| 932019.CSI | 500红利增长 |
| 932020.CSI | 1000红利增长 |
| 932021.CSI | 中证红利SGD |
| 932072.CSI | 红利增长50 |
| 932154.CSI | A500红利 |
| 932254.CSI | 质量红利50 |
| 932255.CSI | A500红利增长 |
| 932308.CSI | 红利200 |
此外还有对应各主指数的**全收益、净收益、人民币中间价、港元/USD计价**等衍生版本，总计刚好 **100 只**指数名称中包含"红利"二字。</x:v>
      </x:c>
      <x:c r="AA82" s="17" t="str"/>
      <x:c r="AB82" s="17" t="n">
        <x:v>46235.84067210648</x:v>
      </x:c>
      <x:c r="AC82" s="17" t="n">
        <x:v>46235.84095561343</x:v>
      </x:c>
      <x:c r="AD82" s="17" t="str">
        <x:v>analysis.json</x:v>
      </x:c>
      <x:c r="AE82" s="18" t="n">
        <x:v>15478</x:v>
      </x:c>
      <x:c r="AF82" s="18" t="n">
        <x:v>9016.56</x:v>
      </x:c>
      <x:c r="AG82" s="18" t="n">
        <x:v>1343.01</x:v>
      </x:c>
      <x:c r="AH82" s="18" t="n">
        <x:v>6957.29</x:v>
      </x:c>
      <x:c r="AI82" s="17" t="n">
        <x:v>5</x:v>
      </x:c>
      <x:c r="AJ82" s="17" t="n">
        <x:v>1</x:v>
      </x:c>
      <x:c r="AK82" s="19" t="n">
        <x:v>1</x:v>
      </x:c>
      <x:c r="AL82" s="19" t="n">
        <x:v>1</x:v>
      </x:c>
      <x:c r="AM82" s="19" t="n">
        <x:v>0</x:v>
      </x:c>
      <x:c r="AN82" s="17" t="str">
        <x:v>[
  "index.basic_info"
]</x:v>
      </x:c>
    </x:row>
    <x:row r="83" ht="58" customHeight="1">
      <x:c r="A83" s="17" t="str">
        <x:v>BUS079</x:v>
      </x:c>
      <x:c r="B83" s="17" t="str">
        <x:v>查询科创50指数的代码和名称。</x:v>
      </x:c>
      <x:c r="C83" s="17" t="str">
        <x:v>index</x:v>
      </x:c>
      <x:c r="D83" s="17" t="str">
        <x:v>index.basic_info</x:v>
      </x:c>
      <x:c r="E83" s="17" t="str"/>
      <x:c r="F83" s="17" t="str">
        <x:v>financial_qa_cc</x:v>
      </x:c>
      <x:c r="G83" s="17" t="str">
        <x:v>否</x:v>
      </x:c>
      <x:c r="H83" s="18" t="n">
        <x:v>16139.9</x:v>
      </x:c>
      <x:c r="I83" s="18" t="n">
        <x:f>IFERROR(H83/1000,"")</x:f>
        <x:v>16.1399</x:v>
      </x:c>
      <x:c r="J83" s="17" t="n">
        <x:v>3</x:v>
      </x:c>
      <x:c r="K83" s="17" t="str">
        <x:v>成功</x:v>
      </x:c>
      <x:c r="L83" s="17" t="n">
        <x:v>2</x:v>
      </x:c>
      <x:c r="M83" s="17" t="n">
        <x:v>2</x:v>
      </x:c>
      <x:c r="N83" s="17" t="n">
        <x:v>0</x:v>
      </x:c>
      <x:c r="O83" s="17" t="n">
        <x:v>0</x:v>
      </x:c>
      <x:c r="P83" s="17" t="n">
        <x:v>0</x:v>
      </x:c>
      <x:c r="Q83" s="17" t="n">
        <x:v>0</x:v>
      </x:c>
      <x:c r="R83" s="19" t="n">
        <x:f>IFERROR((M83+N83)/L83,"")</x:f>
        <x:v>1</x:v>
      </x:c>
      <x:c r="S83" s="17" t="n">
        <x:v>0</x:v>
      </x:c>
      <x:c r="T83" s="17" t="n">
        <x:v>0</x:v>
      </x:c>
      <x:c r="U83" s="17" t="n">
        <x:v>3887</x:v>
      </x:c>
      <x:c r="V83" s="17" t="str">
        <x:v>正确</x:v>
      </x:c>
      <x:c r="W83" s="19" t="n">
        <x:v>1</x:v>
      </x:c>
      <x:c r="X83" s="17" t="str">
        <x:v>否</x:v>
      </x:c>
      <x:c r="Y83" s="17" t="str"/>
      <x:c r="Z83" s="17" t="str">
        <x:v>科创50指数：**代码** 000688.SH，**名称** 科创50。</x:v>
      </x:c>
      <x:c r="AA83" s="17" t="str"/>
      <x:c r="AB83" s="17" t="n">
        <x:v>46235.84086244213</x:v>
      </x:c>
      <x:c r="AC83" s="17" t="n">
        <x:v>46235.84104924768</x:v>
      </x:c>
      <x:c r="AD83" s="17" t="str">
        <x:v>analysis.json</x:v>
      </x:c>
      <x:c r="AE83" s="18" t="n">
        <x:v>7632</x:v>
      </x:c>
      <x:c r="AF83" s="18" t="n">
        <x:v>8507.9</x:v>
      </x:c>
      <x:c r="AG83" s="18" t="n">
        <x:v>818.08</x:v>
      </x:c>
      <x:c r="AH83" s="18" t="n">
        <x:v>5460.57</x:v>
      </x:c>
      <x:c r="AI83" s="17" t="n">
        <x:v>3</x:v>
      </x:c>
      <x:c r="AJ83" s="17" t="n">
        <x:v>1</x:v>
      </x:c>
      <x:c r="AK83" s="19" t="n">
        <x:v>1</x:v>
      </x:c>
      <x:c r="AL83" s="19" t="n">
        <x:v>1</x:v>
      </x:c>
      <x:c r="AM83" s="19" t="n">
        <x:v>0</x:v>
      </x:c>
      <x:c r="AN83" s="17" t="str">
        <x:v>[
  "index.basic_info"
]</x:v>
      </x:c>
    </x:row>
    <x:row r="84" ht="58" customHeight="1">
      <x:c r="A84" s="17" t="str">
        <x:v>BUS080</x:v>
      </x:c>
      <x:c r="B84" s="17" t="str">
        <x:v>查询名称包含医药的指数代码和名称。</x:v>
      </x:c>
      <x:c r="C84" s="17" t="str">
        <x:v>index</x:v>
      </x:c>
      <x:c r="D84" s="17" t="str">
        <x:v>index.basic_info</x:v>
      </x:c>
      <x:c r="E84" s="17" t="str"/>
      <x:c r="F84" s="17" t="str">
        <x:v>financial_qa_cc</x:v>
      </x:c>
      <x:c r="G84" s="17" t="str">
        <x:v>否</x:v>
      </x:c>
      <x:c r="H84" s="18" t="n">
        <x:v>30545.65</x:v>
      </x:c>
      <x:c r="I84" s="18" t="n">
        <x:f>IFERROR(H84/1000,"")</x:f>
        <x:v>30.545650000000002</x:v>
      </x:c>
      <x:c r="J84" s="17" t="n">
        <x:v>9</x:v>
      </x:c>
      <x:c r="K84" s="17" t="str">
        <x:v>成功</x:v>
      </x:c>
      <x:c r="L84" s="17" t="n">
        <x:v>4</x:v>
      </x:c>
      <x:c r="M84" s="17" t="n">
        <x:v>3</x:v>
      </x:c>
      <x:c r="N84" s="17" t="n">
        <x:v>0</x:v>
      </x:c>
      <x:c r="O84" s="17" t="n">
        <x:v>1</x:v>
      </x:c>
      <x:c r="P84" s="17" t="n">
        <x:v>0</x:v>
      </x:c>
      <x:c r="Q84" s="17" t="n">
        <x:v>0</x:v>
      </x:c>
      <x:c r="R84" s="19" t="n">
        <x:f>IFERROR((M84+N84)/L84,"")</x:f>
        <x:v>0.75</x:v>
      </x:c>
      <x:c r="S84" s="17" t="n">
        <x:v>0</x:v>
      </x:c>
      <x:c r="T84" s="17" t="n">
        <x:v>0</x:v>
      </x:c>
      <x:c r="U84" s="17" t="n">
        <x:v>9006</x:v>
      </x:c>
      <x:c r="V84" s="17" t="str">
        <x:v>部分正确</x:v>
      </x:c>
      <x:c r="W84" s="19" t="n">
        <x:v>0.95</x:v>
      </x:c>
      <x:c r="X84" s="17" t="str">
        <x:v>否</x:v>
      </x:c>
      <x:c r="Y84" s="17" t="str"/>
      <x:c r="Z84" s="17" t="str">
        <x:v>查询到名称包含"医药"的指数共 **50只**，列表如下：
| 代码 | 名称 |
|------|------|
| 000037.SH | 上证医药 |
| 000075.SH | 医药等权 |
| 000109.SH | 380医药 |
| 000121.SH | 医药主题 |
| 000808.CSI | 医药生物 |
| 000814.SH | 细分医药 |
| 000841.CSI | 800医药 |
| 000857.SH | 500医药 |
| 000913.SH | 300医药 |
| 000978.CSI | 医药100 |
| 000991.SH | 全指医药 |
| 002091.CJ | 医药流通及零售(长江) |
| 003163.CJ | 医药检测(长江) |
| 003233.CJ | 医药零售(长江) |
| 003234.CJ | 医药流通(长江) |
| 399275.SZ | 创医药 |
| 399386.SZ | 1000医药 |
| 399394.SZ | 国证医药 |
| 399441.SZ | 生物医药 |
| 399618.SZ | 深证医药 |
| 399647.SZ | 深医药50 |
| 399674.SZ | 深A医药 |
| 399676.SZ | 深医药EW |
| 399685.SZ | 深成医药 |
| 399913.SZ | 300医药 |
| 399978.SZ | 医药100 |
| 480013.SZ | 湾区医药R |
| 480014.SZ | 湾区医药R(港币) |
| 483023.SZ | 深港通医药卫生R |
| 483024.SZ | 深港通医药卫生R(港币) |
| 801150.SL | 医药生物 |
| 801154.SL | 医药商业 |
| 801274.SL | 医药医疗 |
| 806080.SL | 申万三板医药生物 |
| 851541.SL | 医药商业 |
| 851542.SL | 医药流通 |
| 865026.TI | 抗癌医药[US] |
| 865077.TI | 生物医药[US] |
| 875038.TI | 医药股[HK] |
| 875057.TI | 中医药[HK] |
| 875134.TI | 生物医药[HK] |
| 875188.TI | 生物医药B类[HK] |
| 881143.TI | 医药商业 |
| 885403.TI | 生物医药 |
| 885661.TI | 医药电商 |
| 899304.NQ | 三板医药 |
| 921383.CSI | CS医药50全收益 |
| 921467.CSI | 医药龙头全收益 |
| 921484.CSI | CS医药创新全收益 |
| 930681.CSI | 500医药(二级) |
覆盖了上交所、深交所、中证、国证、申万、长江、行业等多类指数的医药相关品种。如果对其中某只指数需要进一步查看行情、成分股等信息，可以继续查询。</x:v>
      </x:c>
      <x:c r="AA84" s="17" t="str"/>
      <x:c r="AB84" s="17" t="n">
        <x:v>46235.840982222224</x:v>
      </x:c>
      <x:c r="AC84" s="17" t="n">
        <x:v>46235.841335763886</x:v>
      </x:c>
      <x:c r="AD84" s="17" t="str">
        <x:v>analysis.json</x:v>
      </x:c>
      <x:c r="AE84" s="18" t="n">
        <x:v>20589</x:v>
      </x:c>
      <x:c r="AF84" s="18" t="n">
        <x:v>9956.65</x:v>
      </x:c>
      <x:c r="AG84" s="18" t="n">
        <x:v>820.22</x:v>
      </x:c>
      <x:c r="AH84" s="18" t="n">
        <x:v>5846.11</x:v>
      </x:c>
      <x:c r="AI84" s="17" t="n">
        <x:v>9</x:v>
      </x:c>
      <x:c r="AJ84" s="17" t="n">
        <x:v>1</x:v>
      </x:c>
      <x:c r="AK84" s="19" t="n">
        <x:v>0.75</x:v>
      </x:c>
      <x:c r="AL84" s="19" t="n">
        <x:v>0.75</x:v>
      </x:c>
      <x:c r="AM84" s="19" t="n">
        <x:v>0.25</x:v>
      </x:c>
      <x:c r="AN84" s="17" t="str">
        <x:v>[
  "index.basic_info"
]</x:v>
      </x:c>
    </x:row>
    <x:row r="85" ht="58" customHeight="1">
      <x:c r="A85" s="17" t="str">
        <x:v>BUS081</x:v>
      </x:c>
      <x:c r="B85" s="17" t="str">
        <x:v>沪深300当前点位、涨跌幅和成交额是多少？</x:v>
      </x:c>
      <x:c r="C85" s="17" t="str">
        <x:v>index</x:v>
      </x:c>
      <x:c r="D85" s="17" t="str">
        <x:v>index.quote</x:v>
      </x:c>
      <x:c r="E85" s="17" t="str"/>
      <x:c r="F85" s="17" t="str">
        <x:v>financial_qa_cc</x:v>
      </x:c>
      <x:c r="G85" s="17" t="str">
        <x:v>否</x:v>
      </x:c>
      <x:c r="H85" s="18" t="n">
        <x:v>17805.12</x:v>
      </x:c>
      <x:c r="I85" s="18" t="n">
        <x:f>IFERROR(H85/1000,"")</x:f>
        <x:v>17.80512</x:v>
      </x:c>
      <x:c r="J85" s="17" t="n">
        <x:v>5</x:v>
      </x:c>
      <x:c r="K85" s="17" t="str">
        <x:v>成功</x:v>
      </x:c>
      <x:c r="L85" s="17" t="n">
        <x:v>2</x:v>
      </x:c>
      <x:c r="M85" s="17" t="n">
        <x:v>2</x:v>
      </x:c>
      <x:c r="N85" s="17" t="n">
        <x:v>0</x:v>
      </x:c>
      <x:c r="O85" s="17" t="n">
        <x:v>0</x:v>
      </x:c>
      <x:c r="P85" s="17" t="n">
        <x:v>0</x:v>
      </x:c>
      <x:c r="Q85" s="17" t="n">
        <x:v>0</x:v>
      </x:c>
      <x:c r="R85" s="19" t="n">
        <x:f>IFERROR((M85+N85)/L85,"")</x:f>
        <x:v>1</x:v>
      </x:c>
      <x:c r="S85" s="17" t="n">
        <x:v>0</x:v>
      </x:c>
      <x:c r="T85" s="17" t="n">
        <x:v>0</x:v>
      </x:c>
      <x:c r="U85" s="17" t="n">
        <x:v>6640</x:v>
      </x:c>
      <x:c r="V85" s="17" t="str">
        <x:v>部分正确</x:v>
      </x:c>
      <x:c r="W85" s="19" t="n">
        <x:v>0.95</x:v>
      </x:c>
      <x:c r="X85" s="17" t="str">
        <x:v>否</x:v>
      </x:c>
      <x:c r="Y85" s="17" t="str"/>
      <x:c r="Z85" s="17" t="str">
        <x:v>沪深300指数（截至 **2026-07-31** 收盘）情况如下：
- **最新点位**：4,588.20 点
- **涨跌幅**：+0.85%
- **成交额**：约 832.91 亿元
当日指数高开于 4,623.85 点，盘中最高触及 4,635.59 点，最低下探至 4,588.20 点，收盘基本收于日内低点附近，全天小幅收涨。</x:v>
      </x:c>
      <x:c r="AA85" s="17" t="str"/>
      <x:c r="AB85" s="17" t="n">
        <x:v>46235.84108511574</x:v>
      </x:c>
      <x:c r="AC85" s="17" t="n">
        <x:v>46235.84129119213</x:v>
      </x:c>
      <x:c r="AD85" s="17" t="str">
        <x:v>analysis.json</x:v>
      </x:c>
      <x:c r="AE85" s="18" t="n">
        <x:v>9555</x:v>
      </x:c>
      <x:c r="AF85" s="18" t="n">
        <x:v>8250.12</x:v>
      </x:c>
      <x:c r="AG85" s="18" t="n">
        <x:v>891.47</x:v>
      </x:c>
      <x:c r="AH85" s="18" t="n">
        <x:v>5843.39</x:v>
      </x:c>
      <x:c r="AI85" s="17" t="n">
        <x:v>5</x:v>
      </x:c>
      <x:c r="AJ85" s="17" t="n">
        <x:v>1</x:v>
      </x:c>
      <x:c r="AK85" s="19" t="n">
        <x:v>1</x:v>
      </x:c>
      <x:c r="AL85" s="19" t="n">
        <x:v>1</x:v>
      </x:c>
      <x:c r="AM85" s="19" t="n">
        <x:v>0</x:v>
      </x:c>
      <x:c r="AN85" s="17" t="str">
        <x:v>[
  "index.quote"
]</x:v>
      </x:c>
    </x:row>
    <x:row r="86" ht="58" customHeight="1">
      <x:c r="A86" s="17" t="str">
        <x:v>BUS082</x:v>
      </x:c>
      <x:c r="B86" s="17" t="str">
        <x:v>今天涨幅最高的指数前20名。</x:v>
      </x:c>
      <x:c r="C86" s="17" t="str">
        <x:v>index</x:v>
      </x:c>
      <x:c r="D86" s="17" t="str">
        <x:v>index.quote</x:v>
      </x:c>
      <x:c r="E86" s="17" t="str"/>
      <x:c r="F86" s="17" t="str">
        <x:v>financial_qa_cc</x:v>
      </x:c>
      <x:c r="G86" s="17" t="str">
        <x:v>否</x:v>
      </x:c>
      <x:c r="H86" s="18" t="n">
        <x:v>34199.92</x:v>
      </x:c>
      <x:c r="I86" s="18" t="n">
        <x:f>IFERROR(H86/1000,"")</x:f>
        <x:v>34.19992</x:v>
      </x:c>
      <x:c r="J86" s="17" t="n">
        <x:v>8</x:v>
      </x:c>
      <x:c r="K86" s="17" t="str">
        <x:v>成功</x:v>
      </x:c>
      <x:c r="L86" s="17" t="n">
        <x:v>3</x:v>
      </x:c>
      <x:c r="M86" s="17" t="n">
        <x:v>3</x:v>
      </x:c>
      <x:c r="N86" s="17" t="n">
        <x:v>0</x:v>
      </x:c>
      <x:c r="O86" s="17" t="n">
        <x:v>0</x:v>
      </x:c>
      <x:c r="P86" s="17" t="n">
        <x:v>0</x:v>
      </x:c>
      <x:c r="Q86" s="17" t="n">
        <x:v>0</x:v>
      </x:c>
      <x:c r="R86" s="19" t="n">
        <x:f>IFERROR((M86+N86)/L86,"")</x:f>
        <x:v>1</x:v>
      </x:c>
      <x:c r="S86" s="17" t="n">
        <x:v>0</x:v>
      </x:c>
      <x:c r="T86" s="17" t="n">
        <x:v>0</x:v>
      </x:c>
      <x:c r="U86" s="17" t="n">
        <x:v>9627</x:v>
      </x:c>
      <x:c r="V86" s="17" t="str">
        <x:v>部分正确</x:v>
      </x:c>
      <x:c r="W86" s="19" t="n">
        <x:v>1</x:v>
      </x:c>
      <x:c r="X86" s="17" t="str">
        <x:v>否</x:v>
      </x:c>
      <x:c r="Y86" s="17" t="str"/>
      <x:c r="Z86" s="17" t="str">
        <x:v>以下是今天（最近交易日）涨幅最高的前 **20 只指数**：
| 排名 | 指数名称 | 收盘点位 | 涨跌幅 |
|:---:|:---|:---:|:---:|
| 1 | 营销代理 | 2,339.79 | **+13.00%** |
| 2 | 中韩半导体 | 9,709.49 | **+12.35%** |
| 3 | 创业板传媒R | 1,230.37 | **+10.03%** |
| 4 | 创业板传媒 | 1,190.36 | **+10.03%** |
| 5 | 会展服务 | 2,022.74 | **+9.41%** |
| 6 | 其他自动化设备 | 5,270.44 | **+9.26%** |
| 7 | 广告营销 | 2,580.48 | **+9.02%** |
| 8 | 中韩50 | 3,272.12 | **+8.88%** |
| 9 | 机器人 | 12,553.57 | **+8.77%** |
| 10 | 科创计算机 | 1,039.79 | **+8.62%** |
| 11 | 科创计算机全收益 | 1,052.56 | **+8.62%** |
| 12 | 横向通用软件 | 24,247.79 | **+8.24%** |
| 13 | 创业软件R | 1,247.31 | **+8.21%** |
| 14 | 创业软件 | 1,204.51 | **+8.21%** |
| 15 | 港股通信息服务(全) | 1,192.78 | **+8.05%** |
| 16 | 港股通信息服务 | 1,145.06 | **+8.05%** |
| 17 | 港股通信息服务人民币中间价(全) | 1,262.79 | **+8.03%** |
| 18 | 港股通信息服务人民币中间价 | 1,212.27 | **+8.03%** |
| 19 | 深证AIGCR | 2,409.05 | **+8.03%** |
| 20 | 深证AIGC | 2,247.24 | **+8.03%** |
**今日亮点：** 涨幅居前的主要集中在**科技成长主题**——营销代理以 **+13.00%** 领涨全场，中韩半导体（+12.35%）紧随其后，传媒、机器人、软件、计算机和AIGC等方向也普遍录得 **8% 以上** 的涨幅，显示市场风险偏好较高，TMT 板块整体强势。</x:v>
      </x:c>
      <x:c r="AA86" s="17" t="str"/>
      <x:c r="AB86" s="17" t="n">
        <x:v>46235.84131671296</x:v>
      </x:c>
      <x:c r="AC86" s="17" t="n">
        <x:v>46235.841712546295</x:v>
      </x:c>
      <x:c r="AD86" s="17" t="str">
        <x:v>analysis.json</x:v>
      </x:c>
      <x:c r="AE86" s="18" t="n">
        <x:v>26466</x:v>
      </x:c>
      <x:c r="AF86" s="18" t="n">
        <x:v>7733.92</x:v>
      </x:c>
      <x:c r="AG86" s="18" t="n">
        <x:v>894.82</x:v>
      </x:c>
      <x:c r="AH86" s="18" t="n">
        <x:v>5684.55</x:v>
      </x:c>
      <x:c r="AI86" s="17" t="n">
        <x:v>8</x:v>
      </x:c>
      <x:c r="AJ86" s="17" t="n">
        <x:v>1</x:v>
      </x:c>
      <x:c r="AK86" s="19" t="n">
        <x:v>1</x:v>
      </x:c>
      <x:c r="AL86" s="19" t="n">
        <x:v>1</x:v>
      </x:c>
      <x:c r="AM86" s="19" t="n">
        <x:v>0</x:v>
      </x:c>
      <x:c r="AN86" s="17" t="str">
        <x:v>[
  "index.quote"
]</x:v>
      </x:c>
    </x:row>
    <x:row r="87" ht="58" customHeight="1">
      <x:c r="A87" s="17" t="str">
        <x:v>BUS083</x:v>
      </x:c>
      <x:c r="B87" s="17" t="str">
        <x:v>查询上证指数最近10个交易日收盘点位和涨跌幅。</x:v>
      </x:c>
      <x:c r="C87" s="17" t="str">
        <x:v>index</x:v>
      </x:c>
      <x:c r="D87" s="17" t="str">
        <x:v>index.quote</x:v>
      </x:c>
      <x:c r="E87" s="17" t="str"/>
      <x:c r="F87" s="17" t="str">
        <x:v>financial_qa_cc</x:v>
      </x:c>
      <x:c r="G87" s="17" t="str">
        <x:v>否</x:v>
      </x:c>
      <x:c r="H87" s="18" t="n">
        <x:v>25077.51</x:v>
      </x:c>
      <x:c r="I87" s="18" t="n">
        <x:f>IFERROR(H87/1000,"")</x:f>
        <x:v>25.077509999999997</x:v>
      </x:c>
      <x:c r="J87" s="17" t="n">
        <x:v>6</x:v>
      </x:c>
      <x:c r="K87" s="17" t="str">
        <x:v>成功</x:v>
      </x:c>
      <x:c r="L87" s="17" t="n">
        <x:v>3</x:v>
      </x:c>
      <x:c r="M87" s="17" t="n">
        <x:v>3</x:v>
      </x:c>
      <x:c r="N87" s="17" t="n">
        <x:v>0</x:v>
      </x:c>
      <x:c r="O87" s="17" t="n">
        <x:v>0</x:v>
      </x:c>
      <x:c r="P87" s="17" t="n">
        <x:v>0</x:v>
      </x:c>
      <x:c r="Q87" s="17" t="n">
        <x:v>0</x:v>
      </x:c>
      <x:c r="R87" s="19" t="n">
        <x:f>IFERROR((M87+N87)/L87,"")</x:f>
        <x:v>1</x:v>
      </x:c>
      <x:c r="S87" s="17" t="n">
        <x:v>0</x:v>
      </x:c>
      <x:c r="T87" s="17" t="n">
        <x:v>0</x:v>
      </x:c>
      <x:c r="U87" s="17" t="n">
        <x:v>7913</x:v>
      </x:c>
      <x:c r="V87" s="17" t="str">
        <x:v>正确</x:v>
      </x:c>
      <x:c r="W87" s="19" t="n">
        <x:v>1</x:v>
      </x:c>
      <x:c r="X87" s="17" t="str">
        <x:v>否</x:v>
      </x:c>
      <x:c r="Y87" s="17" t="str"/>
      <x:c r="Z87" s="17" t="str">
        <x:v>以下是上证指数最近10个交易日的收盘点位与涨跌幅（按时间顺序排列）：
| 日期 | 收盘点位（点） | 涨跌幅 |
|:---:|:---:|:---:|
| 2026-07-20 | 3,796.28 | +0.85% |
| 2026-07-21 | 3,864.37 | +1.79% |
| 2026-07-22 | 3,867.03 | +0.07% |
| 2026-07-23 | 3,876.78 | +0.25% |
| 2026-07-24 | 3,814.20 | -1.61% |
| 2026-07-27 | 3,858.25 | +1.15% |
| 2026-07-28 | 3,813.31 | -1.16% |
| 2026-07-29 | 3,828.47 | +0.40% |
| 2026-07-30 | 3,804.69 | -0.62% |
| 2026-07-31 | 3,832.26 | +0.72% |
**要点：** 截至7月31日，上证指数收于3,832.26点，最近10个交易日累计上涨约+0.95%（从3,796.28→3,832.26）。期间指数在3,796~3,877点区间波动，7月21日涨幅最大（+1.79%），7月24日回调最深（-1.61%），整体呈现震荡格局。</x:v>
      </x:c>
      <x:c r="AA87" s="17" t="str"/>
      <x:c r="AB87" s="17" t="n">
        <x:v>46235.84136045139</x:v>
      </x:c>
      <x:c r="AC87" s="17" t="n">
        <x:v>46235.84165070602</x:v>
      </x:c>
      <x:c r="AD87" s="17" t="str">
        <x:v>analysis.json</x:v>
      </x:c>
      <x:c r="AE87" s="18" t="n">
        <x:v>17436</x:v>
      </x:c>
      <x:c r="AF87" s="18" t="n">
        <x:v>7641.51</x:v>
      </x:c>
      <x:c r="AG87" s="18" t="n">
        <x:v>751.59</x:v>
      </x:c>
      <x:c r="AH87" s="18" t="n">
        <x:v>5490.59</x:v>
      </x:c>
      <x:c r="AI87" s="17" t="n">
        <x:v>6</x:v>
      </x:c>
      <x:c r="AJ87" s="17" t="n">
        <x:v>1</x:v>
      </x:c>
      <x:c r="AK87" s="19" t="n">
        <x:v>1</x:v>
      </x:c>
      <x:c r="AL87" s="19" t="n">
        <x:v>1</x:v>
      </x:c>
      <x:c r="AM87" s="19" t="n">
        <x:v>0</x:v>
      </x:c>
      <x:c r="AN87" s="17" t="str">
        <x:v>[
  "index.quote"
]</x:v>
      </x:c>
    </x:row>
    <x:row r="88" ht="58" customHeight="1">
      <x:c r="A88" s="17" t="str">
        <x:v>BUS084</x:v>
      </x:c>
      <x:c r="B88" s="17" t="str">
        <x:v>筛选今天成交额超过1000亿元且上涨的指数。</x:v>
      </x:c>
      <x:c r="C88" s="17" t="str">
        <x:v>index</x:v>
      </x:c>
      <x:c r="D88" s="17" t="str">
        <x:v>index.quote</x:v>
      </x:c>
      <x:c r="E88" s="17" t="str"/>
      <x:c r="F88" s="17" t="str">
        <x:v>free_chat</x:v>
      </x:c>
      <x:c r="G88" s="17" t="str">
        <x:v>是</x:v>
      </x:c>
      <x:c r="H88" s="18" t="n">
        <x:v>7945.18</x:v>
      </x:c>
      <x:c r="I88" s="18" t="n">
        <x:f>IFERROR(H88/1000,"")</x:f>
        <x:v>7.945180000000001</x:v>
      </x:c>
      <x:c r="J88" s="17"/>
      <x:c r="K88" s="17" t="str">
        <x:v>成功</x:v>
      </x:c>
      <x:c r="L88" s="17" t="n">
        <x:v>0</x:v>
      </x:c>
      <x:c r="M88" s="17" t="n">
        <x:v>0</x:v>
      </x:c>
      <x:c r="N88" s="17" t="n">
        <x:v>0</x:v>
      </x:c>
      <x:c r="O88" s="17" t="n">
        <x:v>0</x:v>
      </x:c>
      <x:c r="P88" s="17" t="n">
        <x:v>0</x:v>
      </x:c>
      <x:c r="Q88" s="17" t="n">
        <x:v>0</x:v>
      </x:c>
      <x:c r="R88" s="19" t="str">
        <x:f>IFERROR((M88+N88)/L88,"")</x:f>
      </x:c>
      <x:c r="S88" s="17" t="n">
        <x:v>0</x:v>
      </x:c>
      <x:c r="T88" s="17" t="n">
        <x:v>0</x:v>
      </x:c>
      <x:c r="U88" s="17" t="n">
        <x:v>1253</x:v>
      </x:c>
      <x:c r="V88" s="17" t="str">
        <x:v>错误</x:v>
      </x:c>
      <x:c r="W88" s="19" t="n">
        <x:v>0.7</x:v>
      </x:c>
      <x:c r="X88" s="17" t="str">
        <x:v>否</x:v>
      </x:c>
      <x:c r="Y88" s="17" t="str"/>
      <x:c r="Z88" s="17" t="str">
        <x:v>已识别为自然语言请求，当前 agent = investment_analyst，route_type = clarify。
需要澄清: {"state_type": "clarification_state", "status": "needs_user_input", "missing_slots": ["task_focus"], "prompt": "请说明你更想做个股深度分析，还是热点/概念追踪。", "resume_token": "clarify_75c2f67256f94b61", "slot_hints": {"task_focus": "请说明你更想做个股深度分析，还是热点/概念追踪。"}, "context_summary": {"task_type": "", "code": "", "name": ""}}</x:v>
      </x:c>
      <x:c r="AA88" s="17" t="str"/>
      <x:c r="AB88" s="17" t="n">
        <x:v>46235.84167184028</x:v>
      </x:c>
      <x:c r="AC88" s="17" t="n">
        <x:v>46235.8417637963</x:v>
      </x:c>
      <x:c r="AD88" s="17" t="str">
        <x:v>analysis.json</x:v>
      </x:c>
      <x:c r="AE88" s="18"/>
      <x:c r="AF88" s="18"/>
      <x:c r="AG88" s="18" t="n">
        <x:v>663.71</x:v>
      </x:c>
      <x:c r="AH88" s="18"/>
      <x:c r="AI88" s="17"/>
      <x:c r="AJ88" s="17"/>
      <x:c r="AK88" s="19"/>
      <x:c r="AL88" s="19"/>
      <x:c r="AM88" s="19"/>
      <x:c r="AN88" s="17" t="str"/>
    </x:row>
    <x:row r="89" ht="58" customHeight="1">
      <x:c r="A89" s="17" t="str">
        <x:v>BUS085</x:v>
      </x:c>
      <x:c r="B89" s="17" t="str">
        <x:v>过去20个交易日跌幅最大的指数前10名。</x:v>
      </x:c>
      <x:c r="C89" s="17" t="str">
        <x:v>index</x:v>
      </x:c>
      <x:c r="D89" s="17" t="str">
        <x:v>index.quote</x:v>
      </x:c>
      <x:c r="E89" s="17" t="str"/>
      <x:c r="F89" s="17" t="str">
        <x:v>financial_qa_cc</x:v>
      </x:c>
      <x:c r="G89" s="17" t="str">
        <x:v>否</x:v>
      </x:c>
      <x:c r="H89" s="18" t="n">
        <x:v>24897.32</x:v>
      </x:c>
      <x:c r="I89" s="18" t="n">
        <x:f>IFERROR(H89/1000,"")</x:f>
        <x:v>24.89732</x:v>
      </x:c>
      <x:c r="J89" s="17" t="n">
        <x:v>7</x:v>
      </x:c>
      <x:c r="K89" s="17" t="str">
        <x:v>成功</x:v>
      </x:c>
      <x:c r="L89" s="17" t="n">
        <x:v>3</x:v>
      </x:c>
      <x:c r="M89" s="17" t="n">
        <x:v>3</x:v>
      </x:c>
      <x:c r="N89" s="17" t="n">
        <x:v>0</x:v>
      </x:c>
      <x:c r="O89" s="17" t="n">
        <x:v>0</x:v>
      </x:c>
      <x:c r="P89" s="17" t="n">
        <x:v>0</x:v>
      </x:c>
      <x:c r="Q89" s="17" t="n">
        <x:v>0</x:v>
      </x:c>
      <x:c r="R89" s="19" t="n">
        <x:f>IFERROR((M89+N89)/L89,"")</x:f>
        <x:v>1</x:v>
      </x:c>
      <x:c r="S89" s="17" t="n">
        <x:v>0</x:v>
      </x:c>
      <x:c r="T89" s="17" t="n">
        <x:v>0</x:v>
      </x:c>
      <x:c r="U89" s="17" t="n">
        <x:v>7366</x:v>
      </x:c>
      <x:c r="V89" s="17" t="str">
        <x:v>正确</x:v>
      </x:c>
      <x:c r="W89" s="19" t="n">
        <x:v>1</x:v>
      </x:c>
      <x:c r="X89" s="17" t="str">
        <x:v>否</x:v>
      </x:c>
      <x:c r="Y89" s="17" t="str"/>
      <x:c r="Z89" s="17" t="str">
        <x:v>以下是过去20个交易日累计跌幅最大的前10个指数：
| 排名 | 指数名称 | 20日累计涨跌幅 |
|:---:|:---|:---:|
| 1 | 通信线缆及配套 | **-40.24%** |
| 2 | 磨具磨料 | **-39.07%** |
| 3 | 玻纤制造 | **-38.14%** |
| 4 | 玻璃玻纤 | **-35.86%** |
| 5 | 分立器件 | **-35.78%** |
| 6 | 非金属材料Ⅲ | **-35.53%** |
| 7 | 非金属材料Ⅱ | **-35.53%** |
| 8 | 激光设备 | **-34.66%** |
| 9 | 半导体材料 | **-34.62%** |
| 10 | 电子化学品Ⅱ | **-33.44%** |
这10个指数过去20个交易日累计跌幅均超过33%，其中**通信线缆及配套**以-40.24%的跌幅居首，**磨具磨料**（-39.07%）和**玻纤制造**（-38.14%）紧随其后。从板块属性看，这些指数主要集中于**材料**（玻纤、非金属材料、电子化学品）和**科技硬件**（通信线缆、分立器件、半导体材料、激光设备）两大方向，说明过去一个月上述领域整体承压较重。</x:v>
      </x:c>
      <x:c r="AA89" s="17" t="str"/>
      <x:c r="AB89" s="17" t="n">
        <x:v>46235.841733761576</x:v>
      </x:c>
      <x:c r="AC89" s="17" t="n">
        <x:v>46235.84202192129</x:v>
      </x:c>
      <x:c r="AD89" s="17" t="str">
        <x:v>analysis.json</x:v>
      </x:c>
      <x:c r="AE89" s="18" t="n">
        <x:v>16141</x:v>
      </x:c>
      <x:c r="AF89" s="18" t="n">
        <x:v>8756.32</x:v>
      </x:c>
      <x:c r="AG89" s="18" t="n">
        <x:v>827.86</x:v>
      </x:c>
      <x:c r="AH89" s="18" t="n">
        <x:v>5957.53</x:v>
      </x:c>
      <x:c r="AI89" s="17" t="n">
        <x:v>7</x:v>
      </x:c>
      <x:c r="AJ89" s="17" t="n">
        <x:v>1</x:v>
      </x:c>
      <x:c r="AK89" s="19" t="n">
        <x:v>1</x:v>
      </x:c>
      <x:c r="AL89" s="19" t="n">
        <x:v>1</x:v>
      </x:c>
      <x:c r="AM89" s="19" t="n">
        <x:v>0</x:v>
      </x:c>
      <x:c r="AN89" s="17" t="str">
        <x:v>[
  "index.quote.kd_pct_sum"
]</x:v>
      </x:c>
    </x:row>
    <x:row r="90" ht="58" customHeight="1">
      <x:c r="A90" s="17" t="str">
        <x:v>BUS086</x:v>
      </x:c>
      <x:c r="B90" s="17" t="str">
        <x:v>查询创业板指当前开盘价、最高价、最低价和最新点位。</x:v>
      </x:c>
      <x:c r="C90" s="17" t="str">
        <x:v>index</x:v>
      </x:c>
      <x:c r="D90" s="17" t="str">
        <x:v>index.quote</x:v>
      </x:c>
      <x:c r="E90" s="17" t="str"/>
      <x:c r="F90" s="17" t="str">
        <x:v>financial_qa_cc</x:v>
      </x:c>
      <x:c r="G90" s="17" t="str">
        <x:v>否</x:v>
      </x:c>
      <x:c r="H90" s="18" t="n">
        <x:v>23219.91</x:v>
      </x:c>
      <x:c r="I90" s="18" t="n">
        <x:f>IFERROR(H90/1000,"")</x:f>
        <x:v>23.21991</x:v>
      </x:c>
      <x:c r="J90" s="17" t="n">
        <x:v>5</x:v>
      </x:c>
      <x:c r="K90" s="17" t="str">
        <x:v>成功</x:v>
      </x:c>
      <x:c r="L90" s="17" t="n">
        <x:v>2</x:v>
      </x:c>
      <x:c r="M90" s="17" t="n">
        <x:v>2</x:v>
      </x:c>
      <x:c r="N90" s="17" t="n">
        <x:v>0</x:v>
      </x:c>
      <x:c r="O90" s="17" t="n">
        <x:v>0</x:v>
      </x:c>
      <x:c r="P90" s="17" t="n">
        <x:v>0</x:v>
      </x:c>
      <x:c r="Q90" s="17" t="n">
        <x:v>0</x:v>
      </x:c>
      <x:c r="R90" s="19" t="n">
        <x:f>IFERROR((M90+N90)/L90,"")</x:f>
        <x:v>1</x:v>
      </x:c>
      <x:c r="S90" s="17" t="n">
        <x:v>0</x:v>
      </x:c>
      <x:c r="T90" s="17" t="n">
        <x:v>0</x:v>
      </x:c>
      <x:c r="U90" s="17" t="n">
        <x:v>13464</x:v>
      </x:c>
      <x:c r="V90" s="17" t="str">
        <x:v>正确</x:v>
      </x:c>
      <x:c r="W90" s="19" t="n">
        <x:v>1</x:v>
      </x:c>
      <x:c r="X90" s="17" t="str">
        <x:v>否</x:v>
      </x:c>
      <x:c r="Y90" s="17" t="str"/>
      <x:c r="Z90" s="17" t="str">
        <x:v>创业板指（399006.SZ）最新行情数据如下（截至最后一个交易日 **2026-07-31**）：
| 指标 | 点位（点） |
|------|-----------|
| **开盘价** | 3,411.61 |
| **最高价** | 3,464.90 |
| **最低价** | 3,343.96 |
| **最新收盘价** | 3,343.96 |
当日创业板指高开至 3,411.61 点，盘中冲高到 3,464.90 点后回落，最终收于日内最低点 3,343.96 点，全天振幅约 3.6%。</x:v>
      </x:c>
      <x:c r="AA90" s="17" t="str"/>
      <x:c r="AB90" s="17" t="n">
        <x:v>46235.84179128472</x:v>
      </x:c>
      <x:c r="AC90" s="17" t="n">
        <x:v>46235.84206003472</x:v>
      </x:c>
      <x:c r="AD90" s="17" t="str">
        <x:v>analysis.json</x:v>
      </x:c>
      <x:c r="AE90" s="18" t="n">
        <x:v>12266</x:v>
      </x:c>
      <x:c r="AF90" s="18" t="n">
        <x:v>10953.91</x:v>
      </x:c>
      <x:c r="AG90" s="18" t="n">
        <x:v>792.36</x:v>
      </x:c>
      <x:c r="AH90" s="18" t="n">
        <x:v>5725.32</x:v>
      </x:c>
      <x:c r="AI90" s="17" t="n">
        <x:v>5</x:v>
      </x:c>
      <x:c r="AJ90" s="17" t="n">
        <x:v>1</x:v>
      </x:c>
      <x:c r="AK90" s="19" t="n">
        <x:v>1</x:v>
      </x:c>
      <x:c r="AL90" s="19" t="n">
        <x:v>1</x:v>
      </x:c>
      <x:c r="AM90" s="19" t="n">
        <x:v>0</x:v>
      </x:c>
      <x:c r="AN90" s="17" t="str">
        <x:v>[
  "index.quote"
]</x:v>
      </x:c>
    </x:row>
    <x:row r="91" ht="58" customHeight="1">
      <x:c r="A91" s="17" t="str">
        <x:v>BUS087</x:v>
      </x:c>
      <x:c r="B91" s="17" t="str">
        <x:v>查询沪深300最新PE、PB和总市值。</x:v>
      </x:c>
      <x:c r="C91" s="17" t="str">
        <x:v>index</x:v>
      </x:c>
      <x:c r="D91" s="17" t="str">
        <x:v>index.pricevalue</x:v>
      </x:c>
      <x:c r="E91" s="17" t="str"/>
      <x:c r="F91" s="17" t="str">
        <x:v>financial_qa_cc</x:v>
      </x:c>
      <x:c r="G91" s="17" t="str">
        <x:v>否</x:v>
      </x:c>
      <x:c r="H91" s="18" t="n">
        <x:v>24391.64</x:v>
      </x:c>
      <x:c r="I91" s="18" t="n">
        <x:f>IFERROR(H91/1000,"")</x:f>
        <x:v>24.39164</x:v>
      </x:c>
      <x:c r="J91" s="17" t="n">
        <x:v>8</x:v>
      </x:c>
      <x:c r="K91" s="17" t="str">
        <x:v>成功</x:v>
      </x:c>
      <x:c r="L91" s="17" t="n">
        <x:v>3</x:v>
      </x:c>
      <x:c r="M91" s="17" t="n">
        <x:v>3</x:v>
      </x:c>
      <x:c r="N91" s="17" t="n">
        <x:v>0</x:v>
      </x:c>
      <x:c r="O91" s="17" t="n">
        <x:v>0</x:v>
      </x:c>
      <x:c r="P91" s="17" t="n">
        <x:v>0</x:v>
      </x:c>
      <x:c r="Q91" s="17" t="n">
        <x:v>0</x:v>
      </x:c>
      <x:c r="R91" s="19" t="n">
        <x:f>IFERROR((M91+N91)/L91,"")</x:f>
        <x:v>1</x:v>
      </x:c>
      <x:c r="S91" s="17" t="n">
        <x:v>0</x:v>
      </x:c>
      <x:c r="T91" s="17" t="n">
        <x:v>0</x:v>
      </x:c>
      <x:c r="U91" s="17" t="n">
        <x:v>15200</x:v>
      </x:c>
      <x:c r="V91" s="17" t="str">
        <x:v>证据不足</x:v>
      </x:c>
      <x:c r="W91" s="19" t="n">
        <x:v>0.95</x:v>
      </x:c>
      <x:c r="X91" s="17" t="str">
        <x:v>否</x:v>
      </x:c>
      <x:c r="Y91" s="17" t="str"/>
      <x:c r="Z91" s="17" t="str">
        <x:v>查询结果显示，沪深300（000300.SH）数据记录已返回，交易日期为 **2026-08-02**，但当前数据源中 **PE、PB 和总市值** 三个字段均为空值，未提供该指数的估值与市值数据。
目前无法获取沪深300的最新PE、PB和总市值。建议通过其他数据源（如中证指数官网、Wind、Choice等终端）查询这些指标，或确认当前数据源是否已更新对沪深300估值数据的覆盖范围。</x:v>
      </x:c>
      <x:c r="AA91" s="17" t="str"/>
      <x:c r="AB91" s="17" t="n">
        <x:v>46235.842059930554</x:v>
      </x:c>
      <x:c r="AC91" s="17" t="n">
        <x:v>46235.84234224537</x:v>
      </x:c>
      <x:c r="AD91" s="17" t="str">
        <x:v>analysis.json</x:v>
      </x:c>
      <x:c r="AE91" s="18" t="n">
        <x:v>15852</x:v>
      </x:c>
      <x:c r="AF91" s="18" t="n">
        <x:v>8539.64</x:v>
      </x:c>
      <x:c r="AG91" s="18" t="n">
        <x:v>887.5</x:v>
      </x:c>
      <x:c r="AH91" s="18" t="n">
        <x:v>5477.27</x:v>
      </x:c>
      <x:c r="AI91" s="17" t="n">
        <x:v>8</x:v>
      </x:c>
      <x:c r="AJ91" s="17" t="n">
        <x:v>1</x:v>
      </x:c>
      <x:c r="AK91" s="19" t="n">
        <x:v>1</x:v>
      </x:c>
      <x:c r="AL91" s="19" t="n">
        <x:v>1</x:v>
      </x:c>
      <x:c r="AM91" s="19" t="n">
        <x:v>0</x:v>
      </x:c>
      <x:c r="AN91" s="17" t="str">
        <x:v>[
  "index.pricevalue"
]</x:v>
      </x:c>
    </x:row>
    <x:row r="92" ht="58" customHeight="1">
      <x:c r="A92" s="17" t="str">
        <x:v>BUS088</x:v>
      </x:c>
      <x:c r="B92" s="17" t="str">
        <x:v>当前PE_TTM最低的指数前20名。</x:v>
      </x:c>
      <x:c r="C92" s="17" t="str">
        <x:v>index</x:v>
      </x:c>
      <x:c r="D92" s="17" t="str">
        <x:v>index.pricevalue</x:v>
      </x:c>
      <x:c r="E92" s="17" t="str"/>
      <x:c r="F92" s="17" t="str">
        <x:v>financial_qa_cc</x:v>
      </x:c>
      <x:c r="G92" s="17" t="str">
        <x:v>否</x:v>
      </x:c>
      <x:c r="H92" s="18" t="n">
        <x:v>27239.41</x:v>
      </x:c>
      <x:c r="I92" s="18" t="n">
        <x:f>IFERROR(H92/1000,"")</x:f>
        <x:v>27.23941</x:v>
      </x:c>
      <x:c r="J92" s="17" t="n">
        <x:v>8</x:v>
      </x:c>
      <x:c r="K92" s="17" t="str">
        <x:v>成功</x:v>
      </x:c>
      <x:c r="L92" s="17" t="n">
        <x:v>4</x:v>
      </x:c>
      <x:c r="M92" s="17" t="n">
        <x:v>3</x:v>
      </x:c>
      <x:c r="N92" s="17" t="n">
        <x:v>0</x:v>
      </x:c>
      <x:c r="O92" s="17" t="n">
        <x:v>1</x:v>
      </x:c>
      <x:c r="P92" s="17" t="n">
        <x:v>0</x:v>
      </x:c>
      <x:c r="Q92" s="17" t="n">
        <x:v>0</x:v>
      </x:c>
      <x:c r="R92" s="19" t="n">
        <x:f>IFERROR((M92+N92)/L92,"")</x:f>
        <x:v>0.75</x:v>
      </x:c>
      <x:c r="S92" s="17" t="n">
        <x:v>0</x:v>
      </x:c>
      <x:c r="T92" s="17" t="n">
        <x:v>0</x:v>
      </x:c>
      <x:c r="U92" s="17" t="n">
        <x:v>9332</x:v>
      </x:c>
      <x:c r="V92" s="17" t="str">
        <x:v>证据不足</x:v>
      </x:c>
      <x:c r="W92" s="19" t="n">
        <x:v>0.9</x:v>
      </x:c>
      <x:c r="X92" s="17" t="str">
        <x:v>否</x:v>
      </x:c>
      <x:c r="Y92" s="17" t="str"/>
      <x:c r="Z92" s="17" t="str">
        <x:v>当前数据源中，**指数估值数据（PE_TTM）暂时不可用**。查询返回了20只指数（如红利指数、上证50、上证指数、180金融等）的身份信息，但 `pe_ttm`、`pe`、`pb` 等估值字段均未提供数值，无法据此排序并给出PE_TTM最低的前20名榜单。
如果你需要了解特定指数的估值情况，可以告知指数名称，我尝试通过其他途径查询。或者，你是否想查看其他维度（如板块、行业）的PE_TTM排名？</x:v>
      </x:c>
      <x:c r="AA92" s="17" t="str"/>
      <x:c r="AB92" s="17" t="n">
        <x:v>46235.84208883102</x:v>
      </x:c>
      <x:c r="AC92" s="17" t="n">
        <x:v>46235.84240410879</x:v>
      </x:c>
      <x:c r="AD92" s="17" t="str">
        <x:v>analysis.json</x:v>
      </x:c>
      <x:c r="AE92" s="18" t="n">
        <x:v>19547</x:v>
      </x:c>
      <x:c r="AF92" s="18" t="n">
        <x:v>7692.41</x:v>
      </x:c>
      <x:c r="AG92" s="18" t="n">
        <x:v>754.69</x:v>
      </x:c>
      <x:c r="AH92" s="18" t="n">
        <x:v>5037.41</x:v>
      </x:c>
      <x:c r="AI92" s="17" t="n">
        <x:v>8</x:v>
      </x:c>
      <x:c r="AJ92" s="17" t="n">
        <x:v>1</x:v>
      </x:c>
      <x:c r="AK92" s="19" t="n">
        <x:v>0.75</x:v>
      </x:c>
      <x:c r="AL92" s="19" t="n">
        <x:v>0.75</x:v>
      </x:c>
      <x:c r="AM92" s="19" t="n">
        <x:v>0.25</x:v>
      </x:c>
      <x:c r="AN92" s="17" t="str">
        <x:v>[
  "index.pricevalue"
]</x:v>
      </x:c>
    </x:row>
    <x:row r="93" ht="58" customHeight="1">
      <x:c r="A93" s="17" t="str">
        <x:v>BUS089</x:v>
      </x:c>
      <x:c r="B93" s="17" t="str">
        <x:v>筛选PB低于1.5的指数。</x:v>
      </x:c>
      <x:c r="C93" s="17" t="str">
        <x:v>index</x:v>
      </x:c>
      <x:c r="D93" s="17" t="str">
        <x:v>index.pricevalue</x:v>
      </x:c>
      <x:c r="E93" s="17" t="str"/>
      <x:c r="F93" s="17" t="str">
        <x:v>financial_qa_cc</x:v>
      </x:c>
      <x:c r="G93" s="17" t="str">
        <x:v>否</x:v>
      </x:c>
      <x:c r="H93" s="18" t="n">
        <x:v>27982.2</x:v>
      </x:c>
      <x:c r="I93" s="18" t="n">
        <x:f>IFERROR(H93/1000,"")</x:f>
        <x:v>27.982200000000002</x:v>
      </x:c>
      <x:c r="J93" s="17" t="n">
        <x:v>9</x:v>
      </x:c>
      <x:c r="K93" s="17" t="str">
        <x:v>成功</x:v>
      </x:c>
      <x:c r="L93" s="17" t="n">
        <x:v>4</x:v>
      </x:c>
      <x:c r="M93" s="17" t="n">
        <x:v>2</x:v>
      </x:c>
      <x:c r="N93" s="17" t="n">
        <x:v>0</x:v>
      </x:c>
      <x:c r="O93" s="17" t="n">
        <x:v>2</x:v>
      </x:c>
      <x:c r="P93" s="17" t="n">
        <x:v>0</x:v>
      </x:c>
      <x:c r="Q93" s="17" t="n">
        <x:v>0</x:v>
      </x:c>
      <x:c r="R93" s="19" t="n">
        <x:f>IFERROR((M93+N93)/L93,"")</x:f>
        <x:v>0.5</x:v>
      </x:c>
      <x:c r="S93" s="17" t="n">
        <x:v>0</x:v>
      </x:c>
      <x:c r="T93" s="17" t="n">
        <x:v>0</x:v>
      </x:c>
      <x:c r="U93" s="17" t="n">
        <x:v>9480</x:v>
      </x:c>
      <x:c r="V93" s="17" t="str">
        <x:v>证据不足</x:v>
      </x:c>
      <x:c r="W93" s="19" t="n">
        <x:v>0.9</x:v>
      </x:c>
      <x:c r="X93" s="17" t="str">
        <x:v>否</x:v>
      </x:c>
      <x:c r="Y93" s="17" t="str"/>
      <x:c r="Z93" s="17" t="str">
        <x:v>抱歉，当前数据源中的指数估值数据并未提供 PB（市净率）字段——查询返回了上证指数、A股指数、B股指数等指数记录，但 **pb 字段均为空值**。因此无法通过 PB 低于 1.5 的条件来筛选指数。
如果您有其他条件或想通过其他角度（如指数行情、成分股等）来筛选，可以告诉我，我换一条路径试试。</x:v>
      </x:c>
      <x:c r="AA93" s="17" t="str"/>
      <x:c r="AB93" s="17" t="n">
        <x:v>46235.84237211806</x:v>
      </x:c>
      <x:c r="AC93" s="17" t="n">
        <x:v>46235.842695983796</x:v>
      </x:c>
      <x:c r="AD93" s="17" t="str">
        <x:v>analysis.json</x:v>
      </x:c>
      <x:c r="AE93" s="18" t="n">
        <x:v>19767</x:v>
      </x:c>
      <x:c r="AF93" s="18" t="n">
        <x:v>8215.2</x:v>
      </x:c>
      <x:c r="AG93" s="18" t="n">
        <x:v>843.81</x:v>
      </x:c>
      <x:c r="AH93" s="18" t="n">
        <x:v>5524.44</x:v>
      </x:c>
      <x:c r="AI93" s="17" t="n">
        <x:v>9</x:v>
      </x:c>
      <x:c r="AJ93" s="17" t="n">
        <x:v>1</x:v>
      </x:c>
      <x:c r="AK93" s="19" t="n">
        <x:v>0.5</x:v>
      </x:c>
      <x:c r="AL93" s="19" t="n">
        <x:v>0.5</x:v>
      </x:c>
      <x:c r="AM93" s="19" t="n">
        <x:v>0.5</x:v>
      </x:c>
      <x:c r="AN93" s="17" t="str">
        <x:v>[
  "index.pricevalue"
]</x:v>
      </x:c>
    </x:row>
    <x:row r="94" ht="58" customHeight="1">
      <x:c r="A94" s="17" t="str">
        <x:v>BUS090</x:v>
      </x:c>
      <x:c r="B94" s="17" t="str">
        <x:v>查询中证500最近估值PE和PB。</x:v>
      </x:c>
      <x:c r="C94" s="17" t="str">
        <x:v>index</x:v>
      </x:c>
      <x:c r="D94" s="17" t="str">
        <x:v>index.pricevalue</x:v>
      </x:c>
      <x:c r="E94" s="17" t="str"/>
      <x:c r="F94" s="17" t="str">
        <x:v>financial_qa_cc</x:v>
      </x:c>
      <x:c r="G94" s="17" t="str">
        <x:v>否</x:v>
      </x:c>
      <x:c r="H94" s="18" t="n">
        <x:v>27614.57</x:v>
      </x:c>
      <x:c r="I94" s="18" t="n">
        <x:f>IFERROR(H94/1000,"")</x:f>
        <x:v>27.61457</x:v>
      </x:c>
      <x:c r="J94" s="17" t="n">
        <x:v>8</x:v>
      </x:c>
      <x:c r="K94" s="17" t="str">
        <x:v>成功</x:v>
      </x:c>
      <x:c r="L94" s="17" t="n">
        <x:v>4</x:v>
      </x:c>
      <x:c r="M94" s="17" t="n">
        <x:v>3</x:v>
      </x:c>
      <x:c r="N94" s="17" t="n">
        <x:v>0</x:v>
      </x:c>
      <x:c r="O94" s="17" t="n">
        <x:v>1</x:v>
      </x:c>
      <x:c r="P94" s="17" t="n">
        <x:v>0</x:v>
      </x:c>
      <x:c r="Q94" s="17" t="n">
        <x:v>0</x:v>
      </x:c>
      <x:c r="R94" s="19" t="n">
        <x:f>IFERROR((M94+N94)/L94,"")</x:f>
        <x:v>0.75</x:v>
      </x:c>
      <x:c r="S94" s="17" t="n">
        <x:v>0</x:v>
      </x:c>
      <x:c r="T94" s="17" t="n">
        <x:v>0</x:v>
      </x:c>
      <x:c r="U94" s="17" t="n">
        <x:v>10091</x:v>
      </x:c>
      <x:c r="V94" s="17" t="str">
        <x:v>证据不足</x:v>
      </x:c>
      <x:c r="W94" s="19" t="n">
        <x:v>0.9</x:v>
      </x:c>
      <x:c r="X94" s="17" t="str">
        <x:v>否</x:v>
      </x:c>
      <x:c r="Y94" s="17" t="str"/>
      <x:c r="Z94" s="17" t="str">
        <x:v>当前数据源中，中证500（000905.SH）在最新记录日期 **2026-08-02** 的身份信息已返回，但 **PE、PE_TTM、PB、PB_MRQ 四个估值字段均为空值**，当前数据源未提供该指数的有效估值数据。</x:v>
      </x:c>
      <x:c r="AA94" s="17" t="str"/>
      <x:c r="AB94" s="17" t="n">
        <x:v>46235.84242934028</x:v>
      </x:c>
      <x:c r="AC94" s="17" t="n">
        <x:v>46235.842748958334</x:v>
      </x:c>
      <x:c r="AD94" s="17" t="str">
        <x:v>analysis.json</x:v>
      </x:c>
      <x:c r="AE94" s="18" t="n">
        <x:v>18024</x:v>
      </x:c>
      <x:c r="AF94" s="18" t="n">
        <x:v>9590.57</x:v>
      </x:c>
      <x:c r="AG94" s="18" t="n">
        <x:v>850.49</x:v>
      </x:c>
      <x:c r="AH94" s="18" t="n">
        <x:v>5563.93</x:v>
      </x:c>
      <x:c r="AI94" s="17" t="n">
        <x:v>8</x:v>
      </x:c>
      <x:c r="AJ94" s="17" t="n">
        <x:v>1</x:v>
      </x:c>
      <x:c r="AK94" s="19" t="n">
        <x:v>0.75</x:v>
      </x:c>
      <x:c r="AL94" s="19" t="n">
        <x:v>0.75</x:v>
      </x:c>
      <x:c r="AM94" s="19" t="n">
        <x:v>0.25</x:v>
      </x:c>
      <x:c r="AN94" s="17" t="str">
        <x:v>[
  "index.pricevalue"
]</x:v>
      </x:c>
    </x:row>
    <x:row r="95" ht="58" customHeight="1">
      <x:c r="A95" s="17" t="str">
        <x:v>BUS091</x:v>
      </x:c>
      <x:c r="B95" s="17" t="str">
        <x:v>当前市场规模最大的指数前20名。</x:v>
      </x:c>
      <x:c r="C95" s="17" t="str">
        <x:v>index</x:v>
      </x:c>
      <x:c r="D95" s="17" t="str">
        <x:v>index.pricevalue</x:v>
      </x:c>
      <x:c r="E95" s="17" t="str"/>
      <x:c r="F95" s="17" t="str">
        <x:v>financial_qa_cc</x:v>
      </x:c>
      <x:c r="G95" s="17" t="str">
        <x:v>否</x:v>
      </x:c>
      <x:c r="H95" s="18" t="n">
        <x:v>91378.52</x:v>
      </x:c>
      <x:c r="I95" s="18" t="n">
        <x:f>IFERROR(H95/1000,"")</x:f>
        <x:v>91.37852000000001</x:v>
      </x:c>
      <x:c r="J95" s="17" t="n">
        <x:v>23</x:v>
      </x:c>
      <x:c r="K95" s="17" t="str">
        <x:v>成功</x:v>
      </x:c>
      <x:c r="L95" s="17" t="n">
        <x:v>16</x:v>
      </x:c>
      <x:c r="M95" s="17" t="n">
        <x:v>12</x:v>
      </x:c>
      <x:c r="N95" s="17" t="n">
        <x:v>1</x:v>
      </x:c>
      <x:c r="O95" s="17" t="n">
        <x:v>2</x:v>
      </x:c>
      <x:c r="P95" s="17" t="n">
        <x:v>0</x:v>
      </x:c>
      <x:c r="Q95" s="17" t="n">
        <x:v>1</x:v>
      </x:c>
      <x:c r="R95" s="19" t="n">
        <x:f>IFERROR((M95+N95)/L95,"")</x:f>
        <x:v>0.8125</x:v>
      </x:c>
      <x:c r="S95" s="17" t="n">
        <x:v>0</x:v>
      </x:c>
      <x:c r="T95" s="17" t="n">
        <x:v>0</x:v>
      </x:c>
      <x:c r="U95" s="17" t="n">
        <x:v>43821</x:v>
      </x:c>
      <x:c r="V95" s="17" t="str">
        <x:v>部分正确</x:v>
      </x:c>
      <x:c r="W95" s="19" t="n">
        <x:v>0.85</x:v>
      </x:c>
      <x:c r="X95" s="17" t="str">
        <x:v>是</x:v>
      </x:c>
      <x:c r="Y95" s="17" t="str"/>
      <x:c r="Z95" s="17" t="str">
        <x:v>感谢你的查询。我尝试了多种方式获取指数的"市场规模"（即成分股总市值），但当前数据源有以下限制：
- **`index.pricevalue` 的 `market_value`（总市值）字段**：返回为空，该字段暂未提供数据。
- **`index.constitution.agg` 聚合**：不支持对 `stock.pricevalue.market_value` 做聚合计算，无法通过成分股汇总得到指数总市值。
- **成分股数据**：数据源中仅有上证指数、沪深300、上证50、科创50、创业板指 5 只指数有成分股记录，不足以覆盖前20名。
因此，目前无法直接给出按成分股总市值排序的指数前20名。
作为替代参考，以下是 **2026年7月31日成交额最大的指数前20名**（成交额反映市场交易规模，一定程度上体现指数的市场覆盖广度）：
| 排名 | 指数名称 | 成交额（元） | 收盘点位 | 涨跌幅 |
|:---:|:---|:---|---:|:---:|
| 1 | 两岸三地(全)TWD | 5.10万亿 | 5,876.0 | +2.28% |
| 2 | 沪港深通综合HKD | 2.83万亿 | 2,954.7 | +1.39% |
| 3 | 中国内地全指 | 2.59万亿 | 4,078.9 | +1.42% |
| 4 | 申万Ａ指 | 2.49万亿 | 4,448.4 | +1.86% |
| 5 | 国证A指 | 2.47万亿 | 6,648.4 | +1.80% |
| 6 | 中证流通 | 2.46万亿 | 6,032.1 | +1.80% |
| 7 | 中证A股 | 2.46万亿 | 3,914.5 | +1.80% |
| 8 | 中证全指 | 2.45万亿 | 5,681.2 | +1.79% |
| 9 | 全指等权 | 2.45万亿 | 2,763.7 | +2.32% |
另外，数据源中主要宽基指数的成分股覆盖情况为：**上证指数**（2,184只）覆盖范围最广，其次是**沪深300**（300只）、**创业板指**（100只）、**上证50**（50只）和**科创50**（50只）。
如果你需要我按其他维度（如覆盖的市值规模）进一步分析，请告诉我具体的口径，我可以尝试其他方法。</x:v>
      </x:c>
      <x:c r="AA95" s="17" t="str"/>
      <x:c r="AB95" s="17" t="n">
        <x:v>46235.84272324074</x:v>
      </x:c>
      <x:c r="AC95" s="17" t="n">
        <x:v>46235.84378087963</x:v>
      </x:c>
      <x:c r="AD95" s="17" t="str">
        <x:v>analysis.json</x:v>
      </x:c>
      <x:c r="AE95" s="18" t="n">
        <x:v>78205</x:v>
      </x:c>
      <x:c r="AF95" s="18" t="n">
        <x:v>13173.52</x:v>
      </x:c>
      <x:c r="AG95" s="18" t="n">
        <x:v>971.95</x:v>
      </x:c>
      <x:c r="AH95" s="18" t="n">
        <x:v>6204.56</x:v>
      </x:c>
      <x:c r="AI95" s="17" t="n">
        <x:v>23</x:v>
      </x:c>
      <x:c r="AJ95" s="17" t="n">
        <x:v>1</x:v>
      </x:c>
      <x:c r="AK95" s="19" t="n">
        <x:v>0.75</x:v>
      </x:c>
      <x:c r="AL95" s="19" t="n">
        <x:v>0.8125</x:v>
      </x:c>
      <x:c r="AM95" s="19" t="n">
        <x:v>0.125</x:v>
      </x:c>
      <x:c r="AN95" s="17" t="str">
        <x:v>[
  "index.pricevalue",
  "index.quote",
  "index.basic_info",
  "index.constitution.agg"
]</x:v>
      </x:c>
    </x:row>
    <x:row r="96" ht="58" customHeight="1">
      <x:c r="A96" s="17" t="str">
        <x:v>BUS092</x:v>
      </x:c>
      <x:c r="B96" s="17" t="str">
        <x:v>筛选PS_TTM低于2的指数。</x:v>
      </x:c>
      <x:c r="C96" s="17" t="str">
        <x:v>index</x:v>
      </x:c>
      <x:c r="D96" s="17" t="str">
        <x:v>index.pricevalue</x:v>
      </x:c>
      <x:c r="E96" s="17" t="str"/>
      <x:c r="F96" s="17" t="str">
        <x:v>financial_qa_cc</x:v>
      </x:c>
      <x:c r="G96" s="17" t="str">
        <x:v>否</x:v>
      </x:c>
      <x:c r="H96" s="18" t="n">
        <x:v>20606.01</x:v>
      </x:c>
      <x:c r="I96" s="18" t="n">
        <x:f>IFERROR(H96/1000,"")</x:f>
        <x:v>20.606009999999998</x:v>
      </x:c>
      <x:c r="J96" s="17" t="n">
        <x:v>6</x:v>
      </x:c>
      <x:c r="K96" s="17" t="str">
        <x:v>成功</x:v>
      </x:c>
      <x:c r="L96" s="17" t="n">
        <x:v>2</x:v>
      </x:c>
      <x:c r="M96" s="17" t="n">
        <x:v>2</x:v>
      </x:c>
      <x:c r="N96" s="17" t="n">
        <x:v>0</x:v>
      </x:c>
      <x:c r="O96" s="17" t="n">
        <x:v>0</x:v>
      </x:c>
      <x:c r="P96" s="17" t="n">
        <x:v>0</x:v>
      </x:c>
      <x:c r="Q96" s="17" t="n">
        <x:v>0</x:v>
      </x:c>
      <x:c r="R96" s="19" t="n">
        <x:f>IFERROR((M96+N96)/L96,"")</x:f>
        <x:v>1</x:v>
      </x:c>
      <x:c r="S96" s="17" t="n">
        <x:v>0</x:v>
      </x:c>
      <x:c r="T96" s="17" t="n">
        <x:v>0</x:v>
      </x:c>
      <x:c r="U96" s="17" t="n">
        <x:v>5616</x:v>
      </x:c>
      <x:c r="V96" s="17" t="str">
        <x:v>错误</x:v>
      </x:c>
      <x:c r="W96" s="19" t="n">
        <x:v>1</x:v>
      </x:c>
      <x:c r="X96" s="17" t="str">
        <x:v>否</x:v>
      </x:c>
      <x:c r="Y96" s="17" t="str"/>
      <x:c r="Z96" s="17" t="str">
        <x:v>当前数据源中，**没有查询到 PS_TTM 低于 2 的指数记录**。查询条件（`ps_ttm &lt; 2`）已正确执行，但返回零行，说明现有指数估值数据中所有指数的滚动市销率均不低于 2。</x:v>
      </x:c>
      <x:c r="AA96" s="17" t="str"/>
      <x:c r="AB96" s="17" t="n">
        <x:v>46235.842778101854</x:v>
      </x:c>
      <x:c r="AC96" s="17" t="n">
        <x:v>46235.843016597224</x:v>
      </x:c>
      <x:c r="AD96" s="17" t="str">
        <x:v>analysis.json</x:v>
      </x:c>
      <x:c r="AE96" s="18" t="n">
        <x:v>12555</x:v>
      </x:c>
      <x:c r="AF96" s="18" t="n">
        <x:v>8051.01</x:v>
      </x:c>
      <x:c r="AG96" s="18" t="n">
        <x:v>784.39</x:v>
      </x:c>
      <x:c r="AH96" s="18" t="n">
        <x:v>5475.36</x:v>
      </x:c>
      <x:c r="AI96" s="17" t="n">
        <x:v>6</x:v>
      </x:c>
      <x:c r="AJ96" s="17" t="n">
        <x:v>1</x:v>
      </x:c>
      <x:c r="AK96" s="19" t="n">
        <x:v>1</x:v>
      </x:c>
      <x:c r="AL96" s="19" t="n">
        <x:v>1</x:v>
      </x:c>
      <x:c r="AM96" s="19" t="n">
        <x:v>0</x:v>
      </x:c>
      <x:c r="AN96" s="17" t="str">
        <x:v>[
  "index.pricevalue"
]</x:v>
      </x:c>
    </x:row>
    <x:row r="97" ht="58" customHeight="1">
      <x:c r="A97" s="17" t="str">
        <x:v>BUS093</x:v>
      </x:c>
      <x:c r="B97" s="17" t="str">
        <x:v>列出沪深300当前成分股和权重。</x:v>
      </x:c>
      <x:c r="C97" s="17" t="str">
        <x:v>index</x:v>
      </x:c>
      <x:c r="D97" s="17" t="str">
        <x:v>index.constitution</x:v>
      </x:c>
      <x:c r="E97" s="17" t="str"/>
      <x:c r="F97" s="17" t="str">
        <x:v>financial_qa_cc</x:v>
      </x:c>
      <x:c r="G97" s="17" t="str">
        <x:v>否</x:v>
      </x:c>
      <x:c r="H97" s="18" t="n">
        <x:v>42187.2</x:v>
      </x:c>
      <x:c r="I97" s="18" t="n">
        <x:f>IFERROR(H97/1000,"")</x:f>
        <x:v>42.1872</x:v>
      </x:c>
      <x:c r="J97" s="17" t="n">
        <x:v>11</x:v>
      </x:c>
      <x:c r="K97" s="17" t="str">
        <x:v>成功</x:v>
      </x:c>
      <x:c r="L97" s="17" t="n">
        <x:v>3</x:v>
      </x:c>
      <x:c r="M97" s="17" t="n">
        <x:v>3</x:v>
      </x:c>
      <x:c r="N97" s="17" t="n">
        <x:v>0</x:v>
      </x:c>
      <x:c r="O97" s="17" t="n">
        <x:v>0</x:v>
      </x:c>
      <x:c r="P97" s="17" t="n">
        <x:v>0</x:v>
      </x:c>
      <x:c r="Q97" s="17" t="n">
        <x:v>0</x:v>
      </x:c>
      <x:c r="R97" s="19" t="n">
        <x:f>IFERROR((M97+N97)/L97,"")</x:f>
        <x:v>1</x:v>
      </x:c>
      <x:c r="S97" s="17" t="n">
        <x:v>0</x:v>
      </x:c>
      <x:c r="T97" s="17" t="n">
        <x:v>0</x:v>
      </x:c>
      <x:c r="U97" s="17" t="n">
        <x:v>20369</x:v>
      </x:c>
      <x:c r="V97" s="17" t="str">
        <x:v>部分正确</x:v>
      </x:c>
      <x:c r="W97" s="19" t="n">
        <x:v>0.85</x:v>
      </x:c>
      <x:c r="X97" s="17" t="str">
        <x:v>否</x:v>
      </x:c>
      <x:c r="Y97" s="17" t="str"/>
      <x:c r="Z97" s="17" t="str">
        <x:v>沪深300当前成分股已查询到，但有两个限制需要说明：
**1. 权重数据不可得** — `weight` 字段在当前数据源中全部为空，无法提供各成分股的权重信息。
**2. 成分股名单不完整** — 当前数据源返回了 **100 只成分股**（均为深市股票，如宁德时代、美的集团、比亚迪、五粮液等），缺少沪市股票部分（600/601/603/688开头），并非沪深300全量300只成分股名单。
以下是返回的100只深市成分股（按代码排序）：
| 代码 | 名称 | 权重 |
|:---:|:---|:---:|
| 000001.SZ | 平安银行 | — |
| 000002.SZ | 万科A | — |
| 000063.SZ | 中兴通讯 | — |
| 000100.SZ | TCL科技 | — |
| 000157.SZ | 中联重科 | — |
| 000166.SZ | 申万宏源 | — |
| 000301.SZ | 东方盛虹 | — |
| 000333.SZ | 美的集团 | — |
| 000338.SZ | 潍柴动力 | — |
| 000408.SZ | 藏格矿业 | — |
| 000425.SZ | 徐工机械 | — |
| 000538.SZ | 云南白药 | — |
| 000568.SZ | 泸州老窖 | — |
| 000596.SZ | 古井贡酒 | — |
| 000617.SZ | 中油资本 | — |
| 000625.SZ | 长安汽车 | — |
| 000630.SZ | 铜陵有色 | — |
| 000651.SZ | 格力电器 | — |
| 000657.SZ | 中钨高新 | — |
| 000708.SZ | 中信特钢 | — |
| 000725.SZ | 京东方A | — |
| 000768.SZ | 中航西飞 | — |
| 000776.SZ | 广发证券 | — |
| 000792.SZ | 盐湖股份 | — |
| 000807.SZ | 云铝股份 | — |
| 000858.SZ | 五粮液 | — |
| 000895.SZ | 双汇发展 | — |
| 000938.SZ | 紫光股份 | — |
| 000963.SZ | 华东医药 | — |
| 000975.SZ | 山金国际 | — |
| 000977.SZ | 浪潮信息 | — |
| 000988.SZ | 华工科技 | — |
| 000999.SZ | 华润三九 | — |
| 001280.SZ | 中国铀业 | — |
| 001391.SZ | 国货航 | — |
| 001965.SZ | 招商公路 | — |
| 001979.SZ | 招商蛇口 | — |
| 002001.SZ | 新和成 | — |
| 002027.SZ | 分众传媒 | — |
| 002028.SZ | 思源电气 | — |
| 002049.SZ | 紫光国微 | — |
| 002050.SZ | 三花智控 | — |
| 002074.SZ | 国轩高科 | — |
| 002142.SZ | 宁波银行 | — |
| 002179.SZ | 中航光电 | — |
| 002202.SZ | 金风科技 | — |
| 002230.SZ | 科大讯飞 | — |
| 002236.SZ | 大华股份 | — |
| 002241.SZ | 歌尔股份 | — |
| 002304.SZ | 洋河股份 | — |
| 002311.SZ | 海大集团 | — |
| 002352.SZ | 顺丰控股 | — |
| 002353.SZ | 杰瑞股份 | — |
| 002371.SZ | 北方华创 | — |
| 002384.SZ | 东山精密 | — |
| 002415.SZ | 海康威视 | — |
| 002422.SZ | 科伦药业 | — |
| 002460.SZ | 赣锋锂业 | — |
| 002463.SZ | 沪电股份 | — |
| 002466.SZ | 天齐锂业 | — |
| 002475.SZ | 立讯精密 | — |
| 002493.SZ | 荣盛石化 | — |
| 002532.SZ | 天山铝业 | — |
| 002558.SZ | 巨人网络 | — |
| 002594.SZ | 比亚迪 | — |
| 002600.SZ | 领益智造 | — |
| 002602.SZ | 世纪华通 | — |
| 002625.SZ | 光启技术 | — |
| 002648.SZ | 卫星化学 | — |
| 002709.SZ | 天赐材</x:v>
      </x:c>
      <x:c r="AA97" s="17" t="str"/>
      <x:c r="AB97" s="17" t="n">
        <x:v>46235.843068078706</x:v>
      </x:c>
      <x:c r="AC97" s="17" t="n">
        <x:v>46235.84355636574</x:v>
      </x:c>
      <x:c r="AD97" s="17" t="str">
        <x:v>analysis.json</x:v>
      </x:c>
      <x:c r="AE97" s="18" t="n">
        <x:v>33276</x:v>
      </x:c>
      <x:c r="AF97" s="18" t="n">
        <x:v>8911.2</x:v>
      </x:c>
      <x:c r="AG97" s="18" t="n">
        <x:v>836.16</x:v>
      </x:c>
      <x:c r="AH97" s="18" t="n">
        <x:v>5711.63</x:v>
      </x:c>
      <x:c r="AI97" s="17" t="n">
        <x:v>11</x:v>
      </x:c>
      <x:c r="AJ97" s="17" t="n">
        <x:v>1</x:v>
      </x:c>
      <x:c r="AK97" s="19" t="n">
        <x:v>1</x:v>
      </x:c>
      <x:c r="AL97" s="19" t="n">
        <x:v>1</x:v>
      </x:c>
      <x:c r="AM97" s="19" t="n">
        <x:v>0</x:v>
      </x:c>
      <x:c r="AN97" s="17" t="str">
        <x:v>[
  "index.constitution"
]</x:v>
      </x:c>
    </x:row>
    <x:row r="98" ht="58" customHeight="1">
      <x:c r="A98" s="17" t="str">
        <x:v>BUS094</x:v>
      </x:c>
      <x:c r="B98" s="17" t="str">
        <x:v>查询沪深300前10大权重股。</x:v>
      </x:c>
      <x:c r="C98" s="17" t="str">
        <x:v>index</x:v>
      </x:c>
      <x:c r="D98" s="17" t="str">
        <x:v>index.constitution</x:v>
      </x:c>
      <x:c r="E98" s="17" t="str"/>
      <x:c r="F98" s="17" t="str">
        <x:v>financial_qa_cc</x:v>
      </x:c>
      <x:c r="G98" s="17" t="str">
        <x:v>否</x:v>
      </x:c>
      <x:c r="H98" s="18" t="n">
        <x:v>29092.46</x:v>
      </x:c>
      <x:c r="I98" s="18" t="n">
        <x:f>IFERROR(H98/1000,"")</x:f>
        <x:v>29.09246</x:v>
      </x:c>
      <x:c r="J98" s="17" t="n">
        <x:v>4</x:v>
      </x:c>
      <x:c r="K98" s="17" t="str">
        <x:v>成功</x:v>
      </x:c>
      <x:c r="L98" s="17" t="n">
        <x:v>3</x:v>
      </x:c>
      <x:c r="M98" s="17" t="n">
        <x:v>3</x:v>
      </x:c>
      <x:c r="N98" s="17" t="n">
        <x:v>0</x:v>
      </x:c>
      <x:c r="O98" s="17" t="n">
        <x:v>0</x:v>
      </x:c>
      <x:c r="P98" s="17" t="n">
        <x:v>0</x:v>
      </x:c>
      <x:c r="Q98" s="17" t="n">
        <x:v>0</x:v>
      </x:c>
      <x:c r="R98" s="19" t="n">
        <x:f>IFERROR((M98+N98)/L98,"")</x:f>
        <x:v>1</x:v>
      </x:c>
      <x:c r="S98" s="17" t="n">
        <x:v>0</x:v>
      </x:c>
      <x:c r="T98" s="17" t="n">
        <x:v>0</x:v>
      </x:c>
      <x:c r="U98" s="17" t="n">
        <x:v>6757</x:v>
      </x:c>
      <x:c r="V98" s="17" t="str">
        <x:v>证据不足</x:v>
      </x:c>
      <x:c r="W98" s="19" t="n">
        <x:v>0.95</x:v>
      </x:c>
      <x:c r="X98" s="17" t="str">
        <x:v>否</x:v>
      </x:c>
      <x:c r="Y98" s="17" t="str"/>
      <x:c r="Z98" s="17" t="str">
        <x:v>根据查询结果，当前数据源中沪深300指数的成分股信息可以获取，但**权重字段（weight）为空值**，因此无法提供各成分股的具体权重数据，也无法确定真正的前10大权重股排名。
按数据源返回的10只成分股名单如下：
| 代码 | 名称 |
|------|------|
| 000001.SZ | 平安银行 |
| 000002.SZ | 万科A |
| 000063.SZ | 中兴通讯 |
| 000100.SZ | TCL科技 |
| 000157.SZ | 中联重科 |
| 000166.SZ | 申万宏源 |
| 000301.SZ | 东方盛虹 |
| 000333.SZ | 美的集团 |
| 000338.SZ | 潍柴动力 |
| 000408.SZ | 藏格矿业 |
**需要说明的是**：由于权重字段缺失，上述列表按股票代码排序展示，并非真正的权重排名。要获取沪深300精确的权重排名，建议参考中证指数公司官网的定期权重公告，或通过其他数据源补充。</x:v>
      </x:c>
      <x:c r="AA98" s="17" t="str"/>
      <x:c r="AB98" s="17" t="n">
        <x:v>46235.84359195602</x:v>
      </x:c>
      <x:c r="AC98" s="17" t="n">
        <x:v>46235.84392868056</x:v>
      </x:c>
      <x:c r="AD98" s="17" t="str">
        <x:v>analysis.json</x:v>
      </x:c>
      <x:c r="AE98" s="18" t="n">
        <x:v>17487</x:v>
      </x:c>
      <x:c r="AF98" s="18" t="n">
        <x:v>11605.46</x:v>
      </x:c>
      <x:c r="AG98" s="18" t="n">
        <x:v>925.23</x:v>
      </x:c>
      <x:c r="AH98" s="18" t="n">
        <x:v>6443.35</x:v>
      </x:c>
      <x:c r="AI98" s="17" t="n">
        <x:v>4</x:v>
      </x:c>
      <x:c r="AJ98" s="17" t="n">
        <x:v>1</x:v>
      </x:c>
      <x:c r="AK98" s="19" t="n">
        <x:v>1</x:v>
      </x:c>
      <x:c r="AL98" s="19" t="n">
        <x:v>1</x:v>
      </x:c>
      <x:c r="AM98" s="19" t="n">
        <x:v>0</x:v>
      </x:c>
      <x:c r="AN98" s="17" t="str">
        <x:v>[
  "index.constitution"
]</x:v>
      </x:c>
    </x:row>
    <x:row r="99" ht="58" customHeight="1">
      <x:c r="A99" s="17" t="str">
        <x:v>BUS095</x:v>
      </x:c>
      <x:c r="B99" s="17" t="str">
        <x:v>筛选沪深300成分股中权重超过2%的股票。</x:v>
      </x:c>
      <x:c r="C99" s="17" t="str">
        <x:v>index</x:v>
      </x:c>
      <x:c r="D99" s="17" t="str">
        <x:v>index.constitution</x:v>
      </x:c>
      <x:c r="E99" s="17" t="str"/>
      <x:c r="F99" s="17" t="str">
        <x:v>free_chat</x:v>
      </x:c>
      <x:c r="G99" s="17" t="str">
        <x:v>是</x:v>
      </x:c>
      <x:c r="H99" s="18" t="n">
        <x:v>14434.05</x:v>
      </x:c>
      <x:c r="I99" s="18" t="n">
        <x:f>IFERROR(H99/1000,"")</x:f>
        <x:v>14.43405</x:v>
      </x:c>
      <x:c r="J99" s="17"/>
      <x:c r="K99" s="17" t="str">
        <x:v>成功</x:v>
      </x:c>
      <x:c r="L99" s="17" t="n">
        <x:v>0</x:v>
      </x:c>
      <x:c r="M99" s="17" t="n">
        <x:v>0</x:v>
      </x:c>
      <x:c r="N99" s="17" t="n">
        <x:v>0</x:v>
      </x:c>
      <x:c r="O99" s="17" t="n">
        <x:v>0</x:v>
      </x:c>
      <x:c r="P99" s="17" t="n">
        <x:v>0</x:v>
      </x:c>
      <x:c r="Q99" s="17" t="n">
        <x:v>0</x:v>
      </x:c>
      <x:c r="R99" s="19" t="str">
        <x:f>IFERROR((M99+N99)/L99,"")</x:f>
      </x:c>
      <x:c r="S99" s="17" t="n">
        <x:v>0</x:v>
      </x:c>
      <x:c r="T99" s="17" t="n">
        <x:v>0</x:v>
      </x:c>
      <x:c r="U99" s="17" t="n">
        <x:v>1257</x:v>
      </x:c>
      <x:c r="V99" s="17" t="str">
        <x:v>错误</x:v>
      </x:c>
      <x:c r="W99" s="19" t="n">
        <x:v>0.7</x:v>
      </x:c>
      <x:c r="X99" s="17" t="str">
        <x:v>否</x:v>
      </x:c>
      <x:c r="Y99" s="17" t="str"/>
      <x:c r="Z99" s="17" t="str">
        <x:v>已识别为自然语言请求，当前 agent = investment_analyst，route_type = clarify。
需要澄清: {"state_type": "clarification_state", "status": "needs_user_input", "missing_slots": ["task_focus"], "prompt": "请说明你更想做个股深度分析，还是热点/概念追踪。", "resume_token": "clarify_abbbf36e58d2465e", "slot_hints": {"task_focus": "请说明你更想做个股深度分析，还是热点/概念追踪。"}, "context_summary": {"task_type": "", "code": "", "name": ""}}</x:v>
      </x:c>
      <x:c r="AA99" s="17" t="str"/>
      <x:c r="AB99" s="17" t="n">
        <x:v>46235.84382336806</x:v>
      </x:c>
      <x:c r="AC99" s="17" t="n">
        <x:v>46235.84399042824</x:v>
      </x:c>
      <x:c r="AD99" s="17" t="str">
        <x:v>analysis.json</x:v>
      </x:c>
      <x:c r="AE99" s="18"/>
      <x:c r="AF99" s="18"/>
      <x:c r="AG99" s="18" t="n">
        <x:v>986.88</x:v>
      </x:c>
      <x:c r="AH99" s="18"/>
      <x:c r="AI99" s="17"/>
      <x:c r="AJ99" s="17"/>
      <x:c r="AK99" s="19"/>
      <x:c r="AL99" s="19"/>
      <x:c r="AM99" s="19"/>
      <x:c r="AN99" s="17" t="str"/>
    </x:row>
    <x:row r="100" ht="58" customHeight="1">
      <x:c r="A100" s="17" t="str">
        <x:v>BUS096</x:v>
      </x:c>
      <x:c r="B100" s="17" t="str">
        <x:v>查询中证500当前成分股数量。</x:v>
      </x:c>
      <x:c r="C100" s="17" t="str">
        <x:v>index</x:v>
      </x:c>
      <x:c r="D100" s="17" t="str">
        <x:v>index.constitution</x:v>
      </x:c>
      <x:c r="E100" s="17" t="str"/>
      <x:c r="F100" s="17" t="str">
        <x:v>financial_qa_cc</x:v>
      </x:c>
      <x:c r="G100" s="17" t="str">
        <x:v>否</x:v>
      </x:c>
      <x:c r="H100" s="18" t="n">
        <x:v>21420.56</x:v>
      </x:c>
      <x:c r="I100" s="18" t="n">
        <x:f>IFERROR(H100/1000,"")</x:f>
        <x:v>21.420560000000002</x:v>
      </x:c>
      <x:c r="J100" s="17" t="n">
        <x:v>6</x:v>
      </x:c>
      <x:c r="K100" s="17" t="str">
        <x:v>成功</x:v>
      </x:c>
      <x:c r="L100" s="17" t="n">
        <x:v>2</x:v>
      </x:c>
      <x:c r="M100" s="17" t="n">
        <x:v>2</x:v>
      </x:c>
      <x:c r="N100" s="17" t="n">
        <x:v>0</x:v>
      </x:c>
      <x:c r="O100" s="17" t="n">
        <x:v>0</x:v>
      </x:c>
      <x:c r="P100" s="17" t="n">
        <x:v>0</x:v>
      </x:c>
      <x:c r="Q100" s="17" t="n">
        <x:v>0</x:v>
      </x:c>
      <x:c r="R100" s="19" t="n">
        <x:f>IFERROR((M100+N100)/L100,"")</x:f>
        <x:v>1</x:v>
      </x:c>
      <x:c r="S100" s="17" t="n">
        <x:v>0</x:v>
      </x:c>
      <x:c r="T100" s="17" t="n">
        <x:v>0</x:v>
      </x:c>
      <x:c r="U100" s="17" t="n">
        <x:v>5005</x:v>
      </x:c>
      <x:c r="V100" s="17" t="str">
        <x:v>正确</x:v>
      </x:c>
      <x:c r="W100" s="19" t="n">
        <x:v>1</x:v>
      </x:c>
      <x:c r="X100" s="17" t="str">
        <x:v>否</x:v>
      </x:c>
      <x:c r="Y100" s="17" t="str"/>
      <x:c r="Z100" s="17" t="str">
        <x:v>中证500当前成分股共 **500 只**，与指数编制规则一致。</x:v>
      </x:c>
      <x:c r="AA100" s="17" t="str"/>
      <x:c r="AB100" s="17" t="n">
        <x:v>46235.84399021991</x:v>
      </x:c>
      <x:c r="AC100" s="17" t="n">
        <x:v>46235.84423814815</x:v>
      </x:c>
      <x:c r="AD100" s="17" t="str">
        <x:v>analysis.json</x:v>
      </x:c>
      <x:c r="AE100" s="18" t="n">
        <x:v>11477</x:v>
      </x:c>
      <x:c r="AF100" s="18" t="n">
        <x:v>9943.56</x:v>
      </x:c>
      <x:c r="AG100" s="18" t="n">
        <x:v>1190.95</x:v>
      </x:c>
      <x:c r="AH100" s="18" t="n">
        <x:v>6564.72</x:v>
      </x:c>
      <x:c r="AI100" s="17" t="n">
        <x:v>6</x:v>
      </x:c>
      <x:c r="AJ100" s="17" t="n">
        <x:v>1</x:v>
      </x:c>
      <x:c r="AK100" s="19" t="n">
        <x:v>1</x:v>
      </x:c>
      <x:c r="AL100" s="19" t="n">
        <x:v>1</x:v>
      </x:c>
      <x:c r="AM100" s="19" t="n">
        <x:v>0</x:v>
      </x:c>
      <x:c r="AN100" s="17" t="str">
        <x:v>[
  "index.constitution.agg"
]</x:v>
      </x:c>
    </x:row>
    <x:row r="101" ht="58" customHeight="1">
      <x:c r="A101" s="17" t="str">
        <x:v>BUS097</x:v>
      </x:c>
      <x:c r="B101" s="17" t="str">
        <x:v>查询创业板指权重最高的前20只成分股。</x:v>
      </x:c>
      <x:c r="C101" s="17" t="str">
        <x:v>index</x:v>
      </x:c>
      <x:c r="D101" s="17" t="str">
        <x:v>index.constitution</x:v>
      </x:c>
      <x:c r="E101" s="17" t="str"/>
      <x:c r="F101" s="17" t="str">
        <x:v>financial_qa_cc</x:v>
      </x:c>
      <x:c r="G101" s="17" t="str">
        <x:v>否</x:v>
      </x:c>
      <x:c r="H101" s="18" t="n">
        <x:v>24047.45</x:v>
      </x:c>
      <x:c r="I101" s="18" t="n">
        <x:f>IFERROR(H101/1000,"")</x:f>
        <x:v>24.04745</x:v>
      </x:c>
      <x:c r="J101" s="17" t="n">
        <x:v>6</x:v>
      </x:c>
      <x:c r="K101" s="17" t="str">
        <x:v>成功</x:v>
      </x:c>
      <x:c r="L101" s="17" t="n">
        <x:v>3</x:v>
      </x:c>
      <x:c r="M101" s="17" t="n">
        <x:v>3</x:v>
      </x:c>
      <x:c r="N101" s="17" t="n">
        <x:v>0</x:v>
      </x:c>
      <x:c r="O101" s="17" t="n">
        <x:v>0</x:v>
      </x:c>
      <x:c r="P101" s="17" t="n">
        <x:v>0</x:v>
      </x:c>
      <x:c r="Q101" s="17" t="n">
        <x:v>0</x:v>
      </x:c>
      <x:c r="R101" s="19" t="n">
        <x:f>IFERROR((M101+N101)/L101,"")</x:f>
        <x:v>1</x:v>
      </x:c>
      <x:c r="S101" s="17" t="n">
        <x:v>0</x:v>
      </x:c>
      <x:c r="T101" s="17" t="n">
        <x:v>0</x:v>
      </x:c>
      <x:c r="U101" s="17" t="n">
        <x:v>7596</x:v>
      </x:c>
      <x:c r="V101" s="17" t="str">
        <x:v>错误</x:v>
      </x:c>
      <x:c r="W101" s="19" t="n">
        <x:v>0.95</x:v>
      </x:c>
      <x:c r="X101" s="17" t="str">
        <x:v>否</x:v>
      </x:c>
      <x:c r="Y101" s="17" t="str"/>
      <x:c r="Z101" s="17" t="str">
        <x:v>以下是按权重排序的创业板指前20大成分股（按降序排列）：
| 排名 | 代码 | 名称 |
|:---:|:---:|:---:|
| 1 | 300001.SZ | 特锐德 |
| 2 | 300002.SZ | 神州泰岳 |
| 3 | 300003.SZ | 乐普医疗 |
| 4 | 300012.SZ | 华测检测 |
| 5 | 300014.SZ | 亿纬锂能 |
| 6 | 300015.SZ | 爱尔眼科 |
| 7 | 300017.SZ | 网宿科技 |
| 8 | 300024.SZ | 机器人 |
| 9 | 300033.SZ | 同花顺 |
| 10 | 300037.SZ | 新宙邦 |
| 11 | 300054.SZ | 鼎龙股份 |
| 12 | 300058.SZ | 蓝色光标 |
| 13 | 300059.SZ | 东方财富 |
| 14 | 300073.SZ | 当升科技 |
| 15 | 300115.SZ | 长盈精密 |
| 16 | 300122.SZ | 智飞生物 |
| 17 | 300124.SZ | 汇川技术 |
| 18 | 300136.SZ | 信维通信 |
| 19 | 300144.SZ | 宋城演艺 |
| 20 | 300207.SZ | 欣旺达 |
**说明：** 上述20只成分股已按权重降序排列，但当前数据源未返回各成分股的具体权重数值，因此无法列出精确的权重占比。名单中涵盖了新能源（亿纬锂能、当升科技）、医药医疗（爱尔眼科、乐普医疗、智飞生物）、TMT（东方财富、同花顺、信维通信）等创业板代表性行业的龙头公司。</x:v>
      </x:c>
      <x:c r="AA101" s="17" t="str"/>
      <x:c r="AB101" s="17" t="n">
        <x:v>46235.84403518518</x:v>
      </x:c>
      <x:c r="AC101" s="17" t="n">
        <x:v>46235.84431350695</x:v>
      </x:c>
      <x:c r="AD101" s="17" t="str">
        <x:v>analysis.json</x:v>
      </x:c>
      <x:c r="AE101" s="18" t="n">
        <x:v>15450</x:v>
      </x:c>
      <x:c r="AF101" s="18" t="n">
        <x:v>8597.45</x:v>
      </x:c>
      <x:c r="AG101" s="18" t="n">
        <x:v>1153.13</x:v>
      </x:c>
      <x:c r="AH101" s="18" t="n">
        <x:v>5765.07</x:v>
      </x:c>
      <x:c r="AI101" s="17" t="n">
        <x:v>6</x:v>
      </x:c>
      <x:c r="AJ101" s="17" t="n">
        <x:v>1</x:v>
      </x:c>
      <x:c r="AK101" s="19" t="n">
        <x:v>1</x:v>
      </x:c>
      <x:c r="AL101" s="19" t="n">
        <x:v>1</x:v>
      </x:c>
      <x:c r="AM101" s="19" t="n">
        <x:v>0</x:v>
      </x:c>
      <x:c r="AN101" s="17" t="str">
        <x:v>[
  "index.constitution"
]</x:v>
      </x:c>
    </x:row>
    <x:row r="102" ht="58" customHeight="1">
      <x:c r="A102" s="17" t="str">
        <x:v>BUS098</x:v>
      </x:c>
      <x:c r="B102" s="17" t="str">
        <x:v>查询贵州茅台是否属于沪深300成分股。</x:v>
      </x:c>
      <x:c r="C102" s="17" t="str">
        <x:v>index</x:v>
      </x:c>
      <x:c r="D102" s="17" t="str">
        <x:v>stock.basic_info, index.constitution</x:v>
      </x:c>
      <x:c r="E102" s="17" t="str"/>
      <x:c r="F102" s="17" t="str">
        <x:v>financial_qa_cc</x:v>
      </x:c>
      <x:c r="G102" s="17" t="str">
        <x:v>否</x:v>
      </x:c>
      <x:c r="H102" s="18" t="n">
        <x:v>18450.47</x:v>
      </x:c>
      <x:c r="I102" s="18" t="n">
        <x:f>IFERROR(H102/1000,"")</x:f>
        <x:v>18.450470000000003</x:v>
      </x:c>
      <x:c r="J102" s="17" t="n">
        <x:v>4</x:v>
      </x:c>
      <x:c r="K102" s="17" t="str">
        <x:v>成功</x:v>
      </x:c>
      <x:c r="L102" s="17" t="n">
        <x:v>2</x:v>
      </x:c>
      <x:c r="M102" s="17" t="n">
        <x:v>2</x:v>
      </x:c>
      <x:c r="N102" s="17" t="n">
        <x:v>0</x:v>
      </x:c>
      <x:c r="O102" s="17" t="n">
        <x:v>0</x:v>
      </x:c>
      <x:c r="P102" s="17" t="n">
        <x:v>0</x:v>
      </x:c>
      <x:c r="Q102" s="17" t="n">
        <x:v>0</x:v>
      </x:c>
      <x:c r="R102" s="19" t="n">
        <x:f>IFERROR((M102+N102)/L102,"")</x:f>
        <x:v>1</x:v>
      </x:c>
      <x:c r="S102" s="17" t="n">
        <x:v>0</x:v>
      </x:c>
      <x:c r="T102" s="17" t="n">
        <x:v>0</x:v>
      </x:c>
      <x:c r="U102" s="17" t="n">
        <x:v>12417</x:v>
      </x:c>
      <x:c r="V102" s="17" t="str">
        <x:v>正确</x:v>
      </x:c>
      <x:c r="W102" s="19" t="n">
        <x:v>0.9</x:v>
      </x:c>
      <x:c r="X102" s="17" t="str">
        <x:v>否</x:v>
      </x:c>
      <x:c r="Y102" s="17" t="str"/>
      <x:c r="Z102" s="17" t="str">
        <x:v>是的，贵州茅台（600519.SH）属于沪深300指数成分股。
查询结果显示，沪深300指数（000300.SH / 399300.SZ）的成分股列表中明确包含贵州茅台。</x:v>
      </x:c>
      <x:c r="AA102" s="17" t="str"/>
      <x:c r="AB102" s="17" t="n">
        <x:v>46235.844281481484</x:v>
      </x:c>
      <x:c r="AC102" s="17" t="n">
        <x:v>46235.84449502315</x:v>
      </x:c>
      <x:c r="AD102" s="17" t="str">
        <x:v>analysis.json</x:v>
      </x:c>
      <x:c r="AE102" s="18" t="n">
        <x:v>8957</x:v>
      </x:c>
      <x:c r="AF102" s="18" t="n">
        <x:v>9493.47</x:v>
      </x:c>
      <x:c r="AG102" s="18" t="n">
        <x:v>804.12</x:v>
      </x:c>
      <x:c r="AH102" s="18" t="n">
        <x:v>5933.8</x:v>
      </x:c>
      <x:c r="AI102" s="17" t="n">
        <x:v>4</x:v>
      </x:c>
      <x:c r="AJ102" s="17" t="n">
        <x:v>1</x:v>
      </x:c>
      <x:c r="AK102" s="19" t="n">
        <x:v>1</x:v>
      </x:c>
      <x:c r="AL102" s="19" t="n">
        <x:v>1</x:v>
      </x:c>
      <x:c r="AM102" s="19" t="n">
        <x:v>0</x:v>
      </x:c>
      <x:c r="AN102" s="17" t="str">
        <x:v>[
  "index.constitution"
]</x:v>
      </x:c>
    </x:row>
    <x:row r="103" ht="58" customHeight="1">
      <x:c r="A103" s="17" t="str">
        <x:v>BUS099</x:v>
      </x:c>
      <x:c r="B103" s="17" t="str">
        <x:v>计算沪深300成分股今天平均涨跌幅和上涨家数。</x:v>
      </x:c>
      <x:c r="C103" s="17" t="str">
        <x:v>index</x:v>
      </x:c>
      <x:c r="D103" s="17" t="str">
        <x:v>index.constitution, stock.quote</x:v>
      </x:c>
      <x:c r="E103" s="17" t="str"/>
      <x:c r="F103" s="17" t="str">
        <x:v>financial_qa_cc</x:v>
      </x:c>
      <x:c r="G103" s="17" t="str">
        <x:v>否</x:v>
      </x:c>
      <x:c r="H103" s="18" t="n">
        <x:v>26825.19</x:v>
      </x:c>
      <x:c r="I103" s="18" t="n">
        <x:f>IFERROR(H103/1000,"")</x:f>
        <x:v>26.82519</x:v>
      </x:c>
      <x:c r="J103" s="17" t="n">
        <x:v>5</x:v>
      </x:c>
      <x:c r="K103" s="17" t="str">
        <x:v>成功</x:v>
      </x:c>
      <x:c r="L103" s="17" t="n">
        <x:v>3</x:v>
      </x:c>
      <x:c r="M103" s="17" t="n">
        <x:v>3</x:v>
      </x:c>
      <x:c r="N103" s="17" t="n">
        <x:v>0</x:v>
      </x:c>
      <x:c r="O103" s="17" t="n">
        <x:v>0</x:v>
      </x:c>
      <x:c r="P103" s="17" t="n">
        <x:v>0</x:v>
      </x:c>
      <x:c r="Q103" s="17" t="n">
        <x:v>0</x:v>
      </x:c>
      <x:c r="R103" s="19" t="n">
        <x:f>IFERROR((M103+N103)/L103,"")</x:f>
        <x:v>1</x:v>
      </x:c>
      <x:c r="S103" s="17" t="n">
        <x:v>0</x:v>
      </x:c>
      <x:c r="T103" s="17" t="n">
        <x:v>0</x:v>
      </x:c>
      <x:c r="U103" s="17" t="n">
        <x:v>14140</x:v>
      </x:c>
      <x:c r="V103" s="17" t="str">
        <x:v>正确</x:v>
      </x:c>
      <x:c r="W103" s="19" t="n">
        <x:v>0.9</x:v>
      </x:c>
      <x:c r="X103" s="17" t="str">
        <x:v>否</x:v>
      </x:c>
      <x:c r="Y103" s="17" t="str"/>
      <x:c r="Z103" s="17" t="str">
        <x:v>沪深300成分股在最近交易日（2026年7月31日）表现如下：
- **平均涨跌幅**：**+1.03%**
- **上涨家数**：**169家**（占全部300只成分股的约56%）</x:v>
      </x:c>
      <x:c r="AA103" s="17" t="str"/>
      <x:c r="AB103" s="17" t="n">
        <x:v>46235.844341909724</x:v>
      </x:c>
      <x:c r="AC103" s="17" t="n">
        <x:v>46235.84465238426</x:v>
      </x:c>
      <x:c r="AD103" s="17" t="str">
        <x:v>analysis.json</x:v>
      </x:c>
      <x:c r="AE103" s="18" t="n">
        <x:v>17798</x:v>
      </x:c>
      <x:c r="AF103" s="18" t="n">
        <x:v>9027.19</x:v>
      </x:c>
      <x:c r="AG103" s="18" t="n">
        <x:v>758.45</x:v>
      </x:c>
      <x:c r="AH103" s="18" t="n">
        <x:v>5521.9</x:v>
      </x:c>
      <x:c r="AI103" s="17" t="n">
        <x:v>5</x:v>
      </x:c>
      <x:c r="AJ103" s="17" t="n">
        <x:v>1</x:v>
      </x:c>
      <x:c r="AK103" s="19" t="n">
        <x:v>1</x:v>
      </x:c>
      <x:c r="AL103" s="19" t="n">
        <x:v>1</x:v>
      </x:c>
      <x:c r="AM103" s="19" t="n">
        <x:v>0</x:v>
      </x:c>
      <x:c r="AN103" s="17" t="str">
        <x:v>[
  "index.constitution.agg"
]</x:v>
      </x:c>
    </x:row>
    <x:row r="104" ht="58" customHeight="1">
      <x:c r="A104" s="17" t="str">
        <x:v>BUS100</x:v>
      </x:c>
      <x:c r="B104" s="17" t="str">
        <x:v>比较沪深300和中证500最近20个交易日累计涨幅。</x:v>
      </x:c>
      <x:c r="C104" s="17" t="str">
        <x:v>index</x:v>
      </x:c>
      <x:c r="D104" s="17" t="str">
        <x:v>index.quote</x:v>
      </x:c>
      <x:c r="E104" s="17" t="str"/>
      <x:c r="F104" s="17" t="str">
        <x:v>financial_qa_cc</x:v>
      </x:c>
      <x:c r="G104" s="17" t="str">
        <x:v>否</x:v>
      </x:c>
      <x:c r="H104" s="18" t="n">
        <x:v>17474.75</x:v>
      </x:c>
      <x:c r="I104" s="18" t="n">
        <x:f>IFERROR(H104/1000,"")</x:f>
        <x:v>17.47475</x:v>
      </x:c>
      <x:c r="J104" s="17" t="n">
        <x:v>3</x:v>
      </x:c>
      <x:c r="K104" s="17" t="str">
        <x:v>成功</x:v>
      </x:c>
      <x:c r="L104" s="17" t="n">
        <x:v>2</x:v>
      </x:c>
      <x:c r="M104" s="17" t="n">
        <x:v>2</x:v>
      </x:c>
      <x:c r="N104" s="17" t="n">
        <x:v>0</x:v>
      </x:c>
      <x:c r="O104" s="17" t="n">
        <x:v>0</x:v>
      </x:c>
      <x:c r="P104" s="17" t="n">
        <x:v>0</x:v>
      </x:c>
      <x:c r="Q104" s="17" t="n">
        <x:v>0</x:v>
      </x:c>
      <x:c r="R104" s="19" t="n">
        <x:f>IFERROR((M104+N104)/L104,"")</x:f>
        <x:v>1</x:v>
      </x:c>
      <x:c r="S104" s="17" t="n">
        <x:v>0</x:v>
      </x:c>
      <x:c r="T104" s="17" t="n">
        <x:v>0</x:v>
      </x:c>
      <x:c r="U104" s="17" t="n">
        <x:v>5942</x:v>
      </x:c>
      <x:c r="V104" s="17" t="str">
        <x:v>正确</x:v>
      </x:c>
      <x:c r="W104" s="19" t="n">
        <x:v>1</x:v>
      </x:c>
      <x:c r="X104" s="17" t="str">
        <x:v>否</x:v>
      </x:c>
      <x:c r="Y104" s="17" t="str"/>
      <x:c r="Z104" s="17" t="str">
        <x:v>最近20个交易日，沪深300和中证500均录得下跌，但跌幅差异明显：
- **沪深300** 累计下跌 **-5.24%**
- **中证500** 累计下跌 **-13.38%**
中证500的跌幅大约是沪深300的2.5倍，说明近一个月中小盘风格调整幅度远大于大盘蓝筹，市场呈现明显的防御性偏好。</x:v>
      </x:c>
      <x:c r="AA104" s="17" t="str"/>
      <x:c r="AB104" s="17" t="n">
        <x:v>46235.84452520833</x:v>
      </x:c>
      <x:c r="AC104" s="17" t="n">
        <x:v>46235.84472746528</x:v>
      </x:c>
      <x:c r="AD104" s="17" t="str">
        <x:v>analysis.json</x:v>
      </x:c>
      <x:c r="AE104" s="18" t="n">
        <x:v>9124</x:v>
      </x:c>
      <x:c r="AF104" s="18" t="n">
        <x:v>8350.75</x:v>
      </x:c>
      <x:c r="AG104" s="18" t="n">
        <x:v>828.33</x:v>
      </x:c>
      <x:c r="AH104" s="18" t="n">
        <x:v>5613.46</x:v>
      </x:c>
      <x:c r="AI104" s="17" t="n">
        <x:v>3</x:v>
      </x:c>
      <x:c r="AJ104" s="17" t="n">
        <x:v>1</x:v>
      </x:c>
      <x:c r="AK104" s="19" t="n">
        <x:v>1</x:v>
      </x:c>
      <x:c r="AL104" s="19" t="n">
        <x:v>1</x:v>
      </x:c>
      <x:c r="AM104" s="19" t="n">
        <x:v>0</x:v>
      </x:c>
      <x:c r="AN104" s="17" t="str">
        <x:v>[
  "index.quote.kd_pct_sum"
]</x:v>
      </x:c>
    </x:row>
    <x:row r="105" ht="58" customHeight="1">
      <x:c r="A105" s="17" t="str">
        <x:v>BUS101</x:v>
      </x:c>
      <x:c r="B105" s="17" t="str">
        <x:v>筛选沪深300成分股中PE_TTM低于20且今天上涨的股票。</x:v>
      </x:c>
      <x:c r="C105" s="17" t="str">
        <x:v>index</x:v>
      </x:c>
      <x:c r="D105" s="17" t="str">
        <x:v>index.constitution, stock.pricevalue, stock.quote</x:v>
      </x:c>
      <x:c r="E105" s="17" t="str"/>
      <x:c r="F105" s="17" t="str">
        <x:v>financial_qa_cc</x:v>
      </x:c>
      <x:c r="G105" s="17" t="str">
        <x:v>否</x:v>
      </x:c>
      <x:c r="H105" s="18" t="n">
        <x:v>54921.46</x:v>
      </x:c>
      <x:c r="I105" s="18" t="n">
        <x:f>IFERROR(H105/1000,"")</x:f>
        <x:v>54.921459999999996</x:v>
      </x:c>
      <x:c r="J105" s="17" t="n">
        <x:v>13</x:v>
      </x:c>
      <x:c r="K105" s="17" t="str">
        <x:v>成功</x:v>
      </x:c>
      <x:c r="L105" s="17" t="n">
        <x:v>8</x:v>
      </x:c>
      <x:c r="M105" s="17" t="n">
        <x:v>8</x:v>
      </x:c>
      <x:c r="N105" s="17" t="n">
        <x:v>0</x:v>
      </x:c>
      <x:c r="O105" s="17" t="n">
        <x:v>0</x:v>
      </x:c>
      <x:c r="P105" s="17" t="n">
        <x:v>0</x:v>
      </x:c>
      <x:c r="Q105" s="17" t="n">
        <x:v>0</x:v>
      </x:c>
      <x:c r="R105" s="19" t="n">
        <x:f>IFERROR((M105+N105)/L105,"")</x:f>
        <x:v>1</x:v>
      </x:c>
      <x:c r="S105" s="17" t="n">
        <x:v>0</x:v>
      </x:c>
      <x:c r="T105" s="17" t="n">
        <x:v>0</x:v>
      </x:c>
      <x:c r="U105" s="17" t="n">
        <x:v>28975</x:v>
      </x:c>
      <x:c r="V105" s="17" t="str">
        <x:v>部分正确</x:v>
      </x:c>
      <x:c r="W105" s="19" t="n">
        <x:v>1</x:v>
      </x:c>
      <x:c r="X105" s="17" t="str">
        <x:v>否</x:v>
      </x:c>
      <x:c r="Y105" s="17" t="str"/>
      <x:c r="Z105" s="17" t="str">
        <x:v>在沪深300成分股中，PE_TTM低于20且在上一个交易日（2026-07-31，周五）上涨的股票共有 **18只**，以下按涨幅从高到低排列：
**涨幅前5名：**
| 股票 | PE_TTM | 涨幅 |
|------|--------|------|
| 昆仑万维 | -32.45 | **+20.00%** |
| 润泽科技 | 19.95 | **+9.24%** |
| 光线传媒 | -109.25 | **+5.76%** |
| 大华股份 | 14.01 | **+3.47%** |
| 世纪华通 | 15.89 | **+2.65%** |
**其余13只：** 古井贡酒(+2.55%)、智飞生物(+1.09%)、山金国际(+0.91%)、广发证券(+0.75%)、天山铝业(+0.53%)、云铝股份(+0.45%)、泸州老窖(+0.43%)、中油资本(+0.42%)、万科A(+0.30%)、TCL科技(+0.21%)、云南白药(+0.21%)、平安银行(+0.17%)、卫星化学(+0.08%)
**几点观察：**
- 其中4只（昆仑万维、光线传媒、智飞生物、万科A）PE_TTM为负值，说明当前处于亏损状态，严格来说属于"PE为负"而非传统意义上的低估值。
- 剔除负PE后，**正PE的低估值上涨股**有14只，多数集中在10~20倍PE区间，覆盖证券、有色、白酒、家电、医药等多个行业。
- 昆仑万维当日涨停（+20%），PE_TTM为-32.45，属于亏损状态下的资金驱动型上涨，与传统的低估值逻辑不同。</x:v>
      </x:c>
      <x:c r="AA105" s="17" t="str"/>
      <x:c r="AB105" s="17" t="n">
        <x:v>46235.844684780095</x:v>
      </x:c>
      <x:c r="AC105" s="17" t="n">
        <x:v>46235.845320451386</x:v>
      </x:c>
      <x:c r="AD105" s="17" t="str">
        <x:v>analysis.json</x:v>
      </x:c>
      <x:c r="AE105" s="18" t="n">
        <x:v>44637</x:v>
      </x:c>
      <x:c r="AF105" s="18" t="n">
        <x:v>10284.46</x:v>
      </x:c>
      <x:c r="AG105" s="18" t="n">
        <x:v>1090.66</x:v>
      </x:c>
      <x:c r="AH105" s="18" t="n">
        <x:v>6850.27</x:v>
      </x:c>
      <x:c r="AI105" s="17" t="n">
        <x:v>13</x:v>
      </x:c>
      <x:c r="AJ105" s="17" t="n">
        <x:v>1</x:v>
      </x:c>
      <x:c r="AK105" s="19" t="n">
        <x:v>1</x:v>
      </x:c>
      <x:c r="AL105" s="19" t="n">
        <x:v>1</x:v>
      </x:c>
      <x:c r="AM105" s="19" t="n">
        <x:v>0</x:v>
      </x:c>
      <x:c r="AN105" s="17" t="str">
        <x:v>[
  "index.constitution",
  "stock.pricevalue",
  "stock.quote"
]</x:v>
      </x:c>
    </x:row>
    <x:row r="106" ht="58" customHeight="1">
      <x:c r="A106" s="17" t="str">
        <x:v>BUS102</x:v>
      </x:c>
      <x:c r="B106" s="17" t="str">
        <x:v>统计中证500成分股当前总市值最大的前10只股票。</x:v>
      </x:c>
      <x:c r="C106" s="17" t="str">
        <x:v>stock</x:v>
      </x:c>
      <x:c r="D106" s="17" t="str">
        <x:v>index.constitution, stock.pricevalue</x:v>
      </x:c>
      <x:c r="E106" s="17" t="str"/>
      <x:c r="F106" s="17" t="str">
        <x:v>financial_qa_cc</x:v>
      </x:c>
      <x:c r="G106" s="17" t="str">
        <x:v>否</x:v>
      </x:c>
      <x:c r="H106" s="18" t="n">
        <x:v>29693.48</x:v>
      </x:c>
      <x:c r="I106" s="18" t="n">
        <x:f>IFERROR(H106/1000,"")</x:f>
        <x:v>29.69348</x:v>
      </x:c>
      <x:c r="J106" s="17" t="n">
        <x:v>8</x:v>
      </x:c>
      <x:c r="K106" s="17" t="str">
        <x:v>成功</x:v>
      </x:c>
      <x:c r="L106" s="17" t="n">
        <x:v>5</x:v>
      </x:c>
      <x:c r="M106" s="17" t="n">
        <x:v>5</x:v>
      </x:c>
      <x:c r="N106" s="17" t="n">
        <x:v>0</x:v>
      </x:c>
      <x:c r="O106" s="17" t="n">
        <x:v>0</x:v>
      </x:c>
      <x:c r="P106" s="17" t="n">
        <x:v>0</x:v>
      </x:c>
      <x:c r="Q106" s="17" t="n">
        <x:v>0</x:v>
      </x:c>
      <x:c r="R106" s="19" t="n">
        <x:f>IFERROR((M106+N106)/L106,"")</x:f>
        <x:v>1</x:v>
      </x:c>
      <x:c r="S106" s="17" t="n">
        <x:v>0</x:v>
      </x:c>
      <x:c r="T106" s="17" t="n">
        <x:v>0</x:v>
      </x:c>
      <x:c r="U106" s="17" t="n">
        <x:v>18472</x:v>
      </x:c>
      <x:c r="V106" s="17" t="str">
        <x:v>错误</x:v>
      </x:c>
      <x:c r="W106" s="19" t="n">
        <x:v>1</x:v>
      </x:c>
      <x:c r="X106" s="17" t="str">
        <x:v>否</x:v>
      </x:c>
      <x:c r="Y106" s="17" t="str"/>
      <x:c r="Z106" s="17" t="str">
        <x:v>以下是中证500成分股中当前总市值最大的前10只股票（数据截至最近交易日，单位：亿元）：
| 排名 | 股票 | 代码 | 总市值（亿元） |
|:---:|:---:|:---:|:---:|
| 1 | 光迅科技 | 002281.SZ | 1,338.22 |
| 2 | 德明利 | 001309.SZ | 875.40 |
| 3 | 大族激光 | 002008.SZ | 870.12 |
| 4 | 广合科技 | 001389.SZ | 645.14 |
| 5 | 恒逸石化 | 000703.SZ | 614.89 |
| 6 | 深科技 | 000021.SZ | 586.14 |
| 7 | 锡业股份 | 000960.SZ | 561.09 |
| 8 | 华峰化学 | 002064.SZ | 544.89 |
| 9 | 华天科技 | 002185.SZ | 514.13 |
| 10 | 中国稀土 | 000831.SZ | 507.48 |
**要点：**
- **光迅科技**以约1,338亿元的总市值遥遥领先，是第二名德明利的1.5倍，也是中证500中唯一市值超千亿的成分股。
- 前10名市值分布在507亿~1,338亿元区间，集中度较高，头部效应明显。
- 从行业分布看，多以光通信（光迅科技）、存储芯片（德明利）、半导体设备（大族激光）等科技制造类公司为主，反映出中证500在科技成长方向的侧重。</x:v>
      </x:c>
      <x:c r="AA106" s="17" t="str"/>
      <x:c r="AB106" s="17" t="n">
        <x:v>46235.84476377315</x:v>
      </x:c>
      <x:c r="AC106" s="17" t="n">
        <x:v>46235.8451074537</x:v>
      </x:c>
      <x:c r="AD106" s="17" t="str">
        <x:v>analysis.json</x:v>
      </x:c>
      <x:c r="AE106" s="18" t="n">
        <x:v>20728</x:v>
      </x:c>
      <x:c r="AF106" s="18" t="n">
        <x:v>8965.48</x:v>
      </x:c>
      <x:c r="AG106" s="18" t="n">
        <x:v>1011.13</x:v>
      </x:c>
      <x:c r="AH106" s="18" t="n">
        <x:v>5725.68</x:v>
      </x:c>
      <x:c r="AI106" s="17" t="n">
        <x:v>8</x:v>
      </x:c>
      <x:c r="AJ106" s="17" t="n">
        <x:v>1</x:v>
      </x:c>
      <x:c r="AK106" s="19" t="n">
        <x:v>1</x:v>
      </x:c>
      <x:c r="AL106" s="19" t="n">
        <x:v>1</x:v>
      </x:c>
      <x:c r="AM106" s="19" t="n">
        <x:v>0</x:v>
      </x:c>
      <x:c r="AN106" s="17" t="str">
        <x:v>[
  "index.constitution",
  "stock.pricevalue"
]</x:v>
      </x:c>
    </x:row>
    <x:row r="107" ht="58" customHeight="1">
      <x:c r="A107" s="17" t="str">
        <x:v>BUS103</x:v>
      </x:c>
      <x:c r="B107" s="17" t="str">
        <x:v>同时查询沪深300当前点位、最新估值和前十大权重股。</x:v>
      </x:c>
      <x:c r="C107" s="17" t="str">
        <x:v>index</x:v>
      </x:c>
      <x:c r="D107" s="17" t="str">
        <x:v>index.quote, index.pricevalue, index.constitution</x:v>
      </x:c>
      <x:c r="E107" s="17" t="str"/>
      <x:c r="F107" s="17" t="str">
        <x:v>financial_qa_cc</x:v>
      </x:c>
      <x:c r="G107" s="17" t="str">
        <x:v>否</x:v>
      </x:c>
      <x:c r="H107" s="18" t="n">
        <x:v>35748.67</x:v>
      </x:c>
      <x:c r="I107" s="18" t="n">
        <x:f>IFERROR(H107/1000,"")</x:f>
        <x:v>35.74867</x:v>
      </x:c>
      <x:c r="J107" s="17" t="n">
        <x:v>6</x:v>
      </x:c>
      <x:c r="K107" s="17" t="str">
        <x:v>成功</x:v>
      </x:c>
      <x:c r="L107" s="17" t="n">
        <x:v>7</x:v>
      </x:c>
      <x:c r="M107" s="17" t="n">
        <x:v>7</x:v>
      </x:c>
      <x:c r="N107" s="17" t="n">
        <x:v>0</x:v>
      </x:c>
      <x:c r="O107" s="17" t="n">
        <x:v>0</x:v>
      </x:c>
      <x:c r="P107" s="17" t="n">
        <x:v>0</x:v>
      </x:c>
      <x:c r="Q107" s="17" t="n">
        <x:v>0</x:v>
      </x:c>
      <x:c r="R107" s="19" t="n">
        <x:f>IFERROR((M107+N107)/L107,"")</x:f>
        <x:v>1</x:v>
      </x:c>
      <x:c r="S107" s="17" t="n">
        <x:v>0</x:v>
      </x:c>
      <x:c r="T107" s="17" t="n">
        <x:v>0</x:v>
      </x:c>
      <x:c r="U107" s="17" t="n">
        <x:v>13488</x:v>
      </x:c>
      <x:c r="V107" s="17" t="str">
        <x:v>部分正确</x:v>
      </x:c>
      <x:c r="W107" s="19" t="n">
        <x:v>0.95</x:v>
      </x:c>
      <x:c r="X107" s="17" t="str">
        <x:v>否</x:v>
      </x:c>
      <x:c r="Y107" s="17" t="str"/>
      <x:c r="Z107" s="17" t="str">
        <x:v>好的，三个查询结果如下：
---
**1. 当前点位** — 沪深300最新收于 **4,588.20 点**（2026-07-31），当日上涨 0.85%。
**2. 最新估值** — 当前数据源未提供沪深300指数实时的 PE_TTM 和 PB_MRQ 数据，估值部分暂无法展示。
**3. 前十大成分股**（按权重排序，但权重字段当前数据源未返回，以下按代码顺序列出）：
| 排名 | 代码 | 名称 |
|:---:|:---:|:---:|
| 1 | 000001.SZ | 平安银行 |
| 2 | 000002.SZ | 万科A |
| 3 | 000063.SZ | 中兴通讯 |
| 4 | 000100.SZ | TCL科技 |
| 5 | 000157.SZ | 中联重科 |
| 6 | 000166.SZ | 申万宏源 |
| 7 | 000301.SZ | 东方盛虹 |
| 8 | 000333.SZ | 美的集团 |
| 9 | 000338.SZ | 潍柴动力 |
| 10 | 000408.SZ | 藏格矿业 |
&gt; 需要说明的是，当前数据源中成分股的**权重字段**为空，因此排序结果未能按实际权重排列，而是按代码顺序展示。如需精确权重数据，建议通过交易所或中证指数公司官网获取最新权重文件。</x:v>
      </x:c>
      <x:c r="AA107" s="17" t="str"/>
      <x:c r="AB107" s="17" t="n">
        <x:v>46235.845139375</x:v>
      </x:c>
      <x:c r="AC107" s="17" t="n">
        <x:v>46235.845553136576</x:v>
      </x:c>
      <x:c r="AD107" s="17" t="str">
        <x:v>analysis.json</x:v>
      </x:c>
      <x:c r="AE107" s="18" t="n">
        <x:v>27176</x:v>
      </x:c>
      <x:c r="AF107" s="18" t="n">
        <x:v>8572.67</x:v>
      </x:c>
      <x:c r="AG107" s="18" t="n">
        <x:v>821.17</x:v>
      </x:c>
      <x:c r="AH107" s="18" t="n">
        <x:v>5874.04</x:v>
      </x:c>
      <x:c r="AI107" s="17" t="n">
        <x:v>6</x:v>
      </x:c>
      <x:c r="AJ107" s="17" t="n">
        <x:v>1</x:v>
      </x:c>
      <x:c r="AK107" s="19" t="n">
        <x:v>1</x:v>
      </x:c>
      <x:c r="AL107" s="19" t="n">
        <x:v>1</x:v>
      </x:c>
      <x:c r="AM107" s="19" t="n">
        <x:v>0</x:v>
      </x:c>
      <x:c r="AN107" s="17" t="str">
        <x:v>[
  "index.quote",
  "index.pricevalue",
  "index.constitution"
]</x:v>
      </x:c>
    </x:row>
    <x:row r="108" ht="58" customHeight="1">
      <x:c r="A108" s="17" t="str">
        <x:v>BUS104</x:v>
      </x:c>
      <x:c r="B108" s="17" t="str">
        <x:v>查询创业板指涨跌幅，并列出其权重最高的成分股当前涨跌幅。</x:v>
      </x:c>
      <x:c r="C108" s="17" t="str">
        <x:v>index</x:v>
      </x:c>
      <x:c r="D108" s="17" t="str">
        <x:v>index.quote, index.constitution</x:v>
      </x:c>
      <x:c r="E108" s="17" t="str"/>
      <x:c r="F108" s="17" t="str">
        <x:v>financial_qa_cc</x:v>
      </x:c>
      <x:c r="G108" s="17" t="str">
        <x:v>否</x:v>
      </x:c>
      <x:c r="H108" s="18" t="n">
        <x:v>34005.57</x:v>
      </x:c>
      <x:c r="I108" s="18" t="n">
        <x:f>IFERROR(H108/1000,"")</x:f>
        <x:v>34.00557</x:v>
      </x:c>
      <x:c r="J108" s="17" t="n">
        <x:v>7</x:v>
      </x:c>
      <x:c r="K108" s="17" t="str">
        <x:v>成功</x:v>
      </x:c>
      <x:c r="L108" s="17" t="n">
        <x:v>7</x:v>
      </x:c>
      <x:c r="M108" s="17" t="n">
        <x:v>7</x:v>
      </x:c>
      <x:c r="N108" s="17" t="n">
        <x:v>0</x:v>
      </x:c>
      <x:c r="O108" s="17" t="n">
        <x:v>0</x:v>
      </x:c>
      <x:c r="P108" s="17" t="n">
        <x:v>0</x:v>
      </x:c>
      <x:c r="Q108" s="17" t="n">
        <x:v>0</x:v>
      </x:c>
      <x:c r="R108" s="19" t="n">
        <x:f>IFERROR((M108+N108)/L108,"")</x:f>
        <x:v>1</x:v>
      </x:c>
      <x:c r="S108" s="17" t="n">
        <x:v>0</x:v>
      </x:c>
      <x:c r="T108" s="17" t="n">
        <x:v>0</x:v>
      </x:c>
      <x:c r="U108" s="17" t="n">
        <x:v>20208</x:v>
      </x:c>
      <x:c r="V108" s="17" t="str">
        <x:v>错误</x:v>
      </x:c>
      <x:c r="W108" s="19" t="n">
        <x:v>0.95</x:v>
      </x:c>
      <x:c r="X108" s="17" t="str">
        <x:v>否</x:v>
      </x:c>
      <x:c r="Y108" s="17" t="str"/>
      <x:c r="Z108" s="17" t="str">
        <x:v>创业板指（399006.SZ）在 **2026年7月31日** 大涨 **+3.06%**，收报 **3343.96 点**，成交额约 **3560.84 亿元**。
权重最高的前10只成分股当日涨跌幅如下：
| 成分股 | 代码 | 涨跌幅 | 收盘价 |
|:---|---:|---:|---:|
| 特锐德 | 300001.SZ | **+4.12%** | 35.10 |
| 神州泰岳 | 300002.SZ | **+4.77%** | 8.56 |
| 乐普医疗 | 300003.SZ | +0.15% | 13.07 |
| 华测检测 | 300012.SZ | +0.56% | 14.38 |
| 亿纬锂能 | 300014.SZ | +0.07% | 54.26 |
| 爱尔眼科 | 300015.SZ | 0.00% | 9.08 |
| 网宿科技 | 300017.SZ | **+17.50%** | 14.03 |
| 机器人 | 300024.SZ | +2.54% | 15.37 |
| 同花顺 | 300033.SZ | +4.02% | 234.96 |
| 新宙邦 | 300037.SZ | +2.52% | 62.60 |
10只权重股全部收涨（爱尔眼科平收），其中 **网宿科技** 大涨 **+17.50%** 最为突出，神州泰岳、特锐德和同花顺涨幅也均超过4%，整体与指数强势表现一致。</x:v>
      </x:c>
      <x:c r="AA108" s="17" t="str"/>
      <x:c r="AB108" s="17" t="n">
        <x:v>46235.84535101852</x:v>
      </x:c>
      <x:c r="AC108" s="17" t="n">
        <x:v>46235.84574460648</x:v>
      </x:c>
      <x:c r="AD108" s="17" t="str">
        <x:v>analysis.json</x:v>
      </x:c>
      <x:c r="AE108" s="18" t="n">
        <x:v>24143</x:v>
      </x:c>
      <x:c r="AF108" s="18" t="n">
        <x:v>9862.57</x:v>
      </x:c>
      <x:c r="AG108" s="18" t="n">
        <x:v>1024.58</x:v>
      </x:c>
      <x:c r="AH108" s="18" t="n">
        <x:v>6331.24</x:v>
      </x:c>
      <x:c r="AI108" s="17" t="n">
        <x:v>7</x:v>
      </x:c>
      <x:c r="AJ108" s="17" t="n">
        <x:v>1</x:v>
      </x:c>
      <x:c r="AK108" s="19" t="n">
        <x:v>1</x:v>
      </x:c>
      <x:c r="AL108" s="19" t="n">
        <x:v>1</x:v>
      </x:c>
      <x:c r="AM108" s="19" t="n">
        <x:v>0</x:v>
      </x:c>
      <x:c r="AN108" s="17" t="str">
        <x:v>[
  "index.quote",
  "index.constitution",
  "stock.quote"
]</x:v>
      </x:c>
    </x:row>
    <x:row r="109" ht="58" customHeight="1">
      <x:c r="A109" s="17" t="str">
        <x:v>BUS105</x:v>
      </x:c>
      <x:c r="B109" s="17" t="str">
        <x:v>对比沪深300指数和沪深300ETF今天的涨跌幅。</x:v>
      </x:c>
      <x:c r="C109" s="17" t="str">
        <x:v>index</x:v>
      </x:c>
      <x:c r="D109" s="17" t="str">
        <x:v>index.quote, fund.quote</x:v>
      </x:c>
      <x:c r="E109" s="17" t="str"/>
      <x:c r="F109" s="17" t="str">
        <x:v>financial_qa_cc</x:v>
      </x:c>
      <x:c r="G109" s="17" t="str">
        <x:v>否</x:v>
      </x:c>
      <x:c r="H109" s="18" t="n">
        <x:v>21453.08</x:v>
      </x:c>
      <x:c r="I109" s="18" t="n">
        <x:f>IFERROR(H109/1000,"")</x:f>
        <x:v>21.453080000000003</x:v>
      </x:c>
      <x:c r="J109" s="17" t="n">
        <x:v>3</x:v>
      </x:c>
      <x:c r="K109" s="17" t="str">
        <x:v>成功</x:v>
      </x:c>
      <x:c r="L109" s="17" t="n">
        <x:v>4</x:v>
      </x:c>
      <x:c r="M109" s="17" t="n">
        <x:v>4</x:v>
      </x:c>
      <x:c r="N109" s="17" t="n">
        <x:v>0</x:v>
      </x:c>
      <x:c r="O109" s="17" t="n">
        <x:v>0</x:v>
      </x:c>
      <x:c r="P109" s="17" t="n">
        <x:v>0</x:v>
      </x:c>
      <x:c r="Q109" s="17" t="n">
        <x:v>0</x:v>
      </x:c>
      <x:c r="R109" s="19" t="n">
        <x:f>IFERROR((M109+N109)/L109,"")</x:f>
        <x:v>1</x:v>
      </x:c>
      <x:c r="S109" s="17" t="n">
        <x:v>0</x:v>
      </x:c>
      <x:c r="T109" s="17" t="n">
        <x:v>0</x:v>
      </x:c>
      <x:c r="U109" s="17" t="n">
        <x:v>8778</x:v>
      </x:c>
      <x:c r="V109" s="17" t="str">
        <x:v>正确</x:v>
      </x:c>
      <x:c r="W109" s="19" t="n">
        <x:v>1</x:v>
      </x:c>
      <x:c r="X109" s="17" t="str">
        <x:v>否</x:v>
      </x:c>
      <x:c r="Y109" s="17" t="str"/>
      <x:c r="Z109" s="17" t="str">
        <x:v>**2026年7月31日（最近一个交易日）对比：**
| 标的 | 收盘 | 涨跌幅 |
|------|------|:------:|
| **沪深300指数**（000300.SH） | 4,588.20 点 | **+0.85%** |
| **华泰柏瑞沪深300ETF**（510300.SH） | 4.653 元 | **+1.04%** |
两者均录得上涨，但ETF的涨幅（+1.04%）略高于指数本身（+0.85%），相差约0.19个百分点。这种小幅偏离通常由ETF盘中交易价格相对于净值（IOPV）的折溢价、买卖盘博弈以及交易成本等因素引起，属于正常现象。</x:v>
      </x:c>
      <x:c r="AA109" s="17" t="str"/>
      <x:c r="AB109" s="17" t="n">
        <x:v>46235.84558115741</x:v>
      </x:c>
      <x:c r="AC109" s="17" t="n">
        <x:v>46235.84582945602</x:v>
      </x:c>
      <x:c r="AD109" s="17" t="str">
        <x:v>analysis.json</x:v>
      </x:c>
      <x:c r="AE109" s="18" t="n">
        <x:v>13404</x:v>
      </x:c>
      <x:c r="AF109" s="18" t="n">
        <x:v>8049.08</x:v>
      </x:c>
      <x:c r="AG109" s="18" t="n">
        <x:v>668.83</x:v>
      </x:c>
      <x:c r="AH109" s="18" t="n">
        <x:v>5650.93</x:v>
      </x:c>
      <x:c r="AI109" s="17" t="n">
        <x:v>3</x:v>
      </x:c>
      <x:c r="AJ109" s="17" t="n">
        <x:v>1</x:v>
      </x:c>
      <x:c r="AK109" s="19" t="n">
        <x:v>1</x:v>
      </x:c>
      <x:c r="AL109" s="19" t="n">
        <x:v>1</x:v>
      </x:c>
      <x:c r="AM109" s="19" t="n">
        <x:v>0</x:v>
      </x:c>
      <x:c r="AN109" s="17" t="str">
        <x:v>[
  "index.quote",
  "fund.quote"
]</x:v>
      </x:c>
    </x:row>
    <x:row r="110" ht="58" customHeight="1">
      <x:c r="A110" s="17" t="str">
        <x:v>BUS106</x:v>
      </x:c>
      <x:c r="B110" s="17" t="str">
        <x:v>查询中证500当前估值，并统计其成分股主力净流入前10名。</x:v>
      </x:c>
      <x:c r="C110" s="17" t="str">
        <x:v>index</x:v>
      </x:c>
      <x:c r="D110" s="17" t="str">
        <x:v>index.pricevalue, index.constitution</x:v>
      </x:c>
      <x:c r="E110" s="17" t="str"/>
      <x:c r="F110" s="17" t="str">
        <x:v>financial_qa_cc</x:v>
      </x:c>
      <x:c r="G110" s="17" t="str">
        <x:v>否</x:v>
      </x:c>
      <x:c r="H110" s="18" t="n">
        <x:v>54827.48</x:v>
      </x:c>
      <x:c r="I110" s="18" t="n">
        <x:f>IFERROR(H110/1000,"")</x:f>
        <x:v>54.82748</x:v>
      </x:c>
      <x:c r="J110" s="17" t="n">
        <x:v>16</x:v>
      </x:c>
      <x:c r="K110" s="17" t="str">
        <x:v>成功</x:v>
      </x:c>
      <x:c r="L110" s="17" t="n">
        <x:v>10</x:v>
      </x:c>
      <x:c r="M110" s="17" t="n">
        <x:v>7</x:v>
      </x:c>
      <x:c r="N110" s="17" t="n">
        <x:v>1</x:v>
      </x:c>
      <x:c r="O110" s="17" t="n">
        <x:v>1</x:v>
      </x:c>
      <x:c r="P110" s="17" t="n">
        <x:v>0</x:v>
      </x:c>
      <x:c r="Q110" s="17" t="n">
        <x:v>1</x:v>
      </x:c>
      <x:c r="R110" s="19" t="n">
        <x:f>IFERROR((M110+N110)/L110,"")</x:f>
        <x:v>0.8</x:v>
      </x:c>
      <x:c r="S110" s="17" t="n">
        <x:v>0</x:v>
      </x:c>
      <x:c r="T110" s="17" t="n">
        <x:v>0</x:v>
      </x:c>
      <x:c r="U110" s="17" t="n">
        <x:v>23422</x:v>
      </x:c>
      <x:c r="V110" s="17" t="str">
        <x:v>部分正确</x:v>
      </x:c>
      <x:c r="W110" s="19" t="n">
        <x:v>0.85</x:v>
      </x:c>
      <x:c r="X110" s="17" t="str">
        <x:v>否</x:v>
      </x:c>
      <x:c r="Y110" s="17" t="str"/>
      <x:c r="Z110" s="17" t="str">
        <x:v>数据已全部到位，下面给你汇报结果。
---
## 中证500当前估值
查询系统返回了中证500指数数据（2026-08-02），但 PE、PB、PS 等估值字段当前数据源均未提供，无法获取该指数的具体估值数值。
---
## 成分股主力净流入前10名（2026-07-31）
在当天中证500成分股中，主力资金净流入最多的10只股票如下：
| 排名 | 股票 | 主力净流入（元） | 主力净流入占比 |
|:---:|:---|:---|:---:|
| 1 | **利欧股份**（002131.SZ） | 11.89 亿 | 31.62% |
| 2 | **光迅科技**（002281.SZ） | 8.68 亿 | 9.92% |
| 3 | **德明利**（001309.SZ） | 7.73 亿 | 4.45% |
| 4 | **顺络电子**（002138.SZ） | 3.42 亿 | 11.85% |
| 5 | **锡业股份**（000960.SZ） | 3.03 亿 | 10.59% |
| 6 | **深科技**（000021.SZ） | 2.07 亿 | 3.40% |
| 7 | **盈峰环境**（000967.SZ） | 1.99 亿 | 57.63% |
| 8 | **中国宝安**（000009.SZ） | 1.96 亿 | 17.74% |
| 9 | **华天科技**（002185.SZ） | 1.62 亿 | 2.72% |
| 10 | **航天电器**（002025.SZ） | 1.59 亿 | 12.89% |
**几点看点：**
- **利欧股份**以近 **11.89 亿**的主力净流入高居榜首，且主力净流入占比高达 **31.62%**，说明当天主力资金介入非常集中。
- **盈峰环境**虽然净流入金额排第7（约2亿），但主力净流入占比高达 **57.63%**，是榜单中占比最高的，表明其盘中的资金结构以主力主导。
- 光迅科技和德明利分别以 8.68 亿和 7.73 亿位列第二、第三，也是当日中证500成分股中主力资金明显加仓的标的。
&gt; 说明：估值数据当前数据源暂未覆盖中证500指数；成分股数据返回了100只样本，主力净流入排名基于该样本范围统计。</x:v>
      </x:c>
      <x:c r="AA110" s="17" t="str"/>
      <x:c r="AB110" s="17" t="n">
        <x:v>46235.84578640046</x:v>
      </x:c>
      <x:c r="AC110" s="17" t="n">
        <x:v>46235.8464209838</x:v>
      </x:c>
      <x:c r="AD110" s="17" t="str">
        <x:v>analysis.json</x:v>
      </x:c>
      <x:c r="AE110" s="18" t="n">
        <x:v>46093</x:v>
      </x:c>
      <x:c r="AF110" s="18" t="n">
        <x:v>8734.48</x:v>
      </x:c>
      <x:c r="AG110" s="18" t="n">
        <x:v>699.83</x:v>
      </x:c>
      <x:c r="AH110" s="18" t="n">
        <x:v>5226.09</x:v>
      </x:c>
      <x:c r="AI110" s="17" t="n">
        <x:v>16</x:v>
      </x:c>
      <x:c r="AJ110" s="17" t="n">
        <x:v>1</x:v>
      </x:c>
      <x:c r="AK110" s="19" t="n">
        <x:v>0.7</x:v>
      </x:c>
      <x:c r="AL110" s="19" t="n">
        <x:v>0.8</x:v>
      </x:c>
      <x:c r="AM110" s="19" t="n">
        <x:v>0.1</x:v>
      </x:c>
      <x:c r="AN110" s="17" t="str">
        <x:v>[
  "index.pricevalue",
  "index.constitution",
  "stock.moneyflow"
]</x:v>
      </x:c>
    </x:row>
    <x:row r="111" ht="58" customHeight="1">
      <x:c r="A111" s="17" t="str">
        <x:v>BUS107</x:v>
      </x:c>
      <x:c r="B111" s="17" t="str">
        <x:v>查询所有申万一级行业的行业代码和行业名称。</x:v>
      </x:c>
      <x:c r="C111" s="17" t="str">
        <x:v>industry</x:v>
      </x:c>
      <x:c r="D111" s="17" t="str">
        <x:v>industry.basic_info</x:v>
      </x:c>
      <x:c r="E111" s="17" t="str"/>
      <x:c r="F111" s="17" t="str">
        <x:v>financial_qa_cc</x:v>
      </x:c>
      <x:c r="G111" s="17" t="str">
        <x:v>否</x:v>
      </x:c>
      <x:c r="H111" s="18" t="n">
        <x:v>19627.28</x:v>
      </x:c>
      <x:c r="I111" s="18" t="n">
        <x:f>IFERROR(H111/1000,"")</x:f>
        <x:v>19.62728</x:v>
      </x:c>
      <x:c r="J111" s="17" t="n">
        <x:v>5</x:v>
      </x:c>
      <x:c r="K111" s="17" t="str">
        <x:v>成功</x:v>
      </x:c>
      <x:c r="L111" s="17" t="n">
        <x:v>3</x:v>
      </x:c>
      <x:c r="M111" s="17" t="n">
        <x:v>3</x:v>
      </x:c>
      <x:c r="N111" s="17" t="n">
        <x:v>0</x:v>
      </x:c>
      <x:c r="O111" s="17" t="n">
        <x:v>0</x:v>
      </x:c>
      <x:c r="P111" s="17" t="n">
        <x:v>0</x:v>
      </x:c>
      <x:c r="Q111" s="17" t="n">
        <x:v>0</x:v>
      </x:c>
      <x:c r="R111" s="19" t="n">
        <x:f>IFERROR((M111+N111)/L111,"")</x:f>
        <x:v>1</x:v>
      </x:c>
      <x:c r="S111" s="17" t="n">
        <x:v>0</x:v>
      </x:c>
      <x:c r="T111" s="17" t="n">
        <x:v>0</x:v>
      </x:c>
      <x:c r="U111" s="17" t="n">
        <x:v>5851</x:v>
      </x:c>
      <x:c r="V111" s="17" t="str">
        <x:v>正确</x:v>
      </x:c>
      <x:c r="W111" s="19" t="n">
        <x:v>1</x:v>
      </x:c>
      <x:c r="X111" s="17" t="str">
        <x:v>否</x:v>
      </x:c>
      <x:c r="Y111" s="17" t="str"/>
      <x:c r="Z111" s="17" t="str">
        <x:v>以下为全部 **31 个申万一级行业**的代码与名称：
| 行业代码 | 行业名称 | 行业代码 | 行业名称 |
|---|---|---|---|
| 110000 | 农林牧渔 | 220000 | 基础化工 |
| 230000 | 钢铁 | 240000 | 有色金属 |
| 270000 | 电子 | 280000 | 汽车 |
| 330000 | 家用电器 | 340000 | 食品饮料 |
| 350000 | 纺织服饰 | 360000 | 轻工制造 |
| 370000 | 医药生物 | 410000 | 公用事业 |
| 420000 | 交通运输 | 430000 | 房地产 |
| 450000 | 商贸零售 | 460000 | 社会服务 |
| 480000 | 银行 | 490000 | 非银金融 |
| 510000 | 综合 | 610000 | 建筑材料 |
| 620000 | 建筑装饰 | 630000 | 电力设备 |
| 640000 | 机械设备 | 650000 | 国防军工 |
| 710000 | 计算机 | 720000 | 传媒 |
| 730000 | 通信 | 740000 | 煤炭 |
| 750000 | 石油石化 | 760000 | 环保 |
| 770000 | 美容护理 |  |  |
共 **31 个**申万一级行业，代码为六位数字编码，前两位反映行业大类归属。</x:v>
      </x:c>
      <x:c r="AA111" s="17" t="str"/>
      <x:c r="AB111" s="17" t="n">
        <x:v>46235.84585892361</x:v>
      </x:c>
      <x:c r="AC111" s="17" t="n">
        <x:v>46235.84608609954</x:v>
      </x:c>
      <x:c r="AD111" s="17" t="str">
        <x:v>analysis.json</x:v>
      </x:c>
      <x:c r="AE111" s="18" t="n">
        <x:v>11522</x:v>
      </x:c>
      <x:c r="AF111" s="18" t="n">
        <x:v>8105.28</x:v>
      </x:c>
      <x:c r="AG111" s="18" t="n">
        <x:v>919.68</x:v>
      </x:c>
      <x:c r="AH111" s="18" t="n">
        <x:v>5731.01</x:v>
      </x:c>
      <x:c r="AI111" s="17" t="n">
        <x:v>5</x:v>
      </x:c>
      <x:c r="AJ111" s="17" t="n">
        <x:v>1</x:v>
      </x:c>
      <x:c r="AK111" s="19" t="n">
        <x:v>1</x:v>
      </x:c>
      <x:c r="AL111" s="19" t="n">
        <x:v>1</x:v>
      </x:c>
      <x:c r="AM111" s="19" t="n">
        <x:v>0</x:v>
      </x:c>
      <x:c r="AN111" s="17" t="str">
        <x:v>[
  "industry.basic_info"
]</x:v>
      </x:c>
    </x:row>
    <x:row r="112" ht="58" customHeight="1">
      <x:c r="A112" s="17" t="str">
        <x:v>BUS108</x:v>
      </x:c>
      <x:c r="B112" s="17" t="str">
        <x:v>查询半导体所属的申万行业级别和上级行业。</x:v>
      </x:c>
      <x:c r="C112" s="17" t="str">
        <x:v>industry</x:v>
      </x:c>
      <x:c r="D112" s="17" t="str">
        <x:v>industry.basic_info</x:v>
      </x:c>
      <x:c r="E112" s="17" t="str"/>
      <x:c r="F112" s="17" t="str">
        <x:v>financial_qa_cc</x:v>
      </x:c>
      <x:c r="G112" s="17" t="str">
        <x:v>否</x:v>
      </x:c>
      <x:c r="H112" s="18" t="n">
        <x:v>50147.09</x:v>
      </x:c>
      <x:c r="I112" s="18" t="n">
        <x:f>IFERROR(H112/1000,"")</x:f>
        <x:v>50.14709</x:v>
      </x:c>
      <x:c r="J112" s="17" t="n">
        <x:v>18</x:v>
      </x:c>
      <x:c r="K112" s="17" t="str">
        <x:v>成功</x:v>
      </x:c>
      <x:c r="L112" s="17" t="n">
        <x:v>11</x:v>
      </x:c>
      <x:c r="M112" s="17" t="n">
        <x:v>5</x:v>
      </x:c>
      <x:c r="N112" s="17" t="n">
        <x:v>0</x:v>
      </x:c>
      <x:c r="O112" s="17" t="n">
        <x:v>6</x:v>
      </x:c>
      <x:c r="P112" s="17" t="n">
        <x:v>0</x:v>
      </x:c>
      <x:c r="Q112" s="17" t="n">
        <x:v>0</x:v>
      </x:c>
      <x:c r="R112" s="19" t="n">
        <x:f>IFERROR((M112+N112)/L112,"")</x:f>
        <x:v>0.45454545454545453</x:v>
      </x:c>
      <x:c r="S112" s="17" t="n">
        <x:v>0</x:v>
      </x:c>
      <x:c r="T112" s="17" t="n">
        <x:v>0</x:v>
      </x:c>
      <x:c r="U112" s="17" t="n">
        <x:v>18364</x:v>
      </x:c>
      <x:c r="V112" s="17" t="str">
        <x:v>正确</x:v>
      </x:c>
      <x:c r="W112" s="19" t="n">
        <x:v>0.7</x:v>
      </x:c>
      <x:c r="X112" s="17" t="str">
        <x:v>否</x:v>
      </x:c>
      <x:c r="Y112" s="17" t="str"/>
      <x:c r="Z112" s="17" t="str">
        <x:v>从查询结果来看，**"半导体"** 在申万行业分类体系中的位置如下：
- **申万级别**：**二级行业**（Level 2）
- **上级行业**：**电子**（申万一级行业）
也就是说，半导体是申万二级行业，归属在电子（申万一级）这个大类之下，其下还包含分立器件、集成电路设计等申万三级子行业。</x:v>
      </x:c>
      <x:c r="AA112" s="17" t="str"/>
      <x:c r="AB112" s="17" t="n">
        <x:v>46235.8461165162</x:v>
      </x:c>
      <x:c r="AC112" s="17" t="n">
        <x:v>46235.84669693287</x:v>
      </x:c>
      <x:c r="AD112" s="17" t="str">
        <x:v>analysis.json</x:v>
      </x:c>
      <x:c r="AE112" s="18" t="n">
        <x:v>40322</x:v>
      </x:c>
      <x:c r="AF112" s="18" t="n">
        <x:v>9825.09</x:v>
      </x:c>
      <x:c r="AG112" s="18" t="n">
        <x:v>898.69</x:v>
      </x:c>
      <x:c r="AH112" s="18" t="n">
        <x:v>5903.86</x:v>
      </x:c>
      <x:c r="AI112" s="17" t="n">
        <x:v>18</x:v>
      </x:c>
      <x:c r="AJ112" s="17" t="n">
        <x:v>1</x:v>
      </x:c>
      <x:c r="AK112" s="19" t="n">
        <x:v>0.4545</x:v>
      </x:c>
      <x:c r="AL112" s="19" t="n">
        <x:v>0.4545</x:v>
      </x:c>
      <x:c r="AM112" s="19" t="n">
        <x:v>0.5455</x:v>
      </x:c>
      <x:c r="AN112" s="17" t="str">
        <x:v>[
  "industry.constitution",
  "industry.basic_info"
]</x:v>
      </x:c>
    </x:row>
    <x:row r="113" ht="58" customHeight="1">
      <x:c r="A113" s="17" t="str">
        <x:v>BUS109</x:v>
      </x:c>
      <x:c r="B113" s="17" t="str">
        <x:v>列出电子行业下的二级行业。</x:v>
      </x:c>
      <x:c r="C113" s="17" t="str">
        <x:v>industry</x:v>
      </x:c>
      <x:c r="D113" s="17" t="str">
        <x:v>industry.basic_info</x:v>
      </x:c>
      <x:c r="E113" s="17" t="str"/>
      <x:c r="F113" s="17" t="str">
        <x:v>financial_qa_cc</x:v>
      </x:c>
      <x:c r="G113" s="17" t="str">
        <x:v>否</x:v>
      </x:c>
      <x:c r="H113" s="18" t="n">
        <x:v>33746.27</x:v>
      </x:c>
      <x:c r="I113" s="18" t="n">
        <x:f>IFERROR(H113/1000,"")</x:f>
        <x:v>33.746269999999996</x:v>
      </x:c>
      <x:c r="J113" s="17" t="n">
        <x:v>9</x:v>
      </x:c>
      <x:c r="K113" s="17" t="str">
        <x:v>成功</x:v>
      </x:c>
      <x:c r="L113" s="17" t="n">
        <x:v>6</x:v>
      </x:c>
      <x:c r="M113" s="17" t="n">
        <x:v>4</x:v>
      </x:c>
      <x:c r="N113" s="17" t="n">
        <x:v>1</x:v>
      </x:c>
      <x:c r="O113" s="17" t="n">
        <x:v>1</x:v>
      </x:c>
      <x:c r="P113" s="17" t="n">
        <x:v>0</x:v>
      </x:c>
      <x:c r="Q113" s="17" t="n">
        <x:v>0</x:v>
      </x:c>
      <x:c r="R113" s="19" t="n">
        <x:f>IFERROR((M113+N113)/L113,"")</x:f>
        <x:v>0.8333333333333334</x:v>
      </x:c>
      <x:c r="S113" s="17" t="n">
        <x:v>0</x:v>
      </x:c>
      <x:c r="T113" s="17" t="n">
        <x:v>0</x:v>
      </x:c>
      <x:c r="U113" s="17" t="n">
        <x:v>16610</x:v>
      </x:c>
      <x:c r="V113" s="17" t="str">
        <x:v>正确</x:v>
      </x:c>
      <x:c r="W113" s="19" t="n">
        <x:v>0.85</x:v>
      </x:c>
      <x:c r="X113" s="17" t="str">
        <x:v>否</x:v>
      </x:c>
      <x:c r="Y113" s="17" t="str"/>
      <x:c r="Z113" s="17" t="str">
        <x:v>电子行业（申万一级）下共包含 **6个二级行业**，按成分股数量排序如下：
| 二级行业 | 成分股数量 |
|---|---|
| **光学光电子** | 78 只 |
| **消费电子** | 75 只 |
| **半导体** | 74 只 |
| **元件** | 42 只 |
| **其他电子Ⅱ** | 28 只 |
| **电子化学品Ⅱ** | 21 只 |
其中光学光电子、消费电子和半导体是电子行业下规模最大的三个二级行业，合计占了约 **71%** 的成分股。</x:v>
      </x:c>
      <x:c r="AA113" s="17" t="str"/>
      <x:c r="AB113" s="17" t="n">
        <x:v>46235.846456886575</x:v>
      </x:c>
      <x:c r="AC113" s="17" t="n">
        <x:v>46235.84684746528</x:v>
      </x:c>
      <x:c r="AD113" s="17" t="str">
        <x:v>analysis.json</x:v>
      </x:c>
      <x:c r="AE113" s="18" t="n">
        <x:v>25041</x:v>
      </x:c>
      <x:c r="AF113" s="18" t="n">
        <x:v>8705.27</x:v>
      </x:c>
      <x:c r="AG113" s="18" t="n">
        <x:v>907.49</x:v>
      </x:c>
      <x:c r="AH113" s="18" t="n">
        <x:v>5856.81</x:v>
      </x:c>
      <x:c r="AI113" s="17" t="n">
        <x:v>9</x:v>
      </x:c>
      <x:c r="AJ113" s="17" t="n">
        <x:v>1</x:v>
      </x:c>
      <x:c r="AK113" s="19" t="n">
        <x:v>0.6667</x:v>
      </x:c>
      <x:c r="AL113" s="19" t="n">
        <x:v>0.8333</x:v>
      </x:c>
      <x:c r="AM113" s="19" t="n">
        <x:v>0.1667</x:v>
      </x:c>
      <x:c r="AN113" s="17" t="str">
        <x:v>[
  "industry.constitution",
  "industry.constitution.agg"
]</x:v>
      </x:c>
    </x:row>
    <x:row r="114" ht="58" customHeight="1">
      <x:c r="A114" s="17" t="str">
        <x:v>BUS110</x:v>
      </x:c>
      <x:c r="B114" s="17" t="str">
        <x:v>查询计算机设备行业的一级、二级和三级行业名称。</x:v>
      </x:c>
      <x:c r="C114" s="17" t="str">
        <x:v>industry</x:v>
      </x:c>
      <x:c r="D114" s="17" t="str">
        <x:v>industry.basic_info</x:v>
      </x:c>
      <x:c r="E114" s="17" t="str"/>
      <x:c r="F114" s="17" t="str">
        <x:v>financial_qa_cc</x:v>
      </x:c>
      <x:c r="G114" s="17" t="str">
        <x:v>否</x:v>
      </x:c>
      <x:c r="H114" s="18" t="n">
        <x:v>73827.78</x:v>
      </x:c>
      <x:c r="I114" s="18" t="n">
        <x:f>IFERROR(H114/1000,"")</x:f>
        <x:v>73.82778</x:v>
      </x:c>
      <x:c r="J114" s="17" t="n">
        <x:v>27</x:v>
      </x:c>
      <x:c r="K114" s="17" t="str">
        <x:v>成功</x:v>
      </x:c>
      <x:c r="L114" s="17" t="n">
        <x:v>14</x:v>
      </x:c>
      <x:c r="M114" s="17" t="n">
        <x:v>8</x:v>
      </x:c>
      <x:c r="N114" s="17" t="n">
        <x:v>1</x:v>
      </x:c>
      <x:c r="O114" s="17" t="n">
        <x:v>4</x:v>
      </x:c>
      <x:c r="P114" s="17" t="n">
        <x:v>0</x:v>
      </x:c>
      <x:c r="Q114" s="17" t="n">
        <x:v>1</x:v>
      </x:c>
      <x:c r="R114" s="19" t="n">
        <x:f>IFERROR((M114+N114)/L114,"")</x:f>
        <x:v>0.6428571428571429</x:v>
      </x:c>
      <x:c r="S114" s="17" t="n">
        <x:v>0</x:v>
      </x:c>
      <x:c r="T114" s="17" t="n">
        <x:v>0</x:v>
      </x:c>
      <x:c r="U114" s="17" t="n">
        <x:v>47188</x:v>
      </x:c>
      <x:c r="V114" s="17" t="str">
        <x:v>错误</x:v>
      </x:c>
      <x:c r="W114" s="19" t="n">
        <x:v>0.8</x:v>
      </x:c>
      <x:c r="X114" s="17" t="str">
        <x:v>否</x:v>
      </x:c>
      <x:c r="Y114" s="17" t="str"/>
      <x:c r="Z114" s="17" t="str">
        <x:v>根据查询结果，当前行业数据源总共包含 100 条行业记录，覆盖的范围为农林牧渔、基础化工、钢铁、有色金属、电子等一级行业及其下属二三级行业，其中**未包含"计算机设备"或与"计算机"相关的行业记录**，因此无法从当前数据源中获取其一级、二级、三级行业名称。
如果您需要查询的是申万行业分类下的"计算机设备"，当前数据源暂未收录该分类体系下计算机相关的行业数据。</x:v>
      </x:c>
      <x:c r="AA114" s="17" t="str"/>
      <x:c r="AB114" s="17" t="n">
        <x:v>46235.84674130787</x:v>
      </x:c>
      <x:c r="AC114" s="17" t="n">
        <x:v>46235.847595810184</x:v>
      </x:c>
      <x:c r="AD114" s="17" t="str">
        <x:v>analysis.json</x:v>
      </x:c>
      <x:c r="AE114" s="18" t="n">
        <x:v>63543</x:v>
      </x:c>
      <x:c r="AF114" s="18" t="n">
        <x:v>10284.78</x:v>
      </x:c>
      <x:c r="AG114" s="18" t="n">
        <x:v>810.12</x:v>
      </x:c>
      <x:c r="AH114" s="18" t="n">
        <x:v>6076.66</x:v>
      </x:c>
      <x:c r="AI114" s="17" t="n">
        <x:v>27</x:v>
      </x:c>
      <x:c r="AJ114" s="17" t="n">
        <x:v>1</x:v>
      </x:c>
      <x:c r="AK114" s="19" t="n">
        <x:v>0.5714</x:v>
      </x:c>
      <x:c r="AL114" s="19" t="n">
        <x:v>0.6429</x:v>
      </x:c>
      <x:c r="AM114" s="19" t="n">
        <x:v>0.2857</x:v>
      </x:c>
      <x:c r="AN114" s="17" t="str">
        <x:v>[
  "industry.basic_info"
]</x:v>
      </x:c>
    </x:row>
    <x:row r="115" ht="58" customHeight="1">
      <x:c r="A115" s="17" t="str">
        <x:v>BUS111</x:v>
      </x:c>
      <x:c r="B115" s="17" t="str">
        <x:v>筛选行业级别为3的申万行业，返回行业代码和名称。</x:v>
      </x:c>
      <x:c r="C115" s="17" t="str">
        <x:v>industry</x:v>
      </x:c>
      <x:c r="D115" s="17" t="str">
        <x:v>industry.basic_info</x:v>
      </x:c>
      <x:c r="E115" s="17" t="str"/>
      <x:c r="F115" s="17" t="str">
        <x:v>financial_qa_cc</x:v>
      </x:c>
      <x:c r="G115" s="17" t="str">
        <x:v>否</x:v>
      </x:c>
      <x:c r="H115" s="18" t="n">
        <x:v>31964.14</x:v>
      </x:c>
      <x:c r="I115" s="18" t="n">
        <x:f>IFERROR(H115/1000,"")</x:f>
        <x:v>31.96414</x:v>
      </x:c>
      <x:c r="J115" s="17" t="n">
        <x:v>12</x:v>
      </x:c>
      <x:c r="K115" s="17" t="str">
        <x:v>成功</x:v>
      </x:c>
      <x:c r="L115" s="17" t="n">
        <x:v>4</x:v>
      </x:c>
      <x:c r="M115" s="17" t="n">
        <x:v>3</x:v>
      </x:c>
      <x:c r="N115" s="17" t="n">
        <x:v>0</x:v>
      </x:c>
      <x:c r="O115" s="17" t="n">
        <x:v>1</x:v>
      </x:c>
      <x:c r="P115" s="17" t="n">
        <x:v>0</x:v>
      </x:c>
      <x:c r="Q115" s="17" t="n">
        <x:v>0</x:v>
      </x:c>
      <x:c r="R115" s="19" t="n">
        <x:f>IFERROR((M115+N115)/L115,"")</x:f>
        <x:v>0.75</x:v>
      </x:c>
      <x:c r="S115" s="17" t="n">
        <x:v>0</x:v>
      </x:c>
      <x:c r="T115" s="17" t="n">
        <x:v>0</x:v>
      </x:c>
      <x:c r="U115" s="17" t="n">
        <x:v>18197</x:v>
      </x:c>
      <x:c r="V115" s="17" t="str">
        <x:v>错误</x:v>
      </x:c>
      <x:c r="W115" s="19" t="n">
        <x:v>1</x:v>
      </x:c>
      <x:c r="X115" s="17" t="str">
        <x:v>否</x:v>
      </x:c>
      <x:c r="Y115" s="17" t="str"/>
      <x:c r="Z115" s="17" t="str">
        <x:v>查询完成，申万三级行业共有 **100 条记录**，以下是完整的行业代码和名称列表：
| 行业代码 | 行业名称 | 行业代码 | 行业名称 |
|---------|---------|---------|---------|
| 110101 | 种子 | 110102 | 粮食种植 |
| 110103 | 其他种植业 | 110104 | 食用菌 |
| 110201 | 海洋捕捞 | 110202 | 水产养殖 |
| 110301 | 林业Ⅲ | 110402 | 畜禽饲料 |
| 110403 | 水产饲料 | 110404 | 宠物食品 |
| 110501 | 果蔬加工 | 110502 | 粮油加工 |
| 110504 | 其他农产品加工 | 110702 | 生猪养殖 |
| 110703 | 肉鸡养殖 | 110704 | 其他养殖 |
| 110801 | 动物保健Ⅲ | 110901 | 农业综合Ⅲ |
| 220201 | 纯碱 | 220202 | 氯碱 |
| 220203 | 无机盐 | 220204 | 其他化学原料 |
| 220205 | 煤化工 | 220206 | 钛白粉 |
| 220305 | 涂料油墨 | 220307 | 民爆制品 |
| 220308 | 纺织化学制品 | 220309 | 其他化学制品 |
| 220311 | 氟化工 | 220313 | 聚氨酯 |
| 220315 | 食品及饲料添加剂 | 220316 | 有机硅 |
| 220317 | 胶黏剂及胶带 | 220401 | 涤纶 |
| 220403 | 粘胶 | 220404 | 其他化学纤维 |
| 220405 | 氨纶 | 220406 | 锦纶 |
| 220501 | 其他塑料制品 | 220503 | 改性塑料 |
| 220504 | 合成树脂 | 220505 | 膜材料 |
| 220602 | 其他橡胶制品 | 220603 | 炭黑 |
| 220604 | 橡胶助剂 | 220801 | 氮肥 |
| 220802 | 磷肥及磷化工 | 220803 | 农药 |
| 220804 | 钾肥 | 220805 | 复合肥 |
| 220901 | 非金属材料Ⅲ | 230301 | 铁矿石 |
| 230302 | 冶钢辅料 | 230401 | 长材 |
| 230402 | 板材 | 230403 | 钢铁管材 |
| 230501 | 特钢Ⅲ | 240201 | 其他金属新材料 |
| 240202 | 磁性材料 | 240301 | 铝 |
| 240302 | 铜 | 240303 | 铅锌 |
| 240401 | 黄金 | 240402 | 白银 |
| 240501 | 稀土 | 240502 | 钨 |
| 240504 | 其他小金属 | 240505 | 钼 |
| 240601 | 钴 | 240602 | 镍 |
| 240603 | 锂 | 270102 | 分立器件 |
| 270103 | 半导体材料 | 270104 | 数字芯片设计 |
| 270105 | 模拟芯片设计 | 270106 | 集成电路制造 |
| 270107 | 集成电路封测 | 270108 | 半导体设备 |
| 270202 | 印制电路板 | 270203 | 被动元件 |
| 270301 | 面板 | 270302 | LED |
| 270303 | 光学元件 | 270401 | 其他电子Ⅲ |
| 270503 | 品牌消费电子 | 270504 | 消费电子零部件及组装 |
| 270601 | 电子化学品Ⅲ | 280202 | 车身附件及饰件 |
| 280203 | 底盘与发动机系统 | 280204 | 轮胎轮毂 |
| 280205 | 其他汽车零部件 | 280206 | 汽车电子电气系统 |
| 280302 | 汽车经销商 | 280303 | 汽车综合服务 |
| 280401 | 其他运输设备 | 280402 | 摩托车 |
| 280501 | 电动乘用车 | 280502 | 综合乘用车 |
| 280601 | 商用载货车 | 280602 | 商用载客车 |
共 **100 个**申万三级行业，涵盖农业、化工、钢铁、有色金属、电子、汽车等多个大类产业下的细分方向。</x:v>
      </x:c>
      <x:c r="AA115" s="17" t="str"/>
      <x:c r="AB115" s="17" t="n">
        <x:v>46235.8468849537</x:v>
      </x:c>
      <x:c r="AC115" s="17" t="n">
        <x:v>46235.84725491898</x:v>
      </x:c>
      <x:c r="AD115" s="17" t="str">
        <x:v>analysis.json</x:v>
      </x:c>
      <x:c r="AE115" s="18" t="n">
        <x:v>23583</x:v>
      </x:c>
      <x:c r="AF115" s="18" t="n">
        <x:v>8381.14</x:v>
      </x:c>
      <x:c r="AG115" s="18" t="n">
        <x:v>1017.95</x:v>
      </x:c>
      <x:c r="AH115" s="18" t="n">
        <x:v>5934.25</x:v>
      </x:c>
      <x:c r="AI115" s="17" t="n">
        <x:v>12</x:v>
      </x:c>
      <x:c r="AJ115" s="17" t="n">
        <x:v>1</x:v>
      </x:c>
      <x:c r="AK115" s="19" t="n">
        <x:v>0.75</x:v>
      </x:c>
      <x:c r="AL115" s="19" t="n">
        <x:v>0.75</x:v>
      </x:c>
      <x:c r="AM115" s="19" t="n">
        <x:v>0.25</x:v>
      </x:c>
      <x:c r="AN115" s="17" t="str">
        <x:v>[
  "industry.basic_info"
]</x:v>
      </x:c>
    </x:row>
    <x:row r="116" ht="58" customHeight="1">
      <x:c r="A116" s="17" t="str">
        <x:v>BUS112</x:v>
      </x:c>
      <x:c r="B116" s="17" t="str">
        <x:v>查询名称包含新能源的申万行业及其行业级别。</x:v>
      </x:c>
      <x:c r="C116" s="17" t="str">
        <x:v>industry</x:v>
      </x:c>
      <x:c r="D116" s="17" t="str">
        <x:v>industry.basic_info</x:v>
      </x:c>
      <x:c r="E116" s="17" t="str"/>
      <x:c r="F116" s="17" t="str">
        <x:v>financial_qa_cc</x:v>
      </x:c>
      <x:c r="G116" s="17" t="str">
        <x:v>否</x:v>
      </x:c>
      <x:c r="H116" s="18" t="n">
        <x:v>50776.59</x:v>
      </x:c>
      <x:c r="I116" s="18" t="n">
        <x:f>IFERROR(H116/1000,"")</x:f>
        <x:v>50.77659</x:v>
      </x:c>
      <x:c r="J116" s="17" t="n">
        <x:v>20</x:v>
      </x:c>
      <x:c r="K116" s="17" t="str">
        <x:v>成功</x:v>
      </x:c>
      <x:c r="L116" s="17" t="n">
        <x:v>10</x:v>
      </x:c>
      <x:c r="M116" s="17" t="n">
        <x:v>6</x:v>
      </x:c>
      <x:c r="N116" s="17" t="n">
        <x:v>0</x:v>
      </x:c>
      <x:c r="O116" s="17" t="n">
        <x:v>4</x:v>
      </x:c>
      <x:c r="P116" s="17" t="n">
        <x:v>0</x:v>
      </x:c>
      <x:c r="Q116" s="17" t="n">
        <x:v>0</x:v>
      </x:c>
      <x:c r="R116" s="19" t="n">
        <x:f>IFERROR((M116+N116)/L116,"")</x:f>
        <x:v>0.6</x:v>
      </x:c>
      <x:c r="S116" s="17" t="n">
        <x:v>0</x:v>
      </x:c>
      <x:c r="T116" s="17" t="n">
        <x:v>0</x:v>
      </x:c>
      <x:c r="U116" s="17" t="n">
        <x:v>54689</x:v>
      </x:c>
      <x:c r="V116" s="17" t="str">
        <x:v>证据不足</x:v>
      </x:c>
      <x:c r="W116" s="19" t="n">
        <x:v>0.85</x:v>
      </x:c>
      <x:c r="X116" s="17" t="str">
        <x:v>否</x:v>
      </x:c>
      <x:c r="Y116" s="17" t="str"/>
      <x:c r="Z116" s="17" t="str">
        <x:v>根据查询结果，在当前申万行业分类数据中，**没有名称直接包含"新能源"三个字的行业**。
不过，与新能源密切相关的申万行业主要包括：
| 行业名称 | 行业级别 | 归属 |
|---------|---------|------|
| **电力设备** | 一级行业 | 独立一级行业 |
| **光伏设备** | 二级行业 | 隶属于电力设备 |
| **风电设备** | 二级行业 | 隶属于电力设备 |
| **电池** | 二级行业 | 隶属于电力设备 |
| **光伏发电** | 三级行业 | 隶属于公用事业→电力 |
| **风力发电** | 三级行业 | 隶属于公用事业→电力 |
| **电动乘用车** | 三级行业 | 隶属于汽车→乘用车 |
申万行业分类体系中，新能源相关业务分散在**电力设备、公用事业、汽车**等一级行业下的多个子行业中，但并没有一个行业直接以"新能源"冠名。</x:v>
      </x:c>
      <x:c r="AA116" s="17" t="str"/>
      <x:c r="AB116" s="17" t="n">
        <x:v>46235.84728863426</x:v>
      </x:c>
      <x:c r="AC116" s="17" t="n">
        <x:v>46235.84787633102</x:v>
      </x:c>
      <x:c r="AD116" s="17" t="str">
        <x:v>analysis.json</x:v>
      </x:c>
      <x:c r="AE116" s="18" t="n">
        <x:v>41986</x:v>
      </x:c>
      <x:c r="AF116" s="18" t="n">
        <x:v>8790.59</x:v>
      </x:c>
      <x:c r="AG116" s="18" t="n">
        <x:v>856.83</x:v>
      </x:c>
      <x:c r="AH116" s="18" t="n">
        <x:v>5671.48</x:v>
      </x:c>
      <x:c r="AI116" s="17" t="n">
        <x:v>20</x:v>
      </x:c>
      <x:c r="AJ116" s="17" t="n">
        <x:v>1</x:v>
      </x:c>
      <x:c r="AK116" s="19" t="n">
        <x:v>0.6</x:v>
      </x:c>
      <x:c r="AL116" s="19" t="n">
        <x:v>0.6</x:v>
      </x:c>
      <x:c r="AM116" s="19" t="n">
        <x:v>0.4</x:v>
      </x:c>
      <x:c r="AN116" s="17" t="str">
        <x:v>[
  "industry.basic_info"
]</x:v>
      </x:c>
    </x:row>
    <x:row r="117" ht="58" customHeight="1">
      <x:c r="A117" s="17" t="str">
        <x:v>BUS113</x:v>
      </x:c>
      <x:c r="B117" s="17" t="str">
        <x:v>查询半导体行业当前成分股列表。</x:v>
      </x:c>
      <x:c r="C117" s="17" t="str">
        <x:v>industry</x:v>
      </x:c>
      <x:c r="D117" s="17" t="str">
        <x:v>industry.constitution</x:v>
      </x:c>
      <x:c r="E117" s="17" t="str"/>
      <x:c r="F117" s="17" t="str">
        <x:v>financial_qa_cc</x:v>
      </x:c>
      <x:c r="G117" s="17" t="str">
        <x:v>否</x:v>
      </x:c>
      <x:c r="H117" s="18" t="n">
        <x:v>25016.14</x:v>
      </x:c>
      <x:c r="I117" s="18" t="n">
        <x:f>IFERROR(H117/1000,"")</x:f>
        <x:v>25.01614</x:v>
      </x:c>
      <x:c r="J117" s="17" t="n">
        <x:v>7</x:v>
      </x:c>
      <x:c r="K117" s="17" t="str">
        <x:v>成功</x:v>
      </x:c>
      <x:c r="L117" s="17" t="n">
        <x:v>3</x:v>
      </x:c>
      <x:c r="M117" s="17" t="n">
        <x:v>3</x:v>
      </x:c>
      <x:c r="N117" s="17" t="n">
        <x:v>0</x:v>
      </x:c>
      <x:c r="O117" s="17" t="n">
        <x:v>0</x:v>
      </x:c>
      <x:c r="P117" s="17" t="n">
        <x:v>0</x:v>
      </x:c>
      <x:c r="Q117" s="17" t="n">
        <x:v>0</x:v>
      </x:c>
      <x:c r="R117" s="19" t="n">
        <x:f>IFERROR((M117+N117)/L117,"")</x:f>
        <x:v>1</x:v>
      </x:c>
      <x:c r="S117" s="17" t="n">
        <x:v>0</x:v>
      </x:c>
      <x:c r="T117" s="17" t="n">
        <x:v>0</x:v>
      </x:c>
      <x:c r="U117" s="17" t="n">
        <x:v>9860</x:v>
      </x:c>
      <x:c r="V117" s="17" t="str">
        <x:v>部分正确</x:v>
      </x:c>
      <x:c r="W117" s="19" t="n">
        <x:v>1</x:v>
      </x:c>
      <x:c r="X117" s="17" t="str">
        <x:v>否</x:v>
      </x:c>
      <x:c r="Y117" s="17" t="str"/>
      <x:c r="Z117" s="17" t="str">
        <x:v>根据申万行业分类，**半导体行业**当前共 **74 只**成分股，覆盖 7 个三级子行业。以下是完整列表：
---
**数字芯片设计（19只）**  
*ST盈方、紫光国微、纳思达、欧比特、国民技术、北京君正、中颖电子、全志科技、富瀚微、国科微、*ST大唐、韦尔股份、瑞芯微、兆易创新、澜起科技、乐鑫科技、晶晨股份、聚辰股份、寒武纪-U、芯原股份-U、力合微、恒玄科技
**模拟芯片设计（12只）**  
圣邦股份、富满电子、卓胜微、上海贝岭、博通集成、汇顶科技、敏芯股份、晶丰明源、芯朋微、思瑞浦、芯海科技、力芯微、明微电子
**分立器件（7只）**  
苏州固锝、台基股份、扬杰科技、捷捷微电、派瑞股份、华微电子、士兰微、斯达半导、新洁能、银河微电
**半导体材料（7只）**  
康强电子、雅克科技、中晶科技、江丰电子、阿石创、有研新材、立昂微、沪硅产业-U、清溢光电、神工股份
**半导体设备（6只）**  
北方华创、华亚智能、长川科技、易天股份、至纯科技、中微公司、芯源微、华峰测控
**集成电路封测（6只）**  
大港股份、通富微电、华天科技、长电科技、太极实业、晶方科技、利扬芯片、气派科技
**集成电路制造（3只）**  
赛微电子、华润微、中芯国际
---
涵盖的龙头公司包括中芯国际（晶圆代工）、韦尔股份（CIS芯片）、北方华创（设备）、紫光国微（特种芯片）、卓胜微（射频）、中微公司（刻蚀设备）等。</x:v>
      </x:c>
      <x:c r="AA117" s="17" t="str"/>
      <x:c r="AB117" s="17" t="n">
        <x:v>46235.84763212963</x:v>
      </x:c>
      <x:c r="AC117" s="17" t="n">
        <x:v>46235.84792167824</x:v>
      </x:c>
      <x:c r="AD117" s="17" t="str">
        <x:v>analysis.json</x:v>
      </x:c>
      <x:c r="AE117" s="18" t="n">
        <x:v>16962</x:v>
      </x:c>
      <x:c r="AF117" s="18" t="n">
        <x:v>8054.14</x:v>
      </x:c>
      <x:c r="AG117" s="18" t="n">
        <x:v>812.73</x:v>
      </x:c>
      <x:c r="AH117" s="18" t="n">
        <x:v>5395.09</x:v>
      </x:c>
      <x:c r="AI117" s="17" t="n">
        <x:v>7</x:v>
      </x:c>
      <x:c r="AJ117" s="17" t="n">
        <x:v>1</x:v>
      </x:c>
      <x:c r="AK117" s="19" t="n">
        <x:v>1</x:v>
      </x:c>
      <x:c r="AL117" s="19" t="n">
        <x:v>1</x:v>
      </x:c>
      <x:c r="AM117" s="19" t="n">
        <x:v>0</x:v>
      </x:c>
      <x:c r="AN117" s="17" t="str">
        <x:v>[
  "industry.constitution"
]</x:v>
      </x:c>
    </x:row>
    <x:row r="118" ht="58" customHeight="1">
      <x:c r="A118" s="17" t="str">
        <x:v>BUS114</x:v>
      </x:c>
      <x:c r="B118" s="17" t="str">
        <x:v>查询白酒行业成分股数量和股票名单。</x:v>
      </x:c>
      <x:c r="C118" s="17" t="str">
        <x:v>industry</x:v>
      </x:c>
      <x:c r="D118" s="17" t="str">
        <x:v>industry.basic_info, industry.constitution</x:v>
      </x:c>
      <x:c r="E118" s="17" t="str"/>
      <x:c r="F118" s="17" t="str">
        <x:v>financial_qa_cc</x:v>
      </x:c>
      <x:c r="G118" s="17" t="str">
        <x:v>否</x:v>
      </x:c>
      <x:c r="H118" s="18" t="n">
        <x:v>46565.01</x:v>
      </x:c>
      <x:c r="I118" s="18" t="n">
        <x:f>IFERROR(H118/1000,"")</x:f>
        <x:v>46.56501</x:v>
      </x:c>
      <x:c r="J118" s="17" t="n">
        <x:v>18</x:v>
      </x:c>
      <x:c r="K118" s="17" t="str">
        <x:v>成功</x:v>
      </x:c>
      <x:c r="L118" s="17" t="n">
        <x:v>10</x:v>
      </x:c>
      <x:c r="M118" s="17" t="n">
        <x:v>8</x:v>
      </x:c>
      <x:c r="N118" s="17" t="n">
        <x:v>0</x:v>
      </x:c>
      <x:c r="O118" s="17" t="n">
        <x:v>2</x:v>
      </x:c>
      <x:c r="P118" s="17" t="n">
        <x:v>0</x:v>
      </x:c>
      <x:c r="Q118" s="17" t="n">
        <x:v>0</x:v>
      </x:c>
      <x:c r="R118" s="19" t="n">
        <x:f>IFERROR((M118+N118)/L118,"")</x:f>
        <x:v>0.8</x:v>
      </x:c>
      <x:c r="S118" s="17" t="n">
        <x:v>0</x:v>
      </x:c>
      <x:c r="T118" s="17" t="n">
        <x:v>0</x:v>
      </x:c>
      <x:c r="U118" s="17" t="n">
        <x:v>33938</x:v>
      </x:c>
      <x:c r="V118" s="17" t="str">
        <x:v>部分正确</x:v>
      </x:c>
      <x:c r="W118" s="19" t="n">
        <x:v>0.9</x:v>
      </x:c>
      <x:c r="X118" s="17" t="str">
        <x:v>否</x:v>
      </x:c>
      <x:c r="Y118" s="17" t="str"/>
      <x:c r="Z118" s="17" t="str">
        <x:v>根据申万行业分类，**白酒行业**（白酒Ⅲ，行业代码 340501，隶属食品饮料一级行业）共有 **19 只**成分股，按代码排序如下：
**深圳上市（6只）**
- 000568.SZ 泸州老窖
- 000596.SZ 古井贡酒
- 000799.SZ 酒鬼酒
- 000858.SZ 五粮液
- 000860.SZ 顺鑫农业
- 000995.SZ 皇台酒业
- 002304.SZ 洋河股份
- 002646.SZ 青青稞酒
**上海上市（11只）**
- 600197.SH 伊力特
- 600199.SH 金种子酒
- 600519.SH 贵州茅台
- 600559.SH 老白干酒
- 600702.SH 舍得酒业
- 600779.SH 水井坊
- 600809.SH 山西汾酒
- 603198.SH 迎驾贡酒
- 603369.SH 今世缘
- 603589.SH 口子窖
- 603919.SH 金徽酒
**合计 19 家**，覆盖了从高端（贵州茅台、五粮液、泸州老窖）到次高端和区域白酒的主要上市公司。</x:v>
      </x:c>
      <x:c r="AA118" s="17" t="str"/>
      <x:c r="AB118" s="17" t="n">
        <x:v>46235.84790685185</x:v>
      </x:c>
      <x:c r="AC118" s="17" t="n">
        <x:v>46235.84844581019</x:v>
      </x:c>
      <x:c r="AD118" s="17" t="str">
        <x:v>analysis.json</x:v>
      </x:c>
      <x:c r="AE118" s="18" t="n">
        <x:v>36257</x:v>
      </x:c>
      <x:c r="AF118" s="18" t="n">
        <x:v>10308.01</x:v>
      </x:c>
      <x:c r="AG118" s="18" t="n">
        <x:v>1066.14</x:v>
      </x:c>
      <x:c r="AH118" s="18" t="n">
        <x:v>6485.84</x:v>
      </x:c>
      <x:c r="AI118" s="17" t="n">
        <x:v>18</x:v>
      </x:c>
      <x:c r="AJ118" s="17" t="n">
        <x:v>1</x:v>
      </x:c>
      <x:c r="AK118" s="19" t="n">
        <x:v>0.8</x:v>
      </x:c>
      <x:c r="AL118" s="19" t="n">
        <x:v>0.8</x:v>
      </x:c>
      <x:c r="AM118" s="19" t="n">
        <x:v>0.2</x:v>
      </x:c>
      <x:c r="AN118" s="17" t="str">
        <x:v>[
  "industry.constitution",
  "industry.basic_info"
]</x:v>
      </x:c>
    </x:row>
    <x:row r="119" ht="58" customHeight="1">
      <x:c r="A119" s="17" t="str">
        <x:v>BUS115</x:v>
      </x:c>
      <x:c r="B119" s="17" t="str">
        <x:v>查询电子一级行业下所有成分股及对应三级行业。</x:v>
      </x:c>
      <x:c r="C119" s="17" t="str">
        <x:v>industry</x:v>
      </x:c>
      <x:c r="D119" s="17" t="str">
        <x:v>industry.constitution, stock.basic_info</x:v>
      </x:c>
      <x:c r="E119" s="17" t="str"/>
      <x:c r="F119" s="17" t="str">
        <x:v>financial_qa_cc</x:v>
      </x:c>
      <x:c r="G119" s="17" t="str">
        <x:v>否</x:v>
      </x:c>
      <x:c r="H119" s="18" t="n">
        <x:v>24486.63</x:v>
      </x:c>
      <x:c r="I119" s="18" t="n">
        <x:f>IFERROR(H119/1000,"")</x:f>
        <x:v>24.48663</x:v>
      </x:c>
      <x:c r="J119" s="17" t="n">
        <x:v>8</x:v>
      </x:c>
      <x:c r="K119" s="17" t="str">
        <x:v>成功</x:v>
      </x:c>
      <x:c r="L119" s="17" t="n">
        <x:v>3</x:v>
      </x:c>
      <x:c r="M119" s="17" t="n">
        <x:v>3</x:v>
      </x:c>
      <x:c r="N119" s="17" t="n">
        <x:v>0</x:v>
      </x:c>
      <x:c r="O119" s="17" t="n">
        <x:v>0</x:v>
      </x:c>
      <x:c r="P119" s="17" t="n">
        <x:v>0</x:v>
      </x:c>
      <x:c r="Q119" s="17" t="n">
        <x:v>0</x:v>
      </x:c>
      <x:c r="R119" s="19" t="n">
        <x:f>IFERROR((M119+N119)/L119,"")</x:f>
        <x:v>1</x:v>
      </x:c>
      <x:c r="S119" s="17" t="n">
        <x:v>0</x:v>
      </x:c>
      <x:c r="T119" s="17" t="n">
        <x:v>0</x:v>
      </x:c>
      <x:c r="U119" s="17" t="n">
        <x:v>21603</x:v>
      </x:c>
      <x:c r="V119" s="17" t="str">
        <x:v>错误</x:v>
      </x:c>
      <x:c r="W119" s="19" t="n">
        <x:v>0.9</x:v>
      </x:c>
      <x:c r="X119" s="17" t="str">
        <x:v>否</x:v>
      </x:c>
      <x:c r="Y119" s="17" t="str"/>
      <x:c r="Z119" s="17" t="str">
        <x:v>电子一级行业（申万分类）下共有 **100 只成分股**，覆盖 6 个二级行业、12 个三级行业。以下是按三级行业分组的结果：
---
### 半导体（二级）
| 三级行业 | 成分股 |
|---|---|
| **数字芯片设计** | *ST盈方、紫光国微、纳思达 |
| **分立器件** | 苏州固锝 |
| **半导体材料** | 康强电子、雅克科技 |
| **半导体设备** | 北方华创 |
| **集成电路封测** | 大港股份、通富微电、华天科技 |
### 元件（二级）
| 三级行业 | 成分股 |
|---|---|
| **印制电路板** | 超声电子、天津普林、超华科技、东山精密、兴森科技、沪电股份、中京电子、*ST丹邦、金安国纪、崇达技术、奥士康、深南电路、鹏鼎控股 |
| **被动元件** | 风华高科、顺络电子、东晶电子、江海股份 |
### 光学光电子（二级）
| 三级行业 | 成分股 |
|---|---|
| **面板** | 深华发A、深纺织A、深天马A、TCL科技、东旭光电、华映科技、京东方A、冠捷科技、莱宝高科、合力泰、宇顺电子、维信诺、蓝黛科技、同兴达、三利谱、亚世光电、鸿合科技、宝明科技、宸展光电 |
| **LED** | 国星光电、奥拓电子、万润科技、木林森、芯瑞达 |
| **光学元件** | 联创电子、福晶科技、水晶光电、欧菲光、恒久科技、五方光电、日久光电 |
### 消费电子（二级）
| 三级行业 | 成分股 |
|---|---|
| **消费电子零部件及组装** | 深科技、得润电子、拓邦股份、歌尔股份、卓翼科技、和而泰、立讯精密、春兴精工、领益智造、安洁科技、共达电声、茂硕电源、奋达科技、可立克、捷荣技术、瀛通通讯、传艺科技、美格智能、京泉华、盈趣科技、兴瑞科技、恒铭达、瑞玛工业、朝阳科技、奥海科技 |
| **品牌消费电子** | 国光电器、漫步者、惠威科技 |
### 其他电子Ⅱ（二级）
| 三级行业 | 成分股 |
|---|---|
| **其他电子Ⅲ** | 深圳华强、厦门信达、沃尔核材、贤丰控股、远望谷、新亚制程、海洋王、好利来、洁美科技、金溢科技、伊戈尔 |
### 电子化学品Ⅱ（二级）
| 三级行业 | 成分股 |
|---|---|
| **电子化学品Ⅲ** | 西陇科学、万润股份、光华科技 |
---
**数据口径**：申万行业分类，截至数据源最新更新日。若需要查看某一只成分股的详细数据或进一步分析，可以继续提问。</x:v>
      </x:c>
      <x:c r="AA119" s="17" t="str"/>
      <x:c r="AB119" s="17" t="n">
        <x:v>46235.847953125</x:v>
      </x:c>
      <x:c r="AC119" s="17" t="n">
        <x:v>46235.84823653935</x:v>
      </x:c>
      <x:c r="AD119" s="17" t="str">
        <x:v>analysis.json</x:v>
      </x:c>
      <x:c r="AE119" s="18" t="n">
        <x:v>16362</x:v>
      </x:c>
      <x:c r="AF119" s="18" t="n">
        <x:v>8124.63</x:v>
      </x:c>
      <x:c r="AG119" s="18" t="n">
        <x:v>905.41</x:v>
      </x:c>
      <x:c r="AH119" s="18" t="n">
        <x:v>5721.35</x:v>
      </x:c>
      <x:c r="AI119" s="17" t="n">
        <x:v>8</x:v>
      </x:c>
      <x:c r="AJ119" s="17" t="n">
        <x:v>1</x:v>
      </x:c>
      <x:c r="AK119" s="19" t="n">
        <x:v>1</x:v>
      </x:c>
      <x:c r="AL119" s="19" t="n">
        <x:v>1</x:v>
      </x:c>
      <x:c r="AM119" s="19" t="n">
        <x:v>0</x:v>
      </x:c>
      <x:c r="AN119" s="17" t="str">
        <x:v>[
  "industry.constitution"
]</x:v>
      </x:c>
    </x:row>
    <x:row r="120" ht="58" customHeight="1">
      <x:c r="A120" s="17" t="str">
        <x:v>BUS116</x:v>
      </x:c>
      <x:c r="B120" s="17" t="str">
        <x:v>查询宁德时代所在行业的其他成分股。</x:v>
      </x:c>
      <x:c r="C120" s="17" t="str">
        <x:v>stock</x:v>
      </x:c>
      <x:c r="D120" s="17" t="str">
        <x:v>stock.basic_info, industry.constitution</x:v>
      </x:c>
      <x:c r="E120" s="17" t="str"/>
      <x:c r="F120" s="17" t="str">
        <x:v>financial_qa_cc</x:v>
      </x:c>
      <x:c r="G120" s="17" t="str">
        <x:v>否</x:v>
      </x:c>
      <x:c r="H120" s="18" t="n">
        <x:v>25355.36</x:v>
      </x:c>
      <x:c r="I120" s="18" t="n">
        <x:f>IFERROR(H120/1000,"")</x:f>
        <x:v>25.35536</x:v>
      </x:c>
      <x:c r="J120" s="17" t="n">
        <x:v>7</x:v>
      </x:c>
      <x:c r="K120" s="17" t="str">
        <x:v>成功</x:v>
      </x:c>
      <x:c r="L120" s="17" t="n">
        <x:v>5</x:v>
      </x:c>
      <x:c r="M120" s="17" t="n">
        <x:v>5</x:v>
      </x:c>
      <x:c r="N120" s="17" t="n">
        <x:v>0</x:v>
      </x:c>
      <x:c r="O120" s="17" t="n">
        <x:v>0</x:v>
      </x:c>
      <x:c r="P120" s="17" t="n">
        <x:v>0</x:v>
      </x:c>
      <x:c r="Q120" s="17" t="n">
        <x:v>0</x:v>
      </x:c>
      <x:c r="R120" s="19" t="n">
        <x:f>IFERROR((M120+N120)/L120,"")</x:f>
        <x:v>1</x:v>
      </x:c>
      <x:c r="S120" s="17" t="n">
        <x:v>0</x:v>
      </x:c>
      <x:c r="T120" s="17" t="n">
        <x:v>0</x:v>
      </x:c>
      <x:c r="U120" s="17" t="n">
        <x:v>10315</x:v>
      </x:c>
      <x:c r="V120" s="17" t="str">
        <x:v>正确</x:v>
      </x:c>
      <x:c r="W120" s="19" t="n">
        <x:v>1</x:v>
      </x:c>
      <x:c r="X120" s="17" t="str">
        <x:v>否</x:v>
      </x:c>
      <x:c r="Y120" s="17" t="str"/>
      <x:c r="Z120" s="17" t="str">
        <x:v>宁德时代所属行业为**锂电池**（行业代码 630701），该行业共有 **15 只成分股**。除宁德时代外，其他 14 只成分股如下：
| 代码 | 名称 |
|:---:|:---:|
| 000049.SZ | 德赛电池 |
| 002074.SZ | 国轩高科 |
| 002245.SZ | 蔚蓝锂芯 |
| 002850.SZ | 科达利 |
| 300014.SZ | 亿纬锂能 |
| 300116.SZ | 保力新 |
| 300207.SZ | 欣旺达 |
| 300438.SZ | 鹏辉能源 |
| 600152.SH | 维科技术 |
| 600478.SH | 科力远 |
| 600877.SH | 电能股份 |
| 688063.SH | 派能科技 |
| 688345.SH | 博力威 |
| 688567.SH | 孚能科技 |
这些公司覆盖了锂电池产业链的多个环节，包括电池制造（亿纬锂能、国轩高科、孚能科技）、电池材料（科达利）、电池模组（德赛电池、欣旺达）以及储能（派能科技）等方向。</x:v>
      </x:c>
      <x:c r="AA120" s="17" t="str"/>
      <x:c r="AB120" s="17" t="n">
        <x:v>46235.84826965278</x:v>
      </x:c>
      <x:c r="AC120" s="17" t="n">
        <x:v>46235.848563125</x:v>
      </x:c>
      <x:c r="AD120" s="17" t="str">
        <x:v>analysis.json</x:v>
      </x:c>
      <x:c r="AE120" s="18" t="n">
        <x:v>17594</x:v>
      </x:c>
      <x:c r="AF120" s="18" t="n">
        <x:v>7761.36</x:v>
      </x:c>
      <x:c r="AG120" s="18" t="n">
        <x:v>649.38</x:v>
      </x:c>
      <x:c r="AH120" s="18" t="n">
        <x:v>5339.68</x:v>
      </x:c>
      <x:c r="AI120" s="17" t="n">
        <x:v>7</x:v>
      </x:c>
      <x:c r="AJ120" s="17" t="n">
        <x:v>1</x:v>
      </x:c>
      <x:c r="AK120" s="19" t="n">
        <x:v>1</x:v>
      </x:c>
      <x:c r="AL120" s="19" t="n">
        <x:v>1</x:v>
      </x:c>
      <x:c r="AM120" s="19" t="n">
        <x:v>0</x:v>
      </x:c>
      <x:c r="AN120" s="17" t="str">
        <x:v>[
  "stock.basic_info",
  "industry.constitution"
]</x:v>
      </x:c>
    </x:row>
    <x:row r="121" ht="58" customHeight="1">
      <x:c r="A121" s="17" t="str">
        <x:v>BUS117</x:v>
      </x:c>
      <x:c r="B121" s="17" t="str">
        <x:v>查询成分股数量最多的申万三级行业前20名。</x:v>
      </x:c>
      <x:c r="C121" s="17" t="str">
        <x:v>industry</x:v>
      </x:c>
      <x:c r="D121" s="17" t="str">
        <x:v>industry.basic_info, industry.constitution</x:v>
      </x:c>
      <x:c r="E121" s="17" t="str"/>
      <x:c r="F121" s="17" t="str">
        <x:v>financial_qa_cc</x:v>
      </x:c>
      <x:c r="G121" s="17" t="str">
        <x:v>否</x:v>
      </x:c>
      <x:c r="H121" s="18" t="n">
        <x:v>31987.26</x:v>
      </x:c>
      <x:c r="I121" s="18" t="n">
        <x:f>IFERROR(H121/1000,"")</x:f>
        <x:v>31.98726</x:v>
      </x:c>
      <x:c r="J121" s="17" t="n">
        <x:v>4</x:v>
      </x:c>
      <x:c r="K121" s="17" t="str">
        <x:v>成功</x:v>
      </x:c>
      <x:c r="L121" s="17" t="n">
        <x:v>3</x:v>
      </x:c>
      <x:c r="M121" s="17" t="n">
        <x:v>3</x:v>
      </x:c>
      <x:c r="N121" s="17" t="n">
        <x:v>0</x:v>
      </x:c>
      <x:c r="O121" s="17" t="n">
        <x:v>0</x:v>
      </x:c>
      <x:c r="P121" s="17" t="n">
        <x:v>0</x:v>
      </x:c>
      <x:c r="Q121" s="17" t="n">
        <x:v>0</x:v>
      </x:c>
      <x:c r="R121" s="19" t="n">
        <x:f>IFERROR((M121+N121)/L121,"")</x:f>
        <x:v>1</x:v>
      </x:c>
      <x:c r="S121" s="17" t="n">
        <x:v>0</x:v>
      </x:c>
      <x:c r="T121" s="17" t="n">
        <x:v>0</x:v>
      </x:c>
      <x:c r="U121" s="17" t="n">
        <x:v>8407</x:v>
      </x:c>
      <x:c r="V121" s="17" t="str">
        <x:v>正确</x:v>
      </x:c>
      <x:c r="W121" s="19" t="n">
        <x:v>0.9</x:v>
      </x:c>
      <x:c r="X121" s="17" t="str">
        <x:v>否</x:v>
      </x:c>
      <x:c r="Y121" s="17" t="str"/>
      <x:c r="Z121" s="17" t="str">
        <x:v>以下是成分股数量最多的申万三级行业前20名：
| 排名 | 三级行业 | 成分股数量 |
|:---:|:---|:---:|
| 1 | **IT服务Ⅲ** | 98 |
| 2 | **化学制剂** | 85 |
| 3 | **住宅开发** | 82 |
| 4 | **底盘与发动机系统** | 75 |
| 5 | **垂直应用软件** | 75 |
| 6 | **其他专用设备** | 70 |
| 7 | **消费电子零部件及组装** | 69 |
| 8 | **中药Ⅲ** | 64 |
| 9 | **金属制品** | 62 |
| 10 | **其他计算机设备** | 49 |
| 11 | **证券Ⅲ** | 47 |
| 12 | **其他化学制品** | 44 |
| 13 | **水务及水治理** | 43 |
| 14 | **能源及重型设备** | 39 |
| 15 | **军工电子Ⅲ** | 39 |
| 16 | **仪器仪表** | 38 |
| 17 | **航空装备Ⅲ** | 38 |
| 18 | **面板** | 35 |
| 19 | **医疗耗材** | 35 |
| 20 | **体外诊断** | 35 |
**IT服务Ⅲ**以98只成分股位居榜首，是唯一接近百股规模的申万三级行业；**化学制剂**（85只）和**住宅开发**（82只）紧随其后，也属于成分股高度分散的行业。前20名中，TMT（IT服务、垂直应用软件、消费电子零部件）、医药（化学制剂、中药、医疗耗材、体外诊断）和制造业（底盘与发动机系统、专用设备、金属制品）分布最为密集。</x:v>
      </x:c>
      <x:c r="AA121" s="17" t="str"/>
      <x:c r="AB121" s="17" t="n">
        <x:v>46235.848486435185</x:v>
      </x:c>
      <x:c r="AC121" s="17" t="n">
        <x:v>46235.848856666664</x:v>
      </x:c>
      <x:c r="AD121" s="17" t="str">
        <x:v>analysis.json</x:v>
      </x:c>
      <x:c r="AE121" s="18" t="n">
        <x:v>19625</x:v>
      </x:c>
      <x:c r="AF121" s="18" t="n">
        <x:v>12362.26</x:v>
      </x:c>
      <x:c r="AG121" s="18" t="n">
        <x:v>921.08</x:v>
      </x:c>
      <x:c r="AH121" s="18" t="n">
        <x:v>5691.88</x:v>
      </x:c>
      <x:c r="AI121" s="17" t="n">
        <x:v>4</x:v>
      </x:c>
      <x:c r="AJ121" s="17" t="n">
        <x:v>1</x:v>
      </x:c>
      <x:c r="AK121" s="19" t="n">
        <x:v>1</x:v>
      </x:c>
      <x:c r="AL121" s="19" t="n">
        <x:v>1</x:v>
      </x:c>
      <x:c r="AM121" s="19" t="n">
        <x:v>0</x:v>
      </x:c>
      <x:c r="AN121" s="17" t="str">
        <x:v>[
  "industry.constitution.agg"
]</x:v>
      </x:c>
    </x:row>
    <x:row r="122" ht="58" customHeight="1">
      <x:c r="A122" s="17" t="str">
        <x:v>BUS118</x:v>
      </x:c>
      <x:c r="B122" s="17" t="str">
        <x:v>查询银行行业成分股代码和名称。</x:v>
      </x:c>
      <x:c r="C122" s="17" t="str">
        <x:v>industry</x:v>
      </x:c>
      <x:c r="D122" s="17" t="str">
        <x:v>industry.constitution</x:v>
      </x:c>
      <x:c r="E122" s="17" t="str"/>
      <x:c r="F122" s="17" t="str">
        <x:v>free_chat</x:v>
      </x:c>
      <x:c r="G122" s="17" t="str">
        <x:v>是</x:v>
      </x:c>
      <x:c r="H122" s="18" t="n">
        <x:v>7679.46</x:v>
      </x:c>
      <x:c r="I122" s="18" t="n">
        <x:f>IFERROR(H122/1000,"")</x:f>
        <x:v>7.67946</x:v>
      </x:c>
      <x:c r="J122" s="17"/>
      <x:c r="K122" s="17" t="str">
        <x:v>成功</x:v>
      </x:c>
      <x:c r="L122" s="17" t="n">
        <x:v>0</x:v>
      </x:c>
      <x:c r="M122" s="17" t="n">
        <x:v>0</x:v>
      </x:c>
      <x:c r="N122" s="17" t="n">
        <x:v>0</x:v>
      </x:c>
      <x:c r="O122" s="17" t="n">
        <x:v>0</x:v>
      </x:c>
      <x:c r="P122" s="17" t="n">
        <x:v>0</x:v>
      </x:c>
      <x:c r="Q122" s="17" t="n">
        <x:v>0</x:v>
      </x:c>
      <x:c r="R122" s="19" t="str">
        <x:f>IFERROR((M122+N122)/L122,"")</x:f>
      </x:c>
      <x:c r="S122" s="17" t="n">
        <x:v>0</x:v>
      </x:c>
      <x:c r="T122" s="17" t="n">
        <x:v>0</x:v>
      </x:c>
      <x:c r="U122" s="17" t="n">
        <x:v>1237</x:v>
      </x:c>
      <x:c r="V122" s="17" t="str">
        <x:v>错误</x:v>
      </x:c>
      <x:c r="W122" s="19" t="n">
        <x:v>0.7</x:v>
      </x:c>
      <x:c r="X122" s="17" t="str">
        <x:v>否</x:v>
      </x:c>
      <x:c r="Y122" s="17" t="str"/>
      <x:c r="Z122" s="17" t="str">
        <x:v>已识别为自然语言请求，当前 agent = investment_analyst，route_type = clarify。
需要澄清: {"state_type": "clarification_state", "status": "needs_user_input", "missing_slots": ["task_focus"], "prompt": "请说明你更想做个股深度分析，还是热点/概念追踪。", "resume_token": "clarify_7470a8807ba34967", "slot_hints": {"task_focus": "请说明你更想做个股深度分析，还是热点/概念追踪。"}, "context_summary": {"task_type": "", "code": "", "name": ""}}</x:v>
      </x:c>
      <x:c r="AA122" s="17" t="str"/>
      <x:c r="AB122" s="17" t="n">
        <x:v>46235.84859444445</x:v>
      </x:c>
      <x:c r="AC122" s="17" t="n">
        <x:v>46235.84868332176</x:v>
      </x:c>
      <x:c r="AD122" s="17" t="str">
        <x:v>analysis.json</x:v>
      </x:c>
      <x:c r="AE122" s="18"/>
      <x:c r="AF122" s="18"/>
      <x:c r="AG122" s="18" t="n">
        <x:v>659.21</x:v>
      </x:c>
      <x:c r="AH122" s="18"/>
      <x:c r="AI122" s="17"/>
      <x:c r="AJ122" s="17"/>
      <x:c r="AK122" s="19"/>
      <x:c r="AL122" s="19"/>
      <x:c r="AM122" s="19"/>
      <x:c r="AN122" s="17" t="str"/>
    </x:row>
    <x:row r="123" ht="58" customHeight="1">
      <x:c r="A123" s="17" t="str">
        <x:v>BUS119</x:v>
      </x:c>
      <x:c r="B123" s="17" t="str">
        <x:v>按申万一级行业汇总今天股票平均涨跌幅和上涨家数。</x:v>
      </x:c>
      <x:c r="C123" s="17" t="str">
        <x:v>industry</x:v>
      </x:c>
      <x:c r="D123" s="17" t="str">
        <x:v>industry.constitution</x:v>
      </x:c>
      <x:c r="E123" s="17" t="str"/>
      <x:c r="F123" s="17" t="str">
        <x:v>free_chat</x:v>
      </x:c>
      <x:c r="G123" s="17" t="str">
        <x:v>是</x:v>
      </x:c>
      <x:c r="H123" s="18" t="n">
        <x:v>7850.9</x:v>
      </x:c>
      <x:c r="I123" s="18" t="n">
        <x:f>IFERROR(H123/1000,"")</x:f>
        <x:v>7.850899999999999</x:v>
      </x:c>
      <x:c r="J123" s="17"/>
      <x:c r="K123" s="17" t="str">
        <x:v>成功</x:v>
      </x:c>
      <x:c r="L123" s="17" t="n">
        <x:v>0</x:v>
      </x:c>
      <x:c r="M123" s="17" t="n">
        <x:v>0</x:v>
      </x:c>
      <x:c r="N123" s="17" t="n">
        <x:v>0</x:v>
      </x:c>
      <x:c r="O123" s="17" t="n">
        <x:v>0</x:v>
      </x:c>
      <x:c r="P123" s="17" t="n">
        <x:v>0</x:v>
      </x:c>
      <x:c r="Q123" s="17" t="n">
        <x:v>0</x:v>
      </x:c>
      <x:c r="R123" s="19" t="str">
        <x:f>IFERROR((M123+N123)/L123,"")</x:f>
      </x:c>
      <x:c r="S123" s="17" t="n">
        <x:v>0</x:v>
      </x:c>
      <x:c r="T123" s="17" t="n">
        <x:v>0</x:v>
      </x:c>
      <x:c r="U123" s="17" t="n">
        <x:v>1265</x:v>
      </x:c>
      <x:c r="V123" s="17" t="str">
        <x:v>错误</x:v>
      </x:c>
      <x:c r="W123" s="19" t="n">
        <x:v>0.7</x:v>
      </x:c>
      <x:c r="X123" s="17" t="str">
        <x:v>否</x:v>
      </x:c>
      <x:c r="Y123" s="17" t="str"/>
      <x:c r="Z123" s="17" t="str">
        <x:v>已识别为自然语言请求，当前 agent = investment_analyst，route_type = clarify。
需要澄清: {"state_type": "clarification_state", "status": "needs_user_input", "missing_slots": ["task_focus"], "prompt": "请说明你更想做个股深度分析，还是热点/概念追踪。", "resume_token": "clarify_d86e0ebd359540e0", "slot_hints": {"task_focus": "请说明你更想做个股深度分析，还是热点/概念追踪。"}, "context_summary": {"task_type": "", "code": "", "name": ""}}</x:v>
      </x:c>
      <x:c r="AA123" s="17" t="str"/>
      <x:c r="AB123" s="17" t="n">
        <x:v>46235.848717430556</x:v>
      </x:c>
      <x:c r="AC123" s="17" t="n">
        <x:v>46235.84880829861</x:v>
      </x:c>
      <x:c r="AD123" s="17" t="str">
        <x:v>analysis.json</x:v>
      </x:c>
      <x:c r="AE123" s="18"/>
      <x:c r="AF123" s="18"/>
      <x:c r="AG123" s="18" t="n">
        <x:v>872.43</x:v>
      </x:c>
      <x:c r="AH123" s="18"/>
      <x:c r="AI123" s="17"/>
      <x:c r="AJ123" s="17"/>
      <x:c r="AK123" s="19"/>
      <x:c r="AL123" s="19"/>
      <x:c r="AM123" s="19"/>
      <x:c r="AN123" s="17" t="str"/>
    </x:row>
    <x:row r="124" ht="58" customHeight="1">
      <x:c r="A124" s="17" t="str">
        <x:v>BUS120</x:v>
      </x:c>
      <x:c r="B124" s="17" t="str">
        <x:v>筛选半导体行业中今天涨幅最高的前10只股票。</x:v>
      </x:c>
      <x:c r="C124" s="17" t="str">
        <x:v>industry</x:v>
      </x:c>
      <x:c r="D124" s="17" t="str">
        <x:v>industry.constitution</x:v>
      </x:c>
      <x:c r="E124" s="17" t="str"/>
      <x:c r="F124" s="17" t="str">
        <x:v>financial_qa_cc</x:v>
      </x:c>
      <x:c r="G124" s="17" t="str">
        <x:v>否</x:v>
      </x:c>
      <x:c r="H124" s="18" t="n">
        <x:v>52264.9</x:v>
      </x:c>
      <x:c r="I124" s="18" t="n">
        <x:f>IFERROR(H124/1000,"")</x:f>
        <x:v>52.264900000000004</x:v>
      </x:c>
      <x:c r="J124" s="17" t="n">
        <x:v>20</x:v>
      </x:c>
      <x:c r="K124" s="17" t="str">
        <x:v>成功</x:v>
      </x:c>
      <x:c r="L124" s="17" t="n">
        <x:v>11</x:v>
      </x:c>
      <x:c r="M124" s="17" t="n">
        <x:v>8</x:v>
      </x:c>
      <x:c r="N124" s="17" t="n">
        <x:v>1</x:v>
      </x:c>
      <x:c r="O124" s="17" t="n">
        <x:v>1</x:v>
      </x:c>
      <x:c r="P124" s="17" t="n">
        <x:v>0</x:v>
      </x:c>
      <x:c r="Q124" s="17" t="n">
        <x:v>1</x:v>
      </x:c>
      <x:c r="R124" s="19" t="n">
        <x:f>IFERROR((M124+N124)/L124,"")</x:f>
        <x:v>0.8181818181818182</x:v>
      </x:c>
      <x:c r="S124" s="17" t="n">
        <x:v>0</x:v>
      </x:c>
      <x:c r="T124" s="17" t="n">
        <x:v>0</x:v>
      </x:c>
      <x:c r="U124" s="17" t="n">
        <x:v>23027</x:v>
      </x:c>
      <x:c r="V124" s="17" t="str">
        <x:v>错误</x:v>
      </x:c>
      <x:c r="W124" s="19" t="n">
        <x:v>0.85</x:v>
      </x:c>
      <x:c r="X124" s="17" t="str">
        <x:v>否</x:v>
      </x:c>
      <x:c r="Y124" s="17" t="str"/>
      <x:c r="Z124" s="17" t="str">
        <x:v>以下是半导体行业（申万二级）**2026年7月31日（最近交易日）** 涨幅最高的前10只股票：
| 排名 | 代码 | 名称 | 收盘价（元） | 涨幅 | 成交额（元） |
|:---:|:---:|:---:|:---:|:---:|:---:|
| 1 | 920130.BJ | 立方控股 | 20.42 | **+30.0%** | 1.79亿 |
| 2 | 920575.BJ | *ST康乐 | 4.71 | **+23.9%** | 1.15亿 |
| 3 | 300364.SZ | 中文在线 | 24.83 | **+20.0%** | 20.54亿 |
| 4 | 300720.SZ | 海川智能 | 50.80 | **+20.0%** | 3.35亿 |
| 5 | 301396.SZ | 宏景科技 | 156.16 | **+20.0%** | 10.32亿 |
| 6 | 300795.SZ | 米奥会展 | 16.44 | **+20.0%** | 8.95亿 |
| 7 | 300418.SZ | 昆仑万维 | 43.20 | **+20.0%** | 60.66亿 |
| 8 | 300789.SZ | 唐源电气 | 18.96 | **+20.0%** | 1.73亿 |
| 9 | 300508.SZ | 维宏股份 | 38.52 | **+20.0%** | 0.75亿 |
| 10 | 688095.SH | 福昕软件 | 67.03 | **+20.0%** | 4.58亿 |
**要点：**
- 半导体行业（含分立器件等二级子行业）共74只成分股，当日涨幅榜前10中有7只封住20%涨停（含科创板），多头情绪非常强势。
- **立方控股**以近30%的涨幅领涨，北交所个股弹性突出；**昆仑万维**成交额超60亿元，是当日资金最活跃的半导体相关标的。
- 数据日期为2026-07-31（周五），今日（8月2日周日）休市，以上为最近一个完整交易日的数据。</x:v>
      </x:c>
      <x:c r="AA124" s="17" t="str"/>
      <x:c r="AB124" s="17" t="n">
        <x:v>46235.84885653935</x:v>
      </x:c>
      <x:c r="AC124" s="17" t="n">
        <x:v>46235.84946146991</x:v>
      </x:c>
      <x:c r="AD124" s="17" t="str">
        <x:v>analysis.json</x:v>
      </x:c>
      <x:c r="AE124" s="18" t="n">
        <x:v>43201</x:v>
      </x:c>
      <x:c r="AF124" s="18" t="n">
        <x:v>9063.9</x:v>
      </x:c>
      <x:c r="AG124" s="18" t="n">
        <x:v>811.59</x:v>
      </x:c>
      <x:c r="AH124" s="18" t="n">
        <x:v>5412.79</x:v>
      </x:c>
      <x:c r="AI124" s="17" t="n">
        <x:v>20</x:v>
      </x:c>
      <x:c r="AJ124" s="17" t="n">
        <x:v>1</x:v>
      </x:c>
      <x:c r="AK124" s="19" t="n">
        <x:v>0.7273</x:v>
      </x:c>
      <x:c r="AL124" s="19" t="n">
        <x:v>0.8182</x:v>
      </x:c>
      <x:c r="AM124" s="19" t="n">
        <x:v>0.0909</x:v>
      </x:c>
      <x:c r="AN124" s="17" t="str">
        <x:v>[
  "industry.basic_info",
  "industry.constitution",
  "stock.quote"
]</x:v>
      </x:c>
    </x:row>
    <x:row r="125" ht="58" customHeight="1">
      <x:c r="A125" s="17" t="str">
        <x:v>BUS121</x:v>
      </x:c>
      <x:c r="B125" s="17" t="str">
        <x:v>统计白酒行业成分股最新PE_TTM均值和最高市值股票。</x:v>
      </x:c>
      <x:c r="C125" s="17" t="str">
        <x:v>industry</x:v>
      </x:c>
      <x:c r="D125" s="17" t="str">
        <x:v>industry.basic_info, industry.constitution, stock.pricevalue</x:v>
      </x:c>
      <x:c r="E125" s="17" t="str"/>
      <x:c r="F125" s="17" t="str">
        <x:v>financial_qa_cc</x:v>
      </x:c>
      <x:c r="G125" s="17" t="str">
        <x:v>否</x:v>
      </x:c>
      <x:c r="H125" s="18" t="n">
        <x:v>76340.32</x:v>
      </x:c>
      <x:c r="I125" s="18" t="n">
        <x:f>IFERROR(H125/1000,"")</x:f>
        <x:v>76.34032</x:v>
      </x:c>
      <x:c r="J125" s="17" t="n">
        <x:v>25</x:v>
      </x:c>
      <x:c r="K125" s="17" t="str">
        <x:v>成功</x:v>
      </x:c>
      <x:c r="L125" s="17" t="n">
        <x:v>17</x:v>
      </x:c>
      <x:c r="M125" s="17" t="n">
        <x:v>14</x:v>
      </x:c>
      <x:c r="N125" s="17" t="n">
        <x:v>0</x:v>
      </x:c>
      <x:c r="O125" s="17" t="n">
        <x:v>3</x:v>
      </x:c>
      <x:c r="P125" s="17" t="n">
        <x:v>0</x:v>
      </x:c>
      <x:c r="Q125" s="17" t="n">
        <x:v>0</x:v>
      </x:c>
      <x:c r="R125" s="19" t="n">
        <x:f>IFERROR((M125+N125)/L125,"")</x:f>
        <x:v>0.8235294117647058</x:v>
      </x:c>
      <x:c r="S125" s="17" t="n">
        <x:v>0</x:v>
      </x:c>
      <x:c r="T125" s="17" t="n">
        <x:v>0</x:v>
      </x:c>
      <x:c r="U125" s="17" t="n">
        <x:v>48188</x:v>
      </x:c>
      <x:c r="V125" s="17" t="str">
        <x:v>正确</x:v>
      </x:c>
      <x:c r="W125" s="19" t="n">
        <x:v>0.85</x:v>
      </x:c>
      <x:c r="X125" s="17" t="str">
        <x:v>否</x:v>
      </x:c>
      <x:c r="Y125" s="17" t="str"/>
      <x:c r="Z125" s="17" t="str">
        <x:v>白酒行业（申万三级行业"白酒Ⅲ"）共19只成分股，最新估值和市值数据如下：
**PE_TTM 均值**：约 **3.9 倍**（全样本平均）。若剔除4只亏损股（酒鬼酒、顺鑫农业、天佑德酒、金种子酒，PE_TTM为负值），盈利公司平均 PE_TTM 约 **51.4 倍**。
**市值最高的股票**：**贵州茅台（600519.SH）**，最新总市值约 **1.69 万亿元**，PE_TTM 为 20.4 倍。
其余市值居前的还有五粮液（约3,028亿，PE 24.0倍）、山西汾酒（约1,552亿，PE 14.1倍）和泸州老窖（约1,338亿，PE 13.5倍）。</x:v>
      </x:c>
      <x:c r="AA125" s="17" t="str"/>
      <x:c r="AB125" s="17" t="n">
        <x:v>46235.84890505787</x:v>
      </x:c>
      <x:c r="AC125" s="17" t="n">
        <x:v>46235.849788645835</x:v>
      </x:c>
      <x:c r="AD125" s="17" t="str">
        <x:v>analysis.json</x:v>
      </x:c>
      <x:c r="AE125" s="18" t="n">
        <x:v>65975</x:v>
      </x:c>
      <x:c r="AF125" s="18" t="n">
        <x:v>10365.32</x:v>
      </x:c>
      <x:c r="AG125" s="18" t="n">
        <x:v>754.48</x:v>
      </x:c>
      <x:c r="AH125" s="18" t="n">
        <x:v>5314.99</x:v>
      </x:c>
      <x:c r="AI125" s="17" t="n">
        <x:v>25</x:v>
      </x:c>
      <x:c r="AJ125" s="17" t="n">
        <x:v>1</x:v>
      </x:c>
      <x:c r="AK125" s="19" t="n">
        <x:v>0.8235</x:v>
      </x:c>
      <x:c r="AL125" s="19" t="n">
        <x:v>0.8235</x:v>
      </x:c>
      <x:c r="AM125" s="19" t="n">
        <x:v>0.1765</x:v>
      </x:c>
      <x:c r="AN125" s="17" t="str">
        <x:v>[
  "industry.constitution",
  "industry.constitution.agg",
  "stock.pricevalue",
  "industry.basic_info"
]</x:v>
      </x:c>
    </x:row>
    <x:row r="126" ht="58" customHeight="1">
      <x:c r="A126" s="17" t="str">
        <x:v>BUS122</x:v>
      </x:c>
      <x:c r="B126" s="17" t="str">
        <x:v>查询电子行业成分股中近5日主力净流入最高的前10只股票。</x:v>
      </x:c>
      <x:c r="C126" s="17" t="str">
        <x:v>industry</x:v>
      </x:c>
      <x:c r="D126" s="17" t="str">
        <x:v>industry.constitution, stock.moneyflow</x:v>
      </x:c>
      <x:c r="E126" s="17" t="str"/>
      <x:c r="F126" s="17" t="str">
        <x:v>financial_qa_cc</x:v>
      </x:c>
      <x:c r="G126" s="17" t="str">
        <x:v>否</x:v>
      </x:c>
      <x:c r="H126" s="18" t="n">
        <x:v>31550.21</x:v>
      </x:c>
      <x:c r="I126" s="18" t="n">
        <x:f>IFERROR(H126/1000,"")</x:f>
        <x:v>31.55021</x:v>
      </x:c>
      <x:c r="J126" s="17" t="n">
        <x:v>5</x:v>
      </x:c>
      <x:c r="K126" s="17" t="str">
        <x:v>成功</x:v>
      </x:c>
      <x:c r="L126" s="17" t="n">
        <x:v>5</x:v>
      </x:c>
      <x:c r="M126" s="17" t="n">
        <x:v>5</x:v>
      </x:c>
      <x:c r="N126" s="17" t="n">
        <x:v>0</x:v>
      </x:c>
      <x:c r="O126" s="17" t="n">
        <x:v>0</x:v>
      </x:c>
      <x:c r="P126" s="17" t="n">
        <x:v>0</x:v>
      </x:c>
      <x:c r="Q126" s="17" t="n">
        <x:v>0</x:v>
      </x:c>
      <x:c r="R126" s="19" t="n">
        <x:f>IFERROR((M126+N126)/L126,"")</x:f>
        <x:v>1</x:v>
      </x:c>
      <x:c r="S126" s="17" t="n">
        <x:v>0</x:v>
      </x:c>
      <x:c r="T126" s="17" t="n">
        <x:v>0</x:v>
      </x:c>
      <x:c r="U126" s="17" t="n">
        <x:v>18781</x:v>
      </x:c>
      <x:c r="V126" s="17" t="str">
        <x:v>错误</x:v>
      </x:c>
      <x:c r="W126" s="19" t="n">
        <x:v>1</x:v>
      </x:c>
      <x:c r="X126" s="17" t="str">
        <x:v>否</x:v>
      </x:c>
      <x:c r="Y126" s="17" t="str"/>
      <x:c r="Z126" s="17" t="str">
        <x:v>以下是电子行业（申万一级）近 **5 个交易日主力净流入最高**的 10 只股票，数据口径为截至上一个交易日的累计净流入（单位：元）：
| 排名 | 代码 | 名称 | 近5日主力净流入（元） |
|:---:|:---:|:---:|:---:|
| 1 | 000636.SZ | **风华高科** | 12.39 亿 |
| 2 | 002138.SZ | **顺络电子** | 3.26 亿 |
| 3 | 002859.SZ | **洁美科技** | 2.61 亿 |
| 4 | 002916.SZ | **深南电路** | 2.26 亿 |
| 5 | 002141.SZ | **贤丰控股** | 1.60 亿 |
| 6 | 002409.SZ | **雅克科技** | 1.36 亿 |
| 7 | 002484.SZ | **江海股份** | 0.97 亿 |
| 8 | 002119.SZ | **康强电子** | 0.77 亿 |
| 9 | 002387.SZ | **维信诺** | 0.76 亿 |
| 10 | 002130.SZ | **沃尔核材** | 0.71 亿 |
**关键看点：**
- **风华高科**以近 12.39 亿元的主力净流入断层领先，是第二名顺络电子的近 4 倍，资金集中度极高。
- 前十名中，被动元件（风华高科、顺络电子、洁美科技、江海股份）和 PCB/半导体封装（深南电路、康强电子）占据多数席位，电子细分领域资金偏好明显。
- 整体来看，电子行业近 5 日主力资金呈现"头部集中"特征，前三名合计吸金约 18.25 亿元，占前十总额的 60% 以上。</x:v>
      </x:c>
      <x:c r="AA126" s="17" t="str"/>
      <x:c r="AB126" s="17" t="n">
        <x:v>46235.84949574074</x:v>
      </x:c>
      <x:c r="AC126" s="17" t="n">
        <x:v>46235.84986091435</x:v>
      </x:c>
      <x:c r="AD126" s="17" t="str">
        <x:v>analysis.json</x:v>
      </x:c>
      <x:c r="AE126" s="18" t="n">
        <x:v>22762</x:v>
      </x:c>
      <x:c r="AF126" s="18" t="n">
        <x:v>8788.21</x:v>
      </x:c>
      <x:c r="AG126" s="18" t="n">
        <x:v>797.68</x:v>
      </x:c>
      <x:c r="AH126" s="18" t="n">
        <x:v>5239.86</x:v>
      </x:c>
      <x:c r="AI126" s="17" t="n">
        <x:v>5</x:v>
      </x:c>
      <x:c r="AJ126" s="17" t="n">
        <x:v>1</x:v>
      </x:c>
      <x:c r="AK126" s="19" t="n">
        <x:v>1</x:v>
      </x:c>
      <x:c r="AL126" s="19" t="n">
        <x:v>1</x:v>
      </x:c>
      <x:c r="AM126" s="19" t="n">
        <x:v>0</x:v>
      </x:c>
      <x:c r="AN126" s="17" t="str">
        <x:v>[
  "industry.constitution",
  "stock.moneyflow.kd_main_net_sum"
]</x:v>
      </x:c>
    </x:row>
    <x:row r="127" ht="58" customHeight="1">
      <x:c r="A127" s="17" t="str">
        <x:v>BUS123</x:v>
      </x:c>
      <x:c r="B127" s="17" t="str">
        <x:v>查询半导体行业层级信息、成分股列表和今天平均涨跌幅。</x:v>
      </x:c>
      <x:c r="C127" s="17" t="str">
        <x:v>industry</x:v>
      </x:c>
      <x:c r="D127" s="17" t="str">
        <x:v>industry.basic_info, industry.constitution</x:v>
      </x:c>
      <x:c r="E127" s="17" t="str"/>
      <x:c r="F127" s="17" t="str">
        <x:v>financial_qa_cc</x:v>
      </x:c>
      <x:c r="G127" s="17" t="str">
        <x:v>否</x:v>
      </x:c>
      <x:c r="H127" s="18" t="n">
        <x:v>65578.68</x:v>
      </x:c>
      <x:c r="I127" s="18" t="n">
        <x:f>IFERROR(H127/1000,"")</x:f>
        <x:v>65.57867999999999</x:v>
      </x:c>
      <x:c r="J127" s="17" t="n">
        <x:v>21</x:v>
      </x:c>
      <x:c r="K127" s="17" t="str">
        <x:v>成功</x:v>
      </x:c>
      <x:c r="L127" s="17" t="n">
        <x:v>14</x:v>
      </x:c>
      <x:c r="M127" s="17" t="n">
        <x:v>10</x:v>
      </x:c>
      <x:c r="N127" s="17" t="n">
        <x:v>1</x:v>
      </x:c>
      <x:c r="O127" s="17" t="n">
        <x:v>3</x:v>
      </x:c>
      <x:c r="P127" s="17" t="n">
        <x:v>0</x:v>
      </x:c>
      <x:c r="Q127" s="17" t="n">
        <x:v>0</x:v>
      </x:c>
      <x:c r="R127" s="19" t="n">
        <x:f>IFERROR((M127+N127)/L127,"")</x:f>
        <x:v>0.7857142857142857</x:v>
      </x:c>
      <x:c r="S127" s="17" t="n">
        <x:v>0</x:v>
      </x:c>
      <x:c r="T127" s="17" t="n">
        <x:v>0</x:v>
      </x:c>
      <x:c r="U127" s="17" t="n">
        <x:v>34851</x:v>
      </x:c>
      <x:c r="V127" s="17" t="str">
        <x:v>部分正确</x:v>
      </x:c>
      <x:c r="W127" s="19" t="n">
        <x:v>0.85</x:v>
      </x:c>
      <x:c r="X127" s="17" t="str">
        <x:v>否</x:v>
      </x:c>
      <x:c r="Y127" s="17" t="str"/>
      <x:c r="Z127" s="17" t="str">
        <x:v>以下是半导体行业的完整信息。
---
## 半导体行业层级结构
申万行业分类中，**半导体（270100）** 属于 **二级行业**，归属 **一级行业：电子（270000）**。其下包含 **7个三级子行业**：
| 三级行业 | 代码 |
|---------|------|
| 分立器件 | 270102 |
| 半导体材料 | 270103 |
| 数字芯片设计 | 270104 |
| 模拟芯片设计 | 270105 |
| 集成电路制造 | 270106 |
| 集成电路封测 | 270107 |
| 半导体设备 | 270108 |
---
## 成分股列表（共74只）
**分立器件（10只）：** 苏州固锝、台基股份、扬杰科技、捷捷微电、派瑞股份、华微电子、士兰微、斯达半导、新洁能、银河微电
**半导体材料（10只）：** 康强电子、雅克科技、中晶科技、江丰电子、阿石创、有研新材、立昂微、沪硅产业-U、清溢光电、神工股份
**数字芯片设计（22只）：** *ST盈方、紫光国微、纳思达、欧比特、国民技术、北京君正、中颖电子、全志科技、富瀚微、国科微、*ST大唐、韦尔股份、瑞芯微、兆易创新、澜起科技、乐鑫科技、晶晨股份、聚辰股份、寒武纪-U、芯原股份-U、力合微、恒玄科技
**模拟芯片设计（13只）：** 圣邦股份、富满电子、卓胜微、上海贝岭、博通集成、汇顶科技、敏芯股份、晶丰明源、芯朋微、思瑞浦、芯海科技、力芯微、明微电子
**集成电路制造（3只）：** 赛微电子、华润微、中芯国际
**集成电路封测（8只）：** 大港股份、通富微电、华天科技、长电科技、太极实业、晶方科技、利扬芯片、气派科技
**半导体设备（8只）：** 北方华创、华亚智能、长川科技、易天股份、至纯科技、中微公司、芯源微、华峰测控
---
## 上一个交易日（2026-07-31）平均涨跌幅
| 三级子行业 | 平均涨跌幅 |
|-----------|:---------:|
| 分立器件 | **+2.64%** |
| 半导体材料 | **+2.83%** |
| 数字芯片设计 | **+3.80%** |
| 模拟芯片设计 | **+4.68%** |
| 集成电路制造 | **+2.22%** |
| 集成电路封测 | **+4.31%** |
| 半导体设备 | **+3.26%** |
**整体来看，7月31日半导体板块全线走强**，所有子行业均录得正涨幅。模拟芯片设计（+4.68%）和集成电路封测（+4.31%）领涨，集成电路制造（+2.22%）和分立器件（+2.64%）涨幅相对靠后，整体板块算术平均涨幅约 **+3.4%**。</x:v>
      </x:c>
      <x:c r="AA127" s="17" t="str"/>
      <x:c r="AB127" s="17" t="n">
        <x:v>46235.84982449074</x:v>
      </x:c>
      <x:c r="AC127" s="17" t="n">
        <x:v>46235.850583506945</x:v>
      </x:c>
      <x:c r="AD127" s="17" t="str">
        <x:v>analysis.json</x:v>
      </x:c>
      <x:c r="AE127" s="18" t="n">
        <x:v>53733</x:v>
      </x:c>
      <x:c r="AF127" s="18" t="n">
        <x:v>11845.68</x:v>
      </x:c>
      <x:c r="AG127" s="18" t="n">
        <x:v>916.97</x:v>
      </x:c>
      <x:c r="AH127" s="18" t="n">
        <x:v>6814.9</x:v>
      </x:c>
      <x:c r="AI127" s="17" t="n">
        <x:v>21</x:v>
      </x:c>
      <x:c r="AJ127" s="17" t="n">
        <x:v>1</x:v>
      </x:c>
      <x:c r="AK127" s="19" t="n">
        <x:v>0.7143</x:v>
      </x:c>
      <x:c r="AL127" s="19" t="n">
        <x:v>0.7857</x:v>
      </x:c>
      <x:c r="AM127" s="19" t="n">
        <x:v>0.2143</x:v>
      </x:c>
      <x:c r="AN127" s="17" t="str">
        <x:v>[
  "industry.basic_info",
  "industry.constitution",
  "industry.constitution.agg"
]</x:v>
      </x:c>
    </x:row>
    <x:row r="128" ht="58" customHeight="1">
      <x:c r="A128" s="17" t="str">
        <x:v>BUS124</x:v>
      </x:c>
      <x:c r="B128" s="17" t="str">
        <x:v>查询宁德时代所属行业，并列出该行业成分股的融资余额前10名。</x:v>
      </x:c>
      <x:c r="C128" s="17" t="str">
        <x:v>stock</x:v>
      </x:c>
      <x:c r="D128" s="17" t="str">
        <x:v>stock.basic_info, industry.constitution, stock.margin</x:v>
      </x:c>
      <x:c r="E128" s="17" t="str"/>
      <x:c r="F128" s="17" t="str">
        <x:v>financial_qa_cc</x:v>
      </x:c>
      <x:c r="G128" s="17" t="str">
        <x:v>否</x:v>
      </x:c>
      <x:c r="H128" s="18" t="n">
        <x:v>41778.12</x:v>
      </x:c>
      <x:c r="I128" s="18" t="n">
        <x:f>IFERROR(H128/1000,"")</x:f>
        <x:v>41.77812</x:v>
      </x:c>
      <x:c r="J128" s="17" t="n">
        <x:v>17</x:v>
      </x:c>
      <x:c r="K128" s="17" t="str">
        <x:v>成功</x:v>
      </x:c>
      <x:c r="L128" s="17" t="n">
        <x:v>10</x:v>
      </x:c>
      <x:c r="M128" s="17" t="n">
        <x:v>8</x:v>
      </x:c>
      <x:c r="N128" s="17" t="n">
        <x:v>0</x:v>
      </x:c>
      <x:c r="O128" s="17" t="n">
        <x:v>2</x:v>
      </x:c>
      <x:c r="P128" s="17" t="n">
        <x:v>0</x:v>
      </x:c>
      <x:c r="Q128" s="17" t="n">
        <x:v>0</x:v>
      </x:c>
      <x:c r="R128" s="19" t="n">
        <x:f>IFERROR((M128+N128)/L128,"")</x:f>
        <x:v>0.8</x:v>
      </x:c>
      <x:c r="S128" s="17" t="n">
        <x:v>0</x:v>
      </x:c>
      <x:c r="T128" s="17" t="n">
        <x:v>0</x:v>
      </x:c>
      <x:c r="U128" s="17" t="n">
        <x:v>26509</x:v>
      </x:c>
      <x:c r="V128" s="17" t="str">
        <x:v>正确</x:v>
      </x:c>
      <x:c r="W128" s="19" t="n">
        <x:v>0.95</x:v>
      </x:c>
      <x:c r="X128" s="17" t="str">
        <x:v>否</x:v>
      </x:c>
      <x:c r="Y128" s="17" t="str"/>
      <x:c r="Z128" s="17" t="str">
        <x:v>宁德时代所属行业为 **锂电池**（申万三级行业），该行业共15只成分股，其中13只可查到融资余额数据。截至 **2026-07-30**，融资余额前10名如下：
| 排名 | 股票 | 融资余额（元） |
|:---:|:---|:---:|
| 1 | **宁德时代** | 222.89亿 |
| 2 | **亿纬锂能** | 50.41亿 |
| 3 | **国轩高科** | 24.40亿 |
| 4 | **欣旺达** | 17.95亿 |
| 5 | **派能科技** | 8.41亿 |
| 6 | **鹏辉能源** | 7.94亿 |
| 7 | **蔚蓝锂芯** | 6.45亿 |
| 8 | **电科芯片** | 5.47亿 |
| 9 | **孚能科技** | 4.93亿 |
| 10 | **科达利** | 4.53亿 |
**宁德时代**以222.89亿元的融资余额遥遥领先，是第二名亿纬锂能的4.4倍，占整个锂电池行业融资余额的约**60%**，融资资金对该龙头的集中度非常高。</x:v>
      </x:c>
      <x:c r="AA128" s="17" t="str"/>
      <x:c r="AB128" s="17" t="n">
        <x:v>46235.84990346065</x:v>
      </x:c>
      <x:c r="AC128" s="17" t="n">
        <x:v>46235.85038700231</x:v>
      </x:c>
      <x:c r="AD128" s="17" t="str">
        <x:v>analysis.json</x:v>
      </x:c>
      <x:c r="AE128" s="18" t="n">
        <x:v>32409</x:v>
      </x:c>
      <x:c r="AF128" s="18" t="n">
        <x:v>9369.12</x:v>
      </x:c>
      <x:c r="AG128" s="18" t="n">
        <x:v>833.08</x:v>
      </x:c>
      <x:c r="AH128" s="18" t="n">
        <x:v>6075.26</x:v>
      </x:c>
      <x:c r="AI128" s="17" t="n">
        <x:v>17</x:v>
      </x:c>
      <x:c r="AJ128" s="17" t="n">
        <x:v>1</x:v>
      </x:c>
      <x:c r="AK128" s="19" t="n">
        <x:v>0.8</x:v>
      </x:c>
      <x:c r="AL128" s="19" t="n">
        <x:v>0.8</x:v>
      </x:c>
      <x:c r="AM128" s="19" t="n">
        <x:v>0.2</x:v>
      </x:c>
      <x:c r="AN128" s="17" t="str">
        <x:v>[
  "stock.basic_info",
  "industry.constitution",
  "stock.margin"
]</x:v>
      </x:c>
    </x:row>
    <x:row r="129" ht="58" customHeight="1">
      <x:c r="A129" s="17" t="str">
        <x:v>BUS125</x:v>
      </x:c>
      <x:c r="B129" s="17" t="str">
        <x:v>查询银行行业成分股，并返回每只股票最新PB和今天涨跌幅。</x:v>
      </x:c>
      <x:c r="C129" s="17" t="str">
        <x:v>industry</x:v>
      </x:c>
      <x:c r="D129" s="17" t="str">
        <x:v>industry.constitution, stock.pricevalue, stock.quote</x:v>
      </x:c>
      <x:c r="E129" s="17" t="str"/>
      <x:c r="F129" s="17" t="str">
        <x:v>financial_qa_cc</x:v>
      </x:c>
      <x:c r="G129" s="17" t="str">
        <x:v>否</x:v>
      </x:c>
      <x:c r="H129" s="18" t="n">
        <x:v>43309.37</x:v>
      </x:c>
      <x:c r="I129" s="18" t="n">
        <x:f>IFERROR(H129/1000,"")</x:f>
        <x:v>43.30937</x:v>
      </x:c>
      <x:c r="J129" s="17" t="n">
        <x:v>4</x:v>
      </x:c>
      <x:c r="K129" s="17" t="str">
        <x:v>成功</x:v>
      </x:c>
      <x:c r="L129" s="17" t="n">
        <x:v>8</x:v>
      </x:c>
      <x:c r="M129" s="17" t="n">
        <x:v>8</x:v>
      </x:c>
      <x:c r="N129" s="17" t="n">
        <x:v>0</x:v>
      </x:c>
      <x:c r="O129" s="17" t="n">
        <x:v>0</x:v>
      </x:c>
      <x:c r="P129" s="17" t="n">
        <x:v>0</x:v>
      </x:c>
      <x:c r="Q129" s="17" t="n">
        <x:v>0</x:v>
      </x:c>
      <x:c r="R129" s="19" t="n">
        <x:f>IFERROR((M129+N129)/L129,"")</x:f>
        <x:v>1</x:v>
      </x:c>
      <x:c r="S129" s="17" t="n">
        <x:v>0</x:v>
      </x:c>
      <x:c r="T129" s="17" t="n">
        <x:v>0</x:v>
      </x:c>
      <x:c r="U129" s="17" t="n">
        <x:v>20417</x:v>
      </x:c>
      <x:c r="V129" s="17" t="str">
        <x:v>正确</x:v>
      </x:c>
      <x:c r="W129" s="19" t="n">
        <x:v>1</x:v>
      </x:c>
      <x:c r="X129" s="17" t="str">
        <x:v>否</x:v>
      </x:c>
      <x:c r="Y129" s="17" t="str"/>
      <x:c r="Z129" s="17" t="str">
        <x:v>数据已全部就绪。银行行业共有 **40 只成分股**，数据截至 **2026-07-31（周五）**，以下是完整结果：
| 股票名称 | 代码 | PB（倍） | 涨跌幅（%） |
|---------|------|---------|-----------|
| 平安银行 | 000001.SZ | 0.49 | +0.17 |
| 宁波银行 | 002142.SZ | 0.91 | **-3.10** |
| 江阴银行 | 002807.SZ | 0.56 | +0.73 |
| 张家港行 | 002839.SZ | 0.59 | -0.65 |
| 郑州银行 | 002936.SZ | 0.36 | -0.54 |
| 青岛银行 | 002948.SZ | 0.80 | -0.85 |
| 青农商行 | 002958.SZ | 0.47 | -0.31 |
| 苏州银行 | 002966.SZ | 0.73 | -1.05 |
| 浦发银行 | 600000.SH | 0.42 | -2.06 |
| 华夏银行 | 600015.SH | 0.35 | -0.85 |
| 民生银行 | 600016.SH | 0.28 | -0.28 |
| 招商银行 | 600036.SH | 0.88 | **-2.29** |
| 无锡银行 | 600908.SH | 0.54 | -0.18 |
| 江苏银行 | 600919.SH | 0.82 | +0.08 |
| 杭州银行 | 600926.SH | 0.85 | -0.30 |
| 西安银行 | 600928.SH | 0.45 | -0.27 |
| 南京银行 | 601009.SH | 0.76 | -1.27 |
| 渝农商行 | 601077.SH | 0.56 | -1.02 |
| 常熟银行 | 601128.SH | 0.73 | -0.31 |
| 兴业银行 | 601166.SH | 0.48 | -1.05 |
| 北京银行 | 601169.SH | 0.39 | +0.19 |
| 厦门银行 | 601187.SH | 0.75 | **+1.30** |
| 上海银行 | 601229.SH | 0.53 | -1.46 |
| 农业银行 | 601288.SH | 0.85 | **-2.95** |
| 交通银行 | 601328.SH | 0.55 | -1.91 |
| 工商银行 | 601398.SH | 0.72 | -1.96 |
| 瑞丰银行 | 601528.SH | 0.49 | +0.40 |
| 长沙银行 | 601577.SH | 0.52 | -1.45 |
| 邮储银行 | 601658.SH | 0.60 | -0.77 |
| 齐鲁银行 | 601665.SH | 0.78 | +0.16 |
| 光大银行 | 601818.SH | 0.37 | -0.63 |
| 成都银行 | 601838.SH | 0.85 | -1.12 |
| 紫金银行 | 601860.SH | 0.48 | -0.37 |
| 浙商银行 | 601916.SH | 0.45 | +0.33 |
| 建设银行 | 601939.SH | 0.80 | -1.09 |
| 重庆银行 | 601963.SH | 0.71 | -1.21 |
| 中国银行 | 601988.SH | 0.71 | -1.30 |
| 贵阳银行 | 601997.SH | 0.32 | +0.17 |
| 中信银行 | 601998.SH | 0.59 | -1.39 |
| 苏农银行 | 603323.SH | 0.51 | 0.00 |
**几个要点：**
- **PB方面**：40只银行股全部处于破净状态（PB&lt;1），估值最低的是民生银行（0.28倍）、贵阳银行（0.32倍）和华夏银行（0.35倍）；PB相对最高的为宁波银行（0.91倍）、招商银行（0.88倍）、农业银行（0.85倍）和成都银行（0.85倍）。
- **7月31日表现**：整体偏弱，仅厦门银行（+1.30%）、江阴银行（+0.73%）、瑞丰银行（+0.40%）等少数个股收涨；跌幅较大的有宁波银行（-3.10%）、农业银行（-2.95%）、招商银行（-2.29%）和浦发银行（-2.06%），国有大行和股份行龙头普遍回调。</x:v>
      </x:c>
      <x:c r="AA129" s="17" t="str"/>
      <x:c r="AB129" s="17" t="n">
        <x:v>46235.85042283565</x:v>
      </x:c>
      <x:c r="AC129" s="17" t="n">
        <x:v>46235.85092409722</x:v>
      </x:c>
      <x:c r="AD129" s="17" t="str">
        <x:v>analysis.json</x:v>
      </x:c>
      <x:c r="AE129" s="18" t="n">
        <x:v>33971</x:v>
      </x:c>
      <x:c r="AF129" s="18" t="n">
        <x:v>9338.37</x:v>
      </x:c>
      <x:c r="AG129" s="18" t="n">
        <x:v>939.71</x:v>
      </x:c>
      <x:c r="AH129" s="18" t="n">
        <x:v>5794.64</x:v>
      </x:c>
      <x:c r="AI129" s="17" t="n">
        <x:v>4</x:v>
      </x:c>
      <x:c r="AJ129" s="17" t="n">
        <x:v>1</x:v>
      </x:c>
      <x:c r="AK129" s="19" t="n">
        <x:v>1</x:v>
      </x:c>
      <x:c r="AL129" s="19" t="n">
        <x:v>1</x:v>
      </x:c>
      <x:c r="AM129" s="19" t="n">
        <x:v>0</x:v>
      </x:c>
      <x:c r="AN129" s="17" t="str">
        <x:v>[
  "industry.constitution",
  "stock.pricevalue",
  "stock.quote"
]</x:v>
      </x:c>
    </x:row>
    <x:row r="130" ht="58" customHeight="1">
      <x:c r="A130" s="17" t="str">
        <x:v>BUS126</x:v>
      </x:c>
      <x:c r="B130" s="17" t="str">
        <x:v>同时查询申万一级行业列表和沪深300前十大权重股。</x:v>
      </x:c>
      <x:c r="C130" s="17" t="str">
        <x:v>industry</x:v>
      </x:c>
      <x:c r="D130" s="17" t="str">
        <x:v>industry.basic_info, index.constitution</x:v>
      </x:c>
      <x:c r="E130" s="17" t="str"/>
      <x:c r="F130" s="17" t="str">
        <x:v>free_chat</x:v>
      </x:c>
      <x:c r="G130" s="17" t="str">
        <x:v>是</x:v>
      </x:c>
      <x:c r="H130" s="18" t="n">
        <x:v>7482.93</x:v>
      </x:c>
      <x:c r="I130" s="18" t="n">
        <x:f>IFERROR(H130/1000,"")</x:f>
        <x:v>7.4829300000000005</x:v>
      </x:c>
      <x:c r="J130" s="17"/>
      <x:c r="K130" s="17" t="str">
        <x:v>成功</x:v>
      </x:c>
      <x:c r="L130" s="17" t="n">
        <x:v>0</x:v>
      </x:c>
      <x:c r="M130" s="17" t="n">
        <x:v>0</x:v>
      </x:c>
      <x:c r="N130" s="17" t="n">
        <x:v>0</x:v>
      </x:c>
      <x:c r="O130" s="17" t="n">
        <x:v>0</x:v>
      </x:c>
      <x:c r="P130" s="17" t="n">
        <x:v>0</x:v>
      </x:c>
      <x:c r="Q130" s="17" t="n">
        <x:v>0</x:v>
      </x:c>
      <x:c r="R130" s="19" t="str">
        <x:f>IFERROR((M130+N130)/L130,"")</x:f>
      </x:c>
      <x:c r="S130" s="17" t="n">
        <x:v>0</x:v>
      </x:c>
      <x:c r="T130" s="17" t="n">
        <x:v>0</x:v>
      </x:c>
      <x:c r="U130" s="17" t="n">
        <x:v>1265</x:v>
      </x:c>
      <x:c r="V130" s="17" t="str">
        <x:v>错误</x:v>
      </x:c>
      <x:c r="W130" s="19" t="n">
        <x:v>0.7</x:v>
      </x:c>
      <x:c r="X130" s="17" t="str">
        <x:v>否</x:v>
      </x:c>
      <x:c r="Y130" s="17" t="str"/>
      <x:c r="Z13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"clarify_f930a24c47804509", "slot_hints": {"task_focus": "请说明你更想做个股深度分析，还是热点/概念追踪。"}, "context_summary": {"task_type": "", "code": "", "name": ""}}</x:v>
      </x:c>
      <x:c r="AA130" s="17" t="str"/>
      <x:c r="AB130" s="17" t="n">
        <x:v>46235.850627534724</x:v>
      </x:c>
      <x:c r="AC130" s="17" t="n">
        <x:v>46235.85071414352</x:v>
      </x:c>
      <x:c r="AD130" s="17" t="str">
        <x:v>analysis.json</x:v>
      </x:c>
      <x:c r="AE130" s="18"/>
      <x:c r="AF130" s="18"/>
      <x:c r="AG130" s="18" t="n">
        <x:v>759.98</x:v>
      </x:c>
      <x:c r="AH130" s="18"/>
      <x:c r="AI130" s="17"/>
      <x:c r="AJ130" s="17"/>
      <x:c r="AK130" s="19"/>
      <x:c r="AL130" s="19"/>
      <x:c r="AM130" s="19"/>
      <x:c r="AN130" s="17" t="str"/>
    </x:row>
    <x:row r="131" ht="58" customHeight="1">
      <x:c r="A131" s="17" t="str">
        <x:v>BUS127</x:v>
      </x:c>
      <x:c r="B131" s="17" t="str">
        <x:v>查询所有板块代码和板块名称。</x:v>
      </x:c>
      <x:c r="C131" s="17" t="str">
        <x:v>plate</x:v>
      </x:c>
      <x:c r="D131" s="17" t="str">
        <x:v>plate.basic_info</x:v>
      </x:c>
      <x:c r="E131" s="17" t="str"/>
      <x:c r="F131" s="17" t="str">
        <x:v>free_chat</x:v>
      </x:c>
      <x:c r="G131" s="17" t="str">
        <x:v>是</x:v>
      </x:c>
      <x:c r="H131" s="18" t="n">
        <x:v>8492.66</x:v>
      </x:c>
      <x:c r="I131" s="18" t="n">
        <x:f>IFERROR(H131/1000,"")</x:f>
        <x:v>8.492659999999999</x:v>
      </x:c>
      <x:c r="J131" s="17"/>
      <x:c r="K131" s="17" t="str">
        <x:v>成功</x:v>
      </x:c>
      <x:c r="L131" s="17" t="n">
        <x:v>0</x:v>
      </x:c>
      <x:c r="M131" s="17" t="n">
        <x:v>0</x:v>
      </x:c>
      <x:c r="N131" s="17" t="n">
        <x:v>0</x:v>
      </x:c>
      <x:c r="O131" s="17" t="n">
        <x:v>0</x:v>
      </x:c>
      <x:c r="P131" s="17" t="n">
        <x:v>0</x:v>
      </x:c>
      <x:c r="Q131" s="17" t="n">
        <x:v>0</x:v>
      </x:c>
      <x:c r="R131" s="19" t="str">
        <x:f>IFERROR((M131+N131)/L131,"")</x:f>
      </x:c>
      <x:c r="S131" s="17" t="n">
        <x:v>0</x:v>
      </x:c>
      <x:c r="T131" s="17" t="n">
        <x:v>0</x:v>
      </x:c>
      <x:c r="U131" s="17" t="n">
        <x:v>1233</x:v>
      </x:c>
      <x:c r="V131" s="17" t="str">
        <x:v>错误</x:v>
      </x:c>
      <x:c r="W131" s="19" t="n">
        <x:v>0.7</x:v>
      </x:c>
      <x:c r="X131" s="17" t="str">
        <x:v>否</x:v>
      </x:c>
      <x:c r="Y131" s="17" t="str"/>
      <x:c r="Z131" s="17" t="str">
        <x:v>已识别为自然语言请求，当前 agent = investment_analyst，route_type = clarify。
需要澄清: {"state_type": "clarification_state", "status": "needs_user_input", "missing_slots": ["task_focus"], "prompt": "请说明你更想做个股深度分析，还是热点/概念追踪。", "resume_token": "clarify_426588399fba4f8d", "slot_hints": {"task_focus": "请说明你更想做个股深度分析，还是热点/概念追踪。"}, "context_summary": {"task_type": "", "code": "", "name": ""}}</x:v>
      </x:c>
      <x:c r="AA131" s="17" t="str"/>
      <x:c r="AB131" s="17" t="n">
        <x:v>46235.85075548611</x:v>
      </x:c>
      <x:c r="AC131" s="17" t="n">
        <x:v>46235.85085378472</x:v>
      </x:c>
      <x:c r="AD131" s="17" t="str">
        <x:v>analysis.json</x:v>
      </x:c>
      <x:c r="AE131" s="18"/>
      <x:c r="AF131" s="18"/>
      <x:c r="AG131" s="18" t="n">
        <x:v>799.76</x:v>
      </x:c>
      <x:c r="AH131" s="18"/>
      <x:c r="AI131" s="17"/>
      <x:c r="AJ131" s="17"/>
      <x:c r="AK131" s="19"/>
      <x:c r="AL131" s="19"/>
      <x:c r="AM131" s="19"/>
      <x:c r="AN131" s="17" t="str"/>
    </x:row>
    <x:row r="132" ht="58" customHeight="1">
      <x:c r="A132" s="17" t="str">
        <x:v>BUS128</x:v>
      </x:c>
      <x:c r="B132" s="17" t="str">
        <x:v>查询名称包含人工智能的板块代码和名称。</x:v>
      </x:c>
      <x:c r="C132" s="17" t="str">
        <x:v>plate</x:v>
      </x:c>
      <x:c r="D132" s="17" t="str">
        <x:v>plate.basic_info</x:v>
      </x:c>
      <x:c r="E132" s="17" t="str"/>
      <x:c r="F132" s="17" t="str">
        <x:v>financial_qa_cc</x:v>
      </x:c>
      <x:c r="G132" s="17" t="str">
        <x:v>否</x:v>
      </x:c>
      <x:c r="H132" s="18" t="n">
        <x:v>16529.11</x:v>
      </x:c>
      <x:c r="I132" s="18" t="n">
        <x:f>IFERROR(H132/1000,"")</x:f>
        <x:v>16.52911</x:v>
      </x:c>
      <x:c r="J132" s="17" t="n">
        <x:v>6</x:v>
      </x:c>
      <x:c r="K132" s="17" t="str">
        <x:v>成功</x:v>
      </x:c>
      <x:c r="L132" s="17" t="n">
        <x:v>2</x:v>
      </x:c>
      <x:c r="M132" s="17" t="n">
        <x:v>2</x:v>
      </x:c>
      <x:c r="N132" s="17" t="n">
        <x:v>0</x:v>
      </x:c>
      <x:c r="O132" s="17" t="n">
        <x:v>0</x:v>
      </x:c>
      <x:c r="P132" s="17" t="n">
        <x:v>0</x:v>
      </x:c>
      <x:c r="Q132" s="17" t="n">
        <x:v>0</x:v>
      </x:c>
      <x:c r="R132" s="19" t="n">
        <x:f>IFERROR((M132+N132)/L132,"")</x:f>
        <x:v>1</x:v>
      </x:c>
      <x:c r="S132" s="17" t="n">
        <x:v>0</x:v>
      </x:c>
      <x:c r="T132" s="17" t="n">
        <x:v>0</x:v>
      </x:c>
      <x:c r="U132" s="17" t="n">
        <x:v>4751</x:v>
      </x:c>
      <x:c r="V132" s="17" t="str">
        <x:v>正确</x:v>
      </x:c>
      <x:c r="W132" s="19" t="n">
        <x:v>1</x:v>
      </x:c>
      <x:c r="X132" s="17" t="str">
        <x:v>否</x:v>
      </x:c>
      <x:c r="Y132" s="17" t="str"/>
      <x:c r="Z132" s="17" t="str">
        <x:v>名称包含"人工智能"的板块共查到 **1 个**：
| 板块代码 | 板块名称 |
|---------|--------|
| 882347 | 人工智能 |</x:v>
      </x:c>
      <x:c r="AA132" s="17" t="str"/>
      <x:c r="AB132" s="17" t="n">
        <x:v>46235.85089903935</x:v>
      </x:c>
      <x:c r="AC132" s="17" t="n">
        <x:v>46235.85109034722</x:v>
      </x:c>
      <x:c r="AD132" s="17" t="str">
        <x:v>analysis.json</x:v>
      </x:c>
      <x:c r="AE132" s="18" t="n">
        <x:v>8733</x:v>
      </x:c>
      <x:c r="AF132" s="18" t="n">
        <x:v>7796.11</x:v>
      </x:c>
      <x:c r="AG132" s="18" t="n">
        <x:v>708.62</x:v>
      </x:c>
      <x:c r="AH132" s="18" t="n">
        <x:v>5549.26</x:v>
      </x:c>
      <x:c r="AI132" s="17" t="n">
        <x:v>6</x:v>
      </x:c>
      <x:c r="AJ132" s="17" t="n">
        <x:v>1</x:v>
      </x:c>
      <x:c r="AK132" s="19" t="n">
        <x:v>1</x:v>
      </x:c>
      <x:c r="AL132" s="19" t="n">
        <x:v>1</x:v>
      </x:c>
      <x:c r="AM132" s="19" t="n">
        <x:v>0</x:v>
      </x:c>
      <x:c r="AN132" s="17" t="str">
        <x:v>[
  "plate.basic_info"
]</x:v>
      </x:c>
    </x:row>
    <x:row r="133" ht="58" customHeight="1">
      <x:c r="A133" s="17" t="str">
        <x:v>BUS129</x:v>
      </x:c>
      <x:c r="B133" s="17" t="str">
        <x:v>查询名称包含新能源车的板块列表。</x:v>
      </x:c>
      <x:c r="C133" s="17" t="str">
        <x:v>plate</x:v>
      </x:c>
      <x:c r="D133" s="17" t="str">
        <x:v>plate.basic_info</x:v>
      </x:c>
      <x:c r="E133" s="17" t="str"/>
      <x:c r="F133" s="17" t="str">
        <x:v>financial_qa_cc</x:v>
      </x:c>
      <x:c r="G133" s="17" t="str">
        <x:v>否</x:v>
      </x:c>
      <x:c r="H133" s="18" t="n">
        <x:v>16535.49</x:v>
      </x:c>
      <x:c r="I133" s="18" t="n">
        <x:f>IFERROR(H133/1000,"")</x:f>
        <x:v>16.535490000000003</x:v>
      </x:c>
      <x:c r="J133" s="17" t="n">
        <x:v>4</x:v>
      </x:c>
      <x:c r="K133" s="17" t="str">
        <x:v>成功</x:v>
      </x:c>
      <x:c r="L133" s="17" t="n">
        <x:v>2</x:v>
      </x:c>
      <x:c r="M133" s="17" t="n">
        <x:v>2</x:v>
      </x:c>
      <x:c r="N133" s="17" t="n">
        <x:v>0</x:v>
      </x:c>
      <x:c r="O133" s="17" t="n">
        <x:v>0</x:v>
      </x:c>
      <x:c r="P133" s="17" t="n">
        <x:v>0</x:v>
      </x:c>
      <x:c r="Q133" s="17" t="n">
        <x:v>0</x:v>
      </x:c>
      <x:c r="R133" s="19" t="n">
        <x:f>IFERROR((M133+N133)/L133,"")</x:f>
        <x:v>1</x:v>
      </x:c>
      <x:c r="S133" s="17" t="n">
        <x:v>0</x:v>
      </x:c>
      <x:c r="T133" s="17" t="n">
        <x:v>0</x:v>
      </x:c>
      <x:c r="U133" s="17" t="n">
        <x:v>3980</x:v>
      </x:c>
      <x:c r="V133" s="17" t="str">
        <x:v>正确</x:v>
      </x:c>
      <x:c r="W133" s="19" t="n">
        <x:v>1</x:v>
      </x:c>
      <x:c r="X133" s="17" t="str">
        <x:v>否</x:v>
      </x:c>
      <x:c r="Y133" s="17" t="str"/>
      <x:c r="Z133" s="17" t="str">
        <x:v>当前数据源中，未查询到名称包含"新能源车"的板块记录。可能的原因包括：
- 数据源中板块名称未使用"新能源车"这一表述，例如可能归类为"新能源"、"新能源汽车"等关键词。
- 当前数据源覆盖的板块分类体系有限。
如果需要，我可以尝试以"新能源"或"新能源汽车"等关键词来查询，看看是否有相关的板块记录。</x:v>
      </x:c>
      <x:c r="AA133" s="17" t="str"/>
      <x:c r="AB133" s="17" t="n">
        <x:v>46235.8509630787</x:v>
      </x:c>
      <x:c r="AC133" s="17" t="n">
        <x:v>46235.85115446759</x:v>
      </x:c>
      <x:c r="AD133" s="17" t="str">
        <x:v>analysis.json</x:v>
      </x:c>
      <x:c r="AE133" s="18" t="n">
        <x:v>7954</x:v>
      </x:c>
      <x:c r="AF133" s="18" t="n">
        <x:v>8581.49</x:v>
      </x:c>
      <x:c r="AG133" s="18" t="n">
        <x:v>910.87</x:v>
      </x:c>
      <x:c r="AH133" s="18" t="n">
        <x:v>5935.67</x:v>
      </x:c>
      <x:c r="AI133" s="17" t="n">
        <x:v>4</x:v>
      </x:c>
      <x:c r="AJ133" s="17" t="n">
        <x:v>1</x:v>
      </x:c>
      <x:c r="AK133" s="19" t="n">
        <x:v>1</x:v>
      </x:c>
      <x:c r="AL133" s="19" t="n">
        <x:v>1</x:v>
      </x:c>
      <x:c r="AM133" s="19" t="n">
        <x:v>0</x:v>
      </x:c>
      <x:c r="AN133" s="17" t="str">
        <x:v>[
  "plate.basic_info"
]</x:v>
      </x:c>
    </x:row>
    <x:row r="134" ht="58" customHeight="1">
      <x:c r="A134" s="17" t="str">
        <x:v>BUS130</x:v>
      </x:c>
      <x:c r="B134" s="17" t="str">
        <x:v>查询证券板块代码和板块名称。</x:v>
      </x:c>
      <x:c r="C134" s="17" t="str">
        <x:v>plate</x:v>
      </x:c>
      <x:c r="D134" s="17" t="str">
        <x:v>plate.basic_info</x:v>
      </x:c>
      <x:c r="E134" s="17" t="str"/>
      <x:c r="F134" s="17" t="str">
        <x:v>free_chat</x:v>
      </x:c>
      <x:c r="G134" s="17" t="str">
        <x:v>是</x:v>
      </x:c>
      <x:c r="H134" s="18" t="n">
        <x:v>7350.98</x:v>
      </x:c>
      <x:c r="I134" s="18" t="n">
        <x:f>IFERROR(H134/1000,"")</x:f>
        <x:v>7.35098</x:v>
      </x:c>
      <x:c r="J134" s="17"/>
      <x:c r="K134" s="17" t="str">
        <x:v>成功</x:v>
      </x:c>
      <x:c r="L134" s="17" t="n">
        <x:v>0</x:v>
      </x:c>
      <x:c r="M134" s="17" t="n">
        <x:v>0</x:v>
      </x:c>
      <x:c r="N134" s="17" t="n">
        <x:v>0</x:v>
      </x:c>
      <x:c r="O134" s="17" t="n">
        <x:v>0</x:v>
      </x:c>
      <x:c r="P134" s="17" t="n">
        <x:v>0</x:v>
      </x:c>
      <x:c r="Q134" s="17" t="n">
        <x:v>0</x:v>
      </x:c>
      <x:c r="R134" s="19" t="str">
        <x:f>IFERROR((M134+N134)/L134,"")</x:f>
      </x:c>
      <x:c r="S134" s="17" t="n">
        <x:v>0</x:v>
      </x:c>
      <x:c r="T134" s="17" t="n">
        <x:v>0</x:v>
      </x:c>
      <x:c r="U134" s="17" t="n">
        <x:v>1233</x:v>
      </x:c>
      <x:c r="V134" s="17" t="str">
        <x:v>错误</x:v>
      </x:c>
      <x:c r="W134" s="19" t="n">
        <x:v>0.7</x:v>
      </x:c>
      <x:c r="X134" s="17" t="str">
        <x:v>否</x:v>
      </x:c>
      <x:c r="Y134" s="17" t="str"/>
      <x:c r="Z134"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"clarify_6cc11093aded4934", "slot_hints": {"task_focus": "请说明你更想做个股深度分析，还是热点/概念追踪。"}, "context_summary": {"task_type": "", "code": "", "name": ""}}</x:v>
      </x:c>
      <x:c r="AA134" s="17" t="str"/>
      <x:c r="AB134" s="17" t="n">
        <x:v>46235.85113231481</x:v>
      </x:c>
      <x:c r="AC134" s="17" t="n">
        <x:v>46235.85121739583</x:v>
      </x:c>
      <x:c r="AD134" s="17" t="str">
        <x:v>analysis.json</x:v>
      </x:c>
      <x:c r="AE134" s="18"/>
      <x:c r="AF134" s="18"/>
      <x:c r="AG134" s="18" t="n">
        <x:v>973.95</x:v>
      </x:c>
      <x:c r="AH134" s="18"/>
      <x:c r="AI134" s="17"/>
      <x:c r="AJ134" s="17"/>
      <x:c r="AK134" s="19"/>
      <x:c r="AL134" s="19"/>
      <x:c r="AM134" s="19"/>
      <x:c r="AN134" s="17" t="str"/>
    </x:row>
    <x:row r="135" ht="58" customHeight="1">
      <x:c r="A135" s="17" t="str">
        <x:v>BUS131</x:v>
      </x:c>
      <x:c r="B135" s="17" t="str">
        <x:v>查询名称包含半导体的板块代码。</x:v>
      </x:c>
      <x:c r="C135" s="17" t="str">
        <x:v>plate</x:v>
      </x:c>
      <x:c r="D135" s="17" t="str">
        <x:v>plate.basic_info</x:v>
      </x:c>
      <x:c r="E135" s="17" t="str"/>
      <x:c r="F135" s="17" t="str">
        <x:v>financial_qa_cc</x:v>
      </x:c>
      <x:c r="G135" s="17" t="str">
        <x:v>否</x:v>
      </x:c>
      <x:c r="H135" s="18" t="n">
        <x:v>23047.04</x:v>
      </x:c>
      <x:c r="I135" s="18" t="n">
        <x:f>IFERROR(H135/1000,"")</x:f>
        <x:v>23.047040000000003</x:v>
      </x:c>
      <x:c r="J135" s="17" t="n">
        <x:v>8</x:v>
      </x:c>
      <x:c r="K135" s="17" t="str">
        <x:v>成功</x:v>
      </x:c>
      <x:c r="L135" s="17" t="n">
        <x:v>4</x:v>
      </x:c>
      <x:c r="M135" s="17" t="n">
        <x:v>3</x:v>
      </x:c>
      <x:c r="N135" s="17" t="n">
        <x:v>0</x:v>
      </x:c>
      <x:c r="O135" s="17" t="n">
        <x:v>1</x:v>
      </x:c>
      <x:c r="P135" s="17" t="n">
        <x:v>0</x:v>
      </x:c>
      <x:c r="Q135" s="17" t="n">
        <x:v>0</x:v>
      </x:c>
      <x:c r="R135" s="19" t="n">
        <x:f>IFERROR((M135+N135)/L135,"")</x:f>
        <x:v>0.75</x:v>
      </x:c>
      <x:c r="S135" s="17" t="n">
        <x:v>0</x:v>
      </x:c>
      <x:c r="T135" s="17" t="n">
        <x:v>0</x:v>
      </x:c>
      <x:c r="U135" s="17" t="n">
        <x:v>13959</x:v>
      </x:c>
      <x:c r="V135" s="17" t="str">
        <x:v>正确</x:v>
      </x:c>
      <x:c r="W135" s="19" t="n">
        <x:v>1</x:v>
      </x:c>
      <x:c r="X135" s="17" t="str">
        <x:v>否</x:v>
      </x:c>
      <x:c r="Y135" s="17" t="str"/>
      <x:c r="Z135" s="17" t="str">
        <x:v>名称包含"半导体"的板块共有 **7 个**，具体如下：
| 板块代码 | 板块名称 |
|:---|:---|
| 883547 | 第三代半导体 |
| 883720 | 半导体 |
| 883912 | 半导体材料 |
| 883914 | 半导体硅片 |
| 883924 | 半导体器件 |
| 883927 | 半导体设备 |
| 884243 | 功率半导体 |
其中代码 **883720** 对应的是最核心的"半导体"板块，其余为半导体产业链上的细分板块。</x:v>
      </x:c>
      <x:c r="AA135" s="17" t="str"/>
      <x:c r="AB135" s="17" t="n">
        <x:v>46235.85119465278</x:v>
      </x:c>
      <x:c r="AC135" s="17" t="n">
        <x:v>46235.851461412036</x:v>
      </x:c>
      <x:c r="AD135" s="17" t="str">
        <x:v>analysis.json</x:v>
      </x:c>
      <x:c r="AE135" s="18" t="n">
        <x:v>13143</x:v>
      </x:c>
      <x:c r="AF135" s="18" t="n">
        <x:v>9904.04</x:v>
      </x:c>
      <x:c r="AG135" s="18" t="n">
        <x:v>924.83</x:v>
      </x:c>
      <x:c r="AH135" s="18" t="n">
        <x:v>6176.98</x:v>
      </x:c>
      <x:c r="AI135" s="17" t="n">
        <x:v>8</x:v>
      </x:c>
      <x:c r="AJ135" s="17" t="n">
        <x:v>1</x:v>
      </x:c>
      <x:c r="AK135" s="19" t="n">
        <x:v>0.75</x:v>
      </x:c>
      <x:c r="AL135" s="19" t="n">
        <x:v>0.75</x:v>
      </x:c>
      <x:c r="AM135" s="19" t="n">
        <x:v>0.25</x:v>
      </x:c>
      <x:c r="AN135" s="17" t="str">
        <x:v>[
  "plate.basic_info"
]</x:v>
      </x:c>
    </x:row>
    <x:row r="136" ht="58" customHeight="1">
      <x:c r="A136" s="17" t="str">
        <x:v>BUS132</x:v>
      </x:c>
      <x:c r="B136" s="17" t="str">
        <x:v>列出名称包含消费的板块。</x:v>
      </x:c>
      <x:c r="C136" s="17" t="str">
        <x:v>plate</x:v>
      </x:c>
      <x:c r="D136" s="17" t="str">
        <x:v>plate.basic_info</x:v>
      </x:c>
      <x:c r="E136" s="17" t="str"/>
      <x:c r="F136" s="17" t="str">
        <x:v>financial_qa_cc</x:v>
      </x:c>
      <x:c r="G136" s="17" t="str">
        <x:v>否</x:v>
      </x:c>
      <x:c r="H136" s="18" t="n">
        <x:v>16770.1</x:v>
      </x:c>
      <x:c r="I136" s="18" t="n">
        <x:f>IFERROR(H136/1000,"")</x:f>
        <x:v>16.7701</x:v>
      </x:c>
      <x:c r="J136" s="17" t="n">
        <x:v>5</x:v>
      </x:c>
      <x:c r="K136" s="17" t="str">
        <x:v>成功</x:v>
      </x:c>
      <x:c r="L136" s="17" t="n">
        <x:v>2</x:v>
      </x:c>
      <x:c r="M136" s="17" t="n">
        <x:v>2</x:v>
      </x:c>
      <x:c r="N136" s="17" t="n">
        <x:v>0</x:v>
      </x:c>
      <x:c r="O136" s="17" t="n">
        <x:v>0</x:v>
      </x:c>
      <x:c r="P136" s="17" t="n">
        <x:v>0</x:v>
      </x:c>
      <x:c r="Q136" s="17" t="n">
        <x:v>0</x:v>
      </x:c>
      <x:c r="R136" s="19" t="n">
        <x:f>IFERROR((M136+N136)/L136,"")</x:f>
        <x:v>1</x:v>
      </x:c>
      <x:c r="S136" s="17" t="n">
        <x:v>0</x:v>
      </x:c>
      <x:c r="T136" s="17" t="n">
        <x:v>0</x:v>
      </x:c>
      <x:c r="U136" s="17" t="n">
        <x:v>11328</x:v>
      </x:c>
      <x:c r="V136" s="17" t="str">
        <x:v>正确</x:v>
      </x:c>
      <x:c r="W136" s="19" t="n">
        <x:v>1</x:v>
      </x:c>
      <x:c r="X136" s="17" t="str">
        <x:v>否</x:v>
      </x:c>
      <x:c r="Y136" s="17" t="str"/>
      <x:c r="Z136" s="17" t="str">
        <x:v>当前数据源中，名称包含"消费"的板块只有 **消费电子**（板块代码 883402）。</x:v>
      </x:c>
      <x:c r="AA136" s="17" t="str"/>
      <x:c r="AB136" s="17" t="n">
        <x:v>46235.85126740741</x:v>
      </x:c>
      <x:c r="AC136" s="17" t="n">
        <x:v>46235.851461516206</x:v>
      </x:c>
      <x:c r="AD136" s="17" t="str">
        <x:v>analysis.json</x:v>
      </x:c>
      <x:c r="AE136" s="18" t="n">
        <x:v>7385</x:v>
      </x:c>
      <x:c r="AF136" s="18" t="n">
        <x:v>9385.1</x:v>
      </x:c>
      <x:c r="AG136" s="18" t="n">
        <x:v>842.58</x:v>
      </x:c>
      <x:c r="AH136" s="18" t="n">
        <x:v>5347.05</x:v>
      </x:c>
      <x:c r="AI136" s="17" t="n">
        <x:v>5</x:v>
      </x:c>
      <x:c r="AJ136" s="17" t="n">
        <x:v>1</x:v>
      </x:c>
      <x:c r="AK136" s="19" t="n">
        <x:v>1</x:v>
      </x:c>
      <x:c r="AL136" s="19" t="n">
        <x:v>1</x:v>
      </x:c>
      <x:c r="AM136" s="19" t="n">
        <x:v>0</x:v>
      </x:c>
      <x:c r="AN136" s="17" t="str">
        <x:v>[
  "plate.basic_info"
]</x:v>
      </x:c>
    </x:row>
    <x:row r="137" ht="58" customHeight="1">
      <x:c r="A137" s="17" t="str">
        <x:v>BUS133</x:v>
      </x:c>
      <x:c r="B137" s="17" t="str">
        <x:v>人工智能板块当前涨跌幅、成交额和成交量是多少？</x:v>
      </x:c>
      <x:c r="C137" s="17" t="str">
        <x:v>plate</x:v>
      </x:c>
      <x:c r="D137" s="17" t="str">
        <x:v>plate.quote</x:v>
      </x:c>
      <x:c r="E137" s="17" t="str"/>
      <x:c r="F137" s="17" t="str">
        <x:v>financial_qa_cc</x:v>
      </x:c>
      <x:c r="G137" s="17" t="str">
        <x:v>否</x:v>
      </x:c>
      <x:c r="H137" s="18" t="n">
        <x:v>26397.05</x:v>
      </x:c>
      <x:c r="I137" s="18" t="n">
        <x:f>IFERROR(H137/1000,"")</x:f>
        <x:v>26.39705</x:v>
      </x:c>
      <x:c r="J137" s="17" t="n">
        <x:v>10</x:v>
      </x:c>
      <x:c r="K137" s="17" t="str">
        <x:v>成功</x:v>
      </x:c>
      <x:c r="L137" s="17" t="n">
        <x:v>4</x:v>
      </x:c>
      <x:c r="M137" s="17" t="n">
        <x:v>4</x:v>
      </x:c>
      <x:c r="N137" s="17" t="n">
        <x:v>0</x:v>
      </x:c>
      <x:c r="O137" s="17" t="n">
        <x:v>0</x:v>
      </x:c>
      <x:c r="P137" s="17" t="n">
        <x:v>0</x:v>
      </x:c>
      <x:c r="Q137" s="17" t="n">
        <x:v>0</x:v>
      </x:c>
      <x:c r="R137" s="19" t="n">
        <x:f>IFERROR((M137+N137)/L137,"")</x:f>
        <x:v>1</x:v>
      </x:c>
      <x:c r="S137" s="17" t="n">
        <x:v>0</x:v>
      </x:c>
      <x:c r="T137" s="17" t="n">
        <x:v>0</x:v>
      </x:c>
      <x:c r="U137" s="17" t="n">
        <x:v>16358</x:v>
      </x:c>
      <x:c r="V137" s="17" t="str">
        <x:v>部分正确</x:v>
      </x:c>
      <x:c r="W137" s="19" t="n">
        <x:v>1</x:v>
      </x:c>
      <x:c r="X137" s="17" t="str">
        <x:v>否</x:v>
      </x:c>
      <x:c r="Y137" s="17" t="str"/>
      <x:c r="Z137" s="17" t="str">
        <x:v>人工智能板块最新行情数据如下（数据截至最近一个交易日 **2026-07-27**）：
- **涨跌幅**：**+3.34%**
- **成交额**：约 **684.39 亿元**
- **成交量**：约 **320.09 亿股**
当日板块涨幅超过 3%，成交额接近 685 亿元，量价配合较为活跃。</x:v>
      </x:c>
      <x:c r="AA137" s="17" t="str"/>
      <x:c r="AB137" s="17" t="n">
        <x:v>46235.85150523148</x:v>
      </x:c>
      <x:c r="AC137" s="17" t="n">
        <x:v>46235.85181075231</x:v>
      </x:c>
      <x:c r="AD137" s="17" t="str">
        <x:v>analysis.json</x:v>
      </x:c>
      <x:c r="AE137" s="18" t="n">
        <x:v>17639</x:v>
      </x:c>
      <x:c r="AF137" s="18" t="n">
        <x:v>8758.05</x:v>
      </x:c>
      <x:c r="AG137" s="18" t="n">
        <x:v>910</x:v>
      </x:c>
      <x:c r="AH137" s="18" t="n">
        <x:v>5987.81</x:v>
      </x:c>
      <x:c r="AI137" s="17" t="n">
        <x:v>10</x:v>
      </x:c>
      <x:c r="AJ137" s="17" t="n">
        <x:v>1</x:v>
      </x:c>
      <x:c r="AK137" s="19" t="n">
        <x:v>1</x:v>
      </x:c>
      <x:c r="AL137" s="19" t="n">
        <x:v>1</x:v>
      </x:c>
      <x:c r="AM137" s="19" t="n">
        <x:v>0</x:v>
      </x:c>
      <x:c r="AN137" s="17" t="str">
        <x:v>[
  "plate.basic_info",
  "plate.quote"
]</x:v>
      </x:c>
    </x:row>
    <x:row r="138" ht="58" customHeight="1">
      <x:c r="A138" s="17" t="str">
        <x:v>BUS134</x:v>
      </x:c>
      <x:c r="B138" s="17" t="str">
        <x:v>今天涨幅最高的板块前20名。</x:v>
      </x:c>
      <x:c r="C138" s="17" t="str">
        <x:v>plate</x:v>
      </x:c>
      <x:c r="D138" s="17" t="str">
        <x:v>plate.quote</x:v>
      </x:c>
      <x:c r="E138" s="17" t="str"/>
      <x:c r="F138" s="17" t="str">
        <x:v>financial_qa_cc</x:v>
      </x:c>
      <x:c r="G138" s="17" t="str">
        <x:v>否</x:v>
      </x:c>
      <x:c r="H138" s="18" t="n">
        <x:v>37359.85</x:v>
      </x:c>
      <x:c r="I138" s="18" t="n">
        <x:f>IFERROR(H138/1000,"")</x:f>
        <x:v>37.35985</x:v>
      </x:c>
      <x:c r="J138" s="17" t="n">
        <x:v>12</x:v>
      </x:c>
      <x:c r="K138" s="17" t="str">
        <x:v>成功</x:v>
      </x:c>
      <x:c r="L138" s="17" t="n">
        <x:v>6</x:v>
      </x:c>
      <x:c r="M138" s="17" t="n">
        <x:v>5</x:v>
      </x:c>
      <x:c r="N138" s="17" t="n">
        <x:v>0</x:v>
      </x:c>
      <x:c r="O138" s="17" t="n">
        <x:v>1</x:v>
      </x:c>
      <x:c r="P138" s="17" t="n">
        <x:v>0</x:v>
      </x:c>
      <x:c r="Q138" s="17" t="n">
        <x:v>0</x:v>
      </x:c>
      <x:c r="R138" s="19" t="n">
        <x:f>IFERROR((M138+N138)/L138,"")</x:f>
        <x:v>0.8333333333333334</x:v>
      </x:c>
      <x:c r="S138" s="17" t="n">
        <x:v>0</x:v>
      </x:c>
      <x:c r="T138" s="17" t="n">
        <x:v>0</x:v>
      </x:c>
      <x:c r="U138" s="17" t="n">
        <x:v>17639</x:v>
      </x:c>
      <x:c r="V138" s="17" t="str">
        <x:v>部分正确</x:v>
      </x:c>
      <x:c r="W138" s="19" t="n">
        <x:v>0.95</x:v>
      </x:c>
      <x:c r="X138" s="17" t="str">
        <x:v>否</x:v>
      </x:c>
      <x:c r="Y138" s="17" t="str"/>
      <x:c r="Z138" s="17" t="str">
        <x:v>今天（2026-08-02）是周日，市场没有交易。板块行情数据最新的交易日为 **2026-07-27（周一）**，当日涨幅最高的前20个板块如下：
| 排名 | 板块名称 | 涨跌幅 | 收盘点位 | 成交额（亿元） |
|:---:|:---|:---:|:---:|:---:|
| 1 | 电子玻纤布 | **+9.66%** | 2,993.34 | 26.69 |
| 2 | 洁净室 | **+5.87%** | 710.12 | 9.76 |
| 3 | 阶跃星辰概念 | **+5.79%** | 831.13 | 2.99 |
| 4 | 重组胶原蛋白 | **+5.78%** | 855.72 | 1.47 |
| 5 | 脑机接口 | **+5.60%** | 1,302.78 | 26.78 |
| 6 | AI电商 | **+5.55%** | 910.98 | 2.86 |
| 7 | Kimi智能应用 | **+5.45%** | 921.56 | 6.63 |
| 8 | 被动元件 | **+5.37%** | 4,379.94 | 24.40 |
| 9 | 覆铜板 | **+5.33%** | 4,690.78 | 33.82 |
| 10 | 变压器 | **+5.25%** | 869.48 | 4.76 |
| 11 | 气凝胶 | **+5.21%** | 1,097.68 | 1.40 |
| 12 | 智能戒指 | **+5.19%** | 683.12 | 2.15 |
| 13 | MLCC | **+5.17%** | 669.11 | 45.45 |
| 14 | 激光武器 | **+5.14%** | 1,262.32 | 4.49 |
| 15 | 动力电池 | **+5.11%** | 824.18 | 38.35 |
| 16 | 苹果MR概念股 | **+5.10%** | 1,170.22 | 14.48 |
| 17 | 固态电解质 | **+4.97%** | 1,089.34 | 48.51 |
| 18 | 富锂锰基正极 | **+4.95%** | 800.11 | 5.04 |
| 19 | 硅基负极 | **+4.92%** | 1,534.35 | 13.32 |
| 20 | 骨架膜 | **+4.90%** | 1,050.09 | 4.94 |
**亮点简析：** 当日板块涨幅整体活跃，**电子玻纤布**以+9.66%的涨幅一枝独秀，接近涨停。电子元器件相关板块（被动元件、覆铜板、MLCC）和AI主题（阶跃星辰、Kimi智能应用、AI电商）表现突出，涨幅普遍在5%以上。新能源材料方向也有多板块上榜，固态电解质以48.5亿元的成交额居首。</x:v>
      </x:c>
      <x:c r="AA138" s="17" t="str"/>
      <x:c r="AB138" s="17" t="n">
        <x:v>46235.85154613426</x:v>
      </x:c>
      <x:c r="AC138" s="17" t="n">
        <x:v>46235.851978541665</x:v>
      </x:c>
      <x:c r="AD138" s="17" t="str">
        <x:v>analysis.json</x:v>
      </x:c>
      <x:c r="AE138" s="18" t="n">
        <x:v>28543</x:v>
      </x:c>
      <x:c r="AF138" s="18" t="n">
        <x:v>8816.85</x:v>
      </x:c>
      <x:c r="AG138" s="18" t="n">
        <x:v>791.45</x:v>
      </x:c>
      <x:c r="AH138" s="18" t="n">
        <x:v>5380.32</x:v>
      </x:c>
      <x:c r="AI138" s="17" t="n">
        <x:v>12</x:v>
      </x:c>
      <x:c r="AJ138" s="17" t="n">
        <x:v>1</x:v>
      </x:c>
      <x:c r="AK138" s="19" t="n">
        <x:v>0.8333</x:v>
      </x:c>
      <x:c r="AL138" s="19" t="n">
        <x:v>0.8333</x:v>
      </x:c>
      <x:c r="AM138" s="19" t="n">
        <x:v>0.1667</x:v>
      </x:c>
      <x:c r="AN138" s="17" t="str">
        <x:v>[
  "plate.quote"
]</x:v>
      </x:c>
    </x:row>
    <x:row r="139" ht="58" customHeight="1">
      <x:c r="A139" s="17" t="str">
        <x:v>BUS135</x:v>
      </x:c>
      <x:c r="B139" s="17" t="str">
        <x:v>筛选今天成交额超过100亿元且上涨的板块。</x:v>
      </x:c>
      <x:c r="C139" s="17" t="str">
        <x:v>plate</x:v>
      </x:c>
      <x:c r="D139" s="17" t="str">
        <x:v>plate.quote</x:v>
      </x:c>
      <x:c r="E139" s="17" t="str"/>
      <x:c r="F139" s="17" t="str">
        <x:v>financial_qa_cc</x:v>
      </x:c>
      <x:c r="G139" s="17" t="str">
        <x:v>否</x:v>
      </x:c>
      <x:c r="H139" s="18" t="n">
        <x:v>30564.37</x:v>
      </x:c>
      <x:c r="I139" s="18" t="n">
        <x:f>IFERROR(H139/1000,"")</x:f>
        <x:v>30.56437</x:v>
      </x:c>
      <x:c r="J139" s="17" t="n">
        <x:v>6</x:v>
      </x:c>
      <x:c r="K139" s="17" t="str">
        <x:v>成功</x:v>
      </x:c>
      <x:c r="L139" s="17" t="n">
        <x:v>2</x:v>
      </x:c>
      <x:c r="M139" s="17" t="n">
        <x:v>2</x:v>
      </x:c>
      <x:c r="N139" s="17" t="n">
        <x:v>0</x:v>
      </x:c>
      <x:c r="O139" s="17" t="n">
        <x:v>0</x:v>
      </x:c>
      <x:c r="P139" s="17" t="n">
        <x:v>0</x:v>
      </x:c>
      <x:c r="Q139" s="17" t="n">
        <x:v>0</x:v>
      </x:c>
      <x:c r="R139" s="19" t="n">
        <x:f>IFERROR((M139+N139)/L139,"")</x:f>
        <x:v>1</x:v>
      </x:c>
      <x:c r="S139" s="17" t="n">
        <x:v>0</x:v>
      </x:c>
      <x:c r="T139" s="17" t="n">
        <x:v>0</x:v>
      </x:c>
      <x:c r="U139" s="17" t="n">
        <x:v>15216</x:v>
      </x:c>
      <x:c r="V139" s="17" t="str">
        <x:v>错误</x:v>
      </x:c>
      <x:c r="W139" s="19" t="n">
        <x:v>0.9</x:v>
      </x:c>
      <x:c r="X139" s="17" t="str">
        <x:v>否</x:v>
      </x:c>
      <x:c r="Y139" s="17" t="str"/>
      <x:c r="Z139" s="17" t="str">
        <x:v>今天是 **2026年8月2日（周日）**，A股休市，因此查询的是最近一个交易日 **2026年7月31日（周五）** 的板块数据。
在当日所有板块中，**没有满足"成交额超过100亿元且上涨"的板块**。这意味着要么板块成交额未达到100亿元门槛，要么上涨的板块成交额不足这一量级，两者条件未同时满足。</x:v>
      </x:c>
      <x:c r="AA139" s="17" t="str"/>
      <x:c r="AB139" s="17" t="n">
        <x:v>46235.85185366898</x:v>
      </x:c>
      <x:c r="AC139" s="17" t="n">
        <x:v>46235.85220743056</x:v>
      </x:c>
      <x:c r="AD139" s="17" t="str">
        <x:v>analysis.json</x:v>
      </x:c>
      <x:c r="AE139" s="18" t="n">
        <x:v>21781</x:v>
      </x:c>
      <x:c r="AF139" s="18" t="n">
        <x:v>8783.37</x:v>
      </x:c>
      <x:c r="AG139" s="18" t="n">
        <x:v>811.85</x:v>
      </x:c>
      <x:c r="AH139" s="18" t="n">
        <x:v>5575.7</x:v>
      </x:c>
      <x:c r="AI139" s="17" t="n">
        <x:v>6</x:v>
      </x:c>
      <x:c r="AJ139" s="17" t="n">
        <x:v>1</x:v>
      </x:c>
      <x:c r="AK139" s="19" t="n">
        <x:v>1</x:v>
      </x:c>
      <x:c r="AL139" s="19" t="n">
        <x:v>1</x:v>
      </x:c>
      <x:c r="AM139" s="19" t="n">
        <x:v>0</x:v>
      </x:c>
      <x:c r="AN139" s="17" t="str">
        <x:v>[
  "plate.quote"
]</x:v>
      </x:c>
    </x:row>
    <x:row r="140" ht="58" customHeight="1">
      <x:c r="A140" s="17" t="str">
        <x:v>BUS136</x:v>
      </x:c>
      <x:c r="B140" s="17" t="str">
        <x:v>查询半导体板块最近10个交易日涨跌幅。</x:v>
      </x:c>
      <x:c r="C140" s="17" t="str">
        <x:v>plate</x:v>
      </x:c>
      <x:c r="D140" s="17" t="str">
        <x:v>plate.quote</x:v>
      </x:c>
      <x:c r="E140" s="17" t="str"/>
      <x:c r="F140" s="17" t="str">
        <x:v>financial_qa_cc</x:v>
      </x:c>
      <x:c r="G140" s="17" t="str">
        <x:v>否</x:v>
      </x:c>
      <x:c r="H140" s="18" t="n">
        <x:v>23912.93</x:v>
      </x:c>
      <x:c r="I140" s="18" t="n">
        <x:f>IFERROR(H140/1000,"")</x:f>
        <x:v>23.91293</x:v>
      </x:c>
      <x:c r="J140" s="17" t="n">
        <x:v>6</x:v>
      </x:c>
      <x:c r="K140" s="17" t="str">
        <x:v>成功</x:v>
      </x:c>
      <x:c r="L140" s="17" t="n">
        <x:v>4</x:v>
      </x:c>
      <x:c r="M140" s="17" t="n">
        <x:v>4</x:v>
      </x:c>
      <x:c r="N140" s="17" t="n">
        <x:v>0</x:v>
      </x:c>
      <x:c r="O140" s="17" t="n">
        <x:v>0</x:v>
      </x:c>
      <x:c r="P140" s="17" t="n">
        <x:v>0</x:v>
      </x:c>
      <x:c r="Q140" s="17" t="n">
        <x:v>0</x:v>
      </x:c>
      <x:c r="R140" s="19" t="n">
        <x:f>IFERROR((M140+N140)/L140,"")</x:f>
        <x:v>1</x:v>
      </x:c>
      <x:c r="S140" s="17" t="n">
        <x:v>0</x:v>
      </x:c>
      <x:c r="T140" s="17" t="n">
        <x:v>0</x:v>
      </x:c>
      <x:c r="U140" s="17" t="n">
        <x:v>9538</x:v>
      </x:c>
      <x:c r="V140" s="17" t="str">
        <x:v>部分正确</x:v>
      </x:c>
      <x:c r="W140" s="19" t="n">
        <x:v>1</x:v>
      </x:c>
      <x:c r="X140" s="17" t="str">
        <x:v>否</x:v>
      </x:c>
      <x:c r="Y140" s="17" t="str"/>
      <x:c r="Z140" s="17" t="str">
        <x:v>半导体板块最近10个交易日累计上涨 **6.26%**。</x:v>
      </x:c>
      <x:c r="AA140" s="17" t="str"/>
      <x:c r="AB140" s="17" t="n">
        <x:v>46235.85202528935</x:v>
      </x:c>
      <x:c r="AC140" s="17" t="n">
        <x:v>46235.85230207176</x:v>
      </x:c>
      <x:c r="AD140" s="17" t="str">
        <x:v>analysis.json</x:v>
      </x:c>
      <x:c r="AE140" s="18" t="n">
        <x:v>16418</x:v>
      </x:c>
      <x:c r="AF140" s="18" t="n">
        <x:v>7494.93</x:v>
      </x:c>
      <x:c r="AG140" s="18" t="n">
        <x:v>835.08</x:v>
      </x:c>
      <x:c r="AH140" s="18" t="n">
        <x:v>5431.7</x:v>
      </x:c>
      <x:c r="AI140" s="17" t="n">
        <x:v>6</x:v>
      </x:c>
      <x:c r="AJ140" s="17" t="n">
        <x:v>1</x:v>
      </x:c>
      <x:c r="AK140" s="19" t="n">
        <x:v>1</x:v>
      </x:c>
      <x:c r="AL140" s="19" t="n">
        <x:v>1</x:v>
      </x:c>
      <x:c r="AM140" s="19" t="n">
        <x:v>0</x:v>
      </x:c>
      <x:c r="AN140" s="17" t="str">
        <x:v>[
  "plate.basic_info",
  "plate.quote.kd_pct_sum"
]</x:v>
      </x:c>
    </x:row>
    <x:row r="141" ht="58" customHeight="1">
      <x:c r="A141" s="17" t="str">
        <x:v>BUS137</x:v>
      </x:c>
      <x:c r="B141" s="17" t="str">
        <x:v>过去20个交易日累计涨幅最高的板块前10名。</x:v>
      </x:c>
      <x:c r="C141" s="17" t="str">
        <x:v>plate</x:v>
      </x:c>
      <x:c r="D141" s="17" t="str">
        <x:v>plate.quote</x:v>
      </x:c>
      <x:c r="E141" s="17" t="str"/>
      <x:c r="F141" s="17" t="str">
        <x:v>financial_qa_cc</x:v>
      </x:c>
      <x:c r="G141" s="17" t="str">
        <x:v>否</x:v>
      </x:c>
      <x:c r="H141" s="18" t="n">
        <x:v>24096.64</x:v>
      </x:c>
      <x:c r="I141" s="18" t="n">
        <x:f>IFERROR(H141/1000,"")</x:f>
        <x:v>24.09664</x:v>
      </x:c>
      <x:c r="J141" s="17" t="n">
        <x:v>7</x:v>
      </x:c>
      <x:c r="K141" s="17" t="str">
        <x:v>成功</x:v>
      </x:c>
      <x:c r="L141" s="17" t="n">
        <x:v>3</x:v>
      </x:c>
      <x:c r="M141" s="17" t="n">
        <x:v>3</x:v>
      </x:c>
      <x:c r="N141" s="17" t="n">
        <x:v>0</x:v>
      </x:c>
      <x:c r="O141" s="17" t="n">
        <x:v>0</x:v>
      </x:c>
      <x:c r="P141" s="17" t="n">
        <x:v>0</x:v>
      </x:c>
      <x:c r="Q141" s="17" t="n">
        <x:v>0</x:v>
      </x:c>
      <x:c r="R141" s="19" t="n">
        <x:f>IFERROR((M141+N141)/L141,"")</x:f>
        <x:v>1</x:v>
      </x:c>
      <x:c r="S141" s="17" t="n">
        <x:v>0</x:v>
      </x:c>
      <x:c r="T141" s="17" t="n">
        <x:v>0</x:v>
      </x:c>
      <x:c r="U141" s="17" t="n">
        <x:v>7980</x:v>
      </x:c>
      <x:c r="V141" s="17" t="str">
        <x:v>正确</x:v>
      </x:c>
      <x:c r="W141" s="19" t="n">
        <x:v>1</x:v>
      </x:c>
      <x:c r="X141" s="17" t="str">
        <x:v>否</x:v>
      </x:c>
      <x:c r="Y141" s="17" t="str"/>
      <x:c r="Z141" s="17" t="str">
        <x:v>过去20个交易日累计涨幅最高的板块前10名如下：
| 排名 | 板块 | 累计涨幅 |
|:---:|:---|:---:|
| 1 | **水电** | **+8.48%** |
| 2 | 兵装重组概念 | +7.16% |
| 3 | 胃肠道中成药 | +6.74% |
| 4 | 银行 | +5.10% |
| 5 | 港口 | +4.98% |
| 6 | 蓝箭航天 | +3.75% |
| 7 | 兵器装备集团 | +3.44% |
| 8 | 遥感测控 | +3.27% |
| 9 | 火箭发射 | +3.16% |
| 10 | 证金(国家队) | +2.85% |
**水电板块**以8.48%的涨幅领跑，显著领先其他板块；**兵装重组概念**和**胃肠道中成药**分列二三位，涨幅在6.7%–7.2%之间。银行、港口等传统板块也有不错表现，而航天军工相关概念（蓝箭航天、遥感测控、火箭发射）集体上榜，呈现一定的主题轮动特征。</x:v>
      </x:c>
      <x:c r="AA141" s="17" t="str"/>
      <x:c r="AB141" s="17" t="n">
        <x:v>46235.8522621875</x:v>
      </x:c>
      <x:c r="AC141" s="17" t="n">
        <x:v>46235.85254108797</x:v>
      </x:c>
      <x:c r="AD141" s="17" t="str">
        <x:v>analysis.json</x:v>
      </x:c>
      <x:c r="AE141" s="18" t="n">
        <x:v>15860</x:v>
      </x:c>
      <x:c r="AF141" s="18" t="n">
        <x:v>8236.64</x:v>
      </x:c>
      <x:c r="AG141" s="18" t="n">
        <x:v>837.81</x:v>
      </x:c>
      <x:c r="AH141" s="18" t="n">
        <x:v>5496.09</x:v>
      </x:c>
      <x:c r="AI141" s="17" t="n">
        <x:v>7</x:v>
      </x:c>
      <x:c r="AJ141" s="17" t="n">
        <x:v>1</x:v>
      </x:c>
      <x:c r="AK141" s="19" t="n">
        <x:v>1</x:v>
      </x:c>
      <x:c r="AL141" s="19" t="n">
        <x:v>1</x:v>
      </x:c>
      <x:c r="AM141" s="19" t="n">
        <x:v>0</x:v>
      </x:c>
      <x:c r="AN141" s="17" t="str">
        <x:v>[
  "plate.quote.kd_pct_sum"
]</x:v>
      </x:c>
    </x:row>
    <x:row r="142" ht="58" customHeight="1">
      <x:c r="A142" s="17" t="str">
        <x:v>BUS138</x:v>
      </x:c>
      <x:c r="B142" s="17" t="str">
        <x:v>查询证券板块当前开盘价、最高价、最低价和最新价。</x:v>
      </x:c>
      <x:c r="C142" s="17" t="str">
        <x:v>plate</x:v>
      </x:c>
      <x:c r="D142" s="17" t="str">
        <x:v>plate.quote</x:v>
      </x:c>
      <x:c r="E142" s="17" t="str"/>
      <x:c r="F142" s="17" t="str">
        <x:v>financial_qa_cc</x:v>
      </x:c>
      <x:c r="G142" s="17" t="str">
        <x:v>否</x:v>
      </x:c>
      <x:c r="H142" s="18" t="n">
        <x:v>23331.67</x:v>
      </x:c>
      <x:c r="I142" s="18" t="n">
        <x:f>IFERROR(H142/1000,"")</x:f>
        <x:v>23.33167</x:v>
      </x:c>
      <x:c r="J142" s="17" t="n">
        <x:v>6</x:v>
      </x:c>
      <x:c r="K142" s="17" t="str">
        <x:v>成功</x:v>
      </x:c>
      <x:c r="L142" s="17" t="n">
        <x:v>4</x:v>
      </x:c>
      <x:c r="M142" s="17" t="n">
        <x:v>4</x:v>
      </x:c>
      <x:c r="N142" s="17" t="n">
        <x:v>0</x:v>
      </x:c>
      <x:c r="O142" s="17" t="n">
        <x:v>0</x:v>
      </x:c>
      <x:c r="P142" s="17" t="n">
        <x:v>0</x:v>
      </x:c>
      <x:c r="Q142" s="17" t="n">
        <x:v>0</x:v>
      </x:c>
      <x:c r="R142" s="19" t="n">
        <x:f>IFERROR((M142+N142)/L142,"")</x:f>
        <x:v>1</x:v>
      </x:c>
      <x:c r="S142" s="17" t="n">
        <x:v>0</x:v>
      </x:c>
      <x:c r="T142" s="17" t="n">
        <x:v>0</x:v>
      </x:c>
      <x:c r="U142" s="17" t="n">
        <x:v>7913</x:v>
      </x:c>
      <x:c r="V142" s="17" t="str">
        <x:v>部分正确</x:v>
      </x:c>
      <x:c r="W142" s="19" t="n">
        <x:v>1</x:v>
      </x:c>
      <x:c r="X142" s="17" t="str">
        <x:v>否</x:v>
      </x:c>
      <x:c r="Y142" s="17" t="str"/>
      <x:c r="Z142" s="17" t="str">
        <x:v>证券板块（代码 884162）当前行情数据如下：
| 指标 | 点位 |
|------|------|
| **开盘价** | 998.85 |
| **最高价** | 1,009.55 |
| **最低价** | 992.73 |
| **最新价** | 1,008.98 |
| 涨跌幅 | +0.91% |
板块全天低开高走，开盘 998.85 后下探至 992.73，随后回升并收于 1,008.98，盘中振幅约 1.69%。</x:v>
      </x:c>
      <x:c r="AA142" s="17" t="str"/>
      <x:c r="AB142" s="17" t="n">
        <x:v>46235.85234320602</x:v>
      </x:c>
      <x:c r="AC142" s="17" t="n">
        <x:v>46235.85261325232</x:v>
      </x:c>
      <x:c r="AD142" s="17" t="str">
        <x:v>analysis.json</x:v>
      </x:c>
      <x:c r="AE142" s="18" t="n">
        <x:v>15212</x:v>
      </x:c>
      <x:c r="AF142" s="18" t="n">
        <x:v>8119.67</x:v>
      </x:c>
      <x:c r="AG142" s="18" t="n">
        <x:v>763.95</x:v>
      </x:c>
      <x:c r="AH142" s="18" t="n">
        <x:v>5552.68</x:v>
      </x:c>
      <x:c r="AI142" s="17" t="n">
        <x:v>6</x:v>
      </x:c>
      <x:c r="AJ142" s="17" t="n">
        <x:v>1</x:v>
      </x:c>
      <x:c r="AK142" s="19" t="n">
        <x:v>1</x:v>
      </x:c>
      <x:c r="AL142" s="19" t="n">
        <x:v>1</x:v>
      </x:c>
      <x:c r="AM142" s="19" t="n">
        <x:v>0</x:v>
      </x:c>
      <x:c r="AN142" s="17" t="str">
        <x:v>[
  "plate.basic_info",
  "plate.quote"
]</x:v>
      </x:c>
    </x:row>
    <x:row r="143" ht="58" customHeight="1">
      <x:c r="A143" s="17" t="str">
        <x:v>BUS139</x:v>
      </x:c>
      <x:c r="B143" s="17" t="str">
        <x:v>今天主力净流入最高的板块前20名。</x:v>
      </x:c>
      <x:c r="C143" s="17" t="str">
        <x:v>plate</x:v>
      </x:c>
      <x:c r="D143" s="17" t="str">
        <x:v>plate.moneyflow</x:v>
      </x:c>
      <x:c r="E143" s="17" t="str"/>
      <x:c r="F143" s="17" t="str">
        <x:v>financial_qa_cc</x:v>
      </x:c>
      <x:c r="G143" s="17" t="str">
        <x:v>否</x:v>
      </x:c>
      <x:c r="H143" s="18" t="n">
        <x:v>23124.21</x:v>
      </x:c>
      <x:c r="I143" s="18" t="n">
        <x:f>IFERROR(H143/1000,"")</x:f>
        <x:v>23.124209999999998</x:v>
      </x:c>
      <x:c r="J143" s="17" t="n">
        <x:v>6</x:v>
      </x:c>
      <x:c r="K143" s="17" t="str">
        <x:v>成功</x:v>
      </x:c>
      <x:c r="L143" s="17" t="n">
        <x:v>2</x:v>
      </x:c>
      <x:c r="M143" s="17" t="n">
        <x:v>2</x:v>
      </x:c>
      <x:c r="N143" s="17" t="n">
        <x:v>0</x:v>
      </x:c>
      <x:c r="O143" s="17" t="n">
        <x:v>0</x:v>
      </x:c>
      <x:c r="P143" s="17" t="n">
        <x:v>0</x:v>
      </x:c>
      <x:c r="Q143" s="17" t="n">
        <x:v>0</x:v>
      </x:c>
      <x:c r="R143" s="19" t="n">
        <x:f>IFERROR((M143+N143)/L143,"")</x:f>
        <x:v>1</x:v>
      </x:c>
      <x:c r="S143" s="17" t="n">
        <x:v>0</x:v>
      </x:c>
      <x:c r="T143" s="17" t="n">
        <x:v>0</x:v>
      </x:c>
      <x:c r="U143" s="17" t="n">
        <x:v>6543</x:v>
      </x:c>
      <x:c r="V143" s="17" t="str">
        <x:v>错误</x:v>
      </x:c>
      <x:c r="W143" s="19" t="n">
        <x:v>0.9</x:v>
      </x:c>
      <x:c r="X143" s="17" t="str">
        <x:v>否</x:v>
      </x:c>
      <x:c r="Y143" s="17" t="str"/>
      <x:c r="Z143" s="17" t="str">
        <x:v>查询结果为空。最近一个交易日（2026年7月31日，周五）的板块资金流数据在当前数据源中未返回记录，因此无法提供主力净流入最高的板块排名。
这可能是因为板块级别的资金流数据在当日暂未收录或数据源未覆盖该日期的板块资金流向。建议关注交易日（周一至周五）盘中或盘后实时查询，数据会更完整。</x:v>
      </x:c>
      <x:c r="AA143" s="17" t="str"/>
      <x:c r="AB143" s="17" t="n">
        <x:v>46235.85257736111</x:v>
      </x:c>
      <x:c r="AC143" s="17" t="n">
        <x:v>46235.852845023146</x:v>
      </x:c>
      <x:c r="AD143" s="17" t="str">
        <x:v>analysis.json</x:v>
      </x:c>
      <x:c r="AE143" s="18" t="n">
        <x:v>13484</x:v>
      </x:c>
      <x:c r="AF143" s="18" t="n">
        <x:v>9640.21</x:v>
      </x:c>
      <x:c r="AG143" s="18" t="n">
        <x:v>865.6</x:v>
      </x:c>
      <x:c r="AH143" s="18" t="n">
        <x:v>7401.71</x:v>
      </x:c>
      <x:c r="AI143" s="17" t="n">
        <x:v>6</x:v>
      </x:c>
      <x:c r="AJ143" s="17" t="n">
        <x:v>1</x:v>
      </x:c>
      <x:c r="AK143" s="19" t="n">
        <x:v>1</x:v>
      </x:c>
      <x:c r="AL143" s="19" t="n">
        <x:v>1</x:v>
      </x:c>
      <x:c r="AM143" s="19" t="n">
        <x:v>0</x:v>
      </x:c>
      <x:c r="AN143" s="17" t="str">
        <x:v>[
  "plate.moneyflow"
]</x:v>
      </x:c>
    </x:row>
    <x:row r="144" ht="58" customHeight="1">
      <x:c r="A144" s="17" t="str">
        <x:v>BUS140</x:v>
      </x:c>
      <x:c r="B144" s="17" t="str">
        <x:v>查询人工智能板块最新主力净额和主力净占比。</x:v>
      </x:c>
      <x:c r="C144" s="17" t="str">
        <x:v>plate</x:v>
      </x:c>
      <x:c r="D144" s="17" t="str">
        <x:v>plate.basic_info, plate.moneyflow</x:v>
      </x:c>
      <x:c r="E144" s="17" t="str"/>
      <x:c r="F144" s="17" t="str">
        <x:v>financial_qa_cc</x:v>
      </x:c>
      <x:c r="G144" s="17" t="str">
        <x:v>否</x:v>
      </x:c>
      <x:c r="H144" s="18" t="n">
        <x:v>29543.21</x:v>
      </x:c>
      <x:c r="I144" s="18" t="n">
        <x:f>IFERROR(H144/1000,"")</x:f>
        <x:v>29.54321</x:v>
      </x:c>
      <x:c r="J144" s="17" t="n">
        <x:v>7</x:v>
      </x:c>
      <x:c r="K144" s="17" t="str">
        <x:v>成功</x:v>
      </x:c>
      <x:c r="L144" s="17" t="n">
        <x:v>6</x:v>
      </x:c>
      <x:c r="M144" s="17" t="n">
        <x:v>5</x:v>
      </x:c>
      <x:c r="N144" s="17" t="n">
        <x:v>0</x:v>
      </x:c>
      <x:c r="O144" s="17" t="n">
        <x:v>1</x:v>
      </x:c>
      <x:c r="P144" s="17" t="n">
        <x:v>0</x:v>
      </x:c>
      <x:c r="Q144" s="17" t="n">
        <x:v>0</x:v>
      </x:c>
      <x:c r="R144" s="19" t="n">
        <x:f>IFERROR((M144+N144)/L144,"")</x:f>
        <x:v>0.8333333333333334</x:v>
      </x:c>
      <x:c r="S144" s="17" t="n">
        <x:v>0</x:v>
      </x:c>
      <x:c r="T144" s="17" t="n">
        <x:v>0</x:v>
      </x:c>
      <x:c r="U144" s="17" t="n">
        <x:v>17440</x:v>
      </x:c>
      <x:c r="V144" s="17" t="str">
        <x:v>部分正确</x:v>
      </x:c>
      <x:c r="W144" s="19" t="n">
        <x:v>0.95</x:v>
      </x:c>
      <x:c r="X144" s="17" t="str">
        <x:v>否</x:v>
      </x:c>
      <x:c r="Y144" s="17" t="str"/>
      <x:c r="Z144" s="17" t="str">
        <x:v>人工智能板块（882347）最新主力资金数据如下：
**主力净流入：27.09 亿元**，**主力净流入占比：19.82%**，数据日期为 2026-07-27。
- 主力净额 27.09 亿元，说明当天超大单和大单资金整体在积极买入人工智能板块。
- 主力净占比 19.82%，意味着主力资金净流入额占该板块当日总成交额的比例接近两成，资金参与度较高，属于明显的主动流入信号。
近5日主力净额合计同样为 27.09 亿元，说明该区间内主力资金呈净流入态势，没有出现明显的多日分歧。</x:v>
      </x:c>
      <x:c r="AA144" s="17" t="str"/>
      <x:c r="AB144" s="17" t="n">
        <x:v>46235.852663136575</x:v>
      </x:c>
      <x:c r="AC144" s="17" t="n">
        <x:v>46235.853005069446</x:v>
      </x:c>
      <x:c r="AD144" s="17" t="str">
        <x:v>analysis.json</x:v>
      </x:c>
      <x:c r="AE144" s="18" t="n">
        <x:v>19777</x:v>
      </x:c>
      <x:c r="AF144" s="18" t="n">
        <x:v>9766.21</x:v>
      </x:c>
      <x:c r="AG144" s="18" t="n">
        <x:v>837.12</x:v>
      </x:c>
      <x:c r="AH144" s="18" t="n">
        <x:v>5528.13</x:v>
      </x:c>
      <x:c r="AI144" s="17" t="n">
        <x:v>7</x:v>
      </x:c>
      <x:c r="AJ144" s="17" t="n">
        <x:v>1</x:v>
      </x:c>
      <x:c r="AK144" s="19" t="n">
        <x:v>0.8333</x:v>
      </x:c>
      <x:c r="AL144" s="19" t="n">
        <x:v>0.8333</x:v>
      </x:c>
      <x:c r="AM144" s="19" t="n">
        <x:v>0.1667</x:v>
      </x:c>
      <x:c r="AN144" s="17" t="str">
        <x:v>[
  "plate.basic_info",
  "plate.moneyflow",
  "plate.moneyflow.kd_main_net_sum"
]</x:v>
      </x:c>
    </x:row>
    <x:row r="145" ht="58" customHeight="1">
      <x:c r="A145" s="17" t="str">
        <x:v>BUS141</x:v>
      </x:c>
      <x:c r="B145" s="17" t="str">
        <x:v>近5日主力净流入合计最高的板块前10名。</x:v>
      </x:c>
      <x:c r="C145" s="17" t="str">
        <x:v>plate</x:v>
      </x:c>
      <x:c r="D145" s="17" t="str">
        <x:v>plate.moneyflow</x:v>
      </x:c>
      <x:c r="E145" s="17" t="str"/>
      <x:c r="F145" s="17" t="str">
        <x:v>financial_qa_cc</x:v>
      </x:c>
      <x:c r="G145" s="17" t="str">
        <x:v>否</x:v>
      </x:c>
      <x:c r="H145" s="18" t="n">
        <x:v>24993.26</x:v>
      </x:c>
      <x:c r="I145" s="18" t="n">
        <x:f>IFERROR(H145/1000,"")</x:f>
        <x:v>24.99326</x:v>
      </x:c>
      <x:c r="J145" s="17" t="n">
        <x:v>6</x:v>
      </x:c>
      <x:c r="K145" s="17" t="str">
        <x:v>成功</x:v>
      </x:c>
      <x:c r="L145" s="17" t="n">
        <x:v>3</x:v>
      </x:c>
      <x:c r="M145" s="17" t="n">
        <x:v>3</x:v>
      </x:c>
      <x:c r="N145" s="17" t="n">
        <x:v>0</x:v>
      </x:c>
      <x:c r="O145" s="17" t="n">
        <x:v>0</x:v>
      </x:c>
      <x:c r="P145" s="17" t="n">
        <x:v>0</x:v>
      </x:c>
      <x:c r="Q145" s="17" t="n">
        <x:v>0</x:v>
      </x:c>
      <x:c r="R145" s="19" t="n">
        <x:f>IFERROR((M145+N145)/L145,"")</x:f>
        <x:v>1</x:v>
      </x:c>
      <x:c r="S145" s="17" t="n">
        <x:v>0</x:v>
      </x:c>
      <x:c r="T145" s="17" t="n">
        <x:v>0</x:v>
      </x:c>
      <x:c r="U145" s="17" t="n">
        <x:v>8474</x:v>
      </x:c>
      <x:c r="V145" s="17" t="str">
        <x:v>部分正确</x:v>
      </x:c>
      <x:c r="W145" s="19" t="n">
        <x:v>1</x:v>
      </x:c>
      <x:c r="X145" s="17" t="str">
        <x:v>否</x:v>
      </x:c>
      <x:c r="Y145" s="17" t="str"/>
      <x:c r="Z145" s="17" t="str">
        <x:v>近5个交易日（截至8月1日）主力净流入合计最高的板块前10名如下：
| 排名 | 板块 | 近5日主力净流入合计 |
|:---:|:---|:---:|
| 1 | 融资融券 | 991.63 亿 |
| 2 | 电子 | 939.85 亿 |
| 3 | 预盈预增 | 884.93 亿 |
| 4 | 新股及次新股 | 817.62 亿 |
| 5 | 注册制次新股 | 817.62 亿 |
| 6 | 半导体 | 793.69 亿 |
| 7 | 国家大基金持股 | 776.92 亿 |
| 8 | 存储芯片 | 772.69 亿 |
| 9 | DRAM | 766.00 亿 |
| 10 | 深股通 | 156.49 亿 |
**要点**：融资融券板块以近992亿的主力净流入居首，但该板块更多是交易属性标签。剔除融资融券后，**电子**（940亿）、**半导体**（794亿）及存储芯片、DRAM等相关板块均位居前列，反映出近一周资金高度集中在以半导体为核心的科技方向。预盈预增板块（885亿）也显示出资金对业绩确定性标的的偏好。</x:v>
      </x:c>
      <x:c r="AA145" s="17" t="str"/>
      <x:c r="AB145" s="17" t="n">
        <x:v>46235.852887581015</x:v>
      </x:c>
      <x:c r="AC145" s="17" t="n">
        <x:v>46235.85317686343</x:v>
      </x:c>
      <x:c r="AD145" s="17" t="str">
        <x:v>analysis.json</x:v>
      </x:c>
      <x:c r="AE145" s="18" t="n">
        <x:v>16882</x:v>
      </x:c>
      <x:c r="AF145" s="18" t="n">
        <x:v>8111.26</x:v>
      </x:c>
      <x:c r="AG145" s="18" t="n">
        <x:v>888.44</x:v>
      </x:c>
      <x:c r="AH145" s="18" t="n">
        <x:v>5716.3</x:v>
      </x:c>
      <x:c r="AI145" s="17" t="n">
        <x:v>6</x:v>
      </x:c>
      <x:c r="AJ145" s="17" t="n">
        <x:v>1</x:v>
      </x:c>
      <x:c r="AK145" s="19" t="n">
        <x:v>1</x:v>
      </x:c>
      <x:c r="AL145" s="19" t="n">
        <x:v>1</x:v>
      </x:c>
      <x:c r="AM145" s="19" t="n">
        <x:v>0</x:v>
      </x:c>
      <x:c r="AN145" s="17" t="str">
        <x:v>[
  "plate.moneyflow.kd_main_net_sum"
]</x:v>
      </x:c>
    </x:row>
    <x:row r="146" ht="58" customHeight="1">
      <x:c r="A146" s="17" t="str">
        <x:v>BUS142</x:v>
      </x:c>
      <x:c r="B146" s="17" t="str">
        <x:v>筛选大单净额为正且主力净占比超过5%的板块。</x:v>
      </x:c>
      <x:c r="C146" s="17" t="str">
        <x:v>plate</x:v>
      </x:c>
      <x:c r="D146" s="17" t="str">
        <x:v>plate.moneyflow</x:v>
      </x:c>
      <x:c r="E146" s="17" t="str"/>
      <x:c r="F146" s="17" t="str">
        <x:v>financial_qa_cc</x:v>
      </x:c>
      <x:c r="G146" s="17" t="str">
        <x:v>否</x:v>
      </x:c>
      <x:c r="H146" s="18" t="n">
        <x:v>23624.21</x:v>
      </x:c>
      <x:c r="I146" s="18" t="n">
        <x:f>IFERROR(H146/1000,"")</x:f>
        <x:v>23.624209999999998</x:v>
      </x:c>
      <x:c r="J146" s="17" t="n">
        <x:v>3</x:v>
      </x:c>
      <x:c r="K146" s="17" t="str">
        <x:v>成功</x:v>
      </x:c>
      <x:c r="L146" s="17" t="n">
        <x:v>2</x:v>
      </x:c>
      <x:c r="M146" s="17" t="n">
        <x:v>2</x:v>
      </x:c>
      <x:c r="N146" s="17" t="n">
        <x:v>0</x:v>
      </x:c>
      <x:c r="O146" s="17" t="n">
        <x:v>0</x:v>
      </x:c>
      <x:c r="P146" s="17" t="n">
        <x:v>0</x:v>
      </x:c>
      <x:c r="Q146" s="17" t="n">
        <x:v>0</x:v>
      </x:c>
      <x:c r="R146" s="19" t="n">
        <x:f>IFERROR((M146+N146)/L146,"")</x:f>
        <x:v>1</x:v>
      </x:c>
      <x:c r="S146" s="17" t="n">
        <x:v>0</x:v>
      </x:c>
      <x:c r="T146" s="17" t="n">
        <x:v>0</x:v>
      </x:c>
      <x:c r="U146" s="17" t="n">
        <x:v>14158</x:v>
      </x:c>
      <x:c r="V146" s="17" t="str">
        <x:v>错误</x:v>
      </x:c>
      <x:c r="W146" s="19" t="n">
        <x:v>0.9</x:v>
      </x:c>
      <x:c r="X146" s="17" t="str">
        <x:v>否</x:v>
      </x:c>
      <x:c r="Y146" s="17" t="str"/>
      <x:c r="Z146" s="17" t="str">
        <x:v>截至上一个交易日（2026-07-31，周五），**没有板块同时满足大单净额为正且主力净占比超过5%这两个条件**，筛选结果为空。
这通常意味着上周五市场整体资金面偏弱，各板块的主力资金参与度不够积极——要么大单处于净流出状态，要么主力净占比未超过5%的阈值，或两者兼有。</x:v>
      </x:c>
      <x:c r="AA146" s="17" t="str"/>
      <x:c r="AB146" s="17" t="n">
        <x:v>46235.85305070602</x:v>
      </x:c>
      <x:c r="AC146" s="17" t="n">
        <x:v>46235.853324131946</x:v>
      </x:c>
      <x:c r="AD146" s="17" t="str">
        <x:v>analysis.json</x:v>
      </x:c>
      <x:c r="AE146" s="18" t="n">
        <x:v>15138</x:v>
      </x:c>
      <x:c r="AF146" s="18" t="n">
        <x:v>8486.21</x:v>
      </x:c>
      <x:c r="AG146" s="18" t="n">
        <x:v>844.47</x:v>
      </x:c>
      <x:c r="AH146" s="18" t="n">
        <x:v>5429.36</x:v>
      </x:c>
      <x:c r="AI146" s="17" t="n">
        <x:v>3</x:v>
      </x:c>
      <x:c r="AJ146" s="17" t="n">
        <x:v>1</x:v>
      </x:c>
      <x:c r="AK146" s="19" t="n">
        <x:v>1</x:v>
      </x:c>
      <x:c r="AL146" s="19" t="n">
        <x:v>1</x:v>
      </x:c>
      <x:c r="AM146" s="19" t="n">
        <x:v>0</x:v>
      </x:c>
      <x:c r="AN146" s="17" t="str">
        <x:v>[
  "plate.moneyflow"
]</x:v>
      </x:c>
    </x:row>
    <x:row r="147" ht="58" customHeight="1">
      <x:c r="A147" s="17" t="str">
        <x:v>BUS143</x:v>
      </x:c>
      <x:c r="B147" s="17" t="str">
        <x:v>查询半导体板块最近10日主力净流入。</x:v>
      </x:c>
      <x:c r="C147" s="17" t="str">
        <x:v>plate</x:v>
      </x:c>
      <x:c r="D147" s="17" t="str">
        <x:v>plate.moneyflow</x:v>
      </x:c>
      <x:c r="E147" s="17" t="str"/>
      <x:c r="F147" s="17" t="str">
        <x:v>financial_qa_cc</x:v>
      </x:c>
      <x:c r="G147" s="17" t="str">
        <x:v>否</x:v>
      </x:c>
      <x:c r="H147" s="18" t="n">
        <x:v>34308.57</x:v>
      </x:c>
      <x:c r="I147" s="18" t="n">
        <x:f>IFERROR(H147/1000,"")</x:f>
        <x:v>34.30857</x:v>
      </x:c>
      <x:c r="J147" s="17" t="n">
        <x:v>8</x:v>
      </x:c>
      <x:c r="K147" s="17" t="str">
        <x:v>成功</x:v>
      </x:c>
      <x:c r="L147" s="17" t="n">
        <x:v>6</x:v>
      </x:c>
      <x:c r="M147" s="17" t="n">
        <x:v>4</x:v>
      </x:c>
      <x:c r="N147" s="17" t="n">
        <x:v>1</x:v>
      </x:c>
      <x:c r="O147" s="17" t="n">
        <x:v>1</x:v>
      </x:c>
      <x:c r="P147" s="17" t="n">
        <x:v>0</x:v>
      </x:c>
      <x:c r="Q147" s="17" t="n">
        <x:v>0</x:v>
      </x:c>
      <x:c r="R147" s="19" t="n">
        <x:f>IFERROR((M147+N147)/L147,"")</x:f>
        <x:v>0.8333333333333334</x:v>
      </x:c>
      <x:c r="S147" s="17" t="n">
        <x:v>0</x:v>
      </x:c>
      <x:c r="T147" s="17" t="n">
        <x:v>0</x:v>
      </x:c>
      <x:c r="U147" s="17" t="n">
        <x:v>11944</x:v>
      </x:c>
      <x:c r="V147" s="17" t="str">
        <x:v>正确</x:v>
      </x:c>
      <x:c r="W147" s="19" t="n">
        <x:v>0.9545454545454546</x:v>
      </x:c>
      <x:c r="X147" s="17" t="str">
        <x:v>否</x:v>
      </x:c>
      <x:c r="Y147" s="17" t="str"/>
      <x:c r="Z147" s="17" t="str">
        <x:v>半导体板块（883720）最近10个交易日主力资金净流入合计 **488.49 亿元**，说明近两周主力资金整体呈明显的净流入态势。</x:v>
      </x:c>
      <x:c r="AA147" s="17" t="str"/>
      <x:c r="AB147" s="17" t="n">
        <x:v>46235.853226493055</x:v>
      </x:c>
      <x:c r="AC147" s="17" t="n">
        <x:v>46235.853623587966</x:v>
      </x:c>
      <x:c r="AD147" s="17" t="str">
        <x:v>analysis.json</x:v>
      </x:c>
      <x:c r="AE147" s="18" t="n">
        <x:v>22977</x:v>
      </x:c>
      <x:c r="AF147" s="18" t="n">
        <x:v>11331.57</x:v>
      </x:c>
      <x:c r="AG147" s="18" t="n">
        <x:v>862.35</x:v>
      </x:c>
      <x:c r="AH147" s="18" t="n">
        <x:v>7235.38</x:v>
      </x:c>
      <x:c r="AI147" s="17" t="n">
        <x:v>8</x:v>
      </x:c>
      <x:c r="AJ147" s="17" t="n">
        <x:v>1</x:v>
      </x:c>
      <x:c r="AK147" s="19" t="n">
        <x:v>0.6667</x:v>
      </x:c>
      <x:c r="AL147" s="19" t="n">
        <x:v>0.8333</x:v>
      </x:c>
      <x:c r="AM147" s="19" t="n">
        <x:v>0.1667</x:v>
      </x:c>
      <x:c r="AN147" s="17" t="str">
        <x:v>[
  "plate.basic_info",
  "plate.moneyflow.kd_main_net_sum"
]</x:v>
      </x:c>
    </x:row>
    <x:row r="148" ht="58" customHeight="1">
      <x:c r="A148" s="17" t="str">
        <x:v>BUS144</x:v>
      </x:c>
      <x:c r="B148" s="17" t="str">
        <x:v>今天超大单买入额最高的板块前10名。</x:v>
      </x:c>
      <x:c r="C148" s="17" t="str">
        <x:v>plate</x:v>
      </x:c>
      <x:c r="D148" s="17" t="str">
        <x:v>plate.moneyflow</x:v>
      </x:c>
      <x:c r="E148" s="17" t="str"/>
      <x:c r="F148" s="17" t="str">
        <x:v>financial_qa_cc</x:v>
      </x:c>
      <x:c r="G148" s="17" t="str">
        <x:v>否</x:v>
      </x:c>
      <x:c r="H148" s="18" t="n">
        <x:v>27819.52</x:v>
      </x:c>
      <x:c r="I148" s="18" t="n">
        <x:f>IFERROR(H148/1000,"")</x:f>
        <x:v>27.81952</x:v>
      </x:c>
      <x:c r="J148" s="17" t="n">
        <x:v>6</x:v>
      </x:c>
      <x:c r="K148" s="17" t="str">
        <x:v>成功</x:v>
      </x:c>
      <x:c r="L148" s="17" t="n">
        <x:v>2</x:v>
      </x:c>
      <x:c r="M148" s="17" t="n">
        <x:v>2</x:v>
      </x:c>
      <x:c r="N148" s="17" t="n">
        <x:v>0</x:v>
      </x:c>
      <x:c r="O148" s="17" t="n">
        <x:v>0</x:v>
      </x:c>
      <x:c r="P148" s="17" t="n">
        <x:v>0</x:v>
      </x:c>
      <x:c r="Q148" s="17" t="n">
        <x:v>0</x:v>
      </x:c>
      <x:c r="R148" s="19" t="n">
        <x:f>IFERROR((M148+N148)/L148,"")</x:f>
        <x:v>1</x:v>
      </x:c>
      <x:c r="S148" s="17" t="n">
        <x:v>0</x:v>
      </x:c>
      <x:c r="T148" s="17" t="n">
        <x:v>0</x:v>
      </x:c>
      <x:c r="U148" s="17" t="n">
        <x:v>8013</x:v>
      </x:c>
      <x:c r="V148" s="17" t="str">
        <x:v>错误</x:v>
      </x:c>
      <x:c r="W148" s="19" t="n">
        <x:v>0.9</x:v>
      </x:c>
      <x:c r="X148" s="17" t="str">
        <x:v>否</x:v>
      </x:c>
      <x:c r="Y148" s="17" t="str"/>
      <x:c r="Z148" s="17" t="str">
        <x:v>今天（2026-08-02，周日）A股市场休市，数据源对应的最近交易日为 **2026年7月31日（周五）**。在该日期下，板块资金流向数据未返回记录，当前数据源暂未提供板块级别的超大单买入额数据，因此无法列出前10名。</x:v>
      </x:c>
      <x:c r="AA148" s="17" t="str"/>
      <x:c r="AB148" s="17" t="n">
        <x:v>46235.85338324074</x:v>
      </x:c>
      <x:c r="AC148" s="17" t="n">
        <x:v>46235.85370523148</x:v>
      </x:c>
      <x:c r="AD148" s="17" t="str">
        <x:v>analysis.json</x:v>
      </x:c>
      <x:c r="AE148" s="18" t="n">
        <x:v>19106</x:v>
      </x:c>
      <x:c r="AF148" s="18" t="n">
        <x:v>8713.52</x:v>
      </x:c>
      <x:c r="AG148" s="18" t="n">
        <x:v>903.52</x:v>
      </x:c>
      <x:c r="AH148" s="18" t="n">
        <x:v>5977.54</x:v>
      </x:c>
      <x:c r="AI148" s="17" t="n">
        <x:v>6</x:v>
      </x:c>
      <x:c r="AJ148" s="17" t="n">
        <x:v>1</x:v>
      </x:c>
      <x:c r="AK148" s="19" t="n">
        <x:v>1</x:v>
      </x:c>
      <x:c r="AL148" s="19" t="n">
        <x:v>1</x:v>
      </x:c>
      <x:c r="AM148" s="19" t="n">
        <x:v>0</x:v>
      </x:c>
      <x:c r="AN148" s="17" t="str">
        <x:v>[
  "plate.moneyflow"
]</x:v>
      </x:c>
    </x:row>
    <x:row r="149" ht="58" customHeight="1">
      <x:c r="A149" s="17" t="str">
        <x:v>BUS145</x:v>
      </x:c>
      <x:c r="B149" s="17" t="str">
        <x:v>查询人工智能板块最新PE_TTM和PB。</x:v>
      </x:c>
      <x:c r="C149" s="17" t="str">
        <x:v>plate</x:v>
      </x:c>
      <x:c r="D149" s="17" t="str">
        <x:v>plate.pricevalue</x:v>
      </x:c>
      <x:c r="E149" s="17" t="str"/>
      <x:c r="F149" s="17" t="str">
        <x:v>financial_qa_cc</x:v>
      </x:c>
      <x:c r="G149" s="17" t="str">
        <x:v>否</x:v>
      </x:c>
      <x:c r="H149" s="18" t="n">
        <x:v>22796.07</x:v>
      </x:c>
      <x:c r="I149" s="18" t="n">
        <x:f>IFERROR(H149/1000,"")</x:f>
        <x:v>22.79607</x:v>
      </x:c>
      <x:c r="J149" s="17" t="n">
        <x:v>6</x:v>
      </x:c>
      <x:c r="K149" s="17" t="str">
        <x:v>成功</x:v>
      </x:c>
      <x:c r="L149" s="17" t="n">
        <x:v>4</x:v>
      </x:c>
      <x:c r="M149" s="17" t="n">
        <x:v>2</x:v>
      </x:c>
      <x:c r="N149" s="17" t="n">
        <x:v>1</x:v>
      </x:c>
      <x:c r="O149" s="17" t="n">
        <x:v>1</x:v>
      </x:c>
      <x:c r="P149" s="17" t="n">
        <x:v>0</x:v>
      </x:c>
      <x:c r="Q149" s="17" t="n">
        <x:v>0</x:v>
      </x:c>
      <x:c r="R149" s="19" t="n">
        <x:f>IFERROR((M149+N149)/L149,"")</x:f>
        <x:v>0.75</x:v>
      </x:c>
      <x:c r="S149" s="17" t="n">
        <x:v>0</x:v>
      </x:c>
      <x:c r="T149" s="17" t="n">
        <x:v>0</x:v>
      </x:c>
      <x:c r="U149" s="17" t="n">
        <x:v>13096</x:v>
      </x:c>
      <x:c r="V149" s="17" t="str">
        <x:v>正确</x:v>
      </x:c>
      <x:c r="W149" s="19" t="n">
        <x:v>0.95</x:v>
      </x:c>
      <x:c r="X149" s="17" t="str">
        <x:v>否</x:v>
      </x:c>
      <x:c r="Y149" s="17" t="str"/>
      <x:c r="Z149" s="17" t="str">
        <x:v>人工智能板块的最新估值数据如下（截至 **2026-07-24** 交易日）：
| 指标 | 数值 |
|------|------|
| **PE_TTM**（滚动市盈率） | **50.7 倍** |
| **PB**（市净率） | **2.92 倍** |
滚动市盈率约 50.7 倍，处于偏高水平，反映市场对人工智能板块整体给予了较高的成长溢价预期；市净率 2.92 倍，说明板块整体资产溢价也在合理偏高区间。两个估值指标结合起来看，市场对人工智能板块的定价主要基于对其未来盈利增长的乐观预期。</x:v>
      </x:c>
      <x:c r="AA149" s="17" t="str"/>
      <x:c r="AB149" s="17" t="n">
        <x:v>46235.85368275463</x:v>
      </x:c>
      <x:c r="AC149" s="17" t="n">
        <x:v>46235.85394659722</x:v>
      </x:c>
      <x:c r="AD149" s="17" t="str">
        <x:v>analysis.json</x:v>
      </x:c>
      <x:c r="AE149" s="18" t="n">
        <x:v>13580</x:v>
      </x:c>
      <x:c r="AF149" s="18" t="n">
        <x:v>9216.07</x:v>
      </x:c>
      <x:c r="AG149" s="18" t="n">
        <x:v>821.93</x:v>
      </x:c>
      <x:c r="AH149" s="18" t="n">
        <x:v>6018.79</x:v>
      </x:c>
      <x:c r="AI149" s="17" t="n">
        <x:v>6</x:v>
      </x:c>
      <x:c r="AJ149" s="17" t="n">
        <x:v>1</x:v>
      </x:c>
      <x:c r="AK149" s="19" t="n">
        <x:v>0.5</x:v>
      </x:c>
      <x:c r="AL149" s="19" t="n">
        <x:v>0.75</x:v>
      </x:c>
      <x:c r="AM149" s="19" t="n">
        <x:v>0.25</x:v>
      </x:c>
      <x:c r="AN149" s="17" t="str">
        <x:v>[
  "plate.basic_info",
  "plate.pricevalue"
]</x:v>
      </x:c>
    </x:row>
    <x:row r="150" ht="58" customHeight="1">
      <x:c r="A150" s="17" t="str">
        <x:v>BUS146</x:v>
      </x:c>
      <x:c r="B150" s="17" t="str">
        <x:v>当前PE_TTM最低的板块前20名。</x:v>
      </x:c>
      <x:c r="C150" s="17" t="str">
        <x:v>plate</x:v>
      </x:c>
      <x:c r="D150" s="17" t="str">
        <x:v>plate.pricevalue</x:v>
      </x:c>
      <x:c r="E150" s="17" t="str"/>
      <x:c r="F150" s="17" t="str">
        <x:v>financial_qa_cc</x:v>
      </x:c>
      <x:c r="G150" s="17" t="str">
        <x:v>否</x:v>
      </x:c>
      <x:c r="H150" s="18" t="n">
        <x:v>36883.5</x:v>
      </x:c>
      <x:c r="I150" s="18" t="n">
        <x:f>IFERROR(H150/1000,"")</x:f>
        <x:v>36.8835</x:v>
      </x:c>
      <x:c r="J150" s="17" t="n">
        <x:v>7</x:v>
      </x:c>
      <x:c r="K150" s="17" t="str">
        <x:v>成功</x:v>
      </x:c>
      <x:c r="L150" s="17" t="n">
        <x:v>4</x:v>
      </x:c>
      <x:c r="M150" s="17" t="n">
        <x:v>3</x:v>
      </x:c>
      <x:c r="N150" s="17" t="n">
        <x:v>0</x:v>
      </x:c>
      <x:c r="O150" s="17" t="n">
        <x:v>1</x:v>
      </x:c>
      <x:c r="P150" s="17" t="n">
        <x:v>0</x:v>
      </x:c>
      <x:c r="Q150" s="17" t="n">
        <x:v>0</x:v>
      </x:c>
      <x:c r="R150" s="19" t="n">
        <x:f>IFERROR((M150+N150)/L150,"")</x:f>
        <x:v>0.75</x:v>
      </x:c>
      <x:c r="S150" s="17" t="n">
        <x:v>0</x:v>
      </x:c>
      <x:c r="T150" s="17" t="n">
        <x:v>0</x:v>
      </x:c>
      <x:c r="U150" s="17" t="n">
        <x:v>11031</x:v>
      </x:c>
      <x:c r="V150" s="17" t="str">
        <x:v>正确</x:v>
      </x:c>
      <x:c r="W150" s="19" t="n">
        <x:v>0.95</x:v>
      </x:c>
      <x:c r="X150" s="17" t="str">
        <x:v>否</x:v>
      </x:c>
      <x:c r="Y150" s="17" t="str"/>
      <x:c r="Z150" s="17" t="str">
        <x:v>以下是当前 PE_TTM（滚动市盈率）最低的前 20 个板块，按 pe_ttm 升序排列。由于这些板块整体净利润为负，PE_TTM 均为负值：
| 排名 | 板块名称 | PE_TTM | PB |
|:---:|:---|:---:|:---:|
| 1 | 压缩空气储能 | **-14,990.77** | 1.37 |
| 2 | 饲料 | **-4,579.35** | 2.17 |
| 3 | 卫星通信 | **-4,036.39** | 5.61 |
| 4 | 航空航天零部件 | **-3,897.22** | 3.16 |
| 5 | 食品安全 | **-3,554.93** | 2.18 |
| 6 | 重组蛋白 | **-3,185.93** | 2.69 |
| 7 | 真人短剧 | **-2,427.25** | 2.36 |
| 8 | 大豆 | **-2,120.03** | 1.56 |
| 9 | 储能热管理器 | **-1,403.90** | 10.41 |
| 10 | AI漫剧 | **-1,271.00** | 2.38 |
| 11 | 鲸鸿动能广告 | **-640.23** | 2.49 |
| 12 | 商业航天 | **-610.41** | 3.60 |
| 13 | 快手概念 | **-534.92** | 5.70 |
| 14 | 华为哈勃投资持股 | **-524.02** | 10.71 |
| 15 | 种子 | **-498.17** | 2.01 |
| 16 | 卫星制造 | **-490.82** | 4.97 |
| 17 | 阿里千问概念 | **-483.27** | 2.77 |
| 18 | 华为鲲鹏 | **-468.52** | 3.19 |
| 19 | 京津冀一体化 | **-438.73** | 1.82 |
| 20 | 虚拟运营商 | **-424.35** | 2.80 |
**要点说明：**
- 这 20 个板块的 PE_TTM 均为负值，说明板块内成分股整体处于亏损或微利状态，导致市盈率失去常规参考意义。
- **压缩空气储能**（-14,990.77）负值幅度最大，主要受板块整体盈利为负影响；其静态 PE LYR 为 54.47 倍，说明历史盈利尚可，但近期的滚动盈利大幅转负。
- **饲料**（-4,579.35）、**卫星通信**（-4,036.39）紧随其后，同样属于板块整体亏损。
- 从 PB 来看，**华为哈勃投资持股**（10.71 倍）和**储能热管理器**（10.41 倍）估值相对较高，说明市场对其资产价值仍有溢价预期；而**压缩空气储能**（1.37 倍）、**大豆**（1.56 倍）等 PB 接近净资产，市场定价相对保守。</x:v>
      </x:c>
      <x:c r="AA150" s="17" t="str"/>
      <x:c r="AB150" s="17" t="n">
        <x:v>46235.853773483796</x:v>
      </x:c>
      <x:c r="AC150" s="17" t="n">
        <x:v>46235.854200381946</x:v>
      </x:c>
      <x:c r="AD150" s="17" t="str">
        <x:v>analysis.json</x:v>
      </x:c>
      <x:c r="AE150" s="18" t="n">
        <x:v>28054</x:v>
      </x:c>
      <x:c r="AF150" s="18" t="n">
        <x:v>8829.5</x:v>
      </x:c>
      <x:c r="AG150" s="18" t="n">
        <x:v>829.59</x:v>
      </x:c>
      <x:c r="AH150" s="18" t="n">
        <x:v>5686.54</x:v>
      </x:c>
      <x:c r="AI150" s="17" t="n">
        <x:v>7</x:v>
      </x:c>
      <x:c r="AJ150" s="17" t="n">
        <x:v>1</x:v>
      </x:c>
      <x:c r="AK150" s="19" t="n">
        <x:v>0.75</x:v>
      </x:c>
      <x:c r="AL150" s="19" t="n">
        <x:v>0.75</x:v>
      </x:c>
      <x:c r="AM150" s="19" t="n">
        <x:v>0.25</x:v>
      </x:c>
      <x:c r="AN150" s="17" t="str">
        <x:v>[
  "plate.pricevalue"
]</x:v>
      </x:c>
    </x:row>
    <x:row r="151" ht="58" customHeight="1">
      <x:c r="A151" s="17" t="str">
        <x:v>BUS147</x:v>
      </x:c>
      <x:c r="B151" s="17" t="str">
        <x:v>筛选PB低于2的板块。</x:v>
      </x:c>
      <x:c r="C151" s="17" t="str">
        <x:v>plate</x:v>
      </x:c>
      <x:c r="D151" s="17" t="str">
        <x:v>plate.pricevalue</x:v>
      </x:c>
      <x:c r="E151" s="17" t="str"/>
      <x:c r="F151" s="17" t="str">
        <x:v>financial_qa_cc</x:v>
      </x:c>
      <x:c r="G151" s="17" t="str">
        <x:v>否</x:v>
      </x:c>
      <x:c r="H151" s="18" t="n">
        <x:v>23546.9</x:v>
      </x:c>
      <x:c r="I151" s="18" t="n">
        <x:f>IFERROR(H151/1000,"")</x:f>
        <x:v>23.5469</x:v>
      </x:c>
      <x:c r="J151" s="17" t="n">
        <x:v>3</x:v>
      </x:c>
      <x:c r="K151" s="17" t="str">
        <x:v>成功</x:v>
      </x:c>
      <x:c r="L151" s="17" t="n">
        <x:v>3</x:v>
      </x:c>
      <x:c r="M151" s="17" t="n">
        <x:v>3</x:v>
      </x:c>
      <x:c r="N151" s="17" t="n">
        <x:v>0</x:v>
      </x:c>
      <x:c r="O151" s="17" t="n">
        <x:v>0</x:v>
      </x:c>
      <x:c r="P151" s="17" t="n">
        <x:v>0</x:v>
      </x:c>
      <x:c r="Q151" s="17" t="n">
        <x:v>0</x:v>
      </x:c>
      <x:c r="R151" s="19" t="n">
        <x:f>IFERROR((M151+N151)/L151,"")</x:f>
        <x:v>1</x:v>
      </x:c>
      <x:c r="S151" s="17" t="n">
        <x:v>0</x:v>
      </x:c>
      <x:c r="T151" s="17" t="n">
        <x:v>0</x:v>
      </x:c>
      <x:c r="U151" s="17" t="n">
        <x:v>13982</x:v>
      </x:c>
      <x:c r="V151" s="17" t="str">
        <x:v>错误</x:v>
      </x:c>
      <x:c r="W151" s="19" t="n">
        <x:v>0.9</x:v>
      </x:c>
      <x:c r="X151" s="17" t="str">
        <x:v>否</x:v>
      </x:c>
      <x:c r="Y151" s="17" t="str"/>
      <x:c r="Z151" s="17" t="str">
        <x:v>截至上一个交易日（2026-07-31），**没有板块的PB（市净率）低于2**。
当前数据源中，所有板块的PB估值均在2倍以上，所以没有满足该条件的板块被筛选出来。</x:v>
      </x:c>
      <x:c r="AA151" s="17" t="str"/>
      <x:c r="AB151" s="17" t="n">
        <x:v>46235.85403144676</x:v>
      </x:c>
      <x:c r="AC151" s="17" t="n">
        <x:v>46235.85430398148</x:v>
      </x:c>
      <x:c r="AD151" s="17" t="str">
        <x:v>analysis.json</x:v>
      </x:c>
      <x:c r="AE151" s="18" t="n">
        <x:v>15230</x:v>
      </x:c>
      <x:c r="AF151" s="18" t="n">
        <x:v>8316.9</x:v>
      </x:c>
      <x:c r="AG151" s="18" t="n">
        <x:v>929.83</x:v>
      </x:c>
      <x:c r="AH151" s="18" t="n">
        <x:v>5694.81</x:v>
      </x:c>
      <x:c r="AI151" s="17" t="n">
        <x:v>3</x:v>
      </x:c>
      <x:c r="AJ151" s="17" t="n">
        <x:v>1</x:v>
      </x:c>
      <x:c r="AK151" s="19" t="n">
        <x:v>1</x:v>
      </x:c>
      <x:c r="AL151" s="19" t="n">
        <x:v>1</x:v>
      </x:c>
      <x:c r="AM151" s="19" t="n">
        <x:v>0</x:v>
      </x:c>
      <x:c r="AN151" s="17" t="str">
        <x:v>[
  "plate.pricevalue"
]</x:v>
      </x:c>
    </x:row>
    <x:row r="152" ht="58" customHeight="1">
      <x:c r="A152" s="17" t="str">
        <x:v>BUS148</x:v>
      </x:c>
      <x:c r="B152" s="17" t="str">
        <x:v>查询半导体板块最近估值PE和PS。</x:v>
      </x:c>
      <x:c r="C152" s="17" t="str">
        <x:v>plate</x:v>
      </x:c>
      <x:c r="D152" s="17" t="str">
        <x:v>plate.pricevalue</x:v>
      </x:c>
      <x:c r="E152" s="17" t="str"/>
      <x:c r="F152" s="17" t="str">
        <x:v>financial_qa_cc</x:v>
      </x:c>
      <x:c r="G152" s="17" t="str">
        <x:v>否</x:v>
      </x:c>
      <x:c r="H152" s="18" t="n">
        <x:v>26350.6</x:v>
      </x:c>
      <x:c r="I152" s="18" t="n">
        <x:f>IFERROR(H152/1000,"")</x:f>
        <x:v>26.3506</x:v>
      </x:c>
      <x:c r="J152" s="17" t="n">
        <x:v>8</x:v>
      </x:c>
      <x:c r="K152" s="17" t="str">
        <x:v>成功</x:v>
      </x:c>
      <x:c r="L152" s="17" t="n">
        <x:v>4</x:v>
      </x:c>
      <x:c r="M152" s="17" t="n">
        <x:v>2</x:v>
      </x:c>
      <x:c r="N152" s="17" t="n">
        <x:v>1</x:v>
      </x:c>
      <x:c r="O152" s="17" t="n">
        <x:v>1</x:v>
      </x:c>
      <x:c r="P152" s="17" t="n">
        <x:v>0</x:v>
      </x:c>
      <x:c r="Q152" s="17" t="n">
        <x:v>0</x:v>
      </x:c>
      <x:c r="R152" s="19" t="n">
        <x:f>IFERROR((M152+N152)/L152,"")</x:f>
        <x:v>0.75</x:v>
      </x:c>
      <x:c r="S152" s="17" t="n">
        <x:v>0</x:v>
      </x:c>
      <x:c r="T152" s="17" t="n">
        <x:v>0</x:v>
      </x:c>
      <x:c r="U152" s="17" t="n">
        <x:v>7513</x:v>
      </x:c>
      <x:c r="V152" s="17" t="str">
        <x:v>正确</x:v>
      </x:c>
      <x:c r="W152" s="19" t="n">
        <x:v>0.95</x:v>
      </x:c>
      <x:c r="X152" s="17" t="str">
        <x:v>否</x:v>
      </x:c>
      <x:c r="Y152" s="17" t="str"/>
      <x:c r="Z152" s="17" t="str">
        <x:v>以最近一个交易日（2026-07-24）的数据来看，半导体板块的估值为：
- **PE（市盈率）**：83.31 倍（静态与滚动一致）
- **PS（市销率）**：4.41 倍
当前半导体板块的 PE 超过 80 倍，处于高估值区间，这与市场对该板块的高成长预期一致；PS 为 4.41 倍，反映的是相对营收的溢价水平，也处于偏高位置。</x:v>
      </x:c>
      <x:c r="AA152" s="17" t="str"/>
      <x:c r="AB152" s="17" t="n">
        <x:v>46235.85428371528</x:v>
      </x:c>
      <x:c r="AC152" s="17" t="n">
        <x:v>46235.85458871528</x:v>
      </x:c>
      <x:c r="AD152" s="17" t="str">
        <x:v>analysis.json</x:v>
      </x:c>
      <x:c r="AE152" s="18" t="n">
        <x:v>16758</x:v>
      </x:c>
      <x:c r="AF152" s="18" t="n">
        <x:v>9592.6</x:v>
      </x:c>
      <x:c r="AG152" s="18" t="n">
        <x:v>919.35</x:v>
      </x:c>
      <x:c r="AH152" s="18" t="n">
        <x:v>6693.71</x:v>
      </x:c>
      <x:c r="AI152" s="17" t="n">
        <x:v>8</x:v>
      </x:c>
      <x:c r="AJ152" s="17" t="n">
        <x:v>1</x:v>
      </x:c>
      <x:c r="AK152" s="19" t="n">
        <x:v>0.5</x:v>
      </x:c>
      <x:c r="AL152" s="19" t="n">
        <x:v>0.75</x:v>
      </x:c>
      <x:c r="AM152" s="19" t="n">
        <x:v>0.25</x:v>
      </x:c>
      <x:c r="AN152" s="17" t="str">
        <x:v>[
  "plate.basic_info",
  "plate.pricevalue"
]</x:v>
      </x:c>
    </x:row>
    <x:row r="153" ht="58" customHeight="1">
      <x:c r="A153" s="17" t="str">
        <x:v>BUS149</x:v>
      </x:c>
      <x:c r="B153" s="17" t="str">
        <x:v>筛选PS_TTM低于3的板块。</x:v>
      </x:c>
      <x:c r="C153" s="17" t="str">
        <x:v>plate</x:v>
      </x:c>
      <x:c r="D153" s="17" t="str">
        <x:v>plate.pricevalue</x:v>
      </x:c>
      <x:c r="E153" s="17" t="str"/>
      <x:c r="F153" s="17" t="str">
        <x:v>financial_qa_cc</x:v>
      </x:c>
      <x:c r="G153" s="17" t="str">
        <x:v>否</x:v>
      </x:c>
      <x:c r="H153" s="18" t="n">
        <x:v>33881.92</x:v>
      </x:c>
      <x:c r="I153" s="18" t="n">
        <x:f>IFERROR(H153/1000,"")</x:f>
        <x:v>33.88192</x:v>
      </x:c>
      <x:c r="J153" s="17" t="n">
        <x:v>7</x:v>
      </x:c>
      <x:c r="K153" s="17" t="str">
        <x:v>成功</x:v>
      </x:c>
      <x:c r="L153" s="17" t="n">
        <x:v>4</x:v>
      </x:c>
      <x:c r="M153" s="17" t="n">
        <x:v>4</x:v>
      </x:c>
      <x:c r="N153" s="17" t="n">
        <x:v>0</x:v>
      </x:c>
      <x:c r="O153" s="17" t="n">
        <x:v>0</x:v>
      </x:c>
      <x:c r="P153" s="17" t="n">
        <x:v>0</x:v>
      </x:c>
      <x:c r="Q153" s="17" t="n">
        <x:v>0</x:v>
      </x:c>
      <x:c r="R153" s="19" t="n">
        <x:f>IFERROR((M153+N153)/L153,"")</x:f>
        <x:v>1</x:v>
      </x:c>
      <x:c r="S153" s="17" t="n">
        <x:v>0</x:v>
      </x:c>
      <x:c r="T153" s="17" t="n">
        <x:v>0</x:v>
      </x:c>
      <x:c r="U153" s="17" t="n">
        <x:v>19564</x:v>
      </x:c>
      <x:c r="V153" s="17" t="str">
        <x:v>部分正确</x:v>
      </x:c>
      <x:c r="W153" s="19" t="n">
        <x:v>1</x:v>
      </x:c>
      <x:c r="X153" s="17" t="str">
        <x:v>否</x:v>
      </x:c>
      <x:c r="Y153" s="17" t="str"/>
      <x:c r="Z153" s="17" t="str">
        <x:v>当前共有 **50个板块** 的PS_TTM低于3，以下是完整列表（按PS值从低到高排列）：
**PS &lt; 1 的板块（低市销率）**
| 板块 | PS_TTM | PE_TTM | PB |
|------|-------|--------|-----|
| 转基因 | 0.33 | 134.46 | 1.46 |
| 土壤治理 | 0.52 | 39.44 | 1.44 |
| 上海国企改革 | 0.58 | 21.26 | 1.02 |
| 页岩气 | 0.59 | 15.63 | 1.23 |
| 农村电商 | 0.63 | -36.76 | 1.48 |
| 一带一路 | 0.65 | 23.57 | 1.47 |
| 中字头股票 | 0.66 | 14.58 | 1.29 |
| 足球概念 | 0.85 | 18.23 | 1.22 |
| 猪肉 | 0.86 | 93.66 | 2.40 |
| 核电 | 0.86 | 27.26 | 1.73 |
| 污水处理 | 0.94 | 48.11 | 1.65 |
| 国企改革 | 0.95 | 16.35 | 1.32 |
| 环保 | 0.96 | 26.41 | 1.87 |
**PS 1～2 的板块**
| 板块 | PS_TTM | PE_TTM | PB |
|------|-------|--------|-----|
| 电商 | 1.00 | 40.84 | 2.16 |
| 福建自贸区 | 1.02 | 16.75 | 1.66 |
| 超导 | 1.12 | 40.81 | 2.78 |
| 碳纤维 | 1.16 | 45.23 | 2.51 |
| 医药电商 | 1.16 | 30.57 | 1.99 |
| 草甘膦 | 1.18 | 36.10 | 1.43 |
| 证金(国家队) | 1.23 | 10.73 | 1.14 |
| 车联网(车路协同) | 1.24 | 64.87 | 2.47 |
| 智慧城市 | 1.25 | 36.36 | 2.08 |
| 小米概念 | 1.25 | 29.48 | 3.42 |
| 混改 | 1.25 | 14.51 | 1.50 |
| 石墨烯 | 1.29 | 184.04 | 1.74 |
| 中药 | 1.29 | 38.82 | 2.06 |
| 海峡两岸 | 1.33 | 30.73 | 2.63 |
| 移动支付 | 1.39 | 30.61 | 1.89 |
| 沪股通 | 1.40 | 17.51 | 1.51 |
| 光伏概念 | 1.41 | -163.05 | 2.31 |
| 职业教育 | 1.45 | 281.54 | 2.15 |
| 三胎概念 | 1.53 | 19.19 | 2.05 |
| 智慧医疗 | 1.65 | 34.23 | 2.42 |
| PM2.5 | 1.68 | 273.74 | 2.34 |
| 物联网 | 1.70 | 39.04 | 2.93 |
| 大飞机 | 1.79 | 57.97 | 2.71 |
| 中韩自贸区 | 1.84 | 19.20 | 1.45 |
| 固废处理 | 1.15 | 28.44 | 2.34 |
| 电子竞技 | 1.95 | 9.25 | 2.24 |
| 创投 | 1.95 | 43.83 | 2.64 |
**PS 2～3 的板块**
| 板块 | PS_TTM | PE_TTM | PB |
|------|-------|--------|-----|
| 互联网金融 | 2.01 | 54.65 | 1.91 |
| 深股通 | 2.01 | 38.95 | 2.72 |
| 国产航母 | 2.05 | 68.80 | 2.22 |
| 军工集团 | 2.14 | 57.31 | 2.83 |
| 信息安全 | 2.30 | 80.54 | 3.37 |
| 3D打印 | 2.30 | 62.23 | 3.66 |
| 智能穿戴 | 2.31 | 68.69 | 3.95 |
| 生物疫苗 | 2.35 | -83.42 | 1.76 |
| 量子科技 | 2.48 | 64.87 | 3.07 |
| 传感器 | 2.75 | 63.24 | 3.47 |
**小结**：目前共有 **50个板块** PS_TTM低于3，其中 **13个板块** 低于1倍（市销率极低），主要集中在国企改革、一带一路、环保、农业等传统或政策导向型板块；PS在1~2倍的板块数量最多，涵盖科技、消费、医药等多个领域；PS在2~3倍的则多集中在军工、信息安全、科技制造等方向。</x:v>
      </x:c>
      <x:c r="AA153" s="17" t="str"/>
      <x:c r="AB153" s="17" t="n">
        <x:v>46235.85436107639</x:v>
      </x:c>
      <x:c r="AC153" s="17" t="n">
        <x:v>46235.85475324074</x:v>
      </x:c>
      <x:c r="AD153" s="17" t="str">
        <x:v>analysis.json</x:v>
      </x:c>
      <x:c r="AE153" s="18" t="n">
        <x:v>25479</x:v>
      </x:c>
      <x:c r="AF153" s="18" t="n">
        <x:v>8402.92</x:v>
      </x:c>
      <x:c r="AG153" s="18" t="n">
        <x:v>879.43</x:v>
      </x:c>
      <x:c r="AH153" s="18" t="n">
        <x:v>5644</x:v>
      </x:c>
      <x:c r="AI153" s="17" t="n">
        <x:v>7</x:v>
      </x:c>
      <x:c r="AJ153" s="17" t="n">
        <x:v>1</x:v>
      </x:c>
      <x:c r="AK153" s="19" t="n">
        <x:v>1</x:v>
      </x:c>
      <x:c r="AL153" s="19" t="n">
        <x:v>1</x:v>
      </x:c>
      <x:c r="AM153" s="19" t="n">
        <x:v>0</x:v>
      </x:c>
      <x:c r="AN153" s="17" t="str">
        <x:v>[
  "plate.pricevalue"
]</x:v>
      </x:c>
    </x:row>
    <x:row r="154" ht="58" customHeight="1">
      <x:c r="A154" s="17" t="str">
        <x:v>BUS150</x:v>
      </x:c>
      <x:c r="B154" s="17" t="str">
        <x:v>查询证券板块最新PE、PB和PS。</x:v>
      </x:c>
      <x:c r="C154" s="17" t="str">
        <x:v>plate</x:v>
      </x:c>
      <x:c r="D154" s="17" t="str">
        <x:v>plate.pricevalue</x:v>
      </x:c>
      <x:c r="E154" s="17" t="str"/>
      <x:c r="F154" s="17" t="str">
        <x:v>financial_qa_cc</x:v>
      </x:c>
      <x:c r="G154" s="17" t="str">
        <x:v>否</x:v>
      </x:c>
      <x:c r="H154" s="18" t="n">
        <x:v>31346.34</x:v>
      </x:c>
      <x:c r="I154" s="18" t="n">
        <x:f>IFERROR(H154/1000,"")</x:f>
        <x:v>31.34634</x:v>
      </x:c>
      <x:c r="J154" s="17" t="n">
        <x:v>9</x:v>
      </x:c>
      <x:c r="K154" s="17" t="str">
        <x:v>成功</x:v>
      </x:c>
      <x:c r="L154" s="17" t="n">
        <x:v>5</x:v>
      </x:c>
      <x:c r="M154" s="17" t="n">
        <x:v>4</x:v>
      </x:c>
      <x:c r="N154" s="17" t="n">
        <x:v>0</x:v>
      </x:c>
      <x:c r="O154" s="17" t="n">
        <x:v>0</x:v>
      </x:c>
      <x:c r="P154" s="17" t="n">
        <x:v>0</x:v>
      </x:c>
      <x:c r="Q154" s="17" t="n">
        <x:v>1</x:v>
      </x:c>
      <x:c r="R154" s="19" t="n">
        <x:f>IFERROR((M154+N154)/L154,"")</x:f>
        <x:v>0.8</x:v>
      </x:c>
      <x:c r="S154" s="17" t="n">
        <x:v>0</x:v>
      </x:c>
      <x:c r="T154" s="17" t="n">
        <x:v>0</x:v>
      </x:c>
      <x:c r="U154" s="17" t="n">
        <x:v>10107</x:v>
      </x:c>
      <x:c r="V154" s="17" t="str">
        <x:v>正确</x:v>
      </x:c>
      <x:c r="W154" s="19" t="n">
        <x:v>1</x:v>
      </x:c>
      <x:c r="X154" s="17" t="str">
        <x:v>否</x:v>
      </x:c>
      <x:c r="Y154" s="17" t="str"/>
      <x:c r="Z154" s="17" t="str">
        <x:v>证券板块（884162）截至 **2026-07-24** 的最新估值数据如下：
- **PE（滚动市盈率）**：15.73 倍
- **PE（静态市盈率）**：16.38 倍
- **PB（市净率）**：1.29 倍
- **PS（市销率）**：5.97 倍
当前板块滚动市盈率约 15.7 倍，市净率仅 1.29 倍，整体处于较低估值水平，尤其 PB 在 1 倍附近，反映市场对证券行业的资产价值定价偏谨慎。</x:v>
      </x:c>
      <x:c r="AA154" s="17" t="str"/>
      <x:c r="AB154" s="17" t="n">
        <x:v>46235.85464362268</x:v>
      </x:c>
      <x:c r="AC154" s="17" t="n">
        <x:v>46235.85500643519</x:v>
      </x:c>
      <x:c r="AD154" s="17" t="str">
        <x:v>analysis.json</x:v>
      </x:c>
      <x:c r="AE154" s="18" t="n">
        <x:v>21282</x:v>
      </x:c>
      <x:c r="AF154" s="18" t="n">
        <x:v>10064.34</x:v>
      </x:c>
      <x:c r="AG154" s="18" t="n">
        <x:v>776.44</x:v>
      </x:c>
      <x:c r="AH154" s="18" t="n">
        <x:v>7399.07</x:v>
      </x:c>
      <x:c r="AI154" s="17" t="n">
        <x:v>9</x:v>
      </x:c>
      <x:c r="AJ154" s="17" t="n">
        <x:v>1</x:v>
      </x:c>
      <x:c r="AK154" s="19" t="n">
        <x:v>0.8</x:v>
      </x:c>
      <x:c r="AL154" s="19" t="n">
        <x:v>0.8</x:v>
      </x:c>
      <x:c r="AM154" s="19" t="n">
        <x:v>0</x:v>
      </x:c>
      <x:c r="AN154" s="17" t="str">
        <x:v>[
  "plate.basic_info",
  "plate.pricevalue"
]</x:v>
      </x:c>
    </x:row>
    <x:row r="155" ht="58" customHeight="1">
      <x:c r="A155" s="17" t="str">
        <x:v>BUS151</x:v>
      </x:c>
      <x:c r="B155" s="17" t="str">
        <x:v>查询人工智能板块当前成分股。</x:v>
      </x:c>
      <x:c r="C155" s="17" t="str">
        <x:v>plate</x:v>
      </x:c>
      <x:c r="D155" s="17" t="str">
        <x:v>plate.constitution</x:v>
      </x:c>
      <x:c r="E155" s="17" t="str"/>
      <x:c r="F155" s="17" t="str">
        <x:v>financial_qa_cc</x:v>
      </x:c>
      <x:c r="G155" s="17" t="str">
        <x:v>否</x:v>
      </x:c>
      <x:c r="H155" s="18" t="n">
        <x:v>36957.52</x:v>
      </x:c>
      <x:c r="I155" s="18" t="n">
        <x:f>IFERROR(H155/1000,"")</x:f>
        <x:v>36.957519999999995</x:v>
      </x:c>
      <x:c r="J155" s="17" t="n">
        <x:v>10</x:v>
      </x:c>
      <x:c r="K155" s="17" t="str">
        <x:v>成功</x:v>
      </x:c>
      <x:c r="L155" s="17" t="n">
        <x:v>4</x:v>
      </x:c>
      <x:c r="M155" s="17" t="n">
        <x:v>3</x:v>
      </x:c>
      <x:c r="N155" s="17" t="n">
        <x:v>0</x:v>
      </x:c>
      <x:c r="O155" s="17" t="n">
        <x:v>1</x:v>
      </x:c>
      <x:c r="P155" s="17" t="n">
        <x:v>0</x:v>
      </x:c>
      <x:c r="Q155" s="17" t="n">
        <x:v>0</x:v>
      </x:c>
      <x:c r="R155" s="19" t="n">
        <x:f>IFERROR((M155+N155)/L155,"")</x:f>
        <x:v>0.75</x:v>
      </x:c>
      <x:c r="S155" s="17" t="n">
        <x:v>0</x:v>
      </x:c>
      <x:c r="T155" s="17" t="n">
        <x:v>0</x:v>
      </x:c>
      <x:c r="U155" s="17" t="n">
        <x:v>19996</x:v>
      </x:c>
      <x:c r="V155" s="17" t="str">
        <x:v>部分正确</x:v>
      </x:c>
      <x:c r="W155" s="19" t="n">
        <x:v>0.8</x:v>
      </x:c>
      <x:c r="X155" s="17" t="str">
        <x:v>否</x:v>
      </x:c>
      <x:c r="Y155" s="17" t="str"/>
      <x:c r="Z155" s="17" t="str">
        <x:v>人工智能板块（代码 882347）当前共有 **100 只成分股**，完整列表如下：
| 代码 | 名称 | 代码 | 名称 |
|------|------|------|------|
| 000010.SZ | *ST美丽 | 000016.SZ | *ST康佳A |
| 000027.SZ | 深圳能源 | 000032.SZ | 深桑达A |
| 000034.SZ | 神州数码 | 000039.SZ | 中集集团 |
| 000055.SZ | 方大集团 | 000060.SZ | 中金岭南 |
| 000062.SZ | 深圳华强 | 000063.SZ | 中兴通讯 |
| 000066.SZ | 中国长城 | 000069.SZ | 华侨城A |
| 000070.SZ | 特发信息 | 000096.SZ | 广聚能源 |
| 000100.SZ | TCL科技 | 000156.SZ | 华数传媒 |
| 000157.SZ | 中联重科 | 000158.SZ | 常山北明 |
| 000166.SZ | 申万宏源 | 000338.SZ | 潍柴动力 |
| 000400.SZ | 许继电气 | 000403.SZ | 派林生物 |
| 000409.SZ | 云鼎科技 | 000417.SZ | 合百集团 |
| 000498.SZ | 山东路桥 | 000513.SZ | 丽珠集团 |
| 000516.SZ | 国际医学 | 000521.SZ | 长虹美菱 |
| 000524.SZ | 岭南控股 | 000526.SZ | 学大教育 |
| 000528.SZ | 柳工 | 000532.SZ | 华金资本 |
| 000533.SZ | 顺钠股份 | 000539.SZ | 粤电力A |
| 000541.SZ | 佛山照明 | 000547.SZ | 航天发展 |
| 000555.SZ | 神州信息 | 000560.SZ | 我爱我家 |
| 000566.SZ | 海南海药 | 000582.SZ | 北部湾港 |
| 000591.SZ | 太阳能 | 000600.SZ | 建投能源 |
| 000601.SZ | 韶能股份 | 000607.SZ | 华媒控股 |
| 000625.SZ | 长安汽车 | 000628.SZ | 高新发展 |
| 000636.SZ | 风华高科 | 000650.SZ | 仁和药业 |
| 000657.SZ | 中钨高新 | 000665.SZ | 湖北广电 |
| 000676.SZ | 智度股份 | 000681.SZ | 视觉中国 |
| 000682.SZ | 东方电子 | 000710.SZ | 贝瑞基因 |
| 000712.SZ | 锦龙股份 | 000717.SZ | 中南股份 |
| 000719.SZ | 中原传媒 | 000750.SZ | 国海证券 |
| 000753.SZ | 漳州发展 | 000766.SZ | 通化金马 |
| 000776.SZ | 广发证券 | 000779.SZ | 甘咨询 |
| 000783.SZ | 长江证券 | 000785.SZ | 居然智家 |
| 000786.SZ | 北新建材 | 000791.SZ | 甘肃能源 |
| 000800.SZ | 一汽解放 | 000801.SZ | 四川九洲 |
| 000810.SZ | 创维数字 | 000815.SZ | 美利云 |
| 000818.SZ | 航锦科技 | 000821.SZ | ST京机 |
| 000823.SZ | 超声电子 | 000839.SZ | 国安股份 |
| 000886.SZ | 海南高速 | 000887.SZ | 中鼎股份 |
| 000889.SZ | 中嘉博创 | 000892.SZ | 欢瑞世纪 |
| 000893.SZ | 亚钾国际 | 000917.SZ | 电广传媒 |
| 000921.SZ | 海信家电 | 000925.SZ | 众合科技 |
| 000936.SZ | 华西股份 | 000938.SZ | 紫光股份 |
| 000948.SZ | 南天信息 | 000959.SZ | 首钢股份 |
| 000967.SZ | 盈峰环境 | 000977.SZ | 浪潮信息 |
| 000978.SZ | 桂林旅游 | 000988.SZ | 华工科技 |
| 000997.SZ | 新大陆 | 001230.SZ | 劲旅环境 |
| 001258.SZ | 立新能源 | 001278.SZ | 一彬科技 |
| 001287.SZ | 中电港 | 001288</x:v>
      </x:c>
      <x:c r="AA155" s="17" t="str"/>
      <x:c r="AB155" s="17" t="n">
        <x:v>46235.85482043982</x:v>
      </x:c>
      <x:c r="AC155" s="17" t="n">
        <x:v>46235.85524819444</x:v>
      </x:c>
      <x:c r="AD155" s="17" t="str">
        <x:v>analysis.json</x:v>
      </x:c>
      <x:c r="AE155" s="18" t="n">
        <x:v>27769</x:v>
      </x:c>
      <x:c r="AF155" s="18" t="n">
        <x:v>9188.52</x:v>
      </x:c>
      <x:c r="AG155" s="18" t="n">
        <x:v>855.71</x:v>
      </x:c>
      <x:c r="AH155" s="18" t="n">
        <x:v>6365.32</x:v>
      </x:c>
      <x:c r="AI155" s="17" t="n">
        <x:v>10</x:v>
      </x:c>
      <x:c r="AJ155" s="17" t="n">
        <x:v>1</x:v>
      </x:c>
      <x:c r="AK155" s="19" t="n">
        <x:v>0.75</x:v>
      </x:c>
      <x:c r="AL155" s="19" t="n">
        <x:v>0.75</x:v>
      </x:c>
      <x:c r="AM155" s="19" t="n">
        <x:v>0.25</x:v>
      </x:c>
      <x:c r="AN155" s="17" t="str">
        <x:v>[
  "plate.constitution"
]</x:v>
      </x:c>
    </x:row>
    <x:row r="156" ht="58" customHeight="1">
      <x:c r="A156" s="17" t="str">
        <x:v>BUS152</x:v>
      </x:c>
      <x:c r="B156" s="17" t="str">
        <x:v>查询半导体板块权重最高的前20只成分股。</x:v>
      </x:c>
      <x:c r="C156" s="17" t="str">
        <x:v>plate</x:v>
      </x:c>
      <x:c r="D156" s="17" t="str">
        <x:v>plate.constitution</x:v>
      </x:c>
      <x:c r="E156" s="17" t="str"/>
      <x:c r="F156" s="17" t="str">
        <x:v>financial_qa_cc</x:v>
      </x:c>
      <x:c r="G156" s="17" t="str">
        <x:v>否</x:v>
      </x:c>
      <x:c r="H156" s="18" t="n">
        <x:v>46736.1</x:v>
      </x:c>
      <x:c r="I156" s="18" t="n">
        <x:f>IFERROR(H156/1000,"")</x:f>
        <x:v>46.7361</x:v>
      </x:c>
      <x:c r="J156" s="17" t="n">
        <x:v>13</x:v>
      </x:c>
      <x:c r="K156" s="17" t="str">
        <x:v>成功</x:v>
      </x:c>
      <x:c r="L156" s="17" t="n">
        <x:v>8</x:v>
      </x:c>
      <x:c r="M156" s="17" t="n">
        <x:v>6</x:v>
      </x:c>
      <x:c r="N156" s="17" t="n">
        <x:v>0</x:v>
      </x:c>
      <x:c r="O156" s="17" t="n">
        <x:v>0</x:v>
      </x:c>
      <x:c r="P156" s="17" t="n">
        <x:v>0</x:v>
      </x:c>
      <x:c r="Q156" s="17" t="n">
        <x:v>2</x:v>
      </x:c>
      <x:c r="R156" s="19" t="n">
        <x:f>IFERROR((M156+N156)/L156,"")</x:f>
        <x:v>0.75</x:v>
      </x:c>
      <x:c r="S156" s="17" t="n">
        <x:v>0</x:v>
      </x:c>
      <x:c r="T156" s="17" t="n">
        <x:v>0</x:v>
      </x:c>
      <x:c r="U156" s="17" t="n">
        <x:v>25317</x:v>
      </x:c>
      <x:c r="V156" s="17" t="str">
        <x:v>证据不足</x:v>
      </x:c>
      <x:c r="W156" s="19" t="n">
        <x:v>0.95</x:v>
      </x:c>
      <x:c r="X156" s="17" t="str">
        <x:v>否</x:v>
      </x:c>
      <x:c r="Y156" s="17" t="str"/>
      <x:c r="Z156" s="17" t="str">
        <x:v>根据查询结果，半导体板块（代码 883720）的成分股数据已返回 20 只股票，但该数据源未提供各成分股的**权重（weight）**字段，因此无法按权重排序确认前 20 名。
不过，这 20 只成分股的名单如下：
| 代码 | 名称 |
|:---|:---|
| 000006.SZ | 深振业A |
| 000021.SZ | 深科技 |
| 000032.SZ | 深桑达A |
| 000045.SZ | 深纺织A |
| 000049.SZ | 德赛电池 |
| 000062.SZ | 深圳华强 |
| 000063.SZ | 中兴通讯 |
| 000066.SZ | 中国长城 |
| 000333.SZ | 美的集团 |
| 000417.SZ | 合百集团 |
| 000422.SZ | 湖北宜化 |
| 000533.SZ | 顺钠股份 |
| 000536.SZ | 华映科技 |
| 000541.SZ | 佛山照明 |
| 000551.SZ | 创元科技 |
| 000559.SZ | 万向钱潮 |
| 000576.SZ | 甘化科工 |
| 000609.SZ | *ST中迪 |
| 000620.SZ | 盈新发展 |
| 000651.SZ | 格力电器 |
需要说明的是，当前数据源中该板块的 **weight 字段均为空**，无法按权重排序给出前 20 只。如果你希望了解该板块成分股按**市值、成交额或行情表现**等其他维度的排序，我可以进一步查询。</x:v>
      </x:c>
      <x:c r="AA156" s="17" t="str"/>
      <x:c r="AB156" s="17" t="n">
        <x:v>46235.85506130787</x:v>
      </x:c>
      <x:c r="AC156" s="17" t="n">
        <x:v>46235.855602233794</x:v>
      </x:c>
      <x:c r="AD156" s="17" t="str">
        <x:v>analysis.json</x:v>
      </x:c>
      <x:c r="AE156" s="18" t="n">
        <x:v>37455</x:v>
      </x:c>
      <x:c r="AF156" s="18" t="n">
        <x:v>9281.1</x:v>
      </x:c>
      <x:c r="AG156" s="18" t="n">
        <x:v>830.82</x:v>
      </x:c>
      <x:c r="AH156" s="18" t="n">
        <x:v>5536.52</x:v>
      </x:c>
      <x:c r="AI156" s="17" t="n">
        <x:v>13</x:v>
      </x:c>
      <x:c r="AJ156" s="17" t="n">
        <x:v>1</x:v>
      </x:c>
      <x:c r="AK156" s="19" t="n">
        <x:v>0.75</x:v>
      </x:c>
      <x:c r="AL156" s="19" t="n">
        <x:v>0.75</x:v>
      </x:c>
      <x:c r="AM156" s="19" t="n">
        <x:v>0</x:v>
      </x:c>
      <x:c r="AN156" s="17" t="str">
        <x:v>[
  "plate.constitution",
  "industry.constitution"
]</x:v>
      </x:c>
    </x:row>
    <x:row r="157" ht="58" customHeight="1">
      <x:c r="A157" s="17" t="str">
        <x:v>BUS153</x:v>
      </x:c>
      <x:c r="B157" s="17" t="str">
        <x:v>筛选证券板块成分股中权重超过2%的股票。</x:v>
      </x:c>
      <x:c r="C157" s="17" t="str">
        <x:v>plate</x:v>
      </x:c>
      <x:c r="D157" s="17" t="str">
        <x:v>plate.constitution</x:v>
      </x:c>
      <x:c r="E157" s="17" t="str"/>
      <x:c r="F157" s="17" t="str">
        <x:v>financial_qa_cc</x:v>
      </x:c>
      <x:c r="G157" s="17" t="str">
        <x:v>否</x:v>
      </x:c>
      <x:c r="H157" s="18" t="n">
        <x:v>30827.36</x:v>
      </x:c>
      <x:c r="I157" s="18" t="n">
        <x:f>IFERROR(H157/1000,"")</x:f>
        <x:v>30.827360000000002</x:v>
      </x:c>
      <x:c r="J157" s="17" t="n">
        <x:v>6</x:v>
      </x:c>
      <x:c r="K157" s="17" t="str">
        <x:v>成功</x:v>
      </x:c>
      <x:c r="L157" s="17" t="n">
        <x:v>3</x:v>
      </x:c>
      <x:c r="M157" s="17" t="n">
        <x:v>3</x:v>
      </x:c>
      <x:c r="N157" s="17" t="n">
        <x:v>0</x:v>
      </x:c>
      <x:c r="O157" s="17" t="n">
        <x:v>0</x:v>
      </x:c>
      <x:c r="P157" s="17" t="n">
        <x:v>0</x:v>
      </x:c>
      <x:c r="Q157" s="17" t="n">
        <x:v>0</x:v>
      </x:c>
      <x:c r="R157" s="19" t="n">
        <x:f>IFERROR((M157+N157)/L157,"")</x:f>
        <x:v>1</x:v>
      </x:c>
      <x:c r="S157" s="17" t="n">
        <x:v>0</x:v>
      </x:c>
      <x:c r="T157" s="17" t="n">
        <x:v>0</x:v>
      </x:c>
      <x:c r="U157" s="17" t="n">
        <x:v>17257</x:v>
      </x:c>
      <x:c r="V157" s="17" t="str">
        <x:v>证据不足</x:v>
      </x:c>
      <x:c r="W157" s="19" t="n">
        <x:v>0.95</x:v>
      </x:c>
      <x:c r="X157" s="17" t="str">
        <x:v>否</x:v>
      </x:c>
      <x:c r="Y157" s="17" t="str"/>
      <x:c r="Z157" s="17" t="str">
        <x:v>证券板块（884162）共查询到 **59 只成分股**，但当前数据源中该板块的 **weight（权重）字段为空**，因此无法按"权重超过2%"的条件进行筛选。
以下是证券板块的全部成分股列表：
| 代码 | 名称 | 代码 | 名称 |
|------|------|------|------|
| 000166.SZ | 申万宏源 | 600030.SH | 中信证券 |
| 000686.SZ | 东北证券 | 600061.SH | 国投资本 |
| 000712.SZ | 锦龙股份 | 600095.SH | 湘财股份 |
| 000728.SZ | 国元证券 | 600109.SH | 国金证券 |
| 000750.SZ | 国海证券 | 600155.SH | 华创云信 |
| 000776.SZ | 广发证券 | 600369.SH | 西南证券 |
| 000783.SZ | 长江证券 | 600621.SH | 华鑫股份 |
| 000828.SZ | 东莞控股 | 600906.SH | 财达证券 |
| 002500.SZ | 山西证券 | 600909.SH | 华安证券 |
| 002670.SZ | 国盛证券 | 600918.SH | 中泰证券 |
| 002673.SZ | 西部证券 | 600958.SH | 东方证券 |
| 002736.SZ | 国信证券 | 600999.SH | 招商证券 |
| 002797.SZ | 第一创业 | 601059.SH | 信达证券 |
| 002926.SZ | 华西证券 | 601066.SH | 中信建投 |
| 002939.SZ | 长城证券 | 601099.SH | 太平洋 |
| 002945.SZ | 华林证券 | 601108.SH | 财通证券 |
| 300059.SZ | 东方财富 | 601136.SH | 首创证券 |
| 300085.SZ | 银之杰 | 601162.SH | 天风证券 |
| 600191.SH | 华资实业 | 601198.SH | 东兴证券 |
| 600390.SH | 五矿资本 | 601211.SH | 国泰海通 |
| 600663.SH | 陆家嘴 | 601236.SH | 红塔证券 |
| 600739.SH | 辽宁成大 | 601375.SH | 中原证券 |
| 600851.SH | 海欣股份 | 601377.SH | 兴业证券 |
| 600864.SH | 哈投股份 | 601456.SH | 国联民生 |
| 601555.SH | 东吴证券 | 601878.SH | 浙商证券 |
| 601688.SH | 华泰证券 | 601881.SH | 中国银河 |
| 601696.SH | 中银证券 | 601901.SH | 方正证券 |
| 601788.SH | 光大证券 | 601990.SH | 南京证券 |
| 601995.SH | 中金公司 | 603828.SH | \*ST利达 |
共 **59 只**，包含券商股以及部分参股/控股券商的企业（如银之杰、华资实业、辽宁成大等）。如需进一步分析，我可以尝试通过其他口径（如总市值占比）来近似估算权重分布。</x:v>
      </x:c>
      <x:c r="AA157" s="17" t="str"/>
      <x:c r="AB157" s="17" t="n">
        <x:v>46235.85531252315</x:v>
      </x:c>
      <x:c r="AC157" s="17" t="n">
        <x:v>46235.85566931713</x:v>
      </x:c>
      <x:c r="AD157" s="17" t="str">
        <x:v>analysis.json</x:v>
      </x:c>
      <x:c r="AE157" s="18" t="n">
        <x:v>20806</x:v>
      </x:c>
      <x:c r="AF157" s="18" t="n">
        <x:v>10021.36</x:v>
      </x:c>
      <x:c r="AG157" s="18" t="n">
        <x:v>719.59</x:v>
      </x:c>
      <x:c r="AH157" s="18" t="n">
        <x:v>5562.23</x:v>
      </x:c>
      <x:c r="AI157" s="17" t="n">
        <x:v>6</x:v>
      </x:c>
      <x:c r="AJ157" s="17" t="n">
        <x:v>1</x:v>
      </x:c>
      <x:c r="AK157" s="19" t="n">
        <x:v>1</x:v>
      </x:c>
      <x:c r="AL157" s="19" t="n">
        <x:v>1</x:v>
      </x:c>
      <x:c r="AM157" s="19" t="n">
        <x:v>0</x:v>
      </x:c>
      <x:c r="AN157" s="17" t="str">
        <x:v>[
  "plate.constitution"
]</x:v>
      </x:c>
    </x:row>
    <x:row r="158" ht="58" customHeight="1">
      <x:c r="A158" s="17" t="str">
        <x:v>BUS154</x:v>
      </x:c>
      <x:c r="B158" s="17" t="str">
        <x:v>查询白酒板块成分股数量。</x:v>
      </x:c>
      <x:c r="C158" s="17" t="str">
        <x:v>plate</x:v>
      </x:c>
      <x:c r="D158" s="17" t="str">
        <x:v>plate.constitution</x:v>
      </x:c>
      <x:c r="E158" s="17" t="str"/>
      <x:c r="F158" s="17" t="str">
        <x:v>financial_qa_cc</x:v>
      </x:c>
      <x:c r="G158" s="17" t="str">
        <x:v>否</x:v>
      </x:c>
      <x:c r="H158" s="18" t="n">
        <x:v>29216.3</x:v>
      </x:c>
      <x:c r="I158" s="18" t="n">
        <x:f>IFERROR(H158/1000,"")</x:f>
        <x:v>29.2163</x:v>
      </x:c>
      <x:c r="J158" s="17" t="n">
        <x:v>11</x:v>
      </x:c>
      <x:c r="K158" s="17" t="str">
        <x:v>成功</x:v>
      </x:c>
      <x:c r="L158" s="17" t="n">
        <x:v>6</x:v>
      </x:c>
      <x:c r="M158" s="17" t="n">
        <x:v>6</x:v>
      </x:c>
      <x:c r="N158" s="17" t="n">
        <x:v>0</x:v>
      </x:c>
      <x:c r="O158" s="17" t="n">
        <x:v>0</x:v>
      </x:c>
      <x:c r="P158" s="17" t="n">
        <x:v>0</x:v>
      </x:c>
      <x:c r="Q158" s="17" t="n">
        <x:v>0</x:v>
      </x:c>
      <x:c r="R158" s="19" t="n">
        <x:f>IFERROR((M158+N158)/L158,"")</x:f>
        <x:v>1</x:v>
      </x:c>
      <x:c r="S158" s="17" t="n">
        <x:v>0</x:v>
      </x:c>
      <x:c r="T158" s="17" t="n">
        <x:v>0</x:v>
      </x:c>
      <x:c r="U158" s="17" t="n">
        <x:v>13751</x:v>
      </x:c>
      <x:c r="V158" s="17" t="str">
        <x:v>正确</x:v>
      </x:c>
      <x:c r="W158" s="19" t="n">
        <x:v>0.95</x:v>
      </x:c>
      <x:c r="X158" s="17" t="str">
        <x:v>否</x:v>
      </x:c>
      <x:c r="Y158" s="17" t="str"/>
      <x:c r="Z158" s="17" t="str">
        <x:v>白酒板块（"白酒概念"板块，代码 883341）共有 **48 只** 成分股。</x:v>
      </x:c>
      <x:c r="AA158" s="17" t="str"/>
      <x:c r="AB158" s="17" t="n">
        <x:v>46235.8556525</x:v>
      </x:c>
      <x:c r="AC158" s="17" t="n">
        <x:v>46235.855990648146</x:v>
      </x:c>
      <x:c r="AD158" s="17" t="str">
        <x:v>analysis.json</x:v>
      </x:c>
      <x:c r="AE158" s="18" t="n">
        <x:v>19963</x:v>
      </x:c>
      <x:c r="AF158" s="18" t="n">
        <x:v>9253.3</x:v>
      </x:c>
      <x:c r="AG158" s="18" t="n">
        <x:v>876.29</x:v>
      </x:c>
      <x:c r="AH158" s="18" t="n">
        <x:v>6336.29</x:v>
      </x:c>
      <x:c r="AI158" s="17" t="n">
        <x:v>11</x:v>
      </x:c>
      <x:c r="AJ158" s="17" t="n">
        <x:v>1</x:v>
      </x:c>
      <x:c r="AK158" s="19" t="n">
        <x:v>1</x:v>
      </x:c>
      <x:c r="AL158" s="19" t="n">
        <x:v>1</x:v>
      </x:c>
      <x:c r="AM158" s="19" t="n">
        <x:v>0</x:v>
      </x:c>
      <x:c r="AN158" s="17" t="str">
        <x:v>[
  "plate.constitution"
]</x:v>
      </x:c>
    </x:row>
    <x:row r="159" ht="58" customHeight="1">
      <x:c r="A159" s="17" t="str">
        <x:v>BUS155</x:v>
      </x:c>
      <x:c r="B159" s="17" t="str">
        <x:v>查询宁德时代是否属于新能源车板块成分股。</x:v>
      </x:c>
      <x:c r="C159" s="17" t="str">
        <x:v>plate</x:v>
      </x:c>
      <x:c r="D159" s="17" t="str">
        <x:v>stock.basic_info, plate.constitution</x:v>
      </x:c>
      <x:c r="E159" s="17" t="str"/>
      <x:c r="F159" s="17" t="str">
        <x:v>financial_qa_cc</x:v>
      </x:c>
      <x:c r="G159" s="17" t="str">
        <x:v>否</x:v>
      </x:c>
      <x:c r="H159" s="18" t="n">
        <x:v>38749.83</x:v>
      </x:c>
      <x:c r="I159" s="18" t="n">
        <x:f>IFERROR(H159/1000,"")</x:f>
        <x:v>38.74983</x:v>
      </x:c>
      <x:c r="J159" s="17" t="n">
        <x:v>13</x:v>
      </x:c>
      <x:c r="K159" s="17" t="str">
        <x:v>成功</x:v>
      </x:c>
      <x:c r="L159" s="17" t="n">
        <x:v>10</x:v>
      </x:c>
      <x:c r="M159" s="17" t="n">
        <x:v>5</x:v>
      </x:c>
      <x:c r="N159" s="17" t="n">
        <x:v>0</x:v>
      </x:c>
      <x:c r="O159" s="17" t="n">
        <x:v>5</x:v>
      </x:c>
      <x:c r="P159" s="17" t="n">
        <x:v>0</x:v>
      </x:c>
      <x:c r="Q159" s="17" t="n">
        <x:v>0</x:v>
      </x:c>
      <x:c r="R159" s="19" t="n">
        <x:f>IFERROR((M159+N159)/L159,"")</x:f>
        <x:v>0.5</x:v>
      </x:c>
      <x:c r="S159" s="17" t="n">
        <x:v>0</x:v>
      </x:c>
      <x:c r="T159" s="17" t="n">
        <x:v>0</x:v>
      </x:c>
      <x:c r="U159" s="17" t="n">
        <x:v>15392</x:v>
      </x:c>
      <x:c r="V159" s="17" t="str">
        <x:v>正确</x:v>
      </x:c>
      <x:c r="W159" s="19" t="n">
        <x:v>0.85</x:v>
      </x:c>
      <x:c r="X159" s="17" t="str">
        <x:v>否</x:v>
      </x:c>
      <x:c r="Y159" s="17" t="str"/>
      <x:c r="Z159" s="17" t="str">
        <x:v>根据查询结果，当前数据源中**没有"新能源车"或"新能源汽车"板块**（共100个板块中不存在该名称），因此无法直接确认宁德时代是否属于该板块。
不过，宁德时代（300750.SZ）目前属于以下与新能源车产业链相关的板块：
| 板块 | 是否属于 |
|------|---------|
| **锂电池**（882335） | ✅ **是** |
| **充电桩**（882218） | ✅ **是** |
| 汽车电子 | ❌ 否 |
| 无人驾驶 | ❌ 否 |
| 车联网(车路协同) | ❌ 否 |
简单来说，虽然数据源中没有"新能源车"这个板块名称，但宁德时代作为**锂电池**和**充电桩**板块的成分股，与新能源车产业链高度关联。</x:v>
      </x:c>
      <x:c r="AA159" s="17" t="str"/>
      <x:c r="AB159" s="17" t="n">
        <x:v>46235.85572572917</x:v>
      </x:c>
      <x:c r="AC159" s="17" t="n">
        <x:v>46235.85617423611</x:v>
      </x:c>
      <x:c r="AD159" s="17" t="str">
        <x:v>analysis.json</x:v>
      </x:c>
      <x:c r="AE159" s="18" t="n">
        <x:v>29541</x:v>
      </x:c>
      <x:c r="AF159" s="18" t="n">
        <x:v>9208.83</x:v>
      </x:c>
      <x:c r="AG159" s="18" t="n">
        <x:v>792.56</x:v>
      </x:c>
      <x:c r="AH159" s="18" t="n">
        <x:v>5331.75</x:v>
      </x:c>
      <x:c r="AI159" s="17" t="n">
        <x:v>13</x:v>
      </x:c>
      <x:c r="AJ159" s="17" t="n">
        <x:v>1</x:v>
      </x:c>
      <x:c r="AK159" s="19" t="n">
        <x:v>0.5</x:v>
      </x:c>
      <x:c r="AL159" s="19" t="n">
        <x:v>0.5</x:v>
      </x:c>
      <x:c r="AM159" s="19" t="n">
        <x:v>0.5</x:v>
      </x:c>
      <x:c r="AN159" s="17" t="str">
        <x:v>[
  "plate.constitution",
  "plate.base_info"
]</x:v>
      </x:c>
    </x:row>
    <x:row r="160" ht="58" customHeight="1">
      <x:c r="A160" s="17" t="str">
        <x:v>BUS156</x:v>
      </x:c>
      <x:c r="B160" s="17" t="str">
        <x:v>查询机器人板块成分股代码、名称和权重。</x:v>
      </x:c>
      <x:c r="C160" s="17" t="str">
        <x:v>plate</x:v>
      </x:c>
      <x:c r="D160" s="17" t="str">
        <x:v>plate.constitution</x:v>
      </x:c>
      <x:c r="E160" s="17" t="str"/>
      <x:c r="F160" s="17" t="str">
        <x:v>financial_qa_cc</x:v>
      </x:c>
      <x:c r="G160" s="17" t="str">
        <x:v>是</x:v>
      </x:c>
      <x:c r="H160" s="18" t="n">
        <x:v>52410.41</x:v>
      </x:c>
      <x:c r="I160" s="18" t="n">
        <x:f>IFERROR(H160/1000,"")</x:f>
        <x:v>52.410410000000006</x:v>
      </x:c>
      <x:c r="J160" s="17" t="n">
        <x:v>15</x:v>
      </x:c>
      <x:c r="K160" s="17" t="str">
        <x:v>成功</x:v>
      </x:c>
      <x:c r="L160" s="17" t="n">
        <x:v>11</x:v>
      </x:c>
      <x:c r="M160" s="17" t="n">
        <x:v>8</x:v>
      </x:c>
      <x:c r="N160" s="17" t="n">
        <x:v>0</x:v>
      </x:c>
      <x:c r="O160" s="17" t="n">
        <x:v>0</x:v>
      </x:c>
      <x:c r="P160" s="17" t="n">
        <x:v>0</x:v>
      </x:c>
      <x:c r="Q160" s="17" t="n">
        <x:v>3</x:v>
      </x:c>
      <x:c r="R160" s="19" t="n">
        <x:f>IFERROR((M160+N160)/L160,"")</x:f>
        <x:v>0.7272727272727273</x:v>
      </x:c>
      <x:c r="S160" s="17" t="n">
        <x:v>0</x:v>
      </x:c>
      <x:c r="T160" s="17" t="n">
        <x:v>0</x:v>
      </x:c>
      <x:c r="U160" s="17" t="n">
        <x:v>38512</x:v>
      </x:c>
      <x:c r="V160" s="17" t="str">
        <x:v>错误</x:v>
      </x:c>
      <x:c r="W160" s="19" t="n">
        <x:v>0.85</x:v>
      </x:c>
      <x:c r="X160" s="17" t="str">
        <x:v>否</x:v>
      </x:c>
      <x:c r="Y160" s="17" t="str"/>
      <x:c r="Z160" s="17" t="str">
        <x:v>在当前的板块数据源中，没有名为"机器人"的板块（plate）。不过，"机器人" 是系统中的一个**热点概念**（hot event），当前关联了 **23 家成分公司**。热点概念的 member 视图没有权重字段，因此只能提供代码和名称。
以下是"机器人"概念的全部成分股（100 条记录，含历史各期关联，当前活跃为 23 家）：
| 股票代码 | 股票名称 |
|:---|:---|
| 000020 | 深华发A |
| 000062 | 深圳华强 |
| 000532 | 华金资本 |
| 000678 | 襄阳轴承 |
| 000700 | 模塑科技 |
| 000726 | 鲁泰A |
| 000785 | 居然智家 |
| 000973 | 佛塑科技 |
| 000981 | 山子高科 |
| 001230 | 劲旅环境 |
| 001278 | 一彬科技 |
| 001288 | 运机集团 |
| 002009 | 天奇股份 |
| 002036 | 联创电子 |
| 002152 | 广电运通 |
| 002230 | 科大讯飞 |
| 002277 | 友阿股份 |
| 002348 | 高乐股份 |
| 002415 | 海康威视 |
| 002456 | 欧菲光 |
| 002543 | 万和电气 |
| 002599 | 盛通股份 |
| 002678 | 珠江钢琴 |
| 002736 | 国信证券 |
| 002831 | 裕同科技 |
| 002850 | 科达利 |
| 002896 | 中大力德 |
| 002902 | 铭普光磁 |
| 002915 | 中欣氟材 |
| 002921 | 联诚精密 |
| 002931 | 锋龙股份 |
| 002933 | 新兴装备 |
| 002965 | 祥鑫科技 |
| 002969 | 嘉美包装 |
| 300040 | 九洲集团 |
| 300083 | 创世纪 |
| 300128 | 锦富技术 |
| 300248 | 新开普 |
| 300285 | 国瓷材料 |
| 300308 | 中际旭创 |
| 300353 | 东土科技 |
| 300458 | 全志科技 |
| 300488 | 恒锋工具 |
| 300503 | 昊志机电 |
| 300552 | 万集科技 |
| 300607 | 拓斯达 |
| 300626 | 华瑞股份 |
| 300652 | 雷迪克 |
| 300720 | 海川智能 |
| 300757 | 罗博特科 |
| 300843 | 胜蓝股份 |
| 300885 | 海昌新材 |
| 300916 | 朗特智能 |
| 300975 | 商络电子 |
| 301022 | 海泰科 |
| 301179 | 泽宇智能 |
| 301366 | 一博科技 |
| 301529 | 福赛科技 |
| 301603 | 乔锋智能 |
| 600143 | 金发科技 |
| 600302 | 标准股份 |
| 600325 | 华发股份 |
| 600376 | 首开股份 |
| 600545 | 卓郎智能 |
| 600580 | 卧龙电驱 |
| 600604 | 市北高新 |
| 600623 | 华谊集团 |
| 600860 | 京城股份 |
| 600869 | 远东股份 |
| 600989 | 宝丰能源 |
| 603030 | 全筑股份 |
| 603045 | 福达合金 |
| 603095 | 越剑智能 |
| 603119 | 浙江荣泰 |
| 603150 | 万朗磁塑 |
| 603165 | 荣晟环保 |
| 603272 | *ST联翔 |
| 603373 | 安邦护卫 |
| 603381 | 永臻股份 |
| 603616 | 韩建河山 |
| 603626 | 科森科技 |
| 603667 | 五洲新春 |
| 603687 | 大胜达 |
| 603933 | 睿能科技 |
| 603966 | 法兰泰克 |
| 603986 | 兆易创新 |
| 603990 | 麦迪科技 |
| 605050 | 福然德 |
| 688017 | 绿的谐波 |
| 688090 | 瑞松科技 |
| 688097 | 博众精工 |
| 688165 | 埃夫特 |
| 688215 | 瑞晟智能 |
| 688227 | 品高股份 |
| 688322 | 奥比中光 |
| 688400 | 凌云光 |
| 688800 | 瑞可达 |
| 920275 | 驱动力 |
**说明：**
- "机器人"在数据源中以**热点概念（hot event）**形式存在，而非板块（p</x:v>
      </x:c>
      <x:c r="AA160" s="17" t="str"/>
      <x:c r="AB160" s="17" t="n">
        <x:v>46235.85603284722</x:v>
      </x:c>
      <x:c r="AC160" s="17" t="n">
        <x:v>46235.85663945602</x:v>
      </x:c>
      <x:c r="AD160" s="17" t="str">
        <x:v>analysis.json</x:v>
      </x:c>
      <x:c r="AE160" s="18" t="n">
        <x:v>43558</x:v>
      </x:c>
      <x:c r="AF160" s="18" t="n">
        <x:v>8852.41</x:v>
      </x:c>
      <x:c r="AG160" s="18" t="n">
        <x:v>821.3</x:v>
      </x:c>
      <x:c r="AH160" s="18" t="n">
        <x:v>5577.06</x:v>
      </x:c>
      <x:c r="AI160" s="17" t="n">
        <x:v>15</x:v>
      </x:c>
      <x:c r="AJ160" s="17" t="n">
        <x:v>1</x:v>
      </x:c>
      <x:c r="AK160" s="19" t="n">
        <x:v>0.7273</x:v>
      </x:c>
      <x:c r="AL160" s="19" t="n">
        <x:v>0.7273</x:v>
      </x:c>
      <x:c r="AM160" s="19" t="n">
        <x:v>0</x:v>
      </x:c>
      <x:c r="AN160" s="17" t="str">
        <x:v>[
  "plate.constitution",
  "plate.basic_info",
  "hot_event.member",
  "hot_event.base_info"
]</x:v>
      </x:c>
    </x:row>
    <x:row r="161" ht="58" customHeight="1">
      <x:c r="A161" s="17" t="str">
        <x:v>BUS157</x:v>
      </x:c>
      <x:c r="B161" s="17" t="str">
        <x:v>计算人工智能板块成分股今天平均涨跌幅和涨停家数。</x:v>
      </x:c>
      <x:c r="C161" s="17" t="str">
        <x:v>plate</x:v>
      </x:c>
      <x:c r="D161" s="17" t="str">
        <x:v>plate.constitution</x:v>
      </x:c>
      <x:c r="E161" s="17" t="str"/>
      <x:c r="F161" s="17" t="str">
        <x:v>financial_qa_cc</x:v>
      </x:c>
      <x:c r="G161" s="17" t="str">
        <x:v>否</x:v>
      </x:c>
      <x:c r="H161" s="18" t="n">
        <x:v>84403.98</x:v>
      </x:c>
      <x:c r="I161" s="18" t="n">
        <x:f>IFERROR(H161/1000,"")</x:f>
        <x:v>84.40397999999999</x:v>
      </x:c>
      <x:c r="J161" s="17" t="n">
        <x:v>18</x:v>
      </x:c>
      <x:c r="K161" s="17" t="str">
        <x:v>成功</x:v>
      </x:c>
      <x:c r="L161" s="17" t="n">
        <x:v>7</x:v>
      </x:c>
      <x:c r="M161" s="17" t="n">
        <x:v>6</x:v>
      </x:c>
      <x:c r="N161" s="17" t="n">
        <x:v>0</x:v>
      </x:c>
      <x:c r="O161" s="17" t="n">
        <x:v>0</x:v>
      </x:c>
      <x:c r="P161" s="17" t="n">
        <x:v>0</x:v>
      </x:c>
      <x:c r="Q161" s="17" t="n">
        <x:v>1</x:v>
      </x:c>
      <x:c r="R161" s="19" t="n">
        <x:f>IFERROR((M161+N161)/L161,"")</x:f>
        <x:v>0.8571428571428571</x:v>
      </x:c>
      <x:c r="S161" s="17" t="n">
        <x:v>0</x:v>
      </x:c>
      <x:c r="T161" s="17" t="n">
        <x:v>0</x:v>
      </x:c>
      <x:c r="U161" s="17" t="n">
        <x:v>32744</x:v>
      </x:c>
      <x:c r="V161" s="17" t="str">
        <x:v>错误</x:v>
      </x:c>
      <x:c r="W161" s="19" t="n">
        <x:v>1</x:v>
      </x:c>
      <x:c r="X161" s="17" t="str">
        <x:v>是</x:v>
      </x:c>
      <x:c r="Y161" s="17" t="str"/>
      <x:c r="Z161" s="17" t="str">
        <x:v>今天（8月2日）是周日，A股休市，已自动取最近一个交易日——**2026年7月31日（周五）**的数据。
**人工智能板块（882347）当日表现：**
- **平均涨跌幅：+2.16%**（100只成分股涨跌幅的简单平均）
- **涨停家数：5家**，分别是深桑达A（+9.99%）、智度股份（+9.99%）、美利云（+10.00%）、欢瑞世纪（+10.15%）、盈峰环境（+9.94%）
板块整体表现强势，100只成分股中绝大多数收涨，平均涨幅超过2%，且涨停股集中在AI应用和智能硬件方向。</x:v>
      </x:c>
      <x:c r="AA161" s="17" t="str"/>
      <x:c r="AB161" s="17" t="n">
        <x:v>46235.85622459491</x:v>
      </x:c>
      <x:c r="AC161" s="17" t="n">
        <x:v>46235.85720150463</x:v>
      </x:c>
      <x:c r="AD161" s="17" t="str">
        <x:v>analysis.json</x:v>
      </x:c>
      <x:c r="AE161" s="18" t="n">
        <x:v>75595</x:v>
      </x:c>
      <x:c r="AF161" s="18" t="n">
        <x:v>8808.98</x:v>
      </x:c>
      <x:c r="AG161" s="18" t="n">
        <x:v>950.42</x:v>
      </x:c>
      <x:c r="AH161" s="18" t="n">
        <x:v>5393.61</x:v>
      </x:c>
      <x:c r="AI161" s="17" t="n">
        <x:v>18</x:v>
      </x:c>
      <x:c r="AJ161" s="17" t="n">
        <x:v>1</x:v>
      </x:c>
      <x:c r="AK161" s="19" t="n">
        <x:v>0.8571</x:v>
      </x:c>
      <x:c r="AL161" s="19" t="n">
        <x:v>0.8571</x:v>
      </x:c>
      <x:c r="AM161" s="19" t="n">
        <x:v>0</x:v>
      </x:c>
      <x:c r="AN161" s="17" t="str">
        <x:v>[
  "plate.basic_info",
  "plate.constitution",
  "stock.quote"
]</x:v>
      </x:c>
    </x:row>
    <x:row r="162" ht="58" customHeight="1">
      <x:c r="A162" s="17" t="str">
        <x:v>BUS158</x:v>
      </x:c>
      <x:c r="B162" s="17" t="str">
        <x:v>筛选半导体板块成分股中今天主力净流入最高的前10只股票。</x:v>
      </x:c>
      <x:c r="C162" s="17" t="str">
        <x:v>plate</x:v>
      </x:c>
      <x:c r="D162" s="17" t="str">
        <x:v>plate.constitution, stock.moneyflow</x:v>
      </x:c>
      <x:c r="E162" s="17" t="str"/>
      <x:c r="F162" s="17" t="str">
        <x:v>free_chat</x:v>
      </x:c>
      <x:c r="G162" s="17" t="str">
        <x:v>是</x:v>
      </x:c>
      <x:c r="H162" s="18" t="n">
        <x:v>7086.68</x:v>
      </x:c>
      <x:c r="I162" s="18" t="n">
        <x:f>IFERROR(H162/1000,"")</x:f>
        <x:v>7.08668</x:v>
      </x:c>
      <x:c r="J162" s="17"/>
      <x:c r="K162" s="17" t="str">
        <x:v>成功</x:v>
      </x:c>
      <x:c r="L162" s="17" t="n">
        <x:v>0</x:v>
      </x:c>
      <x:c r="M162" s="17" t="n">
        <x:v>0</x:v>
      </x:c>
      <x:c r="N162" s="17" t="n">
        <x:v>0</x:v>
      </x:c>
      <x:c r="O162" s="17" t="n">
        <x:v>0</x:v>
      </x:c>
      <x:c r="P162" s="17" t="n">
        <x:v>0</x:v>
      </x:c>
      <x:c r="Q162" s="17" t="n">
        <x:v>0</x:v>
      </x:c>
      <x:c r="R162" s="19" t="str">
        <x:f>IFERROR((M162+N162)/L162,"")</x:f>
      </x:c>
      <x:c r="S162" s="17" t="n">
        <x:v>0</x:v>
      </x:c>
      <x:c r="T162" s="17" t="n">
        <x:v>0</x:v>
      </x:c>
      <x:c r="U162" s="17" t="n">
        <x:v>1265</x:v>
      </x:c>
      <x:c r="V162" s="17" t="str">
        <x:v>错误</x:v>
      </x:c>
      <x:c r="W162" s="19" t="n">
        <x:v>0.7</x:v>
      </x:c>
      <x:c r="X162" s="17" t="str">
        <x:v>否</x:v>
      </x:c>
      <x:c r="Y162" s="17" t="str"/>
      <x:c r="Z162" s="17" t="str">
        <x:v>已识别为自然语言请求，当前 agent = investment_analyst，route_type = clarify。
需要澄清: {"state_type": "clarification_state", "status": "needs_user_input", "missing_slots": ["task_focus"], "prompt": "请说明你更想做个股深度分析，还是热点/概念追踪。", "resume_token": "clarify_d9705308fbc14be2", "slot_hints": {"task_focus": "请说明你更想做个股深度分析，还是热点/概念追踪。"}, "context_summary": {"task_type": "", "code": "", "name": ""}}</x:v>
      </x:c>
      <x:c r="AA162" s="17" t="str"/>
      <x:c r="AB162" s="17" t="n">
        <x:v>46235.85669311343</x:v>
      </x:c>
      <x:c r="AC162" s="17" t="n">
        <x:v>46235.85677513889</x:v>
      </x:c>
      <x:c r="AD162" s="17" t="str">
        <x:v>analysis.json</x:v>
      </x:c>
      <x:c r="AE162" s="18"/>
      <x:c r="AF162" s="18"/>
      <x:c r="AG162" s="18" t="n">
        <x:v>712.44</x:v>
      </x:c>
      <x:c r="AH162" s="18"/>
      <x:c r="AI162" s="17"/>
      <x:c r="AJ162" s="17"/>
      <x:c r="AK162" s="19"/>
      <x:c r="AL162" s="19"/>
      <x:c r="AM162" s="19"/>
      <x:c r="AN162" s="17" t="str"/>
    </x:row>
    <x:row r="163" ht="58" customHeight="1">
      <x:c r="A163" s="17" t="str">
        <x:v>BUS159</x:v>
      </x:c>
      <x:c r="B163" s="17" t="str">
        <x:v>比较人工智能、半导体和机器人板块最近20个交易日累计涨幅。</x:v>
      </x:c>
      <x:c r="C163" s="17" t="str">
        <x:v>plate</x:v>
      </x:c>
      <x:c r="D163" s="17" t="str">
        <x:v>plate.quote</x:v>
      </x:c>
      <x:c r="E163" s="17" t="str"/>
      <x:c r="F163" s="17" t="str">
        <x:v>financial_qa_cc</x:v>
      </x:c>
      <x:c r="G163" s="17" t="str">
        <x:v>否</x:v>
      </x:c>
      <x:c r="H163" s="18" t="n">
        <x:v>36894.13</x:v>
      </x:c>
      <x:c r="I163" s="18" t="n">
        <x:f>IFERROR(H163/1000,"")</x:f>
        <x:v>36.89413</x:v>
      </x:c>
      <x:c r="J163" s="17" t="n">
        <x:v>6</x:v>
      </x:c>
      <x:c r="K163" s="17" t="str">
        <x:v>成功</x:v>
      </x:c>
      <x:c r="L163" s="17" t="n">
        <x:v>5</x:v>
      </x:c>
      <x:c r="M163" s="17" t="n">
        <x:v>5</x:v>
      </x:c>
      <x:c r="N163" s="17" t="n">
        <x:v>0</x:v>
      </x:c>
      <x:c r="O163" s="17" t="n">
        <x:v>0</x:v>
      </x:c>
      <x:c r="P163" s="17" t="n">
        <x:v>0</x:v>
      </x:c>
      <x:c r="Q163" s="17" t="n">
        <x:v>0</x:v>
      </x:c>
      <x:c r="R163" s="19" t="n">
        <x:f>IFERROR((M163+N163)/L163,"")</x:f>
        <x:v>1</x:v>
      </x:c>
      <x:c r="S163" s="17" t="n">
        <x:v>0</x:v>
      </x:c>
      <x:c r="T163" s="17" t="n">
        <x:v>0</x:v>
      </x:c>
      <x:c r="U163" s="17" t="n">
        <x:v>17240</x:v>
      </x:c>
      <x:c r="V163" s="17" t="str">
        <x:v>部分正确</x:v>
      </x:c>
      <x:c r="W163" s="19" t="n">
        <x:v>1</x:v>
      </x:c>
      <x:c r="X163" s="17" t="str">
        <x:v>否</x:v>
      </x:c>
      <x:c r="Y163" s="17" t="str"/>
      <x:c r="Z163" s="17" t="str">
        <x:v>近20个交易日（截至8月2日前后），三个板块全线收跌，分化明显：
| 板块 | 近20日累计涨幅 |
|------|:------------:|
| **人工智能** | **-8.78%** |
| **机器人概念** | **-16.37%** |
| **半导体** | **-21.15%** |
**人工智能**跌幅最小（-8.78%），相对抗跌；**机器人概念**居中，回撤约16%；**半导体**跌幅最深，累计下挫超过21%，是三者中表现最弱的板块。整体来看，近一个月科技成长方向普遍承压，半导体调整幅度最大，人工智能相对韧性更强。</x:v>
      </x:c>
      <x:c r="AA163" s="17" t="str"/>
      <x:c r="AB163" s="17" t="n">
        <x:v>46235.85684523148</x:v>
      </x:c>
      <x:c r="AC163" s="17" t="n">
        <x:v>46235.857272256944</x:v>
      </x:c>
      <x:c r="AD163" s="17" t="str">
        <x:v>analysis.json</x:v>
      </x:c>
      <x:c r="AE163" s="18" t="n">
        <x:v>22986</x:v>
      </x:c>
      <x:c r="AF163" s="18" t="n">
        <x:v>13908.13</x:v>
      </x:c>
      <x:c r="AG163" s="18" t="n">
        <x:v>877.93</x:v>
      </x:c>
      <x:c r="AH163" s="18" t="n">
        <x:v>6031.52</x:v>
      </x:c>
      <x:c r="AI163" s="17" t="n">
        <x:v>6</x:v>
      </x:c>
      <x:c r="AJ163" s="17" t="n">
        <x:v>1</x:v>
      </x:c>
      <x:c r="AK163" s="19" t="n">
        <x:v>1</x:v>
      </x:c>
      <x:c r="AL163" s="19" t="n">
        <x:v>1</x:v>
      </x:c>
      <x:c r="AM163" s="19" t="n">
        <x:v>0</x:v>
      </x:c>
      <x:c r="AN163" s="17" t="str">
        <x:v>[
  "plate.basic_info",
  "plate.quote.kd_pct_sum"
]</x:v>
      </x:c>
    </x:row>
    <x:row r="164" ht="58" customHeight="1">
      <x:c r="A164" s="17" t="str">
        <x:v>BUS160</x:v>
      </x:c>
      <x:c r="B164" s="17" t="str">
        <x:v>统计证券板块成分股最新PE_TTM均值和PB中位数。</x:v>
      </x:c>
      <x:c r="C164" s="17" t="str">
        <x:v>plate</x:v>
      </x:c>
      <x:c r="D164" s="17" t="str">
        <x:v>plate.constitution</x:v>
      </x:c>
      <x:c r="E164" s="17" t="str"/>
      <x:c r="F164" s="17" t="str">
        <x:v>financial_qa_cc</x:v>
      </x:c>
      <x:c r="G164" s="17" t="str">
        <x:v>否</x:v>
      </x:c>
      <x:c r="H164" s="18" t="n">
        <x:v>89146.18</x:v>
      </x:c>
      <x:c r="I164" s="18" t="n">
        <x:f>IFERROR(H164/1000,"")</x:f>
        <x:v>89.14617999999999</x:v>
      </x:c>
      <x:c r="J164" s="17" t="n">
        <x:v>27</x:v>
      </x:c>
      <x:c r="K164" s="17" t="str">
        <x:v>成功</x:v>
      </x:c>
      <x:c r="L164" s="17" t="n">
        <x:v>15</x:v>
      </x:c>
      <x:c r="M164" s="17" t="n">
        <x:v>10</x:v>
      </x:c>
      <x:c r="N164" s="17" t="n">
        <x:v>0</x:v>
      </x:c>
      <x:c r="O164" s="17" t="n">
        <x:v>1</x:v>
      </x:c>
      <x:c r="P164" s="17" t="n">
        <x:v>0</x:v>
      </x:c>
      <x:c r="Q164" s="17" t="n">
        <x:v>4</x:v>
      </x:c>
      <x:c r="R164" s="19" t="n">
        <x:f>IFERROR((M164+N164)/L164,"")</x:f>
        <x:v>0.6666666666666666</x:v>
      </x:c>
      <x:c r="S164" s="17" t="n">
        <x:v>0</x:v>
      </x:c>
      <x:c r="T164" s="17" t="n">
        <x:v>0</x:v>
      </x:c>
      <x:c r="U164" s="17" t="n">
        <x:v>36637</x:v>
      </x:c>
      <x:c r="V164" s="17" t="str">
        <x:v>正确</x:v>
      </x:c>
      <x:c r="W164" s="19" t="n">
        <x:v>0.95</x:v>
      </x:c>
      <x:c r="X164" s="17" t="str">
        <x:v>是</x:v>
      </x:c>
      <x:c r="Y164" s="17" t="str"/>
      <x:c r="Z164" s="17" t="str">
        <x:v>证券板块共有 **59 只成分股**，基于最新估值数据：
**PE_TTM 均值 ≈ 28.55 倍**，**PB 中位数 ≈ 1.21 倍**。
板块内部分化明显：PE_TTM 因少数亏损股（银之杰 -162.75 倍、\*ST利达 -10.14 倍）和个别高估值股（天风证券 283.36 倍、太平洋 141.24 倍）而被拉高，中大型券商如中信证券（12.51 倍）、华泰证券（10.10 倍）、国泰海通（14.74 倍）的 PE_TTM 实际集中在 10-15 倍区间。PB 方面，半数以上券商股仍处于破净或略高于净资产的状态，中位数 1.21 倍反映出板块整体估值处于历史偏低水平。</x:v>
      </x:c>
      <x:c r="AA164" s="17" t="str"/>
      <x:c r="AB164" s="17" t="n">
        <x:v>46235.857272152774</x:v>
      </x:c>
      <x:c r="AC164" s="17" t="n">
        <x:v>46235.85830395833</x:v>
      </x:c>
      <x:c r="AD164" s="17" t="str">
        <x:v>analysis.json</x:v>
      </x:c>
      <x:c r="AE164" s="18" t="n">
        <x:v>79622</x:v>
      </x:c>
      <x:c r="AF164" s="18" t="n">
        <x:v>9524.18</x:v>
      </x:c>
      <x:c r="AG164" s="18" t="n">
        <x:v>754.99</x:v>
      </x:c>
      <x:c r="AH164" s="18" t="n">
        <x:v>6074.8</x:v>
      </x:c>
      <x:c r="AI164" s="17" t="n">
        <x:v>27</x:v>
      </x:c>
      <x:c r="AJ164" s="17" t="n">
        <x:v>1</x:v>
      </x:c>
      <x:c r="AK164" s="19" t="n">
        <x:v>0.6667</x:v>
      </x:c>
      <x:c r="AL164" s="19" t="n">
        <x:v>0.6667</x:v>
      </x:c>
      <x:c r="AM164" s="19" t="n">
        <x:v>0.0667</x:v>
      </x:c>
      <x:c r="AN164" s="17" t="str">
        <x:v>[
  "industry.basic_info",
  "plate.basic_info",
  "plate.constitution",
  "stock.pricevalue",
  "plate.constitution.agg"
]</x:v>
      </x:c>
    </x:row>
    <x:row r="165" ht="58" customHeight="1">
      <x:c r="A165" s="17" t="str">
        <x:v>BUS161</x:v>
      </x:c>
      <x:c r="B165" s="17" t="str">
        <x:v>同时查询人工智能板块当前涨跌幅、主力净流入和前十大成分股。</x:v>
      </x:c>
      <x:c r="C165" s="17" t="str">
        <x:v>plate</x:v>
      </x:c>
      <x:c r="D165" s="17" t="str">
        <x:v>plate.quote, plate.moneyflow, plate.constitution</x:v>
      </x:c>
      <x:c r="E165" s="17" t="str"/>
      <x:c r="F165" s="17" t="str">
        <x:v>financial_qa_cc</x:v>
      </x:c>
      <x:c r="G165" s="17" t="str">
        <x:v>否</x:v>
      </x:c>
      <x:c r="H165" s="18" t="n">
        <x:v>43070</x:v>
      </x:c>
      <x:c r="I165" s="18" t="n">
        <x:f>IFERROR(H165/1000,"")</x:f>
        <x:v>43.07</x:v>
      </x:c>
      <x:c r="J165" s="17" t="n">
        <x:v>16</x:v>
      </x:c>
      <x:c r="K165" s="17" t="str">
        <x:v>成功</x:v>
      </x:c>
      <x:c r="L165" s="17" t="n">
        <x:v>11</x:v>
      </x:c>
      <x:c r="M165" s="17" t="n">
        <x:v>9</x:v>
      </x:c>
      <x:c r="N165" s="17" t="n">
        <x:v>0</x:v>
      </x:c>
      <x:c r="O165" s="17" t="n">
        <x:v>2</x:v>
      </x:c>
      <x:c r="P165" s="17" t="n">
        <x:v>0</x:v>
      </x:c>
      <x:c r="Q165" s="17" t="n">
        <x:v>0</x:v>
      </x:c>
      <x:c r="R165" s="19" t="n">
        <x:f>IFERROR((M165+N165)/L165,"")</x:f>
        <x:v>0.8181818181818182</x:v>
      </x:c>
      <x:c r="S165" s="17" t="n">
        <x:v>0</x:v>
      </x:c>
      <x:c r="T165" s="17" t="n">
        <x:v>0</x:v>
      </x:c>
      <x:c r="U165" s="17" t="n">
        <x:v>19346</x:v>
      </x:c>
      <x:c r="V165" s="17" t="str">
        <x:v>部分正确</x:v>
      </x:c>
      <x:c r="W165" s="19" t="n">
        <x:v>0.9</x:v>
      </x:c>
      <x:c r="X165" s="17" t="str">
        <x:v>否</x:v>
      </x:c>
      <x:c r="Y165" s="17" t="str"/>
      <x:c r="Z165" s="17" t="str">
        <x:v>以下是人工智能板块的最新数据（截至最近交易日收市）：
**涨跌幅：+3.34%**，收于 2309.80 点，上涨 74.56 点，成交额约 **684.39 亿元**。
**主力资金净流入约 27.09 亿元**，主力买入 2,522.54 亿元，卖出 2,495.45 亿元，主力净流入占比 0.20%。
**前十大成分股**（按权重排序，但权重数据源未提供具体数值）：
| 代码 | 名称 |
|------|------|
| 000010.SZ | \*ST美丽 |
| 000016.SZ | \*ST康佳A |
| 000027.SZ | 深圳能源 |
| 000032.SZ | 深桑达A |
| 000034.SZ | 神州数码 |
| 000039.SZ | 中集集团 |
| 000055.SZ | 方大集团 |
| 000060.SZ | 中金岭南 |
| 000062.SZ | 深圳华强 |
| 000063.SZ | 中兴通讯 |
板块整体表现活跃，涨幅超 3% 且主力资金呈净流入态势，成交额近 700 亿元，显示市场对该板块关注度较高。</x:v>
      </x:c>
      <x:c r="AA165" s="17" t="str"/>
      <x:c r="AB165" s="17" t="n">
        <x:v>46235.85732766204</x:v>
      </x:c>
      <x:c r="AC165" s="17" t="n">
        <x:v>46235.85782616898</x:v>
      </x:c>
      <x:c r="AD165" s="17" t="str">
        <x:v>analysis.json</x:v>
      </x:c>
      <x:c r="AE165" s="18" t="n">
        <x:v>34091</x:v>
      </x:c>
      <x:c r="AF165" s="18" t="n">
        <x:v>8979</x:v>
      </x:c>
      <x:c r="AG165" s="18" t="n">
        <x:v>883.99</x:v>
      </x:c>
      <x:c r="AH165" s="18" t="n">
        <x:v>5878.48</x:v>
      </x:c>
      <x:c r="AI165" s="17" t="n">
        <x:v>16</x:v>
      </x:c>
      <x:c r="AJ165" s="17" t="n">
        <x:v>1</x:v>
      </x:c>
      <x:c r="AK165" s="19" t="n">
        <x:v>0.8182</x:v>
      </x:c>
      <x:c r="AL165" s="19" t="n">
        <x:v>0.8182</x:v>
      </x:c>
      <x:c r="AM165" s="19" t="n">
        <x:v>0.1818</x:v>
      </x:c>
      <x:c r="AN165" s="17" t="str">
        <x:v>[
  "plate.basic_info",
  "plate.quote",
  "plate.moneyflow",
  "plate.constitution"
]</x:v>
      </x:c>
    </x:row>
    <x:row r="166" ht="58" customHeight="1">
      <x:c r="A166" s="17" t="str">
        <x:v>BUS162</x:v>
      </x:c>
      <x:c r="B166" s="17" t="str">
        <x:v>查询半导体板块估值，并列出其成分股今天涨幅前10名。</x:v>
      </x:c>
      <x:c r="C166" s="17" t="str">
        <x:v>plate</x:v>
      </x:c>
      <x:c r="D166" s="17" t="str">
        <x:v>plate.pricevalue, plate.constitution</x:v>
      </x:c>
      <x:c r="E166" s="17" t="str"/>
      <x:c r="F166" s="17" t="str">
        <x:v>financial_qa_cc</x:v>
      </x:c>
      <x:c r="G166" s="17" t="str">
        <x:v>否</x:v>
      </x:c>
      <x:c r="H166" s="18" t="n">
        <x:v>48462.13</x:v>
      </x:c>
      <x:c r="I166" s="18" t="n">
        <x:f>IFERROR(H166/1000,"")</x:f>
        <x:v>48.462129999999995</x:v>
      </x:c>
      <x:c r="J166" s="17" t="n">
        <x:v>7</x:v>
      </x:c>
      <x:c r="K166" s="17" t="str">
        <x:v>成功</x:v>
      </x:c>
      <x:c r="L166" s="17" t="n">
        <x:v>11</x:v>
      </x:c>
      <x:c r="M166" s="17" t="n">
        <x:v>8</x:v>
      </x:c>
      <x:c r="N166" s="17" t="n">
        <x:v>1</x:v>
      </x:c>
      <x:c r="O166" s="17" t="n">
        <x:v>2</x:v>
      </x:c>
      <x:c r="P166" s="17" t="n">
        <x:v>0</x:v>
      </x:c>
      <x:c r="Q166" s="17" t="n">
        <x:v>0</x:v>
      </x:c>
      <x:c r="R166" s="19" t="n">
        <x:f>IFERROR((M166+N166)/L166,"")</x:f>
        <x:v>0.8181818181818182</x:v>
      </x:c>
      <x:c r="S166" s="17" t="n">
        <x:v>0</x:v>
      </x:c>
      <x:c r="T166" s="17" t="n">
        <x:v>0</x:v>
      </x:c>
      <x:c r="U166" s="17" t="n">
        <x:v>19175</x:v>
      </x:c>
      <x:c r="V166" s="17" t="str">
        <x:v>错误</x:v>
      </x:c>
      <x:c r="W166" s="19" t="n">
        <x:v>0.95</x:v>
      </x:c>
      <x:c r="X166" s="17" t="str">
        <x:v>否</x:v>
      </x:c>
      <x:c r="Y166" s="17" t="str"/>
      <x:c r="Z166" s="17" t="str">
        <x:v>## 半导体板块估值与今日涨幅前10名
**板块估值**（数据截至 2026-07-24）
| 指标 | 数值 |
|------|------|
| 滚动市盈率 PE TTM | **83.31 倍** |
| 静态市盈率 PE LYR | **90.68 倍** |
| 市净率 PB | **5.55 倍** |
| 市销率 PS | **4.41 倍** |
半导体板块整体估值处于较高水平，PE TTM 超过 80 倍，反映市场对其盈利增长预期较强。
---
**成分股当日涨幅前 10 名**（2026-07-31，最近交易日）
| 排名 | 代码 | 名称 | 收盘价 | 涨幅 | 成交额(元) |
|:---:|:---:|:---:|:---:|:---:|:---:|
| 1 | 002346.SZ | 柘中股份 | 17.13 | **+10.02%** | 1.14亿 |
| 2 | 001267.SZ | 汇绿生态 | 29.82 | **+10.00%** | 9.91亿 |
| 3 | 000032.SZ | 深桑达A | 13.54 | **+9.99%** | 8.46亿 |
| 4 | 002131.SZ | 利欧股份 | 4.66 | **+9.91%** | 37.62亿 |
| 5 | 002428.SZ | 云南锗业 | 66.95 | **+8.33%** | 38.55亿 |
| 6 | 001389.SZ | 广合科技 | 141.82 | **+7.93%** | 18.92亿 |
| 7 | 002025.SZ | 航天电器 | 61.37 | **+7.37%** | 12.30亿 |
| 8 | 000962.SZ | 东方钽业 | 43.88 | **+6.89%** | 14.07亿 |
| 9 | 002158.SZ | 汉钟精机 | 25.52 | **+6.73%** | 4.91亿 |
| 10 | 002119.SZ | 康强电子 | 20.40 | **+6.25%** | 9.89亿 |
当日板块内多只个股涨停或接近涨停，柘中股份、汇绿生态、深桑达A 均封板，云南锗业和广合科技等也涨幅显著，整体做多情绪较强。</x:v>
      </x:c>
      <x:c r="AA166" s="17" t="str"/>
      <x:c r="AB166" s="17" t="n">
        <x:v>46235.857870196756</x:v>
      </x:c>
      <x:c r="AC166" s="17" t="n">
        <x:v>46235.858431099536</x:v>
      </x:c>
      <x:c r="AD166" s="17" t="str">
        <x:v>analysis.json</x:v>
      </x:c>
      <x:c r="AE166" s="18" t="n">
        <x:v>38926</x:v>
      </x:c>
      <x:c r="AF166" s="18" t="n">
        <x:v>9536.13</x:v>
      </x:c>
      <x:c r="AG166" s="18" t="n">
        <x:v>857.05</x:v>
      </x:c>
      <x:c r="AH166" s="18" t="n">
        <x:v>6453.79</x:v>
      </x:c>
      <x:c r="AI166" s="17" t="n">
        <x:v>7</x:v>
      </x:c>
      <x:c r="AJ166" s="17" t="n">
        <x:v>1</x:v>
      </x:c>
      <x:c r="AK166" s="19" t="n">
        <x:v>0.7273</x:v>
      </x:c>
      <x:c r="AL166" s="19" t="n">
        <x:v>0.8182</x:v>
      </x:c>
      <x:c r="AM166" s="19" t="n">
        <x:v>0.1818</x:v>
      </x:c>
      <x:c r="AN166" s="17" t="str">
        <x:v>[
  "plate.basic_info",
  "plate.pricevalue",
  "plate.constitution",
  "stock.quote"
]</x:v>
      </x:c>
    </x:row>
    <x:row r="167" ht="58" customHeight="1">
      <x:c r="A167" s="17" t="str">
        <x:v>BUS163</x:v>
      </x:c>
      <x:c r="B167" s="17" t="str">
        <x:v>查询新能源车板块资金流，并返回宁德时代当前行情和融资余额。</x:v>
      </x:c>
      <x:c r="C167" s="17" t="str">
        <x:v>plate</x:v>
      </x:c>
      <x:c r="D167" s="17" t="str">
        <x:v>plate.moneyflow, stock.quote, stock.margin</x:v>
      </x:c>
      <x:c r="E167" s="17" t="str"/>
      <x:c r="F167" s="17" t="str">
        <x:v>financial_qa_cc</x:v>
      </x:c>
      <x:c r="G167" s="17" t="str">
        <x:v>否</x:v>
      </x:c>
      <x:c r="H167" s="18" t="n">
        <x:v>39967.51</x:v>
      </x:c>
      <x:c r="I167" s="18" t="n">
        <x:f>IFERROR(H167/1000,"")</x:f>
        <x:v>39.967510000000004</x:v>
      </x:c>
      <x:c r="J167" s="17" t="n">
        <x:v>9</x:v>
      </x:c>
      <x:c r="K167" s="17" t="str">
        <x:v>成功</x:v>
      </x:c>
      <x:c r="L167" s="17" t="n">
        <x:v>8</x:v>
      </x:c>
      <x:c r="M167" s="17" t="n">
        <x:v>7</x:v>
      </x:c>
      <x:c r="N167" s="17" t="n">
        <x:v>0</x:v>
      </x:c>
      <x:c r="O167" s="17" t="n">
        <x:v>1</x:v>
      </x:c>
      <x:c r="P167" s="17" t="n">
        <x:v>0</x:v>
      </x:c>
      <x:c r="Q167" s="17" t="n">
        <x:v>0</x:v>
      </x:c>
      <x:c r="R167" s="19" t="n">
        <x:f>IFERROR((M167+N167)/L167,"")</x:f>
        <x:v>0.875</x:v>
      </x:c>
      <x:c r="S167" s="17" t="n">
        <x:v>0</x:v>
      </x:c>
      <x:c r="T167" s="17" t="n">
        <x:v>0</x:v>
      </x:c>
      <x:c r="U167" s="17" t="n">
        <x:v>25556</x:v>
      </x:c>
      <x:c r="V167" s="17" t="str">
        <x:v>正确</x:v>
      </x:c>
      <x:c r="W167" s="19" t="n">
        <x:v>0.85</x:v>
      </x:c>
      <x:c r="X167" s="17" t="str">
        <x:v>否</x:v>
      </x:c>
      <x:c r="Y167" s="17" t="str"/>
      <x:c r="Z167" s="17" t="str">
        <x:v>以下是查询结果：
---
**🔋 新能源车板块资金流**
当前数据源中未找到名为"新能源车"或含"新能源"的板块记录，无法提供板块资金流数据。可能是该板块名称在当前数据源中以其他命名方式存在（如行业分类概念板块等），建议尝试更具体的板块名称。
---
**📈 宁德时代（300750）当前行情**（数据日期：2026-07-31）
| 指标 | 数值 |
|------|------|
| 最新收盘价 | **397.66 元** |
| 涨跌幅 | **-1.05%** |
| 开盘价 | 397.66 元 |
| 最高价 | 400.20 元 |
| 最低价 | 389.00 元 |
当日小幅低开后下探至389元，随后回升，最终收于397.66元，日内振幅约2.9%。
---
**💰 宁德时代融资余额**（数据日期：2026-07-30）
| 指标 | 数值 |
|------|------|
| 融资余额 | **222.89 亿元** |
| 融资净买入 | **-3.06 亿元**（净偿还） |
| 两融余额 | **224.48 亿元** |
融资余额约222.89亿元，当日净偿还3.06亿元，显示融资客在当日以偿还为主。两融余额（含融券）合计约224.48亿元。</x:v>
      </x:c>
      <x:c r="AA167" s="17" t="str"/>
      <x:c r="AB167" s="17" t="n">
        <x:v>46235.858346678244</x:v>
      </x:c>
      <x:c r="AC167" s="17" t="n">
        <x:v>46235.85880927083</x:v>
      </x:c>
      <x:c r="AD167" s="17" t="str">
        <x:v>analysis.json</x:v>
      </x:c>
      <x:c r="AE167" s="18" t="n">
        <x:v>30202</x:v>
      </x:c>
      <x:c r="AF167" s="18" t="n">
        <x:v>9765.51</x:v>
      </x:c>
      <x:c r="AG167" s="18" t="n">
        <x:v>763.51</x:v>
      </x:c>
      <x:c r="AH167" s="18" t="n">
        <x:v>5550.02</x:v>
      </x:c>
      <x:c r="AI167" s="17" t="n">
        <x:v>9</x:v>
      </x:c>
      <x:c r="AJ167" s="17" t="n">
        <x:v>1</x:v>
      </x:c>
      <x:c r="AK167" s="19" t="n">
        <x:v>0.875</x:v>
      </x:c>
      <x:c r="AL167" s="19" t="n">
        <x:v>0.875</x:v>
      </x:c>
      <x:c r="AM167" s="19" t="n">
        <x:v>0.125</x:v>
      </x:c>
      <x:c r="AN167" s="17" t="str">
        <x:v>[
  "plate.basic_info",
  "stock.quote",
  "stock.margin"
]</x:v>
      </x:c>
    </x:row>
    <x:row r="168" ht="58" customHeight="1">
      <x:c r="A168" s="17" t="str">
        <x:v>BUS164</x:v>
      </x:c>
      <x:c r="B168" s="17" t="str">
        <x:v>查询证券板块行情，并对比银行行业成分股今天平均涨跌幅。</x:v>
      </x:c>
      <x:c r="C168" s="17" t="str">
        <x:v>plate</x:v>
      </x:c>
      <x:c r="D168" s="17" t="str">
        <x:v>plate.quote, industry.constitution</x:v>
      </x:c>
      <x:c r="E168" s="17" t="str"/>
      <x:c r="F168" s="17" t="str">
        <x:v>financial_qa_cc</x:v>
      </x:c>
      <x:c r="G168" s="17" t="str">
        <x:v>否</x:v>
      </x:c>
      <x:c r="H168" s="18" t="n">
        <x:v>44045.02</x:v>
      </x:c>
      <x:c r="I168" s="18" t="n">
        <x:f>IFERROR(H168/1000,"")</x:f>
        <x:v>44.045019999999994</x:v>
      </x:c>
      <x:c r="J168" s="17" t="n">
        <x:v>9</x:v>
      </x:c>
      <x:c r="K168" s="17" t="str">
        <x:v>成功</x:v>
      </x:c>
      <x:c r="L168" s="17" t="n">
        <x:v>8</x:v>
      </x:c>
      <x:c r="M168" s="17" t="n">
        <x:v>8</x:v>
      </x:c>
      <x:c r="N168" s="17" t="n">
        <x:v>0</x:v>
      </x:c>
      <x:c r="O168" s="17" t="n">
        <x:v>0</x:v>
      </x:c>
      <x:c r="P168" s="17" t="n">
        <x:v>0</x:v>
      </x:c>
      <x:c r="Q168" s="17" t="n">
        <x:v>0</x:v>
      </x:c>
      <x:c r="R168" s="19" t="n">
        <x:f>IFERROR((M168+N168)/L168,"")</x:f>
        <x:v>1</x:v>
      </x:c>
      <x:c r="S168" s="17" t="n">
        <x:v>0</x:v>
      </x:c>
      <x:c r="T168" s="17" t="n">
        <x:v>0</x:v>
      </x:c>
      <x:c r="U168" s="17" t="n">
        <x:v>23821</x:v>
      </x:c>
      <x:c r="V168" s="17" t="str">
        <x:v>错误</x:v>
      </x:c>
      <x:c r="W168" s="19" t="n">
        <x:v>1</x:v>
      </x:c>
      <x:c r="X168" s="17" t="str">
        <x:v>否</x:v>
      </x:c>
      <x:c r="Y168" s="17" t="str"/>
      <x:c r="Z168" s="17" t="str">
        <x:v>## 证券板块 vs 银行行业：今日行情对比
**证券板块**最新交易日（2026-07-27）收于 **1008.98 点**，上涨 **+0.91%**（+9.10 点），成交额约 **27.47 亿元**，成交量 **24.41 亿股**。
**银行行业**（申万一级）成分股今日平均涨跌幅则为 **-0.76%**，整体承压。细分来看，各子行业全线下跌：国有大型银行Ⅲ平均 **-1.67%**，股份制银行Ⅲ **-0.89%**，城商行Ⅲ **-0.67%**，农商行Ⅲ跌幅最小 **-0.19%**。
**对比结论**：证券板块当日录得近1%的正收益，而银行行业整体下跌约0.76%，两者走势明显分化，证券板块跑赢银行行业约1.67个百分点。</x:v>
      </x:c>
      <x:c r="AA168" s="17" t="str"/>
      <x:c r="AB168" s="17" t="n">
        <x:v>46235.85848960648</x:v>
      </x:c>
      <x:c r="AC168" s="17" t="n">
        <x:v>46235.85899939815</x:v>
      </x:c>
      <x:c r="AD168" s="17" t="str">
        <x:v>analysis.json</x:v>
      </x:c>
      <x:c r="AE168" s="18" t="n">
        <x:v>34329</x:v>
      </x:c>
      <x:c r="AF168" s="18" t="n">
        <x:v>9716.02</x:v>
      </x:c>
      <x:c r="AG168" s="18" t="n">
        <x:v>730.06</x:v>
      </x:c>
      <x:c r="AH168" s="18" t="n">
        <x:v>6523.48</x:v>
      </x:c>
      <x:c r="AI168" s="17" t="n">
        <x:v>9</x:v>
      </x:c>
      <x:c r="AJ168" s="17" t="n">
        <x:v>1</x:v>
      </x:c>
      <x:c r="AK168" s="19" t="n">
        <x:v>1</x:v>
      </x:c>
      <x:c r="AL168" s="19" t="n">
        <x:v>1</x:v>
      </x:c>
      <x:c r="AM168" s="19" t="n">
        <x:v>0</x:v>
      </x:c>
      <x:c r="AN168" s="17" t="str">
        <x:v>[
  "plate.basic_info",
  "plate.quote",
  "industry.constitution.agg"
]</x:v>
      </x:c>
    </x:row>
    <x:row r="169" ht="58" customHeight="1">
      <x:c r="A169" s="17" t="str">
        <x:v>BUS165</x:v>
      </x:c>
      <x:c r="B169" s="17" t="str">
        <x:v>查询沪深300ETF的基金代码、简称和全称。</x:v>
      </x:c>
      <x:c r="C169" s="17" t="str">
        <x:v>fund</x:v>
      </x:c>
      <x:c r="D169" s="17" t="str">
        <x:v>fund.basic_info</x:v>
      </x:c>
      <x:c r="E169" s="17" t="str"/>
      <x:c r="F169" s="17" t="str">
        <x:v>financial_qa_cc</x:v>
      </x:c>
      <x:c r="G169" s="17" t="str">
        <x:v>否</x:v>
      </x:c>
      <x:c r="H169" s="18" t="n">
        <x:v>26163.19</x:v>
      </x:c>
      <x:c r="I169" s="18" t="n">
        <x:f>IFERROR(H169/1000,"")</x:f>
        <x:v>26.16319</x:v>
      </x:c>
      <x:c r="J169" s="17" t="n">
        <x:v>5</x:v>
      </x:c>
      <x:c r="K169" s="17" t="str">
        <x:v>成功</x:v>
      </x:c>
      <x:c r="L169" s="17" t="n">
        <x:v>3</x:v>
      </x:c>
      <x:c r="M169" s="17" t="n">
        <x:v>3</x:v>
      </x:c>
      <x:c r="N169" s="17" t="n">
        <x:v>0</x:v>
      </x:c>
      <x:c r="O169" s="17" t="n">
        <x:v>0</x:v>
      </x:c>
      <x:c r="P169" s="17" t="n">
        <x:v>0</x:v>
      </x:c>
      <x:c r="Q169" s="17" t="n">
        <x:v>0</x:v>
      </x:c>
      <x:c r="R169" s="19" t="n">
        <x:f>IFERROR((M169+N169)/L169,"")</x:f>
        <x:v>1</x:v>
      </x:c>
      <x:c r="S169" s="17" t="n">
        <x:v>0</x:v>
      </x:c>
      <x:c r="T169" s="17" t="n">
        <x:v>0</x:v>
      </x:c>
      <x:c r="U169" s="17" t="n">
        <x:v>6083</x:v>
      </x:c>
      <x:c r="V169" s="17" t="str">
        <x:v>部分正确</x:v>
      </x:c>
      <x:c r="W169" s="19" t="n">
        <x:v>1</x:v>
      </x:c>
      <x:c r="X169" s="17" t="str">
        <x:v>否</x:v>
      </x:c>
      <x:c r="Y169" s="17" t="str"/>
      <x:c r="Z169" s="17" t="str">
        <x:v>查询到名称中包含"沪深300ETF"的基金共10只，其中**真正的ETF（交易型开放式指数基金）**有8只，信息如下：
| 代码 | 基金简称 | 基金全称 |
|------|---------|---------|
| **510300.SH** | 华泰柏瑞沪深300ETF | 华泰柏瑞沪深300交易型开放式指数证券投资基金 |
| **159919.SZ** | 嘉实沪深300ETF | 嘉实沪深300交易型开放式指数证券投资基金 |
| **159925.SZ** | 南方沪深300ETF | 南方沪深300交易型开放式指数证券投资基金 |
| **159300.SZ** | 富国沪深300ETF | 富国沪深300交易型开放式指数证券投资基金 |
| **159393.SZ** | 万家沪深300ETF | 万家沪深300交易型开放式指数证券投资基金 |
| **159330.SZ** | 沪深300ETF基金 | 东财沪深300交易型开放式指数证券投资基金 |
| **159673.SZ** | 鹏华沪深300ETF | 鹏华沪深300交易型开放式指数证券投资基金 |
| **159927.SZ** | 鹏华沪深300ETF | 鹏华沪深300交易型开放式指数证券投资基金 |
其中规模最大、流动性最好的是 **华泰柏瑞沪深300ETF（510300.SH）**，也是市场上首只沪深300ETF产品。</x:v>
      </x:c>
      <x:c r="AA169" s="17" t="str"/>
      <x:c r="AB169" s="17" t="n">
        <x:v>46235.85885774306</x:v>
      </x:c>
      <x:c r="AC169" s="17" t="n">
        <x:v>46235.85916056713</x:v>
      </x:c>
      <x:c r="AD169" s="17" t="str">
        <x:v>analysis.json</x:v>
      </x:c>
      <x:c r="AE169" s="18" t="n">
        <x:v>17273</x:v>
      </x:c>
      <x:c r="AF169" s="18" t="n">
        <x:v>8890.19</x:v>
      </x:c>
      <x:c r="AG169" s="18" t="n">
        <x:v>804.54</x:v>
      </x:c>
      <x:c r="AH169" s="18" t="n">
        <x:v>6682.84</x:v>
      </x:c>
      <x:c r="AI169" s="17" t="n">
        <x:v>5</x:v>
      </x:c>
      <x:c r="AJ169" s="17" t="n">
        <x:v>1</x:v>
      </x:c>
      <x:c r="AK169" s="19" t="n">
        <x:v>1</x:v>
      </x:c>
      <x:c r="AL169" s="19" t="n">
        <x:v>1</x:v>
      </x:c>
      <x:c r="AM169" s="19" t="n">
        <x:v>0</x:v>
      </x:c>
      <x:c r="AN169" s="17" t="str">
        <x:v>[
  "fund.basic_info"
]</x:v>
      </x:c>
    </x:row>
    <x:row r="170" ht="58" customHeight="1">
      <x:c r="A170" s="17" t="str">
        <x:v>BUS166</x:v>
      </x:c>
      <x:c r="B170" s="17" t="str">
        <x:v>查询名称包含红利的基金代码和名称。</x:v>
      </x:c>
      <x:c r="C170" s="17" t="str">
        <x:v>fund</x:v>
      </x:c>
      <x:c r="D170" s="17" t="str">
        <x:v>fund.basic_info</x:v>
      </x:c>
      <x:c r="E170" s="17" t="str"/>
      <x:c r="F170" s="17" t="str">
        <x:v>financial_qa_cc</x:v>
      </x:c>
      <x:c r="G170" s="17" t="str">
        <x:v>否</x:v>
      </x:c>
      <x:c r="H170" s="18" t="n">
        <x:v>28461.42</x:v>
      </x:c>
      <x:c r="I170" s="18" t="n">
        <x:f>IFERROR(H170/1000,"")</x:f>
        <x:v>28.461419999999997</x:v>
      </x:c>
      <x:c r="J170" s="17" t="n">
        <x:v>8</x:v>
      </x:c>
      <x:c r="K170" s="17" t="str">
        <x:v>成功</x:v>
      </x:c>
      <x:c r="L170" s="17" t="n">
        <x:v>3</x:v>
      </x:c>
      <x:c r="M170" s="17" t="n">
        <x:v>3</x:v>
      </x:c>
      <x:c r="N170" s="17" t="n">
        <x:v>0</x:v>
      </x:c>
      <x:c r="O170" s="17" t="n">
        <x:v>0</x:v>
      </x:c>
      <x:c r="P170" s="17" t="n">
        <x:v>0</x:v>
      </x:c>
      <x:c r="Q170" s="17" t="n">
        <x:v>0</x:v>
      </x:c>
      <x:c r="R170" s="19" t="n">
        <x:f>IFERROR((M170+N170)/L170,"")</x:f>
        <x:v>1</x:v>
      </x:c>
      <x:c r="S170" s="17" t="n">
        <x:v>0</x:v>
      </x:c>
      <x:c r="T170" s="17" t="n">
        <x:v>0</x:v>
      </x:c>
      <x:c r="U170" s="17" t="n">
        <x:v>14847</x:v>
      </x:c>
      <x:c r="V170" s="17" t="str">
        <x:v>部分正确</x:v>
      </x:c>
      <x:c r="W170" s="19" t="n">
        <x:v>1</x:v>
      </x:c>
      <x:c r="X170" s="17" t="str">
        <x:v>否</x:v>
      </x:c>
      <x:c r="Y170" s="17" t="str"/>
      <x:c r="Z170" s="17" t="str">
        <x:v>查询到 **50 只**名称包含"红利"的基金，按交易所和代码列出如下：
**深交所上市 (SZ) — 26 只**
| 代码 | 名称 |
|------|------|
| 159083.SZ | 嘉实中证红利低波动100ETF |
| 159117.SZ | 鹏华港股通低波红利ETF |
| 159118.SZ | 华夏标普港股通低波红利ETF |
| 159143.SZ | 平安恒生中国央企红利ETF |
| 159188.SZ | 景顺长城标普中国A股红利100ETF |
| 159209.SZ | 招商中证全指红利质量ETF |
| 159220.SZ | 华宝标普港股通低波红利ETF |
| 159228.SZ | 长城中证红利低波100ETF |
| 159266.SZ | 港股央企红利ETF永赢 |
| 159281.SZ | 天弘中证港股通央企红利ETF |
| 159296.SZ | 华宝中证A500红利低波动ETF |
| 159307.SZ | 博时中证红利低波100ETF |
| 159332.SZ | 富国中证中央企业红利ETF |
| 159333.SZ | 万家中证港股通央企红利ETF |
| 159336.SZ | 融通中证诚通央企红利ETF |
| 159355.SZ | 华宝中证800红利低波动ETF |
| 159515.SZ | 鹏扬中证国有企业红利ETF |
| 159525.SZ | 富国中证红利低波动ETF |
| 159547.SZ | 华夏中证红利低波动ETF |
| 159549.SZ | 天弘中证红利低波动100ETF |
| 159569.SZ | 景顺长城国证港股通红利低波动率ETF |
| 159581.SZ | 万家中证红利ETF |
| 159589.SZ | 广发中证红利ETF |
| 159691.SZ | 港股红利ETF工 |
| 159708.SZ | 红利ETF |
| 159758.SZ | 华夏中证红利质量ETF |
| 159905.SZ | 红利ETF工银 |
| 161907_1.SZ | 万家红利A |
**上交所上市 (SH) — 23 只**
| 代码 | 名称 |
|------|------|
| 501029.SH | 华宝标普中国A股红利机会ETF联接A(LOF) |
| 501059.SH | 西部利得国企红利指数增强A |
| 501072.SH | 国金红利增强 |
| 501089.SH | 方正富邦消费红利指数增强(LOF) |
| 501227.SH | 泓德红利优选混合(LOF)A |
| 501307.SH | 沪港深红利LOF |
| 510720.SH | 国泰上证国有企业红利ETF |
| 510880.SH | 华泰柏瑞上证红利ETF |
| 510890.SH | 红利低波ETF |
| 512530.SH | 建信沪深300红利ETF |
| 512890.SH | 华泰柏瑞中证红利低波动ETF |
| 513630.SH | 摩根标普港股通低波红利ETF |
| 513910.SH | 华夏中证港股通央企红利ETF |
| 513920.SH | 华安恒生港股通中国央企红利ETF |
| 515080.SH | 招商中证红利ETF |
| 515100.SH | 景顺长城中证红利低波动100ETF |
| 515180.SH | 易方达中证红利ETF |
| 515300.SH | 嘉实沪深300红利低波动ETF |
| 515450.SH | 南方标普中国A股大盘红利低波50ETF |
| 515460.SH | 南方中证全指红利质量ETF |
| 515480.SH | 南方中证红利低波动100ETF |
| 515570.SH | 山证红利ETF |
这批基金覆盖了**红利、低波红利、红利质量、央企红利、国企红利、港股红利**等多个细分策略类型，既有场内 ETF 也有 LOF 和联接基金。如果需要对其中某只做进一步分析，随时告诉我。</x:v>
      </x:c>
      <x:c r="AA170" s="17" t="str"/>
      <x:c r="AB170" s="17" t="n">
        <x:v>46235.85905050926</x:v>
      </x:c>
      <x:c r="AC170" s="17" t="n">
        <x:v>46235.85937993055</x:v>
      </x:c>
      <x:c r="AD170" s="17" t="str">
        <x:v>analysis.json</x:v>
      </x:c>
      <x:c r="AE170" s="18" t="n">
        <x:v>20812</x:v>
      </x:c>
      <x:c r="AF170" s="18" t="n">
        <x:v>7649.42</x:v>
      </x:c>
      <x:c r="AG170" s="18" t="n">
        <x:v>753.46</x:v>
      </x:c>
      <x:c r="AH170" s="18" t="n">
        <x:v>5418.83</x:v>
      </x:c>
      <x:c r="AI170" s="17" t="n">
        <x:v>8</x:v>
      </x:c>
      <x:c r="AJ170" s="17" t="n">
        <x:v>1</x:v>
      </x:c>
      <x:c r="AK170" s="19" t="n">
        <x:v>1</x:v>
      </x:c>
      <x:c r="AL170" s="19" t="n">
        <x:v>1</x:v>
      </x:c>
      <x:c r="AM170" s="19" t="n">
        <x:v>0</x:v>
      </x:c>
      <x:c r="AN170" s="17" t="str">
        <x:v>[
  "fund.basic_info"
]</x:v>
      </x:c>
    </x:row>
    <x:row r="171" ht="58" customHeight="1">
      <x:c r="A171" s="17" t="str">
        <x:v>BUS167</x:v>
      </x:c>
      <x:c r="B171" s="17" t="str">
        <x:v>查询名称包含半导体的基金列表。</x:v>
      </x:c>
      <x:c r="C171" s="17" t="str">
        <x:v>fund</x:v>
      </x:c>
      <x:c r="D171" s="17" t="str">
        <x:v>fund.basic_info</x:v>
      </x:c>
      <x:c r="E171" s="17" t="str"/>
      <x:c r="F171" s="17" t="str">
        <x:v>financial_qa_cc</x:v>
      </x:c>
      <x:c r="G171" s="17" t="str">
        <x:v>否</x:v>
      </x:c>
      <x:c r="H171" s="18" t="n">
        <x:v>23351.32</x:v>
      </x:c>
      <x:c r="I171" s="18" t="n">
        <x:f>IFERROR(H171/1000,"")</x:f>
        <x:v>23.35132</x:v>
      </x:c>
      <x:c r="J171" s="17" t="n">
        <x:v>4</x:v>
      </x:c>
      <x:c r="K171" s="17" t="str">
        <x:v>成功</x:v>
      </x:c>
      <x:c r="L171" s="17" t="n">
        <x:v>3</x:v>
      </x:c>
      <x:c r="M171" s="17" t="n">
        <x:v>3</x:v>
      </x:c>
      <x:c r="N171" s="17" t="n">
        <x:v>0</x:v>
      </x:c>
      <x:c r="O171" s="17" t="n">
        <x:v>0</x:v>
      </x:c>
      <x:c r="P171" s="17" t="n">
        <x:v>0</x:v>
      </x:c>
      <x:c r="Q171" s="17" t="n">
        <x:v>0</x:v>
      </x:c>
      <x:c r="R171" s="19" t="n">
        <x:f>IFERROR((M171+N171)/L171,"")</x:f>
        <x:v>1</x:v>
      </x:c>
      <x:c r="S171" s="17" t="n">
        <x:v>0</x:v>
      </x:c>
      <x:c r="T171" s="17" t="n">
        <x:v>0</x:v>
      </x:c>
      <x:c r="U171" s="17" t="n">
        <x:v>13753</x:v>
      </x:c>
      <x:c r="V171" s="17" t="str">
        <x:v>部分正确</x:v>
      </x:c>
      <x:c r="W171" s="19" t="n">
        <x:v>1</x:v>
      </x:c>
      <x:c r="X171" s="17" t="str">
        <x:v>否</x:v>
      </x:c>
      <x:c r="Y171" s="17" t="str"/>
      <x:c r="Z171" s="17" t="str">
        <x:v>查询到名称包含"半导体"的基金共 **18只**，全部为ETF（含2只QDII），以下是完整列表：
| 代码 | 基金简称 |
|:---:|:---|
| 159325.SZ | 南方中证半导体行业精选ETF |
| 159327.SZ | 万家中证半导体材料设备主题ETF |
| 159516.SZ | 国泰中证半导体材料设备主题ETF |
| 159558.SZ | 易方达中证半导体材料设备主题ETF |
| 159582.SZ | 博时中证半导体产业ETF |
| 159665.SZ | 半导体龙头ETF工银 |
| 159801.SZ | 广发国证半导体芯片ETF |
| 159995.SZ | 华夏国证半导体芯片ETF |
| 501225.SH | 景顺长城全球半导体芯片股票A(QDII-LOF) |
| 512480.SH | 国联安半导体ETF |
| 512760.SH | 国泰CES半导体芯片行业ETF |
| 513310.SH | 华泰柏瑞中证韩交所中韩半导体ETF(QDII) |
| 560780.SH | 广发中证半导体材料设备ETF |
| 561980.SH | 招商中证半导体产业ETF |
| 562590.SH | 华夏中证半导体材料设备主题ETF |
| 588170.SH | 华夏上证科创板半导体材料设备主题ETF |
| 588710.SH | 华泰柏瑞上证科创板半导体材料设备主题ETF |
| 589020.SH | 鹏华科创板半导体材料设备主题ETF |
从类型分布来看，主要覆盖以下几个方向：
- **半导体芯片/产业**：华夏国证半导体芯片ETF（159995）、国联安半导体ETF（512480）、国泰CES半导体芯片行业ETF（512760）、招商中证半导体产业ETF（561980）等
- **半导体材料设备**：万家、国泰、易方达、华夏、广发等多只聚焦半导体材料设备主题的ETF
- **科创板半导体**：华夏、华泰柏瑞、鹏华三只科创板半导体材料设备主题ETF
- **跨境半导体**：景顺长城全球半导体芯片（QDII-LOF）和 华泰柏瑞中韩半导体ETF（QDII）
需要进一步查看某只基金的具体持仓、净值或行情表现吗？</x:v>
      </x:c>
      <x:c r="AA171" s="17" t="str"/>
      <x:c r="AB171" s="17" t="n">
        <x:v>46235.85920327546</x:v>
      </x:c>
      <x:c r="AC171" s="17" t="n">
        <x:v>46235.85947354167</x:v>
      </x:c>
      <x:c r="AD171" s="17" t="str">
        <x:v>analysis.json</x:v>
      </x:c>
      <x:c r="AE171" s="18" t="n">
        <x:v>14173</x:v>
      </x:c>
      <x:c r="AF171" s="18" t="n">
        <x:v>9178.32</x:v>
      </x:c>
      <x:c r="AG171" s="18" t="n">
        <x:v>702.58</x:v>
      </x:c>
      <x:c r="AH171" s="18" t="n">
        <x:v>5839.78</x:v>
      </x:c>
      <x:c r="AI171" s="17" t="n">
        <x:v>4</x:v>
      </x:c>
      <x:c r="AJ171" s="17" t="n">
        <x:v>1</x:v>
      </x:c>
      <x:c r="AK171" s="19" t="n">
        <x:v>1</x:v>
      </x:c>
      <x:c r="AL171" s="19" t="n">
        <x:v>1</x:v>
      </x:c>
      <x:c r="AM171" s="19" t="n">
        <x:v>0</x:v>
      </x:c>
      <x:c r="AN171" s="17" t="str">
        <x:v>[
  "fund.basic_info"
]</x:v>
      </x:c>
    </x:row>
    <x:row r="172" ht="58" customHeight="1">
      <x:c r="A172" s="17" t="str">
        <x:v>BUS168</x:v>
      </x:c>
      <x:c r="B172" s="17" t="str">
        <x:v>查询名称包含债券的基金代码和名称。</x:v>
      </x:c>
      <x:c r="C172" s="17" t="str">
        <x:v>fund</x:v>
      </x:c>
      <x:c r="D172" s="17" t="str">
        <x:v>fund.basic_info</x:v>
      </x:c>
      <x:c r="E172" s="17" t="str"/>
      <x:c r="F172" s="17" t="str">
        <x:v>financial_qa_cc</x:v>
      </x:c>
      <x:c r="G172" s="17" t="str">
        <x:v>否</x:v>
      </x:c>
      <x:c r="H172" s="18" t="n">
        <x:v>44643.41</x:v>
      </x:c>
      <x:c r="I172" s="18" t="n">
        <x:f>IFERROR(H172/1000,"")</x:f>
        <x:v>44.64341</x:v>
      </x:c>
      <x:c r="J172" s="17" t="n">
        <x:v>11</x:v>
      </x:c>
      <x:c r="K172" s="17" t="str">
        <x:v>成功</x:v>
      </x:c>
      <x:c r="L172" s="17" t="n">
        <x:v>4</x:v>
      </x:c>
      <x:c r="M172" s="17" t="n">
        <x:v>4</x:v>
      </x:c>
      <x:c r="N172" s="17" t="n">
        <x:v>0</x:v>
      </x:c>
      <x:c r="O172" s="17" t="n">
        <x:v>0</x:v>
      </x:c>
      <x:c r="P172" s="17" t="n">
        <x:v>0</x:v>
      </x:c>
      <x:c r="Q172" s="17" t="n">
        <x:v>0</x:v>
      </x:c>
      <x:c r="R172" s="19" t="n">
        <x:f>IFERROR((M172+N172)/L172,"")</x:f>
        <x:v>1</x:v>
      </x:c>
      <x:c r="S172" s="17" t="n">
        <x:v>0</x:v>
      </x:c>
      <x:c r="T172" s="17" t="n">
        <x:v>0</x:v>
      </x:c>
      <x:c r="U172" s="17" t="n">
        <x:v>9622</x:v>
      </x:c>
      <x:c r="V172" s="17" t="str">
        <x:v>部分正确</x:v>
      </x:c>
      <x:c r="W172" s="19" t="n">
        <x:v>0.9</x:v>
      </x:c>
      <x:c r="X172" s="17" t="str">
        <x:v>否</x:v>
      </x:c>
      <x:c r="Y172" s="17" t="str"/>
      <x:c r="Z172" s="17" t="str">
        <x:v>查询到名称中包含"债券"的基金共 **93** 只，全部结果如下：
| 基金代码 | 基金名称 |
|:---|:---|
| 150020.SZ | 富国汇利回报分级债券A |
| 150020\_1.SZ | 富国汇利分级债券封闭A |
| 150021.SZ | 富国汇利回报分级债券B |
| 150021\_1.SZ | 富国汇利分级债券封闭B |
| 150025.SZ | 大成景丰分级债券A |
| 150026.SZ | 大成景丰分级债券B |
| 150038.SZ | 万家添利分级债券B |
| 150039.SZ | 中欧鼎利分级债券A |
| 150040.SZ | 中欧鼎利分级债券B |
| 150041.SZ | 富国天盈分级债券B |
| 150043.SZ | 博时裕祥分级债券B |
| 150044.SZ | 海富通稳进增利分级债券A |
| 150045.SZ | 海富通稳进增利分级债券B |
| 150062.SZ | 浦银安盛增利分级债券A |
| 150063.SZ | 浦银安盛增利分级债券B |
| 150080.SZ | 国联安双佳B信用分级债券 |
| 150081.SZ | 信诚双盈分级债券B |
| 150082.SZ | 信达澳银稳定增利债券B |
| 150087.SZ | 中欧信用增利分级债券B |
| 150114.SZ | 中海惠裕分级债券发起式B |
| 150115.SZ | 长盛同丰分级债券B |
| 150119.SZ | 中欧纯债分级债券B |
| 150142.SZ | 汇添富互利分级债券B |
| 150154.SZ | 中海惠丰分级债券B |
| 150156.SZ | 中银互利分级债券B |
| 150159.SZ | 中欧纯债添利分级债券B |
| 150160.SZ | 融通通福分级债券B |
| 150161.SZ | 新华惠鑫分级债券B |
| 150166.SZ | 国富恒利分级债券B |
| 159649.SZ | 华安中债1-5年国开行债券ETF |
| 159651.SZ | 平安中债-0-3年国开行债券ETF |
| 160123\_1.SZ | 南方中证50债券指数(LOF)A |
| 160128.SZ | 南方金利定开债券A |
| 160130.SZ | 南方永利1年定期开放债券(LOF)A |
| 160513.SZ | 博时稳健回报债券(LOF)A |
| 160617.SZ | 鹏华丰润债券(LOF) |
| 160618.SZ | 鹏华丰泽债券(LOF)C |
| 160621.SZ | 鹏华丰和债券(LOF)A |
| 160621\_1.SZ | 鹏华中小企业债券 |
| 160622.SZ | 鹏华丰利债券(LOF)A |
| 160641.SZ | 鹏华丰锐债券LOF |
| 160810.SZ | 长盛同丰债券(LOF) |
| 160915.SZ | 大成景丰债券(LOF) |
| 161010.SZ | 富国天丰强化债券(LOF)A |
| 161014.SZ | 富国汇利回报定期开放债券 |
| 161015.SZ | 富国天盈债券(LOF)C |
| 161019.SZ | 富国新天锋债券(LOF)A |
| 161115.SZ | 易方达岁丰添利债券(LOF)A |
| 161117.SZ | 易方达永旭定期开放债券 |
| 161216.SZ | 国投瑞银双债债券A |
| 161614.SZ | 融通四季添利债券(LOF)A |
| 161626.SZ | 融通通福债券A |
| 161713.SZ | 招商信用添利债券(LOF)A |
| 161716.SZ | 招商双债增强债券C |
| 161813.SZ | 银华信用债券(LOF) |
| 161820.SZ | 银华纯债信用债券(LOF)A |
| 161823.SZ | 银华永兴债券发起式(LOF) |
| 161911.SZ | 万家强化收益定期开放债券 |
| 162105.SZ | 金鹰持久增利债券(LOF)C |
| 162108.SZ | 金鹰元盛债券(LOF)C |
| 162215.SZ | 宏利聚利债券(LOF) |
| 162308.SZ | 海富通稳进增利债券(LOF) |
| 162511.SZ | 国联安双佳信用债券(LOF) |
| 162712.SZ | 广发聚利债券(LOF)A |
| 162715.SZ | 广发聚源债券(LOF)A |
| 163003.SZ | 长信利鑫债券(LOF)C |
| 163005.SZ | 长信利众债券(LOF)C |
| 163112.SZ | 申万菱信定期开放债券</x:v>
      </x:c>
      <x:c r="AA172" s="17" t="str"/>
      <x:c r="AB172" s="17" t="n">
        <x:v>46235.859436631945</x:v>
      </x:c>
      <x:c r="AC172" s="17" t="n">
        <x:v>46235.85995334491</x:v>
      </x:c>
      <x:c r="AD172" s="17" t="str">
        <x:v>analysis.json</x:v>
      </x:c>
      <x:c r="AE172" s="18" t="n">
        <x:v>34246</x:v>
      </x:c>
      <x:c r="AF172" s="18" t="n">
        <x:v>10397.41</x:v>
      </x:c>
      <x:c r="AG172" s="18" t="n">
        <x:v>773.48</x:v>
      </x:c>
      <x:c r="AH172" s="18" t="n">
        <x:v>6624.89</x:v>
      </x:c>
      <x:c r="AI172" s="17" t="n">
        <x:v>11</x:v>
      </x:c>
      <x:c r="AJ172" s="17" t="n">
        <x:v>1</x:v>
      </x:c>
      <x:c r="AK172" s="19" t="n">
        <x:v>1</x:v>
      </x:c>
      <x:c r="AL172" s="19" t="n">
        <x:v>1</x:v>
      </x:c>
      <x:c r="AM172" s="19" t="n">
        <x:v>0</x:v>
      </x:c>
      <x:c r="AN172" s="17" t="str">
        <x:v>[
  "fund.basic_info"
]</x:v>
      </x:c>
    </x:row>
    <x:row r="173" ht="58" customHeight="1">
      <x:c r="A173" s="17" t="str">
        <x:v>BUS169</x:v>
      </x:c>
      <x:c r="B173" s="17" t="str">
        <x:v>查询科创50ETF基金代码和全称。</x:v>
      </x:c>
      <x:c r="C173" s="17" t="str">
        <x:v>fund</x:v>
      </x:c>
      <x:c r="D173" s="17" t="str">
        <x:v>fund.basic_info</x:v>
      </x:c>
      <x:c r="E173" s="17" t="str"/>
      <x:c r="F173" s="17" t="str">
        <x:v>financial_qa_cc</x:v>
      </x:c>
      <x:c r="G173" s="17" t="str">
        <x:v>否</x:v>
      </x:c>
      <x:c r="H173" s="18" t="n">
        <x:v>39986.91</x:v>
      </x:c>
      <x:c r="I173" s="18" t="n">
        <x:f>IFERROR(H173/1000,"")</x:f>
        <x:v>39.98691</x:v>
      </x:c>
      <x:c r="J173" s="17" t="n">
        <x:v>8</x:v>
      </x:c>
      <x:c r="K173" s="17" t="str">
        <x:v>成功</x:v>
      </x:c>
      <x:c r="L173" s="17" t="n">
        <x:v>6</x:v>
      </x:c>
      <x:c r="M173" s="17" t="n">
        <x:v>5</x:v>
      </x:c>
      <x:c r="N173" s="17" t="n">
        <x:v>0</x:v>
      </x:c>
      <x:c r="O173" s="17" t="n">
        <x:v>1</x:v>
      </x:c>
      <x:c r="P173" s="17" t="n">
        <x:v>0</x:v>
      </x:c>
      <x:c r="Q173" s="17" t="n">
        <x:v>0</x:v>
      </x:c>
      <x:c r="R173" s="19" t="n">
        <x:f>IFERROR((M173+N173)/L173,"")</x:f>
        <x:v>0.8333333333333334</x:v>
      </x:c>
      <x:c r="S173" s="17" t="n">
        <x:v>0</x:v>
      </x:c>
      <x:c r="T173" s="17" t="n">
        <x:v>0</x:v>
      </x:c>
      <x:c r="U173" s="17" t="n">
        <x:v>11337</x:v>
      </x:c>
      <x:c r="V173" s="17" t="str">
        <x:v>部分正确</x:v>
      </x:c>
      <x:c r="W173" s="19" t="n">
        <x:v>0.95</x:v>
      </x:c>
      <x:c r="X173" s="17" t="str">
        <x:v>否</x:v>
      </x:c>
      <x:c r="Y173" s="17" t="str"/>
      <x:c r="Z173" s="17" t="str">
        <x:v>以下是当前市场上跟踪科创50指数的ETF基金及其代码和全称：
| 基金代码 | 基金简称 | 基金全称 |
|:---:|:---|:---|
| **588000.SH** | 华夏上证科创板50成份ETF | 华夏上证科创板50成份交易型开放式指数证券投资基金 |
| **588050.SH** | 科创50ETF工银 | 工银瑞信上证科创板50成份交易型开放式指数证券投资基金 |
| **588060.SH** | 广发科创50ETF | 广发上证科创板50成份交易型开放式指数证券投资基金 |
| **589850.SH** | 科创50ETF东财 | 东财上证科创板50成份交易型开放式指数证券投资基金 |
| **588460.SH** | 科创50增强ETF | 鹏华上证科创板50成份增强策略交易型开放式指数证券投资基金 |
其中，**588000.SH（华夏上证科创板50成份ETF）** 是规模最大、流动性最好的科创50ETF，通常被市场直接称为"科创50ETF"；**588460.SH** 为增强策略型ETF，其余四只均为被动跟踪型。</x:v>
      </x:c>
      <x:c r="AA173" s="17" t="str"/>
      <x:c r="AB173" s="17" t="n">
        <x:v>46235.85954152778</x:v>
      </x:c>
      <x:c r="AC173" s="17" t="n">
        <x:v>46235.86000434028</x:v>
      </x:c>
      <x:c r="AD173" s="17" t="str">
        <x:v>analysis.json</x:v>
      </x:c>
      <x:c r="AE173" s="18" t="n">
        <x:v>24754</x:v>
      </x:c>
      <x:c r="AF173" s="18" t="n">
        <x:v>15232.91</x:v>
      </x:c>
      <x:c r="AG173" s="18" t="n">
        <x:v>729.76</x:v>
      </x:c>
      <x:c r="AH173" s="18" t="n">
        <x:v>6840.51</x:v>
      </x:c>
      <x:c r="AI173" s="17" t="n">
        <x:v>8</x:v>
      </x:c>
      <x:c r="AJ173" s="17" t="n">
        <x:v>1</x:v>
      </x:c>
      <x:c r="AK173" s="19" t="n">
        <x:v>0.8333</x:v>
      </x:c>
      <x:c r="AL173" s="19" t="n">
        <x:v>0.8333</x:v>
      </x:c>
      <x:c r="AM173" s="19" t="n">
        <x:v>0.1667</x:v>
      </x:c>
      <x:c r="AN173" s="17" t="str">
        <x:v>[
  "fund.basic_info"
]</x:v>
      </x:c>
    </x:row>
    <x:row r="174" ht="58" customHeight="1">
      <x:c r="A174" s="17" t="str">
        <x:v>BUS170</x:v>
      </x:c>
      <x:c r="B174" s="17" t="str">
        <x:v>查询名称包含创业板的基金。</x:v>
      </x:c>
      <x:c r="C174" s="17" t="str">
        <x:v>fund</x:v>
      </x:c>
      <x:c r="D174" s="17" t="str">
        <x:v>fund.basic_info</x:v>
      </x:c>
      <x:c r="E174" s="17" t="str"/>
      <x:c r="F174" s="17" t="str">
        <x:v>financial_qa_cc</x:v>
      </x:c>
      <x:c r="G174" s="17" t="str">
        <x:v>否</x:v>
      </x:c>
      <x:c r="H174" s="18" t="n">
        <x:v>32769.09</x:v>
      </x:c>
      <x:c r="I174" s="18" t="n">
        <x:f>IFERROR(H174/1000,"")</x:f>
        <x:v>32.76909</x:v>
      </x:c>
      <x:c r="J174" s="17" t="n">
        <x:v>9</x:v>
      </x:c>
      <x:c r="K174" s="17" t="str">
        <x:v>成功</x:v>
      </x:c>
      <x:c r="L174" s="17" t="n">
        <x:v>3</x:v>
      </x:c>
      <x:c r="M174" s="17" t="n">
        <x:v>3</x:v>
      </x:c>
      <x:c r="N174" s="17" t="n">
        <x:v>0</x:v>
      </x:c>
      <x:c r="O174" s="17" t="n">
        <x:v>0</x:v>
      </x:c>
      <x:c r="P174" s="17" t="n">
        <x:v>0</x:v>
      </x:c>
      <x:c r="Q174" s="17" t="n">
        <x:v>0</x:v>
      </x:c>
      <x:c r="R174" s="19" t="n">
        <x:f>IFERROR((M174+N174)/L174,"")</x:f>
        <x:v>1</x:v>
      </x:c>
      <x:c r="S174" s="17" t="n">
        <x:v>0</x:v>
      </x:c>
      <x:c r="T174" s="17" t="n">
        <x:v>0</x:v>
      </x:c>
      <x:c r="U174" s="17" t="n">
        <x:v>7220</x:v>
      </x:c>
      <x:c r="V174" s="17" t="str">
        <x:v>部分正确</x:v>
      </x:c>
      <x:c r="W174" s="19" t="n">
        <x:v>1</x:v>
      </x:c>
      <x:c r="X174" s="17" t="str">
        <x:v>否</x:v>
      </x:c>
      <x:c r="Y174" s="17" t="str"/>
      <x:c r="Z174" s="17" t="str">
        <x:v>共有 **50 只**名称包含"创业板"的基金，按类型分布如下：
### 📊 创业板ETF（跟踪创业板指）
`159247.SZ` 汇添富创业板ETF、`159205.SZ` 创业板ETF东财、`159287.SZ` 博时创业板综合ETF、`159288.SZ` 创业板综ETF银华、`159289.SZ` 鹏华创业板综合ETF、`159290.SZ` 创业板综指增强ETF东财、`159291.SZ` 招商创业板综合增强策略ETF、`159292.SZ` 华宝创业板综合增强策略ETF、`159293.SZ` 建信创业板综合增强策略ETF、`159295.SZ` 西部利得创业板综合ETF、`159541.SZ` 万家创业板综合ETF、`159563.SZ` 华夏创业板综合ETF、`159270.SZ` 南方创业板200ETF、`159571.SZ` 富国创业板200ETF、`159572.SZ` 易方达创业板200ETF
### 📊 创业板50ETF
`159369.SZ` 易方达创业板50ETF、`159367.SZ` 华夏创业板50ETF、`159371.SZ` 富国创业板50ETF、`159298.SZ` 大成创业板50ETF、`159372.SZ` 万家创业板50ETF、`159373.SZ` 嘉实创业板50ETF、`159375.SZ` 国泰创业板50ETF、`159383.SZ` 华泰柏瑞创业板50ETF
### 📊 创业板行业/主题ETF（新能源、AI、医药、软件）
**新能源**：`159009.SZ` 易方达创业板新能源ETF、`159069.SZ` 华泰柏瑞创业板新能源ETF、`159076.SZ` 华宝创业板新能源ETF、`159122.SZ` 富国创业板新能源ETF、`159149.SZ` 创业板新能源ETF工银、`159187.SZ` 景顺长城创业板新能源ETF、`159190.SZ` 天弘创业板新能源ETF、`159261.SZ` 鹏华创业板新能源ETF、`159368.SZ` 华夏创业板新能源ETF、`159387.SZ` 国泰创业板新能源ETF
**人工智能**：`159242.SZ` 大成创业板人工智能ETF、`159243.SZ` 招商创业板人工智能ETF、`159246.SZ` 富国创业板人工智能ETF、`159279.SZ` 华安创业板人工智能ETF、`159363.SZ` 华宝创业板人工智能ETF、`159381.SZ` 华夏创业板人工智能ETF、`159382.SZ` 南方创业板人工智能ETF、`159388.SZ` 国泰创业板人工智能ETF
**医药/软件**：`159377.SZ` 国泰创业板医药卫生ETF、`159107.SZ` 富国创业板软件ETF、`159256.SZ` 华夏创业板软件ETF
### 📊 创业板分级基金
`150152.SZ` 富国创业板指数分级A、`150153.SZ` 富国创业板指数分级B、`150243.SZ` 鹏华创业板分级A、`150244.SZ` 鹏华创业板分级B、`150303.SZ` 华安创业板50指数分级A、`150304.SZ` 华安创业板50指数分级B
---
从数量看，近年基金公司密集布局了创业板主题ETF，尤其是**创业板50**和**创业板人工智能/新能源**等细分赛道。如果对某只基金的具体信息（规模、净值、跟踪指数等）感兴趣，可以进一步查询。</x:v>
      </x:c>
      <x:c r="AA174" s="17" t="str"/>
      <x:c r="AB174" s="17" t="n">
        <x:v>46235.86000425926</x:v>
      </x:c>
      <x:c r="AC174" s="17" t="n">
        <x:v>46235.86038355324</x:v>
      </x:c>
      <x:c r="AD174" s="17" t="str">
        <x:v>analysis.json</x:v>
      </x:c>
      <x:c r="AE174" s="18" t="n">
        <x:v>22023</x:v>
      </x:c>
      <x:c r="AF174" s="18" t="n">
        <x:v>10746.09</x:v>
      </x:c>
      <x:c r="AG174" s="18" t="n">
        <x:v>884.78</x:v>
      </x:c>
      <x:c r="AH174" s="18" t="n">
        <x:v>7412.24</x:v>
      </x:c>
      <x:c r="AI174" s="17" t="n">
        <x:v>9</x:v>
      </x:c>
      <x:c r="AJ174" s="17" t="n">
        <x:v>1</x:v>
      </x:c>
      <x:c r="AK174" s="19" t="n">
        <x:v>1</x:v>
      </x:c>
      <x:c r="AL174" s="19" t="n">
        <x:v>1</x:v>
      </x:c>
      <x:c r="AM174" s="19" t="n">
        <x:v>0</x:v>
      </x:c>
      <x:c r="AN174" s="17" t="str">
        <x:v>[
  "fund.basic_info"
]</x:v>
      </x:c>
    </x:row>
    <x:row r="175" ht="58" customHeight="1">
      <x:c r="A175" s="17" t="str">
        <x:v>BUS171</x:v>
      </x:c>
      <x:c r="B175" s="17" t="str">
        <x:v>沪深300ETF当前价格、涨跌幅和成交额是多少？</x:v>
      </x:c>
      <x:c r="C175" s="17" t="str">
        <x:v>fund</x:v>
      </x:c>
      <x:c r="D175" s="17" t="str">
        <x:v>fund.quote</x:v>
      </x:c>
      <x:c r="E175" s="17" t="str"/>
      <x:c r="F175" s="17" t="str">
        <x:v>financial_qa_cc</x:v>
      </x:c>
      <x:c r="G175" s="17" t="str">
        <x:v>否</x:v>
      </x:c>
      <x:c r="H175" s="18" t="n">
        <x:v>35162.79</x:v>
      </x:c>
      <x:c r="I175" s="18" t="n">
        <x:f>IFERROR(H175/1000,"")</x:f>
        <x:v>35.16279</x:v>
      </x:c>
      <x:c r="J175" s="17" t="n">
        <x:v>9</x:v>
      </x:c>
      <x:c r="K175" s="17" t="str">
        <x:v>成功</x:v>
      </x:c>
      <x:c r="L175" s="17" t="n">
        <x:v>5</x:v>
      </x:c>
      <x:c r="M175" s="17" t="n">
        <x:v>5</x:v>
      </x:c>
      <x:c r="N175" s="17" t="n">
        <x:v>0</x:v>
      </x:c>
      <x:c r="O175" s="17" t="n">
        <x:v>0</x:v>
      </x:c>
      <x:c r="P175" s="17" t="n">
        <x:v>0</x:v>
      </x:c>
      <x:c r="Q175" s="17" t="n">
        <x:v>0</x:v>
      </x:c>
      <x:c r="R175" s="19" t="n">
        <x:f>IFERROR((M175+N175)/L175,"")</x:f>
        <x:v>1</x:v>
      </x:c>
      <x:c r="S175" s="17" t="n">
        <x:v>0</x:v>
      </x:c>
      <x:c r="T175" s="17" t="n">
        <x:v>0</x:v>
      </x:c>
      <x:c r="U175" s="17" t="n">
        <x:v>12586</x:v>
      </x:c>
      <x:c r="V175" s="17" t="str">
        <x:v>正确</x:v>
      </x:c>
      <x:c r="W175" s="19" t="n">
        <x:v>1</x:v>
      </x:c>
      <x:c r="X175" s="17" t="str">
        <x:v>否</x:v>
      </x:c>
      <x:c r="Y175" s="17" t="str"/>
      <x:c r="Z175" s="17" t="str">
        <x:v>目前市场上三只主要的沪深300ETF最新行情如下（实时数据）：
| 基金 | 最新价 | 涨跌幅 | 成交额 |
|------|--------|--------|--------|
| **华泰柏瑞沪深300ETF**（510300） | 4.653 元 | +1.04% | **70.17 亿元** |
| **嘉实沪深300ETF**（159919） | 4.851 元 | +1.10% | 12.50 亿元 |
| **华夏沪深300ETF**（510330） | 4.850 元 | +1.10% | 7.05 亿元 |
三只ETF同步上涨约 **1.0%~1.1%**，其中华泰柏瑞沪深300ETF（510300）成交额最大，达 **70.17 亿元**，流动性最为充裕。</x:v>
      </x:c>
      <x:c r="AA175" s="17" t="str"/>
      <x:c r="AB175" s="17" t="n">
        <x:v>46235.86005581018</x:v>
      </x:c>
      <x:c r="AC175" s="17" t="n">
        <x:v>46235.8604628125</x:v>
      </x:c>
      <x:c r="AD175" s="17" t="str">
        <x:v>analysis.json</x:v>
      </x:c>
      <x:c r="AE175" s="18" t="n">
        <x:v>25491</x:v>
      </x:c>
      <x:c r="AF175" s="18" t="n">
        <x:v>9671.79</x:v>
      </x:c>
      <x:c r="AG175" s="18" t="n">
        <x:v>756.36</x:v>
      </x:c>
      <x:c r="AH175" s="18" t="n">
        <x:v>5889.51</x:v>
      </x:c>
      <x:c r="AI175" s="17" t="n">
        <x:v>9</x:v>
      </x:c>
      <x:c r="AJ175" s="17" t="n">
        <x:v>1</x:v>
      </x:c>
      <x:c r="AK175" s="19" t="n">
        <x:v>1</x:v>
      </x:c>
      <x:c r="AL175" s="19" t="n">
        <x:v>1</x:v>
      </x:c>
      <x:c r="AM175" s="19" t="n">
        <x:v>0</x:v>
      </x:c>
      <x:c r="AN175" s="17" t="str">
        <x:v>[
  "fund.quote"
]</x:v>
      </x:c>
    </x:row>
    <x:row r="176" ht="58" customHeight="1">
      <x:c r="A176" s="17" t="str">
        <x:v>BUS172</x:v>
      </x:c>
      <x:c r="B176" s="17" t="str">
        <x:v>今天涨幅最高的基金前20名。</x:v>
      </x:c>
      <x:c r="C176" s="17" t="str">
        <x:v>fund</x:v>
      </x:c>
      <x:c r="D176" s="17" t="str">
        <x:v>fund.quote</x:v>
      </x:c>
      <x:c r="E176" s="17" t="str"/>
      <x:c r="F176" s="17" t="str">
        <x:v>financial_qa_cc</x:v>
      </x:c>
      <x:c r="G176" s="17" t="str">
        <x:v>否</x:v>
      </x:c>
      <x:c r="H176" s="18" t="n">
        <x:v>43560.66</x:v>
      </x:c>
      <x:c r="I176" s="18" t="n">
        <x:f>IFERROR(H176/1000,"")</x:f>
        <x:v>43.560660000000006</x:v>
      </x:c>
      <x:c r="J176" s="17" t="n">
        <x:v>8</x:v>
      </x:c>
      <x:c r="K176" s="17" t="str">
        <x:v>成功</x:v>
      </x:c>
      <x:c r="L176" s="17" t="n">
        <x:v>3</x:v>
      </x:c>
      <x:c r="M176" s="17" t="n">
        <x:v>3</x:v>
      </x:c>
      <x:c r="N176" s="17" t="n">
        <x:v>0</x:v>
      </x:c>
      <x:c r="O176" s="17" t="n">
        <x:v>0</x:v>
      </x:c>
      <x:c r="P176" s="17" t="n">
        <x:v>0</x:v>
      </x:c>
      <x:c r="Q176" s="17" t="n">
        <x:v>0</x:v>
      </x:c>
      <x:c r="R176" s="19" t="n">
        <x:f>IFERROR((M176+N176)/L176,"")</x:f>
        <x:v>1</x:v>
      </x:c>
      <x:c r="S176" s="17" t="n">
        <x:v>0</x:v>
      </x:c>
      <x:c r="T176" s="17" t="n">
        <x:v>0</x:v>
      </x:c>
      <x:c r="U176" s="17" t="n">
        <x:v>10447</x:v>
      </x:c>
      <x:c r="V176" s="17" t="str">
        <x:v>正确</x:v>
      </x:c>
      <x:c r="W176" s="19" t="n">
        <x:v>1</x:v>
      </x:c>
      <x:c r="X176" s="17" t="str">
        <x:v>否</x:v>
      </x:c>
      <x:c r="Y176" s="17" t="str"/>
      <x:c r="Z176" s="17" t="str">
        <x:v>今天是8月2日（周日），数据取自最近交易日 **7月31日（周五）**，以下是涨幅最高的前20只基金：
**7月31日涨幅前20名基金**
| 排名 | 基金代码 | 基金名称 | 涨幅(%) | 收盘价(元) |
|:---:|:---:|---|:---:|:---:|
| 1 | 159527.SZ | 广发中证云计算与大数据ETF | **9.86** | 0.713 |
| 2 | 159725.SZ | 线上消费ETF工银 | **9.47** | 0.798 |
| 3 | 159256.SZ | 华夏创业板软件ETF | **9.45** | 0.834 |
| 4 | 159107.SZ | 富国创业板软件ETF | **8.95** | 0.755 |
| 5 | 159388.SZ | 国泰创业板人工智能ETF | **8.31** | 0.925 |
| 6 | 159243.SZ | 招商创业板人工智能ETF | **8.18** | 1.150 |
| 7 | 159381.SZ | 华夏创业板人工智能ETF | **8.18** | 1.071 |
| 8 | 159279.SZ | 华安创业板人工智能ETF | **8.17** | 1.284 |
| 9 | 159586.SZ | 南方中证全指计算机ETF | **8.06** | 1.086 |
| 10 | 159242.SZ | 大成创业板人工智能ETF | **7.86** | 1.907 |
| 11 | 159382.SZ | 南方创业板人工智能ETF | **7.74** | 2.409 |
| 12 | 159246.SZ | 富国创业板人工智能ETF | **7.71** | 1.062 |
| 13 | 588530.SH | 科创创业人工智能ETF中银证券 | **7.68** | 0.939 |
| 14 | 159363.SZ | 华宝创业板人工智能ETF | **7.55** | 1.126 |
| 15 | 588850.SH | 嘉实上证科创板工业机械ETF | **7.50** | 1.591 |
| 16 | 588510.SH | 华夏中证科创创业人工智能ETF | **7.44** | 0.852 |
| 17 | 159139.SZ | 华泰柏瑞中证科创创业人工智能ETF | **7.24** | 1.245 |
| 18 | 159145.SZ | 广发国证工业软件主题ETF | **7.23** | 0.816 |
| 19 | 588410.SH | 鹏华中证科创创业人工智能ETF | **7.19** | 1.193 |
| 20 | 160644.SZ | 鹏华港美互联股票(LOF) | **7.16** | 1.572 |
**结构性特征：** 当天涨幅靠前的基金高度集中在 **人工智能（AI）、软件、云计算** 等科技主题ETF上，前20名中有12只与AI/人工智能直接相关，另有3只软件/计算机ETF。广发中证云计算与大数据ETF以9.86%领涨全场，接近涨停。</x:v>
      </x:c>
      <x:c r="AA176" s="17" t="str"/>
      <x:c r="AB176" s="17" t="n">
        <x:v>46235.86043621528</x:v>
      </x:c>
      <x:c r="AC176" s="17" t="n">
        <x:v>46235.860940405095</x:v>
      </x:c>
      <x:c r="AD176" s="17" t="str">
        <x:v>analysis.json</x:v>
      </x:c>
      <x:c r="AE176" s="18" t="n">
        <x:v>28761</x:v>
      </x:c>
      <x:c r="AF176" s="18" t="n">
        <x:v>14799.66</x:v>
      </x:c>
      <x:c r="AG176" s="18" t="n">
        <x:v>867.9</x:v>
      </x:c>
      <x:c r="AH176" s="18" t="n">
        <x:v>9406.72</x:v>
      </x:c>
      <x:c r="AI176" s="17" t="n">
        <x:v>8</x:v>
      </x:c>
      <x:c r="AJ176" s="17" t="n">
        <x:v>1</x:v>
      </x:c>
      <x:c r="AK176" s="19" t="n">
        <x:v>1</x:v>
      </x:c>
      <x:c r="AL176" s="19" t="n">
        <x:v>1</x:v>
      </x:c>
      <x:c r="AM176" s="19" t="n">
        <x:v>0</x:v>
      </x:c>
      <x:c r="AN176" s="17" t="str">
        <x:v>[
  "fund.quote"
]</x:v>
      </x:c>
    </x:row>
    <x:row r="177" ht="58" customHeight="1">
      <x:c r="A177" s="17" t="str">
        <x:v>BUS173</x:v>
      </x:c>
      <x:c r="B177" s="17" t="str">
        <x:v>筛选今天成交额超过1亿元且上涨的基金。</x:v>
      </x:c>
      <x:c r="C177" s="17" t="str">
        <x:v>fund</x:v>
      </x:c>
      <x:c r="D177" s="17" t="str">
        <x:v>fund.quote</x:v>
      </x:c>
      <x:c r="E177" s="17" t="str"/>
      <x:c r="F177" s="17" t="str">
        <x:v>financial_qa_cc</x:v>
      </x:c>
      <x:c r="G177" s="17" t="str">
        <x:v>否</x:v>
      </x:c>
      <x:c r="H177" s="18" t="n">
        <x:v>29215.5</x:v>
      </x:c>
      <x:c r="I177" s="18" t="n">
        <x:f>IFERROR(H177/1000,"")</x:f>
        <x:v>29.2155</x:v>
      </x:c>
      <x:c r="J177" s="17" t="n">
        <x:v>6</x:v>
      </x:c>
      <x:c r="K177" s="17" t="str">
        <x:v>成功</x:v>
      </x:c>
      <x:c r="L177" s="17" t="n">
        <x:v>3</x:v>
      </x:c>
      <x:c r="M177" s="17" t="n">
        <x:v>3</x:v>
      </x:c>
      <x:c r="N177" s="17" t="n">
        <x:v>0</x:v>
      </x:c>
      <x:c r="O177" s="17" t="n">
        <x:v>0</x:v>
      </x:c>
      <x:c r="P177" s="17" t="n">
        <x:v>0</x:v>
      </x:c>
      <x:c r="Q177" s="17" t="n">
        <x:v>0</x:v>
      </x:c>
      <x:c r="R177" s="19" t="n">
        <x:f>IFERROR((M177+N177)/L177,"")</x:f>
        <x:v>1</x:v>
      </x:c>
      <x:c r="S177" s="17" t="n">
        <x:v>0</x:v>
      </x:c>
      <x:c r="T177" s="17" t="n">
        <x:v>0</x:v>
      </x:c>
      <x:c r="U177" s="17" t="n">
        <x:v>18964</x:v>
      </x:c>
      <x:c r="V177" s="17" t="str">
        <x:v>部分正确</x:v>
      </x:c>
      <x:c r="W177" s="19" t="n">
        <x:v>1</x:v>
      </x:c>
      <x:c r="X177" s="17" t="str">
        <x:v>否</x:v>
      </x:c>
      <x:c r="Y177" s="17" t="str"/>
      <x:c r="Z177" s="17" t="str">
        <x:v>以下是 **2026-07-31（周五）** 成交额超过1亿元且上涨的基金，共50只，按成交额从高到低排序：
**成交额前10：**
| 基金名称 | 涨跌幅 | 成交额 |
|---------|-------|-------|
| 海富通中证短融ETF | +0.01% | 372.6亿 |
| 银华日利 | +0.01% | 270.2亿 |
| 华泰柏瑞中证韩交所中韩半导体ETF | **+6.93%** | 161.9亿 |
| 华夏上证科创板50成份ETF | **+3.54%** | 154.7亿 |
| 易方达创业板ETF | **+3.00%** | 150.9亿 |
| 华夏上证科创板半导体材料设备主题ETF | **+2.45%** | 136.2亿 |
| 汇添富中证AAA科创债ETF | +0.02% | 119.0亿 |
| 南方中证1000ETF | **+2.36%** | 88.4亿 |
| 华夏上证基准做市国债ETF | +0.17% | 84.2亿 |
| 华夏中证AAA科技创新公司债ETF | +0.00% | 83.4亿 |
**主要看点：**
- **科技成长类ETF领涨**：中韩半导体ETF（+6.93%）、科创板50ETF（+3.54%）、科创板芯片ETF（+3.53%）、半导体ETF（+3.55%）涨幅居前，成交额均超65亿，资金活跃度极高。
- **宽基ETF**：沪深300ETF（+1.04%，70.2亿）、中证500ETF（+2.24%，75.4亿）、中证1000ETF（南方+2.36%，88.4亿）均有可观涨幅和成交额，当日市场整体偏强。
- **债券ETF成交额大但涨幅微小**：短融ETF、国债ETF、公司债ETF等日涨幅多在0.01%~0.34%之间，但成交额动辄数十亿甚至上百亿，是场内流动性最好的品种。
- **黄金ETF**（华安黄金ETF）涨0.87%，成交额25.2亿，同样符合条件。</x:v>
      </x:c>
      <x:c r="AA177" s="17" t="str"/>
      <x:c r="AB177" s="17" t="n">
        <x:v>46235.86053686342</x:v>
      </x:c>
      <x:c r="AC177" s="17" t="n">
        <x:v>46235.86087502315</x:v>
      </x:c>
      <x:c r="AD177" s="17" t="str">
        <x:v>analysis.json</x:v>
      </x:c>
      <x:c r="AE177" s="18" t="n">
        <x:v>19223</x:v>
      </x:c>
      <x:c r="AF177" s="18" t="n">
        <x:v>9992.5</x:v>
      </x:c>
      <x:c r="AG177" s="18" t="n">
        <x:v>1772.11</x:v>
      </x:c>
      <x:c r="AH177" s="18" t="n">
        <x:v>6541.01</x:v>
      </x:c>
      <x:c r="AI177" s="17" t="n">
        <x:v>6</x:v>
      </x:c>
      <x:c r="AJ177" s="17" t="n">
        <x:v>1</x:v>
      </x:c>
      <x:c r="AK177" s="19" t="n">
        <x:v>1</x:v>
      </x:c>
      <x:c r="AL177" s="19" t="n">
        <x:v>1</x:v>
      </x:c>
      <x:c r="AM177" s="19" t="n">
        <x:v>0</x:v>
      </x:c>
      <x:c r="AN177" s="17" t="str">
        <x:v>[
  "fund.quote"
]</x:v>
      </x:c>
    </x:row>
    <x:row r="178" ht="58" customHeight="1">
      <x:c r="A178" s="17" t="str">
        <x:v>BUS174</x:v>
      </x:c>
      <x:c r="B178" s="17" t="str">
        <x:v>查询创业板ETF最近10个交易日收盘价和涨跌幅。</x:v>
      </x:c>
      <x:c r="C178" s="17" t="str">
        <x:v>fund</x:v>
      </x:c>
      <x:c r="D178" s="17" t="str">
        <x:v>fund.quote</x:v>
      </x:c>
      <x:c r="E178" s="17" t="str"/>
      <x:c r="F178" s="17" t="str">
        <x:v>financial_qa_cc</x:v>
      </x:c>
      <x:c r="G178" s="17" t="str">
        <x:v>否</x:v>
      </x:c>
      <x:c r="H178" s="18" t="n">
        <x:v>28897.15</x:v>
      </x:c>
      <x:c r="I178" s="18" t="n">
        <x:f>IFERROR(H178/1000,"")</x:f>
        <x:v>28.89715</x:v>
      </x:c>
      <x:c r="J178" s="17" t="n">
        <x:v>8</x:v>
      </x:c>
      <x:c r="K178" s="17" t="str">
        <x:v>成功</x:v>
      </x:c>
      <x:c r="L178" s="17" t="n">
        <x:v>3</x:v>
      </x:c>
      <x:c r="M178" s="17" t="n">
        <x:v>3</x:v>
      </x:c>
      <x:c r="N178" s="17" t="n">
        <x:v>0</x:v>
      </x:c>
      <x:c r="O178" s="17" t="n">
        <x:v>0</x:v>
      </x:c>
      <x:c r="P178" s="17" t="n">
        <x:v>0</x:v>
      </x:c>
      <x:c r="Q178" s="17" t="n">
        <x:v>0</x:v>
      </x:c>
      <x:c r="R178" s="19" t="n">
        <x:f>IFERROR((M178+N178)/L178,"")</x:f>
        <x:v>1</x:v>
      </x:c>
      <x:c r="S178" s="17" t="n">
        <x:v>0</x:v>
      </x:c>
      <x:c r="T178" s="17" t="n">
        <x:v>0</x:v>
      </x:c>
      <x:c r="U178" s="17" t="n">
        <x:v>15510</x:v>
      </x:c>
      <x:c r="V178" s="17" t="str">
        <x:v>正确</x:v>
      </x:c>
      <x:c r="W178" s="19" t="n">
        <x:v>1</x:v>
      </x:c>
      <x:c r="X178" s="17" t="str">
        <x:v>否</x:v>
      </x:c>
      <x:c r="Y178" s="17" t="str"/>
      <x:c r="Z178" s="17" t="str">
        <x:v>以下是易方达创业板ETF（159915）最近10个交易日的收盘价与涨跌幅：
| 交易日期 | 收盘价（元） | 涨跌幅 |
|:---:|:---:|:---:|
| 2026-07-20 | 3.477 | +0.40% |
| 2026-07-21 | 3.709 | **+6.67%** |
| 2026-07-22 | 3.586 | -3.32% |
| 2026-07-23 | 3.597 | +0.31% |
| 2026-07-24 | 3.508 | -2.47% |
| 2026-07-27 | 3.612 | +2.96% |
| 2026-07-28 | 3.355 | **-7.12%** |
| 2026-07-29 | 3.402 | +1.40% |
| 2026-07-30 | 3.270 | -3.88% |
| 2026-07-31 | 3.368 | +3.00% |
整体来看，这10个交易日波动较大。7月21日单日大涨6.67%触及区间高点3.709元，但随后震荡回落，7月28日大跌7.12%创下区间低点3.355元，之后有所修复，最新一个交易日（7月31日）收于3.368元，反弹3.00%。区间累计跌幅约3.1%。</x:v>
      </x:c>
      <x:c r="AA178" s="17" t="str"/>
      <x:c r="AB178" s="17" t="n">
        <x:v>46235.8609403125</x:v>
      </x:c>
      <x:c r="AC178" s="17" t="n">
        <x:v>46235.861274780094</x:v>
      </x:c>
      <x:c r="AD178" s="17" t="str">
        <x:v>analysis.json</x:v>
      </x:c>
      <x:c r="AE178" s="18" t="n">
        <x:v>18579</x:v>
      </x:c>
      <x:c r="AF178" s="18" t="n">
        <x:v>10318.15</x:v>
      </x:c>
      <x:c r="AG178" s="18" t="n">
        <x:v>1044.54</x:v>
      </x:c>
      <x:c r="AH178" s="18" t="n">
        <x:v>7889.19</x:v>
      </x:c>
      <x:c r="AI178" s="17" t="n">
        <x:v>8</x:v>
      </x:c>
      <x:c r="AJ178" s="17" t="n">
        <x:v>1</x:v>
      </x:c>
      <x:c r="AK178" s="19" t="n">
        <x:v>1</x:v>
      </x:c>
      <x:c r="AL178" s="19" t="n">
        <x:v>1</x:v>
      </x:c>
      <x:c r="AM178" s="19" t="n">
        <x:v>0</x:v>
      </x:c>
      <x:c r="AN178" s="17" t="str">
        <x:v>[
  "fund.quote"
]</x:v>
      </x:c>
    </x:row>
    <x:row r="179" ht="58" customHeight="1">
      <x:c r="A179" s="17" t="str">
        <x:v>BUS176</x:v>
      </x:c>
      <x:c r="B179" s="17" t="str">
        <x:v>过去20个交易日累计涨幅最高的基金前10名。</x:v>
      </x:c>
      <x:c r="C179" s="17" t="str">
        <x:v>fund</x:v>
      </x:c>
      <x:c r="D179" s="17" t="str">
        <x:v>fund.quote</x:v>
      </x:c>
      <x:c r="E179" s="17" t="str"/>
      <x:c r="F179" s="17" t="str">
        <x:v>financial_qa_cc</x:v>
      </x:c>
      <x:c r="G179" s="17" t="str">
        <x:v>否</x:v>
      </x:c>
      <x:c r="H179" s="18" t="n">
        <x:v>28054.72</x:v>
      </x:c>
      <x:c r="I179" s="18" t="n">
        <x:f>IFERROR(H179/1000,"")</x:f>
        <x:v>28.05472</x:v>
      </x:c>
      <x:c r="J179" s="17" t="n">
        <x:v>7</x:v>
      </x:c>
      <x:c r="K179" s="17" t="str">
        <x:v>成功</x:v>
      </x:c>
      <x:c r="L179" s="17" t="n">
        <x:v>3</x:v>
      </x:c>
      <x:c r="M179" s="17" t="n">
        <x:v>3</x:v>
      </x:c>
      <x:c r="N179" s="17" t="n">
        <x:v>0</x:v>
      </x:c>
      <x:c r="O179" s="17" t="n">
        <x:v>0</x:v>
      </x:c>
      <x:c r="P179" s="17" t="n">
        <x:v>0</x:v>
      </x:c>
      <x:c r="Q179" s="17" t="n">
        <x:v>0</x:v>
      </x:c>
      <x:c r="R179" s="19" t="n">
        <x:f>IFERROR((M179+N179)/L179,"")</x:f>
        <x:v>1</x:v>
      </x:c>
      <x:c r="S179" s="17" t="n">
        <x:v>0</x:v>
      </x:c>
      <x:c r="T179" s="17" t="n">
        <x:v>0</x:v>
      </x:c>
      <x:c r="U179" s="17" t="n">
        <x:v>8714</x:v>
      </x:c>
      <x:c r="V179" s="17" t="str">
        <x:v>正确</x:v>
      </x:c>
      <x:c r="W179" s="19" t="n">
        <x:v>1</x:v>
      </x:c>
      <x:c r="X179" s="17" t="str">
        <x:v>否</x:v>
      </x:c>
      <x:c r="Y179" s="17" t="str"/>
      <x:c r="Z179" s="17" t="str">
        <x:v>过去20个交易日累计涨幅最高的前10只基金如下：
| 排名 | 基金代码 | 基金名称 | 近20日累计涨幅 |
|:---:|:---:|:---|:---:|
| 1 | 161129.SZ | 易方达原油(QDII-LOF-FOF)A(人民币份额) | **38.36%** |
| 2 | 501018.SH | 南方原油(QDII-FOF-LOF) | **30.73%** |
| 3 | 160723.SZ | 嘉实原油(QDII-LOF) | **28.56%** |
| 4 | 501025.SH | 鹏华中证香港银行指数(LOF)A | 13.65% |
| 5 | 512690.SH | 酒ETF | 12.97% |
| 6 | 513350.SH | 富国标普石油天然气勘探及生产精选行业ETF(QDII) | 12.77% |
| 7 | 161725.SZ | 招商中证白酒指数A | 12.77% |
| 8 | 159518.SZ | 嘉实标普石油天然气勘探及生产精选行业ETF(QDII) | 12.39% |
| 9 | 160632.SZ | 鹏华酒A | 12.35% |
| 10 | 159280.SZ | 汇添富国证港股通互联网ETF | 11.84% |
**主要特征：** 前三名均为原油QDII基金，累计涨幅高达28%–38%，远超其他品种，反映近期国际油价强势上行。第4名以后涨幅集中在11%–14%区间，以港股银行、白酒消费和石油天然气行业ETF为主，结构分化明显。</x:v>
      </x:c>
      <x:c r="AA179" s="17" t="str"/>
      <x:c r="AB179" s="17" t="n">
        <x:v>46235.861018055555</x:v>
      </x:c>
      <x:c r="AC179" s="17" t="n">
        <x:v>46235.861342766206</x:v>
      </x:c>
      <x:c r="AD179" s="17" t="str">
        <x:v>analysis.json</x:v>
      </x:c>
      <x:c r="AE179" s="18" t="n">
        <x:v>19338</x:v>
      </x:c>
      <x:c r="AF179" s="18" t="n">
        <x:v>8716.72</x:v>
      </x:c>
      <x:c r="AG179" s="18" t="n">
        <x:v>688.07</x:v>
      </x:c>
      <x:c r="AH179" s="18" t="n">
        <x:v>5458.94</x:v>
      </x:c>
      <x:c r="AI179" s="17" t="n">
        <x:v>7</x:v>
      </x:c>
      <x:c r="AJ179" s="17" t="n">
        <x:v>1</x:v>
      </x:c>
      <x:c r="AK179" s="19" t="n">
        <x:v>1</x:v>
      </x:c>
      <x:c r="AL179" s="19" t="n">
        <x:v>1</x:v>
      </x:c>
      <x:c r="AM179" s="19" t="n">
        <x:v>0</x:v>
      </x:c>
      <x:c r="AN179" s="17" t="str">
        <x:v>[
  "fund.quote.kd_pct_sum"
]</x:v>
      </x:c>
    </x:row>
    <x:row r="180" ht="58" customHeight="1">
      <x:c r="A180" s="17" t="str">
        <x:v>BUS177</x:v>
      </x:c>
      <x:c r="B180" s="17" t="str">
        <x:v>比较沪深300ETF和创业板ETF最近20个交易日累计涨幅。</x:v>
      </x:c>
      <x:c r="C180" s="17" t="str">
        <x:v>fund</x:v>
      </x:c>
      <x:c r="D180" s="17" t="str">
        <x:v>fund.quote</x:v>
      </x:c>
      <x:c r="E180" s="17" t="str"/>
      <x:c r="F180" s="17" t="str">
        <x:v>financial_qa_cc</x:v>
      </x:c>
      <x:c r="G180" s="17" t="str">
        <x:v>否</x:v>
      </x:c>
      <x:c r="H180" s="18" t="n">
        <x:v>19099.84</x:v>
      </x:c>
      <x:c r="I180" s="18" t="n">
        <x:f>IFERROR(H180/1000,"")</x:f>
        <x:v>19.09984</x:v>
      </x:c>
      <x:c r="J180" s="17" t="n">
        <x:v>4</x:v>
      </x:c>
      <x:c r="K180" s="17" t="str">
        <x:v>成功</x:v>
      </x:c>
      <x:c r="L180" s="17" t="n">
        <x:v>2</x:v>
      </x:c>
      <x:c r="M180" s="17" t="n">
        <x:v>2</x:v>
      </x:c>
      <x:c r="N180" s="17" t="n">
        <x:v>0</x:v>
      </x:c>
      <x:c r="O180" s="17" t="n">
        <x:v>0</x:v>
      </x:c>
      <x:c r="P180" s="17" t="n">
        <x:v>0</x:v>
      </x:c>
      <x:c r="Q180" s="17" t="n">
        <x:v>0</x:v>
      </x:c>
      <x:c r="R180" s="19" t="n">
        <x:f>IFERROR((M180+N180)/L180,"")</x:f>
        <x:v>1</x:v>
      </x:c>
      <x:c r="S180" s="17" t="n">
        <x:v>0</x:v>
      </x:c>
      <x:c r="T180" s="17" t="n">
        <x:v>0</x:v>
      </x:c>
      <x:c r="U180" s="17" t="n">
        <x:v>6623</x:v>
      </x:c>
      <x:c r="V180" s="17" t="str">
        <x:v>正确</x:v>
      </x:c>
      <x:c r="W180" s="19" t="n">
        <x:v>1</x:v>
      </x:c>
      <x:c r="X180" s="17" t="str">
        <x:v>否</x:v>
      </x:c>
      <x:c r="Y180" s="17" t="str"/>
      <x:c r="Z180" s="17" t="str">
        <x:v>最近20个交易日，两只ETF均录得下跌，但**沪深300ETF明显跑赢创业板ETF**：
- **华泰柏瑞沪深300ETF（510300.SH）**：累计 **-4.59%**
- **易方达创业板ETF（159915.SZ）**：累计 **-15.16%**
两者差距约 **10.57 个百分点**。创业板ETF的回撤幅度是沪深300ETF的3倍以上，反映出近期市场风格明显偏向大盘蓝筹，成长股（创业板）承受了更大的调整压力。</x:v>
      </x:c>
      <x:c r="AA180" s="17" t="str"/>
      <x:c r="AB180" s="17" t="n">
        <x:v>46235.861330381944</x:v>
      </x:c>
      <x:c r="AC180" s="17" t="n">
        <x:v>46235.86155144676</x:v>
      </x:c>
      <x:c r="AD180" s="17" t="str">
        <x:v>analysis.json</x:v>
      </x:c>
      <x:c r="AE180" s="18" t="n">
        <x:v>10381</x:v>
      </x:c>
      <x:c r="AF180" s="18" t="n">
        <x:v>8718.84</x:v>
      </x:c>
      <x:c r="AG180" s="18" t="n">
        <x:v>851.9</x:v>
      </x:c>
      <x:c r="AH180" s="18" t="n">
        <x:v>6099.7</x:v>
      </x:c>
      <x:c r="AI180" s="17" t="n">
        <x:v>4</x:v>
      </x:c>
      <x:c r="AJ180" s="17" t="n">
        <x:v>1</x:v>
      </x:c>
      <x:c r="AK180" s="19" t="n">
        <x:v>1</x:v>
      </x:c>
      <x:c r="AL180" s="19" t="n">
        <x:v>1</x:v>
      </x:c>
      <x:c r="AM180" s="19" t="n">
        <x:v>0</x:v>
      </x:c>
      <x:c r="AN180" s="17" t="str">
        <x:v>[
  "fund.quote.kd_pct_sum"
]</x:v>
      </x:c>
    </x:row>
    <x:row r="181" ht="58" customHeight="1">
      <x:c r="A181" s="17" t="str">
        <x:v>BUS178</x:v>
      </x:c>
      <x:c r="B181" s="17" t="str">
        <x:v>筛选当前成交额超过5亿元且涨幅超过2%的ETF。</x:v>
      </x:c>
      <x:c r="C181" s="17" t="str">
        <x:v>fund</x:v>
      </x:c>
      <x:c r="D181" s="17" t="str">
        <x:v>fund.basic_info, fund.quote</x:v>
      </x:c>
      <x:c r="E181" s="17" t="str"/>
      <x:c r="F181" s="17" t="str">
        <x:v>financial_qa_cc</x:v>
      </x:c>
      <x:c r="G181" s="17" t="str">
        <x:v>是</x:v>
      </x:c>
      <x:c r="H181" s="18" t="n">
        <x:v>31818.56</x:v>
      </x:c>
      <x:c r="I181" s="18" t="n">
        <x:f>IFERROR(H181/1000,"")</x:f>
        <x:v>31.81856</x:v>
      </x:c>
      <x:c r="J181" s="17" t="n">
        <x:v>6</x:v>
      </x:c>
      <x:c r="K181" s="17" t="str">
        <x:v>成功</x:v>
      </x:c>
      <x:c r="L181" s="17" t="n">
        <x:v>3</x:v>
      </x:c>
      <x:c r="M181" s="17" t="n">
        <x:v>3</x:v>
      </x:c>
      <x:c r="N181" s="17" t="n">
        <x:v>0</x:v>
      </x:c>
      <x:c r="O181" s="17" t="n">
        <x:v>0</x:v>
      </x:c>
      <x:c r="P181" s="17" t="n">
        <x:v>0</x:v>
      </x:c>
      <x:c r="Q181" s="17" t="n">
        <x:v>0</x:v>
      </x:c>
      <x:c r="R181" s="19" t="n">
        <x:f>IFERROR((M181+N181)/L181,"")</x:f>
        <x:v>1</x:v>
      </x:c>
      <x:c r="S181" s="17" t="n">
        <x:v>0</x:v>
      </x:c>
      <x:c r="T181" s="17" t="n">
        <x:v>0</x:v>
      </x:c>
      <x:c r="U181" s="17" t="n">
        <x:v>12185</x:v>
      </x:c>
      <x:c r="V181" s="17" t="str">
        <x:v>部分正确</x:v>
      </x:c>
      <x:c r="W181" s="19" t="n">
        <x:v>0.9</x:v>
      </x:c>
      <x:c r="X181" s="17" t="str">
        <x:v>否</x:v>
      </x:c>
      <x:c r="Y181" s="17" t="str"/>
      <x:c r="Z181" s="17" t="str">
        <x:v>今天（8月2日，周日）A股休市，以下为**上一个交易日（7月31日，周五）** 成交额超过5亿元且涨幅超过2%的全部50只ETF，按成交额从高到低排列：
### 成交额前10名
| 排名 | 代码 | 名称 | 涨幅 | 成交额 |
|:---:|:---:|:---|:---:|:---:|
| 1 | 513310.SH | 华泰柏瑞中证韩交所中韩半导体ETF(QDII) | **+6.93%** | **161.9亿** |
| 2 | 588000.SH | 华夏上证科创板50成份ETF | **+3.54%** | **154.7亿** |
| 3 | 159915.SZ | 易方达创业板ETF | **+3.00%** | **150.9亿** |
| 4 | 588170.SH | 华夏上证科创板半导体材料设备主题ETF | **+2.45%** | **136.2亿** |
| 5 | 512100.SH | 南方中证1000ETF | **+2.36%** | **88.4亿** |
| 6 | 510500.SH | 南方中证500ETF | **+2.24%** | **75.4亿** |
| 7 | 159516.SZ | 国泰中证半导体材料设备主题ETF | **+3.08%** | **75.0亿** |
| 8 | 159845.SZ | 华夏中证1000ETF | **+2.37%** | **66.6亿** |
| 9 | 588200.SH | 嘉实上证科创板芯片ETF | **+3.53%** | **65.9亿** |
| 10 | 515880.SH | 国泰中证全指通信设备ETF | **+4.86%** | **56.1亿** |
### 市场特征摘要
- **共50只ETF**满足条件，总成交额非常活跃
- **半导体/芯片主题**占据主导地位：前10名中半导体主题ETF占了4席（513310、588170、159516、588200），且多只成交额超百亿
- **宽基指数ETF**同样活跃：科创50（588000，154.7亿）、创业板（159915，150.9亿）、中证1000（512100，88.4亿）、中证500（510500，75.4亿）交投火热
- **涨幅最大的**：159381.SZ 华夏创业板人工智能ETF **+8.18%**、159363.SZ 华宝创业板人工智能ETF **+7.55%**
&gt; 数据时间：2026-07-31，单位：涨幅为%，成交额为人民币元。</x:v>
      </x:c>
      <x:c r="AA181" s="17" t="str"/>
      <x:c r="AB181" s="17" t="n">
        <x:v>46235.86140076389</x:v>
      </x:c>
      <x:c r="AC181" s="17" t="n">
        <x:v>46235.86176903935</x:v>
      </x:c>
      <x:c r="AD181" s="17" t="str">
        <x:v>analysis.json</x:v>
      </x:c>
      <x:c r="AE181" s="18" t="n">
        <x:v>21345</x:v>
      </x:c>
      <x:c r="AF181" s="18" t="n">
        <x:v>10473.56</x:v>
      </x:c>
      <x:c r="AG181" s="18" t="n">
        <x:v>940.84</x:v>
      </x:c>
      <x:c r="AH181" s="18" t="n">
        <x:v>7913.63</x:v>
      </x:c>
      <x:c r="AI181" s="17" t="n">
        <x:v>6</x:v>
      </x:c>
      <x:c r="AJ181" s="17" t="n">
        <x:v>1</x:v>
      </x:c>
      <x:c r="AK181" s="19" t="n">
        <x:v>1</x:v>
      </x:c>
      <x:c r="AL181" s="19" t="n">
        <x:v>1</x:v>
      </x:c>
      <x:c r="AM181" s="19" t="n">
        <x:v>0</x:v>
      </x:c>
      <x:c r="AN181" s="17" t="str">
        <x:v>[
  "fund.quote"
]</x:v>
      </x:c>
    </x:row>
    <x:row r="182" ht="58" customHeight="1">
      <x:c r="A182" s="17" t="str">
        <x:v>BUS179</x:v>
      </x:c>
      <x:c r="B182" s="17" t="str">
        <x:v>查询近10个交易日平均成交额最高的基金前20名。</x:v>
      </x:c>
      <x:c r="C182" s="17" t="str">
        <x:v>fund</x:v>
      </x:c>
      <x:c r="D182" s="17" t="str">
        <x:v>fund.quote</x:v>
      </x:c>
      <x:c r="E182" s="17" t="str"/>
      <x:c r="F182" s="17" t="str">
        <x:v>financial_qa_cc</x:v>
      </x:c>
      <x:c r="G182" s="17" t="str">
        <x:v>否</x:v>
      </x:c>
      <x:c r="H182" s="18" t="n">
        <x:v>27267.44</x:v>
      </x:c>
      <x:c r="I182" s="18" t="n">
        <x:f>IFERROR(H182/1000,"")</x:f>
        <x:v>27.267439999999997</x:v>
      </x:c>
      <x:c r="J182" s="17" t="n">
        <x:v>4</x:v>
      </x:c>
      <x:c r="K182" s="17" t="str">
        <x:v>成功</x:v>
      </x:c>
      <x:c r="L182" s="17" t="n">
        <x:v>3</x:v>
      </x:c>
      <x:c r="M182" s="17" t="n">
        <x:v>3</x:v>
      </x:c>
      <x:c r="N182" s="17" t="n">
        <x:v>0</x:v>
      </x:c>
      <x:c r="O182" s="17" t="n">
        <x:v>0</x:v>
      </x:c>
      <x:c r="P182" s="17" t="n">
        <x:v>0</x:v>
      </x:c>
      <x:c r="Q182" s="17" t="n">
        <x:v>0</x:v>
      </x:c>
      <x:c r="R182" s="19" t="n">
        <x:f>IFERROR((M182+N182)/L182,"")</x:f>
        <x:v>1</x:v>
      </x:c>
      <x:c r="S182" s="17" t="n">
        <x:v>0</x:v>
      </x:c>
      <x:c r="T182" s="17" t="n">
        <x:v>0</x:v>
      </x:c>
      <x:c r="U182" s="17" t="n">
        <x:v>15856</x:v>
      </x:c>
      <x:c r="V182" s="17" t="str">
        <x:v>正确</x:v>
      </x:c>
      <x:c r="W182" s="19" t="n">
        <x:v>1</x:v>
      </x:c>
      <x:c r="X182" s="17" t="str">
        <x:v>否</x:v>
      </x:c>
      <x:c r="Y182" s="17" t="str"/>
      <x:c r="Z182" s="17" t="str">
        <x:v>以下是近10个交易日平均成交额最高的前20只基金：
| 排名 | 基金代码 | 基金名称 | 近10日平均成交额 |
|:---:|:---:|:---|---:|
| 1 | 511360.SH | 海富通中证短融ETF | 291.42亿 |
| 2 | 513310.SH | 华泰柏瑞中证韩交所中韩半导体ETF(QDII) | 201.18亿 |
| 3 | 511880.SH | 银华日利 | 188.80亿 |
| 4 | 588000.SH | 华夏上证科创板50成份ETF | 135.79亿 |
| 5 | 159915.SZ | 易方达创业板ETF | 120.98亿 |
| 6 | 511990.SH | 华宝添益 | 119.67亿 |
| 7 | 588170.SH | 华夏上证科创板半导体材料设备主题ETF | 91.80亿 |
| 8 | 511100.SH | 华夏上证基准做市国债ETF | 87.07亿 |
| 9 | 551550.SH | 华夏中证AAA科技创新公司债ETF | 82.43亿 |
| 10 | 510300.SH | 华泰柏瑞沪深300ETF | 78.51亿 |
| 11 | 551030.SH | 鹏华上证AAA科创债ETF | 77.83亿 |
| 12 | 513120.SH | 广发中证香港创新药(QDII-ETF) | 75.26亿 |
| 13 | 511380.SH | 博时可转债ETF | 71.74亿 |
| 14 | 159116.SZ | 科创债ETF工银 | 70.27亿 |
| 15 | 588200.SH | 嘉实上证科创板芯片ETF | 64.97亿 |
| 16 | 512100.SH | 南方中证1000ETF | 64.62亿 |
| 17 | 511070.SH | 南方上证基准做市公司债ETF | 63.80亿 |
| 18 | 159516.SZ | 国泰中证半导体材料设备主题ETF | 63.10亿 |
| 19 | 551800.SH | 国泰中证AAA科技创新公司债ETF | 62.84亿 |
| 20 | 510500.SH | 南方中证500ETF | 58.06亿 |
**主要特征：** 海富通中证短融ETF以日均超291亿的成交额遥遥领先，其次是中韩半导体ETF和银华日利。前十名中，短融/货币ETF（海富通短融、银华日利、华宝添益）和债券ETF占据半壁江山，头部宽基ETF（科创50、创业板、沪深300）和半导体主题ETF交投同样活跃，反映了市场资金在低风险工具和科技成长赛道上的双重聚焦。</x:v>
      </x:c>
      <x:c r="AA182" s="17" t="str"/>
      <x:c r="AB182" s="17" t="n">
        <x:v>46235.86160011574</x:v>
      </x:c>
      <x:c r="AC182" s="17" t="n">
        <x:v>46235.86191571759</x:v>
      </x:c>
      <x:c r="AD182" s="17" t="str">
        <x:v>analysis.json</x:v>
      </x:c>
      <x:c r="AE182" s="18" t="n">
        <x:v>19304</x:v>
      </x:c>
      <x:c r="AF182" s="18" t="n">
        <x:v>7963.44</x:v>
      </x:c>
      <x:c r="AG182" s="18" t="n">
        <x:v>739.81</x:v>
      </x:c>
      <x:c r="AH182" s="18" t="n">
        <x:v>5452.15</x:v>
      </x:c>
      <x:c r="AI182" s="17" t="n">
        <x:v>4</x:v>
      </x:c>
      <x:c r="AJ182" s="17" t="n">
        <x:v>1</x:v>
      </x:c>
      <x:c r="AK182" s="19" t="n">
        <x:v>1</x:v>
      </x:c>
      <x:c r="AL182" s="19" t="n">
        <x:v>1</x:v>
      </x:c>
      <x:c r="AM182" s="19" t="n">
        <x:v>0</x:v>
      </x:c>
      <x:c r="AN182" s="17" t="str">
        <x:v>[
  "fund.quote.kd_amount_avg"
]</x:v>
      </x:c>
    </x:row>
    <x:row r="183" ht="58" customHeight="1">
      <x:c r="A183" s="17" t="str">
        <x:v>BUS181</x:v>
      </x:c>
      <x:c r="B183" s="17" t="str">
        <x:v>同时查询沪深300ETF和沪深300指数当前涨跌幅。</x:v>
      </x:c>
      <x:c r="C183" s="17" t="str">
        <x:v>fund</x:v>
      </x:c>
      <x:c r="D183" s="17" t="str">
        <x:v>fund.quote, index.quote</x:v>
      </x:c>
      <x:c r="E183" s="17" t="str"/>
      <x:c r="F183" s="17" t="str">
        <x:v>financial_qa_cc</x:v>
      </x:c>
      <x:c r="G183" s="17" t="str">
        <x:v>否</x:v>
      </x:c>
      <x:c r="H183" s="18" t="n">
        <x:v>22879.94</x:v>
      </x:c>
      <x:c r="I183" s="18" t="n">
        <x:f>IFERROR(H183/1000,"")</x:f>
        <x:v>22.879939999999998</x:v>
      </x:c>
      <x:c r="J183" s="17" t="n">
        <x:v>4</x:v>
      </x:c>
      <x:c r="K183" s="17" t="str">
        <x:v>成功</x:v>
      </x:c>
      <x:c r="L183" s="17" t="n">
        <x:v>4</x:v>
      </x:c>
      <x:c r="M183" s="17" t="n">
        <x:v>4</x:v>
      </x:c>
      <x:c r="N183" s="17" t="n">
        <x:v>0</x:v>
      </x:c>
      <x:c r="O183" s="17" t="n">
        <x:v>0</x:v>
      </x:c>
      <x:c r="P183" s="17" t="n">
        <x:v>0</x:v>
      </x:c>
      <x:c r="Q183" s="17" t="n">
        <x:v>0</x:v>
      </x:c>
      <x:c r="R183" s="19" t="n">
        <x:f>IFERROR((M183+N183)/L183,"")</x:f>
        <x:v>1</x:v>
      </x:c>
      <x:c r="S183" s="17" t="n">
        <x:v>0</x:v>
      </x:c>
      <x:c r="T183" s="17" t="n">
        <x:v>0</x:v>
      </x:c>
      <x:c r="U183" s="17" t="n">
        <x:v>16210</x:v>
      </x:c>
      <x:c r="V183" s="17" t="str">
        <x:v>正确</x:v>
      </x:c>
      <x:c r="W183" s="19" t="n">
        <x:v>1</x:v>
      </x:c>
      <x:c r="X183" s="17" t="str">
        <x:v>否</x:v>
      </x:c>
      <x:c r="Y183" s="17" t="str"/>
      <x:c r="Z183" s="17" t="str">
        <x:v>以2026年7月31日（最近一个交易日）数据为准：
**沪深300指数**收于 **4588.20点**，上涨 **+0.85%**。
**华泰柏瑞沪深300ETF（510300.SH）** 收于 **4.653元**，上涨 **+1.04%**。
两者当日均上涨，ETF涨幅略高于指数本身，溢价约0.19个百分点。</x:v>
      </x:c>
      <x:c r="AA183" s="17" t="str"/>
      <x:c r="AB183" s="17" t="n">
        <x:v>46235.86182225694</x:v>
      </x:c>
      <x:c r="AC183" s="17" t="n">
        <x:v>46235.86208707176</x:v>
      </x:c>
      <x:c r="AD183" s="17" t="str">
        <x:v>analysis.json</x:v>
      </x:c>
      <x:c r="AE183" s="18" t="n">
        <x:v>14941</x:v>
      </x:c>
      <x:c r="AF183" s="18" t="n">
        <x:v>7938.94</x:v>
      </x:c>
      <x:c r="AG183" s="18" t="n">
        <x:v>761.85</x:v>
      </x:c>
      <x:c r="AH183" s="18" t="n">
        <x:v>5742.94</x:v>
      </x:c>
      <x:c r="AI183" s="17" t="n">
        <x:v>4</x:v>
      </x:c>
      <x:c r="AJ183" s="17" t="n">
        <x:v>1</x:v>
      </x:c>
      <x:c r="AK183" s="19" t="n">
        <x:v>1</x:v>
      </x:c>
      <x:c r="AL183" s="19" t="n">
        <x:v>1</x:v>
      </x:c>
      <x:c r="AM183" s="19" t="n">
        <x:v>0</x:v>
      </x:c>
      <x:c r="AN183" s="17" t="str">
        <x:v>[
  "index.quote",
  "fund.quote"
]</x:v>
      </x:c>
    </x:row>
    <x:row r="184" ht="58" customHeight="1">
      <x:c r="A184" s="17" t="str">
        <x:v>BUS182</x:v>
      </x:c>
      <x:c r="B184" s="17" t="str">
        <x:v>查询半导体ETF当前涨幅，并列出半导体板块当前涨幅。</x:v>
      </x:c>
      <x:c r="C184" s="17" t="str">
        <x:v>fund</x:v>
      </x:c>
      <x:c r="D184" s="17" t="str">
        <x:v>fund.quote, plate.quote</x:v>
      </x:c>
      <x:c r="E184" s="17" t="str"/>
      <x:c r="F184" s="17" t="str">
        <x:v>financial_qa_cc</x:v>
      </x:c>
      <x:c r="G184" s="17" t="str">
        <x:v>否</x:v>
      </x:c>
      <x:c r="H184" s="18" t="n">
        <x:v>31656.71</x:v>
      </x:c>
      <x:c r="I184" s="18" t="n">
        <x:f>IFERROR(H184/1000,"")</x:f>
        <x:v>31.65671</x:v>
      </x:c>
      <x:c r="J184" s="17" t="n">
        <x:v>5</x:v>
      </x:c>
      <x:c r="K184" s="17" t="str">
        <x:v>成功</x:v>
      </x:c>
      <x:c r="L184" s="17" t="n">
        <x:v>6</x:v>
      </x:c>
      <x:c r="M184" s="17" t="n">
        <x:v>6</x:v>
      </x:c>
      <x:c r="N184" s="17" t="n">
        <x:v>0</x:v>
      </x:c>
      <x:c r="O184" s="17" t="n">
        <x:v>0</x:v>
      </x:c>
      <x:c r="P184" s="17" t="n">
        <x:v>0</x:v>
      </x:c>
      <x:c r="Q184" s="17" t="n">
        <x:v>0</x:v>
      </x:c>
      <x:c r="R184" s="19" t="n">
        <x:f>IFERROR((M184+N184)/L184,"")</x:f>
        <x:v>1</x:v>
      </x:c>
      <x:c r="S184" s="17" t="n">
        <x:v>0</x:v>
      </x:c>
      <x:c r="T184" s="17" t="n">
        <x:v>0</x:v>
      </x:c>
      <x:c r="U184" s="17" t="n">
        <x:v>12430</x:v>
      </x:c>
      <x:c r="V184" s="17" t="str">
        <x:v>部分正确</x:v>
      </x:c>
      <x:c r="W184" s="19" t="n">
        <x:v>1</x:v>
      </x:c>
      <x:c r="X184" s="17" t="str">
        <x:v>否</x:v>
      </x:c>
      <x:c r="Y184" s="17" t="str"/>
      <x:c r="Z184" s="17" t="str">
        <x:v>**半导体ETF**（512480.SH 国联安半导体ETF）当前涨幅 **+3.55%**，最新价 0.992 元，成交额约 30.13 亿元。
**半导体板块**（883720）当前涨幅 **+3.15%**，最新点位 1253.46 点，板块总成交额约 676.57 亿元。
两者同步走强，ETF 涨幅略高于板块，溢价效应较明显，资金交投活跃。</x:v>
      </x:c>
      <x:c r="AA184" s="17" t="str"/>
      <x:c r="AB184" s="17" t="n">
        <x:v>46235.861973113424</x:v>
      </x:c>
      <x:c r="AC184" s="17" t="n">
        <x:v>46235.862339548614</x:v>
      </x:c>
      <x:c r="AD184" s="17" t="str">
        <x:v>analysis.json</x:v>
      </x:c>
      <x:c r="AE184" s="18" t="n">
        <x:v>20669</x:v>
      </x:c>
      <x:c r="AF184" s="18" t="n">
        <x:v>10987.71</x:v>
      </x:c>
      <x:c r="AG184" s="18" t="n">
        <x:v>720.06</x:v>
      </x:c>
      <x:c r="AH184" s="18" t="n">
        <x:v>5220.82</x:v>
      </x:c>
      <x:c r="AI184" s="17" t="n">
        <x:v>5</x:v>
      </x:c>
      <x:c r="AJ184" s="17" t="n">
        <x:v>1</x:v>
      </x:c>
      <x:c r="AK184" s="19" t="n">
        <x:v>1</x:v>
      </x:c>
      <x:c r="AL184" s="19" t="n">
        <x:v>1</x:v>
      </x:c>
      <x:c r="AM184" s="19" t="n">
        <x:v>0</x:v>
      </x:c>
      <x:c r="AN184" s="17" t="str">
        <x:v>[
  "plate.basic_info",
  "fund.quote",
  "plate.quote"
]</x:v>
      </x:c>
    </x:row>
    <x:row r="185" ht="58" customHeight="1">
      <x:c r="A185" s="17" t="str">
        <x:v>BUS183</x:v>
      </x:c>
      <x:c r="B185" s="17" t="str">
        <x:v>查询红利ETF当前表现，并列出红利指数最新估值。</x:v>
      </x:c>
      <x:c r="C185" s="17" t="str">
        <x:v>fund</x:v>
      </x:c>
      <x:c r="D185" s="17" t="str">
        <x:v>fund.quote, index.pricevalue</x:v>
      </x:c>
      <x:c r="E185" s="17" t="str"/>
      <x:c r="F185" s="17" t="str"/>
      <x:c r="G185" s="17" t="str">
        <x:v>否</x:v>
      </x:c>
      <x:c r="H185" s="18" t="n">
        <x:v>59251.46</x:v>
      </x:c>
      <x:c r="I185" s="18" t="n">
        <x:f>IFERROR(H185/1000,"")</x:f>
        <x:v>59.25146</x:v>
      </x:c>
      <x:c r="J185" s="17"/>
      <x:c r="K185" s="17" t="str">
        <x:v>失败</x:v>
      </x:c>
      <x:c r="L185" s="17" t="n">
        <x:v>0</x:v>
      </x:c>
      <x:c r="M185" s="17" t="n">
        <x:v>0</x:v>
      </x:c>
      <x:c r="N185" s="17" t="n">
        <x:v>0</x:v>
      </x:c>
      <x:c r="O185" s="17" t="n">
        <x:v>0</x:v>
      </x:c>
      <x:c r="P185" s="17" t="n">
        <x:v>0</x:v>
      </x:c>
      <x:c r="Q185" s="17" t="n">
        <x:v>0</x:v>
      </x:c>
      <x:c r="R185" s="19" t="str">
        <x:f>IFERROR((M185+N185)/L185,"")</x:f>
      </x:c>
      <x:c r="S185" s="17" t="n">
        <x:v>0</x:v>
      </x:c>
      <x:c r="T185" s="17" t="n">
        <x:v>0</x:v>
      </x:c>
      <x:c r="U185" s="17"/>
      <x:c r="V185" s="17" t="str">
        <x:v>错误</x:v>
      </x:c>
      <x:c r="W185" s="19" t="n">
        <x:v>0.5</x:v>
      </x:c>
      <x:c r="X185" s="17" t="str">
        <x:v>否</x:v>
      </x:c>
      <x:c r="Y185" s="17" t="str"/>
      <x:c r="Z185" s="17" t="str"/>
      <x:c r="AA185" s="17" t="str">
        <x:v>{
  "category": "runtime_error",
  "type": "RuntimeError",
  "message": "(2013, 'Lost connection to MySQL server during query')",
  "http_status": 200
}</x:v>
      </x:c>
      <x:c r="AB185" s="17" t="n">
        <x:v>46235.86214435185</x:v>
      </x:c>
      <x:c r="AC185" s="17" t="n">
        <x:v>46235.87325203704</x:v>
      </x:c>
      <x:c r="AD185" s="17" t="str">
        <x:v>analysis.json</x:v>
      </x:c>
      <x:c r="AE185" s="18"/>
      <x:c r="AF185" s="18"/>
      <x:c r="AG185" s="18" t="n">
        <x:v>807.19</x:v>
      </x:c>
      <x:c r="AH185" s="18" t="n">
        <x:v>5903.71</x:v>
      </x:c>
      <x:c r="AI185" s="17"/>
      <x:c r="AJ185" s="17"/>
      <x:c r="AK185" s="19"/>
      <x:c r="AL185" s="19"/>
      <x:c r="AM185" s="19"/>
      <x:c r="AN185" s="17" t="str"/>
    </x:row>
    <x:row r="186" ht="58" customHeight="1">
      <x:c r="A186" s="17" t="str">
        <x:v>BUS184</x:v>
      </x:c>
      <x:c r="B186" s="17" t="str">
        <x:v>同时查询创业板ETF行情和宁德时代当前涨跌幅。</x:v>
      </x:c>
      <x:c r="C186" s="17" t="str">
        <x:v>fund</x:v>
      </x:c>
      <x:c r="D186" s="17" t="str">
        <x:v>fund.quote, stock.quote</x:v>
      </x:c>
      <x:c r="E186" s="17" t="str"/>
      <x:c r="F186" s="17" t="str">
        <x:v>financial_qa_cc</x:v>
      </x:c>
      <x:c r="G186" s="17" t="str">
        <x:v>否</x:v>
      </x:c>
      <x:c r="H186" s="18" t="n">
        <x:v>44298.63</x:v>
      </x:c>
      <x:c r="I186" s="18" t="n">
        <x:f>IFERROR(H186/1000,"")</x:f>
        <x:v>44.298629999999996</x:v>
      </x:c>
      <x:c r="J186" s="17" t="n">
        <x:v>7</x:v>
      </x:c>
      <x:c r="K186" s="17" t="str">
        <x:v>成功</x:v>
      </x:c>
      <x:c r="L186" s="17" t="n">
        <x:v>4</x:v>
      </x:c>
      <x:c r="M186" s="17" t="n">
        <x:v>4</x:v>
      </x:c>
      <x:c r="N186" s="17" t="n">
        <x:v>0</x:v>
      </x:c>
      <x:c r="O186" s="17" t="n">
        <x:v>0</x:v>
      </x:c>
      <x:c r="P186" s="17" t="n">
        <x:v>0</x:v>
      </x:c>
      <x:c r="Q186" s="17" t="n">
        <x:v>0</x:v>
      </x:c>
      <x:c r="R186" s="19" t="n">
        <x:f>IFERROR((M186+N186)/L186,"")</x:f>
        <x:v>1</x:v>
      </x:c>
      <x:c r="S186" s="17" t="n">
        <x:v>0</x:v>
      </x:c>
      <x:c r="T186" s="17" t="n">
        <x:v>0</x:v>
      </x:c>
      <x:c r="U186" s="17" t="n">
        <x:v>9442</x:v>
      </x:c>
      <x:c r="V186" s="17" t="str">
        <x:v>正确</x:v>
      </x:c>
      <x:c r="W186" s="19" t="n">
        <x:v>1</x:v>
      </x:c>
      <x:c r="X186" s="17" t="str">
        <x:v>否</x:v>
      </x:c>
      <x:c r="Y186" s="17" t="str"/>
      <x:c r="Z186" s="17" t="str">
        <x:v>创业板ETF和宁德时代上一个交易日（2026年7月31日，周五）行情如下：
**易方达创业板ETF（159915）** 当日收于 **3.368元**，上涨 **+3.00%**，成交额约 **150.89亿元**，表现强劲。
**宁德时代（300750）** 当日收于 **395.30元**，下跌 **-1.64%**，与创业板ETF形成明显分化。
两者走势相背：创业板ETF在权重股整体带动下录得可观涨幅，而宁德时代当日独自承压回调。</x:v>
      </x:c>
      <x:c r="AA186" s="17" t="str"/>
      <x:c r="AB186" s="17" t="n">
        <x:v>46235.862440439814</x:v>
      </x:c>
      <x:c r="AC186" s="17" t="n">
        <x:v>46235.873375034724</x:v>
      </x:c>
      <x:c r="AD186" s="17" t="str">
        <x:v>analysis.json</x:v>
      </x:c>
      <x:c r="AE186" s="18" t="n">
        <x:v>30724</x:v>
      </x:c>
      <x:c r="AF186" s="18" t="n">
        <x:v>13574.63</x:v>
      </x:c>
      <x:c r="AG186" s="18" t="n">
        <x:v>611.65</x:v>
      </x:c>
      <x:c r="AH186" s="18" t="n">
        <x:v>8794.81</x:v>
      </x:c>
      <x:c r="AI186" s="17" t="n">
        <x:v>7</x:v>
      </x:c>
      <x:c r="AJ186" s="17" t="n">
        <x:v>1</x:v>
      </x:c>
      <x:c r="AK186" s="19" t="n">
        <x:v>1</x:v>
      </x:c>
      <x:c r="AL186" s="19" t="n">
        <x:v>1</x:v>
      </x:c>
      <x:c r="AM186" s="19" t="n">
        <x:v>0</x:v>
      </x:c>
      <x:c r="AN186" s="17" t="str">
        <x:v>[
  "fund.quote",
  "stock.quote"
]</x:v>
      </x:c>
    </x:row>
    <x:row r="187" ht="58" customHeight="1">
      <x:c r="A187" s="17" t="str">
        <x:v>BUS185</x:v>
      </x:c>
      <x:c r="B187" s="17" t="str">
        <x:v>查询平安转债的债券代码、名称和发行人。</x:v>
      </x:c>
      <x:c r="C187" s="17" t="str">
        <x:v>bond</x:v>
      </x:c>
      <x:c r="D187" s="17" t="str">
        <x:v>bond.basic_info</x:v>
      </x:c>
      <x:c r="E187" s="17" t="str"/>
      <x:c r="F187" s="17" t="str">
        <x:v>financial_qa_cc</x:v>
      </x:c>
      <x:c r="G187" s="17" t="str">
        <x:v>否</x:v>
      </x:c>
      <x:c r="H187" s="18" t="n">
        <x:v>23821.5</x:v>
      </x:c>
      <x:c r="I187" s="18" t="n">
        <x:f>IFERROR(H187/1000,"")</x:f>
        <x:v>23.8215</x:v>
      </x:c>
      <x:c r="J187" s="17" t="n">
        <x:v>5</x:v>
      </x:c>
      <x:c r="K187" s="17" t="str">
        <x:v>成功</x:v>
      </x:c>
      <x:c r="L187" s="17" t="n">
        <x:v>2</x:v>
      </x:c>
      <x:c r="M187" s="17" t="n">
        <x:v>2</x:v>
      </x:c>
      <x:c r="N187" s="17" t="n">
        <x:v>0</x:v>
      </x:c>
      <x:c r="O187" s="17" t="n">
        <x:v>0</x:v>
      </x:c>
      <x:c r="P187" s="17" t="n">
        <x:v>0</x:v>
      </x:c>
      <x:c r="Q187" s="17" t="n">
        <x:v>0</x:v>
      </x:c>
      <x:c r="R187" s="19" t="n">
        <x:f>IFERROR((M187+N187)/L187,"")</x:f>
        <x:v>1</x:v>
      </x:c>
      <x:c r="S187" s="17" t="n">
        <x:v>0</x:v>
      </x:c>
      <x:c r="T187" s="17" t="n">
        <x:v>0</x:v>
      </x:c>
      <x:c r="U187" s="17" t="n">
        <x:v>11357</x:v>
      </x:c>
      <x:c r="V187" s="17" t="str">
        <x:v>正确</x:v>
      </x:c>
      <x:c r="W187" s="19" t="n">
        <x:v>1</x:v>
      </x:c>
      <x:c r="X187" s="17" t="str">
        <x:v>否</x:v>
      </x:c>
      <x:c r="Y187" s="17" t="str"/>
      <x:c r="Z187" s="17" t="str">
        <x:v>平安转债的信息如下：
- **债券代码**：113005.SH
- **债券名称**：平安转债
- **发行人**：中国平安保险(集团)股份有限公司</x:v>
      </x:c>
      <x:c r="AA187" s="17" t="str"/>
      <x:c r="AB187" s="17" t="n">
        <x:v>46235.873318460646</x:v>
      </x:c>
      <x:c r="AC187" s="17" t="n">
        <x:v>46235.87359416667</x:v>
      </x:c>
      <x:c r="AD187" s="17" t="str">
        <x:v>analysis.json</x:v>
      </x:c>
      <x:c r="AE187" s="18" t="n">
        <x:v>15009</x:v>
      </x:c>
      <x:c r="AF187" s="18" t="n">
        <x:v>8812.5</x:v>
      </x:c>
      <x:c r="AG187" s="18" t="n">
        <x:v>771.15</x:v>
      </x:c>
      <x:c r="AH187" s="18" t="n">
        <x:v>6760.28</x:v>
      </x:c>
      <x:c r="AI187" s="17" t="n">
        <x:v>5</x:v>
      </x:c>
      <x:c r="AJ187" s="17" t="n">
        <x:v>1</x:v>
      </x:c>
      <x:c r="AK187" s="19" t="n">
        <x:v>1</x:v>
      </x:c>
      <x:c r="AL187" s="19" t="n">
        <x:v>1</x:v>
      </x:c>
      <x:c r="AM187" s="19" t="n">
        <x:v>0</x:v>
      </x:c>
      <x:c r="AN187" s="17" t="str">
        <x:v>[
  "bond.basic_info"
]</x:v>
      </x:c>
    </x:row>
    <x:row r="188" ht="58" customHeight="1">
      <x:c r="A188" s="17" t="str">
        <x:v>BUS186</x:v>
      </x:c>
      <x:c r="B188" s="17" t="str">
        <x:v>查询名称包含转债的债券代码和名称。</x:v>
      </x:c>
      <x:c r="C188" s="17" t="str">
        <x:v>bond</x:v>
      </x:c>
      <x:c r="D188" s="17" t="str">
        <x:v>bond.basic_info</x:v>
      </x:c>
      <x:c r="E188" s="17" t="str"/>
      <x:c r="F188" s="17" t="str">
        <x:v>financial_qa_cc</x:v>
      </x:c>
      <x:c r="G188" s="17" t="str">
        <x:v>否</x:v>
      </x:c>
      <x:c r="H188" s="18" t="n">
        <x:v>20352.56</x:v>
      </x:c>
      <x:c r="I188" s="18" t="n">
        <x:f>IFERROR(H188/1000,"")</x:f>
        <x:v>20.35256</x:v>
      </x:c>
      <x:c r="J188" s="17" t="n">
        <x:v>4</x:v>
      </x:c>
      <x:c r="K188" s="17" t="str">
        <x:v>成功</x:v>
      </x:c>
      <x:c r="L188" s="17" t="n">
        <x:v>2</x:v>
      </x:c>
      <x:c r="M188" s="17" t="n">
        <x:v>2</x:v>
      </x:c>
      <x:c r="N188" s="17" t="n">
        <x:v>0</x:v>
      </x:c>
      <x:c r="O188" s="17" t="n">
        <x:v>0</x:v>
      </x:c>
      <x:c r="P188" s="17" t="n">
        <x:v>0</x:v>
      </x:c>
      <x:c r="Q188" s="17" t="n">
        <x:v>0</x:v>
      </x:c>
      <x:c r="R188" s="19" t="n">
        <x:f>IFERROR((M188+N188)/L188,"")</x:f>
        <x:v>1</x:v>
      </x:c>
      <x:c r="S188" s="17" t="n">
        <x:v>0</x:v>
      </x:c>
      <x:c r="T188" s="17" t="n">
        <x:v>0</x:v>
      </x:c>
      <x:c r="U188" s="17" t="n">
        <x:v>11576</x:v>
      </x:c>
      <x:c r="V188" s="17" t="str">
        <x:v>部分正确</x:v>
      </x:c>
      <x:c r="W188" s="19" t="n">
        <x:v>1</x:v>
      </x:c>
      <x:c r="X188" s="17" t="str">
        <x:v>否</x:v>
      </x:c>
      <x:c r="Y188" s="17" t="str"/>
      <x:c r="Z188" s="17" t="str">
        <x:v>查询到名称包含"转债"的债券共 **100 条**（受限于单次查询上限），以下是部分结果示例：
| 债券代码 | 债券简称 |
|---------|---------|
| 100001.SH | 南化转债 |
| 100009.SH | 机场转债 |
| 100016.SH | 民生转债 |
| 100096.SH | 南化转债 |
| 100117.SH | 西钢转债 |
| 100177.SH | 雅戈转债 |
| 100196.SH | 复星转债 |
| 100220.SH | 阳光转债 |
| 100236.SH | 桂冠转债 |
| 100567.SH | 山鹰转债 |
| ... | ... |
由于数据量较大（共 100 条），以上仅展示前 10 条样例。如果需要查看更多或全部列表，可以告诉我，我继续为你加载。</x:v>
      </x:c>
      <x:c r="AA188" s="17" t="str"/>
      <x:c r="AB188" s="17" t="n">
        <x:v>46235.87343319444</x:v>
      </x:c>
      <x:c r="AC188" s="17" t="n">
        <x:v>46235.87366875</x:v>
      </x:c>
      <x:c r="AD188" s="17" t="str">
        <x:v>analysis.json</x:v>
      </x:c>
      <x:c r="AE188" s="18" t="n">
        <x:v>11624</x:v>
      </x:c>
      <x:c r="AF188" s="18" t="n">
        <x:v>8728.56</x:v>
      </x:c>
      <x:c r="AG188" s="18" t="n">
        <x:v>703.27</x:v>
      </x:c>
      <x:c r="AH188" s="18" t="n">
        <x:v>6834.04</x:v>
      </x:c>
      <x:c r="AI188" s="17" t="n">
        <x:v>4</x:v>
      </x:c>
      <x:c r="AJ188" s="17" t="n">
        <x:v>1</x:v>
      </x:c>
      <x:c r="AK188" s="19" t="n">
        <x:v>1</x:v>
      </x:c>
      <x:c r="AL188" s="19" t="n">
        <x:v>1</x:v>
      </x:c>
      <x:c r="AM188" s="19" t="n">
        <x:v>0</x:v>
      </x:c>
      <x:c r="AN188" s="17" t="str">
        <x:v>[
  "bond.basic_info"
]</x:v>
      </x:c>
    </x:row>
    <x:row r="189" ht="58" customHeight="1">
      <x:c r="A189" s="17" t="str">
        <x:v>BUS187</x:v>
      </x:c>
      <x:c r="B189" s="17" t="str">
        <x:v>查询发行人为中国平安的债券。</x:v>
      </x:c>
      <x:c r="C189" s="17" t="str">
        <x:v>bond</x:v>
      </x:c>
      <x:c r="D189" s="17" t="str">
        <x:v>bond.basic_info</x:v>
      </x:c>
      <x:c r="E189" s="17" t="str"/>
      <x:c r="F189" s="17" t="str">
        <x:v>free_chat</x:v>
      </x:c>
      <x:c r="G189" s="17" t="str">
        <x:v>是</x:v>
      </x:c>
      <x:c r="H189" s="18" t="n">
        <x:v>9377.72</x:v>
      </x:c>
      <x:c r="I189" s="18" t="n">
        <x:f>IFERROR(H189/1000,"")</x:f>
        <x:v>9.37772</x:v>
      </x:c>
      <x:c r="J189" s="17"/>
      <x:c r="K189" s="17" t="str">
        <x:v>成功</x:v>
      </x:c>
      <x:c r="L189" s="17" t="n">
        <x:v>0</x:v>
      </x:c>
      <x:c r="M189" s="17" t="n">
        <x:v>0</x:v>
      </x:c>
      <x:c r="N189" s="17" t="n">
        <x:v>0</x:v>
      </x:c>
      <x:c r="O189" s="17" t="n">
        <x:v>0</x:v>
      </x:c>
      <x:c r="P189" s="17" t="n">
        <x:v>0</x:v>
      </x:c>
      <x:c r="Q189" s="17" t="n">
        <x:v>0</x:v>
      </x:c>
      <x:c r="R189" s="19" t="str">
        <x:f>IFERROR((M189+N189)/L189,"")</x:f>
      </x:c>
      <x:c r="S189" s="17" t="n">
        <x:v>0</x:v>
      </x:c>
      <x:c r="T189" s="17" t="n">
        <x:v>0</x:v>
      </x:c>
      <x:c r="U189" s="17" t="n">
        <x:v>1237</x:v>
      </x:c>
      <x:c r="V189" s="17" t="str">
        <x:v>错误</x:v>
      </x:c>
      <x:c r="W189" s="19" t="n">
        <x:v>0.7</x:v>
      </x:c>
      <x:c r="X189" s="17" t="str">
        <x:v>否</x:v>
      </x:c>
      <x:c r="Y189" s="17" t="str"/>
      <x:c r="Z189" s="17" t="str">
        <x:v>已识别为自然语言请求，当前 agent = investment_analyst，route_type = clarify。
需要澄清: {"state_type": "clarification_state", "status": "needs_user_input", "missing_slots": ["task_focus"], "prompt": "请说明你更想做个股深度分析，还是热点/概念追踪。", "resume_token": "clarify_a18ac300ebfe422b", "slot_hints": {"task_focus": "请说明你更想做个股深度分析，还是热点/概念追踪。"}, "context_summary": {"task_type": "", "code": "", "name": ""}}</x:v>
      </x:c>
      <x:c r="AA189" s="17" t="str"/>
      <x:c r="AB189" s="17" t="n">
        <x:v>46235.873646851855</x:v>
      </x:c>
      <x:c r="AC189" s="17" t="n">
        <x:v>46235.873755381945</x:v>
      </x:c>
      <x:c r="AD189" s="17" t="str">
        <x:v>analysis.json</x:v>
      </x:c>
      <x:c r="AE189" s="18"/>
      <x:c r="AF189" s="18"/>
      <x:c r="AG189" s="18" t="n">
        <x:v>636.18</x:v>
      </x:c>
      <x:c r="AH189" s="18"/>
      <x:c r="AI189" s="17"/>
      <x:c r="AJ189" s="17"/>
      <x:c r="AK189" s="19"/>
      <x:c r="AL189" s="19"/>
      <x:c r="AM189" s="19"/>
      <x:c r="AN189" s="17" t="str"/>
    </x:row>
    <x:row r="190" ht="58" customHeight="1">
      <x:c r="A190" s="17" t="str">
        <x:v>BUS188</x:v>
      </x:c>
      <x:c r="B190" s="17" t="str">
        <x:v>查询名称包含银行的债券列表。</x:v>
      </x:c>
      <x:c r="C190" s="17" t="str">
        <x:v>bond</x:v>
      </x:c>
      <x:c r="D190" s="17" t="str">
        <x:v>bond.basic_info</x:v>
      </x:c>
      <x:c r="E190" s="17" t="str"/>
      <x:c r="F190" s="17" t="str">
        <x:v>financial_qa_cc</x:v>
      </x:c>
      <x:c r="G190" s="17" t="str">
        <x:v>否</x:v>
      </x:c>
      <x:c r="H190" s="18" t="n">
        <x:v>35827.24</x:v>
      </x:c>
      <x:c r="I190" s="18" t="n">
        <x:f>IFERROR(H190/1000,"")</x:f>
        <x:v>35.827239999999996</x:v>
      </x:c>
      <x:c r="J190" s="17" t="n">
        <x:v>8</x:v>
      </x:c>
      <x:c r="K190" s="17" t="str">
        <x:v>成功</x:v>
      </x:c>
      <x:c r="L190" s="17" t="n">
        <x:v>5</x:v>
      </x:c>
      <x:c r="M190" s="17" t="n">
        <x:v>4</x:v>
      </x:c>
      <x:c r="N190" s="17" t="n">
        <x:v>0</x:v>
      </x:c>
      <x:c r="O190" s="17" t="n">
        <x:v>1</x:v>
      </x:c>
      <x:c r="P190" s="17" t="n">
        <x:v>0</x:v>
      </x:c>
      <x:c r="Q190" s="17" t="n">
        <x:v>0</x:v>
      </x:c>
      <x:c r="R190" s="19" t="n">
        <x:f>IFERROR((M190+N190)/L190,"")</x:f>
        <x:v>0.8</x:v>
      </x:c>
      <x:c r="S190" s="17" t="n">
        <x:v>0</x:v>
      </x:c>
      <x:c r="T190" s="17" t="n">
        <x:v>0</x:v>
      </x:c>
      <x:c r="U190" s="17" t="n">
        <x:v>9535</x:v>
      </x:c>
      <x:c r="V190" s="17" t="str">
        <x:v>部分正确</x:v>
      </x:c>
      <x:c r="W190" s="19" t="n">
        <x:v>0.9</x:v>
      </x:c>
      <x:c r="X190" s="17" t="str">
        <x:v>否</x:v>
      </x:c>
      <x:c r="Y190" s="17" t="str"/>
      <x:c r="Z190" s="17" t="str">
        <x:v>查询结果如下：
**名称（债券简称）中直接包含"银行"的债券列表为空**。当前数据源中，债券简称的命名规则（如"国开1301"、"农发1901"、"进出2101"）通常不会直接出现"银行"二字，因此没有命中。
---
不过，**由银行发行的债券**共有 **50 只**（数据源返回的全部结果），主要分为以下几类：
**政策性银行债（国家开发银行）—— 占绝大多数**
国开 1301–1302、1401、1701–1702、1801–1805、1901–1902、2001–2010、2101–2105、2201–2202、2301–2304、19G1、开贴 2001–2002 等（沪市+深市合计约 38 只）
**政策性银行债（中国进出口银行）**
进出 1911、1912、2101、2103、2201（共 5 只）
**政策性银行债（中国农业发展银行）**
农发 1901–1902、2001–2002、2301（共 5 只）
**商业银行可转债**
民生转债（100016.SH）—— 发行人：中国民生银行股份有限公司
---
如果你关心的是"银行发行的债券"，以上 50 只就是当前数据源中发行主体为银行的全部债券记录。如果需要进一步区分期限、利率或交易信息，可以继续查询。</x:v>
      </x:c>
      <x:c r="AA190" s="17" t="str"/>
      <x:c r="AB190" s="17" t="n">
        <x:v>46235.873740219904</x:v>
      </x:c>
      <x:c r="AC190" s="17" t="n">
        <x:v>46235.874154895835</x:v>
      </x:c>
      <x:c r="AD190" s="17" t="str">
        <x:v>analysis.json</x:v>
      </x:c>
      <x:c r="AE190" s="18" t="n">
        <x:v>25162</x:v>
      </x:c>
      <x:c r="AF190" s="18" t="n">
        <x:v>10665.24</x:v>
      </x:c>
      <x:c r="AG190" s="18" t="n">
        <x:v>690.34</x:v>
      </x:c>
      <x:c r="AH190" s="18" t="n">
        <x:v>8094.62</x:v>
      </x:c>
      <x:c r="AI190" s="17" t="n">
        <x:v>8</x:v>
      </x:c>
      <x:c r="AJ190" s="17" t="n">
        <x:v>1</x:v>
      </x:c>
      <x:c r="AK190" s="19" t="n">
        <x:v>0.8</x:v>
      </x:c>
      <x:c r="AL190" s="19" t="n">
        <x:v>0.8</x:v>
      </x:c>
      <x:c r="AM190" s="19" t="n">
        <x:v>0.2</x:v>
      </x:c>
      <x:c r="AN190" s="17" t="str">
        <x:v>[
  "bond.basic_info"
]</x:v>
      </x:c>
    </x:row>
    <x:row r="191" ht="58" customHeight="1">
      <x:c r="A191" s="17" t="str">
        <x:v>BUS189</x:v>
      </x:c>
      <x:c r="B191" s="17" t="str">
        <x:v>查询名称包含可转债的债券代码和发行人。</x:v>
      </x:c>
      <x:c r="C191" s="17" t="str">
        <x:v>bond</x:v>
      </x:c>
      <x:c r="D191" s="17" t="str">
        <x:v>bond.basic_info</x:v>
      </x:c>
      <x:c r="E191" s="17" t="str"/>
      <x:c r="F191" s="17" t="str">
        <x:v>financial_qa_cc</x:v>
      </x:c>
      <x:c r="G191" s="17" t="str">
        <x:v>否</x:v>
      </x:c>
      <x:c r="H191" s="18" t="n">
        <x:v>18610.09</x:v>
      </x:c>
      <x:c r="I191" s="18" t="n">
        <x:f>IFERROR(H191/1000,"")</x:f>
        <x:v>18.61009</x:v>
      </x:c>
      <x:c r="J191" s="17" t="n">
        <x:v>5</x:v>
      </x:c>
      <x:c r="K191" s="17" t="str">
        <x:v>成功</x:v>
      </x:c>
      <x:c r="L191" s="17" t="n">
        <x:v>2</x:v>
      </x:c>
      <x:c r="M191" s="17" t="n">
        <x:v>2</x:v>
      </x:c>
      <x:c r="N191" s="17" t="n">
        <x:v>0</x:v>
      </x:c>
      <x:c r="O191" s="17" t="n">
        <x:v>0</x:v>
      </x:c>
      <x:c r="P191" s="17" t="n">
        <x:v>0</x:v>
      </x:c>
      <x:c r="Q191" s="17" t="n">
        <x:v>0</x:v>
      </x:c>
      <x:c r="R191" s="19" t="n">
        <x:f>IFERROR((M191+N191)/L191,"")</x:f>
        <x:v>1</x:v>
      </x:c>
      <x:c r="S191" s="17" t="n">
        <x:v>0</x:v>
      </x:c>
      <x:c r="T191" s="17" t="n">
        <x:v>0</x:v>
      </x:c>
      <x:c r="U191" s="17" t="n">
        <x:v>11832</x:v>
      </x:c>
      <x:c r="V191" s="17" t="str">
        <x:v>正确</x:v>
      </x:c>
      <x:c r="W191" s="19" t="n">
        <x:v>1</x:v>
      </x:c>
      <x:c r="X191" s="17" t="str">
        <x:v>否</x:v>
      </x:c>
      <x:c r="Y191" s="17" t="str"/>
      <x:c r="Z191" s="17" t="str">
        <x:v>查询结果如下：
| 债券代码 | 债券简称 | 发行人 |
|:---|:---|:---|
| **118060.SH** | **瑞可转债** | **苏州瑞可达连接系统股份有限公司** |
当前数据源中，名称包含"可转债"的债券仅有这一只——**瑞可转债**（118060.SH），发行人为苏州瑞可达连接系统股份有限公司，是一家专注于连接器产品的上市公司。</x:v>
      </x:c>
      <x:c r="AA191" s="17" t="str"/>
      <x:c r="AB191" s="17" t="n">
        <x:v>46235.87383296296</x:v>
      </x:c>
      <x:c r="AC191" s="17" t="n">
        <x:v>46235.87404835648</x:v>
      </x:c>
      <x:c r="AD191" s="17" t="str">
        <x:v>analysis.json</x:v>
      </x:c>
      <x:c r="AE191" s="18" t="n">
        <x:v>10481</x:v>
      </x:c>
      <x:c r="AF191" s="18" t="n">
        <x:v>8129.09</x:v>
      </x:c>
      <x:c r="AG191" s="18" t="n">
        <x:v>658.55</x:v>
      </x:c>
      <x:c r="AH191" s="18" t="n">
        <x:v>6136.92</x:v>
      </x:c>
      <x:c r="AI191" s="17" t="n">
        <x:v>5</x:v>
      </x:c>
      <x:c r="AJ191" s="17" t="n">
        <x:v>1</x:v>
      </x:c>
      <x:c r="AK191" s="19" t="n">
        <x:v>1</x:v>
      </x:c>
      <x:c r="AL191" s="19" t="n">
        <x:v>1</x:v>
      </x:c>
      <x:c r="AM191" s="19" t="n">
        <x:v>0</x:v>
      </x:c>
      <x:c r="AN191" s="17" t="str">
        <x:v>[
  "bond.basic_info"
]</x:v>
      </x:c>
    </x:row>
    <x:row r="192" ht="58" customHeight="1">
      <x:c r="A192" s="17" t="str">
        <x:v>BUS190</x:v>
      </x:c>
      <x:c r="B192" s="17" t="str">
        <x:v>查询发行人包含万科的债券。</x:v>
      </x:c>
      <x:c r="C192" s="17" t="str">
        <x:v>bond</x:v>
      </x:c>
      <x:c r="D192" s="17" t="str">
        <x:v>bond.basic_info</x:v>
      </x:c>
      <x:c r="E192" s="17" t="str"/>
      <x:c r="F192" s="17" t="str">
        <x:v>financial_qa_cc</x:v>
      </x:c>
      <x:c r="G192" s="17" t="str">
        <x:v>否</x:v>
      </x:c>
      <x:c r="H192" s="18" t="n">
        <x:v>28954.35</x:v>
      </x:c>
      <x:c r="I192" s="18" t="n">
        <x:f>IFERROR(H192/1000,"")</x:f>
        <x:v>28.954349999999998</x:v>
      </x:c>
      <x:c r="J192" s="17" t="n">
        <x:v>8</x:v>
      </x:c>
      <x:c r="K192" s="17" t="str">
        <x:v>成功</x:v>
      </x:c>
      <x:c r="L192" s="17" t="n">
        <x:v>4</x:v>
      </x:c>
      <x:c r="M192" s="17" t="n">
        <x:v>4</x:v>
      </x:c>
      <x:c r="N192" s="17" t="n">
        <x:v>0</x:v>
      </x:c>
      <x:c r="O192" s="17" t="n">
        <x:v>0</x:v>
      </x:c>
      <x:c r="P192" s="17" t="n">
        <x:v>0</x:v>
      </x:c>
      <x:c r="Q192" s="17" t="n">
        <x:v>0</x:v>
      </x:c>
      <x:c r="R192" s="19" t="n">
        <x:f>IFERROR((M192+N192)/L192,"")</x:f>
        <x:v>1</x:v>
      </x:c>
      <x:c r="S192" s="17" t="n">
        <x:v>0</x:v>
      </x:c>
      <x:c r="T192" s="17" t="n">
        <x:v>0</x:v>
      </x:c>
      <x:c r="U192" s="17" t="n">
        <x:v>8894</x:v>
      </x:c>
      <x:c r="V192" s="17" t="str">
        <x:v>正确</x:v>
      </x:c>
      <x:c r="W192" s="19" t="n">
        <x:v>1</x:v>
      </x:c>
      <x:c r="X192" s="17" t="str">
        <x:v>否</x:v>
      </x:c>
      <x:c r="Y192" s="17" t="str"/>
      <x:c r="Z192" s="17" t="str">
        <x:v>查询到发行人 **万科企业股份有限公司** 的债券共 **35 只**，全部在深交所上市。按发行年份和类型整理如下：
**可转债**
| 代码 | 简称 |
|------|------|
| 125002.SZ | 万科转债 |
| 126002.SZ | 万科转2 |
**2008 年**
| 代码 | 简称 |
|------|------|
| 112005.SZ | 08万科G1 |
| 112006.SZ | 08万科G2 |
**2015 年**
| 112285.SZ | 15万科01 |
**2017 年**
| 112546.SZ | 17万科01 |
| 112561.SZ | 17万科02 |
**2018 年**
| 112742.SZ | 18万科01 |
| 112784.SZ | 18万科02 |
**2019 年**
| 112844.SZ | 19万科01 |
| 112976.SZ | 19万科02 |
**2020 年**
| 149056.SZ | 20万科01 | 149141.SZ | 20万科05 |
| 149057.SZ | 20万科02 | 149142.SZ | 20万科06 |
| 149123.SZ | 20万科03 | 149296.SZ | 20万科07 |
| 149124.SZ | 20万科04 | 149297.SZ | 20万科08 |
**2021 年**
| 149357.SZ | 21万科01 | 149567.SZ | 21万科05 |
| 149358.SZ | H1万科02 | 149568.SZ | H1万科06 |
| 149477.SZ | 21万科03 |  |  |
| 149478.SZ | H1万科04 |  |  |
**2022 年**
| 149814.SZ | 22万科01 | 148099.SZ | 22万科07 |
| 149815.SZ | H2万科02 | 148100.SZ | 22万科08 |
| 149930.SZ | 22万科03 | 149975.SZ | 22万科05 |
| 149931.SZ | H2万科04 | 149976.SZ | H2万科06 |
**2023 年**
| 148380.SZ | H3万科01 |
| 148381.SZ | 23万科02 |
如需进一步查看某只债券的行情、到期收益率或更多信息，可以告诉我。</x:v>
      </x:c>
      <x:c r="AA192" s="17" t="str"/>
      <x:c r="AB192" s="17" t="n">
        <x:v>46235.874124444446</x:v>
      </x:c>
      <x:c r="AC192" s="17" t="n">
        <x:v>46235.87445957176</x:v>
      </x:c>
      <x:c r="AD192" s="17" t="str">
        <x:v>analysis.json</x:v>
      </x:c>
      <x:c r="AE192" s="18" t="n">
        <x:v>21088</x:v>
      </x:c>
      <x:c r="AF192" s="18" t="n">
        <x:v>7866.35</x:v>
      </x:c>
      <x:c r="AG192" s="18" t="n">
        <x:v>676.54</x:v>
      </x:c>
      <x:c r="AH192" s="18" t="n">
        <x:v>5184.17</x:v>
      </x:c>
      <x:c r="AI192" s="17" t="n">
        <x:v>8</x:v>
      </x:c>
      <x:c r="AJ192" s="17" t="n">
        <x:v>1</x:v>
      </x:c>
      <x:c r="AK192" s="19" t="n">
        <x:v>1</x:v>
      </x:c>
      <x:c r="AL192" s="19" t="n">
        <x:v>1</x:v>
      </x:c>
      <x:c r="AM192" s="19" t="n">
        <x:v>0</x:v>
      </x:c>
      <x:c r="AN192" s="17" t="str">
        <x:v>[
  "bond.basic_info"
]</x:v>
      </x:c>
    </x:row>
    <x:row r="193" ht="58" customHeight="1">
      <x:c r="A193" s="17" t="str">
        <x:v>BUS191</x:v>
      </x:c>
      <x:c r="B193" s="17" t="str">
        <x:v>平安转债当前价格、涨跌幅和成交额是多少？</x:v>
      </x:c>
      <x:c r="C193" s="17" t="str">
        <x:v>bond</x:v>
      </x:c>
      <x:c r="D193" s="17" t="str">
        <x:v>bond.quote</x:v>
      </x:c>
      <x:c r="E193" s="17" t="str"/>
      <x:c r="F193" s="17" t="str">
        <x:v>financial_qa_cc</x:v>
      </x:c>
      <x:c r="G193" s="17" t="str">
        <x:v>否</x:v>
      </x:c>
      <x:c r="H193" s="18" t="n">
        <x:v>28607.99</x:v>
      </x:c>
      <x:c r="I193" s="18" t="n">
        <x:f>IFERROR(H193/1000,"")</x:f>
        <x:v>28.60799</x:v>
      </x:c>
      <x:c r="J193" s="17" t="n">
        <x:v>6</x:v>
      </x:c>
      <x:c r="K193" s="17" t="str">
        <x:v>成功</x:v>
      </x:c>
      <x:c r="L193" s="17" t="n">
        <x:v>4</x:v>
      </x:c>
      <x:c r="M193" s="17" t="n">
        <x:v>4</x:v>
      </x:c>
      <x:c r="N193" s="17" t="n">
        <x:v>0</x:v>
      </x:c>
      <x:c r="O193" s="17" t="n">
        <x:v>0</x:v>
      </x:c>
      <x:c r="P193" s="17" t="n">
        <x:v>0</x:v>
      </x:c>
      <x:c r="Q193" s="17" t="n">
        <x:v>0</x:v>
      </x:c>
      <x:c r="R193" s="19" t="n">
        <x:f>IFERROR((M193+N193)/L193,"")</x:f>
        <x:v>1</x:v>
      </x:c>
      <x:c r="S193" s="17" t="n">
        <x:v>0</x:v>
      </x:c>
      <x:c r="T193" s="17" t="n">
        <x:v>0</x:v>
      </x:c>
      <x:c r="U193" s="17" t="n">
        <x:v>15958</x:v>
      </x:c>
      <x:c r="V193" s="17" t="str">
        <x:v>证据不足</x:v>
      </x:c>
      <x:c r="W193" s="19" t="n">
        <x:v>0.95</x:v>
      </x:c>
      <x:c r="X193" s="17" t="str">
        <x:v>否</x:v>
      </x:c>
      <x:c r="Y193" s="17" t="str"/>
      <x:c r="Z193" s="17" t="str">
        <x:v>平安转债（113005.SH）是一只已到期退市的历史可转债，当前数据源中未查到该债券的行情数据。据我所知，该转债早已完成转股或到期兑付，不再有二级市场交易，因此没有当前价格、涨跌幅和成交额可供查询。</x:v>
      </x:c>
      <x:c r="AA193" s="17" t="str"/>
      <x:c r="AB193" s="17" t="n">
        <x:v>46235.87421310185</x:v>
      </x:c>
      <x:c r="AC193" s="17" t="n">
        <x:v>46235.874544212966</x:v>
      </x:c>
      <x:c r="AD193" s="17" t="str">
        <x:v>analysis.json</x:v>
      </x:c>
      <x:c r="AE193" s="18" t="n">
        <x:v>15946</x:v>
      </x:c>
      <x:c r="AF193" s="18" t="n">
        <x:v>12661.99</x:v>
      </x:c>
      <x:c r="AG193" s="18" t="n">
        <x:v>710.25</x:v>
      </x:c>
      <x:c r="AH193" s="18" t="n">
        <x:v>6586.54</x:v>
      </x:c>
      <x:c r="AI193" s="17" t="n">
        <x:v>6</x:v>
      </x:c>
      <x:c r="AJ193" s="17" t="n">
        <x:v>1</x:v>
      </x:c>
      <x:c r="AK193" s="19" t="n">
        <x:v>1</x:v>
      </x:c>
      <x:c r="AL193" s="19" t="n">
        <x:v>1</x:v>
      </x:c>
      <x:c r="AM193" s="19" t="n">
        <x:v>0</x:v>
      </x:c>
      <x:c r="AN193" s="17" t="str">
        <x:v>[
  "bond.basic_info",
  "bond.quote"
]</x:v>
      </x:c>
    </x:row>
    <x:row r="194" ht="58" customHeight="1">
      <x:c r="A194" s="17" t="str">
        <x:v>BUS192</x:v>
      </x:c>
      <x:c r="B194" s="17" t="str">
        <x:v>今天涨幅最高的债券前20名。</x:v>
      </x:c>
      <x:c r="C194" s="17" t="str">
        <x:v>bond</x:v>
      </x:c>
      <x:c r="D194" s="17" t="str">
        <x:v>bond.quote</x:v>
      </x:c>
      <x:c r="E194" s="17" t="str"/>
      <x:c r="F194" s="17" t="str">
        <x:v>financial_qa_cc</x:v>
      </x:c>
      <x:c r="G194" s="17" t="str">
        <x:v>否</x:v>
      </x:c>
      <x:c r="H194" s="18" t="n">
        <x:v>31618.74</x:v>
      </x:c>
      <x:c r="I194" s="18" t="n">
        <x:f>IFERROR(H194/1000,"")</x:f>
        <x:v>31.618740000000003</x:v>
      </x:c>
      <x:c r="J194" s="17" t="n">
        <x:v>8</x:v>
      </x:c>
      <x:c r="K194" s="17" t="str">
        <x:v>成功</x:v>
      </x:c>
      <x:c r="L194" s="17" t="n">
        <x:v>3</x:v>
      </x:c>
      <x:c r="M194" s="17" t="n">
        <x:v>3</x:v>
      </x:c>
      <x:c r="N194" s="17" t="n">
        <x:v>0</x:v>
      </x:c>
      <x:c r="O194" s="17" t="n">
        <x:v>0</x:v>
      </x:c>
      <x:c r="P194" s="17" t="n">
        <x:v>0</x:v>
      </x:c>
      <x:c r="Q194" s="17" t="n">
        <x:v>0</x:v>
      </x:c>
      <x:c r="R194" s="19" t="n">
        <x:f>IFERROR((M194+N194)/L194,"")</x:f>
        <x:v>1</x:v>
      </x:c>
      <x:c r="S194" s="17" t="n">
        <x:v>0</x:v>
      </x:c>
      <x:c r="T194" s="17" t="n">
        <x:v>0</x:v>
      </x:c>
      <x:c r="U194" s="17" t="n">
        <x:v>9075</x:v>
      </x:c>
      <x:c r="V194" s="17" t="str">
        <x:v>部分正确</x:v>
      </x:c>
      <x:c r="W194" s="19" t="n">
        <x:v>1</x:v>
      </x:c>
      <x:c r="X194" s="17" t="str">
        <x:v>否</x:v>
      </x:c>
      <x:c r="Y194" s="17" t="str"/>
      <x:c r="Z194" s="17" t="str">
        <x:v>今日（2026-07-31，上一个交易日）债券市场涨幅前20名如下：
| 排名 | 债券代码 | 债券名称 | 涨跌幅(%) | 最新价(元) | 成交额(元) |
|:---:|:---:|:---:|:---:|:---:|:---:|
| 1 | 114205.SZ | H7泰禾01 | **865.63** | 3.40 | 153万 |
| 2 | 114219.SZ | H7泰禾02 | **580.00** | 3.40 | 153万 |
| 3 | 149976.SZ | H2万科06 | **60.04** | 72.02 | 191万 |
| 4 | 149931.SZ | H2万科04 | **58.20** | 72.66 | 243万 |
| 5 | 113707.SH | 科博转债 | **57.30** | 157.30 | 6,127万 |
| 6 | 144638.SZ | 启悦13次 | **28.05** | 40.98 | 257万 |
| 7 | 112875.SZ | H9龙控01 | **21.66** | 9.55 | 79万 |
| 8 | 123261.SZ | 普联转债 | **20.00** | 201.60 | 27.9亿 |
| 9 | 123273.SZ | 三江转债 | **19.87** | 335.00 | 33.9亿 |
| 10 | 118071.SH | 华峰转债 | **11.28** | 243.43 | 27.5亿 |
| 11 | 149815.SZ | H2万科02 | **9.69** | 68.80 | 1,919万 |
| 12 | 127096.SZ | 泰坦转债 | **9.54** | 488.00 | 32.6亿 |
| 13 | 123272.SZ | 中汽转债 | **8.73** | 180.50 | 9.1亿 |
| 14 | 111012.SH | 福新转债 | **8.51** | 329.27 | 17.3亿 |
| 15 | 123118.SZ | 惠城转债 | **7.84** | 1,040.55 | 26.2亿 |
| 16 | 123131.SZ | 奥飞转债 | **7.78** | 315.58 | 21.9亿 |
| 17 | 123207.SZ | 冠中转债 | **7.72** | 201.65 | 10.7亿 |
| 18 | 118064.SH | 联瑞转债 | **7.59** | 307.15 | 16.2亿 |
| 19 | 113673.SH | 岱美转债 | **6.77** | 197.73 | 3.9亿 |
| 20 | 127080.SZ | 声迅转债 | **6.14** | 248.35 | 10.5亿 |
**整体特征：** 涨幅榜明显分为两类——前7名为**问题债/低价债**（H7泰禾、H2万科、H9龙控等，价格在3～72元区间），这些债券在极低价格基础上出现超大幅度反弹，但成交额较小；而第8名之后主要是**可转债**，普联、三江、华峰、泰坦等转债涨幅在6%～20%之间，成交额普遍在10亿以上，流动性远好于前列问题债。</x:v>
      </x:c>
      <x:c r="AA194" s="17" t="str"/>
      <x:c r="AB194" s="17" t="n">
        <x:v>46235.87452802083</x:v>
      </x:c>
      <x:c r="AC194" s="17" t="n">
        <x:v>46235.87489398148</x:v>
      </x:c>
      <x:c r="AD194" s="17" t="str">
        <x:v>analysis.json</x:v>
      </x:c>
      <x:c r="AE194" s="18" t="n">
        <x:v>21091</x:v>
      </x:c>
      <x:c r="AF194" s="18" t="n">
        <x:v>10527.74</x:v>
      </x:c>
      <x:c r="AG194" s="18" t="n">
        <x:v>714.08</x:v>
      </x:c>
      <x:c r="AH194" s="18" t="n">
        <x:v>8270.1</x:v>
      </x:c>
      <x:c r="AI194" s="17" t="n">
        <x:v>8</x:v>
      </x:c>
      <x:c r="AJ194" s="17" t="n">
        <x:v>1</x:v>
      </x:c>
      <x:c r="AK194" s="19" t="n">
        <x:v>1</x:v>
      </x:c>
      <x:c r="AL194" s="19" t="n">
        <x:v>1</x:v>
      </x:c>
      <x:c r="AM194" s="19" t="n">
        <x:v>0</x:v>
      </x:c>
      <x:c r="AN194" s="17" t="str">
        <x:v>[
  "bond.quote"
]</x:v>
      </x:c>
    </x:row>
    <x:row r="195" ht="58" customHeight="1">
      <x:c r="A195" s="17" t="str">
        <x:v>BUS193</x:v>
      </x:c>
      <x:c r="B195" s="17" t="str">
        <x:v>筛选今天成交额超过5000万元且上涨的债券。</x:v>
      </x:c>
      <x:c r="C195" s="17" t="str">
        <x:v>bond</x:v>
      </x:c>
      <x:c r="D195" s="17" t="str">
        <x:v>bond.quote</x:v>
      </x:c>
      <x:c r="E195" s="17" t="str"/>
      <x:c r="F195" s="17" t="str">
        <x:v>financial_qa_cc</x:v>
      </x:c>
      <x:c r="G195" s="17" t="str">
        <x:v>否</x:v>
      </x:c>
      <x:c r="H195" s="18" t="n">
        <x:v>31399.28</x:v>
      </x:c>
      <x:c r="I195" s="18" t="n">
        <x:f>IFERROR(H195/1000,"")</x:f>
        <x:v>31.399279999999997</x:v>
      </x:c>
      <x:c r="J195" s="17" t="n">
        <x:v>6</x:v>
      </x:c>
      <x:c r="K195" s="17" t="str">
        <x:v>成功</x:v>
      </x:c>
      <x:c r="L195" s="17" t="n">
        <x:v>3</x:v>
      </x:c>
      <x:c r="M195" s="17" t="n">
        <x:v>3</x:v>
      </x:c>
      <x:c r="N195" s="17" t="n">
        <x:v>0</x:v>
      </x:c>
      <x:c r="O195" s="17" t="n">
        <x:v>0</x:v>
      </x:c>
      <x:c r="P195" s="17" t="n">
        <x:v>0</x:v>
      </x:c>
      <x:c r="Q195" s="17" t="n">
        <x:v>0</x:v>
      </x:c>
      <x:c r="R195" s="19" t="n">
        <x:f>IFERROR((M195+N195)/L195,"")</x:f>
        <x:v>1</x:v>
      </x:c>
      <x:c r="S195" s="17" t="n">
        <x:v>0</x:v>
      </x:c>
      <x:c r="T195" s="17" t="n">
        <x:v>0</x:v>
      </x:c>
      <x:c r="U195" s="17" t="n">
        <x:v>13256</x:v>
      </x:c>
      <x:c r="V195" s="17" t="str">
        <x:v>部分正确</x:v>
      </x:c>
      <x:c r="W195" s="19" t="n">
        <x:v>1</x:v>
      </x:c>
      <x:c r="X195" s="17" t="str">
        <x:v>否</x:v>
      </x:c>
      <x:c r="Y195" s="17" t="str"/>
      <x:c r="Z195" s="17" t="str">
        <x:v>数据已查到。今天（8月2日周日）非交易日，因此取最近交易日 **7月31日（周五）** 的行情。共有 **20只债券** 满足成交额超5000万元且上涨的条件，按成交额排序如下：
---
**国债（利率债）—— 成交额最大但涨幅极低**
| 债券 | 涨幅 | 成交额 |
|------|------|--------|
| 26国债06 | +0.03% | 226.28亿 |
| 26国债08 | +0.08% | 189.10亿 |
| 26国债10 | +0.08% | 188.53亿 |
| 26国债13 | +0.02% | 141.02亿 |
| 26国债03 | +0.09% | 134.84亿 |
| 26国债05 | +0.08% | 128.44亿 |
| 26国债11 | +0.02% | 93.12亿 |
| 26国债04 | +0.003% | 82.84亿 |
| 26国债01 | +0.02% | 52.14亿 |
| 26国债09 | +0.01% | 31.82亿 |
| 26国债14 | +0.01% | 26.97亿 |
**国债逆回购**
| 代码 | 涨幅 | 成交额 |
|------|------|--------|
| GC004（204004） | +0.80% | 134.39亿 |
**可转债（涨幅明显、成交活跃）**
| 转债 | 涨幅 | 成交额 |
|------|------|--------|
| 普联转债 | **+20.00%** | 2.79亿 |
| 三江转债 | **+19.87%** | 3.39亿 |
| 华峰转债 | **+11.28%** | 2.75亿 |
| 泰坦转债 | **+9.54%** | 3.26亿 |
| 科蓝转债 | **+5.68%** | 4.36亿 |
| 正帆转债 | **+2.91%** | 3.88亿 |
| 25特国02 | +0.52% | 3.45亿 |
| 26特国02 | +0.47% | 2.76亿 |
---
**小结：** 条件最宽松（成交额门槛仅5000万），所以国债几乎全部上榜，但涨幅普遍在0.1%以内，属于正常波动。真正的亮点在**可转债**——普联转债涨停（+20%）、三江转债接近涨停（+19.87%）、华峰和泰坦涨幅也超9%，且成交额均在2.5亿以上，是当日最活跃的上涨品种。</x:v>
      </x:c>
      <x:c r="AA195" s="17" t="str"/>
      <x:c r="AB195" s="17" t="n">
        <x:v>46235.874623854164</x:v>
      </x:c>
      <x:c r="AC195" s="17" t="n">
        <x:v>46235.87498728009</x:v>
      </x:c>
      <x:c r="AD195" s="17" t="str">
        <x:v>analysis.json</x:v>
      </x:c>
      <x:c r="AE195" s="18" t="n">
        <x:v>23545</x:v>
      </x:c>
      <x:c r="AF195" s="18" t="n">
        <x:v>7854.28</x:v>
      </x:c>
      <x:c r="AG195" s="18" t="n">
        <x:v>707.58</x:v>
      </x:c>
      <x:c r="AH195" s="18" t="n">
        <x:v>5275</x:v>
      </x:c>
      <x:c r="AI195" s="17" t="n">
        <x:v>6</x:v>
      </x:c>
      <x:c r="AJ195" s="17" t="n">
        <x:v>1</x:v>
      </x:c>
      <x:c r="AK195" s="19" t="n">
        <x:v>1</x:v>
      </x:c>
      <x:c r="AL195" s="19" t="n">
        <x:v>1</x:v>
      </x:c>
      <x:c r="AM195" s="19" t="n">
        <x:v>0</x:v>
      </x:c>
      <x:c r="AN195" s="17" t="str">
        <x:v>[
  "bond.quote"
]</x:v>
      </x:c>
    </x:row>
    <x:row r="196" ht="58" customHeight="1">
      <x:c r="A196" s="17" t="str">
        <x:v>BUS194</x:v>
      </x:c>
      <x:c r="B196" s="17" t="str">
        <x:v>查询平安转债最近10个交易日收盘价和涨跌幅。</x:v>
      </x:c>
      <x:c r="C196" s="17" t="str">
        <x:v>bond</x:v>
      </x:c>
      <x:c r="D196" s="17" t="str">
        <x:v>bond.quote</x:v>
      </x:c>
      <x:c r="E196" s="17" t="str"/>
      <x:c r="F196" s="17" t="str">
        <x:v>financial_qa_cc</x:v>
      </x:c>
      <x:c r="G196" s="17" t="str">
        <x:v>否</x:v>
      </x:c>
      <x:c r="H196" s="18" t="n">
        <x:v>97766.08</x:v>
      </x:c>
      <x:c r="I196" s="18" t="n">
        <x:f>IFERROR(H196/1000,"")</x:f>
        <x:v>97.76608</x:v>
      </x:c>
      <x:c r="J196" s="17" t="n">
        <x:v>17</x:v>
      </x:c>
      <x:c r="K196" s="17" t="str">
        <x:v>成功</x:v>
      </x:c>
      <x:c r="L196" s="17" t="n">
        <x:v>4</x:v>
      </x:c>
      <x:c r="M196" s="17" t="n">
        <x:v>4</x:v>
      </x:c>
      <x:c r="N196" s="17" t="n">
        <x:v>0</x:v>
      </x:c>
      <x:c r="O196" s="17" t="n">
        <x:v>0</x:v>
      </x:c>
      <x:c r="P196" s="17" t="n">
        <x:v>0</x:v>
      </x:c>
      <x:c r="Q196" s="17" t="n">
        <x:v>0</x:v>
      </x:c>
      <x:c r="R196" s="19" t="n">
        <x:f>IFERROR((M196+N196)/L196,"")</x:f>
        <x:v>1</x:v>
      </x:c>
      <x:c r="S196" s="17" t="n">
        <x:v>0</x:v>
      </x:c>
      <x:c r="T196" s="17" t="n">
        <x:v>0</x:v>
      </x:c>
      <x:c r="U196" s="17" t="n">
        <x:v>16622</x:v>
      </x:c>
      <x:c r="V196" s="17" t="str">
        <x:v>证据不足</x:v>
      </x:c>
      <x:c r="W196" s="19" t="n">
        <x:v>0.9545454545454546</x:v>
      </x:c>
      <x:c r="X196" s="17" t="str">
        <x:v>是</x:v>
      </x:c>
      <x:c r="Y196" s="17" t="str"/>
      <x:c r="Z196" s="17" t="str">
        <x:v>查询结果显示平安转债（113005.SH）的行情数据为零条记录。这是因为该债券已于2015年到期退市，目前没有活跃交易，因此无法获取最近10个交易日的收盘价和涨跌幅数据。
**简要说明：**
- **债券名称**：平安转债（113005.SH）
- **发行主体**：中国平安保险(集团)股份有限公司
- **状态**：该可转债于2013年发行，2015年已到期并完成转股/赎回，目前已退市，不再有交易行情。</x:v>
      </x:c>
      <x:c r="AA196" s="17" t="str"/>
      <x:c r="AB196" s="17" t="n">
        <x:v>46235.87495708333</x:v>
      </x:c>
      <x:c r="AC196" s="17" t="n">
        <x:v>46235.87608865741</x:v>
      </x:c>
      <x:c r="AD196" s="17" t="str">
        <x:v>analysis.json</x:v>
      </x:c>
      <x:c r="AE196" s="18" t="n">
        <x:v>90598</x:v>
      </x:c>
      <x:c r="AF196" s="18" t="n">
        <x:v>7168.08</x:v>
      </x:c>
      <x:c r="AG196" s="18" t="n">
        <x:v>640.09</x:v>
      </x:c>
      <x:c r="AH196" s="18" t="n">
        <x:v>5083.78</x:v>
      </x:c>
      <x:c r="AI196" s="17" t="n">
        <x:v>17</x:v>
      </x:c>
      <x:c r="AJ196" s="17" t="n">
        <x:v>1</x:v>
      </x:c>
      <x:c r="AK196" s="19" t="n">
        <x:v>1</x:v>
      </x:c>
      <x:c r="AL196" s="19" t="n">
        <x:v>1</x:v>
      </x:c>
      <x:c r="AM196" s="19" t="n">
        <x:v>0</x:v>
      </x:c>
      <x:c r="AN196" s="17" t="str">
        <x:v>[
  "bond.basic_info",
  "bond.quote"
]</x:v>
      </x:c>
    </x:row>
    <x:row r="197" ht="58" customHeight="1">
      <x:c r="A197" s="17" t="str">
        <x:v>BUS195</x:v>
      </x:c>
      <x:c r="B197" s="17" t="str">
        <x:v>过去20个交易日跌幅最大的债券前10名。</x:v>
      </x:c>
      <x:c r="C197" s="17" t="str">
        <x:v>bond</x:v>
      </x:c>
      <x:c r="D197" s="17" t="str">
        <x:v>bond.quote</x:v>
      </x:c>
      <x:c r="E197" s="17" t="str"/>
      <x:c r="F197" s="17" t="str">
        <x:v>financial_qa_cc</x:v>
      </x:c>
      <x:c r="G197" s="17" t="str">
        <x:v>否</x:v>
      </x:c>
      <x:c r="H197" s="18" t="n">
        <x:v>34728.16</x:v>
      </x:c>
      <x:c r="I197" s="18" t="n">
        <x:f>IFERROR(H197/1000,"")</x:f>
        <x:v>34.72816</x:v>
      </x:c>
      <x:c r="J197" s="17" t="n">
        <x:v>5</x:v>
      </x:c>
      <x:c r="K197" s="17" t="str">
        <x:v>成功</x:v>
      </x:c>
      <x:c r="L197" s="17" t="n">
        <x:v>3</x:v>
      </x:c>
      <x:c r="M197" s="17" t="n">
        <x:v>3</x:v>
      </x:c>
      <x:c r="N197" s="17" t="n">
        <x:v>0</x:v>
      </x:c>
      <x:c r="O197" s="17" t="n">
        <x:v>0</x:v>
      </x:c>
      <x:c r="P197" s="17" t="n">
        <x:v>0</x:v>
      </x:c>
      <x:c r="Q197" s="17" t="n">
        <x:v>0</x:v>
      </x:c>
      <x:c r="R197" s="19" t="n">
        <x:f>IFERROR((M197+N197)/L197,"")</x:f>
        <x:v>1</x:v>
      </x:c>
      <x:c r="S197" s="17" t="n">
        <x:v>0</x:v>
      </x:c>
      <x:c r="T197" s="17" t="n">
        <x:v>0</x:v>
      </x:c>
      <x:c r="U197" s="17" t="n">
        <x:v>15448</x:v>
      </x:c>
      <x:c r="V197" s="17" t="str">
        <x:v>部分正确</x:v>
      </x:c>
      <x:c r="W197" s="19" t="n">
        <x:v>1</x:v>
      </x:c>
      <x:c r="X197" s="17" t="str">
        <x:v>否</x:v>
      </x:c>
      <x:c r="Y197" s="17" t="str"/>
      <x:c r="Z197" s="17" t="str">
        <x:v>过去20个交易日跌幅最大的前10只债券如下：
| 排名 | 代码 | 名称 | 20日累计跌幅 |
|:---:|:---:|:---:|:---:|
| 1 | 117063.SZ | H6神雾E1 | -99.99% |
| 2 | 146991.SZ | 徐保29优 | -98.47% |
| 3 | 146938.SZ | 诚远2A1 | -97.31% |
| 4 | 146364.SZ | 鲲鹏25A2 | -96.99% |
| 5 | 144714.SZ | 诚丰2期优先A2 | -95.77% |
| 6 | 149208.SZ | H0阳城03 | -94.82% |
| 7 | 144237.SZ | 熹焱03A3 | -93.66% |
| 8 | 500506.SZ | 广10优1 | -91.47% |
| 9 | 146541.SZ | 25YD2HA1 | -91.37% |
| 10 | 144479.SZ | 玮盈3次 | -89.87% |
这些债券的跌幅极为剧烈，前10名跌幅均在 **-89% 以上**，其中 **H6神雾E1**（神雾集团相关债券）以接近 **-99.99%** 的跌幅居首，**H0阳城03**（阳光城相关）跌幅也超过 **-94%**。从名称来看，这些多为信用资质较弱的公司债、资产支持证券（ABS）或已违约债券，价格大幅下跌反映了市场对其兑付前景的悲观预期。</x:v>
      </x:c>
      <x:c r="AA197" s="17" t="str"/>
      <x:c r="AB197" s="17" t="n">
        <x:v>46235.87505476852</x:v>
      </x:c>
      <x:c r="AC197" s="17" t="n">
        <x:v>46235.875456724534</x:v>
      </x:c>
      <x:c r="AD197" s="17" t="str">
        <x:v>analysis.json</x:v>
      </x:c>
      <x:c r="AE197" s="18" t="n">
        <x:v>27844</x:v>
      </x:c>
      <x:c r="AF197" s="18" t="n">
        <x:v>6884.16</x:v>
      </x:c>
      <x:c r="AG197" s="18" t="n">
        <x:v>759.19</x:v>
      </x:c>
      <x:c r="AH197" s="18" t="n">
        <x:v>4900.85</x:v>
      </x:c>
      <x:c r="AI197" s="17" t="n">
        <x:v>5</x:v>
      </x:c>
      <x:c r="AJ197" s="17" t="n">
        <x:v>1</x:v>
      </x:c>
      <x:c r="AK197" s="19" t="n">
        <x:v>1</x:v>
      </x:c>
      <x:c r="AL197" s="19" t="n">
        <x:v>1</x:v>
      </x:c>
      <x:c r="AM197" s="19" t="n">
        <x:v>0</x:v>
      </x:c>
      <x:c r="AN197" s="17" t="str">
        <x:v>[
  "bond.quote.kd_pct_sum"
]</x:v>
      </x:c>
    </x:row>
    <x:row r="198" ht="58" customHeight="1">
      <x:c r="A198" s="17" t="str">
        <x:v>BUS196</x:v>
      </x:c>
      <x:c r="B198" s="17" t="str">
        <x:v>查询当前换手率最高的债券前20名。</x:v>
      </x:c>
      <x:c r="C198" s="17" t="str">
        <x:v>bond</x:v>
      </x:c>
      <x:c r="D198" s="17" t="str">
        <x:v>bond.quote</x:v>
      </x:c>
      <x:c r="E198" s="17" t="str"/>
      <x:c r="F198" s="17" t="str">
        <x:v>financial_qa_cc</x:v>
      </x:c>
      <x:c r="G198" s="17" t="str">
        <x:v>否</x:v>
      </x:c>
      <x:c r="H198" s="18" t="n">
        <x:v>22481.37</x:v>
      </x:c>
      <x:c r="I198" s="18" t="n">
        <x:f>IFERROR(H198/1000,"")</x:f>
        <x:v>22.48137</x:v>
      </x:c>
      <x:c r="J198" s="17" t="n">
        <x:v>4</x:v>
      </x:c>
      <x:c r="K198" s="17" t="str">
        <x:v>成功</x:v>
      </x:c>
      <x:c r="L198" s="17" t="n">
        <x:v>3</x:v>
      </x:c>
      <x:c r="M198" s="17" t="n">
        <x:v>2</x:v>
      </x:c>
      <x:c r="N198" s="17" t="n">
        <x:v>0</x:v>
      </x:c>
      <x:c r="O198" s="17" t="n">
        <x:v>1</x:v>
      </x:c>
      <x:c r="P198" s="17" t="n">
        <x:v>0</x:v>
      </x:c>
      <x:c r="Q198" s="17" t="n">
        <x:v>0</x:v>
      </x:c>
      <x:c r="R198" s="19" t="n">
        <x:f>IFERROR((M198+N198)/L198,"")</x:f>
        <x:v>0.6666666666666666</x:v>
      </x:c>
      <x:c r="S198" s="17" t="n">
        <x:v>0</x:v>
      </x:c>
      <x:c r="T198" s="17" t="n">
        <x:v>0</x:v>
      </x:c>
      <x:c r="U198" s="17" t="n">
        <x:v>8233</x:v>
      </x:c>
      <x:c r="V198" s="17" t="str">
        <x:v>错误</x:v>
      </x:c>
      <x:c r="W198" s="19" t="n">
        <x:v>1</x:v>
      </x:c>
      <x:c r="X198" s="17" t="str">
        <x:v>否</x:v>
      </x:c>
      <x:c r="Y198" s="17" t="str"/>
      <x:c r="Z198" s="17" t="str">
        <x:v>当前数据源中未查询到债券的换手率记录。无论是实时盘中数据还是上一个交易日（2026-07-31）的历史数据，均未返回任何债券行情记录，因此无法提供换手率最高的债券排名。
这可能是因为当前数据源暂未覆盖债券品种的行情数据（含换手率字段）。</x:v>
      </x:c>
      <x:c r="AA198" s="17" t="str"/>
      <x:c r="AB198" s="17" t="n">
        <x:v>46235.87552056713</x:v>
      </x:c>
      <x:c r="AC198" s="17" t="n">
        <x:v>46235.87578076389</x:v>
      </x:c>
      <x:c r="AD198" s="17" t="str">
        <x:v>analysis.json</x:v>
      </x:c>
      <x:c r="AE198" s="18" t="n">
        <x:v>15081</x:v>
      </x:c>
      <x:c r="AF198" s="18" t="n">
        <x:v>7400.37</x:v>
      </x:c>
      <x:c r="AG198" s="18" t="n">
        <x:v>649.82</x:v>
      </x:c>
      <x:c r="AH198" s="18" t="n">
        <x:v>5040.41</x:v>
      </x:c>
      <x:c r="AI198" s="17" t="n">
        <x:v>4</x:v>
      </x:c>
      <x:c r="AJ198" s="17" t="n">
        <x:v>1</x:v>
      </x:c>
      <x:c r="AK198" s="19" t="n">
        <x:v>0.6667</x:v>
      </x:c>
      <x:c r="AL198" s="19" t="n">
        <x:v>0.6667</x:v>
      </x:c>
      <x:c r="AM198" s="19" t="n">
        <x:v>0.3333</x:v>
      </x:c>
      <x:c r="AN198" s="17" t="str">
        <x:v>[
  "bond.quote"
]</x:v>
      </x:c>
    </x:row>
    <x:row r="199" ht="58" customHeight="1">
      <x:c r="A199" s="17" t="str">
        <x:v>BUS197</x:v>
      </x:c>
      <x:c r="B199" s="17" t="str">
        <x:v>比较平安转债最近20个交易日累计涨幅和当前成交额。</x:v>
      </x:c>
      <x:c r="C199" s="17" t="str">
        <x:v>bond</x:v>
      </x:c>
      <x:c r="D199" s="17" t="str">
        <x:v>bond.quote</x:v>
      </x:c>
      <x:c r="E199" s="17" t="str"/>
      <x:c r="F199" s="17" t="str">
        <x:v>financial_qa_cc</x:v>
      </x:c>
      <x:c r="G199" s="17" t="str">
        <x:v>否</x:v>
      </x:c>
      <x:c r="H199" s="18" t="n">
        <x:v>36880.27</x:v>
      </x:c>
      <x:c r="I199" s="18" t="n">
        <x:f>IFERROR(H199/1000,"")</x:f>
        <x:v>36.880269999999996</x:v>
      </x:c>
      <x:c r="J199" s="17" t="n">
        <x:v>8</x:v>
      </x:c>
      <x:c r="K199" s="17" t="str">
        <x:v>成功</x:v>
      </x:c>
      <x:c r="L199" s="17" t="n">
        <x:v>6</x:v>
      </x:c>
      <x:c r="M199" s="17" t="n">
        <x:v>6</x:v>
      </x:c>
      <x:c r="N199" s="17" t="n">
        <x:v>0</x:v>
      </x:c>
      <x:c r="O199" s="17" t="n">
        <x:v>0</x:v>
      </x:c>
      <x:c r="P199" s="17" t="n">
        <x:v>0</x:v>
      </x:c>
      <x:c r="Q199" s="17" t="n">
        <x:v>0</x:v>
      </x:c>
      <x:c r="R199" s="19" t="n">
        <x:f>IFERROR((M199+N199)/L199,"")</x:f>
        <x:v>1</x:v>
      </x:c>
      <x:c r="S199" s="17" t="n">
        <x:v>0</x:v>
      </x:c>
      <x:c r="T199" s="17" t="n">
        <x:v>0</x:v>
      </x:c>
      <x:c r="U199" s="17" t="n">
        <x:v>12913</x:v>
      </x:c>
      <x:c r="V199" s="17" t="str">
        <x:v>证据不足</x:v>
      </x:c>
      <x:c r="W199" s="19" t="n">
        <x:v>0.9545454545454546</x:v>
      </x:c>
      <x:c r="X199" s="17" t="str">
        <x:v>否</x:v>
      </x:c>
      <x:c r="Y199" s="17" t="str"/>
      <x:c r="Z199" s="17" t="str">
        <x:v>平安转债（113005.SH）是由中国平安保险（集团）股份有限公司发行的可转债，目前已到期退市，数据源中并无其近期的行情记录，因此无法计算出最近20个交易日的累计涨幅和当前成交额。
如果你指的是**平安银行**目前仍在交易的可转债（如平银转债等），或者想了解其他平安系债券，可以告诉我具体名称，我帮你查询。</x:v>
      </x:c>
      <x:c r="AA199" s="17" t="str"/>
      <x:c r="AB199" s="17" t="n">
        <x:v>46235.87583243055</x:v>
      </x:c>
      <x:c r="AC199" s="17" t="n">
        <x:v>46235.87625929398</x:v>
      </x:c>
      <x:c r="AD199" s="17" t="str">
        <x:v>analysis.json</x:v>
      </x:c>
      <x:c r="AE199" s="18" t="n">
        <x:v>27163</x:v>
      </x:c>
      <x:c r="AF199" s="18" t="n">
        <x:v>9717.27</x:v>
      </x:c>
      <x:c r="AG199" s="18" t="n">
        <x:v>685.6</x:v>
      </x:c>
      <x:c r="AH199" s="18" t="n">
        <x:v>6984.18</x:v>
      </x:c>
      <x:c r="AI199" s="17" t="n">
        <x:v>8</x:v>
      </x:c>
      <x:c r="AJ199" s="17" t="n">
        <x:v>1</x:v>
      </x:c>
      <x:c r="AK199" s="19" t="n">
        <x:v>1</x:v>
      </x:c>
      <x:c r="AL199" s="19" t="n">
        <x:v>1</x:v>
      </x:c>
      <x:c r="AM199" s="19" t="n">
        <x:v>0</x:v>
      </x:c>
      <x:c r="AN199" s="17" t="str">
        <x:v>[
  "bond.basic_info",
  "bond.quote.kd_pct_sum",
  "bond.quote"
]</x:v>
      </x:c>
    </x:row>
    <x:row r="200" ht="58" customHeight="1">
      <x:c r="A200" s="17" t="str">
        <x:v>BUS198</x:v>
      </x:c>
      <x:c r="B200" s="17" t="str">
        <x:v>筛选近10个交易日平均成交额最高的债券前20名。</x:v>
      </x:c>
      <x:c r="C200" s="17" t="str">
        <x:v>bond</x:v>
      </x:c>
      <x:c r="D200" s="17" t="str">
        <x:v>bond.quote</x:v>
      </x:c>
      <x:c r="E200" s="17" t="str"/>
      <x:c r="F200" s="17" t="str">
        <x:v>financial_qa_cc</x:v>
      </x:c>
      <x:c r="G200" s="17" t="str">
        <x:v>否</x:v>
      </x:c>
      <x:c r="H200" s="18" t="n">
        <x:v>30827.62</x:v>
      </x:c>
      <x:c r="I200" s="18" t="n">
        <x:f>IFERROR(H200/1000,"")</x:f>
        <x:v>30.82762</x:v>
      </x:c>
      <x:c r="J200" s="17" t="n">
        <x:v>6</x:v>
      </x:c>
      <x:c r="K200" s="17" t="str">
        <x:v>成功</x:v>
      </x:c>
      <x:c r="L200" s="17" t="n">
        <x:v>3</x:v>
      </x:c>
      <x:c r="M200" s="17" t="n">
        <x:v>3</x:v>
      </x:c>
      <x:c r="N200" s="17" t="n">
        <x:v>0</x:v>
      </x:c>
      <x:c r="O200" s="17" t="n">
        <x:v>0</x:v>
      </x:c>
      <x:c r="P200" s="17" t="n">
        <x:v>0</x:v>
      </x:c>
      <x:c r="Q200" s="17" t="n">
        <x:v>0</x:v>
      </x:c>
      <x:c r="R200" s="19" t="n">
        <x:f>IFERROR((M200+N200)/L200,"")</x:f>
        <x:v>1</x:v>
      </x:c>
      <x:c r="S200" s="17" t="n">
        <x:v>0</x:v>
      </x:c>
      <x:c r="T200" s="17" t="n">
        <x:v>0</x:v>
      </x:c>
      <x:c r="U200" s="17" t="n">
        <x:v>8588</x:v>
      </x:c>
      <x:c r="V200" s="17" t="str">
        <x:v>正确</x:v>
      </x:c>
      <x:c r="W200" s="19" t="n">
        <x:v>0.9545454545454546</x:v>
      </x:c>
      <x:c r="X200" s="17" t="str">
        <x:v>否</x:v>
      </x:c>
      <x:c r="Y200" s="17" t="str"/>
      <x:c r="Z200" s="17" t="str">
        <x:v>以下是近10个交易日平均成交额最高的前20只债券（单位已换算为亿元）：
| 排名 | 代码 | 名称 | 近10日均成交额（亿元） |
|:---:|:---:|:---:|:---:|
| 1 | 204001.SH | 上交所1天逆回购 | 2,044.18 |
| 2 | 131810.SZ | 深交所1天逆回购 | 285.14 |
| 3 | 204007.SH | 上交所7天逆回购 | 189.79 |
| 4 | 204014.SH | 上交所14天逆回购 | 25.11 |
| 5 | 204002.SH | 上交所2天逆回购 | 18.37 |
| 6 | 131801.SZ | 深交所7天逆回购 | 17.44 |
| 7 | 019832.SH | 26国债06 | 15.28 |
| 8 | 204004.SH | 上交所4天逆回购 | 12.97 |
| 9 | 204003.SH | 上交所3天逆回购 | 12.89 |
| 10 | 019829.SH | 26国债03 | 11.45 |
| 11 | 019845.SH | 26国债13 | 9.06 |
| 12 | 019839.SH | 26国债10 | 8.54 |
| 13 | 019831.SH | 26国债05 | 6.74 |
| 14 | 019834.SH | 26国债08 | 6.16 |
| 15 | 019840.SH | 26国债11 | 6.07 |
| 16 | 019830.SH | 26国债04 | 5.98 |
| 17 | 019827.SH | 26国债01 | 5.63 |
| 18 | 019797.SH | 25国债24 | 5.56 |
| 19 | 204028.SH | 上交所28天逆回购 | 5.19 |
| 20 | 019835.SH | 26国债09 | 4.31 |
**简要解读：**
- **逆回购品种占据绝对主导**，尤其是 **204001（GC001，上交所1天期逆回购）** 日均成交额高达 **2,044亿元**，遥遥领先，是第二名 **R-001（深交所1天逆回购）** 的7倍以上，反映出短期资金市场上逆回购是流动性最强的交易品种。
- **国债方面**，2026年发行的多期国债（26国债系列）上榜，日均成交额在 **4.3亿～15.3亿元** 之间，流动性较好的以26国债06、26国债03为代表。
- 数据以近10个交易日为窗口（截至最近一个交易日），成交额单位为元，已换算为亿元展示。</x:v>
      </x:c>
      <x:c r="AA200" s="17" t="str"/>
      <x:c r="AB200" s="17" t="n">
        <x:v>46235.876141099536</x:v>
      </x:c>
      <x:c r="AC200" s="17" t="n">
        <x:v>46235.87649790509</x:v>
      </x:c>
      <x:c r="AD200" s="17" t="str">
        <x:v>analysis.json</x:v>
      </x:c>
      <x:c r="AE200" s="18" t="n">
        <x:v>23195</x:v>
      </x:c>
      <x:c r="AF200" s="18" t="n">
        <x:v>7632.62</x:v>
      </x:c>
      <x:c r="AG200" s="18" t="n">
        <x:v>708.04</x:v>
      </x:c>
      <x:c r="AH200" s="18" t="n">
        <x:v>5425.01</x:v>
      </x:c>
      <x:c r="AI200" s="17" t="n">
        <x:v>6</x:v>
      </x:c>
      <x:c r="AJ200" s="17" t="n">
        <x:v>1</x:v>
      </x:c>
      <x:c r="AK200" s="19" t="n">
        <x:v>1</x:v>
      </x:c>
      <x:c r="AL200" s="19" t="n">
        <x:v>1</x:v>
      </x:c>
      <x:c r="AM200" s="19" t="n">
        <x:v>0</x:v>
      </x:c>
      <x:c r="AN200" s="17" t="str">
        <x:v>[
  "bond.quote.kd_amount_avg"
]</x:v>
      </x:c>
    </x:row>
    <x:row r="201" ht="58" customHeight="1">
      <x:c r="A201" s="17" t="str">
        <x:v>BUS199</x:v>
      </x:c>
      <x:c r="B201" s="17" t="str">
        <x:v>查询今天涨幅超过3%且成交额超过1亿元的债券。</x:v>
      </x:c>
      <x:c r="C201" s="17" t="str">
        <x:v>bond</x:v>
      </x:c>
      <x:c r="D201" s="17" t="str">
        <x:v>bond.quote</x:v>
      </x:c>
      <x:c r="E201" s="17" t="str"/>
      <x:c r="F201" s="17" t="str">
        <x:v>financial_qa_cc</x:v>
      </x:c>
      <x:c r="G201" s="17" t="str">
        <x:v>否</x:v>
      </x:c>
      <x:c r="H201" s="18" t="n">
        <x:v>30727.61</x:v>
      </x:c>
      <x:c r="I201" s="18" t="n">
        <x:f>IFERROR(H201/1000,"")</x:f>
        <x:v>30.727610000000002</x:v>
      </x:c>
      <x:c r="J201" s="17" t="n">
        <x:v>5</x:v>
      </x:c>
      <x:c r="K201" s="17" t="str">
        <x:v>成功</x:v>
      </x:c>
      <x:c r="L201" s="17" t="n">
        <x:v>3</x:v>
      </x:c>
      <x:c r="M201" s="17" t="n">
        <x:v>3</x:v>
      </x:c>
      <x:c r="N201" s="17" t="n">
        <x:v>0</x:v>
      </x:c>
      <x:c r="O201" s="17" t="n">
        <x:v>0</x:v>
      </x:c>
      <x:c r="P201" s="17" t="n">
        <x:v>0</x:v>
      </x:c>
      <x:c r="Q201" s="17" t="n">
        <x:v>0</x:v>
      </x:c>
      <x:c r="R201" s="19" t="n">
        <x:f>IFERROR((M201+N201)/L201,"")</x:f>
        <x:v>1</x:v>
      </x:c>
      <x:c r="S201" s="17" t="n">
        <x:v>0</x:v>
      </x:c>
      <x:c r="T201" s="17" t="n">
        <x:v>0</x:v>
      </x:c>
      <x:c r="U201" s="17" t="n">
        <x:v>17722</x:v>
      </x:c>
      <x:c r="V201" s="17" t="str">
        <x:v>部分正确</x:v>
      </x:c>
      <x:c r="W201" s="19" t="n">
        <x:v>1</x:v>
      </x:c>
      <x:c r="X201" s="17" t="str">
        <x:v>否</x:v>
      </x:c>
      <x:c r="Y201" s="17" t="str"/>
      <x:c r="Z201" s="17" t="str">
        <x:v>今天（2026-08-02）是周日，非交易日，因此为您查询的是最近一个交易日 **2026-07-31（周五）** 的数据。当日共有 **41只债券** 满足涨幅超过3%且成交额超过1亿元的条件，全部均为可转债，以下是按涨幅排名的完整列表：
**涨幅前10名：**
| 债券名称 | 涨幅 | 成交额 |
|---------|:----:|:------:|
| 普联转债 | **+20.00%** | 27.88亿 |
| 三江转债 | **+19.87%** | 33.95亿 |
| 华峰转债 | **+11.28%** | 27.53亿 |
| 泰坦转债 | **+9.54%** | 32.65亿 |
| 中汽转债 | **+8.73%** | 9.12亿 |
| 福新转债 | **+8.51%** | 17.28亿 |
| 惠城转债 | **+7.84%** | 26.18亿 |
| 奥飞转债 | **+7.78%** | 21.86亿 |
| 冠中转债 | **+7.72%** | 10.69亿 |
| 联瑞转债 | **+7.59%** | 16.24亿 |
**其他符合条件的债券（涨幅3%~6%）：** 科蓝转债（+5.68%，成交43.57亿）、鼎捷转债（+5.75%）、亿田转债（+5.78%）、声迅转债（+6.14%）、岱美转债（+6.77%）、宙邦转债、银轮转债、集智转债、道通转债、本川转债、航宇转债、山石转债、姚记转债、豪26转债、浩瀚转债、爱科转债、路维转债、胜蓝转02、皓元转债、风语转债、天准转债、瑞可转债、应流转债、圣泉转债、博士转债、睿创转债、维科转债、翔26转债、东南转债、海顺转债等。
当日市场活跃度较高，**普联转债、三江转债、华峰转债**涨幅均超过10%，资金博弈明显。其中成交额最大的为**科蓝转债**（43.57亿），其次是**三江转债**（33.95亿）和**泰坦转债**（32.65亿）。</x:v>
      </x:c>
      <x:c r="AA201" s="17" t="str"/>
      <x:c r="AB201" s="17" t="n">
        <x:v>46235.87631582176</x:v>
      </x:c>
      <x:c r="AC201" s="17" t="n">
        <x:v>46235.87667146991</x:v>
      </x:c>
      <x:c r="AD201" s="17" t="str">
        <x:v>analysis.json</x:v>
      </x:c>
      <x:c r="AE201" s="18" t="n">
        <x:v>23191</x:v>
      </x:c>
      <x:c r="AF201" s="18" t="n">
        <x:v>7536.61</x:v>
      </x:c>
      <x:c r="AG201" s="18" t="n">
        <x:v>708.46</x:v>
      </x:c>
      <x:c r="AH201" s="18" t="n">
        <x:v>5226.35</x:v>
      </x:c>
      <x:c r="AI201" s="17" t="n">
        <x:v>5</x:v>
      </x:c>
      <x:c r="AJ201" s="17" t="n">
        <x:v>1</x:v>
      </x:c>
      <x:c r="AK201" s="19" t="n">
        <x:v>1</x:v>
      </x:c>
      <x:c r="AL201" s="19" t="n">
        <x:v>1</x:v>
      </x:c>
      <x:c r="AM201" s="19" t="n">
        <x:v>0</x:v>
      </x:c>
      <x:c r="AN201" s="17" t="str">
        <x:v>[
  "bond.quote"
]</x:v>
      </x:c>
    </x:row>
    <x:row r="202" ht="58" customHeight="1">
      <x:c r="A202" s="17" t="str">
        <x:v>BUS200</x:v>
      </x:c>
      <x:c r="B202" s="17" t="str">
        <x:v>统计当前债券市场涨幅为正的债券数量。</x:v>
      </x:c>
      <x:c r="C202" s="17" t="str">
        <x:v>bond</x:v>
      </x:c>
      <x:c r="D202" s="17" t="str">
        <x:v>bond.quote</x:v>
      </x:c>
      <x:c r="E202" s="17" t="str"/>
      <x:c r="F202" s="17" t="str">
        <x:v>financial_qa_cc</x:v>
      </x:c>
      <x:c r="G202" s="17" t="str">
        <x:v>否</x:v>
      </x:c>
      <x:c r="H202" s="18" t="n">
        <x:v>24560.33</x:v>
      </x:c>
      <x:c r="I202" s="18" t="n">
        <x:f>IFERROR(H202/1000,"")</x:f>
        <x:v>24.56033</x:v>
      </x:c>
      <x:c r="J202" s="17" t="n">
        <x:v>5</x:v>
      </x:c>
      <x:c r="K202" s="17" t="str">
        <x:v>成功</x:v>
      </x:c>
      <x:c r="L202" s="17" t="n">
        <x:v>3</x:v>
      </x:c>
      <x:c r="M202" s="17" t="n">
        <x:v>3</x:v>
      </x:c>
      <x:c r="N202" s="17" t="n">
        <x:v>0</x:v>
      </x:c>
      <x:c r="O202" s="17" t="n">
        <x:v>0</x:v>
      </x:c>
      <x:c r="P202" s="17" t="n">
        <x:v>0</x:v>
      </x:c>
      <x:c r="Q202" s="17" t="n">
        <x:v>0</x:v>
      </x:c>
      <x:c r="R202" s="19" t="n">
        <x:f>IFERROR((M202+N202)/L202,"")</x:f>
        <x:v>1</x:v>
      </x:c>
      <x:c r="S202" s="17" t="n">
        <x:v>0</x:v>
      </x:c>
      <x:c r="T202" s="17" t="n">
        <x:v>0</x:v>
      </x:c>
      <x:c r="U202" s="17" t="n">
        <x:v>18899</x:v>
      </x:c>
      <x:c r="V202" s="17" t="str">
        <x:v>正确</x:v>
      </x:c>
      <x:c r="W202" s="19" t="n">
        <x:v>1</x:v>
      </x:c>
      <x:c r="X202" s="17" t="str">
        <x:v>否</x:v>
      </x:c>
      <x:c r="Y202" s="17" t="str"/>
      <x:c r="Z202" s="17" t="str">
        <x:v>根据最新交易日数据，当前债券市场共有 **436 只**债券涨幅为正。其中涨幅居前的以部分信用债和可转债为主，涨幅最大的是 **H7泰禾01**（+865.63%）和 **H7泰禾02**（+580.00%），涨幅较大的还有 **H2万科06**（+60.04%）、**科博转债**（+57.30%）等。</x:v>
      </x:c>
      <x:c r="AA202" s="17" t="str"/>
      <x:c r="AB202" s="17" t="n">
        <x:v>46235.876552002315</x:v>
      </x:c>
      <x:c r="AC202" s="17" t="n">
        <x:v>46235.876836261574</x:v>
      </x:c>
      <x:c r="AD202" s="17" t="str">
        <x:v>analysis.json</x:v>
      </x:c>
      <x:c r="AE202" s="18" t="n">
        <x:v>17448</x:v>
      </x:c>
      <x:c r="AF202" s="18" t="n">
        <x:v>7112.33</x:v>
      </x:c>
      <x:c r="AG202" s="18" t="n">
        <x:v>637.51</x:v>
      </x:c>
      <x:c r="AH202" s="18" t="n">
        <x:v>4747.48</x:v>
      </x:c>
      <x:c r="AI202" s="17" t="n">
        <x:v>5</x:v>
      </x:c>
      <x:c r="AJ202" s="17" t="n">
        <x:v>1</x:v>
      </x:c>
      <x:c r="AK202" s="19" t="n">
        <x:v>1</x:v>
      </x:c>
      <x:c r="AL202" s="19" t="n">
        <x:v>1</x:v>
      </x:c>
      <x:c r="AM202" s="19" t="n">
        <x:v>0</x:v>
      </x:c>
      <x:c r="AN202" s="17" t="str">
        <x:v>[
  "bond.quote"
]</x:v>
      </x:c>
    </x:row>
    <x:row r="203" ht="58" customHeight="1">
      <x:c r="A203" s="17" t="str">
        <x:v>BUS201</x:v>
      </x:c>
      <x:c r="B203" s="17" t="str">
        <x:v>同时查询平安转债行情和中国平安股票当前行情。</x:v>
      </x:c>
      <x:c r="C203" s="17" t="str">
        <x:v>bond</x:v>
      </x:c>
      <x:c r="D203" s="17" t="str">
        <x:v>bond.quote, stock.quote</x:v>
      </x:c>
      <x:c r="E203" s="17" t="str"/>
      <x:c r="F203" s="17" t="str">
        <x:v>financial_qa_cc</x:v>
      </x:c>
      <x:c r="G203" s="17" t="str">
        <x:v>否</x:v>
      </x:c>
      <x:c r="H203" s="18" t="n">
        <x:v>36670.26</x:v>
      </x:c>
      <x:c r="I203" s="18" t="n">
        <x:f>IFERROR(H203/1000,"")</x:f>
        <x:v>36.67026</x:v>
      </x:c>
      <x:c r="J203" s="17" t="n">
        <x:v>9</x:v>
      </x:c>
      <x:c r="K203" s="17" t="str">
        <x:v>成功</x:v>
      </x:c>
      <x:c r="L203" s="17" t="n">
        <x:v>7</x:v>
      </x:c>
      <x:c r="M203" s="17" t="n">
        <x:v>6</x:v>
      </x:c>
      <x:c r="N203" s="17" t="n">
        <x:v>0</x:v>
      </x:c>
      <x:c r="O203" s="17" t="n">
        <x:v>1</x:v>
      </x:c>
      <x:c r="P203" s="17" t="n">
        <x:v>0</x:v>
      </x:c>
      <x:c r="Q203" s="17" t="n">
        <x:v>0</x:v>
      </x:c>
      <x:c r="R203" s="19" t="n">
        <x:f>IFERROR((M203+N203)/L203,"")</x:f>
        <x:v>0.8571428571428571</x:v>
      </x:c>
      <x:c r="S203" s="17" t="n">
        <x:v>0</x:v>
      </x:c>
      <x:c r="T203" s="17" t="n">
        <x:v>0</x:v>
      </x:c>
      <x:c r="U203" s="17" t="n">
        <x:v>17006</x:v>
      </x:c>
      <x:c r="V203" s="17" t="str">
        <x:v>部分正确</x:v>
      </x:c>
      <x:c r="W203" s="19" t="n">
        <x:v>0.95</x:v>
      </x:c>
      <x:c r="X203" s="17" t="str">
        <x:v>否</x:v>
      </x:c>
      <x:c r="Y203" s="17" t="str"/>
      <x:c r="Z203" s="17" t="str">
        <x:v>**平安转债（113005.SH）**：该债券发行人为中国平安，但数据源中无实时行情记录，也无历史日K记录——该转债于2015年已强赎退市，当前不再有交易行情。
**中国平安（601318.SH）**：截至上一个交易日（2026-07-31，周五）的最新行情如下：
| 指标 | 数值 |
|------|------|
| 昨收 | 55.80 元 |
| 开盘 | 55.00 元 |
| 最新价 | 55.00 元 |
| 最高 | 55.03 元 |
| 最低 | 54.20 元 |
| 涨跌幅 | **-1.43%** |
当日低开低走，收盘报 55.00 元，较前一交易日下跌 1.43%，盘中最低触及 54.20 元，振幅约 1.49%。由于当前处于周末非交易时段，成交额和成交量显示为 0。</x:v>
      </x:c>
      <x:c r="AA203" s="17" t="str"/>
      <x:c r="AB203" s="17" t="n">
        <x:v>46235.87674494213</x:v>
      </x:c>
      <x:c r="AC203" s="17" t="n">
        <x:v>46235.877169363426</x:v>
      </x:c>
      <x:c r="AD203" s="17" t="str">
        <x:v>analysis.json</x:v>
      </x:c>
      <x:c r="AE203" s="18" t="n">
        <x:v>25402</x:v>
      </x:c>
      <x:c r="AF203" s="18" t="n">
        <x:v>11268.26</x:v>
      </x:c>
      <x:c r="AG203" s="18" t="n">
        <x:v>661</x:v>
      </x:c>
      <x:c r="AH203" s="18" t="n">
        <x:v>6825.72</x:v>
      </x:c>
      <x:c r="AI203" s="17" t="n">
        <x:v>9</x:v>
      </x:c>
      <x:c r="AJ203" s="17" t="n">
        <x:v>1</x:v>
      </x:c>
      <x:c r="AK203" s="19" t="n">
        <x:v>0.8571</x:v>
      </x:c>
      <x:c r="AL203" s="19" t="n">
        <x:v>0.8571</x:v>
      </x:c>
      <x:c r="AM203" s="19" t="n">
        <x:v>0.1429</x:v>
      </x:c>
      <x:c r="AN203" s="17" t="str">
        <x:v>[
  "bond.basic_info",
  "stock.quote",
  "bond.quote"
]</x:v>
      </x:c>
    </x:row>
    <x:row r="204" ht="58" customHeight="1">
      <x:c r="A204" s="17" t="str">
        <x:v>BUS202</x:v>
      </x:c>
      <x:c r="B204" s="17" t="str">
        <x:v>查询万科相关债券列表，并同时查询万科A当前股价。</x:v>
      </x:c>
      <x:c r="C204" s="17" t="str">
        <x:v>bond</x:v>
      </x:c>
      <x:c r="D204" s="17" t="str">
        <x:v>bond.basic_info, stock.quote</x:v>
      </x:c>
      <x:c r="E204" s="17" t="str"/>
      <x:c r="F204" s="17" t="str">
        <x:v>financial_qa_cc</x:v>
      </x:c>
      <x:c r="G204" s="17" t="str">
        <x:v>否</x:v>
      </x:c>
      <x:c r="H204" s="18" t="n">
        <x:v>31519.94</x:v>
      </x:c>
      <x:c r="I204" s="18" t="n">
        <x:f>IFERROR(H204/1000,"")</x:f>
        <x:v>31.51994</x:v>
      </x:c>
      <x:c r="J204" s="17" t="n">
        <x:v>6</x:v>
      </x:c>
      <x:c r="K204" s="17" t="str">
        <x:v>成功</x:v>
      </x:c>
      <x:c r="L204" s="17" t="n">
        <x:v>5</x:v>
      </x:c>
      <x:c r="M204" s="17" t="n">
        <x:v>5</x:v>
      </x:c>
      <x:c r="N204" s="17" t="n">
        <x:v>0</x:v>
      </x:c>
      <x:c r="O204" s="17" t="n">
        <x:v>0</x:v>
      </x:c>
      <x:c r="P204" s="17" t="n">
        <x:v>0</x:v>
      </x:c>
      <x:c r="Q204" s="17" t="n">
        <x:v>0</x:v>
      </x:c>
      <x:c r="R204" s="19" t="n">
        <x:f>IFERROR((M204+N204)/L204,"")</x:f>
        <x:v>1</x:v>
      </x:c>
      <x:c r="S204" s="17" t="n">
        <x:v>0</x:v>
      </x:c>
      <x:c r="T204" s="17" t="n">
        <x:v>0</x:v>
      </x:c>
      <x:c r="U204" s="17" t="n">
        <x:v>18829</x:v>
      </x:c>
      <x:c r="V204" s="17" t="str">
        <x:v>部分正确</x:v>
      </x:c>
      <x:c r="W204" s="19" t="n">
        <x:v>1</x:v>
      </x:c>
      <x:c r="X204" s="17" t="str">
        <x:v>否</x:v>
      </x:c>
      <x:c r="Y204" s="17" t="str"/>
      <x:c r="Z204" s="17" t="str">
        <x:v>以下是查询结果：
---
## 万科A 当前股价
| 指标 | 数值 |
|------|:----:|
| 最新价 | **3.34 元** |
| 涨跌幅 | **+0.30%** |
| 开盘 | 3.34 元 |
| 最高 | 3.36 元 |
| 最低 | 3.28 元 |
| 数据日期 | 2026-07-31（最近交易日） |
---
## 万科相关债券列表（共 20 只）
全部由 **万科企业股份有限公司** 发行，均为深交所上市债券：
| 债券代码 | 债券简称 |
|:--------:|:--------:|
| 112005.SZ | 08万科G1 |
| 112006.SZ | 08万科G2 |
| 112285.SZ | 15万科01 |
| 112546.SZ | 17万科01 |
| 112561.SZ | 17万科02 |
| 112742.SZ | 18万科01 |
| 112784.SZ | 18万科02 |
| 112844.SZ | 19万科01 |
| 112976.SZ | 19万科02 |
| 125002.SZ | 万科转债 |
| 126002.SZ | 万科转2 |
| 148099.SZ | 22万科07 |
| 148100.SZ | 22万科08 |
| 148380.SZ | H3万科01 |
| 148381.SZ | 23万科02 |
| 149056.SZ | 20万科01 |
| 149057.SZ | 20万科02 |
| 149123.SZ | 20万科03 |
| 149124.SZ | 20万科04 |
| 149141.SZ | 20万科05 |
其中 **125002.SZ（万科转债）** 和 **126002.SZ（万科转2）** 是可转换公司债券，其余为一般公司债。</x:v>
      </x:c>
      <x:c r="AA204" s="17" t="str"/>
      <x:c r="AB204" s="17" t="n">
        <x:v>46235.876897222224</x:v>
      </x:c>
      <x:c r="AC204" s="17" t="n">
        <x:v>46235.87726204861</x:v>
      </x:c>
      <x:c r="AD204" s="17" t="str">
        <x:v>analysis.json</x:v>
      </x:c>
      <x:c r="AE204" s="18" t="n">
        <x:v>22419</x:v>
      </x:c>
      <x:c r="AF204" s="18" t="n">
        <x:v>9100.94</x:v>
      </x:c>
      <x:c r="AG204" s="18" t="n">
        <x:v>605.68</x:v>
      </x:c>
      <x:c r="AH204" s="18" t="n">
        <x:v>4857.83</x:v>
      </x:c>
      <x:c r="AI204" s="17" t="n">
        <x:v>6</x:v>
      </x:c>
      <x:c r="AJ204" s="17" t="n">
        <x:v>1</x:v>
      </x:c>
      <x:c r="AK204" s="19" t="n">
        <x:v>1</x:v>
      </x:c>
      <x:c r="AL204" s="19" t="n">
        <x:v>1</x:v>
      </x:c>
      <x:c r="AM204" s="19" t="n">
        <x:v>0</x:v>
      </x:c>
      <x:c r="AN204" s="17" t="str">
        <x:v>[
  "stock.quote",
  "bond.basic_info"
]</x:v>
      </x:c>
    </x:row>
    <x:row r="205" ht="58" customHeight="1">
      <x:c r="A205" s="17" t="str">
        <x:v>BUS203</x:v>
      </x:c>
      <x:c r="B205" s="17" t="str">
        <x:v>查询银行相关债券今天涨幅前10名，并对比银行行业成分股平均涨幅。</x:v>
      </x:c>
      <x:c r="C205" s="17" t="str">
        <x:v>bond</x:v>
      </x:c>
      <x:c r="D205" s="17" t="str">
        <x:v>bond.basic_info, bond.quote, industry.basic_info, industry.constitution</x:v>
      </x:c>
      <x:c r="E205" s="17" t="str"/>
      <x:c r="F205" s="17" t="str">
        <x:v>financial_qa_cc</x:v>
      </x:c>
      <x:c r="G205" s="17" t="str">
        <x:v>否</x:v>
      </x:c>
      <x:c r="H205" s="18" t="n">
        <x:v>131613.67</x:v>
      </x:c>
      <x:c r="I205" s="18" t="n">
        <x:f>IFERROR(H205/1000,"")</x:f>
        <x:v>131.61367</x:v>
      </x:c>
      <x:c r="J205" s="17" t="n">
        <x:v>24</x:v>
      </x:c>
      <x:c r="K205" s="17" t="str">
        <x:v>成功</x:v>
      </x:c>
      <x:c r="L205" s="17" t="n">
        <x:v>21</x:v>
      </x:c>
      <x:c r="M205" s="17" t="n">
        <x:v>18</x:v>
      </x:c>
      <x:c r="N205" s="17" t="n">
        <x:v>0</x:v>
      </x:c>
      <x:c r="O205" s="17" t="n">
        <x:v>3</x:v>
      </x:c>
      <x:c r="P205" s="17" t="n">
        <x:v>0</x:v>
      </x:c>
      <x:c r="Q205" s="17" t="n">
        <x:v>0</x:v>
      </x:c>
      <x:c r="R205" s="19" t="n">
        <x:f>IFERROR((M205+N205)/L205,"")</x:f>
        <x:v>0.8571428571428571</x:v>
      </x:c>
      <x:c r="S205" s="17" t="n">
        <x:v>0</x:v>
      </x:c>
      <x:c r="T205" s="17" t="n">
        <x:v>0</x:v>
      </x:c>
      <x:c r="U205" s="17" t="n">
        <x:v>66717</x:v>
      </x:c>
      <x:c r="V205" s="17" t="str">
        <x:v>错误</x:v>
      </x:c>
      <x:c r="W205" s="19" t="n">
        <x:v>0.65</x:v>
      </x:c>
      <x:c r="X205" s="17" t="str">
        <x:v>是</x:v>
      </x:c>
      <x:c r="Y205" s="17" t="str"/>
      <x:c r="Z205" s="17" t="str">
        <x:v>现在我已经掌握了所有需要的数据，下面直接给出结论。
---
**银行相关债券今日涨幅排名（2026-07-31）**
当前数据源中可查到的银行可转债共5只，按涨跌幅排序如下：
| 排名 | 债券名称 | 代码 | 涨跌幅(%) | 收盘价(元) | 成交额(元) |
|:---:|:---------|:----:|:---------:|:---------:|:----------:|
| 1 | 兴业转债 | 113052.SH | **+0.16** | 118.05 | 3.51亿 |
| 2 | 上银转债 | 113042.SH | **+0.07** | 119.05 | 3.21亿 |
| 3 | 青农转债 | 128129.SZ | **+0.02** | 107.90 | 0.63亿 |
| 4 | 常银转债 | 113062.SH | **-0.29** | 130.21 | 1.31亿 |
| 5 | 重银转债 | 113056.SH | **-0.37** | 128.84 | 2.85亿 |
&gt; 说明：该数据源仅覆盖交易所可转债类品种，银行发行的金融债、二级资本债等不在覆盖范围内，因此实际可查到的银行相关债券为这5只。
**银行行业成分股平均涨跌幅对比**
申万一级银行行业（代码480000）共40只成分股，2026-07-31当日整体下跌，**算术平均涨跌幅约为 -0.76%**。其中仅9只上涨（厦门银行+1.30%领涨），其余31只下跌，宁波银行(-3.10%)和农业银行(-2.95%)跌幅居前。
**对比小结：** 当日银行可转债表现明显优于银行正股。兴业转债(+0.16%)、上银转债(+0.07%)和青农转债(+0.02%)小幅收红，而银行股整体平均下跌约0.76%，债券的防御属性凸显。</x:v>
      </x:c>
      <x:c r="AA205" s="17" t="str"/>
      <x:c r="AB205" s="17" t="n">
        <x:v>46235.87722892361</x:v>
      </x:c>
      <x:c r="AC205" s="17" t="n">
        <x:v>46235.87875224537</x:v>
      </x:c>
      <x:c r="AD205" s="17" t="str">
        <x:v>analysis.json</x:v>
      </x:c>
      <x:c r="AE205" s="18" t="n">
        <x:v>112774</x:v>
      </x:c>
      <x:c r="AF205" s="18" t="n">
        <x:v>18839.67</x:v>
      </x:c>
      <x:c r="AG205" s="18" t="n">
        <x:v>845.67</x:v>
      </x:c>
      <x:c r="AH205" s="18" t="n">
        <x:v>5309.84</x:v>
      </x:c>
      <x:c r="AI205" s="17" t="n">
        <x:v>24</x:v>
      </x:c>
      <x:c r="AJ205" s="17" t="n">
        <x:v>1</x:v>
      </x:c>
      <x:c r="AK205" s="19" t="n">
        <x:v>0.8571</x:v>
      </x:c>
      <x:c r="AL205" s="19" t="n">
        <x:v>0.8571</x:v>
      </x:c>
      <x:c r="AM205" s="19" t="n">
        <x:v>0.1429</x:v>
      </x:c>
      <x:c r="AN205" s="17" t="str">
        <x:v>[
  "bond.quote",
  "industry.constitution.agg",
  "industry.basic_info",
  "industry.constitution",
  "stock.quote"
]</x:v>
      </x:c>
    </x:row>
    <x:row r="206" ht="58" customHeight="1">
      <x:c r="A206" s="17" t="str">
        <x:v>BUS204</x:v>
      </x:c>
      <x:c r="B206" s="17" t="str">
        <x:v>同时查询可转债涨幅前10名和今天A股涨幅前10名。</x:v>
      </x:c>
      <x:c r="C206" s="17" t="str">
        <x:v>bond</x:v>
      </x:c>
      <x:c r="D206" s="17" t="str">
        <x:v>bond.quote, stock.quote</x:v>
      </x:c>
      <x:c r="E206" s="17" t="str"/>
      <x:c r="F206" s="17" t="str">
        <x:v>financial_qa_cc</x:v>
      </x:c>
      <x:c r="G206" s="17" t="str">
        <x:v>否</x:v>
      </x:c>
      <x:c r="H206" s="18" t="n">
        <x:v>116960.03</x:v>
      </x:c>
      <x:c r="I206" s="18" t="n">
        <x:f>IFERROR(H206/1000,"")</x:f>
        <x:v>116.96003</x:v>
      </x:c>
      <x:c r="J206" s="17" t="n">
        <x:v>22</x:v>
      </x:c>
      <x:c r="K206" s="17" t="str">
        <x:v>成功</x:v>
      </x:c>
      <x:c r="L206" s="17" t="n">
        <x:v>11</x:v>
      </x:c>
      <x:c r="M206" s="17" t="n">
        <x:v>11</x:v>
      </x:c>
      <x:c r="N206" s="17" t="n">
        <x:v>0</x:v>
      </x:c>
      <x:c r="O206" s="17" t="n">
        <x:v>0</x:v>
      </x:c>
      <x:c r="P206" s="17" t="n">
        <x:v>0</x:v>
      </x:c>
      <x:c r="Q206" s="17" t="n">
        <x:v>0</x:v>
      </x:c>
      <x:c r="R206" s="19" t="n">
        <x:f>IFERROR((M206+N206)/L206,"")</x:f>
        <x:v>1</x:v>
      </x:c>
      <x:c r="S206" s="17" t="n">
        <x:v>0</x:v>
      </x:c>
      <x:c r="T206" s="17" t="n">
        <x:v>0</x:v>
      </x:c>
      <x:c r="U206" s="17" t="n">
        <x:v>42470</x:v>
      </x:c>
      <x:c r="V206" s="17" t="str">
        <x:v>正确</x:v>
      </x:c>
      <x:c r="W206" s="19" t="n">
        <x:v>1</x:v>
      </x:c>
      <x:c r="X206" s="17" t="str">
        <x:v>是</x:v>
      </x:c>
      <x:c r="Y206" s="17" t="str"/>
      <x:c r="Z206" s="17" t="str">
        <x:v>数据日期为最近一个交易日 **2026-07-31**，以下是两个维度的涨幅排名：
---
## 可转债涨幅前10名
| 排名 | 代码 | 名称 | 涨幅 | 收盘价（元） | 成交额（元） |
|:---:|:---:|:---:|:---:|:---:|:---:|
| 1 | 113707.SH | 科博转债 | **+57.30%** | 157.30 | 6,127万 |
| 2 | 123261.SZ | 普联转债 | **+20.00%** | 201.60 | 27.88亿 |
| 3 | 123273.SZ | 三江转债 | **+19.87%** | 335.00 | 33.95亿 |
| 4 | 118071.SH | 华峰转债 | **+11.28%** | 243.43 | 27.53亿 |
| 5 | 127096.SZ | 泰坦转债 | **+9.54%** | 488.00 | 32.65亿 |
| 6 | 123272.SZ | 中汽转债 | **+8.73%** | 180.50 | 9.12亿 |
| 7 | 111012.SH | 福新转债 | **+8.51%** | 329.27 | 17.28亿 |
| 8 | 123118.SZ | 惠城转债 | **+7.84%** | 1,040.55 | 26.18亿 |
| 9 | 123131.SZ | 奥飞转债 | **+7.78%** | 315.58 | 21.86亿 |
| 10 | 123207.SZ | 冠中转债 | **+7.72%** | 201.65 | 10.69亿 |
科博转债以 **+57.30%** 领涨全市场可转债，大幅领先第二名；普联转债和三江转债紧随其后，均涨近20%，且成交额均超27亿元，交投活跃。
---
## A股涨幅前10名
| 排名 | 代码 | 名称 | 涨幅 | 收盘价（元） | 成交额（元） |
|:---:|:---:|:---:|:---:|:---:|:---:|
| 1 | 920130.BJ | 立方控股 | **+29.98%** | 20.42 | 1.79亿 |
| 2 | 920575.BJ | *ST康乐 | **+23.95%** | 4.71 | 1.15亿 |
| 3 | 300364.SZ | 中文在线 | **+20.01%** | 24.83 | 20.54亿 |
| 4 | 300720.SZ | 海川智能 | **+20.01%** | 50.80 | 3.35亿 |
| 5 | 301396.SZ | 宏景科技 | **+20.00%** | 156.16 | 10.32亿 |
| 6 | 300795.SZ | 米奥会展 | **+20.00%** | 16.44 | 8.95亿 |
| 7 | 300418.SZ | 昆仑万维 | **+20.00%** | 43.20 | 60.66亿 |
| 8 | 300789.SZ | 唐源电气 | **+20.00%** | 18.96 | 1.73亿 |
| 9 | 300508.SZ | 维宏股份 | **+20.00%** | 38.52 | 7,501万 |
| 10 | 688095.SH | 福昕软件 | **+20.00%** | 67.03 | 4.58亿 |
A股方面，立方控股以近 **30%** 的涨幅居首，为北交所个股；*ST康乐紧随其后涨近24%。**中文在线、昆仑万维**等7只创业板/科创板个股集体封上20%涨停板，昆仑万维以 **60.66亿元** 的成交额居首，资金博弈激烈。</x:v>
      </x:c>
      <x:c r="AA206" s="17" t="str"/>
      <x:c r="AB206" s="17" t="n">
        <x:v>46235.87732314815</x:v>
      </x:c>
      <x:c r="AC206" s="17" t="n">
        <x:v>46235.87867686342</x:v>
      </x:c>
      <x:c r="AD206" s="17" t="str">
        <x:v>analysis.json</x:v>
      </x:c>
      <x:c r="AE206" s="18" t="n">
        <x:v>104125</x:v>
      </x:c>
      <x:c r="AF206" s="18" t="n">
        <x:v>12835.03</x:v>
      </x:c>
      <x:c r="AG206" s="18" t="n">
        <x:v>670.08</x:v>
      </x:c>
      <x:c r="AH206" s="18" t="n">
        <x:v>6820.23</x:v>
      </x:c>
      <x:c r="AI206" s="17" t="n">
        <x:v>22</x:v>
      </x:c>
      <x:c r="AJ206" s="17" t="n">
        <x:v>1</x:v>
      </x:c>
      <x:c r="AK206" s="19" t="n">
        <x:v>1</x:v>
      </x:c>
      <x:c r="AL206" s="19" t="n">
        <x:v>1</x:v>
      </x:c>
      <x:c r="AM206" s="19" t="n">
        <x:v>0</x:v>
      </x:c>
      <x:c r="AN206" s="17" t="str">
        <x:v>[
  "bond.quote",
  "stock.quote"
]</x:v>
      </x:c>
    </x:row>
    <x:row r="207" ht="58" customHeight="1">
      <x:c r="A207" s="17" t="str">
        <x:v>BUS205</x:v>
      </x:c>
      <x:c r="B207" s="17" t="str">
        <x:v>今天仍然活跃的热点事件有哪些？</x:v>
      </x:c>
      <x:c r="C207" s="17" t="str">
        <x:v>hot_event</x:v>
      </x:c>
      <x:c r="D207" s="17" t="str">
        <x:v>hot_event.state</x:v>
      </x:c>
      <x:c r="E207" s="17" t="str"/>
      <x:c r="F207" s="17" t="str">
        <x:v>agent_direct_response</x:v>
      </x:c>
      <x:c r="G207" s="17" t="str">
        <x:v>是</x:v>
      </x:c>
      <x:c r="H207" s="18" t="n">
        <x:v>12753.27</x:v>
      </x:c>
      <x:c r="I207" s="18" t="n">
        <x:f>IFERROR(H207/1000,"")</x:f>
        <x:v>12.75327</x:v>
      </x:c>
      <x:c r="J207" s="17"/>
      <x:c r="K207" s="17" t="str">
        <x:v>成功</x:v>
      </x:c>
      <x:c r="L207" s="17" t="n">
        <x:v>0</x:v>
      </x:c>
      <x:c r="M207" s="17" t="n">
        <x:v>0</x:v>
      </x:c>
      <x:c r="N207" s="17" t="n">
        <x:v>0</x:v>
      </x:c>
      <x:c r="O207" s="17" t="n">
        <x:v>0</x:v>
      </x:c>
      <x:c r="P207" s="17" t="n">
        <x:v>0</x:v>
      </x:c>
      <x:c r="Q207" s="17" t="n">
        <x:v>0</x:v>
      </x:c>
      <x:c r="R207" s="19" t="str">
        <x:f>IFERROR((M207+N207)/L207,"")</x:f>
      </x:c>
      <x:c r="S207" s="17" t="n">
        <x:v>0</x:v>
      </x:c>
      <x:c r="T207" s="17" t="n">
        <x:v>0</x:v>
      </x:c>
      <x:c r="U207" s="17" t="n">
        <x:v>1570</x:v>
      </x:c>
      <x:c r="V207" s="17" t="str">
        <x:v>错误</x:v>
      </x:c>
      <x:c r="W207" s="19" t="n">
        <x:v>0.7</x:v>
      </x:c>
      <x:c r="X207" s="17" t="str">
        <x:v>否</x:v>
      </x:c>
      <x:c r="Y207" s="17" t="str"/>
      <x:c r="Z207" s="17" t="str">
        <x:v>今天的热点事件会随着时间变化，但根据近期的趋势，目前比较活跃的热点包括：
1. **科技领域**：AI大模型竞赛持续升温，多家公司发布新模型或应用，例如OpenAI、谷歌、国内百度、阿里等。
2. **国际局势**：俄乌冲突、巴以局势等仍然受到关注，各方动态时有更新。
3. **国内经济**：消费复苏、房地产政策调整、新能源汽车销量等话题热度较高。
4. **社会民生**：教育、医疗改革、就业问题等持续引发讨论。
如果你对某个具体方向感兴趣，我可以帮你进一步查找最新动态！</x:v>
      </x:c>
      <x:c r="AA207" s="17" t="str"/>
      <x:c r="AB207" s="17" t="n">
        <x:v>46235.87875210648</x:v>
      </x:c>
      <x:c r="AC207" s="17" t="n">
        <x:v>46235.878899710646</x:v>
      </x:c>
      <x:c r="AD207" s="17" t="str">
        <x:v>analysis.json</x:v>
      </x:c>
      <x:c r="AE207" s="18"/>
      <x:c r="AF207" s="18"/>
      <x:c r="AG207" s="18" t="n">
        <x:v>734.46</x:v>
      </x:c>
      <x:c r="AH207" s="18"/>
      <x:c r="AI207" s="17"/>
      <x:c r="AJ207" s="17"/>
      <x:c r="AK207" s="19"/>
      <x:c r="AL207" s="19"/>
      <x:c r="AM207" s="19"/>
      <x:c r="AN207" s="17" t="str"/>
    </x:row>
    <x:row r="208" ht="58" customHeight="1">
      <x:c r="A208" s="17" t="str">
        <x:v>BUS206</x:v>
      </x:c>
      <x:c r="B208" s="17" t="str">
        <x:v>查询PCB热点事件的首次触发日期、最近触发日期和当前公司数。</x:v>
      </x:c>
      <x:c r="C208" s="17" t="str">
        <x:v>hot_event</x:v>
      </x:c>
      <x:c r="D208" s="17" t="str">
        <x:v>hot_event.base_info</x:v>
      </x:c>
      <x:c r="E208" s="17" t="str"/>
      <x:c r="F208" s="17" t="str">
        <x:v>financial_qa_cc</x:v>
      </x:c>
      <x:c r="G208" s="17" t="str">
        <x:v>否</x:v>
      </x:c>
      <x:c r="H208" s="18" t="n">
        <x:v>19217.2</x:v>
      </x:c>
      <x:c r="I208" s="18" t="n">
        <x:f>IFERROR(H208/1000,"")</x:f>
        <x:v>19.217200000000002</x:v>
      </x:c>
      <x:c r="J208" s="17" t="n">
        <x:v>3</x:v>
      </x:c>
      <x:c r="K208" s="17" t="str">
        <x:v>成功</x:v>
      </x:c>
      <x:c r="L208" s="17" t="n">
        <x:v>4</x:v>
      </x:c>
      <x:c r="M208" s="17" t="n">
        <x:v>4</x:v>
      </x:c>
      <x:c r="N208" s="17" t="n">
        <x:v>0</x:v>
      </x:c>
      <x:c r="O208" s="17" t="n">
        <x:v>0</x:v>
      </x:c>
      <x:c r="P208" s="17" t="n">
        <x:v>0</x:v>
      </x:c>
      <x:c r="Q208" s="17" t="n">
        <x:v>0</x:v>
      </x:c>
      <x:c r="R208" s="19" t="n">
        <x:f>IFERROR((M208+N208)/L208,"")</x:f>
        <x:v>1</x:v>
      </x:c>
      <x:c r="S208" s="17" t="n">
        <x:v>0</x:v>
      </x:c>
      <x:c r="T208" s="17" t="n">
        <x:v>0</x:v>
      </x:c>
      <x:c r="U208" s="17" t="n">
        <x:v>14074</x:v>
      </x:c>
      <x:c r="V208" s="17" t="str">
        <x:v>正确</x:v>
      </x:c>
      <x:c r="W208" s="19" t="n">
        <x:v>1</x:v>
      </x:c>
      <x:c r="X208" s="17" t="str">
        <x:v>否</x:v>
      </x:c>
      <x:c r="Y208" s="17" t="str"/>
      <x:c r="Z208" s="17" t="str">
        <x:v>PCB 热点事件的基础信息如下：
- **首次触发日期**：2025-04-10
- **最近触发日期**：2026-07-22
- **当前公司数**：10 家
该热点自2025年4月首次触发以来，已轮动活跃超过一年，最近一次触发在7月22日，目前关联的活跃公司共10家。</x:v>
      </x:c>
      <x:c r="AA208" s="17" t="str"/>
      <x:c r="AB208" s="17" t="n">
        <x:v>46235.878830787035</x:v>
      </x:c>
      <x:c r="AC208" s="17" t="n">
        <x:v>46235.87905322917</x:v>
      </x:c>
      <x:c r="AD208" s="17" t="str">
        <x:v>analysis.json</x:v>
      </x:c>
      <x:c r="AE208" s="18" t="n">
        <x:v>11518</x:v>
      </x:c>
      <x:c r="AF208" s="18" t="n">
        <x:v>7699.2</x:v>
      </x:c>
      <x:c r="AG208" s="18" t="n">
        <x:v>693.72</x:v>
      </x:c>
      <x:c r="AH208" s="18" t="n">
        <x:v>5068.19</x:v>
      </x:c>
      <x:c r="AI208" s="17" t="n">
        <x:v>3</x:v>
      </x:c>
      <x:c r="AJ208" s="17" t="n">
        <x:v>1</x:v>
      </x:c>
      <x:c r="AK208" s="19" t="n">
        <x:v>1</x:v>
      </x:c>
      <x:c r="AL208" s="19" t="n">
        <x:v>1</x:v>
      </x:c>
      <x:c r="AM208" s="19" t="n">
        <x:v>0</x:v>
      </x:c>
      <x:c r="AN208" s="17" t="str">
        <x:v>[
  "hot_event.base_info"
]</x:v>
      </x:c>
    </x:row>
    <x:row r="209" ht="58" customHeight="1">
      <x:c r="A209" s="17" t="str">
        <x:v>BUS207</x:v>
      </x:c>
      <x:c r="B209" s="17" t="str">
        <x:v>筛选当前公司数超过20家的活跃热点事件。</x:v>
      </x:c>
      <x:c r="C209" s="17" t="str">
        <x:v>hot_event</x:v>
      </x:c>
      <x:c r="D209" s="17" t="str">
        <x:v>hot_event.state, hot_event.base_info</x:v>
      </x:c>
      <x:c r="E209" s="17" t="str"/>
      <x:c r="F209" s="17" t="str">
        <x:v>financial_qa_cc</x:v>
      </x:c>
      <x:c r="G209" s="17" t="str">
        <x:v>否</x:v>
      </x:c>
      <x:c r="H209" s="18" t="n">
        <x:v>30030.48</x:v>
      </x:c>
      <x:c r="I209" s="18" t="n">
        <x:f>IFERROR(H209/1000,"")</x:f>
        <x:v>30.03048</x:v>
      </x:c>
      <x:c r="J209" s="17" t="n">
        <x:v>4</x:v>
      </x:c>
      <x:c r="K209" s="17" t="str">
        <x:v>成功</x:v>
      </x:c>
      <x:c r="L209" s="17" t="n">
        <x:v>5</x:v>
      </x:c>
      <x:c r="M209" s="17" t="n">
        <x:v>5</x:v>
      </x:c>
      <x:c r="N209" s="17" t="n">
        <x:v>0</x:v>
      </x:c>
      <x:c r="O209" s="17" t="n">
        <x:v>0</x:v>
      </x:c>
      <x:c r="P209" s="17" t="n">
        <x:v>0</x:v>
      </x:c>
      <x:c r="Q209" s="17" t="n">
        <x:v>0</x:v>
      </x:c>
      <x:c r="R209" s="19" t="n">
        <x:f>IFERROR((M209+N209)/L209,"")</x:f>
        <x:v>1</x:v>
      </x:c>
      <x:c r="S209" s="17" t="n">
        <x:v>0</x:v>
      </x:c>
      <x:c r="T209" s="17" t="n">
        <x:v>0</x:v>
      </x:c>
      <x:c r="U209" s="17" t="n">
        <x:v>13510</x:v>
      </x:c>
      <x:c r="V209" s="17" t="str">
        <x:v>正确</x:v>
      </x:c>
      <x:c r="W209" s="19" t="n">
        <x:v>0.9</x:v>
      </x:c>
      <x:c r="X209" s="17" t="str">
        <x:v>否</x:v>
      </x:c>
      <x:c r="Y209" s="17" t="str"/>
      <x:c r="Z209" s="17" t="str">
        <x:v>当前活跃且公司数超过20家的热点事件共有 **46个**，按关联公司数量从多到少排列如下：
**公司数 ≥ 40 的热点（前7名）**
| 热点事件 | 当前公司数 | 最近触发 |
|---------|:--------:|:-------:|
| AI应用/大模型 | 57 | 07-31 |
| 煤炭/能源 | 49 | 07-20 |
| AI大模型及AI应用 | 46 | 07-31 |
| 锂电电解液 | 44 | 07-27 |
| 商业航天（卫星/火箭配套） | 42 | 07-03 |
| 商业航天/可回收火箭 | 42 | 07-10 |
| MLCC/被动元件 | 40 | 07-31 |
**公司数 30–39 的热点**
电力（用电负荷创新高）39、AI算力/数据中心 39、电力/用电负荷 36、AI大模型/应用 34、AI大模型应用 33、智能制造/高端装备 32、AI大模型/软件 31、MLCC涨价 30。
**公司数 20–29 的热点（共31个）**
存储芯片 29、国产算力/半导体设备 28、半导体设备/材料（国产替代）28、储能/锂电 28、AI算力基建 27、半导体设备/材料 27、多个存储芯片相关（DRAM涨价/反弹/涨价周期等各26家）、消费内需 25、AI大模型（Kimi K3登顶）25、算力基础设施/国产算力 25、算力/数据中心 25、人形机器人（含智能制造）25、存储芯片（含长鑫产业链）25、机器人（宇树/智元IPO）24、锂电/储能 24、机器人及相关（23-24家）、光通信/光模块 23、先进封装 23、黄金贵金属 22、人形机器人 22、电力电网 21、半导体材料 21、AI大模型与应用 21、机器人/具身智能 21 等。
**概况**：当前覆盖面最广的热点是 **AI应用/大模型**（57家），其次是 **煤炭/能源**（49家）和 **AI大模型及AI应用**（46家）。AI大模型、存储芯片、机器人和商业航天是近期最活跃的几大主线，大部分触发日期集中在 7月下旬，市场热度较高。</x:v>
      </x:c>
      <x:c r="AA209" s="17" t="str"/>
      <x:c r="AB209" s="17" t="n">
        <x:v>46235.878968136574</x:v>
      </x:c>
      <x:c r="AC209" s="17" t="n">
        <x:v>46235.87931571759</x:v>
      </x:c>
      <x:c r="AD209" s="17" t="str">
        <x:v>analysis.json</x:v>
      </x:c>
      <x:c r="AE209" s="18" t="n">
        <x:v>17238</x:v>
      </x:c>
      <x:c r="AF209" s="18" t="n">
        <x:v>12792.48</x:v>
      </x:c>
      <x:c r="AG209" s="18" t="n">
        <x:v>869.89</x:v>
      </x:c>
      <x:c r="AH209" s="18" t="n">
        <x:v>5265.74</x:v>
      </x:c>
      <x:c r="AI209" s="17" t="n">
        <x:v>4</x:v>
      </x:c>
      <x:c r="AJ209" s="17" t="n">
        <x:v>1</x:v>
      </x:c>
      <x:c r="AK209" s="19" t="n">
        <x:v>1</x:v>
      </x:c>
      <x:c r="AL209" s="19" t="n">
        <x:v>1</x:v>
      </x:c>
      <x:c r="AM209" s="19" t="n">
        <x:v>0</x:v>
      </x:c>
      <x:c r="AN209" s="17" t="str">
        <x:v>[
  "hot_event.base_info"
]</x:v>
      </x:c>
    </x:row>
    <x:row r="210" ht="58" customHeight="1">
      <x:c r="A210" s="17" t="str">
        <x:v>BUS208</x:v>
      </x:c>
      <x:c r="B210" s="17" t="str">
        <x:v>查询沉默天数最长但历史反复出现的热点事件。</x:v>
      </x:c>
      <x:c r="C210" s="17" t="str">
        <x:v>hot_event</x:v>
      </x:c>
      <x:c r="D210" s="17" t="str">
        <x:v>hot_event.base_info</x:v>
      </x:c>
      <x:c r="E210" s="17" t="str"/>
      <x:c r="F210" s="17" t="str">
        <x:v>agent_direct_response</x:v>
      </x:c>
      <x:c r="G210" s="17" t="str">
        <x:v>是</x:v>
      </x:c>
      <x:c r="H210" s="18" t="n">
        <x:v>11741.57</x:v>
      </x:c>
      <x:c r="I210" s="18" t="n">
        <x:f>IFERROR(H210/1000,"")</x:f>
        <x:v>11.74157</x:v>
      </x:c>
      <x:c r="J210" s="17"/>
      <x:c r="K210" s="17" t="str">
        <x:v>成功</x:v>
      </x:c>
      <x:c r="L210" s="17" t="n">
        <x:v>0</x:v>
      </x:c>
      <x:c r="M210" s="17" t="n">
        <x:v>0</x:v>
      </x:c>
      <x:c r="N210" s="17" t="n">
        <x:v>0</x:v>
      </x:c>
      <x:c r="O210" s="17" t="n">
        <x:v>0</x:v>
      </x:c>
      <x:c r="P210" s="17" t="n">
        <x:v>0</x:v>
      </x:c>
      <x:c r="Q210" s="17" t="n">
        <x:v>0</x:v>
      </x:c>
      <x:c r="R210" s="19" t="str">
        <x:f>IFERROR((M210+N210)/L210,"")</x:f>
      </x:c>
      <x:c r="S210" s="17" t="n">
        <x:v>0</x:v>
      </x:c>
      <x:c r="T210" s="17" t="n">
        <x:v>0</x:v>
      </x:c>
      <x:c r="U210" s="17" t="n">
        <x:v>1760</x:v>
      </x:c>
      <x:c r="V210" s="17" t="str">
        <x:v>错误</x:v>
      </x:c>
      <x:c r="W210" s="19" t="n">
        <x:v>0.6</x:v>
      </x:c>
      <x:c r="X210" s="17" t="str">
        <x:v>否</x:v>
      </x:c>
      <x:c r="Y210" s="17" t="str"/>
      <x:c r="Z210" s="17" t="str">
        <x:v>您好！关于“沉默天数最长但历史反复出现的热点事件”，这需要从舆情监测或事件生命周期分析的角度来回答。不过，作为通用助手，我目前没有实时接入舆情数据库或专业事件分析工具，无法直接给出具体的事件名称和数据。
不过，我可以为您提供一些思路和常见案例：
**这类事件通常具有以下特征：**
1. **周期性爆发**：如某些社会议题（医患关系、教育公平、环保争议）每隔一段时间因新案例被重新点燃。
2. **长期沉默后突然引爆**：例如某旧案重审、某历史人物或事件的纪念日、某被遗忘的丑闻因新证据曝光。
3. **话题本身具有“休眠-激活”属性**：如“PX项目”争议、某些食品安全事件（如“三聚氰胺”后仍有类似事件）。
**如果您需要具体数据，建议：**
- 使用舆情监测平台（如清博、微热点、知微事见）的“事件生命周期”或“沉默周期”分析功能。
- 搜索关键词如“沉寂多年后再次引发热议”、“周期性热点事件”。
**我可以帮您做什么？**
- 如果您想了解某个具体领域（如科技、娱乐、社会）的类似案例，我可以列举一些广为人知的例子。
- 如果您有具体事件名称，我可以帮您分析其“沉默-爆发”模式。
请问您需要更偏向哪方面的帮助？</x:v>
      </x:c>
      <x:c r="AA210" s="17" t="str"/>
      <x:c r="AB210" s="17" t="n">
        <x:v>46235.8791165625</x:v>
      </x:c>
      <x:c r="AC210" s="17" t="n">
        <x:v>46235.879252465274</x:v>
      </x:c>
      <x:c r="AD210" s="17" t="str">
        <x:v>analysis.json</x:v>
      </x:c>
      <x:c r="AE210" s="18"/>
      <x:c r="AF210" s="18"/>
      <x:c r="AG210" s="18" t="n">
        <x:v>711.83</x:v>
      </x:c>
      <x:c r="AH210" s="18"/>
      <x:c r="AI210" s="17"/>
      <x:c r="AJ210" s="17"/>
      <x:c r="AK210" s="19"/>
      <x:c r="AL210" s="19"/>
      <x:c r="AM210" s="19"/>
      <x:c r="AN210" s="17" t="str"/>
    </x:row>
    <x:row r="211" ht="58" customHeight="1">
      <x:c r="A211" s="17" t="str">
        <x:v>BUS209</x:v>
      </x:c>
      <x:c r="B211" s="17" t="str">
        <x:v>查询最近触发日期为今天的热点事件。</x:v>
      </x:c>
      <x:c r="C211" s="17" t="str">
        <x:v>hot_event</x:v>
      </x:c>
      <x:c r="D211" s="17" t="str">
        <x:v>hot_event.base_info</x:v>
      </x:c>
      <x:c r="E211" s="17" t="str"/>
      <x:c r="F211" s="17" t="str">
        <x:v>agent_direct_response</x:v>
      </x:c>
      <x:c r="G211" s="17" t="str">
        <x:v>是</x:v>
      </x:c>
      <x:c r="H211" s="18" t="n">
        <x:v>7768.66</x:v>
      </x:c>
      <x:c r="I211" s="18" t="n">
        <x:f>IFERROR(H211/1000,"")</x:f>
        <x:v>7.76866</x:v>
      </x:c>
      <x:c r="J211" s="17"/>
      <x:c r="K211" s="17" t="str">
        <x:v>成功</x:v>
      </x:c>
      <x:c r="L211" s="17" t="n">
        <x:v>0</x:v>
      </x:c>
      <x:c r="M211" s="17" t="n">
        <x:v>0</x:v>
      </x:c>
      <x:c r="N211" s="17" t="n">
        <x:v>0</x:v>
      </x:c>
      <x:c r="O211" s="17" t="n">
        <x:v>0</x:v>
      </x:c>
      <x:c r="P211" s="17" t="n">
        <x:v>0</x:v>
      </x:c>
      <x:c r="Q211" s="17" t="n">
        <x:v>0</x:v>
      </x:c>
      <x:c r="R211" s="19" t="str">
        <x:f>IFERROR((M211+N211)/L211,"")</x:f>
      </x:c>
      <x:c r="S211" s="17" t="n">
        <x:v>0</x:v>
      </x:c>
      <x:c r="T211" s="17" t="n">
        <x:v>0</x:v>
      </x:c>
      <x:c r="U211" s="17" t="n">
        <x:v>1480</x:v>
      </x:c>
      <x:c r="V211" s="17" t="str">
        <x:v>错误</x:v>
      </x:c>
      <x:c r="W211" s="19" t="n">
        <x:v>0.7</x:v>
      </x:c>
      <x:c r="X211" s="17" t="str">
        <x:v>否</x:v>
      </x:c>
      <x:c r="Y211" s="17" t="str"/>
      <x:c r="Z211" s="17" t="str">
        <x:v>抱歉，我无法直接查询实时热点事件或访问网络数据。如果你有具体的热点话题或事件想讨论，可以告诉我，我可以帮你分析或聊聊相关内容。</x:v>
      </x:c>
      <x:c r="AA211" s="17" t="str"/>
      <x:c r="AB211" s="17" t="n">
        <x:v>46235.879315659724</x:v>
      </x:c>
      <x:c r="AC211" s="17" t="n">
        <x:v>46235.8794055787</x:v>
      </x:c>
      <x:c r="AD211" s="17" t="str">
        <x:v>analysis.json</x:v>
      </x:c>
      <x:c r="AE211" s="18"/>
      <x:c r="AF211" s="18"/>
      <x:c r="AG211" s="18" t="n">
        <x:v>601.78</x:v>
      </x:c>
      <x:c r="AH211" s="18"/>
      <x:c r="AI211" s="17"/>
      <x:c r="AJ211" s="17"/>
      <x:c r="AK211" s="19"/>
      <x:c r="AL211" s="19"/>
      <x:c r="AM211" s="19"/>
      <x:c r="AN211" s="17" t="str"/>
    </x:row>
    <x:row r="212" ht="58" customHeight="1">
      <x:c r="A212" s="17" t="str">
        <x:v>BUS210</x:v>
      </x:c>
      <x:c r="B212" s="17" t="str">
        <x:v>查询机器人热点事件的核心事件描述和最新事件描述。</x:v>
      </x:c>
      <x:c r="C212" s="17" t="str">
        <x:v>hot_event</x:v>
      </x:c>
      <x:c r="D212" s="17" t="str">
        <x:v>hot_event.base_info</x:v>
      </x:c>
      <x:c r="E212" s="17" t="str"/>
      <x:c r="F212" s="17" t="str">
        <x:v>agent_direct_response</x:v>
      </x:c>
      <x:c r="G212" s="17" t="str">
        <x:v>是</x:v>
      </x:c>
      <x:c r="H212" s="18" t="n">
        <x:v>8693.36</x:v>
      </x:c>
      <x:c r="I212" s="18" t="n">
        <x:f>IFERROR(H212/1000,"")</x:f>
        <x:v>8.69336</x:v>
      </x:c>
      <x:c r="J212" s="17"/>
      <x:c r="K212" s="17" t="str">
        <x:v>成功</x:v>
      </x:c>
      <x:c r="L212" s="17" t="n">
        <x:v>0</x:v>
      </x:c>
      <x:c r="M212" s="17" t="n">
        <x:v>0</x:v>
      </x:c>
      <x:c r="N212" s="17" t="n">
        <x:v>0</x:v>
      </x:c>
      <x:c r="O212" s="17" t="n">
        <x:v>0</x:v>
      </x:c>
      <x:c r="P212" s="17" t="n">
        <x:v>0</x:v>
      </x:c>
      <x:c r="Q212" s="17" t="n">
        <x:v>0</x:v>
      </x:c>
      <x:c r="R212" s="19" t="str">
        <x:f>IFERROR((M212+N212)/L212,"")</x:f>
      </x:c>
      <x:c r="S212" s="17" t="n">
        <x:v>0</x:v>
      </x:c>
      <x:c r="T212" s="17" t="n">
        <x:v>0</x:v>
      </x:c>
      <x:c r="U212" s="17" t="n">
        <x:v>1560</x:v>
      </x:c>
      <x:c r="V212" s="17" t="str">
        <x:v>错误</x:v>
      </x:c>
      <x:c r="W212" s="19" t="n">
        <x:v>0.7</x:v>
      </x:c>
      <x:c r="X212" s="17" t="str">
        <x:v>否</x:v>
      </x:c>
      <x:c r="Y212" s="17" t="str"/>
      <x:c r="Z212" s="17" t="str">
        <x:v>抱歉，我目前无法查询“机器人热点事件”的具体信息，因为我没有实时搜索或访问外部新闻数据库的能力。
如果你能提供一些更具体的信息，比如：
- 你指的是哪个机器人（例如：人形机器人、服务机器人、工业机器人、某个特定公司的机器人等）？
- 是最近发生的某个具体事件（如发布会、事故、技术突破等）？
我可以基于已有的知识，尽力帮你整理和回答相关问题。或者，你也可以告诉我你希望我帮你做些什么其他事情？</x:v>
      </x:c>
      <x:c r="AA212" s="17" t="str"/>
      <x:c r="AB212" s="17" t="n">
        <x:v>46235.87937729167</x:v>
      </x:c>
      <x:c r="AC212" s="17" t="n">
        <x:v>46235.879477916664</x:v>
      </x:c>
      <x:c r="AD212" s="17" t="str">
        <x:v>analysis.json</x:v>
      </x:c>
      <x:c r="AE212" s="18"/>
      <x:c r="AF212" s="18"/>
      <x:c r="AG212" s="18" t="n">
        <x:v>617.18</x:v>
      </x:c>
      <x:c r="AH212" s="18"/>
      <x:c r="AI212" s="17"/>
      <x:c r="AJ212" s="17"/>
      <x:c r="AK212" s="19"/>
      <x:c r="AL212" s="19"/>
      <x:c r="AM212" s="19"/>
      <x:c r="AN212" s="17" t="str"/>
    </x:row>
    <x:row r="213" ht="58" customHeight="1">
      <x:c r="A213" s="17" t="str">
        <x:v>BUS211</x:v>
      </x:c>
      <x:c r="B213" s="17" t="str">
        <x:v>今天热度最高的热点事件前20名。</x:v>
      </x:c>
      <x:c r="C213" s="17" t="str">
        <x:v>hot_event</x:v>
      </x:c>
      <x:c r="D213" s="17" t="str">
        <x:v>hot_event.state</x:v>
      </x:c>
      <x:c r="E213" s="17" t="str"/>
      <x:c r="F213" s="17" t="str">
        <x:v>agent_direct_response</x:v>
      </x:c>
      <x:c r="G213" s="17" t="str">
        <x:v>是</x:v>
      </x:c>
      <x:c r="H213" s="18" t="n">
        <x:v>8201.79</x:v>
      </x:c>
      <x:c r="I213" s="18" t="n">
        <x:f>IFERROR(H213/1000,"")</x:f>
        <x:v>8.20179</x:v>
      </x:c>
      <x:c r="J213" s="17"/>
      <x:c r="K213" s="17" t="str">
        <x:v>成功</x:v>
      </x:c>
      <x:c r="L213" s="17" t="n">
        <x:v>0</x:v>
      </x:c>
      <x:c r="M213" s="17" t="n">
        <x:v>0</x:v>
      </x:c>
      <x:c r="N213" s="17" t="n">
        <x:v>0</x:v>
      </x:c>
      <x:c r="O213" s="17" t="n">
        <x:v>0</x:v>
      </x:c>
      <x:c r="P213" s="17" t="n">
        <x:v>0</x:v>
      </x:c>
      <x:c r="Q213" s="17" t="n">
        <x:v>0</x:v>
      </x:c>
      <x:c r="R213" s="19" t="str">
        <x:f>IFERROR((M213+N213)/L213,"")</x:f>
      </x:c>
      <x:c r="S213" s="17" t="n">
        <x:v>0</x:v>
      </x:c>
      <x:c r="T213" s="17" t="n">
        <x:v>0</x:v>
      </x:c>
      <x:c r="U213" s="17" t="n">
        <x:v>1523</x:v>
      </x:c>
      <x:c r="V213" s="17" t="str">
        <x:v>错误</x:v>
      </x:c>
      <x:c r="W213" s="19" t="n">
        <x:v>0.7</x:v>
      </x:c>
      <x:c r="X213" s="17" t="str">
        <x:v>否</x:v>
      </x:c>
      <x:c r="Y213" s="17" t="str"/>
      <x:c r="Z213" s="17" t="str">
        <x:v>抱歉，我无法实时获取当前的热点新闻或热搜榜单。我的知识截止于特定时间点，也没有联网搜索或实时数据抓取的能力。
建议你打开微博、百度、今日头条、抖音等平台的热搜榜单，或者直接访问新闻网站查看最新热点事件。
如果你有其他问题，比如想了解某个特定事件的背景，或者想聊聊最近的热点话题，我很乐意帮忙！</x:v>
      </x:c>
      <x:c r="AA213" s="17" t="str"/>
      <x:c r="AB213" s="17" t="n">
        <x:v>46235.87946011574</x:v>
      </x:c>
      <x:c r="AC213" s="17" t="n">
        <x:v>46235.8795550463</x:v>
      </x:c>
      <x:c r="AD213" s="17" t="str">
        <x:v>analysis.json</x:v>
      </x:c>
      <x:c r="AE213" s="18"/>
      <x:c r="AF213" s="18"/>
      <x:c r="AG213" s="18" t="n">
        <x:v>681.17</x:v>
      </x:c>
      <x:c r="AH213" s="18"/>
      <x:c r="AI213" s="17"/>
      <x:c r="AJ213" s="17"/>
      <x:c r="AK213" s="19"/>
      <x:c r="AL213" s="19"/>
      <x:c r="AM213" s="19"/>
      <x:c r="AN213" s="17" t="str"/>
    </x:row>
    <x:row r="214" ht="58" customHeight="1">
      <x:c r="A214" s="17" t="str">
        <x:v>BUS212</x:v>
      </x:c>
      <x:c r="B214" s="17" t="str">
        <x:v>查询PCB热点最新热度、公司数、平均涨幅和涨停数量。</x:v>
      </x:c>
      <x:c r="C214" s="17" t="str">
        <x:v>hot_event</x:v>
      </x:c>
      <x:c r="D214" s="17" t="str">
        <x:v>hot_event.base_info, hot_event.state, hot_event.member, stock.quote</x:v>
      </x:c>
      <x:c r="E214" s="17" t="str"/>
      <x:c r="F214" s="17" t="str">
        <x:v>financial_qa_cc</x:v>
      </x:c>
      <x:c r="G214" s="17" t="str">
        <x:v>否</x:v>
      </x:c>
      <x:c r="H214" s="18" t="n">
        <x:v>22437.44</x:v>
      </x:c>
      <x:c r="I214" s="18" t="n">
        <x:f>IFERROR(H214/1000,"")</x:f>
        <x:v>22.43744</x:v>
      </x:c>
      <x:c r="J214" s="17" t="n">
        <x:v>5</x:v>
      </x:c>
      <x:c r="K214" s="17" t="str">
        <x:v>成功</x:v>
      </x:c>
      <x:c r="L214" s="17" t="n">
        <x:v>4</x:v>
      </x:c>
      <x:c r="M214" s="17" t="n">
        <x:v>4</x:v>
      </x:c>
      <x:c r="N214" s="17" t="n">
        <x:v>0</x:v>
      </x:c>
      <x:c r="O214" s="17" t="n">
        <x:v>0</x:v>
      </x:c>
      <x:c r="P214" s="17" t="n">
        <x:v>0</x:v>
      </x:c>
      <x:c r="Q214" s="17" t="n">
        <x:v>0</x:v>
      </x:c>
      <x:c r="R214" s="19" t="n">
        <x:f>IFERROR((M214+N214)/L214,"")</x:f>
        <x:v>1</x:v>
      </x:c>
      <x:c r="S214" s="17" t="n">
        <x:v>0</x:v>
      </x:c>
      <x:c r="T214" s="17" t="n">
        <x:v>0</x:v>
      </x:c>
      <x:c r="U214" s="17" t="n">
        <x:v>15157</x:v>
      </x:c>
      <x:c r="V214" s="17" t="str">
        <x:v>正确</x:v>
      </x:c>
      <x:c r="W214" s="19" t="n">
        <x:v>0.9</x:v>
      </x:c>
      <x:c r="X214" s="17" t="str">
        <x:v>否</x:v>
      </x:c>
      <x:c r="Y214" s="17" t="str"/>
      <x:c r="Z214" s="17" t="str">
        <x:v>以下是 PCB（印刷电路板）热点的最新状态数据：
| 指标 | 数值 |
|------|------|
| **热度评分** | **5.07** |
| **关联公司数** | **10 家** |
| **平均涨幅** | **1.73%** |
| **涨停数量** | **0 只** |
| **状态标签** | **刚触发（triggered）** |
| **大盘涨跌幅** | -0.86% |
| **数据日期** | 2026-07-22 |
PCB 热点目前处于 **刚触发** 阶段，热度评分 5.07，共 10 只成分股，当日平均涨幅 1.73%，暂无涨停个股。大盘同期下跌 0.86%，PCB 板块整体跑赢大盘，但涨停家数为零，说明热度以温和普涨为主，尚未形成强势涨停潮。</x:v>
      </x:c>
      <x:c r="AA214" s="17" t="str"/>
      <x:c r="AB214" s="17" t="n">
        <x:v>46235.879533368054</x:v>
      </x:c>
      <x:c r="AC214" s="17" t="n">
        <x:v>46235.87979305555</x:v>
      </x:c>
      <x:c r="AD214" s="17" t="str">
        <x:v>analysis.json</x:v>
      </x:c>
      <x:c r="AE214" s="18" t="n">
        <x:v>13729</x:v>
      </x:c>
      <x:c r="AF214" s="18" t="n">
        <x:v>8708.44</x:v>
      </x:c>
      <x:c r="AG214" s="18" t="n">
        <x:v>571.15</x:v>
      </x:c>
      <x:c r="AH214" s="18" t="n">
        <x:v>6702.24</x:v>
      </x:c>
      <x:c r="AI214" s="17" t="n">
        <x:v>5</x:v>
      </x:c>
      <x:c r="AJ214" s="17" t="n">
        <x:v>1</x:v>
      </x:c>
      <x:c r="AK214" s="19" t="n">
        <x:v>1</x:v>
      </x:c>
      <x:c r="AL214" s="19" t="n">
        <x:v>1</x:v>
      </x:c>
      <x:c r="AM214" s="19" t="n">
        <x:v>0</x:v>
      </x:c>
      <x:c r="AN214" s="17" t="str">
        <x:v>[
  "hot_event.state"
]</x:v>
      </x:c>
    </x:row>
    <x:row r="215" ht="58" customHeight="1">
      <x:c r="A215" s="17" t="str">
        <x:v>BUS213</x:v>
      </x:c>
      <x:c r="B215" s="17" t="str">
        <x:v>筛选今天热度上升且涨停数量超过5个的热点事件。</x:v>
      </x:c>
      <x:c r="C215" s="17" t="str">
        <x:v>hot_event</x:v>
      </x:c>
      <x:c r="D215" s="17" t="str">
        <x:v>hot_event.state, hot_event.member</x:v>
      </x:c>
      <x:c r="E215" s="17" t="str"/>
      <x:c r="F215" s="17" t="str">
        <x:v>financial_qa_cc</x:v>
      </x:c>
      <x:c r="G215" s="17" t="str">
        <x:v>否</x:v>
      </x:c>
      <x:c r="H215" s="18" t="n">
        <x:v>77181.63</x:v>
      </x:c>
      <x:c r="I215" s="18" t="n">
        <x:f>IFERROR(H215/1000,"")</x:f>
        <x:v>77.18163</x:v>
      </x:c>
      <x:c r="J215" s="17" t="n">
        <x:v>23</x:v>
      </x:c>
      <x:c r="K215" s="17" t="str">
        <x:v>成功</x:v>
      </x:c>
      <x:c r="L215" s="17" t="n">
        <x:v>17</x:v>
      </x:c>
      <x:c r="M215" s="17" t="n">
        <x:v>13</x:v>
      </x:c>
      <x:c r="N215" s="17" t="n">
        <x:v>0</x:v>
      </x:c>
      <x:c r="O215" s="17" t="n">
        <x:v>4</x:v>
      </x:c>
      <x:c r="P215" s="17" t="n">
        <x:v>0</x:v>
      </x:c>
      <x:c r="Q215" s="17" t="n">
        <x:v>0</x:v>
      </x:c>
      <x:c r="R215" s="19" t="n">
        <x:f>IFERROR((M215+N215)/L215,"")</x:f>
        <x:v>0.7647058823529411</x:v>
      </x:c>
      <x:c r="S215" s="17" t="n">
        <x:v>0</x:v>
      </x:c>
      <x:c r="T215" s="17" t="n">
        <x:v>0</x:v>
      </x:c>
      <x:c r="U215" s="17" t="n">
        <x:v>59022</x:v>
      </x:c>
      <x:c r="V215" s="17" t="str">
        <x:v>错误</x:v>
      </x:c>
      <x:c r="W215" s="19" t="n">
        <x:v>0.75</x:v>
      </x:c>
      <x:c r="X215" s="17" t="str">
        <x:v>否</x:v>
      </x:c>
      <x:c r="Y215" s="17" t="str"/>
      <x:c r="Z215" s="17" t="str">
        <x:v>今日（2026-08-02）是周日，非交易日。最近交易日为 **2026-07-31（周五）**，当天满足"热度上升（触发激活）且涨停&gt;5个"的热点事件如下：
| 热点事件 | 涨停数（只） | 热度分 | 关联公司数 | 平均涨幅 |
|---|---|---|---|---|
| **AI应用/大模型** | 23 | 73.3 | 55~57家 | +8.2%~9.8% |
| **AI大模型及AI应用** | 19 | 63.8 | 46家 | +8.2%~8.8% |
| **AI大模型/应用** | 17 | 50.8 | 34家 | +8.5%~9.2% |
| **MLCC/被动元件** | 17 | 51.7 | 33家 | +8.9%~9.5% |
| **AI大模型应用** | 17 | 50.6 | 33家 | +8.5%~9.4% |
| **存储芯片（含长鑫产业链）** | 16 | 42.1 | 25家 | +9.8% |
| **元件** | 16 | 39.2 | 18家 | +11.8% |
| **AI大模型/软件** | 15 | 47.3 | 31家 | +8.9%~9.2% |
当日热点高度集中于 **AI主线**，多个相关热点（AI应用/大模型、AI大模型及AI应用、AI大模型应用等）涨停数合计超过15只，其中"AI应用/大模型"单热点涨停23只，热度分最高达73.3。此外，MLCC/被动元件、存储芯片、元件等科技细分方向也有16~17只涨停，整体科技方向活跃度明显。</x:v>
      </x:c>
      <x:c r="AA215" s="17" t="str"/>
      <x:c r="AB215" s="17" t="n">
        <x:v>46235.87964359954</x:v>
      </x:c>
      <x:c r="AC215" s="17" t="n">
        <x:v>46235.88053692129</x:v>
      </x:c>
      <x:c r="AD215" s="17" t="str">
        <x:v>analysis.json</x:v>
      </x:c>
      <x:c r="AE215" s="18" t="n">
        <x:v>65999</x:v>
      </x:c>
      <x:c r="AF215" s="18" t="n">
        <x:v>11182.63</x:v>
      </x:c>
      <x:c r="AG215" s="18" t="n">
        <x:v>626.55</x:v>
      </x:c>
      <x:c r="AH215" s="18" t="n">
        <x:v>5041.24</x:v>
      </x:c>
      <x:c r="AI215" s="17" t="n">
        <x:v>23</x:v>
      </x:c>
      <x:c r="AJ215" s="17" t="n">
        <x:v>1</x:v>
      </x:c>
      <x:c r="AK215" s="19" t="n">
        <x:v>0.7647</x:v>
      </x:c>
      <x:c r="AL215" s="19" t="n">
        <x:v>0.7647</x:v>
      </x:c>
      <x:c r="AM215" s="19" t="n">
        <x:v>0.2353</x:v>
      </x:c>
      <x:c r="AN215" s="17" t="str">
        <x:v>[
  "hot_event.state",
  "hot_event.base_info"
]</x:v>
      </x:c>
    </x:row>
    <x:row r="216" ht="58" customHeight="1">
      <x:c r="A216" s="17" t="str">
        <x:v>BUS214</x:v>
      </x:c>
      <x:c r="B216" s="17" t="str">
        <x:v>查询机器人热点最近的热度变化标签和板块强度。</x:v>
      </x:c>
      <x:c r="C216" s="17" t="str">
        <x:v>hot_event</x:v>
      </x:c>
      <x:c r="D216" s="17" t="str">
        <x:v>hot_event.state</x:v>
      </x:c>
      <x:c r="E216" s="17" t="str"/>
      <x:c r="F216" s="17" t="str">
        <x:v>financial_qa_cc</x:v>
      </x:c>
      <x:c r="G216" s="17" t="str">
        <x:v>否</x:v>
      </x:c>
      <x:c r="H216" s="18" t="n">
        <x:v>37347.02</x:v>
      </x:c>
      <x:c r="I216" s="18" t="n">
        <x:f>IFERROR(H216/1000,"")</x:f>
        <x:v>37.34701999999999</x:v>
      </x:c>
      <x:c r="J216" s="17" t="n">
        <x:v>13</x:v>
      </x:c>
      <x:c r="K216" s="17" t="str">
        <x:v>成功</x:v>
      </x:c>
      <x:c r="L216" s="17" t="n">
        <x:v>6</x:v>
      </x:c>
      <x:c r="M216" s="17" t="n">
        <x:v>6</x:v>
      </x:c>
      <x:c r="N216" s="17" t="n">
        <x:v>0</x:v>
      </x:c>
      <x:c r="O216" s="17" t="n">
        <x:v>0</x:v>
      </x:c>
      <x:c r="P216" s="17" t="n">
        <x:v>0</x:v>
      </x:c>
      <x:c r="Q216" s="17" t="n">
        <x:v>0</x:v>
      </x:c>
      <x:c r="R216" s="19" t="n">
        <x:f>IFERROR((M216+N216)/L216,"")</x:f>
        <x:v>1</x:v>
      </x:c>
      <x:c r="S216" s="17" t="n">
        <x:v>0</x:v>
      </x:c>
      <x:c r="T216" s="17" t="n">
        <x:v>0</x:v>
      </x:c>
      <x:c r="U216" s="17" t="n">
        <x:v>23040</x:v>
      </x:c>
      <x:c r="V216" s="17" t="str">
        <x:v>错误</x:v>
      </x:c>
      <x:c r="W216" s="19" t="n">
        <x:v>1</x:v>
      </x:c>
      <x:c r="X216" s="17" t="str">
        <x:v>否</x:v>
      </x:c>
      <x:c r="Y216" s="17" t="str"/>
      <x:c r="Z216" s="17" t="str">
        <x:v>查到了"人形机器人"热点的最新数据，以下是结果。
---
**人形机器人热点 · 7月31日（最近交易日）**
**热度变化标签：** `triggered`（触发活跃状态），该热点当前处于活跃周期，且最近触发日期为 7 月 31 日。
**板块强度（board_strength）：** 当日采样值在 **1.20% ~ 2.66%** 之间，整体呈走强态势，尾盘强度达到 2.66%，说明该热点对标的大盘有正向带动作用。
**其他关键指标：**
| 指标 | 数据 |
|---|---|
| 热度评分（heat_score） | 0.0（当前数据源显示为 0） |
| 成分股平均涨幅 | 尾盘约 +0.59% |
| 涨停家数 | 0 |
| 成分股数量 | 1 家活跃公司 |
**小结：** "人形机器人"热点 7 月 31 日处于 **触发活跃** 状态，板块强度逐级走高至 2.66%，对大盘表现有一定正向贡献。不过当前成分股数量较少（1 家），热度评分数据源暂未提供有效数值，整体更像是一个早期的概念启动阶段。</x:v>
      </x:c>
      <x:c r="AA216" s="17" t="str"/>
      <x:c r="AB216" s="17" t="n">
        <x:v>46235.87985042824</x:v>
      </x:c>
      <x:c r="AC216" s="17" t="n">
        <x:v>46235.88028268518</x:v>
      </x:c>
      <x:c r="AD216" s="17" t="str">
        <x:v>analysis.json</x:v>
      </x:c>
      <x:c r="AE216" s="18" t="n">
        <x:v>29768</x:v>
      </x:c>
      <x:c r="AF216" s="18" t="n">
        <x:v>7579.02</x:v>
      </x:c>
      <x:c r="AG216" s="18" t="n">
        <x:v>564.72</x:v>
      </x:c>
      <x:c r="AH216" s="18" t="n">
        <x:v>4538.74</x:v>
      </x:c>
      <x:c r="AI216" s="17" t="n">
        <x:v>13</x:v>
      </x:c>
      <x:c r="AJ216" s="17" t="n">
        <x:v>1</x:v>
      </x:c>
      <x:c r="AK216" s="19" t="n">
        <x:v>1</x:v>
      </x:c>
      <x:c r="AL216" s="19" t="n">
        <x:v>1</x:v>
      </x:c>
      <x:c r="AM216" s="19" t="n">
        <x:v>0</x:v>
      </x:c>
      <x:c r="AN216" s="17" t="str">
        <x:v>[
  "hot_event.state",
  "hot_event.base_info"
]</x:v>
      </x:c>
    </x:row>
    <x:row r="217" ht="58" customHeight="1">
      <x:c r="A217" s="17" t="str">
        <x:v>BUS215</x:v>
      </x:c>
      <x:c r="B217" s="17" t="str">
        <x:v>查询当前公司数最多的热点事件前20名。</x:v>
      </x:c>
      <x:c r="C217" s="17" t="str">
        <x:v>hot_event</x:v>
      </x:c>
      <x:c r="D217" s="17" t="str">
        <x:v>hot_event.base_info</x:v>
      </x:c>
      <x:c r="E217" s="17" t="str"/>
      <x:c r="F217" s="17" t="str">
        <x:v>financial_qa_cc</x:v>
      </x:c>
      <x:c r="G217" s="17" t="str">
        <x:v>否</x:v>
      </x:c>
      <x:c r="H217" s="18" t="n">
        <x:v>30618.88</x:v>
      </x:c>
      <x:c r="I217" s="18" t="n">
        <x:f>IFERROR(H217/1000,"")</x:f>
        <x:v>30.61888</x:v>
      </x:c>
      <x:c r="J217" s="17" t="n">
        <x:v>6</x:v>
      </x:c>
      <x:c r="K217" s="17" t="str">
        <x:v>成功</x:v>
      </x:c>
      <x:c r="L217" s="17" t="n">
        <x:v>5</x:v>
      </x:c>
      <x:c r="M217" s="17" t="n">
        <x:v>5</x:v>
      </x:c>
      <x:c r="N217" s="17" t="n">
        <x:v>0</x:v>
      </x:c>
      <x:c r="O217" s="17" t="n">
        <x:v>0</x:v>
      </x:c>
      <x:c r="P217" s="17" t="n">
        <x:v>0</x:v>
      </x:c>
      <x:c r="Q217" s="17" t="n">
        <x:v>0</x:v>
      </x:c>
      <x:c r="R217" s="19" t="n">
        <x:f>IFERROR((M217+N217)/L217,"")</x:f>
        <x:v>1</x:v>
      </x:c>
      <x:c r="S217" s="17" t="n">
        <x:v>0</x:v>
      </x:c>
      <x:c r="T217" s="17" t="n">
        <x:v>0</x:v>
      </x:c>
      <x:c r="U217" s="17" t="n">
        <x:v>13091</x:v>
      </x:c>
      <x:c r="V217" s="17" t="str">
        <x:v>部分正确</x:v>
      </x:c>
      <x:c r="W217" s="19" t="n">
        <x:v>1</x:v>
      </x:c>
      <x:c r="X217" s="17" t="str">
        <x:v>否</x:v>
      </x:c>
      <x:c r="Y217" s="17" t="str"/>
      <x:c r="Z217" s="17" t="str">
        <x:v>以下是当前关联公司数最多的热点事件 Top 20：
| 排名 | 热点事件 | 当前公司数 | 首次触发 | 最近触发 |
|:---:|:---|:---:|:---|:---|
| 1 | **AI应用/大模型** | 57 | 2025-07-09 | 2026-07-31 |
| 2 | **煤炭/能源** | 49 | 2026-07-20 | 2026-07-20 |
| 3 | **AI大模型及AI应用** | 46 | 2026-07-31 | 2026-07-31 |
| 4 | **锂电电解液** | 44 | 2026-03-12 | 2026-07-27 |
| 5 | **商业航天（卫星/火箭配套）** | 42 | 2026-07-03 | 2026-07-03 |
| 6 | **商业航天/可回收火箭** | 42 | 2025-12-05 | 2026-07-10 |
| 7 | **MLCC/被动元件** | 40 | 2026-06-08 | 2026-07-31 |
| 8 | **AI算力/数据中心** | 39 | 2025-12-30 | 2026-07-31 |
| 9 | **电力（用电负荷创新高）** | 39 | 2026-07-20 | 2026-07-20 |
| 10 | **电力/用电负荷** | 36 | 2026-07-20 | 2026-07-20 |
| 11 | **AI大模型/应用** | 34 | 2026-07-20 | 2026-07-31 |
| 12 | **AI大模型应用** | 33 | 2025-05-20 | 2026-07-31 |
| 13 | **智能制造/高端装备** | 32 | 2026-07-31 | 2026-07-31 |
| 14 | **AI大模型/软件** | 31 | 2026-07-31 | 2026-07-31 |
| 15 | **MLCC涨价** | 30 | 2026-03-23 | 2026-07-31 |
| 16 | **存储芯片** | 29 | 2025-04-08 | 2026-07-31 |
| 17 | **半导体设备/材料（国产替代）** | 28 | 2026-04-03 | 2026-07-21 |
| 18 | **储能/锂电** | 28 | 2026-07-27 | 2026-07-27 |
| 19 | **国产算力/半导体设备（国产替代）** | 28 | 2026-07-31 | 2026-07-31 |
| 20 | **半导体设备/材料** | 27 | 2025-12-08 | 2026-07-31 |
**整体格局：** AI 链条（AI应用/大模型、AI大模型及AI应用、AI算力、AI大模型应用等）是当前覆盖面最广的主题方向，仅 AI 相关热点就占据了前 20 中的 6 席，合计覆盖约 240 家公司。**商业航天**（两个主题合计 84 家）、**电力/用电负荷**（合计 75 家）和 **MLCC/被动元件**（合计 70 家）也是近期覆盖面较宽的板块。从时间上看，多数热点在 7 月下旬仍有活跃触发，保持了较高的市场关注度。</x:v>
      </x:c>
      <x:c r="AA217" s="17" t="str"/>
      <x:c r="AB217" s="17" t="n">
        <x:v>46235.88034662037</x:v>
      </x:c>
      <x:c r="AC217" s="17" t="n">
        <x:v>46235.88070100694</x:v>
      </x:c>
      <x:c r="AD217" s="17" t="str">
        <x:v>analysis.json</x:v>
      </x:c>
      <x:c r="AE217" s="18" t="n">
        <x:v>23706</x:v>
      </x:c>
      <x:c r="AF217" s="18" t="n">
        <x:v>6912.88</x:v>
      </x:c>
      <x:c r="AG217" s="18" t="n">
        <x:v>639.75</x:v>
      </x:c>
      <x:c r="AH217" s="18" t="n">
        <x:v>4832.6</x:v>
      </x:c>
      <x:c r="AI217" s="17" t="n">
        <x:v>6</x:v>
      </x:c>
      <x:c r="AJ217" s="17" t="n">
        <x:v>1</x:v>
      </x:c>
      <x:c r="AK217" s="19" t="n">
        <x:v>1</x:v>
      </x:c>
      <x:c r="AL217" s="19" t="n">
        <x:v>1</x:v>
      </x:c>
      <x:c r="AM217" s="19" t="n">
        <x:v>0</x:v>
      </x:c>
      <x:c r="AN217" s="17" t="str">
        <x:v>[
  "hot_event.base_info"
]</x:v>
      </x:c>
    </x:row>
    <x:row r="218" ht="58" customHeight="1">
      <x:c r="A218" s="17" t="str">
        <x:v>BUS216</x:v>
      </x:c>
      <x:c r="B218" s="17" t="str">
        <x:v>筛选平均涨幅超过3%的热点事件。</x:v>
      </x:c>
      <x:c r="C218" s="17" t="str">
        <x:v>hot_event</x:v>
      </x:c>
      <x:c r="D218" s="17" t="str">
        <x:v>hot_event.base_info, hot_event.member, stock.quote</x:v>
      </x:c>
      <x:c r="E218" s="17" t="str"/>
      <x:c r="F218" s="17" t="str">
        <x:v>financial_qa_cc</x:v>
      </x:c>
      <x:c r="G218" s="17" t="str">
        <x:v>否</x:v>
      </x:c>
      <x:c r="H218" s="18" t="n">
        <x:v>32091.2</x:v>
      </x:c>
      <x:c r="I218" s="18" t="n">
        <x:f>IFERROR(H218/1000,"")</x:f>
        <x:v>32.0912</x:v>
      </x:c>
      <x:c r="J218" s="17" t="n">
        <x:v>9</x:v>
      </x:c>
      <x:c r="K218" s="17" t="str">
        <x:v>成功</x:v>
      </x:c>
      <x:c r="L218" s="17" t="n">
        <x:v>6</x:v>
      </x:c>
      <x:c r="M218" s="17" t="n">
        <x:v>5</x:v>
      </x:c>
      <x:c r="N218" s="17" t="n">
        <x:v>0</x:v>
      </x:c>
      <x:c r="O218" s="17" t="n">
        <x:v>1</x:v>
      </x:c>
      <x:c r="P218" s="17" t="n">
        <x:v>0</x:v>
      </x:c>
      <x:c r="Q218" s="17" t="n">
        <x:v>0</x:v>
      </x:c>
      <x:c r="R218" s="19" t="n">
        <x:f>IFERROR((M218+N218)/L218,"")</x:f>
        <x:v>0.8333333333333334</x:v>
      </x:c>
      <x:c r="S218" s="17" t="n">
        <x:v>0</x:v>
      </x:c>
      <x:c r="T218" s="17" t="n">
        <x:v>0</x:v>
      </x:c>
      <x:c r="U218" s="17" t="n">
        <x:v>20716</x:v>
      </x:c>
      <x:c r="V218" s="17" t="str">
        <x:v>错误</x:v>
      </x:c>
      <x:c r="W218" s="19" t="n">
        <x:v>0.85</x:v>
      </x:c>
      <x:c r="X218" s="17" t="str">
        <x:v>否</x:v>
      </x:c>
      <x:c r="Y218" s="17" t="str"/>
      <x:c r="Z218" s="17" t="str">
        <x:v>查询到**50条**满足平均涨幅超过3%的热点事件记录。不过这些数据是不同交易日的历史快照，很多热点仅由单只股票驱动（`company_num=1`），导致 `avg_lift` 数值异常高。以下是按**最近交易日**列出的活跃热点：
---
**最新交易日 2026-06-24 的热点（平均涨幅均 &gt; 3%）：**
| 热点名称 | 平均涨幅 | 热度 | 成分股数 |
|---|---|---|---|
| 专精特新"小巨人"企业 | 1212.8% | 1.0 | 1 |
| 芯片制造 | 1212.8% | 1.0 | 1 |
| 半导体零部件 | 1212.8% | 1.0 | 1 |
| 专精特新小巨人 | 1212.8% | 1.0 | 1 |
| 碳化硅材料 | 1212.8% | 1.0 | 1 |
**2026-06-09：**
- 新能源汽车电池 — 624.6%（1只成分股）
**2026-05-15：**
- 智能制造装备 — 490.4%（1只成分股）
- 新能源车产业链 — 297.2%（1只成分股）
**2026-04-24：**
- 光通信测试、半导体测试设备、电子测量仪器、高端测试仪器、新股上市等 — 875.8%（均为1只成分股）
**2026-04-10：**
- 新股上市 — 186.9%（3只成分股，热度3.0，为近期唯一多成分股热点）
- 机器人动力系统、军工装备 — 272.8%（1只成分股）
---
**说明：**
- 数据源中 `avg_lift` 字段记录的是百分比值（如 1212.8 即 1212.8%），高于3%的阈值条件。
- 绝大多数热点记录中 `company_num=1`（仅1只成分股），因此平均涨幅实际等同于该单只股票的阶段涨幅，数值偏高。
- 近期涉及多只成分股的热点主要是**新股上市**（2026-04-10，3只成分股，平均涨幅186.9%）。
- `limited_count`（涨停数量）和 `board_strength`（大盘涨跌幅）字段当前数据源未返回。</x:v>
      </x:c>
      <x:c r="AA218" s="17" t="str"/>
      <x:c r="AB218" s="17" t="n">
        <x:v>46235.88059929398</x:v>
      </x:c>
      <x:c r="AC218" s="17" t="n">
        <x:v>46235.880970729166</x:v>
      </x:c>
      <x:c r="AD218" s="17" t="str">
        <x:v>analysis.json</x:v>
      </x:c>
      <x:c r="AE218" s="18" t="n">
        <x:v>24678</x:v>
      </x:c>
      <x:c r="AF218" s="18" t="n">
        <x:v>7413.2</x:v>
      </x:c>
      <x:c r="AG218" s="18" t="n">
        <x:v>662.85</x:v>
      </x:c>
      <x:c r="AH218" s="18" t="n">
        <x:v>5186.82</x:v>
      </x:c>
      <x:c r="AI218" s="17" t="n">
        <x:v>9</x:v>
      </x:c>
      <x:c r="AJ218" s="17" t="n">
        <x:v>1</x:v>
      </x:c>
      <x:c r="AK218" s="19" t="n">
        <x:v>0.8333</x:v>
      </x:c>
      <x:c r="AL218" s="19" t="n">
        <x:v>0.8333</x:v>
      </x:c>
      <x:c r="AM218" s="19" t="n">
        <x:v>0.1667</x:v>
      </x:c>
      <x:c r="AN218" s="17" t="str">
        <x:v>[
  "hot_event.state"
]</x:v>
      </x:c>
    </x:row>
    <x:row r="219" ht="58" customHeight="1">
      <x:c r="A219" s="17" t="str">
        <x:v>BUS217</x:v>
      </x:c>
      <x:c r="B219" s="17" t="str">
        <x:v>查询PCB热点当前成分股和关联事件描述。</x:v>
      </x:c>
      <x:c r="C219" s="17" t="str">
        <x:v>hot_event</x:v>
      </x:c>
      <x:c r="D219" s="17" t="str">
        <x:v>hot_event.base_info, hot_event.member</x:v>
      </x:c>
      <x:c r="E219" s="17" t="str"/>
      <x:c r="F219" s="17" t="str">
        <x:v>financial_qa_cc</x:v>
      </x:c>
      <x:c r="G219" s="17" t="str">
        <x:v>否</x:v>
      </x:c>
      <x:c r="H219" s="18" t="n">
        <x:v>39459.89</x:v>
      </x:c>
      <x:c r="I219" s="18" t="n">
        <x:f>IFERROR(H219/1000,"")</x:f>
        <x:v>39.45989</x:v>
      </x:c>
      <x:c r="J219" s="17" t="n">
        <x:v>6</x:v>
      </x:c>
      <x:c r="K219" s="17" t="str">
        <x:v>成功</x:v>
      </x:c>
      <x:c r="L219" s="17" t="n">
        <x:v>6</x:v>
      </x:c>
      <x:c r="M219" s="17" t="n">
        <x:v>6</x:v>
      </x:c>
      <x:c r="N219" s="17" t="n">
        <x:v>0</x:v>
      </x:c>
      <x:c r="O219" s="17" t="n">
        <x:v>0</x:v>
      </x:c>
      <x:c r="P219" s="17" t="n">
        <x:v>0</x:v>
      </x:c>
      <x:c r="Q219" s="17" t="n">
        <x:v>0</x:v>
      </x:c>
      <x:c r="R219" s="19" t="n">
        <x:f>IFERROR((M219+N219)/L219,"")</x:f>
        <x:v>1</x:v>
      </x:c>
      <x:c r="S219" s="17" t="n">
        <x:v>0</x:v>
      </x:c>
      <x:c r="T219" s="17" t="n">
        <x:v>0</x:v>
      </x:c>
      <x:c r="U219" s="17" t="n">
        <x:v>26994</x:v>
      </x:c>
      <x:c r="V219" s="17" t="str">
        <x:v>错误</x:v>
      </x:c>
      <x:c r="W219" s="19" t="n">
        <x:v>1</x:v>
      </x:c>
      <x:c r="X219" s="17" t="str">
        <x:v>否</x:v>
      </x:c>
      <x:c r="Y219" s="17" t="str"/>
      <x:c r="Z219" s="17" t="str">
        <x:v>## PCB 热点 — 成分股与关联事件
**热点概况**：PCB（印制电路板）热点当前共关联 **10 家** 活跃成分股。核心催化线索围绕 AI 算力需求爆发（英伟达 Rubin 机架 PCB 价值量大幅提升）、覆铜板/电子布涨价以及 PCB 产业链国产替代。
**当前活跃成分股及关联事件描述**：
| 股票 | 核心关联原因 |
|---|---|
| **深南电路**（002916） | 通信 PCB 与 FC-BGA 封装基板双龙头，AI 服务器 PCB 市占率领先，国内先进封装载板国产替代核心标的。 |
| **沪电股份**（002463） | AI 服务器高速背板龙头，AI 相关产品收入占比近六成，深度绑定全球头部 AI 及云计算客户。 |
| **胜宏科技**（300476） | 英伟达核心供应商，Rubin 整机高阶 PCB 供货份额 72%，2025 上半年 AI 算力 PCB 市占率全球第一。 |
| **东山精密**（002384） | 全球第二大 FPC 厂商，覆盖苹果/MR/特斯拉/英伟达多供应链，软硬结合板领先。 |
| **鹏鼎控股**（002938） | 全球 FPC 营收第一，苹果第一大 FPC 供应商，具备 6 阶以上 HDI 量产能力。 |
| **生益科技**（600183） | 国内覆铜板（CCL）绝对龙头，M8/M9 超低损耗板材供货 AI 服务器，全球市占率 12% 居行业第二。 |
| **景旺电子**（603228） | 全品类 PCB 平台，车载 PCB 国内领先，覆盖刚性板/柔性板/金属基板，高速服务器板同步扩张。 |
| **兴森科技**（002436） | IC 载板龙头，FCBGA 基板已量产，半导体测试板覆盖国内外主流芯片厂商。 |
| **大族激光**（002008） | 子公司大族数控为 PCB 激光钻孔/曝光设备龙头，覆盖钻孔、曝光、成型、检测等关键工序。 |
| **宏和科技**（603256） | 全球领先的中高端电子级玻璃纤维布厂商，产品是覆铜板核心原材料，已为深南电路等知名企业供货。 |
**事件驱动脉络**：PCB 热点近期持续活跃的核心驱动来自——① **英伟达 Rubin 架构**机架 PCB 需求预计增长 233%，带动胜宏科技、深南电路、沪电股份等核心供应商订单锁定；② **覆铜板及原材料涨价**，生益科技、宏和科技等上游环节受益于产品量价齐升；③ **AI 算力基础设施建设**持续拉动高多层、HDI、封装基板等高端 PCB 需求。</x:v>
      </x:c>
      <x:c r="AA219" s="17" t="str"/>
      <x:c r="AB219" s="17" t="n">
        <x:v>46235.880760914355</x:v>
      </x:c>
      <x:c r="AC219" s="17" t="n">
        <x:v>46235.88121762731</x:v>
      </x:c>
      <x:c r="AD219" s="17" t="str">
        <x:v>analysis.json</x:v>
      </x:c>
      <x:c r="AE219" s="18" t="n">
        <x:v>31675</x:v>
      </x:c>
      <x:c r="AF219" s="18" t="n">
        <x:v>7784.89</x:v>
      </x:c>
      <x:c r="AG219" s="18" t="n">
        <x:v>646.62</x:v>
      </x:c>
      <x:c r="AH219" s="18" t="n">
        <x:v>4944.25</x:v>
      </x:c>
      <x:c r="AI219" s="17" t="n">
        <x:v>6</x:v>
      </x:c>
      <x:c r="AJ219" s="17" t="n">
        <x:v>1</x:v>
      </x:c>
      <x:c r="AK219" s="19" t="n">
        <x:v>1</x:v>
      </x:c>
      <x:c r="AL219" s="19" t="n">
        <x:v>1</x:v>
      </x:c>
      <x:c r="AM219" s="19" t="n">
        <x:v>0</x:v>
      </x:c>
      <x:c r="AN219" s="17" t="str">
        <x:v>[
  "hot_event.member",
  "hot_event.base_info"
]</x:v>
      </x:c>
    </x:row>
    <x:row r="220" ht="58" customHeight="1">
      <x:c r="A220" s="17" t="str">
        <x:v>BUS218</x:v>
      </x:c>
      <x:c r="B220" s="17" t="str">
        <x:v>查询机器人热点中的龙头公司。</x:v>
      </x:c>
      <x:c r="C220" s="17" t="str">
        <x:v>hot_event</x:v>
      </x:c>
      <x:c r="D220" s="17" t="str">
        <x:v>hot_event.base_info, hot_event.member, stock.pricevalue, stock.quote</x:v>
      </x:c>
      <x:c r="E220" s="17" t="str"/>
      <x:c r="F220" s="17" t="str">
        <x:v>financial_qa_cc</x:v>
      </x:c>
      <x:c r="G220" s="17" t="str">
        <x:v>否</x:v>
      </x:c>
      <x:c r="H220" s="18" t="n">
        <x:v>49200.14</x:v>
      </x:c>
      <x:c r="I220" s="18" t="n">
        <x:f>IFERROR(H220/1000,"")</x:f>
        <x:v>49.20014</x:v>
      </x:c>
      <x:c r="J220" s="17" t="n">
        <x:v>13</x:v>
      </x:c>
      <x:c r="K220" s="17" t="str">
        <x:v>成功</x:v>
      </x:c>
      <x:c r="L220" s="17" t="n">
        <x:v>13</x:v>
      </x:c>
      <x:c r="M220" s="17" t="n">
        <x:v>12</x:v>
      </x:c>
      <x:c r="N220" s="17" t="n">
        <x:v>0</x:v>
      </x:c>
      <x:c r="O220" s="17" t="n">
        <x:v>1</x:v>
      </x:c>
      <x:c r="P220" s="17" t="n">
        <x:v>0</x:v>
      </x:c>
      <x:c r="Q220" s="17" t="n">
        <x:v>0</x:v>
      </x:c>
      <x:c r="R220" s="19" t="n">
        <x:f>IFERROR((M220+N220)/L220,"")</x:f>
        <x:v>0.9230769230769231</x:v>
      </x:c>
      <x:c r="S220" s="17" t="n">
        <x:v>0</x:v>
      </x:c>
      <x:c r="T220" s="17" t="n">
        <x:v>0</x:v>
      </x:c>
      <x:c r="U220" s="17" t="n">
        <x:v>32940</x:v>
      </x:c>
      <x:c r="V220" s="17" t="str">
        <x:v>部分正确</x:v>
      </x:c>
      <x:c r="W220" s="19" t="n">
        <x:v>0.85</x:v>
      </x:c>
      <x:c r="X220" s="17" t="str">
        <x:v>否</x:v>
      </x:c>
      <x:c r="Y220" s="17" t="str"/>
      <x:c r="Z220" s="17" t="str">
        <x:v>目前系统中有三个与机器人相关的热点概念，但它们的成分股中均没有标记为"龙头"的公司。具体情况如下：
**热点概念概览：**
| 热点名称 | 公司数 | 最新触发日期 | 活跃状态 |
|---------|-------|------------|---------|
| 机器人 | 23家 | 2026-07-31 | 活跃 |
| 人形机器人 | 22家 | 2026-07-31 | 活跃 |
| 人形机器人核心部件 | 10家 | 2026-07-31 | 活跃 |
**"机器人"热点的成分股**（共23家）：驱动力、运机集团、联创电子、居然智家、万和电气、华金资本、鲁泰A、盛通股份、华发股份、京城股份、天奇股份、科大讯飞、欧菲光、万集科技、友阿股份、雷迪克、联诚精密、品高股份、深科技、祥鑫科技、和晶科技、全志科技、弘信电子、胜蓝股份、朗特智能、一博科技、远东股份、绿的谐波、奥比中光、凌云光等。
**"人形机器人"热点的成分股**（共22家）：孚能科技、火星人、比亚迪、恒信东方、正海磁材、富春染织、维峰电子、长江材料、鑫宏业、华控赛格、华金资本、中科三环、光华股份、智微智能、恒星科技、方正电机、浙江众成、锋龙股份、机器人（300024）、捷安高科、瑜欣电子、冠城新材、光电股份、华发股份、中化国际、光大证券、德新科技、嘉环科技等。
**当前数据源说明：** 以上三个机器人相关热点的 `is_leader`（是否龙头）字段均为0，系统未对任何成分股做龙头标记。如果需要判断哪些是市场公认的龙头，可以进一步结合个股的涨幅、成交额、资金流向等指标来辅助识别。需要我进一步分析吗？</x:v>
      </x:c>
      <x:c r="AA220" s="17" t="str"/>
      <x:c r="AB220" s="17" t="n">
        <x:v>46235.881030219905</x:v>
      </x:c>
      <x:c r="AC220" s="17" t="n">
        <x:v>46235.88159967593</x:v>
      </x:c>
      <x:c r="AD220" s="17" t="str">
        <x:v>analysis.json</x:v>
      </x:c>
      <x:c r="AE220" s="18" t="n">
        <x:v>39519</x:v>
      </x:c>
      <x:c r="AF220" s="18" t="n">
        <x:v>9681.14</x:v>
      </x:c>
      <x:c r="AG220" s="18" t="n">
        <x:v>715.39</x:v>
      </x:c>
      <x:c r="AH220" s="18" t="n">
        <x:v>5386.28</x:v>
      </x:c>
      <x:c r="AI220" s="17" t="n">
        <x:v>13</x:v>
      </x:c>
      <x:c r="AJ220" s="17" t="n">
        <x:v>1</x:v>
      </x:c>
      <x:c r="AK220" s="19" t="n">
        <x:v>0.9231</x:v>
      </x:c>
      <x:c r="AL220" s="19" t="n">
        <x:v>0.9231</x:v>
      </x:c>
      <x:c r="AM220" s="19" t="n">
        <x:v>0.0769</x:v>
      </x:c>
      <x:c r="AN220" s="17" t="str">
        <x:v>[
  "hot_event.base_info",
  "hot_event.member"
]</x:v>
      </x:c>
    </x:row>
    <x:row r="221" ht="58" customHeight="1">
      <x:c r="A221" s="17" t="str">
        <x:v>BUS219</x:v>
      </x:c>
      <x:c r="B221" s="17" t="str">
        <x:v>筛选今天某热点事件下关系类型为核心受益的公司。</x:v>
      </x:c>
      <x:c r="C221" s="17" t="str">
        <x:v>hot_event</x:v>
      </x:c>
      <x:c r="D221" s="17" t="str">
        <x:v>hot_event.base_info, hot_event.member</x:v>
      </x:c>
      <x:c r="E221" s="17" t="str"/>
      <x:c r="F221" s="17" t="str">
        <x:v>financial_qa_cc</x:v>
      </x:c>
      <x:c r="G221" s="17" t="str">
        <x:v>否</x:v>
      </x:c>
      <x:c r="H221" s="18" t="n">
        <x:v>34709.02</x:v>
      </x:c>
      <x:c r="I221" s="18" t="n">
        <x:f>IFERROR(H221/1000,"")</x:f>
        <x:v>34.709019999999995</x:v>
      </x:c>
      <x:c r="J221" s="17" t="n">
        <x:v>7</x:v>
      </x:c>
      <x:c r="K221" s="17" t="str">
        <x:v>成功</x:v>
      </x:c>
      <x:c r="L221" s="17" t="n">
        <x:v>6</x:v>
      </x:c>
      <x:c r="M221" s="17" t="n">
        <x:v>6</x:v>
      </x:c>
      <x:c r="N221" s="17" t="n">
        <x:v>0</x:v>
      </x:c>
      <x:c r="O221" s="17" t="n">
        <x:v>0</x:v>
      </x:c>
      <x:c r="P221" s="17" t="n">
        <x:v>0</x:v>
      </x:c>
      <x:c r="Q221" s="17" t="n">
        <x:v>0</x:v>
      </x:c>
      <x:c r="R221" s="19" t="n">
        <x:f>IFERROR((M221+N221)/L221,"")</x:f>
        <x:v>1</x:v>
      </x:c>
      <x:c r="S221" s="17" t="n">
        <x:v>0</x:v>
      </x:c>
      <x:c r="T221" s="17" t="n">
        <x:v>0</x:v>
      </x:c>
      <x:c r="U221" s="17" t="n">
        <x:v>20130</x:v>
      </x:c>
      <x:c r="V221" s="17" t="str">
        <x:v>部分正确</x:v>
      </x:c>
      <x:c r="W221" s="19" t="n">
        <x:v>0.85</x:v>
      </x:c>
      <x:c r="X221" s="17" t="str">
        <x:v>否</x:v>
      </x:c>
      <x:c r="Y221" s="17" t="str"/>
      <x:c r="Z221" s="17" t="str">
        <x:v>当前共有 **20 个活跃热点事件**，以下是完整列表：
| 热点名称 | 关联公司数 |
|---|---|
| 人形机器人 | 22 |
| 低空经济 | 1 |
| 固态电池 | 1 |
| 人形机器人核心部件 | 1 |
| 机器人 | 23 |
| AI算力基础设施 | 3 |
| AI算力/数据中心 | 39 |
| 半导体设备/材料 | 27 |
| 股份回购 | 1 |
| 存储芯片 | 29 |
| 储能 | 1 |
| 液冷服务器 | 1 |
| 光通信/光模块 | 23 |
| 算力基础设施 | 7 |
| PCB（印制电路板） | 2 |
| 数据中心液冷 | 1 |
| 算电协同 | 1 |
| 创新药研发 | 1 |
| AI大模型应用 | 33 |
| 钠离子电池 | 1 |
您想查看**哪个热点事件**下关系类型为"核心受益"的公司？我可以直接为您筛选出来。</x:v>
      </x:c>
      <x:c r="AA221" s="17" t="str"/>
      <x:c r="AB221" s="17" t="n">
        <x:v>46235.881289756944</x:v>
      </x:c>
      <x:c r="AC221" s="17" t="n">
        <x:v>46235.88169149306</x:v>
      </x:c>
      <x:c r="AD221" s="17" t="str">
        <x:v>analysis.json</x:v>
      </x:c>
      <x:c r="AE221" s="18" t="n">
        <x:v>21792</x:v>
      </x:c>
      <x:c r="AF221" s="18" t="n">
        <x:v>12917.02</x:v>
      </x:c>
      <x:c r="AG221" s="18" t="n">
        <x:v>650.45</x:v>
      </x:c>
      <x:c r="AH221" s="18" t="n">
        <x:v>4946.36</x:v>
      </x:c>
      <x:c r="AI221" s="17" t="n">
        <x:v>7</x:v>
      </x:c>
      <x:c r="AJ221" s="17" t="n">
        <x:v>1</x:v>
      </x:c>
      <x:c r="AK221" s="19" t="n">
        <x:v>1</x:v>
      </x:c>
      <x:c r="AL221" s="19" t="n">
        <x:v>1</x:v>
      </x:c>
      <x:c r="AM221" s="19" t="n">
        <x:v>0</x:v>
      </x:c>
      <x:c r="AN221" s="17" t="str">
        <x:v>[
  "hot_event.state",
  "hot_event.base_info"
]</x:v>
      </x:c>
    </x:row>
    <x:row r="222" ht="58" customHeight="1">
      <x:c r="A222" s="17" t="str">
        <x:v>BUS220</x:v>
      </x:c>
      <x:c r="B222" s="17" t="str">
        <x:v>查询宁德时代参与的热点事件和公司事件描述。</x:v>
      </x:c>
      <x:c r="C222" s="17" t="str">
        <x:v>hot_event</x:v>
      </x:c>
      <x:c r="D222" s="17" t="str">
        <x:v>hot_event.member, stock.basic_info</x:v>
      </x:c>
      <x:c r="E222" s="17" t="str"/>
      <x:c r="F222" s="17" t="str">
        <x:v>financial_qa_cc</x:v>
      </x:c>
      <x:c r="G222" s="17" t="str">
        <x:v>否</x:v>
      </x:c>
      <x:c r="H222" s="18" t="n">
        <x:v>23821.52</x:v>
      </x:c>
      <x:c r="I222" s="18" t="n">
        <x:f>IFERROR(H222/1000,"")</x:f>
        <x:v>23.82152</x:v>
      </x:c>
      <x:c r="J222" s="17" t="n">
        <x:v>5</x:v>
      </x:c>
      <x:c r="K222" s="17" t="str">
        <x:v>成功</x:v>
      </x:c>
      <x:c r="L222" s="17" t="n">
        <x:v>4</x:v>
      </x:c>
      <x:c r="M222" s="17" t="n">
        <x:v>4</x:v>
      </x:c>
      <x:c r="N222" s="17" t="n">
        <x:v>0</x:v>
      </x:c>
      <x:c r="O222" s="17" t="n">
        <x:v>0</x:v>
      </x:c>
      <x:c r="P222" s="17" t="n">
        <x:v>0</x:v>
      </x:c>
      <x:c r="Q222" s="17" t="n">
        <x:v>0</x:v>
      </x:c>
      <x:c r="R222" s="19" t="n">
        <x:f>IFERROR((M222+N222)/L222,"")</x:f>
        <x:v>1</x:v>
      </x:c>
      <x:c r="S222" s="17" t="n">
        <x:v>0</x:v>
      </x:c>
      <x:c r="T222" s="17" t="n">
        <x:v>0</x:v>
      </x:c>
      <x:c r="U222" s="17" t="n">
        <x:v>14444</x:v>
      </x:c>
      <x:c r="V222" s="17" t="str">
        <x:v>错误</x:v>
      </x:c>
      <x:c r="W222" s="19" t="n">
        <x:v>0.9</x:v>
      </x:c>
      <x:c r="X222" s="17" t="str">
        <x:v>否</x:v>
      </x:c>
      <x:c r="Y222" s="17" t="str"/>
      <x:c r="Z222" s="17" t="str">
        <x:v>根据当前数据源查询，**未找到宁德时代（300750.SZ）参与的热点事件记录**，因此也没有对应的公司事件描述可供展示。
这可能意味着在当前数据覆盖范围内，宁德时代暂未被标记为活跃热点事件的关联公司，或当下市场热点事件库中暂无与宁德时代直接关联的条目。</x:v>
      </x:c>
      <x:c r="AA222" s="17" t="str"/>
      <x:c r="AB222" s="17" t="n">
        <x:v>46235.88166885417</x:v>
      </x:c>
      <x:c r="AC222" s="17" t="n">
        <x:v>46235.881944560184</x:v>
      </x:c>
      <x:c r="AD222" s="17" t="str">
        <x:v>analysis.json</x:v>
      </x:c>
      <x:c r="AE222" s="18" t="n">
        <x:v>16083</x:v>
      </x:c>
      <x:c r="AF222" s="18" t="n">
        <x:v>7738.52</x:v>
      </x:c>
      <x:c r="AG222" s="18" t="n">
        <x:v>764.44</x:v>
      </x:c>
      <x:c r="AH222" s="18" t="n">
        <x:v>5238.31</x:v>
      </x:c>
      <x:c r="AI222" s="17" t="n">
        <x:v>5</x:v>
      </x:c>
      <x:c r="AJ222" s="17" t="n">
        <x:v>1</x:v>
      </x:c>
      <x:c r="AK222" s="19" t="n">
        <x:v>1</x:v>
      </x:c>
      <x:c r="AL222" s="19" t="n">
        <x:v>1</x:v>
      </x:c>
      <x:c r="AM222" s="19" t="n">
        <x:v>0</x:v>
      </x:c>
      <x:c r="AN222" s="17" t="str">
        <x:v>[
  "hot_event.member"
]</x:v>
      </x:c>
    </x:row>
    <x:row r="223" ht="58" customHeight="1">
      <x:c r="A223" s="17" t="str">
        <x:v>BUS221</x:v>
      </x:c>
      <x:c r="B223" s="17" t="str">
        <x:v>查询人工智能热点当前成分股数量和股票名单。</x:v>
      </x:c>
      <x:c r="C223" s="17" t="str">
        <x:v>hot_event</x:v>
      </x:c>
      <x:c r="D223" s="17" t="str">
        <x:v>hot_event.member</x:v>
      </x:c>
      <x:c r="E223" s="17" t="str"/>
      <x:c r="F223" s="17" t="str">
        <x:v>financial_qa_cc</x:v>
      </x:c>
      <x:c r="G223" s="17" t="str">
        <x:v>否</x:v>
      </x:c>
      <x:c r="H223" s="18" t="n">
        <x:v>20264.7</x:v>
      </x:c>
      <x:c r="I223" s="18" t="n">
        <x:f>IFERROR(H223/1000,"")</x:f>
        <x:v>20.2647</x:v>
      </x:c>
      <x:c r="J223" s="17" t="n">
        <x:v>6</x:v>
      </x:c>
      <x:c r="K223" s="17" t="str">
        <x:v>成功</x:v>
      </x:c>
      <x:c r="L223" s="17" t="n">
        <x:v>3</x:v>
      </x:c>
      <x:c r="M223" s="17" t="n">
        <x:v>3</x:v>
      </x:c>
      <x:c r="N223" s="17" t="n">
        <x:v>0</x:v>
      </x:c>
      <x:c r="O223" s="17" t="n">
        <x:v>0</x:v>
      </x:c>
      <x:c r="P223" s="17" t="n">
        <x:v>0</x:v>
      </x:c>
      <x:c r="Q223" s="17" t="n">
        <x:v>0</x:v>
      </x:c>
      <x:c r="R223" s="19" t="n">
        <x:f>IFERROR((M223+N223)/L223,"")</x:f>
        <x:v>1</x:v>
      </x:c>
      <x:c r="S223" s="17" t="n">
        <x:v>0</x:v>
      </x:c>
      <x:c r="T223" s="17" t="n">
        <x:v>0</x:v>
      </x:c>
      <x:c r="U223" s="17" t="n">
        <x:v>14186</x:v>
      </x:c>
      <x:c r="V223" s="17" t="str">
        <x:v>错误</x:v>
      </x:c>
      <x:c r="W223" s="19" t="n">
        <x:v>1</x:v>
      </x:c>
      <x:c r="X223" s="17" t="str">
        <x:v>否</x:v>
      </x:c>
      <x:c r="Y223" s="17" t="str"/>
      <x:c r="Z223" s="17" t="str">
        <x:v>**人工智能热点**当前共有 **21 只成分股**，完整名单如下：
| 代码 | 名称 | 代码 | 名称 |
|------|------|------|------|
| 002995 | 天地在线 | 002463 | 沪电股份 |
| 300033 | 同花顺 | 300347 | 泰格医药 |
| 688256 | 寒武纪 | 601328 | 交通银行 |
| 688158 | 优刻得 | 000931 | 中关村 |
| 605299 | 舒华体育 | 601688 | 华泰证券 |
| 002368 | 太极股份 | 920275 | 驱动力 |
| 000681 | 视觉中国 | 002555 | 三七互娱 |
| 300188 | 国投智能 | 301042 | 安联锐视 |
| 688107 | 安路科技 | 300455 | 航天智装 |
| 002519 | 银河电子 | 300079 | 数码视讯 |
| 688615 | 合合信息 |  |  |
成分股覆盖了 AI 芯片（寒武纪）、算力（优刻得）、AI 应用（同花顺、视觉中国、合合信息）、AI+医疗（泰格医药）、AI+金融（华泰证券）等多个细分方向，也包含部分与 AI 存在业务关联的跨界个股。</x:v>
      </x:c>
      <x:c r="AA223" s="17" t="str"/>
      <x:c r="AB223" s="17" t="n">
        <x:v>46235.88179234954</x:v>
      </x:c>
      <x:c r="AC223" s="17" t="n">
        <x:v>46235.88202689815</x:v>
      </x:c>
      <x:c r="AD223" s="17" t="str">
        <x:v>analysis.json</x:v>
      </x:c>
      <x:c r="AE223" s="18" t="n">
        <x:v>12066</x:v>
      </x:c>
      <x:c r="AF223" s="18" t="n">
        <x:v>8198.7</x:v>
      </x:c>
      <x:c r="AG223" s="18" t="n">
        <x:v>609.82</x:v>
      </x:c>
      <x:c r="AH223" s="18" t="n">
        <x:v>5087.75</x:v>
      </x:c>
      <x:c r="AI223" s="17" t="n">
        <x:v>6</x:v>
      </x:c>
      <x:c r="AJ223" s="17" t="n">
        <x:v>1</x:v>
      </x:c>
      <x:c r="AK223" s="19" t="n">
        <x:v>1</x:v>
      </x:c>
      <x:c r="AL223" s="19" t="n">
        <x:v>1</x:v>
      </x:c>
      <x:c r="AM223" s="19" t="n">
        <x:v>0</x:v>
      </x:c>
      <x:c r="AN223" s="17" t="str">
        <x:v>[
  "hot_event.member"
]</x:v>
      </x:c>
    </x:row>
    <x:row r="224" ht="58" customHeight="1">
      <x:c r="A224" s="17" t="str">
        <x:v>BUS222</x:v>
      </x:c>
      <x:c r="B224" s="17" t="str">
        <x:v>查询某热点事件中被标记为龙头的股票代码和名称。</x:v>
      </x:c>
      <x:c r="C224" s="17" t="str">
        <x:v>hot_event</x:v>
      </x:c>
      <x:c r="D224" s="17" t="str">
        <x:v>hot_event.member</x:v>
      </x:c>
      <x:c r="E224" s="17" t="str"/>
      <x:c r="F224" s="17" t="str">
        <x:v>financial_qa_cc</x:v>
      </x:c>
      <x:c r="G224" s="17" t="str">
        <x:v>否</x:v>
      </x:c>
      <x:c r="H224" s="18" t="n">
        <x:v>24108.43</x:v>
      </x:c>
      <x:c r="I224" s="18" t="n">
        <x:f>IFERROR(H224/1000,"")</x:f>
        <x:v>24.108430000000002</x:v>
      </x:c>
      <x:c r="J224" s="17" t="n">
        <x:v>3</x:v>
      </x:c>
      <x:c r="K224" s="17" t="str">
        <x:v>成功</x:v>
      </x:c>
      <x:c r="L224" s="17" t="n">
        <x:v>3</x:v>
      </x:c>
      <x:c r="M224" s="17" t="n">
        <x:v>3</x:v>
      </x:c>
      <x:c r="N224" s="17" t="n">
        <x:v>0</x:v>
      </x:c>
      <x:c r="O224" s="17" t="n">
        <x:v>0</x:v>
      </x:c>
      <x:c r="P224" s="17" t="n">
        <x:v>0</x:v>
      </x:c>
      <x:c r="Q224" s="17" t="n">
        <x:v>0</x:v>
      </x:c>
      <x:c r="R224" s="19" t="n">
        <x:f>IFERROR((M224+N224)/L224,"")</x:f>
        <x:v>1</x:v>
      </x:c>
      <x:c r="S224" s="17" t="n">
        <x:v>0</x:v>
      </x:c>
      <x:c r="T224" s="17" t="n">
        <x:v>0</x:v>
      </x:c>
      <x:c r="U224" s="17" t="n">
        <x:v>13201</x:v>
      </x:c>
      <x:c r="V224" s="17" t="str">
        <x:v>正确</x:v>
      </x:c>
      <x:c r="W224" s="19" t="n">
        <x:v>0.8</x:v>
      </x:c>
      <x:c r="X224" s="17" t="str">
        <x:v>否</x:v>
      </x:c>
      <x:c r="Y224" s="17" t="str"/>
      <x:c r="Z224" s="17" t="str">
        <x:v>您提到的"某热点事件"还需要明确具体是哪一事件。请问您想查询哪个热点或概念（例如：人工智能、低空经济、机器人、新能源等）的龙头股？</x:v>
      </x:c>
      <x:c r="AA224" s="17" t="str"/>
      <x:c r="AB224" s="17" t="n">
        <x:v>46235.8820146412</x:v>
      </x:c>
      <x:c r="AC224" s="17" t="n">
        <x:v>46235.88229368056</x:v>
      </x:c>
      <x:c r="AD224" s="17" t="str">
        <x:v>analysis.json</x:v>
      </x:c>
      <x:c r="AE224" s="18" t="n">
        <x:v>13614</x:v>
      </x:c>
      <x:c r="AF224" s="18" t="n">
        <x:v>10494.43</x:v>
      </x:c>
      <x:c r="AG224" s="18" t="n">
        <x:v>692.18</x:v>
      </x:c>
      <x:c r="AH224" s="18" t="n">
        <x:v>6138.15</x:v>
      </x:c>
      <x:c r="AI224" s="17" t="n">
        <x:v>3</x:v>
      </x:c>
      <x:c r="AJ224" s="17" t="n">
        <x:v>1</x:v>
      </x:c>
      <x:c r="AK224" s="19" t="n">
        <x:v>1</x:v>
      </x:c>
      <x:c r="AL224" s="19" t="n">
        <x:v>1</x:v>
      </x:c>
      <x:c r="AM224" s="19" t="n">
        <x:v>0</x:v>
      </x:c>
      <x:c r="AN224" s="17" t="str"/>
    </x:row>
    <x:row r="225" ht="58" customHeight="1">
      <x:c r="A225" s="17" t="str">
        <x:v>BUS223</x:v>
      </x:c>
      <x:c r="B225" s="17" t="str">
        <x:v>统计当前活跃热点事件的平均热度，并找出热度最高的前10个事件。</x:v>
      </x:c>
      <x:c r="C225" s="17" t="str">
        <x:v>hot_event</x:v>
      </x:c>
      <x:c r="D225" s="17" t="str">
        <x:v>hot_event.state, hot_event.base_info</x:v>
      </x:c>
      <x:c r="E225" s="17" t="str"/>
      <x:c r="F225" s="17" t="str">
        <x:v>agent_direct_response</x:v>
      </x:c>
      <x:c r="G225" s="17" t="str">
        <x:v>是</x:v>
      </x:c>
      <x:c r="H225" s="18" t="n">
        <x:v>10105.28</x:v>
      </x:c>
      <x:c r="I225" s="18" t="n">
        <x:f>IFERROR(H225/1000,"")</x:f>
        <x:v>10.10528</x:v>
      </x:c>
      <x:c r="J225" s="17"/>
      <x:c r="K225" s="17" t="str">
        <x:v>成功</x:v>
      </x:c>
      <x:c r="L225" s="17" t="n">
        <x:v>0</x:v>
      </x:c>
      <x:c r="M225" s="17" t="n">
        <x:v>0</x:v>
      </x:c>
      <x:c r="N225" s="17" t="n">
        <x:v>0</x:v>
      </x:c>
      <x:c r="O225" s="17" t="n">
        <x:v>0</x:v>
      </x:c>
      <x:c r="P225" s="17" t="n">
        <x:v>0</x:v>
      </x:c>
      <x:c r="Q225" s="17" t="n">
        <x:v>0</x:v>
      </x:c>
      <x:c r="R225" s="19" t="str">
        <x:f>IFERROR((M225+N225)/L225,"")</x:f>
      </x:c>
      <x:c r="S225" s="17" t="n">
        <x:v>0</x:v>
      </x:c>
      <x:c r="T225" s="17" t="n">
        <x:v>0</x:v>
      </x:c>
      <x:c r="U225" s="17" t="n">
        <x:v>1590</x:v>
      </x:c>
      <x:c r="V225" s="17" t="str">
        <x:v>错误</x:v>
      </x:c>
      <x:c r="W225" s="19" t="n">
        <x:v>0.6</x:v>
      </x:c>
      <x:c r="X225" s="17" t="str">
        <x:v>否</x:v>
      </x:c>
      <x:c r="Y225" s="17" t="str"/>
      <x:c r="Z225" s="17" t="str">
        <x:v>抱歉，我无法直接访问实时数据或统计当前网络上的热点事件及其热度。这需要联网搜索或调用专门的新闻/社交媒体数据接口。
建议你：
1. **开启联网搜索功能**（如果本平台支持），我可以帮你搜索当前的热点事件排行榜。
2. 或者直接访问主流新闻网站、热搜榜单（如微博热搜、百度热搜等）查看实时数据。
如果你能提供一份热点事件列表及其热度数值，我可以帮你计算平均热度并排序。需要我帮忙吗？</x:v>
      </x:c>
      <x:c r="AA225" s="17" t="str"/>
      <x:c r="AB225" s="17" t="n">
        <x:v>46235.882090300925</x:v>
      </x:c>
      <x:c r="AC225" s="17" t="n">
        <x:v>46235.88220726852</x:v>
      </x:c>
      <x:c r="AD225" s="17" t="str">
        <x:v>analysis.json</x:v>
      </x:c>
      <x:c r="AE225" s="18"/>
      <x:c r="AF225" s="18"/>
      <x:c r="AG225" s="18" t="n">
        <x:v>648.46</x:v>
      </x:c>
      <x:c r="AH225" s="18"/>
      <x:c r="AI225" s="17"/>
      <x:c r="AJ225" s="17"/>
      <x:c r="AK225" s="19"/>
      <x:c r="AL225" s="19"/>
      <x:c r="AM225" s="19"/>
      <x:c r="AN225" s="17" t="str"/>
    </x:row>
    <x:row r="226" ht="58" customHeight="1">
      <x:c r="A226" s="17" t="str">
        <x:v>BUS224</x:v>
      </x:c>
      <x:c r="B226" s="17" t="str">
        <x:v>查询PCB热点最近几次状态记录，观察热度和公司数变化。</x:v>
      </x:c>
      <x:c r="C226" s="17" t="str">
        <x:v>hot_event</x:v>
      </x:c>
      <x:c r="D226" s="17" t="str">
        <x:v>hot_event.base_info, hot_event.state, hot_event.member</x:v>
      </x:c>
      <x:c r="E226" s="17" t="str"/>
      <x:c r="F226" s="17" t="str">
        <x:v>financial_qa_cc</x:v>
      </x:c>
      <x:c r="G226" s="17" t="str">
        <x:v>否</x:v>
      </x:c>
      <x:c r="H226" s="18" t="n">
        <x:v>39175.17</x:v>
      </x:c>
      <x:c r="I226" s="18" t="n">
        <x:f>IFERROR(H226/1000,"")</x:f>
        <x:v>39.17517</x:v>
      </x:c>
      <x:c r="J226" s="17" t="n">
        <x:v>9</x:v>
      </x:c>
      <x:c r="K226" s="17" t="str">
        <x:v>成功</x:v>
      </x:c>
      <x:c r="L226" s="17" t="n">
        <x:v>5</x:v>
      </x:c>
      <x:c r="M226" s="17" t="n">
        <x:v>5</x:v>
      </x:c>
      <x:c r="N226" s="17" t="n">
        <x:v>0</x:v>
      </x:c>
      <x:c r="O226" s="17" t="n">
        <x:v>0</x:v>
      </x:c>
      <x:c r="P226" s="17" t="n">
        <x:v>0</x:v>
      </x:c>
      <x:c r="Q226" s="17" t="n">
        <x:v>0</x:v>
      </x:c>
      <x:c r="R226" s="19" t="n">
        <x:f>IFERROR((M226+N226)/L226,"")</x:f>
        <x:v>1</x:v>
      </x:c>
      <x:c r="S226" s="17" t="n">
        <x:v>0</x:v>
      </x:c>
      <x:c r="T226" s="17" t="n">
        <x:v>0</x:v>
      </x:c>
      <x:c r="U226" s="17" t="n">
        <x:v>18766</x:v>
      </x:c>
      <x:c r="V226" s="17" t="str">
        <x:v>错误</x:v>
      </x:c>
      <x:c r="W226" s="19" t="n">
        <x:v>0.9</x:v>
      </x:c>
      <x:c r="X226" s="17" t="str">
        <x:v>否</x:v>
      </x:c>
      <x:c r="Y226" s="17" t="str"/>
      <x:c r="Z226" s="17" t="str">
        <x:v>以下是 PCB 热点的状态记录分析：
---
**PCB 热点概况**：首次触发于 **2025-04-10**，最近一次触发在 **2026-07-22**，历史上已激活 **21 次**，当前处于活跃状态，关联公司数稳定在 **10 家**。
**最近一次活跃日（2026-07-22）的日内热度变化**——当天共采样 20 个状态点，热度从开盘附近的 **4.95** 一路攀升至 **14.93**，涨幅和热度同步走高：
| 时段（按热度排序） | 热度 | 平均涨幅 | 涨停数 |
|---|---|---|---|
| 日内最高点 | 14.93 | +6.15% | 0 |
| 中段 | 10.72 | +4.19% | 0 |
| 日内最低点 | 4.95 | +1.57% | 0 |
全天的变化标签均为 **"triggered"（触发中）**，热度整体呈 **逐级升温** 态势，热度从低位 4.95 涨至高位 14.93，区间涨幅约 3 倍。当天盘中曾出现 **1 只涨停**（对应热度 12.29 的采样点），其余时段涨停数为 0，说明板块内以普涨为主，集中封板力度不大。
**核心观察**：
- 公司数稳定在 **10 家**，未出现日内扩容或缩容，说明 PCB 概念边界清晰
- 热度从 4.95→14.93 的拉升斜率较陡，但涨停家数仅 1 只，属于 **板块内温和放量普涨**，而非龙头极端拉涨
- 当前最新热度 14.93 在 21 次激活周期中处于什么位置，可进一步观察历史热度分位来评判持续性</x:v>
      </x:c>
      <x:c r="AA226" s="17" t="str"/>
      <x:c r="AB226" s="17" t="n">
        <x:v>46235.88228255787</x:v>
      </x:c>
      <x:c r="AC226" s="17" t="n">
        <x:v>46235.882735983796</x:v>
      </x:c>
      <x:c r="AD226" s="17" t="str">
        <x:v>analysis.json</x:v>
      </x:c>
      <x:c r="AE226" s="18" t="n">
        <x:v>30479</x:v>
      </x:c>
      <x:c r="AF226" s="18" t="n">
        <x:v>8696.17</x:v>
      </x:c>
      <x:c r="AG226" s="18" t="n">
        <x:v>695.89</x:v>
      </x:c>
      <x:c r="AH226" s="18" t="n">
        <x:v>6637.09</x:v>
      </x:c>
      <x:c r="AI226" s="17" t="n">
        <x:v>9</x:v>
      </x:c>
      <x:c r="AJ226" s="17" t="n">
        <x:v>1</x:v>
      </x:c>
      <x:c r="AK226" s="19" t="n">
        <x:v>1</x:v>
      </x:c>
      <x:c r="AL226" s="19" t="n">
        <x:v>1</x:v>
      </x:c>
      <x:c r="AM226" s="19" t="n">
        <x:v>0</x:v>
      </x:c>
      <x:c r="AN226" s="17" t="str">
        <x:v>[
  "hot_event.base_info",
  "hot_event.state"
]</x:v>
      </x:c>
    </x:row>
    <x:row r="227" ht="58" customHeight="1">
      <x:c r="A227" s="17" t="str">
        <x:v>BUS225</x:v>
      </x:c>
      <x:c r="B227" s="17" t="str">
        <x:v>筛选今天公司数增加且平均涨幅超过3%的热点事件。</x:v>
      </x:c>
      <x:c r="C227" s="17" t="str">
        <x:v>hot_event</x:v>
      </x:c>
      <x:c r="D227" s="17" t="str">
        <x:v>hot_event.base_info, hot_event.member, stock.quote</x:v>
      </x:c>
      <x:c r="E227" s="17" t="str"/>
      <x:c r="F227" s="17" t="str">
        <x:v>financial_qa_cc</x:v>
      </x:c>
      <x:c r="G227" s="17" t="str">
        <x:v>否</x:v>
      </x:c>
      <x:c r="H227" s="18" t="n">
        <x:v>98079.16</x:v>
      </x:c>
      <x:c r="I227" s="18" t="n">
        <x:f>IFERROR(H227/1000,"")</x:f>
        <x:v>98.07916</x:v>
      </x:c>
      <x:c r="J227" s="17" t="n">
        <x:v>21</x:v>
      </x:c>
      <x:c r="K227" s="17" t="str">
        <x:v>成功</x:v>
      </x:c>
      <x:c r="L227" s="17" t="n">
        <x:v>15</x:v>
      </x:c>
      <x:c r="M227" s="17" t="n">
        <x:v>15</x:v>
      </x:c>
      <x:c r="N227" s="17" t="n">
        <x:v>0</x:v>
      </x:c>
      <x:c r="O227" s="17" t="n">
        <x:v>0</x:v>
      </x:c>
      <x:c r="P227" s="17" t="n">
        <x:v>0</x:v>
      </x:c>
      <x:c r="Q227" s="17" t="n">
        <x:v>0</x:v>
      </x:c>
      <x:c r="R227" s="19" t="n">
        <x:f>IFERROR((M227+N227)/L227,"")</x:f>
        <x:v>1</x:v>
      </x:c>
      <x:c r="S227" s="17" t="n">
        <x:v>0</x:v>
      </x:c>
      <x:c r="T227" s="17" t="n">
        <x:v>0</x:v>
      </x:c>
      <x:c r="U227" s="17" t="n">
        <x:v>72652</x:v>
      </x:c>
      <x:c r="V227" s="17" t="str">
        <x:v>错误</x:v>
      </x:c>
      <x:c r="W227" s="19" t="n">
        <x:v>0.85</x:v>
      </x:c>
      <x:c r="X227" s="17" t="str">
        <x:v>是</x:v>
      </x:c>
      <x:c r="Y227" s="17" t="str"/>
      <x:c r="Z227" s="17" t="str">
        <x:v>从最新交易日（2026-07-31）的数据来看，满足 **公司数增加** 且 **平均涨幅超过3%** 的热点事件共有 **13个**，全部符合条件：
| 热点事件 | 公司数 | 平均涨幅 | 热度 |
|---|---|---|---|
| **AI应用/大模型** | 55家 | 8.60% | 73.3 |
| **AI大模型及AI应用** | 46家 | 8.81% | 63.8 |
| **MLCC/被动元件** | 33家 | 9.55% | 51.7 |
| **AI大模型/应用** | 34家 | 9.17% | 50.8 |
| **AI算力/数据中心** | 39家 | 8.09% | 50.7 |
| **AI大模型应用** | 33家 | 9.36% | 50.6 |
| **AI大模型/软件** | 31家 | 9.24% | 47.3 |
| **存储芯片** | 27家 | 9.41% | 42.9 |
| **存储芯片（含长鑫产业链）** | 25家 | 9.84% | 42.1 |
| **AI算力基建** | 27家 | 9.17% | 41.8 |
| **国产算力/半导体设备（国产替代）** | 28家 | 8.86% | 41.5 |
| **AI大模型与应用** | 21家 | 10.67% | 40.0 |
| **元件** | 18家 | 11.75% | 39.2 |
**关键特征：** 7月31日热点几乎全部聚焦 **AI大模型及应用** 方向（7个相关事件），叠加 **存储芯片/算力基建** 和 **MLCC/被动元件**。与前一交易日（7月30日）相比，这些事件绝大多数为当日新触发（公司数从0增加至当前规模），仅有 **MLCC/被动元件** 属于延续性热点——其公司数也从前一日的4家大幅增至33家。
平均涨幅均远超3%门槛，其中 **元件（11.75%）** 和 **AI大模型与应用（10.67%）** 领涨。</x:v>
      </x:c>
      <x:c r="AA227" s="17" t="str"/>
      <x:c r="AB227" s="17" t="n">
        <x:v>46235.88237831018</x:v>
      </x:c>
      <x:c r="AC227" s="17" t="n">
        <x:v>46235.88351349537</x:v>
      </x:c>
      <x:c r="AD227" s="17" t="str">
        <x:v>analysis.json</x:v>
      </x:c>
      <x:c r="AE227" s="18" t="n">
        <x:v>88517</x:v>
      </x:c>
      <x:c r="AF227" s="18" t="n">
        <x:v>9562.16</x:v>
      </x:c>
      <x:c r="AG227" s="18" t="n">
        <x:v>670.44</x:v>
      </x:c>
      <x:c r="AH227" s="18" t="n">
        <x:v>4845.63</x:v>
      </x:c>
      <x:c r="AI227" s="17" t="n">
        <x:v>21</x:v>
      </x:c>
      <x:c r="AJ227" s="17" t="n">
        <x:v>1</x:v>
      </x:c>
      <x:c r="AK227" s="19" t="n">
        <x:v>1</x:v>
      </x:c>
      <x:c r="AL227" s="19" t="n">
        <x:v>1</x:v>
      </x:c>
      <x:c r="AM227" s="19" t="n">
        <x:v>0</x:v>
      </x:c>
      <x:c r="AN227" s="17" t="str">
        <x:v>[
  "hot_event.state"
]</x:v>
      </x:c>
    </x:row>
    <x:row r="228" ht="58" customHeight="1">
      <x:c r="A228" s="17" t="str">
        <x:v>BUS226</x:v>
      </x:c>
      <x:c r="B228" s="17" t="str">
        <x:v>统计机器人热点当前成分股中今天涨停的股票数量。</x:v>
      </x:c>
      <x:c r="C228" s="17" t="str">
        <x:v>hot_event</x:v>
      </x:c>
      <x:c r="D228" s="17" t="str">
        <x:v>hot_event.member, stock.quote</x:v>
      </x:c>
      <x:c r="E228" s="17" t="str"/>
      <x:c r="F228" s="17" t="str">
        <x:v>financial_qa_cc</x:v>
      </x:c>
      <x:c r="G228" s="17" t="str">
        <x:v>否</x:v>
      </x:c>
      <x:c r="H228" s="18" t="n">
        <x:v>67779.5</x:v>
      </x:c>
      <x:c r="I228" s="18" t="n">
        <x:f>IFERROR(H228/1000,"")</x:f>
        <x:v>67.7795</x:v>
      </x:c>
      <x:c r="J228" s="17" t="n">
        <x:v>11</x:v>
      </x:c>
      <x:c r="K228" s="17" t="str">
        <x:v>成功</x:v>
      </x:c>
      <x:c r="L228" s="17" t="n">
        <x:v>6</x:v>
      </x:c>
      <x:c r="M228" s="17" t="n">
        <x:v>6</x:v>
      </x:c>
      <x:c r="N228" s="17" t="n">
        <x:v>0</x:v>
      </x:c>
      <x:c r="O228" s="17" t="n">
        <x:v>0</x:v>
      </x:c>
      <x:c r="P228" s="17" t="n">
        <x:v>0</x:v>
      </x:c>
      <x:c r="Q228" s="17" t="n">
        <x:v>0</x:v>
      </x:c>
      <x:c r="R228" s="19" t="n">
        <x:f>IFERROR((M228+N228)/L228,"")</x:f>
        <x:v>1</x:v>
      </x:c>
      <x:c r="S228" s="17" t="n">
        <x:v>0</x:v>
      </x:c>
      <x:c r="T228" s="17" t="n">
        <x:v>0</x:v>
      </x:c>
      <x:c r="U228" s="17" t="n">
        <x:v>27799</x:v>
      </x:c>
      <x:c r="V228" s="17" t="str">
        <x:v>错误</x:v>
      </x:c>
      <x:c r="W228" s="19" t="n">
        <x:v>1</x:v>
      </x:c>
      <x:c r="X228" s="17" t="str">
        <x:v>否</x:v>
      </x:c>
      <x:c r="Y228" s="17" t="str"/>
      <x:c r="Z228" s="17" t="str">
        <x:v>机器人热点目前共有 **100 只成分股**，最新交易日（2026-07-31，上周五，今日为周日休市）中，有 **4 只涨停**：
| 股票 | 代码 | 涨跌幅 | 收盘价 |
|------|------|--------|--------|
| 中大力德 | 002896.SZ | +10.00% | 65.24 |
| 锋龙股份 | 002931.SZ | +10.00% | 44.90 |
| 海川智能 | 300720.SZ | +20.01% | 50.80 |
| 卧龙电驱 | 600580.SH | +10.00% | 31.69 |
其中海川智能为 20% 涨停（创业板），其余 3 只为 10% 涨停。另外还有多只成分股涨幅超过 10%，如绿的谐波（+16.3%）、奥比中光（+17.4%）、罗博特科（+16.1%）等，机器人概念在上周五整体表现活跃。</x:v>
      </x:c>
      <x:c r="AA228" s="17" t="str"/>
      <x:c r="AB228" s="17" t="n">
        <x:v>46235.882807256945</x:v>
      </x:c>
      <x:c r="AC228" s="17" t="n">
        <x:v>46235.88359174768</x:v>
      </x:c>
      <x:c r="AD228" s="17" t="str">
        <x:v>analysis.json</x:v>
      </x:c>
      <x:c r="AE228" s="18" t="n">
        <x:v>57072</x:v>
      </x:c>
      <x:c r="AF228" s="18" t="n">
        <x:v>10707.5</x:v>
      </x:c>
      <x:c r="AG228" s="18" t="n">
        <x:v>691</x:v>
      </x:c>
      <x:c r="AH228" s="18" t="n">
        <x:v>5045.94</x:v>
      </x:c>
      <x:c r="AI228" s="17" t="n">
        <x:v>11</x:v>
      </x:c>
      <x:c r="AJ228" s="17" t="n">
        <x:v>1</x:v>
      </x:c>
      <x:c r="AK228" s="19" t="n">
        <x:v>1</x:v>
      </x:c>
      <x:c r="AL228" s="19" t="n">
        <x:v>1</x:v>
      </x:c>
      <x:c r="AM228" s="19" t="n">
        <x:v>0</x:v>
      </x:c>
      <x:c r="AN228" s="17" t="str">
        <x:v>[
  "hot_event.member",
  "stock.quote"
]</x:v>
      </x:c>
    </x:row>
    <x:row r="229" ht="58" customHeight="1">
      <x:c r="A229" s="17" t="str">
        <x:v>BUS227</x:v>
      </x:c>
      <x:c r="B229" s="17" t="str">
        <x:v>查询今天最热热点事件，并列出每个事件的龙头公司当前涨跌幅。</x:v>
      </x:c>
      <x:c r="C229" s="17" t="str">
        <x:v>stock</x:v>
      </x:c>
      <x:c r="D229" s="17" t="str">
        <x:v>hot_event.state, hot_event.member, stock.quote</x:v>
      </x:c>
      <x:c r="E229" s="17" t="str"/>
      <x:c r="F229" s="17" t="str">
        <x:v>financial_qa_cc</x:v>
      </x:c>
      <x:c r="G229" s="17" t="str">
        <x:v>否</x:v>
      </x:c>
      <x:c r="H229" s="18" t="n">
        <x:v>111127.51</x:v>
      </x:c>
      <x:c r="I229" s="18" t="n">
        <x:f>IFERROR(H229/1000,"")</x:f>
        <x:v>111.12751</x:v>
      </x:c>
      <x:c r="J229" s="17" t="n">
        <x:v>38</x:v>
      </x:c>
      <x:c r="K229" s="17" t="str">
        <x:v>成功</x:v>
      </x:c>
      <x:c r="L229" s="17" t="n">
        <x:v>25</x:v>
      </x:c>
      <x:c r="M229" s="17" t="n">
        <x:v>20</x:v>
      </x:c>
      <x:c r="N229" s="17" t="n">
        <x:v>0</x:v>
      </x:c>
      <x:c r="O229" s="17" t="n">
        <x:v>5</x:v>
      </x:c>
      <x:c r="P229" s="17" t="n">
        <x:v>0</x:v>
      </x:c>
      <x:c r="Q229" s="17" t="n">
        <x:v>0</x:v>
      </x:c>
      <x:c r="R229" s="19" t="n">
        <x:f>IFERROR((M229+N229)/L229,"")</x:f>
        <x:v>0.8</x:v>
      </x:c>
      <x:c r="S229" s="17" t="n">
        <x:v>0</x:v>
      </x:c>
      <x:c r="T229" s="17" t="n">
        <x:v>0</x:v>
      </x:c>
      <x:c r="U229" s="17" t="n">
        <x:v>88227</x:v>
      </x:c>
      <x:c r="V229" s="17" t="str">
        <x:v>错误</x:v>
      </x:c>
      <x:c r="W229" s="19" t="n">
        <x:v>0.95</x:v>
      </x:c>
      <x:c r="X229" s="17" t="str">
        <x:v>是</x:v>
      </x:c>
      <x:c r="Y229" s="17" t="str"/>
      <x:c r="Z229" s="17" t="str">
        <x:v>今天是 **2026年8月2日（周日）**，A股休市。以下数据来自 **最近交易日（2026年7月31日，周五）** 的热点事件热度排名及龙头公司涨跌幅。
---
## 7月31日最热热点事件 TOP 5
| 排名 | 热点事件 | 热度 | 板块平均涨幅 | 关联公司数 |
|:---:|:---|:---:|:---:|:---:|
| 1 | **AI应用/大模型** | 73.3 | +8.6% | 55家 |
| 2 | **AI大模型及AI应用** | 63.8 | +8.8% | 46家 |
| 3 | **MLCC/被动元件** | 51.7 | +9.5% | 33家 |
| 4 | **AI大模型/应用** | 50.8 | +9.2% | 34家 |
| 5 | **AI算力/数据中心** | 50.7 | +8.1% | 39家 |
5大热点全部为AI相关主题，且均为当日 **新触发（triggered）** 状态，板块平均涨幅在8%以上，说明当日市场主线高度集中在AI方向。
---
## 各事件龙头公司当日涨跌幅
**① AI应用/大模型（热度最高，73.3）** — 代表性成分股表现：
| 股票 | 收盘价 | 当日涨跌幅 | 成交额 |
|:---|:---:|:---:|:---:|
| 昆仑万维 | 43.20 | **+20.00%** | 60.7亿 |
| 万兴科技 | 53.51 | **+14.34%** | 16.2亿 |
| 华策影视 | 6.98 | **+8.72%** | 8.5亿 |
| 常山北明 | 13.30 | **+6.23%** | 8.1亿 |
| 科大讯飞 | 42.22 | **+5.89%** | 40.1亿 |
| 三六零 | 9.33 | **+5.90%** | 20.4亿 |
**② AI大模型及AI应用（热度63.8）** — 龙头股：
深桑达A（000032）涨停 **+9.99%**，收于13.54元，成交额8.5亿。
**③ AI大模型/应用（热度50.8）** — 龙头股：
- 泛微网络（603039）涨停 **+9.99%**，收于37.42元
- 税友股份（603171）涨停 **+10.01%**，收于45.62元
**④ AI算力/数据中心（热度50.7）** 和 **⑤ MLCC/被动元件（热度51.7）** 的成分股数据当前未完整返回。
---
**小结：** 7月31日AI全线爆发，AI应用/大模型主题以73.3的热度领跑，昆仑万维封死20cm涨停，万兴科技涨超14%，泛微网络、税友股份、深桑达A均涨停，板块效应极强。当前是周日休市，下一交易日需关注这些龙头股能否延续强势。</x:v>
      </x:c>
      <x:c r="AA229" s="17" t="str"/>
      <x:c r="AB229" s="17" t="n">
        <x:v>46235.883576747685</x:v>
      </x:c>
      <x:c r="AC229" s="17" t="n">
        <x:v>46235.88486295139</x:v>
      </x:c>
      <x:c r="AD229" s="17" t="str">
        <x:v>analysis.json</x:v>
      </x:c>
      <x:c r="AE229" s="18" t="n">
        <x:v>96949</x:v>
      </x:c>
      <x:c r="AF229" s="18" t="n">
        <x:v>14178.51</x:v>
      </x:c>
      <x:c r="AG229" s="18" t="n">
        <x:v>611.64</x:v>
      </x:c>
      <x:c r="AH229" s="18" t="n">
        <x:v>5908.91</x:v>
      </x:c>
      <x:c r="AI229" s="17" t="n">
        <x:v>38</x:v>
      </x:c>
      <x:c r="AJ229" s="17" t="n">
        <x:v>1</x:v>
      </x:c>
      <x:c r="AK229" s="19" t="n">
        <x:v>0.8</x:v>
      </x:c>
      <x:c r="AL229" s="19" t="n">
        <x:v>0.8</x:v>
      </x:c>
      <x:c r="AM229" s="19" t="n">
        <x:v>0.2</x:v>
      </x:c>
      <x:c r="AN229" s="17" t="str">
        <x:v>[
  "hot_event.state",
  "hot_event.member",
  "hot_event.base_info",
  "stock.quote"
]</x:v>
      </x:c>
    </x:row>
    <x:row r="230" ht="58" customHeight="1">
      <x:c r="A230" s="17" t="str">
        <x:v>BUS228</x:v>
      </x:c>
      <x:c r="B230" s="17" t="str">
        <x:v>查询PCB热点的基础信息、最新热度和当前成分股。</x:v>
      </x:c>
      <x:c r="C230" s="17" t="str">
        <x:v>hot_event</x:v>
      </x:c>
      <x:c r="D230" s="17" t="str">
        <x:v>hot_event.base_info, hot_event.state, hot_event.member</x:v>
      </x:c>
      <x:c r="E230" s="17" t="str"/>
      <x:c r="F230" s="17" t="str">
        <x:v>financial_qa_cc</x:v>
      </x:c>
      <x:c r="G230" s="17" t="str">
        <x:v>否</x:v>
      </x:c>
      <x:c r="H230" s="18" t="n">
        <x:v>44828.86</x:v>
      </x:c>
      <x:c r="I230" s="18" t="n">
        <x:f>IFERROR(H230/1000,"")</x:f>
        <x:v>44.82886</x:v>
      </x:c>
      <x:c r="J230" s="17" t="n">
        <x:v>14</x:v>
      </x:c>
      <x:c r="K230" s="17" t="str">
        <x:v>成功</x:v>
      </x:c>
      <x:c r="L230" s="17" t="n">
        <x:v>8</x:v>
      </x:c>
      <x:c r="M230" s="17" t="n">
        <x:v>7</x:v>
      </x:c>
      <x:c r="N230" s="17" t="n">
        <x:v>0</x:v>
      </x:c>
      <x:c r="O230" s="17" t="n">
        <x:v>1</x:v>
      </x:c>
      <x:c r="P230" s="17" t="n">
        <x:v>0</x:v>
      </x:c>
      <x:c r="Q230" s="17" t="n">
        <x:v>0</x:v>
      </x:c>
      <x:c r="R230" s="19" t="n">
        <x:f>IFERROR((M230+N230)/L230,"")</x:f>
        <x:v>0.875</x:v>
      </x:c>
      <x:c r="S230" s="17" t="n">
        <x:v>0</x:v>
      </x:c>
      <x:c r="T230" s="17" t="n">
        <x:v>0</x:v>
      </x:c>
      <x:c r="U230" s="17" t="n">
        <x:v>30164</x:v>
      </x:c>
      <x:c r="V230" s="17" t="str">
        <x:v>错误</x:v>
      </x:c>
      <x:c r="W230" s="19" t="n">
        <x:v>1</x:v>
      </x:c>
      <x:c r="X230" s="17" t="str">
        <x:v>否</x:v>
      </x:c>
      <x:c r="Y230" s="17" t="str"/>
      <x:c r="Z230" s="17" t="str">
        <x:v>PCB 热点概念的三项数据均已查到，下面逐一说明。
---
## 基础信息
| 项目 | 内容 |
|------|------|
| 热点名称 | **PCB** |
| 首次触发 | 2025-04-10 |
| 最近触发 | 2026-07-22 |
| 是否活跃 | **是**（沉寂天数 0 天） |
| 累计激活次数 | 21 次 |
| 当前关联公司数 | 10 家 |
| 核心事件 | 骏成科技表示其产品使用到PCB |
| 最新事件 | 全球领先的中高端电子级玻璃纤维布专业厂商，产品是覆铜板核心原材料，广泛应用于AI服务器、5G基站、汽车电子等领域的PCB制造，已为深南电路等知名企业供货 |
---
## 最新热度（2026-07-22）
| 指标 | 数值 |
|------|------|
| 热度评分 | **14.93** |
| 变化标签 | **triggered**（刚触发） |
| 成分股平均涨幅 | +6.15% |
| 涨停数量 | 0 只 |
| 大盘涨跌幅 | +0.01% |
| 活跃公司数 | 10 家 |
热度评分 14.93 且标签为"triggered"，说明 PCB 概念在 7 月 22 日被重新激活，成分股平均涨幅达 6.15%，远超大市，市场关注度较高。
---
## 当前成分股（10 家活跃公司）
从完整记录中看，PCB 热点历史上关联的股票较多，但当前活跃的有 **10 家**，主要包括：
**核心 PCB 制造龙头：**
- **深南电路** — 通信 PCB 与 FC-BGA 封装基板双龙头，AI 服务器 PCB 市占率领先
- **胜宏科技** — 英伟达 AI 算力板卡核心伙伴，全球 AI 算力 PCB 收入份额第一
- **沪电股份** — AI 服务器高速背板龙头，AI 产品收入占比近六成
- **鹏鼎控股** — 全球 FPC 营收第一，苹果第一大 FPC 供应商
- **东山精密** — 全球第二大 FPC 厂商，覆盖苹果/特斯拉/英伟达供应链
**特色弹性标的：**
- **兴森科技** — IC 载板龙头，FCBGA 基板已量产
- **景旺电子** — 全品类平台，汽车 PCB 国内领先
- **奥士康** — 高精密 PCB 核心企业，数据中心/服务器/汽车电子布局
- **金禄电子** — 宁德时代第一大 PCB 供应商，汽车 PCB 市场优势显著
- **宏和科技** — 电子级玻璃纤维布专业厂商，覆铜板核心原材料
**上游关键材料供应商：**
- **生益科技** — 国内 CCL 绝对龙头，全球市占率 12%，中报超预期
- **金安国纪** — 覆铜板主要供应商，中报预增 935%-1063%
整体来看，PCB 热点由 **AI 算力需求驱动**（英伟达 Rubin 系列带来的 PCB 升级需求），产业链呈现从上游 CCL、电子布到中游 PCB 制造、再到下游 AI 服务器/光模块的全线联动格局。</x:v>
      </x:c>
      <x:c r="AA230" s="17" t="str"/>
      <x:c r="AB230" s="17" t="n">
        <x:v>46235.88365292824</x:v>
      </x:c>
      <x:c r="AC230" s="17" t="n">
        <x:v>46235.88417178241</x:v>
      </x:c>
      <x:c r="AD230" s="17" t="str">
        <x:v>analysis.json</x:v>
      </x:c>
      <x:c r="AE230" s="18" t="n">
        <x:v>36803</x:v>
      </x:c>
      <x:c r="AF230" s="18" t="n">
        <x:v>8025.86</x:v>
      </x:c>
      <x:c r="AG230" s="18" t="n">
        <x:v>591.04</x:v>
      </x:c>
      <x:c r="AH230" s="18" t="n">
        <x:v>4900.18</x:v>
      </x:c>
      <x:c r="AI230" s="17" t="n">
        <x:v>14</x:v>
      </x:c>
      <x:c r="AJ230" s="17" t="n">
        <x:v>1</x:v>
      </x:c>
      <x:c r="AK230" s="19" t="n">
        <x:v>0.875</x:v>
      </x:c>
      <x:c r="AL230" s="19" t="n">
        <x:v>0.875</x:v>
      </x:c>
      <x:c r="AM230" s="19" t="n">
        <x:v>0.125</x:v>
      </x:c>
      <x:c r="AN230" s="17" t="str">
        <x:v>[
  "hot_event.base_info",
  "hot_event.state",
  "hot_event.member"
]</x:v>
      </x:c>
    </x:row>
    <x:row r="231" ht="58" customHeight="1">
      <x:c r="A231" s="17" t="str">
        <x:v>BUS229</x:v>
      </x:c>
      <x:c r="B231" s="17" t="str">
        <x:v>查询机器人热点成分股，并返回这些股票今天主力净流入前10名。</x:v>
      </x:c>
      <x:c r="C231" s="17" t="str">
        <x:v>hot_event</x:v>
      </x:c>
      <x:c r="D231" s="17" t="str">
        <x:v>hot_event.member, stock.moneyflow</x:v>
      </x:c>
      <x:c r="E231" s="17" t="str"/>
      <x:c r="F231" s="17" t="str">
        <x:v>financial_qa_cc</x:v>
      </x:c>
      <x:c r="G231" s="17" t="str">
        <x:v>否</x:v>
      </x:c>
      <x:c r="H231" s="18" t="n">
        <x:v>62825.55</x:v>
      </x:c>
      <x:c r="I231" s="18" t="n">
        <x:f>IFERROR(H231/1000,"")</x:f>
        <x:v>62.82555</x:v>
      </x:c>
      <x:c r="J231" s="17" t="n">
        <x:v>20</x:v>
      </x:c>
      <x:c r="K231" s="17" t="str">
        <x:v>成功</x:v>
      </x:c>
      <x:c r="L231" s="17" t="n">
        <x:v>11</x:v>
      </x:c>
      <x:c r="M231" s="17" t="n">
        <x:v>11</x:v>
      </x:c>
      <x:c r="N231" s="17" t="n">
        <x:v>0</x:v>
      </x:c>
      <x:c r="O231" s="17" t="n">
        <x:v>0</x:v>
      </x:c>
      <x:c r="P231" s="17" t="n">
        <x:v>0</x:v>
      </x:c>
      <x:c r="Q231" s="17" t="n">
        <x:v>0</x:v>
      </x:c>
      <x:c r="R231" s="19" t="n">
        <x:f>IFERROR((M231+N231)/L231,"")</x:f>
        <x:v>1</x:v>
      </x:c>
      <x:c r="S231" s="17" t="n">
        <x:v>0</x:v>
      </x:c>
      <x:c r="T231" s="17" t="n">
        <x:v>0</x:v>
      </x:c>
      <x:c r="U231" s="17" t="n">
        <x:v>30454</x:v>
      </x:c>
      <x:c r="V231" s="17" t="str">
        <x:v>错误</x:v>
      </x:c>
      <x:c r="W231" s="19" t="n">
        <x:v>1</x:v>
      </x:c>
      <x:c r="X231" s="17" t="str">
        <x:v>否</x:v>
      </x:c>
      <x:c r="Y231" s="17" t="str"/>
      <x:c r="Z231" s="17" t="str">
        <x:v>以下是 **机器人热点成分股** 在最近一个交易日（2026-07-31，周五）的**主力净流入前10名**：
| 排名 | 股票 | 主力净流入（元） | 主力净流入占比 |
|:---:|:---|:---|:---:|
| 1 | **中际旭创** | **17.56亿** | 3.25% |
| 2 | **兆易创新** | **16.45亿** | 4.83% |
| 3 | **海康威视** | **6.86亿** | 10.84% |
| 4 | **卧龙电驱** | **4.79亿** | 21.85% |
| 5 | **科大讯飞** | **4.42亿** | 11.01% |
| 6 | **罗博特科** | **3.08亿** | 6.29% |
| 7 | **绿的谐波** | **2.94亿** | 6.51% |
| 8 | **国瓷材料** | **2.26亿** | 1.85% |
| 9 | **中大力德** | **1.86亿** | 35.57% |
| 10 | **远东股份** | **1.20亿** | 7.90% |
**数据说明：** 以上数据取自2026年7月31日（最后一个交易日），今天（8月2日）为周日非交易日，因此以最近交易日为准。
从榜单可以看出，**中际旭创**和**兆易创新**是当日主力资金流入最突出的两只，分别获净流入17.56亿和16.45亿，远超其他成分股。**中大力德**虽然绝对金额排名第9，但主力净流入占比高达35.57%，说明当天其交易资金中主力资金占比极高。**卧龙电驱**主力净流入占比也达到21.85%，属于机器人概念中当天资金关注度较高的标的。</x:v>
      </x:c>
      <x:c r="AA231" s="17" t="str"/>
      <x:c r="AB231" s="17" t="n">
        <x:v>46235.88423116898</x:v>
      </x:c>
      <x:c r="AC231" s="17" t="n">
        <x:v>46235.884958310184</x:v>
      </x:c>
      <x:c r="AD231" s="17" t="str">
        <x:v>analysis.json</x:v>
      </x:c>
      <x:c r="AE231" s="18" t="n">
        <x:v>52601</x:v>
      </x:c>
      <x:c r="AF231" s="18" t="n">
        <x:v>10224.55</x:v>
      </x:c>
      <x:c r="AG231" s="18" t="n">
        <x:v>743.58</x:v>
      </x:c>
      <x:c r="AH231" s="18" t="n">
        <x:v>5055.18</x:v>
      </x:c>
      <x:c r="AI231" s="17" t="n">
        <x:v>20</x:v>
      </x:c>
      <x:c r="AJ231" s="17" t="n">
        <x:v>1</x:v>
      </x:c>
      <x:c r="AK231" s="19" t="n">
        <x:v>1</x:v>
      </x:c>
      <x:c r="AL231" s="19" t="n">
        <x:v>1</x:v>
      </x:c>
      <x:c r="AM231" s="19" t="n">
        <x:v>0</x:v>
      </x:c>
      <x:c r="AN231" s="17" t="str">
        <x:v>[
  "hot_event.member",
  "hot_event.base_info",
  "stock.moneyflow"
]</x:v>
      </x:c>
    </x:row>
    <x:row r="232" ht="58" customHeight="1">
      <x:c r="A232" s="17" t="str">
        <x:v>BUS230</x:v>
      </x:c>
      <x:c r="B232" s="17" t="str">
        <x:v>同时查询人工智能热点热度和人工智能板块当前涨跌幅。</x:v>
      </x:c>
      <x:c r="C232" s="17" t="str">
        <x:v>hot_event</x:v>
      </x:c>
      <x:c r="D232" s="17" t="str">
        <x:v>hot_event.state, plate.quote</x:v>
      </x:c>
      <x:c r="E232" s="17" t="str"/>
      <x:c r="F232" s="17" t="str">
        <x:v>financial_qa_cc</x:v>
      </x:c>
      <x:c r="G232" s="17" t="str">
        <x:v>否</x:v>
      </x:c>
      <x:c r="H232" s="18" t="n">
        <x:v>31832.02</x:v>
      </x:c>
      <x:c r="I232" s="18" t="n">
        <x:f>IFERROR(H232/1000,"")</x:f>
        <x:v>31.83202</x:v>
      </x:c>
      <x:c r="J232" s="17" t="n">
        <x:v>5</x:v>
      </x:c>
      <x:c r="K232" s="17" t="str">
        <x:v>成功</x:v>
      </x:c>
      <x:c r="L232" s="17" t="n">
        <x:v>7</x:v>
      </x:c>
      <x:c r="M232" s="17" t="n">
        <x:v>7</x:v>
      </x:c>
      <x:c r="N232" s="17" t="n">
        <x:v>0</x:v>
      </x:c>
      <x:c r="O232" s="17" t="n">
        <x:v>0</x:v>
      </x:c>
      <x:c r="P232" s="17" t="n">
        <x:v>0</x:v>
      </x:c>
      <x:c r="Q232" s="17" t="n">
        <x:v>0</x:v>
      </x:c>
      <x:c r="R232" s="19" t="n">
        <x:f>IFERROR((M232+N232)/L232,"")</x:f>
        <x:v>1</x:v>
      </x:c>
      <x:c r="S232" s="17" t="n">
        <x:v>0</x:v>
      </x:c>
      <x:c r="T232" s="17" t="n">
        <x:v>0</x:v>
      </x:c>
      <x:c r="U232" s="17" t="n">
        <x:v>13881</x:v>
      </x:c>
      <x:c r="V232" s="17" t="str">
        <x:v>部分正确</x:v>
      </x:c>
      <x:c r="W232" s="19" t="n">
        <x:v>0.95</x:v>
      </x:c>
      <x:c r="X232" s="17" t="str">
        <x:v>否</x:v>
      </x:c>
      <x:c r="Y232" s="17" t="str"/>
      <x:c r="Z232" s="17" t="str">
        <x:v>以下是查询结果：
---
**人工智能板块行情**（数据截至 2026-07-27）
- 收盘点位：2309.80 点
- 涨跌幅：**+3.34%**，上涨 74.56 点
- 成交额：684.39 亿元
**人工智能热点热度**（数据截至 2026-06-02）
- 热度分值：**1.0**（满分区间内处于高位）
- 状态标签：**"extended"**（延续扩散阶段）
- 成分股平均涨幅：+3.54%
- 当前活跃关联公司数：1 家
---
**简要解读：** 人工智能热点在 6 月初热度打分达到 1.0，处于高活跃区间，状态标签为"extended"说明主题仍在延续扩散。板块行情方面，截至 7 月 27 日最新交易日，人工智能板块上涨 3.34%，成交额超 684 亿元，量价配合较好。不过需注意热度数据与行情数据更新时间不同，热度采样日为 6 月 2 日，行情为 7 月 27 日，两者间隔约近两个月，当前热度的延续性建议结合近期新闻动态进一步验证。</x:v>
      </x:c>
      <x:c r="AA232" s="17" t="str"/>
      <x:c r="AB232" s="17" t="n">
        <x:v>46235.88493181713</x:v>
      </x:c>
      <x:c r="AC232" s="17" t="n">
        <x:v>46235.885300243055</x:v>
      </x:c>
      <x:c r="AD232" s="17" t="str">
        <x:v>analysis.json</x:v>
      </x:c>
      <x:c r="AE232" s="18" t="n">
        <x:v>24253</x:v>
      </x:c>
      <x:c r="AF232" s="18" t="n">
        <x:v>7579.02</x:v>
      </x:c>
      <x:c r="AG232" s="18" t="n">
        <x:v>694.87</x:v>
      </x:c>
      <x:c r="AH232" s="18" t="n">
        <x:v>4816.16</x:v>
      </x:c>
      <x:c r="AI232" s="17" t="n">
        <x:v>5</x:v>
      </x:c>
      <x:c r="AJ232" s="17" t="n">
        <x:v>1</x:v>
      </x:c>
      <x:c r="AK232" s="19" t="n">
        <x:v>1</x:v>
      </x:c>
      <x:c r="AL232" s="19" t="n">
        <x:v>1</x:v>
      </x:c>
      <x:c r="AM232" s="19" t="n">
        <x:v>0</x:v>
      </x:c>
      <x:c r="AN232" s="17" t="str">
        <x:v>[
  "plate.basic_info",
  "hot_event.state",
  "plate.quote"
]</x:v>
      </x:c>
    </x:row>
  </x:sheetData>
  <x:mergeCells>
    <x:mergeCell ref="A1:L1"/>
    <x:mergeCell ref="A2:L2"/>
  </x:mergeCells>
  <x:conditionalFormatting sqref="G5:G232">
    <x:cfRule type="containsText" dxfId="0" priority="1" operator="containsText" text="是"/>
  </x:conditionalFormatting>
  <x:conditionalFormatting sqref="K5:K232">
    <x:cfRule type="containsText" dxfId="1" priority="2" operator="containsText" text="失败"/>
  </x:conditionalFormatting>
  <x:conditionalFormatting sqref="X5:X232">
    <x:cfRule type="containsText" dxfId="2" priority="3" operator="containsText" text="是"/>
  </x:conditionalFormatting>
  <x:pageMargins left="0.7" right="0.7" top="0.75" bottom="0.75" header="0.3" footer="0.3"/>
  <x:tableParts count="1">
    <x:tablePart xmlns:r="http://schemas.openxmlformats.org/officeDocument/2006/relationships" r:id="R2499be4e7fae40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9" hidden="0" customWidth="1"/>
    <x:col min="4" max="4" width="18" hidden="0" customWidth="1"/>
    <x:col min="5" max="5" width="20" hidden="0" customWidth="1"/>
    <x:col min="6" max="6" width="20" hidden="0" customWidth="1"/>
    <x:col min="7" max="7" width="14" hidden="0" customWidth="1"/>
    <x:col min="8" max="8" width="13" hidden="0" customWidth="1"/>
    <x:col min="9" max="9" width="11" hidden="0" customWidth="1"/>
    <x:col min="10" max="10" width="15" hidden="0" customWidth="1"/>
    <x:col min="11" max="11" width="12" hidden="0" customWidth="1"/>
    <x:col min="12" max="12" width="48" hidden="0" customWidth="1"/>
    <x:col min="13" max="13" width="48" hidden="0" customWidth="1"/>
    <x:col min="14" max="14" width="18" hidden="0" customWidth="1"/>
    <x:col min="15" max="15" width="22" hidden="0" customWidth="1"/>
    <x:col min="17" max="17" width="15" hidden="0" customWidth="1"/>
    <x:col min="18" max="18" width="10" hidden="0" customWidth="1"/>
    <x:col min="19" max="19" width="13" hidden="0" customWidth="1"/>
    <x:col min="20" max="20" width="13" hidden="0" customWidth="1"/>
    <x:col min="21" max="21" width="13" hidden="0" customWidth="1"/>
    <x:col min="22" max="22" width="13" hidden="0" customWidth="1"/>
    <x:col min="23" max="23" width="14" hidden="0" customWidth="1"/>
    <x:col min="24" max="24" width="11" hidden="0" customWidth="1"/>
  </x:cols>
  <x:sheetData>
    <x:row r="1" ht="36" customHeight="1">
      <x:c r="A1" s="3" t="str">
        <x:v>阶段耗时｜定位等待发生在哪里</x:v>
      </x:c>
      <x:c r="B1" s="3"/>
      <x:c r="C1" s="3"/>
      <x:c r="D1" s="3"/>
      <x:c r="E1" s="3"/>
      <x:c r="F1" s="3"/>
      <x:c r="G1" s="3"/>
      <x:c r="H1" s="3"/>
      <x:c r="I1" s="3"/>
      <x:c r="J1" s="3"/>
      <x:c r="K1" s="3"/>
      <x:c r="L1" s="3"/>
    </x:row>
    <x:row r="2" ht="30" customHeight="1">
      <x:c r="A2" s="7" t="str">
        <x:v>生成时间：2026/08/02 05:26:21；右侧聚合表用于对比阶段分布，左侧保留逐 Query 阶段证据。</x:v>
      </x:c>
      <x:c r="B2" s="7"/>
      <x:c r="C2" s="7"/>
      <x:c r="D2" s="7"/>
      <x:c r="E2" s="7"/>
      <x:c r="F2" s="7"/>
      <x:c r="G2" s="7"/>
      <x:c r="H2" s="7"/>
      <x:c r="I2" s="7"/>
      <x:c r="J2" s="7"/>
      <x:c r="K2" s="7"/>
      <x:c r="L2" s="7"/>
    </x:row>
    <x:row r="4" ht="28" customHeight="1">
      <x:c r="A4" s="13" t="str">
        <x:v>Case ID</x:v>
      </x:c>
      <x:c r="B4" s="13" t="str">
        <x:v>金融问题</x:v>
      </x:c>
      <x:c r="C4" s="13" t="str">
        <x:v>阶段序号</x:v>
      </x:c>
      <x:c r="D4" s="13" t="str">
        <x:v>阶段名称</x:v>
      </x:c>
      <x:c r="E4" s="13" t="str">
        <x:v>开始时间</x:v>
      </x:c>
      <x:c r="F4" s="13" t="str">
        <x:v>结束时间</x:v>
      </x:c>
      <x:c r="G4" s="13" t="str">
        <x:v>阶段耗时(ms)</x:v>
      </x:c>
      <x:c r="H4" s="13" t="str">
        <x:v>阶段耗时(s)</x:v>
      </x:c>
      <x:c r="I4" s="13" t="str">
        <x:v>占总耗时</x:v>
      </x:c>
      <x:c r="J4" s="13" t="str">
        <x:v>Query总耗时(ms)</x:v>
      </x:c>
      <x:c r="K4" s="13" t="str">
        <x:v>阶段状态</x:v>
      </x:c>
      <x:c r="L4" s="13" t="str">
        <x:v>阶段线索/输出</x:v>
      </x:c>
      <x:c r="M4" s="13" t="str">
        <x:v>阶段策略</x:v>
      </x:c>
      <x:c r="N4" s="13" t="str">
        <x:v>阶段前未归因间隔(ms)</x:v>
      </x:c>
      <x:c r="O4" s="13" t="str">
        <x:v>计时来源</x:v>
      </x:c>
      <x:c r="Q4" s="24" t="str">
        <x:v>阶段名称</x:v>
      </x:c>
      <x:c r="R4" s="24" t="str">
        <x:v>样本数</x:v>
      </x:c>
      <x:c r="S4" s="24" t="str">
        <x:v>平均(ms)</x:v>
      </x:c>
      <x:c r="T4" s="24" t="str">
        <x:v>P50(ms)</x:v>
      </x:c>
      <x:c r="U4" s="24" t="str">
        <x:v>P90(ms)</x:v>
      </x:c>
      <x:c r="V4" s="24" t="str">
        <x:v>最大(ms)</x:v>
      </x:c>
      <x:c r="W4" s="24" t="str">
        <x:v>合计(ms)</x:v>
      </x:c>
      <x:c r="X4" s="24" t="str">
        <x:v>耗时占比</x:v>
      </x:c>
    </x:row>
    <x:row r="5" ht="48" customHeight="1">
      <x:c r="A5" s="17" t="str">
        <x:v>BUS001</x:v>
      </x:c>
      <x:c r="B5" s="17" t="str">
        <x:v>查询贵州茅台的股票代码、所属行业和上市日期。</x:v>
      </x:c>
      <x:c r="C5" s="17" t="n">
        <x:v>1</x:v>
      </x:c>
      <x:c r="D5" s="17" t="str">
        <x:v>问题理解</x:v>
      </x:c>
      <x:c r="E5" s="17" t="str">
        <x:v>5267.36</x:v>
      </x:c>
      <x:c r="F5" s="17" t="str">
        <x:v>8270.78</x:v>
      </x:c>
      <x:c r="G5" s="18" t="n">
        <x:v>3003.42</x:v>
      </x:c>
      <x:c r="H5" s="18" t="n">
        <x:f>IFERROR(G5/1000,"")</x:f>
        <x:v>3.00342</x:v>
      </x:c>
      <x:c r="I5" s="19" t="n">
        <x:f>IFERROR(G5/J5,"")</x:f>
        <x:v>0.18559965394181896</x:v>
      </x:c>
      <x:c r="J5" s="17" t="n">
        <x:v>16182.25</x:v>
      </x:c>
      <x:c r="K5" s="17" t="str"/>
      <x:c r="L5" s="17" t="str">
        <x:v>已明确本题的对象与口径，开始获取所需证据。</x:v>
      </x:c>
      <x:c r="M5" s="17" t="str"/>
      <x:c r="N5" s="18" t="n">
        <x:v>5267.36</x:v>
      </x:c>
      <x:c r="O5" s="17" t="str">
        <x:v>public_sse_client_estimate</x:v>
      </x:c>
      <x:c r="Q5" s="27" t="str">
        <x:v>回答整理</x:v>
      </x:c>
      <x:c r="R5" s="27" t="n">
        <x:v>209</x:v>
      </x:c>
      <x:c r="S5" s="28" t="n">
        <x:v>9415.549760765545</x:v>
      </x:c>
      <x:c r="T5" s="28" t="n">
        <x:v>8475.34</x:v>
      </x:c>
      <x:c r="U5" s="28" t="n">
        <x:v>17543.170000000002</x:v>
      </x:c>
      <x:c r="V5" s="28" t="n">
        <x:v>50685.05</x:v>
      </x:c>
      <x:c r="W5" s="28" t="n">
        <x:v>1967849.899999999</x:v>
      </x:c>
      <x:c r="X5" s="29" t="n">
        <x:f>IFERROR(W5/SUM($W$5:$W$19),"")</x:f>
        <x:v>0.4727938452038392</x:v>
      </x:c>
    </x:row>
    <x:row r="6" ht="48" customHeight="1">
      <x:c r="A6" s="17" t="str">
        <x:v>BUS001</x:v>
      </x:c>
      <x:c r="B6" s="17" t="str">
        <x:v>查询贵州茅台的股票代码、所属行业和上市日期。</x:v>
      </x:c>
      <x:c r="C6" s="17" t="n">
        <x:v>2</x:v>
      </x:c>
      <x:c r="D6" s="17" t="str">
        <x:v>数据口径</x:v>
      </x:c>
      <x:c r="E6" s="17" t="str">
        <x:v>8270.78</x:v>
      </x:c>
      <x:c r="F6" s="17" t="str">
        <x:v>8308.39</x:v>
      </x:c>
      <x:c r="G6" s="18" t="n">
        <x:v>37.61</x:v>
      </x:c>
      <x:c r="H6" s="18" t="n">
        <x:f>IFERROR(G6/1000,"")</x:f>
        <x:v>0.03761</x:v>
      </x:c>
      <x:c r="I6" s="19" t="n">
        <x:f>IFERROR(G6/J6,"")</x:f>
        <x:v>0.002324151462250305</x:v>
      </x:c>
      <x:c r="J6" s="17" t="n">
        <x:v>16182.25</x:v>
      </x:c>
      <x:c r="K6" s="17" t="str"/>
      <x:c r="L6" s="17" t="str">
        <x:v>已定位股票基础信息视图，并确认了可用字段与时间口径。</x:v>
      </x:c>
      <x:c r="M6" s="17" t="str"/>
      <x:c r="N6" s="18" t="n">
        <x:v>0</x:v>
      </x:c>
      <x:c r="O6" s="17" t="str">
        <x:v>public_sse_client_estimate</x:v>
      </x:c>
      <x:c r="Q6" s="27" t="str">
        <x:v>问题理解</x:v>
      </x:c>
      <x:c r="R6" s="27" t="n">
        <x:v>213</x:v>
      </x:c>
      <x:c r="S6" s="28" t="n">
        <x:v>3759.7734741784047</x:v>
      </x:c>
      <x:c r="T6" s="28" t="n">
        <x:v>3239.98</x:v>
      </x:c>
      <x:c r="U6" s="28" t="n">
        <x:v>5174.482</x:v>
      </x:c>
      <x:c r="V6" s="28" t="n">
        <x:v>34869.82</x:v>
      </x:c>
      <x:c r="W6" s="28" t="n">
        <x:v>800831.7500000002</x:v>
      </x:c>
      <x:c r="X6" s="29" t="n">
        <x:f>IFERROR(W6/SUM($W$5:$W$19),"")</x:f>
        <x:v>0.1924071152194179</x:v>
      </x:c>
    </x:row>
    <x:row r="7" ht="48" customHeight="1">
      <x:c r="A7" s="17" t="str">
        <x:v>BUS001</x:v>
      </x:c>
      <x:c r="B7" s="17" t="str">
        <x:v>查询贵州茅台的股票代码、所属行业和上市日期。</x:v>
      </x:c>
      <x:c r="C7" s="17" t="n">
        <x:v>3</x:v>
      </x:c>
      <x:c r="D7" s="17" t="str">
        <x:v>数据查询 1/1</x:v>
      </x:c>
      <x:c r="E7" s="17" t="str">
        <x:v>10937.99</x:v>
      </x:c>
      <x:c r="F7" s="17" t="str">
        <x:v>11527.59</x:v>
      </x:c>
      <x:c r="G7" s="18" t="n">
        <x:v>589.6</x:v>
      </x:c>
      <x:c r="H7" s="18" t="n">
        <x:f>IFERROR(G7/1000,"")</x:f>
        <x:v>0.5896</x:v>
      </x:c>
      <x:c r="I7" s="19" t="n">
        <x:f>IFERROR(G7/J7,"")</x:f>
        <x:v>0.03643498277433608</x:v>
      </x:c>
      <x:c r="J7" s="17" t="n">
        <x:v>16182.25</x:v>
      </x:c>
      <x:c r="K7" s="17" t="str"/>
      <x:c r="L7" s="17" t="str">
        <x:v>已完成：查询贵州茅台的基础信息，包括股票代码、所属行业和上市日期，取得 1 条记录。</x:v>
      </x:c>
      <x:c r="M7" s="17" t="str"/>
      <x:c r="N7" s="18" t="n">
        <x:v>2629.6</x:v>
      </x:c>
      <x:c r="O7" s="17" t="str">
        <x:v>public_sse_client_estimate</x:v>
      </x:c>
      <x:c r="Q7" s="27" t="str">
        <x:v>数据查询 3/3</x:v>
      </x:c>
      <x:c r="R7" s="27" t="n">
        <x:v>16</x:v>
      </x:c>
      <x:c r="S7" s="28" t="n">
        <x:v>2801.2375000000006</x:v>
      </x:c>
      <x:c r="T7" s="28" t="n">
        <x:v>652.47</x:v>
      </x:c>
      <x:c r="U7" s="28" t="n">
        <x:v>2114.89</x:v>
      </x:c>
      <x:c r="V7" s="28" t="n">
        <x:v>33200.21</x:v>
      </x:c>
      <x:c r="W7" s="28" t="n">
        <x:v>44819.80000000001</x:v>
      </x:c>
      <x:c r="X7" s="29" t="n">
        <x:f>IFERROR(W7/SUM($W$5:$W$19),"")</x:f>
        <x:v>0.010768364794117198</x:v>
      </x:c>
    </x:row>
    <x:row r="8" ht="48" customHeight="1">
      <x:c r="A8" s="17" t="str">
        <x:v>BUS001</x:v>
      </x:c>
      <x:c r="B8" s="17" t="str">
        <x:v>查询贵州茅台的股票代码、所属行业和上市日期。</x:v>
      </x:c>
      <x:c r="C8" s="17" t="n">
        <x:v>4</x:v>
      </x:c>
      <x:c r="D8" s="17" t="str">
        <x:v>回答整理</x:v>
      </x:c>
      <x:c r="E8" s="17" t="str">
        <x:v>11527.59</x:v>
      </x:c>
      <x:c r="F8" s="17" t="str">
        <x:v>12891.49</x:v>
      </x:c>
      <x:c r="G8" s="18" t="n">
        <x:v>1363.9</x:v>
      </x:c>
      <x:c r="H8" s="18" t="n">
        <x:f>IFERROR(G8/1000,"")</x:f>
        <x:v>1.3639000000000001</x:v>
      </x:c>
      <x:c r="I8" s="19" t="n">
        <x:f>IFERROR(G8/J8,"")</x:f>
        <x:v>0.08428370591234223</x:v>
      </x:c>
      <x:c r="J8" s="17" t="n">
        <x:v>16182.25</x:v>
      </x:c>
      <x:c r="K8" s="17" t="str"/>
      <x:c r="L8" s="17" t="str">
        <x:v>证据与回答已整理完成。</x:v>
      </x:c>
      <x:c r="M8" s="17" t="str"/>
      <x:c r="N8" s="18" t="n">
        <x:v>0</x:v>
      </x:c>
      <x:c r="O8" s="17" t="str">
        <x:v>public_sse_client_estimate</x:v>
      </x:c>
      <x:c r="Q8" s="27" t="str">
        <x:v>数据查询 1/1</x:v>
      </x:c>
      <x:c r="R8" s="27" t="n">
        <x:v>324</x:v>
      </x:c>
      <x:c r="S8" s="28" t="n">
        <x:v>2735.0735185185217</x:v>
      </x:c>
      <x:c r="T8" s="28" t="n">
        <x:v>588.1949999999999</x:v>
      </x:c>
      <x:c r="U8" s="28" t="n">
        <x:v>3399.8009999999986</x:v>
      </x:c>
      <x:c r="V8" s="28" t="n">
        <x:v>93543.55</x:v>
      </x:c>
      <x:c r="W8" s="28" t="n">
        <x:v>886163.820000001</x:v>
      </x:c>
      <x:c r="X8" s="29" t="n">
        <x:f>IFERROR(W8/SUM($W$5:$W$19),"")</x:f>
        <x:v>0.21290892152817323</x:v>
      </x:c>
    </x:row>
    <x:row r="9" ht="48" customHeight="1">
      <x:c r="A9" s="17" t="str">
        <x:v>BUS002</x:v>
      </x:c>
      <x:c r="B9" s="17" t="str">
        <x:v>查询宁德时代的股票代码、股票名称、所属行业。</x:v>
      </x:c>
      <x:c r="C9" s="17" t="n">
        <x:v>1</x:v>
      </x:c>
      <x:c r="D9" s="17" t="str">
        <x:v>问题理解</x:v>
      </x:c>
      <x:c r="E9" s="17" t="str">
        <x:v>5746.22</x:v>
      </x:c>
      <x:c r="F9" s="17" t="str">
        <x:v>8551.68</x:v>
      </x:c>
      <x:c r="G9" s="18" t="n">
        <x:v>2805.46</x:v>
      </x:c>
      <x:c r="H9" s="18" t="n">
        <x:f>IFERROR(G9/1000,"")</x:f>
        <x:v>2.80546</x:v>
      </x:c>
      <x:c r="I9" s="19" t="n">
        <x:f>IFERROR(G9/J9,"")</x:f>
        <x:v>0.1777940297618331</x:v>
      </x:c>
      <x:c r="J9" s="17" t="n">
        <x:v>15779.27</x:v>
      </x:c>
      <x:c r="K9" s="17" t="str"/>
      <x:c r="L9" s="17" t="str">
        <x:v>已明确本题的对象与口径，开始获取所需证据。</x:v>
      </x:c>
      <x:c r="M9" s="17" t="str"/>
      <x:c r="N9" s="18" t="n">
        <x:v>5746.22</x:v>
      </x:c>
      <x:c r="O9" s="17" t="str">
        <x:v>public_sse_client_estimate</x:v>
      </x:c>
      <x:c r="Q9" s="27" t="str">
        <x:v>数据查询 1/2</x:v>
      </x:c>
      <x:c r="R9" s="27" t="n">
        <x:v>53</x:v>
      </x:c>
      <x:c r="S9" s="28" t="n">
        <x:v>1030.6430188679246</x:v>
      </x:c>
      <x:c r="T9" s="28" t="n">
        <x:v>533.86</x:v>
      </x:c>
      <x:c r="U9" s="28" t="n">
        <x:v>2354.1260000000034</x:v>
      </x:c>
      <x:c r="V9" s="28" t="n">
        <x:v>8636.06</x:v>
      </x:c>
      <x:c r="W9" s="28" t="n">
        <x:v>54624.08000000001</x:v>
      </x:c>
      <x:c r="X9" s="29" t="n">
        <x:f>IFERROR(W9/SUM($W$5:$W$19),"")</x:f>
        <x:v>0.013123932279551477</x:v>
      </x:c>
    </x:row>
    <x:row r="10" ht="48" customHeight="1">
      <x:c r="A10" s="17" t="str">
        <x:v>BUS002</x:v>
      </x:c>
      <x:c r="B10" s="17" t="str">
        <x:v>查询宁德时代的股票代码、股票名称、所属行业。</x:v>
      </x:c>
      <x:c r="C10" s="17" t="n">
        <x:v>2</x:v>
      </x:c>
      <x:c r="D10" s="17" t="str">
        <x:v>数据口径</x:v>
      </x:c>
      <x:c r="E10" s="17" t="str">
        <x:v>8551.68</x:v>
      </x:c>
      <x:c r="F10" s="17" t="str">
        <x:v>8577.39</x:v>
      </x:c>
      <x:c r="G10" s="18" t="n">
        <x:v>25.71</x:v>
      </x:c>
      <x:c r="H10" s="18" t="n">
        <x:f>IFERROR(G10/1000,"")</x:f>
        <x:v>0.02571</x:v>
      </x:c>
      <x:c r="I10" s="19" t="n">
        <x:f>IFERROR(G10/J10,"")</x:f>
        <x:v>0.0016293529421830034</x:v>
      </x:c>
      <x:c r="J10" s="17" t="n">
        <x:v>15779.27</x:v>
      </x:c>
      <x:c r="K10" s="17" t="str"/>
      <x:c r="L10" s="17" t="str">
        <x:v>已定位股票基础信息视图，并确认了可用字段与时间口径。</x:v>
      </x:c>
      <x:c r="M10" s="17" t="str"/>
      <x:c r="N10" s="18" t="n">
        <x:v>0</x:v>
      </x:c>
      <x:c r="O10" s="17" t="str">
        <x:v>public_sse_client_estimate</x:v>
      </x:c>
      <x:c r="Q10" s="27" t="str">
        <x:v>数据查询 2/2</x:v>
      </x:c>
      <x:c r="R10" s="27" t="n">
        <x:v>50</x:v>
      </x:c>
      <x:c r="S10" s="28" t="n">
        <x:v>978.3216000000002</x:v>
      </x:c>
      <x:c r="T10" s="28" t="n">
        <x:v>510.19</x:v>
      </x:c>
      <x:c r="U10" s="28" t="n">
        <x:v>1754.3300000000004</x:v>
      </x:c>
      <x:c r="V10" s="28" t="n">
        <x:v>10611.61</x:v>
      </x:c>
      <x:c r="W10" s="28" t="n">
        <x:v>48916.08000000001</x:v>
      </x:c>
      <x:c r="X10" s="29" t="n">
        <x:f>IFERROR(W10/SUM($W$5:$W$19),"")</x:f>
        <x:v>0.011752533338797147</x:v>
      </x:c>
    </x:row>
    <x:row r="11" ht="48" customHeight="1">
      <x:c r="A11" s="17" t="str">
        <x:v>BUS002</x:v>
      </x:c>
      <x:c r="B11" s="17" t="str">
        <x:v>查询宁德时代的股票代码、股票名称、所属行业。</x:v>
      </x:c>
      <x:c r="C11" s="17" t="n">
        <x:v>3</x:v>
      </x:c>
      <x:c r="D11" s="17" t="str">
        <x:v>数据查询 1/1</x:v>
      </x:c>
      <x:c r="E11" s="17" t="str">
        <x:v>10729.4</x:v>
      </x:c>
      <x:c r="F11" s="17" t="str">
        <x:v>11430.93</x:v>
      </x:c>
      <x:c r="G11" s="18" t="n">
        <x:v>701.53</x:v>
      </x:c>
      <x:c r="H11" s="18" t="n">
        <x:f>IFERROR(G11/1000,"")</x:f>
        <x:v>0.70153</x:v>
      </x:c>
      <x:c r="I11" s="19" t="n">
        <x:f>IFERROR(G11/J11,"")</x:f>
        <x:v>0.04445896419796353</x:v>
      </x:c>
      <x:c r="J11" s="17" t="n">
        <x:v>15779.27</x:v>
      </x:c>
      <x:c r="K11" s="17" t="str"/>
      <x:c r="L11" s="17" t="str">
        <x:v>已完成：查询宁德时代的股票代码、股票名称和所属行业，取得 1 条记录。</x:v>
      </x:c>
      <x:c r="M11" s="17" t="str"/>
      <x:c r="N11" s="18" t="n">
        <x:v>2152.01</x:v>
      </x:c>
      <x:c r="O11" s="17" t="str">
        <x:v>public_sse_client_estimate</x:v>
      </x:c>
      <x:c r="Q11" s="27" t="str">
        <x:v>数据口径</x:v>
      </x:c>
      <x:c r="R11" s="27" t="n">
        <x:v>355</x:v>
      </x:c>
      <x:c r="S11" s="28" t="n">
        <x:v>935.7078028169011</x:v>
      </x:c>
      <x:c r="T11" s="28" t="n">
        <x:v>121.6</x:v>
      </x:c>
      <x:c r="U11" s="28" t="n">
        <x:v>3280.1460000000015</x:v>
      </x:c>
      <x:c r="V11" s="28" t="n">
        <x:v>13381.03</x:v>
      </x:c>
      <x:c r="W11" s="28" t="n">
        <x:v>332176.2699999999</x:v>
      </x:c>
      <x:c r="X11" s="29" t="n">
        <x:f>IFERROR(W11/SUM($W$5:$W$19),"")</x:f>
        <x:v>0.07980837155250954</x:v>
      </x:c>
    </x:row>
    <x:row r="12" ht="48" customHeight="1">
      <x:c r="A12" s="17" t="str">
        <x:v>BUS002</x:v>
      </x:c>
      <x:c r="B12" s="17" t="str">
        <x:v>查询宁德时代的股票代码、股票名称、所属行业。</x:v>
      </x:c>
      <x:c r="C12" s="17" t="n">
        <x:v>4</x:v>
      </x:c>
      <x:c r="D12" s="17" t="str">
        <x:v>回答整理</x:v>
      </x:c>
      <x:c r="E12" s="17" t="str">
        <x:v>11430.93</x:v>
      </x:c>
      <x:c r="F12" s="17" t="str">
        <x:v>12771.89</x:v>
      </x:c>
      <x:c r="G12" s="18" t="n">
        <x:v>1340.96</x:v>
      </x:c>
      <x:c r="H12" s="18" t="n">
        <x:f>IFERROR(G12/1000,"")</x:f>
        <x:v>1.34096</x:v>
      </x:c>
      <x:c r="I12" s="19" t="n">
        <x:f>IFERROR(G12/J12,"")</x:f>
        <x:v>0.08498238511667523</x:v>
      </x:c>
      <x:c r="J12" s="17" t="n">
        <x:v>15779.27</x:v>
      </x:c>
      <x:c r="K12" s="17" t="str"/>
      <x:c r="L12" s="17" t="str">
        <x:v>证据与回答已整理完成。</x:v>
      </x:c>
      <x:c r="M12" s="17" t="str"/>
      <x:c r="N12" s="18" t="n">
        <x:v>0</x:v>
      </x:c>
      <x:c r="O12" s="17" t="str">
        <x:v>public_sse_client_estimate</x:v>
      </x:c>
      <x:c r="Q12" s="27" t="str">
        <x:v>数据查询 1/3</x:v>
      </x:c>
      <x:c r="R12" s="27" t="n">
        <x:v>17</x:v>
      </x:c>
      <x:c r="S12" s="28" t="n">
        <x:v>913.4023529411763</x:v>
      </x:c>
      <x:c r="T12" s="28" t="n">
        <x:v>582.01</x:v>
      </x:c>
      <x:c r="U12" s="28" t="n">
        <x:v>2228.606</x:v>
      </x:c>
      <x:c r="V12" s="28" t="n">
        <x:v>2500.19</x:v>
      </x:c>
      <x:c r="W12" s="28" t="n">
        <x:v>15527.839999999998</x:v>
      </x:c>
      <x:c r="X12" s="29" t="n">
        <x:f>IFERROR(W12/SUM($W$5:$W$19),"")</x:f>
        <x:v>0.0037307048577790336</x:v>
      </x:c>
    </x:row>
    <x:row r="13" ht="48" customHeight="1">
      <x:c r="A13" s="17" t="str">
        <x:v>BUS003</x:v>
      </x:c>
      <x:c r="B13" s="17" t="str">
        <x:v>筛选所属行业包含银行的股票，返回代码、名称和上市日期。</x:v>
      </x:c>
      <x:c r="C13" s="17" t="n">
        <x:v>1</x:v>
      </x:c>
      <x:c r="D13" s="17" t="str">
        <x:v>问题理解</x:v>
      </x:c>
      <x:c r="E13" s="17" t="str">
        <x:v>5066.32</x:v>
      </x:c>
      <x:c r="F13" s="17" t="str">
        <x:v>8587.52</x:v>
      </x:c>
      <x:c r="G13" s="18" t="n">
        <x:v>3521.2</x:v>
      </x:c>
      <x:c r="H13" s="18" t="n">
        <x:f>IFERROR(G13/1000,"")</x:f>
        <x:v>3.5212</x:v>
      </x:c>
      <x:c r="I13" s="19" t="n">
        <x:f>IFERROR(G13/J13,"")</x:f>
        <x:v>0.1565398000174269</x:v>
      </x:c>
      <x:c r="J13" s="17" t="n">
        <x:v>22493.96</x:v>
      </x:c>
      <x:c r="K13" s="17" t="str"/>
      <x:c r="L13" s="17" t="str">
        <x:v>已明确本题的对象与口径，开始获取所需证据。</x:v>
      </x:c>
      <x:c r="M13" s="17" t="str"/>
      <x:c r="N13" s="18" t="n">
        <x:v>5066.32</x:v>
      </x:c>
      <x:c r="O13" s="17" t="str">
        <x:v>public_sse_client_estimate</x:v>
      </x:c>
      <x:c r="Q13" s="27" t="str">
        <x:v>数据查询 4/5</x:v>
      </x:c>
      <x:c r="R13" s="27" t="n">
        <x:v>1</x:v>
      </x:c>
      <x:c r="S13" s="28" t="n">
        <x:v>666.77</x:v>
      </x:c>
      <x:c r="T13" s="28" t="n">
        <x:v>666.77</x:v>
      </x:c>
      <x:c r="U13" s="28" t="n">
        <x:v>666.77</x:v>
      </x:c>
      <x:c r="V13" s="28" t="n">
        <x:v>666.77</x:v>
      </x:c>
      <x:c r="W13" s="28" t="n">
        <x:v>666.77</x:v>
      </x:c>
      <x:c r="X13" s="29" t="n">
        <x:f>IFERROR(W13/SUM($W$5:$W$19),"")</x:f>
        <x:v>0.00016019755986803873</x:v>
      </x:c>
    </x:row>
    <x:row r="14" ht="48" customHeight="1">
      <x:c r="A14" s="17" t="str">
        <x:v>BUS003</x:v>
      </x:c>
      <x:c r="B14" s="17" t="str">
        <x:v>筛选所属行业包含银行的股票，返回代码、名称和上市日期。</x:v>
      </x:c>
      <x:c r="C14" s="17" t="n">
        <x:v>2</x:v>
      </x:c>
      <x:c r="D14" s="17" t="str">
        <x:v>数据口径</x:v>
      </x:c>
      <x:c r="E14" s="17" t="str">
        <x:v>8587.52</x:v>
      </x:c>
      <x:c r="F14" s="17" t="str">
        <x:v>8607.83</x:v>
      </x:c>
      <x:c r="G14" s="18" t="n">
        <x:v>20.31</x:v>
      </x:c>
      <x:c r="H14" s="18" t="n">
        <x:f>IFERROR(G14/1000,"")</x:f>
        <x:v>0.020309999999999998</x:v>
      </x:c>
      <x:c r="I14" s="19" t="n">
        <x:f>IFERROR(G14/J14,"")</x:f>
        <x:v>0.0009029090475843293</x:v>
      </x:c>
      <x:c r="J14" s="17" t="n">
        <x:v>22493.96</x:v>
      </x:c>
      <x:c r="K14" s="17" t="str"/>
      <x:c r="L14" s="17" t="str">
        <x:v>已定位股票基础信息视图，并确认了可用字段与时间口径。</x:v>
      </x:c>
      <x:c r="M14" s="17" t="str"/>
      <x:c r="N14" s="18" t="n">
        <x:v>0</x:v>
      </x:c>
      <x:c r="O14" s="17" t="str">
        <x:v>public_sse_client_estimate</x:v>
      </x:c>
      <x:c r="Q14" s="27" t="str">
        <x:v>数据查询 3/5</x:v>
      </x:c>
      <x:c r="R14" s="27" t="n">
        <x:v>1</x:v>
      </x:c>
      <x:c r="S14" s="28" t="n">
        <x:v>545.48</x:v>
      </x:c>
      <x:c r="T14" s="28" t="n">
        <x:v>545.48</x:v>
      </x:c>
      <x:c r="U14" s="28" t="n">
        <x:v>545.48</x:v>
      </x:c>
      <x:c r="V14" s="28" t="n">
        <x:v>545.48</x:v>
      </x:c>
      <x:c r="W14" s="28" t="n">
        <x:v>545.48</x:v>
      </x:c>
      <x:c r="X14" s="29" t="n">
        <x:f>IFERROR(W14/SUM($W$5:$W$19),"")</x:f>
        <x:v>0.00013105653367250742</x:v>
      </x:c>
    </x:row>
    <x:row r="15" ht="48" customHeight="1">
      <x:c r="A15" s="17" t="str">
        <x:v>BUS003</x:v>
      </x:c>
      <x:c r="B15" s="17" t="str">
        <x:v>筛选所属行业包含银行的股票，返回代码、名称和上市日期。</x:v>
      </x:c>
      <x:c r="C15" s="17" t="n">
        <x:v>3</x:v>
      </x:c>
      <x:c r="D15" s="17" t="str">
        <x:v>数据查询 1/1</x:v>
      </x:c>
      <x:c r="E15" s="17" t="str">
        <x:v>11931.88</x:v>
      </x:c>
      <x:c r="F15" s="17" t="str">
        <x:v>12500.96</x:v>
      </x:c>
      <x:c r="G15" s="18" t="n">
        <x:v>569.08</x:v>
      </x:c>
      <x:c r="H15" s="18" t="n">
        <x:f>IFERROR(G15/1000,"")</x:f>
        <x:v>0.56908</x:v>
      </x:c>
      <x:c r="I15" s="19" t="n">
        <x:f>IFERROR(G15/J15,"")</x:f>
        <x:v>0.025299235883766133</x:v>
      </x:c>
      <x:c r="J15" s="17" t="n">
        <x:v>22493.96</x:v>
      </x:c>
      <x:c r="K15" s="17" t="str"/>
      <x:c r="L15" s="17" t="str">
        <x:v>已完成：筛选所属行业包含银行的股票，返回代码、名称和上市日期，取得 15 条记录。</x:v>
      </x:c>
      <x:c r="M15" s="17" t="str"/>
      <x:c r="N15" s="18" t="n">
        <x:v>3324.05</x:v>
      </x:c>
      <x:c r="O15" s="17" t="str">
        <x:v>public_sse_client_estimate</x:v>
      </x:c>
      <x:c r="Q15" s="27" t="str">
        <x:v>数据查询 2/5</x:v>
      </x:c>
      <x:c r="R15" s="27" t="n">
        <x:v>1</x:v>
      </x:c>
      <x:c r="S15" s="28" t="n">
        <x:v>480.7</x:v>
      </x:c>
      <x:c r="T15" s="28" t="n">
        <x:v>480.7</x:v>
      </x:c>
      <x:c r="U15" s="28" t="n">
        <x:v>480.7</x:v>
      </x:c>
      <x:c r="V15" s="28" t="n">
        <x:v>480.7</x:v>
      </x:c>
      <x:c r="W15" s="28" t="n">
        <x:v>480.7</x:v>
      </x:c>
      <x:c r="X15" s="29" t="n">
        <x:f>IFERROR(W15/SUM($W$5:$W$19),"")</x:f>
        <x:v>0.00011549254919772369</x:v>
      </x:c>
    </x:row>
    <x:row r="16" ht="48" customHeight="1">
      <x:c r="A16" s="17" t="str">
        <x:v>BUS003</x:v>
      </x:c>
      <x:c r="B16" s="17" t="str">
        <x:v>筛选所属行业包含银行的股票，返回代码、名称和上市日期。</x:v>
      </x:c>
      <x:c r="C16" s="17" t="n">
        <x:v>4</x:v>
      </x:c>
      <x:c r="D16" s="17" t="str">
        <x:v>回答整理</x:v>
      </x:c>
      <x:c r="E16" s="17" t="str">
        <x:v>12500.96</x:v>
      </x:c>
      <x:c r="F16" s="17" t="str">
        <x:v>19954.16</x:v>
      </x:c>
      <x:c r="G16" s="18" t="n">
        <x:v>7453.2</x:v>
      </x:c>
      <x:c r="H16" s="18" t="n">
        <x:f>IFERROR(G16/1000,"")</x:f>
        <x:v>7.4532</x:v>
      </x:c>
      <x:c r="I16" s="19" t="n">
        <x:f>IFERROR(G16/J16,"")</x:f>
        <x:v>0.33134228032769686</x:v>
      </x:c>
      <x:c r="J16" s="17" t="n">
        <x:v>22493.96</x:v>
      </x:c>
      <x:c r="K16" s="17" t="str"/>
      <x:c r="L16" s="17" t="str">
        <x:v>证据与回答已整理完成。</x:v>
      </x:c>
      <x:c r="M16" s="17" t="str"/>
      <x:c r="N16" s="18" t="n">
        <x:v>0</x:v>
      </x:c>
      <x:c r="O16" s="17" t="str">
        <x:v>public_sse_client_estimate</x:v>
      </x:c>
      <x:c r="Q16" s="27" t="str">
        <x:v>数据查询 2/3</x:v>
      </x:c>
      <x:c r="R16" s="27" t="n">
        <x:v>17</x:v>
      </x:c>
      <x:c r="S16" s="28" t="n">
        <x:v>475.4364705882353</x:v>
      </x:c>
      <x:c r="T16" s="28" t="n">
        <x:v>518.03</x:v>
      </x:c>
      <x:c r="U16" s="28" t="n">
        <x:v>766.9880000000002</x:v>
      </x:c>
      <x:c r="V16" s="28" t="n">
        <x:v>1327.68</x:v>
      </x:c>
      <x:c r="W16" s="28" t="n">
        <x:v>8082.42</x:v>
      </x:c>
      <x:c r="X16" s="29" t="n">
        <x:f>IFERROR(W16/SUM($W$5:$W$19),"")</x:f>
        <x:v>0.001941874952125371</x:v>
      </x:c>
    </x:row>
    <x:row r="17" ht="48" customHeight="1">
      <x:c r="A17" s="17" t="str">
        <x:v>BUS004</x:v>
      </x:c>
      <x:c r="B17" s="17" t="str">
        <x:v>列出上市日期最早的20只A股股票。</x:v>
      </x:c>
      <x:c r="C17" s="17" t="n">
        <x:v>1</x:v>
      </x:c>
      <x:c r="D17" s="17" t="str">
        <x:v>问题理解</x:v>
      </x:c>
      <x:c r="E17" s="17" t="str">
        <x:v>5131.62</x:v>
      </x:c>
      <x:c r="F17" s="17" t="str">
        <x:v>7882.32</x:v>
      </x:c>
      <x:c r="G17" s="18" t="n">
        <x:v>2750.7</x:v>
      </x:c>
      <x:c r="H17" s="18" t="n">
        <x:f>IFERROR(G17/1000,"")</x:f>
        <x:v>2.7506999999999997</x:v>
      </x:c>
      <x:c r="I17" s="19" t="n">
        <x:f>IFERROR(G17/J17,"")</x:f>
        <x:v>0.11701909520888336</x:v>
      </x:c>
      <x:c r="J17" s="17" t="n">
        <x:v>23506.42</x:v>
      </x:c>
      <x:c r="K17" s="17" t="str"/>
      <x:c r="L17" s="17" t="str">
        <x:v>已明确本题的对象与口径，开始获取所需证据。</x:v>
      </x:c>
      <x:c r="M17" s="17" t="str"/>
      <x:c r="N17" s="18" t="n">
        <x:v>5131.62</x:v>
      </x:c>
      <x:c r="O17" s="17" t="str">
        <x:v>public_sse_client_estimate</x:v>
      </x:c>
      <x:c r="Q17" s="27" t="str">
        <x:v>数据查询 1/5</x:v>
      </x:c>
      <x:c r="R17" s="27" t="n">
        <x:v>1</x:v>
      </x:c>
      <x:c r="S17" s="28" t="n">
        <x:v>437.92</x:v>
      </x:c>
      <x:c r="T17" s="28" t="n">
        <x:v>437.92</x:v>
      </x:c>
      <x:c r="U17" s="28" t="n">
        <x:v>437.92</x:v>
      </x:c>
      <x:c r="V17" s="28" t="n">
        <x:v>437.92</x:v>
      </x:c>
      <x:c r="W17" s="28" t="n">
        <x:v>437.92</x:v>
      </x:c>
      <x:c r="X17" s="29" t="n">
        <x:f>IFERROR(W17/SUM($W$5:$W$19),"")</x:f>
        <x:v>0.00010521426491505545</x:v>
      </x:c>
    </x:row>
    <x:row r="18" ht="48" customHeight="1">
      <x:c r="A18" s="17" t="str">
        <x:v>BUS004</x:v>
      </x:c>
      <x:c r="B18" s="17" t="str">
        <x:v>列出上市日期最早的20只A股股票。</x:v>
      </x:c>
      <x:c r="C18" s="17" t="n">
        <x:v>2</x:v>
      </x:c>
      <x:c r="D18" s="17" t="str">
        <x:v>数据口径</x:v>
      </x:c>
      <x:c r="E18" s="17" t="str">
        <x:v>7882.32</x:v>
      </x:c>
      <x:c r="F18" s="17" t="str">
        <x:v>7936.82</x:v>
      </x:c>
      <x:c r="G18" s="18" t="n">
        <x:v>54.5</x:v>
      </x:c>
      <x:c r="H18" s="18" t="n">
        <x:f>IFERROR(G18/1000,"")</x:f>
        <x:v>0.0545</x:v>
      </x:c>
      <x:c r="I18" s="19" t="n">
        <x:f>IFERROR(G18/J18,"")</x:f>
        <x:v>0.002318515537457427</x:v>
      </x:c>
      <x:c r="J18" s="17" t="n">
        <x:v>23506.42</x:v>
      </x:c>
      <x:c r="K18" s="17" t="str"/>
      <x:c r="L18" s="17" t="str">
        <x:v>已定位股票基础信息视图，并确认了可用字段与时间口径。</x:v>
      </x:c>
      <x:c r="M18" s="17" t="str"/>
      <x:c r="N18" s="18" t="n">
        <x:v>0</x:v>
      </x:c>
      <x:c r="O18" s="17" t="str">
        <x:v>public_sse_client_estimate</x:v>
      </x:c>
      <x:c r="Q18" s="27" t="str">
        <x:v>数据查询 5/5</x:v>
      </x:c>
      <x:c r="R18" s="27" t="n">
        <x:v>1</x:v>
      </x:c>
      <x:c r="S18" s="28" t="n">
        <x:v>394.13</x:v>
      </x:c>
      <x:c r="T18" s="28" t="n">
        <x:v>394.13</x:v>
      </x:c>
      <x:c r="U18" s="28" t="n">
        <x:v>394.13</x:v>
      </x:c>
      <x:c r="V18" s="28" t="n">
        <x:v>394.13</x:v>
      </x:c>
      <x:c r="W18" s="28" t="n">
        <x:v>394.13</x:v>
      </x:c>
      <x:c r="X18" s="29" t="n">
        <x:f>IFERROR(W18/SUM($W$5:$W$19),"")</x:f>
        <x:v>0.00009469331894174919</x:v>
      </x:c>
    </x:row>
    <x:row r="19" ht="48" customHeight="1">
      <x:c r="A19" s="17" t="str">
        <x:v>BUS004</x:v>
      </x:c>
      <x:c r="B19" s="17" t="str">
        <x:v>列出上市日期最早的20只A股股票。</x:v>
      </x:c>
      <x:c r="C19" s="17" t="n">
        <x:v>3</x:v>
      </x:c>
      <x:c r="D19" s="17" t="str">
        <x:v>数据查询 1/1</x:v>
      </x:c>
      <x:c r="E19" s="17" t="str">
        <x:v>10492.8</x:v>
      </x:c>
      <x:c r="F19" s="17" t="str">
        <x:v>11002.16</x:v>
      </x:c>
      <x:c r="G19" s="18" t="n">
        <x:v>509.36</x:v>
      </x:c>
      <x:c r="H19" s="18" t="n">
        <x:f>IFERROR(G19/1000,"")</x:f>
        <x:v>0.50936</x:v>
      </x:c>
      <x:c r="I19" s="19" t="n">
        <x:f>IFERROR(G19/J19,"")</x:f>
        <x:v>0.021668973837785595</x:v>
      </x:c>
      <x:c r="J19" s="17" t="n">
        <x:v>23506.42</x:v>
      </x:c>
      <x:c r="K19" s="17" t="str"/>
      <x:c r="L19" s="17" t="str">
        <x:v>已完成：查询上市日期最早的20只A股股票，取得 20 条记录。</x:v>
      </x:c>
      <x:c r="M19" s="17" t="str"/>
      <x:c r="N19" s="18" t="n">
        <x:v>2555.98</x:v>
      </x:c>
      <x:c r="O19" s="17" t="str">
        <x:v>public_sse_client_estimate</x:v>
      </x:c>
      <x:c r="Q19" s="27" t="str">
        <x:v>专业分析方法</x:v>
      </x:c>
      <x:c r="R19" s="27" t="n">
        <x:v>11</x:v>
      </x:c>
      <x:c r="S19" s="28" t="n">
        <x:v>59.66363636363637</x:v>
      </x:c>
      <x:c r="T19" s="28" t="n">
        <x:v>14.22</x:v>
      </x:c>
      <x:c r="U19" s="28" t="n">
        <x:v>236.25</x:v>
      </x:c>
      <x:c r="V19" s="28" t="n">
        <x:v>237.13</x:v>
      </x:c>
      <x:c r="W19" s="28" t="n">
        <x:v>656.3000000000001</x:v>
      </x:c>
      <x:c r="X19" s="29" t="n">
        <x:f>IFERROR(W19/SUM($W$5:$W$19),"")</x:f>
        <x:v>0.00015768204709479107</x:v>
      </x:c>
    </x:row>
    <x:row r="20" ht="48" customHeight="1">
      <x:c r="A20" s="17" t="str">
        <x:v>BUS004</x:v>
      </x:c>
      <x:c r="B20" s="17" t="str">
        <x:v>列出上市日期最早的20只A股股票。</x:v>
      </x:c>
      <x:c r="C20" s="17" t="n">
        <x:v>4</x:v>
      </x:c>
      <x:c r="D20" s="17" t="str">
        <x:v>回答整理</x:v>
      </x:c>
      <x:c r="E20" s="17" t="str">
        <x:v>11002.16</x:v>
      </x:c>
      <x:c r="F20" s="17" t="str">
        <x:v>20883.84</x:v>
      </x:c>
      <x:c r="G20" s="18" t="n">
        <x:v>9881.68</x:v>
      </x:c>
      <x:c r="H20" s="18" t="n">
        <x:f>IFERROR(G20/1000,"")</x:f>
        <x:v>9.881680000000001</x:v>
      </x:c>
      <x:c r="I20" s="19" t="n">
        <x:f>IFERROR(G20/J20,"")</x:f>
        <x:v>0.420382176443712</x:v>
      </x:c>
      <x:c r="J20" s="17" t="n">
        <x:v>23506.42</x:v>
      </x:c>
      <x:c r="K20" s="17" t="str"/>
      <x:c r="L20" s="17" t="str">
        <x:v>证据与回答已整理完成。</x:v>
      </x:c>
      <x:c r="M20" s="17" t="str"/>
      <x:c r="N20" s="18" t="n">
        <x:v>0</x:v>
      </x:c>
      <x:c r="O20" s="17" t="str">
        <x:v>public_sse_client_estimate</x:v>
      </x:c>
    </x:row>
    <x:row r="21" ht="48" customHeight="1">
      <x:c r="A21" s="17" t="str">
        <x:v>BUS005</x:v>
      </x:c>
      <x:c r="B21" s="17" t="str">
        <x:v>查询名称包含新能源的股票代码、名称和所属行业。</x:v>
      </x:c>
      <x:c r="C21" s="17" t="n">
        <x:v>1</x:v>
      </x:c>
      <x:c r="D21" s="17" t="str">
        <x:v>问题理解</x:v>
      </x:c>
      <x:c r="E21" s="17" t="str">
        <x:v>5324.21</x:v>
      </x:c>
      <x:c r="F21" s="17" t="str">
        <x:v>9495.17</x:v>
      </x:c>
      <x:c r="G21" s="18" t="n">
        <x:v>4170.96</x:v>
      </x:c>
      <x:c r="H21" s="18" t="n">
        <x:f>IFERROR(G21/1000,"")</x:f>
        <x:v>4.17096</x:v>
      </x:c>
      <x:c r="I21" s="19" t="n">
        <x:f>IFERROR(G21/J21,"")</x:f>
        <x:v>0.1892299840076219</x:v>
      </x:c>
      <x:c r="J21" s="17" t="n">
        <x:v>22041.75</x:v>
      </x:c>
      <x:c r="K21" s="17" t="str"/>
      <x:c r="L21" s="17" t="str">
        <x:v>已明确本题的对象与口径，开始获取所需证据。</x:v>
      </x:c>
      <x:c r="M21" s="17" t="str"/>
      <x:c r="N21" s="18" t="n">
        <x:v>5324.21</x:v>
      </x:c>
      <x:c r="O21" s="17" t="str">
        <x:v>public_sse_client_estimate</x:v>
      </x:c>
    </x:row>
    <x:row r="22" ht="48" customHeight="1">
      <x:c r="A22" s="17" t="str">
        <x:v>BUS005</x:v>
      </x:c>
      <x:c r="B22" s="17" t="str">
        <x:v>查询名称包含新能源的股票代码、名称和所属行业。</x:v>
      </x:c>
      <x:c r="C22" s="17" t="n">
        <x:v>2</x:v>
      </x:c>
      <x:c r="D22" s="17" t="str">
        <x:v>数据口径</x:v>
      </x:c>
      <x:c r="E22" s="17" t="str">
        <x:v>9495.17</x:v>
      </x:c>
      <x:c r="F22" s="17" t="str">
        <x:v>9519.76</x:v>
      </x:c>
      <x:c r="G22" s="18" t="n">
        <x:v>24.59</x:v>
      </x:c>
      <x:c r="H22" s="18" t="n">
        <x:f>IFERROR(G22/1000,"")</x:f>
        <x:v>0.02459</x:v>
      </x:c>
      <x:c r="I22" s="19" t="n">
        <x:f>IFERROR(G22/J22,"")</x:f>
        <x:v>0.0011156101489219322</x:v>
      </x:c>
      <x:c r="J22" s="17" t="n">
        <x:v>22041.75</x:v>
      </x:c>
      <x:c r="K22" s="17" t="str"/>
      <x:c r="L22" s="17" t="str">
        <x:v>已定位股票基础信息视图，并确认了可用字段与时间口径。</x:v>
      </x:c>
      <x:c r="M22" s="17" t="str"/>
      <x:c r="N22" s="18" t="n">
        <x:v>0</x:v>
      </x:c>
      <x:c r="O22" s="17" t="str">
        <x:v>public_sse_client_estimate</x:v>
      </x:c>
    </x:row>
    <x:row r="23" ht="48" customHeight="1">
      <x:c r="A23" s="17" t="str">
        <x:v>BUS005</x:v>
      </x:c>
      <x:c r="B23" s="17" t="str">
        <x:v>查询名称包含新能源的股票代码、名称和所属行业。</x:v>
      </x:c>
      <x:c r="C23" s="17" t="n">
        <x:v>3</x:v>
      </x:c>
      <x:c r="D23" s="17" t="str">
        <x:v>数据查询 1/1</x:v>
      </x:c>
      <x:c r="E23" s="17" t="str">
        <x:v>12980.01</x:v>
      </x:c>
      <x:c r="F23" s="17" t="str">
        <x:v>13612.92</x:v>
      </x:c>
      <x:c r="G23" s="18" t="n">
        <x:v>632.91</x:v>
      </x:c>
      <x:c r="H23" s="18" t="n">
        <x:f>IFERROR(G23/1000,"")</x:f>
        <x:v>0.63291</x:v>
      </x:c>
      <x:c r="I23" s="19" t="n">
        <x:f>IFERROR(G23/J23,"")</x:f>
        <x:v>0.028714144748034978</x:v>
      </x:c>
      <x:c r="J23" s="17" t="n">
        <x:v>22041.75</x:v>
      </x:c>
      <x:c r="K23" s="17" t="str"/>
      <x:c r="L23" s="17" t="str">
        <x:v>已完成：查询名称包含新能源的股票代码、名称和所属行业，取得 4 条记录。</x:v>
      </x:c>
      <x:c r="M23" s="17" t="str"/>
      <x:c r="N23" s="18" t="n">
        <x:v>3460.25</x:v>
      </x:c>
      <x:c r="O23" s="17" t="str">
        <x:v>public_sse_client_estimate</x:v>
      </x:c>
    </x:row>
    <x:row r="24" ht="48" customHeight="1">
      <x:c r="A24" s="17" t="str">
        <x:v>BUS005</x:v>
      </x:c>
      <x:c r="B24" s="17" t="str">
        <x:v>查询名称包含新能源的股票代码、名称和所属行业。</x:v>
      </x:c>
      <x:c r="C24" s="17" t="n">
        <x:v>4</x:v>
      </x:c>
      <x:c r="D24" s="17" t="str">
        <x:v>回答整理</x:v>
      </x:c>
      <x:c r="E24" s="17" t="str">
        <x:v>13612.92</x:v>
      </x:c>
      <x:c r="F24" s="17" t="str">
        <x:v>19535.29</x:v>
      </x:c>
      <x:c r="G24" s="18" t="n">
        <x:v>5922.37</x:v>
      </x:c>
      <x:c r="H24" s="18" t="n">
        <x:f>IFERROR(G24/1000,"")</x:f>
        <x:v>5.92237</x:v>
      </x:c>
      <x:c r="I24" s="19" t="n">
        <x:f>IFERROR(G24/J24,"")</x:f>
        <x:v>0.26868873841686797</x:v>
      </x:c>
      <x:c r="J24" s="17" t="n">
        <x:v>22041.75</x:v>
      </x:c>
      <x:c r="K24" s="17" t="str"/>
      <x:c r="L24" s="17" t="str">
        <x:v>证据与回答已整理完成。</x:v>
      </x:c>
      <x:c r="M24" s="17" t="str"/>
      <x:c r="N24" s="18" t="n">
        <x:v>0</x:v>
      </x:c>
      <x:c r="O24" s="17" t="str">
        <x:v>public_sse_client_estimate</x:v>
      </x:c>
    </x:row>
    <x:row r="25" ht="48" customHeight="1">
      <x:c r="A25" s="17" t="str">
        <x:v>BUS007</x:v>
      </x:c>
      <x:c r="B25" s="17" t="str">
        <x:v>贵州茅台当前最新价、涨跌幅和成交额是多少？</x:v>
      </x:c>
      <x:c r="C25" s="17" t="n">
        <x:v>1</x:v>
      </x:c>
      <x:c r="D25" s="17" t="str">
        <x:v>问题理解</x:v>
      </x:c>
      <x:c r="E25" s="17" t="str">
        <x:v>5702.73</x:v>
      </x:c>
      <x:c r="F25" s="17" t="str">
        <x:v>8967.73</x:v>
      </x:c>
      <x:c r="G25" s="18" t="n">
        <x:v>3265</x:v>
      </x:c>
      <x:c r="H25" s="18" t="n">
        <x:f>IFERROR(G25/1000,"")</x:f>
        <x:v>3.265</x:v>
      </x:c>
      <x:c r="I25" s="19" t="n">
        <x:f>IFERROR(G25/J25,"")</x:f>
        <x:v>0.11898943891286293</x:v>
      </x:c>
      <x:c r="J25" s="17" t="n">
        <x:v>27439.41</x:v>
      </x:c>
      <x:c r="K25" s="17" t="str"/>
      <x:c r="L25" s="17" t="str">
        <x:v>已明确本题的对象与口径，开始获取所需证据。</x:v>
      </x:c>
      <x:c r="M25" s="17" t="str"/>
      <x:c r="N25" s="18" t="n">
        <x:v>5702.73</x:v>
      </x:c>
      <x:c r="O25" s="17" t="str">
        <x:v>public_sse_client_estimate</x:v>
      </x:c>
    </x:row>
    <x:row r="26" ht="48" customHeight="1">
      <x:c r="A26" s="17" t="str">
        <x:v>BUS007</x:v>
      </x:c>
      <x:c r="B26" s="17" t="str">
        <x:v>贵州茅台当前最新价、涨跌幅和成交额是多少？</x:v>
      </x:c>
      <x:c r="C26" s="17" t="n">
        <x:v>2</x:v>
      </x:c>
      <x:c r="D26" s="17" t="str">
        <x:v>数据口径</x:v>
      </x:c>
      <x:c r="E26" s="17" t="str">
        <x:v>8967.73</x:v>
      </x:c>
      <x:c r="F26" s="17" t="str">
        <x:v>9049.38</x:v>
      </x:c>
      <x:c r="G26" s="18" t="n">
        <x:v>81.65</x:v>
      </x:c>
      <x:c r="H26" s="18" t="n">
        <x:f>IFERROR(G26/1000,"")</x:f>
        <x:v>0.08165</x:v>
      </x:c>
      <x:c r="I26" s="19" t="n">
        <x:f>IFERROR(G26/J26,"")</x:f>
        <x:v>0.0029756470711287163</x:v>
      </x:c>
      <x:c r="J26" s="17" t="n">
        <x:v>27439.41</x:v>
      </x:c>
      <x:c r="K26" s="17" t="str"/>
      <x:c r="L26" s="17" t="str">
        <x:v>已定位个股行情视图，并确认了可用字段与时间口径。</x:v>
      </x:c>
      <x:c r="M26" s="17" t="str"/>
      <x:c r="N26" s="18" t="n">
        <x:v>0</x:v>
      </x:c>
      <x:c r="O26" s="17" t="str">
        <x:v>public_sse_client_estimate</x:v>
      </x:c>
    </x:row>
    <x:row r="27" ht="48" customHeight="1">
      <x:c r="A27" s="17" t="str">
        <x:v>BUS007</x:v>
      </x:c>
      <x:c r="B27" s="17" t="str">
        <x:v>贵州茅台当前最新价、涨跌幅和成交额是多少？</x:v>
      </x:c>
      <x:c r="C27" s="17" t="n">
        <x:v>3</x:v>
      </x:c>
      <x:c r="D27" s="17" t="str">
        <x:v>数据查询 1/1</x:v>
      </x:c>
      <x:c r="E27" s="17" t="str">
        <x:v>11916.9</x:v>
      </x:c>
      <x:c r="F27" s="17" t="str">
        <x:v>13058.85</x:v>
      </x:c>
      <x:c r="G27" s="18" t="n">
        <x:v>1141.95</x:v>
      </x:c>
      <x:c r="H27" s="18" t="n">
        <x:f>IFERROR(G27/1000,"")</x:f>
        <x:v>1.14195</x:v>
      </x:c>
      <x:c r="I27" s="19" t="n">
        <x:f>IFERROR(G27/J27,"")</x:f>
        <x:v>0.041617148473673454</x:v>
      </x:c>
      <x:c r="J27" s="17" t="n">
        <x:v>27439.41</x:v>
      </x:c>
      <x:c r="K27" s="17" t="str"/>
      <x:c r="L27" s="17" t="str">
        <x:v>已完成：获取贵州茅台最新行情，包括最新价、涨跌幅和成交额，取得 1 条记录。</x:v>
      </x:c>
      <x:c r="M27" s="17" t="str"/>
      <x:c r="N27" s="18" t="n">
        <x:v>2867.52</x:v>
      </x:c>
      <x:c r="O27" s="17" t="str">
        <x:v>public_sse_client_estimate</x:v>
      </x:c>
    </x:row>
    <x:row r="28" ht="48" customHeight="1">
      <x:c r="A28" s="17" t="str">
        <x:v>BUS007</x:v>
      </x:c>
      <x:c r="B28" s="17" t="str">
        <x:v>贵州茅台当前最新价、涨跌幅和成交额是多少？</x:v>
      </x:c>
      <x:c r="C28" s="17" t="n">
        <x:v>4</x:v>
      </x:c>
      <x:c r="D28" s="17" t="str">
        <x:v>数据查询 1/1</x:v>
      </x:c>
      <x:c r="E28" s="17" t="str">
        <x:v>19392.56</x:v>
      </x:c>
      <x:c r="F28" s="17" t="str">
        <x:v>20471.01</x:v>
      </x:c>
      <x:c r="G28" s="18" t="n">
        <x:v>1078.45</x:v>
      </x:c>
      <x:c r="H28" s="18" t="n">
        <x:f>IFERROR(G28/1000,"")</x:f>
        <x:v>1.0784500000000001</x:v>
      </x:c>
      <x:c r="I28" s="19" t="n">
        <x:f>IFERROR(G28/J28,"")</x:f>
        <x:v>0.03930295877353048</x:v>
      </x:c>
      <x:c r="J28" s="17" t="n">
        <x:v>27439.41</x:v>
      </x:c>
      <x:c r="K28" s="17" t="str"/>
      <x:c r="L28" s="17" t="str">
        <x:v>已完成：获取贵州茅台最近一个交易日（2026-07-31）的日线行情数据，包括完整成交额，取得 1 条记录。</x:v>
      </x:c>
      <x:c r="M28" s="17" t="str"/>
      <x:c r="N28" s="18" t="n">
        <x:v>6333.71</x:v>
      </x:c>
      <x:c r="O28" s="17" t="str">
        <x:v>public_sse_client_estimate</x:v>
      </x:c>
    </x:row>
    <x:row r="29" ht="48" customHeight="1">
      <x:c r="A29" s="17" t="str">
        <x:v>BUS007</x:v>
      </x:c>
      <x:c r="B29" s="17" t="str">
        <x:v>贵州茅台当前最新价、涨跌幅和成交额是多少？</x:v>
      </x:c>
      <x:c r="C29" s="17" t="n">
        <x:v>5</x:v>
      </x:c>
      <x:c r="D29" s="17" t="str">
        <x:v>回答整理</x:v>
      </x:c>
      <x:c r="E29" s="17" t="str">
        <x:v>20471.01</x:v>
      </x:c>
      <x:c r="F29" s="17" t="str">
        <x:v>24785.4</x:v>
      </x:c>
      <x:c r="G29" s="18" t="n">
        <x:v>4314.39</x:v>
      </x:c>
      <x:c r="H29" s="18" t="n">
        <x:f>IFERROR(G29/1000,"")</x:f>
        <x:v>4.31439</x:v>
      </x:c>
      <x:c r="I29" s="19" t="n">
        <x:f>IFERROR(G29/J29,"")</x:f>
        <x:v>0.1572333370141705</x:v>
      </x:c>
      <x:c r="J29" s="17" t="n">
        <x:v>27439.41</x:v>
      </x:c>
      <x:c r="K29" s="17" t="str"/>
      <x:c r="L29" s="17" t="str">
        <x:v>证据与回答已整理完成。</x:v>
      </x:c>
      <x:c r="M29" s="17" t="str"/>
      <x:c r="N29" s="18" t="n">
        <x:v>0</x:v>
      </x:c>
      <x:c r="O29" s="17" t="str">
        <x:v>public_sse_client_estimate</x:v>
      </x:c>
    </x:row>
    <x:row r="30" ht="48" customHeight="1">
      <x:c r="A30" s="17" t="str">
        <x:v>BUS008</x:v>
      </x:c>
      <x:c r="B30" s="17" t="str">
        <x:v>今天A股涨幅最高的前20只股票是谁？</x:v>
      </x:c>
      <x:c r="C30" s="17" t="n">
        <x:v>1</x:v>
      </x:c>
      <x:c r="D30" s="17" t="str">
        <x:v>问题理解</x:v>
      </x:c>
      <x:c r="E30" s="17" t="str">
        <x:v>5672.38</x:v>
      </x:c>
      <x:c r="F30" s="17" t="str">
        <x:v>7881.98</x:v>
      </x:c>
      <x:c r="G30" s="18" t="n">
        <x:v>2209.6</x:v>
      </x:c>
      <x:c r="H30" s="18" t="n">
        <x:f>IFERROR(G30/1000,"")</x:f>
        <x:v>2.2096</x:v>
      </x:c>
      <x:c r="I30" s="19" t="n">
        <x:f>IFERROR(G30/J30,"")</x:f>
        <x:v>0.06343901717757239</x:v>
      </x:c>
      <x:c r="J30" s="17" t="n">
        <x:v>34830.3</x:v>
      </x:c>
      <x:c r="K30" s="17" t="str"/>
      <x:c r="L30" s="17" t="str">
        <x:v>已明确本题的对象与口径，开始获取所需证据。</x:v>
      </x:c>
      <x:c r="M30" s="17" t="str"/>
      <x:c r="N30" s="18" t="n">
        <x:v>5672.38</x:v>
      </x:c>
      <x:c r="O30" s="17" t="str">
        <x:v>public_sse_client_estimate</x:v>
      </x:c>
    </x:row>
    <x:row r="31" ht="48" customHeight="1">
      <x:c r="A31" s="17" t="str">
        <x:v>BUS008</x:v>
      </x:c>
      <x:c r="B31" s="17" t="str">
        <x:v>今天A股涨幅最高的前20只股票是谁？</x:v>
      </x:c>
      <x:c r="C31" s="17" t="n">
        <x:v>2</x:v>
      </x:c>
      <x:c r="D31" s="17" t="str">
        <x:v>数据口径</x:v>
      </x:c>
      <x:c r="E31" s="17" t="str">
        <x:v>7881.98</x:v>
      </x:c>
      <x:c r="F31" s="17" t="str">
        <x:v>7900.51</x:v>
      </x:c>
      <x:c r="G31" s="18" t="n">
        <x:v>18.53</x:v>
      </x:c>
      <x:c r="H31" s="18" t="n">
        <x:f>IFERROR(G31/1000,"")</x:f>
        <x:v>0.01853</x:v>
      </x:c>
      <x:c r="I31" s="19" t="n">
        <x:f>IFERROR(G31/J31,"")</x:f>
        <x:v>0.0005320080504618106</x:v>
      </x:c>
      <x:c r="J31" s="17" t="n">
        <x:v>34830.3</x:v>
      </x:c>
      <x:c r="K31" s="17" t="str"/>
      <x:c r="L31" s="17" t="str">
        <x:v>已定位个股行情视图，并确认了可用字段与时间口径。</x:v>
      </x:c>
      <x:c r="M31" s="17" t="str"/>
      <x:c r="N31" s="18" t="n">
        <x:v>0</x:v>
      </x:c>
      <x:c r="O31" s="17" t="str">
        <x:v>public_sse_client_estimate</x:v>
      </x:c>
    </x:row>
    <x:row r="32" ht="48" customHeight="1">
      <x:c r="A32" s="17" t="str">
        <x:v>BUS008</x:v>
      </x:c>
      <x:c r="B32" s="17" t="str">
        <x:v>今天A股涨幅最高的前20只股票是谁？</x:v>
      </x:c>
      <x:c r="C32" s="17" t="n">
        <x:v>3</x:v>
      </x:c>
      <x:c r="D32" s="17" t="str">
        <x:v>数据查询 1/1</x:v>
      </x:c>
      <x:c r="E32" s="17" t="str">
        <x:v>19271.28</x:v>
      </x:c>
      <x:c r="F32" s="17" t="str">
        <x:v>20407.71</x:v>
      </x:c>
      <x:c r="G32" s="18" t="n">
        <x:v>1136.43</x:v>
      </x:c>
      <x:c r="H32" s="18" t="n">
        <x:f>IFERROR(G32/1000,"")</x:f>
        <x:v>1.13643</x:v>
      </x:c>
      <x:c r="I32" s="19" t="n">
        <x:f>IFERROR(G32/J32,"")</x:f>
        <x:v>0.03262762594637428</x:v>
      </x:c>
      <x:c r="J32" s="17" t="n">
        <x:v>34830.3</x:v>
      </x:c>
      <x:c r="K32" s="17" t="str"/>
      <x:c r="L32" s="17" t="str">
        <x:v>已完成：获取A股最近一个交易日涨幅最高的前20只股票，取得 20 条记录。</x:v>
      </x:c>
      <x:c r="M32" s="17" t="str"/>
      <x:c r="N32" s="18" t="n">
        <x:v>11370.77</x:v>
      </x:c>
      <x:c r="O32" s="17" t="str">
        <x:v>public_sse_client_estimate</x:v>
      </x:c>
    </x:row>
    <x:row r="33" ht="48" customHeight="1">
      <x:c r="A33" s="17" t="str">
        <x:v>BUS008</x:v>
      </x:c>
      <x:c r="B33" s="17" t="str">
        <x:v>今天A股涨幅最高的前20只股票是谁？</x:v>
      </x:c>
      <x:c r="C33" s="17" t="n">
        <x:v>4</x:v>
      </x:c>
      <x:c r="D33" s="17" t="str">
        <x:v>回答整理</x:v>
      </x:c>
      <x:c r="E33" s="17" t="str">
        <x:v>20407.71</x:v>
      </x:c>
      <x:c r="F33" s="17" t="str">
        <x:v>32390.94</x:v>
      </x:c>
      <x:c r="G33" s="18" t="n">
        <x:v>11983.23</x:v>
      </x:c>
      <x:c r="H33" s="18" t="n">
        <x:f>IFERROR(G33/1000,"")</x:f>
        <x:v>11.983229999999999</x:v>
      </x:c>
      <x:c r="I33" s="19" t="n">
        <x:f>IFERROR(G33/J33,"")</x:f>
        <x:v>0.3440461322469229</x:v>
      </x:c>
      <x:c r="J33" s="17" t="n">
        <x:v>34830.3</x:v>
      </x:c>
      <x:c r="K33" s="17" t="str"/>
      <x:c r="L33" s="17" t="str">
        <x:v>证据与回答已整理完成。</x:v>
      </x:c>
      <x:c r="M33" s="17" t="str"/>
      <x:c r="N33" s="18" t="n">
        <x:v>0</x:v>
      </x:c>
      <x:c r="O33" s="17" t="str">
        <x:v>public_sse_client_estimate</x:v>
      </x:c>
    </x:row>
    <x:row r="34" ht="48" customHeight="1">
      <x:c r="A34" s="17" t="str">
        <x:v>BUS009</x:v>
      </x:c>
      <x:c r="B34" s="17" t="str">
        <x:v>今天跌幅超过5%且成交额超过5亿元的股票有哪些？</x:v>
      </x:c>
      <x:c r="C34" s="17" t="n">
        <x:v>1</x:v>
      </x:c>
      <x:c r="D34" s="17" t="str">
        <x:v>问题理解</x:v>
      </x:c>
      <x:c r="E34" s="17" t="str">
        <x:v>5560.41</x:v>
      </x:c>
      <x:c r="F34" s="17" t="str">
        <x:v>9013.89</x:v>
      </x:c>
      <x:c r="G34" s="18" t="n">
        <x:v>3453.48</x:v>
      </x:c>
      <x:c r="H34" s="18" t="n">
        <x:f>IFERROR(G34/1000,"")</x:f>
        <x:v>3.45348</x:v>
      </x:c>
      <x:c r="I34" s="19" t="n">
        <x:f>IFERROR(G34/J34,"")</x:f>
        <x:v>0.1175811275324265</x:v>
      </x:c>
      <x:c r="J34" s="17" t="n">
        <x:v>29371.04</x:v>
      </x:c>
      <x:c r="K34" s="17" t="str"/>
      <x:c r="L34" s="17" t="str">
        <x:v>已明确本题的对象与口径，开始获取所需证据。</x:v>
      </x:c>
      <x:c r="M34" s="17" t="str"/>
      <x:c r="N34" s="18" t="n">
        <x:v>5560.41</x:v>
      </x:c>
      <x:c r="O34" s="17" t="str">
        <x:v>public_sse_client_estimate</x:v>
      </x:c>
    </x:row>
    <x:row r="35" ht="48" customHeight="1">
      <x:c r="A35" s="17" t="str">
        <x:v>BUS009</x:v>
      </x:c>
      <x:c r="B35" s="17" t="str">
        <x:v>今天跌幅超过5%且成交额超过5亿元的股票有哪些？</x:v>
      </x:c>
      <x:c r="C35" s="17" t="n">
        <x:v>2</x:v>
      </x:c>
      <x:c r="D35" s="17" t="str">
        <x:v>专业分析方法</x:v>
      </x:c>
      <x:c r="E35" s="17" t="str">
        <x:v>9023.54</x:v>
      </x:c>
      <x:c r="F35" s="17" t="str">
        <x:v>9117.97</x:v>
      </x:c>
      <x:c r="G35" s="18" t="n">
        <x:v>94.43</x:v>
      </x:c>
      <x:c r="H35" s="18" t="n">
        <x:f>IFERROR(G35/1000,"")</x:f>
        <x:v>0.09443</x:v>
      </x:c>
      <x:c r="I35" s="19" t="n">
        <x:f>IFERROR(G35/J35,"")</x:f>
        <x:v>0.0032150717169020914</x:v>
      </x:c>
      <x:c r="J35" s="17" t="n">
        <x:v>29371.04</x:v>
      </x:c>
      <x:c r="K35" s="17" t="str"/>
      <x:c r="L35" s="17" t="str">
        <x:v>专业分析方法已就绪。</x:v>
      </x:c>
      <x:c r="M35" s="17" t="str"/>
      <x:c r="N35" s="18" t="n">
        <x:v>9.65</x:v>
      </x:c>
      <x:c r="O35" s="17" t="str">
        <x:v>public_sse_client_estimate</x:v>
      </x:c>
    </x:row>
    <x:row r="36" ht="48" customHeight="1">
      <x:c r="A36" s="17" t="str">
        <x:v>BUS009</x:v>
      </x:c>
      <x:c r="B36" s="17" t="str">
        <x:v>今天跌幅超过5%且成交额超过5亿元的股票有哪些？</x:v>
      </x:c>
      <x:c r="C36" s="17" t="n">
        <x:v>3</x:v>
      </x:c>
      <x:c r="D36" s="17" t="str">
        <x:v>数据口径</x:v>
      </x:c>
      <x:c r="E36" s="17" t="str">
        <x:v>9117.97</x:v>
      </x:c>
      <x:c r="F36" s="17" t="str">
        <x:v>11700.41</x:v>
      </x:c>
      <x:c r="G36" s="18" t="n">
        <x:v>2582.44</x:v>
      </x:c>
      <x:c r="H36" s="18" t="n">
        <x:f>IFERROR(G36/1000,"")</x:f>
        <x:v>2.58244</x:v>
      </x:c>
      <x:c r="I36" s="19" t="n">
        <x:f>IFERROR(G36/J36,"")</x:f>
        <x:v>0.08792470406223273</x:v>
      </x:c>
      <x:c r="J36" s="17" t="n">
        <x:v>29371.04</x:v>
      </x:c>
      <x:c r="K36" s="17" t="str"/>
      <x:c r="L36" s="17" t="str">
        <x:v>已定位个股行情视图，并确认了可用字段与时间口径。</x:v>
      </x:c>
      <x:c r="M36" s="17" t="str"/>
      <x:c r="N36" s="18" t="n">
        <x:v>0</x:v>
      </x:c>
      <x:c r="O36" s="17" t="str">
        <x:v>public_sse_client_estimate</x:v>
      </x:c>
    </x:row>
    <x:row r="37" ht="48" customHeight="1">
      <x:c r="A37" s="17" t="str">
        <x:v>BUS009</x:v>
      </x:c>
      <x:c r="B37" s="17" t="str">
        <x:v>今天跌幅超过5%且成交额超过5亿元的股票有哪些？</x:v>
      </x:c>
      <x:c r="C37" s="17" t="n">
        <x:v>4</x:v>
      </x:c>
      <x:c r="D37" s="17" t="str">
        <x:v>数据查询 1/1</x:v>
      </x:c>
      <x:c r="E37" s="17" t="str">
        <x:v>17566.47</x:v>
      </x:c>
      <x:c r="F37" s="17" t="str">
        <x:v>18513.95</x:v>
      </x:c>
      <x:c r="G37" s="18" t="n">
        <x:v>947.48</x:v>
      </x:c>
      <x:c r="H37" s="18" t="n">
        <x:f>IFERROR(G37/1000,"")</x:f>
        <x:v>0.94748</x:v>
      </x:c>
      <x:c r="I37" s="19" t="n">
        <x:f>IFERROR(G37/J37,"")</x:f>
        <x:v>0.03225898708387582</x:v>
      </x:c>
      <x:c r="J37" s="17" t="n">
        <x:v>29371.04</x:v>
      </x:c>
      <x:c r="K37" s="17" t="str"/>
      <x:c r="L37" s="17" t="str">
        <x:v>已完成：筛选最近交易日跌幅超过5%且成交额超过5亿元的股票，取得 10 条记录。</x:v>
      </x:c>
      <x:c r="M37" s="17" t="str"/>
      <x:c r="N37" s="18" t="n">
        <x:v>5866.06</x:v>
      </x:c>
      <x:c r="O37" s="17" t="str">
        <x:v>public_sse_client_estimate</x:v>
      </x:c>
    </x:row>
    <x:row r="38" ht="48" customHeight="1">
      <x:c r="A38" s="17" t="str">
        <x:v>BUS009</x:v>
      </x:c>
      <x:c r="B38" s="17" t="str">
        <x:v>今天跌幅超过5%且成交额超过5亿元的股票有哪些？</x:v>
      </x:c>
      <x:c r="C38" s="17" t="n">
        <x:v>5</x:v>
      </x:c>
      <x:c r="D38" s="17" t="str">
        <x:v>回答整理</x:v>
      </x:c>
      <x:c r="E38" s="17" t="str">
        <x:v>18513.95</x:v>
      </x:c>
      <x:c r="F38" s="17" t="str">
        <x:v>26679.78</x:v>
      </x:c>
      <x:c r="G38" s="18" t="n">
        <x:v>8165.83</x:v>
      </x:c>
      <x:c r="H38" s="18" t="n">
        <x:f>IFERROR(G38/1000,"")</x:f>
        <x:v>8.16583</x:v>
      </x:c>
      <x:c r="I38" s="19" t="n">
        <x:f>IFERROR(G38/J38,"")</x:f>
        <x:v>0.2780231820187504</x:v>
      </x:c>
      <x:c r="J38" s="17" t="n">
        <x:v>29371.04</x:v>
      </x:c>
      <x:c r="K38" s="17" t="str"/>
      <x:c r="L38" s="17" t="str">
        <x:v>证据与回答已整理完成。</x:v>
      </x:c>
      <x:c r="M38" s="17" t="str"/>
      <x:c r="N38" s="18" t="n">
        <x:v>0</x:v>
      </x:c>
      <x:c r="O38" s="17" t="str">
        <x:v>public_sse_client_estimate</x:v>
      </x:c>
    </x:row>
    <x:row r="39" ht="48" customHeight="1">
      <x:c r="A39" s="17" t="str">
        <x:v>BUS010</x:v>
      </x:c>
      <x:c r="B39" s="17" t="str">
        <x:v>查询宁德时代最近10个交易日的收盘价和涨跌幅。</x:v>
      </x:c>
      <x:c r="C39" s="17" t="n">
        <x:v>1</x:v>
      </x:c>
      <x:c r="D39" s="17" t="str">
        <x:v>问题理解</x:v>
      </x:c>
      <x:c r="E39" s="17" t="str">
        <x:v>5342.24</x:v>
      </x:c>
      <x:c r="F39" s="17" t="str">
        <x:v>8325.05</x:v>
      </x:c>
      <x:c r="G39" s="18" t="n">
        <x:v>2982.81</x:v>
      </x:c>
      <x:c r="H39" s="18" t="n">
        <x:f>IFERROR(G39/1000,"")</x:f>
        <x:v>2.9828099999999997</x:v>
      </x:c>
      <x:c r="I39" s="19" t="n">
        <x:f>IFERROR(G39/J39,"")</x:f>
        <x:v>0.13699506547522816</x:v>
      </x:c>
      <x:c r="J39" s="17" t="n">
        <x:v>21773.12</x:v>
      </x:c>
      <x:c r="K39" s="17" t="str"/>
      <x:c r="L39" s="17" t="str">
        <x:v>已明确本题的对象与口径，开始获取所需证据。</x:v>
      </x:c>
      <x:c r="M39" s="17" t="str"/>
      <x:c r="N39" s="18" t="n">
        <x:v>5342.24</x:v>
      </x:c>
      <x:c r="O39" s="17" t="str">
        <x:v>public_sse_client_estimate</x:v>
      </x:c>
    </x:row>
    <x:row r="40" ht="48" customHeight="1">
      <x:c r="A40" s="17" t="str">
        <x:v>BUS010</x:v>
      </x:c>
      <x:c r="B40" s="17" t="str">
        <x:v>查询宁德时代最近10个交易日的收盘价和涨跌幅。</x:v>
      </x:c>
      <x:c r="C40" s="17" t="n">
        <x:v>2</x:v>
      </x:c>
      <x:c r="D40" s="17" t="str">
        <x:v>数据口径</x:v>
      </x:c>
      <x:c r="E40" s="17" t="str">
        <x:v>8325.05</x:v>
      </x:c>
      <x:c r="F40" s="17" t="str">
        <x:v>8358.74</x:v>
      </x:c>
      <x:c r="G40" s="18" t="n">
        <x:v>33.69</x:v>
      </x:c>
      <x:c r="H40" s="18" t="n">
        <x:f>IFERROR(G40/1000,"")</x:f>
        <x:v>0.03369</x:v>
      </x:c>
      <x:c r="I40" s="19" t="n">
        <x:f>IFERROR(G40/J40,"")</x:f>
        <x:v>0.001547320733087403</x:v>
      </x:c>
      <x:c r="J40" s="17" t="n">
        <x:v>21773.12</x:v>
      </x:c>
      <x:c r="K40" s="17" t="str"/>
      <x:c r="L40" s="17" t="str">
        <x:v>已定位个股行情视图，并确认了可用字段与时间口径。</x:v>
      </x:c>
      <x:c r="M40" s="17" t="str"/>
      <x:c r="N40" s="18" t="n">
        <x:v>0</x:v>
      </x:c>
      <x:c r="O40" s="17" t="str">
        <x:v>public_sse_client_estimate</x:v>
      </x:c>
    </x:row>
    <x:row r="41" ht="48" customHeight="1">
      <x:c r="A41" s="17" t="str">
        <x:v>BUS010</x:v>
      </x:c>
      <x:c r="B41" s="17" t="str">
        <x:v>查询宁德时代最近10个交易日的收盘价和涨跌幅。</x:v>
      </x:c>
      <x:c r="C41" s="17" t="n">
        <x:v>3</x:v>
      </x:c>
      <x:c r="D41" s="17" t="str">
        <x:v>数据查询 1/1</x:v>
      </x:c>
      <x:c r="E41" s="17" t="str">
        <x:v>11316.22</x:v>
      </x:c>
      <x:c r="F41" s="17" t="str">
        <x:v>11762.05</x:v>
      </x:c>
      <x:c r="G41" s="18" t="n">
        <x:v>445.83</x:v>
      </x:c>
      <x:c r="H41" s="18" t="n">
        <x:f>IFERROR(G41/1000,"")</x:f>
        <x:v>0.44583</x:v>
      </x:c>
      <x:c r="I41" s="19" t="n">
        <x:f>IFERROR(G41/J41,"")</x:f>
        <x:v>0.020476165106332947</x:v>
      </x:c>
      <x:c r="J41" s="17" t="n">
        <x:v>21773.12</x:v>
      </x:c>
      <x:c r="K41" s="17" t="str"/>
      <x:c r="L41" s="17" t="str">
        <x:v>已完成：查询宁德时代最近10个交易日的收盘价和涨跌幅，取得 10 条记录。</x:v>
      </x:c>
      <x:c r="M41" s="17" t="str"/>
      <x:c r="N41" s="18" t="n">
        <x:v>2957.48</x:v>
      </x:c>
      <x:c r="O41" s="17" t="str">
        <x:v>public_sse_client_estimate</x:v>
      </x:c>
    </x:row>
    <x:row r="42" ht="48" customHeight="1">
      <x:c r="A42" s="17" t="str">
        <x:v>BUS010</x:v>
      </x:c>
      <x:c r="B42" s="17" t="str">
        <x:v>查询宁德时代最近10个交易日的收盘价和涨跌幅。</x:v>
      </x:c>
      <x:c r="C42" s="17" t="n">
        <x:v>4</x:v>
      </x:c>
      <x:c r="D42" s="17" t="str">
        <x:v>回答整理</x:v>
      </x:c>
      <x:c r="E42" s="17" t="str">
        <x:v>11762.05</x:v>
      </x:c>
      <x:c r="F42" s="17" t="str">
        <x:v>18521.97</x:v>
      </x:c>
      <x:c r="G42" s="18" t="n">
        <x:v>6759.92</x:v>
      </x:c>
      <x:c r="H42" s="18" t="n">
        <x:f>IFERROR(G42/1000,"")</x:f>
        <x:v>6.75992</x:v>
      </x:c>
      <x:c r="I42" s="19" t="n">
        <x:f>IFERROR(G42/J42,"")</x:f>
        <x:v>0.3104708925500801</x:v>
      </x:c>
      <x:c r="J42" s="17" t="n">
        <x:v>21773.12</x:v>
      </x:c>
      <x:c r="K42" s="17" t="str"/>
      <x:c r="L42" s="17" t="str">
        <x:v>证据与回答已整理完成。</x:v>
      </x:c>
      <x:c r="M42" s="17" t="str"/>
      <x:c r="N42" s="18" t="n">
        <x:v>0</x:v>
      </x:c>
      <x:c r="O42" s="17" t="str">
        <x:v>public_sse_client_estimate</x:v>
      </x:c>
    </x:row>
    <x:row r="43" ht="48" customHeight="1">
      <x:c r="A43" s="17" t="str">
        <x:v>BUS011</x:v>
      </x:c>
      <x:c r="B43" s="17" t="str">
        <x:v>过去20个交易日振幅最高的前20只股票。</x:v>
      </x:c>
      <x:c r="C43" s="17" t="n">
        <x:v>1</x:v>
      </x:c>
      <x:c r="D43" s="17" t="str">
        <x:v>问题理解</x:v>
      </x:c>
      <x:c r="E43" s="17" t="str">
        <x:v>5677.45</x:v>
      </x:c>
      <x:c r="F43" s="17" t="str">
        <x:v>9196.47</x:v>
      </x:c>
      <x:c r="G43" s="18" t="n">
        <x:v>3519.02</x:v>
      </x:c>
      <x:c r="H43" s="18" t="n">
        <x:f>IFERROR(G43/1000,"")</x:f>
        <x:v>3.51902</x:v>
      </x:c>
      <x:c r="I43" s="19" t="n">
        <x:f>IFERROR(G43/J43,"")</x:f>
        <x:v>0.1142910035725885</x:v>
      </x:c>
      <x:c r="J43" s="17" t="n">
        <x:v>30790</x:v>
      </x:c>
      <x:c r="K43" s="17" t="str"/>
      <x:c r="L43" s="17" t="str">
        <x:v>已明确本题的对象与口径，开始获取所需证据。</x:v>
      </x:c>
      <x:c r="M43" s="17" t="str"/>
      <x:c r="N43" s="18" t="n">
        <x:v>5677.45</x:v>
      </x:c>
      <x:c r="O43" s="17" t="str">
        <x:v>public_sse_client_estimate</x:v>
      </x:c>
    </x:row>
    <x:row r="44" ht="48" customHeight="1">
      <x:c r="A44" s="17" t="str">
        <x:v>BUS011</x:v>
      </x:c>
      <x:c r="B44" s="17" t="str">
        <x:v>过去20个交易日振幅最高的前20只股票。</x:v>
      </x:c>
      <x:c r="C44" s="17" t="n">
        <x:v>2</x:v>
      </x:c>
      <x:c r="D44" s="17" t="str">
        <x:v>数据口径</x:v>
      </x:c>
      <x:c r="E44" s="17" t="str">
        <x:v>9196.47</x:v>
      </x:c>
      <x:c r="F44" s="17" t="str">
        <x:v>9220.66</x:v>
      </x:c>
      <x:c r="G44" s="18" t="n">
        <x:v>24.19</x:v>
      </x:c>
      <x:c r="H44" s="18" t="n">
        <x:f>IFERROR(G44/1000,"")</x:f>
        <x:v>0.02419</x:v>
      </x:c>
      <x:c r="I44" s="19" t="n">
        <x:f>IFERROR(G44/J44,"")</x:f>
        <x:v>0.0007856446898343619</x:v>
      </x:c>
      <x:c r="J44" s="17" t="n">
        <x:v>30790</x:v>
      </x:c>
      <x:c r="K44" s="17" t="str"/>
      <x:c r="L44" s="17" t="str">
        <x:v>已定位个股行情视图，并确认了可用字段与时间口径。</x:v>
      </x:c>
      <x:c r="M44" s="17" t="str"/>
      <x:c r="N44" s="18" t="n">
        <x:v>0</x:v>
      </x:c>
      <x:c r="O44" s="17" t="str">
        <x:v>public_sse_client_estimate</x:v>
      </x:c>
    </x:row>
    <x:row r="45" ht="48" customHeight="1">
      <x:c r="A45" s="17" t="str">
        <x:v>BUS011</x:v>
      </x:c>
      <x:c r="B45" s="17" t="str">
        <x:v>过去20个交易日振幅最高的前20只股票。</x:v>
      </x:c>
      <x:c r="C45" s="17" t="n">
        <x:v>3</x:v>
      </x:c>
      <x:c r="D45" s="17" t="str">
        <x:v>数据查询 1/1</x:v>
      </x:c>
      <x:c r="E45" s="17" t="str">
        <x:v>17024.04</x:v>
      </x:c>
      <x:c r="F45" s="17" t="str">
        <x:v>18969.81</x:v>
      </x:c>
      <x:c r="G45" s="18" t="n">
        <x:v>1945.77</x:v>
      </x:c>
      <x:c r="H45" s="18" t="n">
        <x:f>IFERROR(G45/1000,"")</x:f>
        <x:v>1.94577</x:v>
      </x:c>
      <x:c r="I45" s="19" t="n">
        <x:f>IFERROR(G45/J45,"")</x:f>
        <x:v>0.06319486846378694</x:v>
      </x:c>
      <x:c r="J45" s="17" t="n">
        <x:v>30790</x:v>
      </x:c>
      <x:c r="K45" s="17" t="str"/>
      <x:c r="L45" s="17" t="str">
        <x:v>已完成：查询过去20个交易日平均振幅最高的前20只股票，取得 20 条记录。</x:v>
      </x:c>
      <x:c r="M45" s="17" t="str"/>
      <x:c r="N45" s="18" t="n">
        <x:v>7803.38</x:v>
      </x:c>
      <x:c r="O45" s="17" t="str">
        <x:v>public_sse_client_estimate</x:v>
      </x:c>
    </x:row>
    <x:row r="46" ht="48" customHeight="1">
      <x:c r="A46" s="17" t="str">
        <x:v>BUS011</x:v>
      </x:c>
      <x:c r="B46" s="17" t="str">
        <x:v>过去20个交易日振幅最高的前20只股票。</x:v>
      </x:c>
      <x:c r="C46" s="17" t="n">
        <x:v>4</x:v>
      </x:c>
      <x:c r="D46" s="17" t="str">
        <x:v>回答整理</x:v>
      </x:c>
      <x:c r="E46" s="17" t="str">
        <x:v>18969.81</x:v>
      </x:c>
      <x:c r="F46" s="17" t="str">
        <x:v>28374.15</x:v>
      </x:c>
      <x:c r="G46" s="18" t="n">
        <x:v>9404.34</x:v>
      </x:c>
      <x:c r="H46" s="18" t="n">
        <x:f>IFERROR(G46/1000,"")</x:f>
        <x:v>9.40434</x:v>
      </x:c>
      <x:c r="I46" s="19" t="n">
        <x:f>IFERROR(G46/J46,"")</x:f>
        <x:v>0.30543488145501785</x:v>
      </x:c>
      <x:c r="J46" s="17" t="n">
        <x:v>30790</x:v>
      </x:c>
      <x:c r="K46" s="17" t="str"/>
      <x:c r="L46" s="17" t="str">
        <x:v>证据与回答已整理完成。</x:v>
      </x:c>
      <x:c r="M46" s="17" t="str"/>
      <x:c r="N46" s="18" t="n">
        <x:v>0</x:v>
      </x:c>
      <x:c r="O46" s="17" t="str">
        <x:v>public_sse_client_estimate</x:v>
      </x:c>
    </x:row>
    <x:row r="47" ht="48" customHeight="1">
      <x:c r="A47" s="17" t="str">
        <x:v>BUS012</x:v>
      </x:c>
      <x:c r="B47" s="17" t="str">
        <x:v>当前分钟成交量最大的前20只股票。</x:v>
      </x:c>
      <x:c r="C47" s="17" t="n">
        <x:v>1</x:v>
      </x:c>
      <x:c r="D47" s="17" t="str">
        <x:v>问题理解</x:v>
      </x:c>
      <x:c r="E47" s="17" t="str">
        <x:v>5573.95</x:v>
      </x:c>
      <x:c r="F47" s="17" t="str">
        <x:v>8376.02</x:v>
      </x:c>
      <x:c r="G47" s="18" t="n">
        <x:v>2802.07</x:v>
      </x:c>
      <x:c r="H47" s="18" t="n">
        <x:f>IFERROR(G47/1000,"")</x:f>
        <x:v>2.80207</x:v>
      </x:c>
      <x:c r="I47" s="19" t="n">
        <x:f>IFERROR(G47/J47,"")</x:f>
        <x:v>0.021552143192492598</x:v>
      </x:c>
      <x:c r="J47" s="17" t="n">
        <x:v>130013.52</x:v>
      </x:c>
      <x:c r="K47" s="17" t="str"/>
      <x:c r="L47" s="17" t="str">
        <x:v>已明确本题的对象与口径，开始获取所需证据。</x:v>
      </x:c>
      <x:c r="M47" s="17" t="str"/>
      <x:c r="N47" s="18" t="n">
        <x:v>5573.95</x:v>
      </x:c>
      <x:c r="O47" s="17" t="str">
        <x:v>public_sse_client_estimate</x:v>
      </x:c>
    </x:row>
    <x:row r="48" ht="48" customHeight="1">
      <x:c r="A48" s="17" t="str">
        <x:v>BUS012</x:v>
      </x:c>
      <x:c r="B48" s="17" t="str">
        <x:v>当前分钟成交量最大的前20只股票。</x:v>
      </x:c>
      <x:c r="C48" s="17" t="n">
        <x:v>2</x:v>
      </x:c>
      <x:c r="D48" s="17" t="str">
        <x:v>数据口径</x:v>
      </x:c>
      <x:c r="E48" s="17" t="str">
        <x:v>8376.02</x:v>
      </x:c>
      <x:c r="F48" s="17" t="str">
        <x:v>8390.57</x:v>
      </x:c>
      <x:c r="G48" s="18" t="n">
        <x:v>14.55</x:v>
      </x:c>
      <x:c r="H48" s="18" t="n">
        <x:f>IFERROR(G48/1000,"")</x:f>
        <x:v>0.01455</x:v>
      </x:c>
      <x:c r="I48" s="19" t="n">
        <x:f>IFERROR(G48/J48,"")</x:f>
        <x:v>0.00011191143813351105</x:v>
      </x:c>
      <x:c r="J48" s="17" t="n">
        <x:v>130013.52</x:v>
      </x:c>
      <x:c r="K48" s="17" t="str"/>
      <x:c r="L48" s="17" t="str">
        <x:v>已定位个股行情视图，并确认了可用字段与时间口径。</x:v>
      </x:c>
      <x:c r="M48" s="17" t="str"/>
      <x:c r="N48" s="18" t="n">
        <x:v>0</x:v>
      </x:c>
      <x:c r="O48" s="17" t="str">
        <x:v>public_sse_client_estimate</x:v>
      </x:c>
    </x:row>
    <x:row r="49" ht="48" customHeight="1">
      <x:c r="A49" s="17" t="str">
        <x:v>BUS012</x:v>
      </x:c>
      <x:c r="B49" s="17" t="str">
        <x:v>当前分钟成交量最大的前20只股票。</x:v>
      </x:c>
      <x:c r="C49" s="17" t="n">
        <x:v>3</x:v>
      </x:c>
      <x:c r="D49" s="17" t="str">
        <x:v>数据查询 1/1</x:v>
      </x:c>
      <x:c r="E49" s="17" t="str">
        <x:v>17798.69</x:v>
      </x:c>
      <x:c r="F49" s="17" t="str">
        <x:v>111342.24</x:v>
      </x:c>
      <x:c r="G49" s="18" t="n">
        <x:v>93543.55</x:v>
      </x:c>
      <x:c r="H49" s="18" t="n">
        <x:f>IFERROR(G49/1000,"")</x:f>
        <x:v>93.54355</x:v>
      </x:c>
      <x:c r="I49" s="19" t="n">
        <x:f>IFERROR(G49/J49,"")</x:f>
        <x:v>0.7194909421727833</x:v>
      </x:c>
      <x:c r="J49" s="17" t="n">
        <x:v>130013.52</x:v>
      </x:c>
      <x:c r="K49" s="17" t="str"/>
      <x:c r="L49" s="17" t="str">
        <x:v>已完成：查询全市场股票当前分钟成交量最大的前20只股票，取得 20 条记录。</x:v>
      </x:c>
      <x:c r="M49" s="17" t="str"/>
      <x:c r="N49" s="18" t="n">
        <x:v>9408.12</x:v>
      </x:c>
      <x:c r="O49" s="17" t="str">
        <x:v>public_sse_client_estimate</x:v>
      </x:c>
    </x:row>
    <x:row r="50" ht="48" customHeight="1">
      <x:c r="A50" s="17" t="str">
        <x:v>BUS012</x:v>
      </x:c>
      <x:c r="B50" s="17" t="str">
        <x:v>当前分钟成交量最大的前20只股票。</x:v>
      </x:c>
      <x:c r="C50" s="17" t="n">
        <x:v>4</x:v>
      </x:c>
      <x:c r="D50" s="17" t="str">
        <x:v>回答整理</x:v>
      </x:c>
      <x:c r="E50" s="17" t="str">
        <x:v>111342.24</x:v>
      </x:c>
      <x:c r="F50" s="17" t="str">
        <x:v>126236.55</x:v>
      </x:c>
      <x:c r="G50" s="18" t="n">
        <x:v>14894.31</x:v>
      </x:c>
      <x:c r="H50" s="18" t="n">
        <x:f>IFERROR(G50/1000,"")</x:f>
        <x:v>14.894309999999999</x:v>
      </x:c>
      <x:c r="I50" s="19" t="n">
        <x:f>IFERROR(G50/J50,"")</x:f>
        <x:v>0.1145597011756931</x:v>
      </x:c>
      <x:c r="J50" s="17" t="n">
        <x:v>130013.52</x:v>
      </x:c>
      <x:c r="K50" s="17" t="str"/>
      <x:c r="L50" s="17" t="str">
        <x:v>证据与回答已整理完成。</x:v>
      </x:c>
      <x:c r="M50" s="17" t="str"/>
      <x:c r="N50" s="18" t="n">
        <x:v>0</x:v>
      </x:c>
      <x:c r="O50" s="17" t="str">
        <x:v>public_sse_client_estimate</x:v>
      </x:c>
    </x:row>
    <x:row r="51" ht="48" customHeight="1">
      <x:c r="A51" s="17" t="str">
        <x:v>BUS013</x:v>
      </x:c>
      <x:c r="B51" s="17" t="str">
        <x:v>今天主力净流入最高的前20只股票有哪些？</x:v>
      </x:c>
      <x:c r="C51" s="17" t="n">
        <x:v>1</x:v>
      </x:c>
      <x:c r="D51" s="17" t="str">
        <x:v>问题理解</x:v>
      </x:c>
      <x:c r="E51" s="17" t="str">
        <x:v>5309.92</x:v>
      </x:c>
      <x:c r="F51" s="17" t="str">
        <x:v>11137.71</x:v>
      </x:c>
      <x:c r="G51" s="18" t="n">
        <x:v>5827.79</x:v>
      </x:c>
      <x:c r="H51" s="18" t="n">
        <x:f>IFERROR(G51/1000,"")</x:f>
        <x:v>5.82779</x:v>
      </x:c>
      <x:c r="I51" s="19" t="n">
        <x:f>IFERROR(G51/J51,"")</x:f>
        <x:v>0.21428621330335865</x:v>
      </x:c>
      <x:c r="J51" s="17" t="n">
        <x:v>27196.29</x:v>
      </x:c>
      <x:c r="K51" s="17" t="str"/>
      <x:c r="L51" s="17" t="str">
        <x:v>已明确本题的对象与口径，开始获取所需证据。</x:v>
      </x:c>
      <x:c r="M51" s="17" t="str"/>
      <x:c r="N51" s="18" t="n">
        <x:v>5309.92</x:v>
      </x:c>
      <x:c r="O51" s="17" t="str">
        <x:v>public_sse_client_estimate</x:v>
      </x:c>
    </x:row>
    <x:row r="52" ht="48" customHeight="1">
      <x:c r="A52" s="17" t="str">
        <x:v>BUS013</x:v>
      </x:c>
      <x:c r="B52" s="17" t="str">
        <x:v>今天主力净流入最高的前20只股票有哪些？</x:v>
      </x:c>
      <x:c r="C52" s="17" t="n">
        <x:v>2</x:v>
      </x:c>
      <x:c r="D52" s="17" t="str">
        <x:v>数据口径</x:v>
      </x:c>
      <x:c r="E52" s="17" t="str">
        <x:v>11137.71</x:v>
      </x:c>
      <x:c r="F52" s="17" t="str">
        <x:v>11183.69</x:v>
      </x:c>
      <x:c r="G52" s="18" t="n">
        <x:v>45.98</x:v>
      </x:c>
      <x:c r="H52" s="18" t="n">
        <x:f>IFERROR(G52/1000,"")</x:f>
        <x:v>0.04598</x:v>
      </x:c>
      <x:c r="I52" s="19" t="n">
        <x:f>IFERROR(G52/J52,"")</x:f>
        <x:v>0.0016906717791286973</x:v>
      </x:c>
      <x:c r="J52" s="17" t="n">
        <x:v>27196.29</x:v>
      </x:c>
      <x:c r="K52" s="17" t="str"/>
      <x:c r="L52" s="17" t="str">
        <x:v>已定位个股资金流视图，并确认了可用字段与时间口径。</x:v>
      </x:c>
      <x:c r="M52" s="17" t="str"/>
      <x:c r="N52" s="18" t="n">
        <x:v>0</x:v>
      </x:c>
      <x:c r="O52" s="17" t="str">
        <x:v>public_sse_client_estimate</x:v>
      </x:c>
    </x:row>
    <x:row r="53" ht="48" customHeight="1">
      <x:c r="A53" s="17" t="str">
        <x:v>BUS013</x:v>
      </x:c>
      <x:c r="B53" s="17" t="str">
        <x:v>今天主力净流入最高的前20只股票有哪些？</x:v>
      </x:c>
      <x:c r="C53" s="17" t="n">
        <x:v>3</x:v>
      </x:c>
      <x:c r="D53" s="17" t="str">
        <x:v>数据查询 1/1</x:v>
      </x:c>
      <x:c r="E53" s="17" t="str">
        <x:v>14635.9</x:v>
      </x:c>
      <x:c r="F53" s="17" t="str">
        <x:v>15850.14</x:v>
      </x:c>
      <x:c r="G53" s="18" t="n">
        <x:v>1214.24</x:v>
      </x:c>
      <x:c r="H53" s="18" t="n">
        <x:f>IFERROR(G53/1000,"")</x:f>
        <x:v>1.21424</x:v>
      </x:c>
      <x:c r="I53" s="19" t="n">
        <x:f>IFERROR(G53/J53,"")</x:f>
        <x:v>0.044647266226386026</x:v>
      </x:c>
      <x:c r="J53" s="17" t="n">
        <x:v>27196.29</x:v>
      </x:c>
      <x:c r="K53" s="17" t="str"/>
      <x:c r="L53" s="17" t="str">
        <x:v>已完成：查询今天（最近交易日）主力净流入最高的前20只股票，取得 20 条记录。</x:v>
      </x:c>
      <x:c r="M53" s="17" t="str"/>
      <x:c r="N53" s="18" t="n">
        <x:v>3452.21</x:v>
      </x:c>
      <x:c r="O53" s="17" t="str">
        <x:v>public_sse_client_estimate</x:v>
      </x:c>
    </x:row>
    <x:row r="54" ht="48" customHeight="1">
      <x:c r="A54" s="17" t="str">
        <x:v>BUS013</x:v>
      </x:c>
      <x:c r="B54" s="17" t="str">
        <x:v>今天主力净流入最高的前20只股票有哪些？</x:v>
      </x:c>
      <x:c r="C54" s="17" t="n">
        <x:v>4</x:v>
      </x:c>
      <x:c r="D54" s="17" t="str">
        <x:v>回答整理</x:v>
      </x:c>
      <x:c r="E54" s="17" t="str">
        <x:v>15850.14</x:v>
      </x:c>
      <x:c r="F54" s="17" t="str">
        <x:v>24819.03</x:v>
      </x:c>
      <x:c r="G54" s="18" t="n">
        <x:v>8968.89</x:v>
      </x:c>
      <x:c r="H54" s="18" t="n">
        <x:f>IFERROR(G54/1000,"")</x:f>
        <x:v>8.96889</x:v>
      </x:c>
      <x:c r="I54" s="19" t="n">
        <x:f>IFERROR(G54/J54,"")</x:f>
        <x:v>0.329783584452144</x:v>
      </x:c>
      <x:c r="J54" s="17" t="n">
        <x:v>27196.29</x:v>
      </x:c>
      <x:c r="K54" s="17" t="str"/>
      <x:c r="L54" s="17" t="str">
        <x:v>证据与回答已整理完成。</x:v>
      </x:c>
      <x:c r="M54" s="17" t="str"/>
      <x:c r="N54" s="18" t="n">
        <x:v>0</x:v>
      </x:c>
      <x:c r="O54" s="17" t="str">
        <x:v>public_sse_client_estimate</x:v>
      </x:c>
    </x:row>
    <x:row r="55" ht="48" customHeight="1">
      <x:c r="A55" s="17" t="str">
        <x:v>BUS014</x:v>
      </x:c>
      <x:c r="B55" s="17" t="str">
        <x:v>查询贵州茅台最新主力净额、主力净占比和大单净额。</x:v>
      </x:c>
      <x:c r="C55" s="17" t="n">
        <x:v>1</x:v>
      </x:c>
      <x:c r="D55" s="17" t="str">
        <x:v>问题理解</x:v>
      </x:c>
      <x:c r="E55" s="17" t="str">
        <x:v>6053.22</x:v>
      </x:c>
      <x:c r="F55" s="17" t="str">
        <x:v>10358.62</x:v>
      </x:c>
      <x:c r="G55" s="18" t="n">
        <x:v>4305.4</x:v>
      </x:c>
      <x:c r="H55" s="18" t="n">
        <x:f>IFERROR(G55/1000,"")</x:f>
        <x:v>4.3054</x:v>
      </x:c>
      <x:c r="I55" s="19" t="n">
        <x:f>IFERROR(G55/J55,"")</x:f>
        <x:v>0.1971636714005975</x:v>
      </x:c>
      <x:c r="J55" s="17" t="n">
        <x:v>21836.68</x:v>
      </x:c>
      <x:c r="K55" s="17" t="str"/>
      <x:c r="L55" s="17" t="str">
        <x:v>已明确本题的对象与口径，开始获取所需证据。</x:v>
      </x:c>
      <x:c r="M55" s="17" t="str"/>
      <x:c r="N55" s="18" t="n">
        <x:v>6053.22</x:v>
      </x:c>
      <x:c r="O55" s="17" t="str">
        <x:v>public_sse_client_estimate</x:v>
      </x:c>
    </x:row>
    <x:row r="56" ht="48" customHeight="1">
      <x:c r="A56" s="17" t="str">
        <x:v>BUS014</x:v>
      </x:c>
      <x:c r="B56" s="17" t="str">
        <x:v>查询贵州茅台最新主力净额、主力净占比和大单净额。</x:v>
      </x:c>
      <x:c r="C56" s="17" t="n">
        <x:v>2</x:v>
      </x:c>
      <x:c r="D56" s="17" t="str">
        <x:v>数据口径</x:v>
      </x:c>
      <x:c r="E56" s="17" t="str">
        <x:v>10358.62</x:v>
      </x:c>
      <x:c r="F56" s="17" t="str">
        <x:v>10550.99</x:v>
      </x:c>
      <x:c r="G56" s="18" t="n">
        <x:v>192.37</x:v>
      </x:c>
      <x:c r="H56" s="18" t="n">
        <x:f>IFERROR(G56/1000,"")</x:f>
        <x:v>0.19237</x:v>
      </x:c>
      <x:c r="I56" s="19" t="n">
        <x:f>IFERROR(G56/J56,"")</x:f>
        <x:v>0.008809489354608851</x:v>
      </x:c>
      <x:c r="J56" s="17" t="n">
        <x:v>21836.68</x:v>
      </x:c>
      <x:c r="K56" s="17" t="str"/>
      <x:c r="L56" s="17" t="str">
        <x:v>已定位个股资金流视图，并确认了可用字段与时间口径。</x:v>
      </x:c>
      <x:c r="M56" s="17" t="str"/>
      <x:c r="N56" s="18" t="n">
        <x:v>0</x:v>
      </x:c>
      <x:c r="O56" s="17" t="str">
        <x:v>public_sse_client_estimate</x:v>
      </x:c>
    </x:row>
    <x:row r="57" ht="48" customHeight="1">
      <x:c r="A57" s="17" t="str">
        <x:v>BUS014</x:v>
      </x:c>
      <x:c r="B57" s="17" t="str">
        <x:v>查询贵州茅台最新主力净额、主力净占比和大单净额。</x:v>
      </x:c>
      <x:c r="C57" s="17" t="n">
        <x:v>3</x:v>
      </x:c>
      <x:c r="D57" s="17" t="str">
        <x:v>数据查询 1/1</x:v>
      </x:c>
      <x:c r="E57" s="17" t="str">
        <x:v>14523.17</x:v>
      </x:c>
      <x:c r="F57" s="17" t="str">
        <x:v>15182.22</x:v>
      </x:c>
      <x:c r="G57" s="18" t="n">
        <x:v>659.05</x:v>
      </x:c>
      <x:c r="H57" s="18" t="n">
        <x:f>IFERROR(G57/1000,"")</x:f>
        <x:v>0.6590499999999999</x:v>
      </x:c>
      <x:c r="I57" s="19" t="n">
        <x:f>IFERROR(G57/J57,"")</x:f>
        <x:v>0.03018086998573043</x:v>
      </x:c>
      <x:c r="J57" s="17" t="n">
        <x:v>21836.68</x:v>
      </x:c>
      <x:c r="K57" s="17" t="str"/>
      <x:c r="L57" s="17" t="str">
        <x:v>已完成：查询贵州茅台最新交易日的主力净额、主力净占比和大单净额，取得 1 条记录。</x:v>
      </x:c>
      <x:c r="M57" s="17" t="str"/>
      <x:c r="N57" s="18" t="n">
        <x:v>3972.18</x:v>
      </x:c>
      <x:c r="O57" s="17" t="str">
        <x:v>public_sse_client_estimate</x:v>
      </x:c>
    </x:row>
    <x:row r="58" ht="48" customHeight="1">
      <x:c r="A58" s="17" t="str">
        <x:v>BUS014</x:v>
      </x:c>
      <x:c r="B58" s="17" t="str">
        <x:v>查询贵州茅台最新主力净额、主力净占比和大单净额。</x:v>
      </x:c>
      <x:c r="C58" s="17" t="n">
        <x:v>4</x:v>
      </x:c>
      <x:c r="D58" s="17" t="str">
        <x:v>回答整理</x:v>
      </x:c>
      <x:c r="E58" s="17" t="str">
        <x:v>15182.22</x:v>
      </x:c>
      <x:c r="F58" s="17" t="str">
        <x:v>19085.09</x:v>
      </x:c>
      <x:c r="G58" s="18" t="n">
        <x:v>3902.87</x:v>
      </x:c>
      <x:c r="H58" s="18" t="n">
        <x:f>IFERROR(G58/1000,"")</x:f>
        <x:v>3.90287</x:v>
      </x:c>
      <x:c r="I58" s="19" t="n">
        <x:f>IFERROR(G58/J58,"")</x:f>
        <x:v>0.1787300084078715</x:v>
      </x:c>
      <x:c r="J58" s="17" t="n">
        <x:v>21836.68</x:v>
      </x:c>
      <x:c r="K58" s="17" t="str"/>
      <x:c r="L58" s="17" t="str">
        <x:v>证据与回答已整理完成。</x:v>
      </x:c>
      <x:c r="M58" s="17" t="str"/>
      <x:c r="N58" s="18" t="n">
        <x:v>0</x:v>
      </x:c>
      <x:c r="O58" s="17" t="str">
        <x:v>public_sse_client_estimate</x:v>
      </x:c>
    </x:row>
    <x:row r="59" ht="48" customHeight="1">
      <x:c r="A59" s="17" t="str">
        <x:v>BUS015</x:v>
      </x:c>
      <x:c r="B59" s="17" t="str">
        <x:v>近5个交易日主力净流入合计最高的前10只股票。</x:v>
      </x:c>
      <x:c r="C59" s="17" t="n">
        <x:v>1</x:v>
      </x:c>
      <x:c r="D59" s="17" t="str">
        <x:v>问题理解</x:v>
      </x:c>
      <x:c r="E59" s="17" t="str">
        <x:v>5876.85</x:v>
      </x:c>
      <x:c r="F59" s="17" t="str">
        <x:v>11451.9</x:v>
      </x:c>
      <x:c r="G59" s="18" t="n">
        <x:v>5575.05</x:v>
      </x:c>
      <x:c r="H59" s="18" t="n">
        <x:f>IFERROR(G59/1000,"")</x:f>
        <x:v>5.57505</x:v>
      </x:c>
      <x:c r="I59" s="19" t="n">
        <x:f>IFERROR(G59/J59,"")</x:f>
        <x:v>0.19334510386960715</x:v>
      </x:c>
      <x:c r="J59" s="17" t="n">
        <x:v>28834.71</x:v>
      </x:c>
      <x:c r="K59" s="17" t="str"/>
      <x:c r="L59" s="17" t="str">
        <x:v>已明确本题的对象与口径，开始获取所需证据。</x:v>
      </x:c>
      <x:c r="M59" s="17" t="str"/>
      <x:c r="N59" s="18" t="n">
        <x:v>5876.85</x:v>
      </x:c>
      <x:c r="O59" s="17" t="str">
        <x:v>public_sse_client_estimate</x:v>
      </x:c>
    </x:row>
    <x:row r="60" ht="48" customHeight="1">
      <x:c r="A60" s="17" t="str">
        <x:v>BUS015</x:v>
      </x:c>
      <x:c r="B60" s="17" t="str">
        <x:v>近5个交易日主力净流入合计最高的前10只股票。</x:v>
      </x:c>
      <x:c r="C60" s="17" t="n">
        <x:v>2</x:v>
      </x:c>
      <x:c r="D60" s="17" t="str">
        <x:v>数据口径</x:v>
      </x:c>
      <x:c r="E60" s="17" t="str">
        <x:v>11451.9</x:v>
      </x:c>
      <x:c r="F60" s="17" t="str">
        <x:v>11774.21</x:v>
      </x:c>
      <x:c r="G60" s="18" t="n">
        <x:v>322.31</x:v>
      </x:c>
      <x:c r="H60" s="18" t="n">
        <x:f>IFERROR(G60/1000,"")</x:f>
        <x:v>0.32231</x:v>
      </x:c>
      <x:c r="I60" s="19" t="n">
        <x:f>IFERROR(G60/J60,"")</x:f>
        <x:v>0.011177847809116166</x:v>
      </x:c>
      <x:c r="J60" s="17" t="n">
        <x:v>28834.71</x:v>
      </x:c>
      <x:c r="K60" s="17" t="str"/>
      <x:c r="L60" s="17" t="str">
        <x:v>已定位个股资金流视图，并确认了可用字段与时间口径。</x:v>
      </x:c>
      <x:c r="M60" s="17" t="str"/>
      <x:c r="N60" s="18" t="n">
        <x:v>0</x:v>
      </x:c>
      <x:c r="O60" s="17" t="str">
        <x:v>public_sse_client_estimate</x:v>
      </x:c>
    </x:row>
    <x:row r="61" ht="48" customHeight="1">
      <x:c r="A61" s="17" t="str">
        <x:v>BUS015</x:v>
      </x:c>
      <x:c r="B61" s="17" t="str">
        <x:v>近5个交易日主力净流入合计最高的前10只股票。</x:v>
      </x:c>
      <x:c r="C61" s="17" t="n">
        <x:v>3</x:v>
      </x:c>
      <x:c r="D61" s="17" t="str">
        <x:v>数据查询 1/1</x:v>
      </x:c>
      <x:c r="E61" s="17" t="str">
        <x:v>15969.51</x:v>
      </x:c>
      <x:c r="F61" s="17" t="str">
        <x:v>17734.98</x:v>
      </x:c>
      <x:c r="G61" s="18" t="n">
        <x:v>1765.47</x:v>
      </x:c>
      <x:c r="H61" s="18" t="n">
        <x:f>IFERROR(G61/1000,"")</x:f>
        <x:v>1.76547</x:v>
      </x:c>
      <x:c r="I61" s="19" t="n">
        <x:f>IFERROR(G61/J61,"")</x:f>
        <x:v>0.06122725007464962</x:v>
      </x:c>
      <x:c r="J61" s="17" t="n">
        <x:v>28834.71</x:v>
      </x:c>
      <x:c r="K61" s="17" t="str"/>
      <x:c r="L61" s="17" t="str">
        <x:v>已完成：查询近5个交易日主力净流入合计最高的前10只股票，取得 10 条记录。</x:v>
      </x:c>
      <x:c r="M61" s="17" t="str"/>
      <x:c r="N61" s="18" t="n">
        <x:v>4195.3</x:v>
      </x:c>
      <x:c r="O61" s="17" t="str">
        <x:v>public_sse_client_estimate</x:v>
      </x:c>
    </x:row>
    <x:row r="62" ht="48" customHeight="1">
      <x:c r="A62" s="17" t="str">
        <x:v>BUS015</x:v>
      </x:c>
      <x:c r="B62" s="17" t="str">
        <x:v>近5个交易日主力净流入合计最高的前10只股票。</x:v>
      </x:c>
      <x:c r="C62" s="17" t="n">
        <x:v>4</x:v>
      </x:c>
      <x:c r="D62" s="17" t="str">
        <x:v>回答整理</x:v>
      </x:c>
      <x:c r="E62" s="17" t="str">
        <x:v>17734.98</x:v>
      </x:c>
      <x:c r="F62" s="17" t="str">
        <x:v>26356.71</x:v>
      </x:c>
      <x:c r="G62" s="18" t="n">
        <x:v>8621.73</x:v>
      </x:c>
      <x:c r="H62" s="18" t="n">
        <x:f>IFERROR(G62/1000,"")</x:f>
        <x:v>8.62173</x:v>
      </x:c>
      <x:c r="I62" s="19" t="n">
        <x:f>IFERROR(G62/J62,"")</x:f>
        <x:v>0.2990052613672896</x:v>
      </x:c>
      <x:c r="J62" s="17" t="n">
        <x:v>28834.71</x:v>
      </x:c>
      <x:c r="K62" s="17" t="str"/>
      <x:c r="L62" s="17" t="str">
        <x:v>证据与回答已整理完成。</x:v>
      </x:c>
      <x:c r="M62" s="17" t="str"/>
      <x:c r="N62" s="18" t="n">
        <x:v>0</x:v>
      </x:c>
      <x:c r="O62" s="17" t="str">
        <x:v>public_sse_client_estimate</x:v>
      </x:c>
    </x:row>
    <x:row r="63" ht="48" customHeight="1">
      <x:c r="A63" s="17" t="str">
        <x:v>BUS017</x:v>
      </x:c>
      <x:c r="B63" s="17" t="str">
        <x:v>查询宁德时代最近10个交易日的主力净流入明细。</x:v>
      </x:c>
      <x:c r="C63" s="17" t="n">
        <x:v>1</x:v>
      </x:c>
      <x:c r="D63" s="17" t="str">
        <x:v>问题理解</x:v>
      </x:c>
      <x:c r="E63" s="17" t="str">
        <x:v>5959.89</x:v>
      </x:c>
      <x:c r="F63" s="17" t="str">
        <x:v>8877.9</x:v>
      </x:c>
      <x:c r="G63" s="18" t="n">
        <x:v>2918.01</x:v>
      </x:c>
      <x:c r="H63" s="18" t="n">
        <x:f>IFERROR(G63/1000,"")</x:f>
        <x:v>2.91801</x:v>
      </x:c>
      <x:c r="I63" s="19" t="n">
        <x:f>IFERROR(G63/J63,"")</x:f>
        <x:v>0.1231715857042094</x:v>
      </x:c>
      <x:c r="J63" s="17" t="n">
        <x:v>23690.61</x:v>
      </x:c>
      <x:c r="K63" s="17" t="str"/>
      <x:c r="L63" s="17" t="str">
        <x:v>已明确本题的对象与口径，开始获取所需证据。</x:v>
      </x:c>
      <x:c r="M63" s="17" t="str"/>
      <x:c r="N63" s="18" t="n">
        <x:v>5959.89</x:v>
      </x:c>
      <x:c r="O63" s="17" t="str">
        <x:v>public_sse_client_estimate</x:v>
      </x:c>
    </x:row>
    <x:row r="64" ht="48" customHeight="1">
      <x:c r="A64" s="17" t="str">
        <x:v>BUS017</x:v>
      </x:c>
      <x:c r="B64" s="17" t="str">
        <x:v>查询宁德时代最近10个交易日的主力净流入明细。</x:v>
      </x:c>
      <x:c r="C64" s="17" t="n">
        <x:v>2</x:v>
      </x:c>
      <x:c r="D64" s="17" t="str">
        <x:v>数据口径</x:v>
      </x:c>
      <x:c r="E64" s="17" t="str">
        <x:v>8877.9</x:v>
      </x:c>
      <x:c r="F64" s="17" t="str">
        <x:v>8920.81</x:v>
      </x:c>
      <x:c r="G64" s="18" t="n">
        <x:v>42.91</x:v>
      </x:c>
      <x:c r="H64" s="18" t="n">
        <x:f>IFERROR(G64/1000,"")</x:f>
        <x:v>0.04291</x:v>
      </x:c>
      <x:c r="I64" s="19" t="n">
        <x:f>IFERROR(G64/J64,"")</x:f>
        <x:v>0.001811266151441436</x:v>
      </x:c>
      <x:c r="J64" s="17" t="n">
        <x:v>23690.61</x:v>
      </x:c>
      <x:c r="K64" s="17" t="str"/>
      <x:c r="L64" s="17" t="str">
        <x:v>已定位个股资金流视图，并确认了可用字段与时间口径。</x:v>
      </x:c>
      <x:c r="M64" s="17" t="str"/>
      <x:c r="N64" s="18" t="n">
        <x:v>0</x:v>
      </x:c>
      <x:c r="O64" s="17" t="str">
        <x:v>public_sse_client_estimate</x:v>
      </x:c>
    </x:row>
    <x:row r="65" ht="48" customHeight="1">
      <x:c r="A65" s="17" t="str">
        <x:v>BUS017</x:v>
      </x:c>
      <x:c r="B65" s="17" t="str">
        <x:v>查询宁德时代最近10个交易日的主力净流入明细。</x:v>
      </x:c>
      <x:c r="C65" s="17" t="n">
        <x:v>3</x:v>
      </x:c>
      <x:c r="D65" s="17" t="str">
        <x:v>数据查询 1/1</x:v>
      </x:c>
      <x:c r="E65" s="17" t="str">
        <x:v>13426.51</x:v>
      </x:c>
      <x:c r="F65" s="17" t="str">
        <x:v>14024.37</x:v>
      </x:c>
      <x:c r="G65" s="18" t="n">
        <x:v>597.86</x:v>
      </x:c>
      <x:c r="H65" s="18" t="n">
        <x:f>IFERROR(G65/1000,"")</x:f>
        <x:v>0.5978600000000001</x:v>
      </x:c>
      <x:c r="I65" s="19" t="n">
        <x:f>IFERROR(G65/J65,"")</x:f>
        <x:v>0.025236158967624725</x:v>
      </x:c>
      <x:c r="J65" s="17" t="n">
        <x:v>23690.61</x:v>
      </x:c>
      <x:c r="K65" s="17" t="str"/>
      <x:c r="L65" s="17" t="str">
        <x:v>已完成：查询宁德时代最近10个交易日的主力净流入明细数据，取得 1 条记录。</x:v>
      </x:c>
      <x:c r="M65" s="17" t="str"/>
      <x:c r="N65" s="18" t="n">
        <x:v>4505.7</x:v>
      </x:c>
      <x:c r="O65" s="17" t="str">
        <x:v>public_sse_client_estimate</x:v>
      </x:c>
    </x:row>
    <x:row r="66" ht="48" customHeight="1">
      <x:c r="A66" s="17" t="str">
        <x:v>BUS017</x:v>
      </x:c>
      <x:c r="B66" s="17" t="str">
        <x:v>查询宁德时代最近10个交易日的主力净流入明细。</x:v>
      </x:c>
      <x:c r="C66" s="17" t="n">
        <x:v>4</x:v>
      </x:c>
      <x:c r="D66" s="17" t="str">
        <x:v>回答整理</x:v>
      </x:c>
      <x:c r="E66" s="17" t="str">
        <x:v>14024.37</x:v>
      </x:c>
      <x:c r="F66" s="17" t="str">
        <x:v>20226.28</x:v>
      </x:c>
      <x:c r="G66" s="18" t="n">
        <x:v>6201.91</x:v>
      </x:c>
      <x:c r="H66" s="18" t="n">
        <x:f>IFERROR(G66/1000,"")</x:f>
        <x:v>6.20191</x:v>
      </x:c>
      <x:c r="I66" s="19" t="n">
        <x:f>IFERROR(G66/J66,"")</x:f>
        <x:v>0.2617876871891437</x:v>
      </x:c>
      <x:c r="J66" s="17" t="n">
        <x:v>23690.61</x:v>
      </x:c>
      <x:c r="K66" s="17" t="str"/>
      <x:c r="L66" s="17" t="str">
        <x:v>证据与回答已整理完成。</x:v>
      </x:c>
      <x:c r="M66" s="17" t="str"/>
      <x:c r="N66" s="18" t="n">
        <x:v>0</x:v>
      </x:c>
      <x:c r="O66" s="17" t="str">
        <x:v>public_sse_client_estimate</x:v>
      </x:c>
    </x:row>
    <x:row r="67" ht="48" customHeight="1">
      <x:c r="A67" s="17" t="str">
        <x:v>BUS018</x:v>
      </x:c>
      <x:c r="B67" s="17" t="str">
        <x:v>今天超大单买入额最高的前10只股票。</x:v>
      </x:c>
      <x:c r="C67" s="17" t="n">
        <x:v>1</x:v>
      </x:c>
      <x:c r="D67" s="17" t="str">
        <x:v>问题理解</x:v>
      </x:c>
      <x:c r="E67" s="17" t="str">
        <x:v>5523.47</x:v>
      </x:c>
      <x:c r="F67" s="17" t="str">
        <x:v>9678.96</x:v>
      </x:c>
      <x:c r="G67" s="18" t="n">
        <x:v>4155.49</x:v>
      </x:c>
      <x:c r="H67" s="18" t="n">
        <x:f>IFERROR(G67/1000,"")</x:f>
        <x:v>4.1554899999999995</x:v>
      </x:c>
      <x:c r="I67" s="19" t="n">
        <x:f>IFERROR(G67/J67,"")</x:f>
        <x:v>0.1588591473538257</x:v>
      </x:c>
      <x:c r="J67" s="17" t="n">
        <x:v>26158.33</x:v>
      </x:c>
      <x:c r="K67" s="17" t="str"/>
      <x:c r="L67" s="17" t="str">
        <x:v>已明确本题的对象与口径，开始获取所需证据。</x:v>
      </x:c>
      <x:c r="M67" s="17" t="str"/>
      <x:c r="N67" s="18" t="n">
        <x:v>5523.47</x:v>
      </x:c>
      <x:c r="O67" s="17" t="str">
        <x:v>public_sse_client_estimate</x:v>
      </x:c>
    </x:row>
    <x:row r="68" ht="48" customHeight="1">
      <x:c r="A68" s="17" t="str">
        <x:v>BUS018</x:v>
      </x:c>
      <x:c r="B68" s="17" t="str">
        <x:v>今天超大单买入额最高的前10只股票。</x:v>
      </x:c>
      <x:c r="C68" s="17" t="n">
        <x:v>2</x:v>
      </x:c>
      <x:c r="D68" s="17" t="str">
        <x:v>数据口径</x:v>
      </x:c>
      <x:c r="E68" s="17" t="str">
        <x:v>9678.96</x:v>
      </x:c>
      <x:c r="F68" s="17" t="str">
        <x:v>9728.3</x:v>
      </x:c>
      <x:c r="G68" s="18" t="n">
        <x:v>49.34</x:v>
      </x:c>
      <x:c r="H68" s="18" t="n">
        <x:f>IFERROR(G68/1000,"")</x:f>
        <x:v>0.04934</x:v>
      </x:c>
      <x:c r="I68" s="19" t="n">
        <x:f>IFERROR(G68/J68,"")</x:f>
        <x:v>0.0018862060383824197</x:v>
      </x:c>
      <x:c r="J68" s="17" t="n">
        <x:v>26158.33</x:v>
      </x:c>
      <x:c r="K68" s="17" t="str"/>
      <x:c r="L68" s="17" t="str">
        <x:v>已定位个股资金流视图，并确认了可用字段与时间口径。</x:v>
      </x:c>
      <x:c r="M68" s="17" t="str"/>
      <x:c r="N68" s="18" t="n">
        <x:v>0</x:v>
      </x:c>
      <x:c r="O68" s="17" t="str">
        <x:v>public_sse_client_estimate</x:v>
      </x:c>
    </x:row>
    <x:row r="69" ht="48" customHeight="1">
      <x:c r="A69" s="17" t="str">
        <x:v>BUS018</x:v>
      </x:c>
      <x:c r="B69" s="17" t="str">
        <x:v>今天超大单买入额最高的前10只股票。</x:v>
      </x:c>
      <x:c r="C69" s="17" t="n">
        <x:v>3</x:v>
      </x:c>
      <x:c r="D69" s="17" t="str">
        <x:v>数据查询 1/1</x:v>
      </x:c>
      <x:c r="E69" s="17" t="str">
        <x:v>13766.1</x:v>
      </x:c>
      <x:c r="F69" s="17" t="str">
        <x:v>14798.24</x:v>
      </x:c>
      <x:c r="G69" s="18" t="n">
        <x:v>1032.14</x:v>
      </x:c>
      <x:c r="H69" s="18" t="n">
        <x:f>IFERROR(G69/1000,"")</x:f>
        <x:v>1.03214</x:v>
      </x:c>
      <x:c r="I69" s="19" t="n">
        <x:f>IFERROR(G69/J69,"")</x:f>
        <x:v>0.03945741184548096</x:v>
      </x:c>
      <x:c r="J69" s="17" t="n">
        <x:v>26158.33</x:v>
      </x:c>
      <x:c r="K69" s="17" t="str"/>
      <x:c r="L69" s="17" t="str">
        <x:v>已完成：查询今天（最近交易日）超大单买入额最高的前10只股票，取得 10 条记录。</x:v>
      </x:c>
      <x:c r="M69" s="17" t="str"/>
      <x:c r="N69" s="18" t="n">
        <x:v>4037.8</x:v>
      </x:c>
      <x:c r="O69" s="17" t="str">
        <x:v>public_sse_client_estimate</x:v>
      </x:c>
    </x:row>
    <x:row r="70" ht="48" customHeight="1">
      <x:c r="A70" s="17" t="str">
        <x:v>BUS018</x:v>
      </x:c>
      <x:c r="B70" s="17" t="str">
        <x:v>今天超大单买入额最高的前10只股票。</x:v>
      </x:c>
      <x:c r="C70" s="17" t="n">
        <x:v>4</x:v>
      </x:c>
      <x:c r="D70" s="17" t="str">
        <x:v>回答整理</x:v>
      </x:c>
      <x:c r="E70" s="17" t="str">
        <x:v>14798.24</x:v>
      </x:c>
      <x:c r="F70" s="17" t="str">
        <x:v>23731.66</x:v>
      </x:c>
      <x:c r="G70" s="18" t="n">
        <x:v>8933.42</x:v>
      </x:c>
      <x:c r="H70" s="18" t="n">
        <x:f>IFERROR(G70/1000,"")</x:f>
        <x:v>8.93342</x:v>
      </x:c>
      <x:c r="I70" s="19" t="n">
        <x:f>IFERROR(G70/J70,"")</x:f>
        <x:v>0.34151339171881384</x:v>
      </x:c>
      <x:c r="J70" s="17" t="n">
        <x:v>26158.33</x:v>
      </x:c>
      <x:c r="K70" s="17" t="str"/>
      <x:c r="L70" s="17" t="str">
        <x:v>证据与回答已整理完成。</x:v>
      </x:c>
      <x:c r="M70" s="17" t="str"/>
      <x:c r="N70" s="18" t="n">
        <x:v>0</x:v>
      </x:c>
      <x:c r="O70" s="17" t="str">
        <x:v>public_sse_client_estimate</x:v>
      </x:c>
    </x:row>
    <x:row r="71" ht="48" customHeight="1">
      <x:c r="A71" s="17" t="str">
        <x:v>BUS019</x:v>
      </x:c>
      <x:c r="B71" s="17" t="str">
        <x:v>查询招商银行当前PE、PB和总市值。</x:v>
      </x:c>
      <x:c r="C71" s="17" t="n">
        <x:v>1</x:v>
      </x:c>
      <x:c r="D71" s="17" t="str">
        <x:v>问题理解</x:v>
      </x:c>
      <x:c r="E71" s="17" t="str">
        <x:v>5370.69</x:v>
      </x:c>
      <x:c r="F71" s="17" t="str">
        <x:v>8338.27</x:v>
      </x:c>
      <x:c r="G71" s="18" t="n">
        <x:v>2967.58</x:v>
      </x:c>
      <x:c r="H71" s="18" t="n">
        <x:f>IFERROR(G71/1000,"")</x:f>
        <x:v>2.96758</x:v>
      </x:c>
      <x:c r="I71" s="19" t="n">
        <x:f>IFERROR(G71/J71,"")</x:f>
        <x:v>0.14866220149384576</x:v>
      </x:c>
      <x:c r="J71" s="17" t="n">
        <x:v>19961.9</x:v>
      </x:c>
      <x:c r="K71" s="17" t="str"/>
      <x:c r="L71" s="17" t="str">
        <x:v>已明确本题的对象与口径，开始获取所需证据。</x:v>
      </x:c>
      <x:c r="M71" s="17" t="str"/>
      <x:c r="N71" s="18" t="n">
        <x:v>5370.69</x:v>
      </x:c>
      <x:c r="O71" s="17" t="str">
        <x:v>public_sse_client_estimate</x:v>
      </x:c>
    </x:row>
    <x:row r="72" ht="48" customHeight="1">
      <x:c r="A72" s="17" t="str">
        <x:v>BUS019</x:v>
      </x:c>
      <x:c r="B72" s="17" t="str">
        <x:v>查询招商银行当前PE、PB和总市值。</x:v>
      </x:c>
      <x:c r="C72" s="17" t="n">
        <x:v>2</x:v>
      </x:c>
      <x:c r="D72" s="17" t="str">
        <x:v>数据口径</x:v>
      </x:c>
      <x:c r="E72" s="17" t="str">
        <x:v>8338.27</x:v>
      </x:c>
      <x:c r="F72" s="17" t="str">
        <x:v>8418.35</x:v>
      </x:c>
      <x:c r="G72" s="18" t="n">
        <x:v>80.08</x:v>
      </x:c>
      <x:c r="H72" s="18" t="n">
        <x:f>IFERROR(G72/1000,"")</x:f>
        <x:v>0.08008</x:v>
      </x:c>
      <x:c r="I72" s="19" t="n">
        <x:f>IFERROR(G72/J72,"")</x:f>
        <x:v>0.004011642178349756</x:v>
      </x:c>
      <x:c r="J72" s="17" t="n">
        <x:v>19961.9</x:v>
      </x:c>
      <x:c r="K72" s="17" t="str"/>
      <x:c r="L72" s="17" t="str">
        <x:v>已定位个股估值视图，并确认了可用字段与时间口径。</x:v>
      </x:c>
      <x:c r="M72" s="17" t="str"/>
      <x:c r="N72" s="18" t="n">
        <x:v>0</x:v>
      </x:c>
      <x:c r="O72" s="17" t="str">
        <x:v>public_sse_client_estimate</x:v>
      </x:c>
    </x:row>
    <x:row r="73" ht="48" customHeight="1">
      <x:c r="A73" s="17" t="str">
        <x:v>BUS019</x:v>
      </x:c>
      <x:c r="B73" s="17" t="str">
        <x:v>查询招商银行当前PE、PB和总市值。</x:v>
      </x:c>
      <x:c r="C73" s="17" t="n">
        <x:v>3</x:v>
      </x:c>
      <x:c r="D73" s="17" t="str">
        <x:v>数据查询 1/1</x:v>
      </x:c>
      <x:c r="E73" s="17" t="str">
        <x:v>13440.78</x:v>
      </x:c>
      <x:c r="F73" s="17" t="str">
        <x:v>14016.69</x:v>
      </x:c>
      <x:c r="G73" s="18" t="n">
        <x:v>575.91</x:v>
      </x:c>
      <x:c r="H73" s="18" t="n">
        <x:f>IFERROR(G73/1000,"")</x:f>
        <x:v>0.5759099999999999</x:v>
      </x:c>
      <x:c r="I73" s="19" t="n">
        <x:f>IFERROR(G73/J73,"")</x:f>
        <x:v>0.028850460126541057</x:v>
      </x:c>
      <x:c r="J73" s="17" t="n">
        <x:v>19961.9</x:v>
      </x:c>
      <x:c r="K73" s="17" t="str"/>
      <x:c r="L73" s="17" t="str">
        <x:v>已完成：查询招商银行当前PE、PB和总市值，取得 1 条记录。</x:v>
      </x:c>
      <x:c r="M73" s="17" t="str"/>
      <x:c r="N73" s="18" t="n">
        <x:v>5022.43</x:v>
      </x:c>
      <x:c r="O73" s="17" t="str">
        <x:v>public_sse_client_estimate</x:v>
      </x:c>
    </x:row>
    <x:row r="74" ht="48" customHeight="1">
      <x:c r="A74" s="17" t="str">
        <x:v>BUS019</x:v>
      </x:c>
      <x:c r="B74" s="17" t="str">
        <x:v>查询招商银行当前PE、PB和总市值。</x:v>
      </x:c>
      <x:c r="C74" s="17" t="n">
        <x:v>4</x:v>
      </x:c>
      <x:c r="D74" s="17" t="str">
        <x:v>回答整理</x:v>
      </x:c>
      <x:c r="E74" s="17" t="str">
        <x:v>14016.69</x:v>
      </x:c>
      <x:c r="F74" s="17" t="str">
        <x:v>17293.01</x:v>
      </x:c>
      <x:c r="G74" s="18" t="n">
        <x:v>3276.32</x:v>
      </x:c>
      <x:c r="H74" s="18" t="n">
        <x:f>IFERROR(G74/1000,"")</x:f>
        <x:v>3.27632</x:v>
      </x:c>
      <x:c r="I74" s="19" t="n">
        <x:f>IFERROR(G74/J74,"")</x:f>
        <x:v>0.1641286651070289</x:v>
      </x:c>
      <x:c r="J74" s="17" t="n">
        <x:v>19961.9</x:v>
      </x:c>
      <x:c r="K74" s="17" t="str"/>
      <x:c r="L74" s="17" t="str">
        <x:v>证据与回答已整理完成。</x:v>
      </x:c>
      <x:c r="M74" s="17" t="str"/>
      <x:c r="N74" s="18" t="n">
        <x:v>0</x:v>
      </x:c>
      <x:c r="O74" s="17" t="str">
        <x:v>public_sse_client_estimate</x:v>
      </x:c>
    </x:row>
    <x:row r="75" ht="48" customHeight="1">
      <x:c r="A75" s="17" t="str">
        <x:v>BUS021</x:v>
      </x:c>
      <x:c r="B75" s="17" t="str">
        <x:v>当前总市值最大的前20只股票有哪些？</x:v>
      </x:c>
      <x:c r="C75" s="17" t="n">
        <x:v>1</x:v>
      </x:c>
      <x:c r="D75" s="17" t="str">
        <x:v>问题理解</x:v>
      </x:c>
      <x:c r="E75" s="17" t="str">
        <x:v>5656.34</x:v>
      </x:c>
      <x:c r="F75" s="17" t="str">
        <x:v>7979.34</x:v>
      </x:c>
      <x:c r="G75" s="18" t="n">
        <x:v>2323</x:v>
      </x:c>
      <x:c r="H75" s="18" t="n">
        <x:f>IFERROR(G75/1000,"")</x:f>
        <x:v>2.323</x:v>
      </x:c>
      <x:c r="I75" s="19" t="n">
        <x:f>IFERROR(G75/J75,"")</x:f>
        <x:v>0.07427698248080006</x:v>
      </x:c>
      <x:c r="J75" s="17" t="n">
        <x:v>31274.83</x:v>
      </x:c>
      <x:c r="K75" s="17" t="str"/>
      <x:c r="L75" s="17" t="str">
        <x:v>已明确本题的对象与口径，开始获取所需证据。</x:v>
      </x:c>
      <x:c r="M75" s="17" t="str"/>
      <x:c r="N75" s="18" t="n">
        <x:v>5656.34</x:v>
      </x:c>
      <x:c r="O75" s="17" t="str">
        <x:v>public_sse_client_estimate</x:v>
      </x:c>
    </x:row>
    <x:row r="76" ht="48" customHeight="1">
      <x:c r="A76" s="17" t="str">
        <x:v>BUS021</x:v>
      </x:c>
      <x:c r="B76" s="17" t="str">
        <x:v>当前总市值最大的前20只股票有哪些？</x:v>
      </x:c>
      <x:c r="C76" s="17" t="n">
        <x:v>2</x:v>
      </x:c>
      <x:c r="D76" s="17" t="str">
        <x:v>数据口径</x:v>
      </x:c>
      <x:c r="E76" s="17" t="str">
        <x:v>7979.34</x:v>
      </x:c>
      <x:c r="F76" s="17" t="str">
        <x:v>8031.43</x:v>
      </x:c>
      <x:c r="G76" s="18" t="n">
        <x:v>52.09</x:v>
      </x:c>
      <x:c r="H76" s="18" t="n">
        <x:f>IFERROR(G76/1000,"")</x:f>
        <x:v>0.052090000000000004</x:v>
      </x:c>
      <x:c r="I76" s="19" t="n">
        <x:f>IFERROR(G76/J76,"")</x:f>
        <x:v>0.001665556615335719</x:v>
      </x:c>
      <x:c r="J76" s="17" t="n">
        <x:v>31274.83</x:v>
      </x:c>
      <x:c r="K76" s="17" t="str"/>
      <x:c r="L76" s="17" t="str">
        <x:v>已定位个股行情视图，并确认了可用字段与时间口径。</x:v>
      </x:c>
      <x:c r="M76" s="17" t="str"/>
      <x:c r="N76" s="18" t="n">
        <x:v>0</x:v>
      </x:c>
      <x:c r="O76" s="17" t="str">
        <x:v>public_sse_client_estimate</x:v>
      </x:c>
    </x:row>
    <x:row r="77" ht="48" customHeight="1">
      <x:c r="A77" s="17" t="str">
        <x:v>BUS021</x:v>
      </x:c>
      <x:c r="B77" s="17" t="str">
        <x:v>当前总市值最大的前20只股票有哪些？</x:v>
      </x:c>
      <x:c r="C77" s="17" t="n">
        <x:v>3</x:v>
      </x:c>
      <x:c r="D77" s="17" t="str">
        <x:v>数据口径</x:v>
      </x:c>
      <x:c r="E77" s="17" t="str">
        <x:v>8031.43</x:v>
      </x:c>
      <x:c r="F77" s="17" t="str">
        <x:v>10273.8</x:v>
      </x:c>
      <x:c r="G77" s="18" t="n">
        <x:v>2242.37</x:v>
      </x:c>
      <x:c r="H77" s="18" t="n">
        <x:f>IFERROR(G77/1000,"")</x:f>
        <x:v>2.2423699999999998</x:v>
      </x:c>
      <x:c r="I77" s="19" t="n">
        <x:f>IFERROR(G77/J77,"")</x:f>
        <x:v>0.07169887094510186</x:v>
      </x:c>
      <x:c r="J77" s="17" t="n">
        <x:v>31274.83</x:v>
      </x:c>
      <x:c r="K77" s="17" t="str"/>
      <x:c r="L77" s="17" t="str">
        <x:v>已定位股票基础信息视图，并确认了可用字段与时间口径。</x:v>
      </x:c>
      <x:c r="M77" s="17" t="str"/>
      <x:c r="N77" s="18" t="n">
        <x:v>0</x:v>
      </x:c>
      <x:c r="O77" s="17" t="str">
        <x:v>public_sse_client_estimate</x:v>
      </x:c>
    </x:row>
    <x:row r="78" ht="48" customHeight="1">
      <x:c r="A78" s="17" t="str">
        <x:v>BUS021</x:v>
      </x:c>
      <x:c r="B78" s="17" t="str">
        <x:v>当前总市值最大的前20只股票有哪些？</x:v>
      </x:c>
      <x:c r="C78" s="17" t="n">
        <x:v>4</x:v>
      </x:c>
      <x:c r="D78" s="17" t="str">
        <x:v>数据口径</x:v>
      </x:c>
      <x:c r="E78" s="17" t="str">
        <x:v>10273.8</x:v>
      </x:c>
      <x:c r="F78" s="17" t="str">
        <x:v>10620.97</x:v>
      </x:c>
      <x:c r="G78" s="18" t="n">
        <x:v>347.17</x:v>
      </x:c>
      <x:c r="H78" s="18" t="n">
        <x:f>IFERROR(G78/1000,"")</x:f>
        <x:v>0.34717000000000003</x:v>
      </x:c>
      <x:c r="I78" s="19" t="n">
        <x:f>IFERROR(G78/J78,"")</x:f>
        <x:v>0.011100619891459043</x:v>
      </x:c>
      <x:c r="J78" s="17" t="n">
        <x:v>31274.83</x:v>
      </x:c>
      <x:c r="K78" s="17" t="str"/>
      <x:c r="L78" s="17" t="str">
        <x:v>已定位个股估值视图，并确认了可用字段与时间口径。</x:v>
      </x:c>
      <x:c r="M78" s="17" t="str"/>
      <x:c r="N78" s="18" t="n">
        <x:v>0</x:v>
      </x:c>
      <x:c r="O78" s="17" t="str">
        <x:v>public_sse_client_estimate</x:v>
      </x:c>
    </x:row>
    <x:row r="79" ht="48" customHeight="1">
      <x:c r="A79" s="17" t="str">
        <x:v>BUS021</x:v>
      </x:c>
      <x:c r="B79" s="17" t="str">
        <x:v>当前总市值最大的前20只股票有哪些？</x:v>
      </x:c>
      <x:c r="C79" s="17" t="n">
        <x:v>5</x:v>
      </x:c>
      <x:c r="D79" s="17" t="str">
        <x:v>数据查询 1/1</x:v>
      </x:c>
      <x:c r="E79" s="17" t="str">
        <x:v>15835.04</x:v>
      </x:c>
      <x:c r="F79" s="17" t="str">
        <x:v>16779.48</x:v>
      </x:c>
      <x:c r="G79" s="18" t="n">
        <x:v>944.44</x:v>
      </x:c>
      <x:c r="H79" s="18" t="n">
        <x:f>IFERROR(G79/1000,"")</x:f>
        <x:v>0.9444400000000001</x:v>
      </x:c>
      <x:c r="I79" s="19" t="n">
        <x:f>IFERROR(G79/J79,"")</x:f>
        <x:v>0.030198085808939647</x:v>
      </x:c>
      <x:c r="J79" s="17" t="n">
        <x:v>31274.83</x:v>
      </x:c>
      <x:c r="K79" s="17" t="str"/>
      <x:c r="L79" s="17" t="str">
        <x:v>已完成：查询总市值最大的前20只股票，取得 20 条记录。</x:v>
      </x:c>
      <x:c r="M79" s="17" t="str"/>
      <x:c r="N79" s="18" t="n">
        <x:v>5214.07</x:v>
      </x:c>
      <x:c r="O79" s="17" t="str">
        <x:v>public_sse_client_estimate</x:v>
      </x:c>
    </x:row>
    <x:row r="80" ht="48" customHeight="1">
      <x:c r="A80" s="17" t="str">
        <x:v>BUS021</x:v>
      </x:c>
      <x:c r="B80" s="17" t="str">
        <x:v>当前总市值最大的前20只股票有哪些？</x:v>
      </x:c>
      <x:c r="C80" s="17" t="n">
        <x:v>6</x:v>
      </x:c>
      <x:c r="D80" s="17" t="str">
        <x:v>回答整理</x:v>
      </x:c>
      <x:c r="E80" s="17" t="str">
        <x:v>16779.48</x:v>
      </x:c>
      <x:c r="F80" s="17" t="str">
        <x:v>28370.58</x:v>
      </x:c>
      <x:c r="G80" s="18" t="n">
        <x:v>11591.1</x:v>
      </x:c>
      <x:c r="H80" s="18" t="n">
        <x:f>IFERROR(G80/1000,"")</x:f>
        <x:v>11.5911</x:v>
      </x:c>
      <x:c r="I80" s="19" t="n">
        <x:f>IFERROR(G80/J80,"")</x:f>
        <x:v>0.3706207196010338</x:v>
      </x:c>
      <x:c r="J80" s="17" t="n">
        <x:v>31274.83</x:v>
      </x:c>
      <x:c r="K80" s="17" t="str"/>
      <x:c r="L80" s="17" t="str">
        <x:v>证据与回答已整理完成。</x:v>
      </x:c>
      <x:c r="M80" s="17" t="str"/>
      <x:c r="N80" s="18" t="n">
        <x:v>0</x:v>
      </x:c>
      <x:c r="O80" s="17" t="str">
        <x:v>public_sse_client_estimate</x:v>
      </x:c>
    </x:row>
    <x:row r="81" ht="48" customHeight="1">
      <x:c r="A81" s="17" t="str">
        <x:v>BUS022</x:v>
      </x:c>
      <x:c r="B81" s="17" t="str">
        <x:v>查询宁德时代最近20个交易日PE_TTM和PB变化。</x:v>
      </x:c>
      <x:c r="C81" s="17" t="n">
        <x:v>1</x:v>
      </x:c>
      <x:c r="D81" s="17" t="str">
        <x:v>问题理解</x:v>
      </x:c>
      <x:c r="E81" s="17" t="str">
        <x:v>5520.81</x:v>
      </x:c>
      <x:c r="F81" s="17" t="str">
        <x:v>7904.47</x:v>
      </x:c>
      <x:c r="G81" s="18" t="n">
        <x:v>2383.66</x:v>
      </x:c>
      <x:c r="H81" s="18" t="n">
        <x:f>IFERROR(G81/1000,"")</x:f>
        <x:v>2.38366</x:v>
      </x:c>
      <x:c r="I81" s="19" t="n">
        <x:f>IFERROR(G81/J81,"")</x:f>
        <x:v>0.06068003922363274</x:v>
      </x:c>
      <x:c r="J81" s="17" t="n">
        <x:v>39282.44</x:v>
      </x:c>
      <x:c r="K81" s="17" t="str"/>
      <x:c r="L81" s="17" t="str">
        <x:v>已明确本题的对象与口径，开始获取所需证据。</x:v>
      </x:c>
      <x:c r="M81" s="17" t="str"/>
      <x:c r="N81" s="18" t="n">
        <x:v>5520.81</x:v>
      </x:c>
      <x:c r="O81" s="17" t="str">
        <x:v>public_sse_client_estimate</x:v>
      </x:c>
    </x:row>
    <x:row r="82" ht="48" customHeight="1">
      <x:c r="A82" s="17" t="str">
        <x:v>BUS022</x:v>
      </x:c>
      <x:c r="B82" s="17" t="str">
        <x:v>查询宁德时代最近20个交易日PE_TTM和PB变化。</x:v>
      </x:c>
      <x:c r="C82" s="17" t="n">
        <x:v>2</x:v>
      </x:c>
      <x:c r="D82" s="17" t="str">
        <x:v>数据口径</x:v>
      </x:c>
      <x:c r="E82" s="17" t="str">
        <x:v>7904.47</x:v>
      </x:c>
      <x:c r="F82" s="17" t="str">
        <x:v>7952.98</x:v>
      </x:c>
      <x:c r="G82" s="18" t="n">
        <x:v>48.51</x:v>
      </x:c>
      <x:c r="H82" s="18" t="n">
        <x:f>IFERROR(G82/1000,"")</x:f>
        <x:v>0.04851</x:v>
      </x:c>
      <x:c r="I82" s="19" t="n">
        <x:f>IFERROR(G82/J82,"")</x:f>
        <x:v>0.0012349029235454822</x:v>
      </x:c>
      <x:c r="J82" s="17" t="n">
        <x:v>39282.44</x:v>
      </x:c>
      <x:c r="K82" s="17" t="str"/>
      <x:c r="L82" s="17" t="str">
        <x:v>已定位个股估值视图，并确认了可用字段与时间口径。</x:v>
      </x:c>
      <x:c r="M82" s="17" t="str"/>
      <x:c r="N82" s="18" t="n">
        <x:v>0</x:v>
      </x:c>
      <x:c r="O82" s="17" t="str">
        <x:v>public_sse_client_estimate</x:v>
      </x:c>
    </x:row>
    <x:row r="83" ht="48" customHeight="1">
      <x:c r="A83" s="17" t="str">
        <x:v>BUS022</x:v>
      </x:c>
      <x:c r="B83" s="17" t="str">
        <x:v>查询宁德时代最近20个交易日PE_TTM和PB变化。</x:v>
      </x:c>
      <x:c r="C83" s="17" t="n">
        <x:v>3</x:v>
      </x:c>
      <x:c r="D83" s="17" t="str">
        <x:v>数据查询 1/1</x:v>
      </x:c>
      <x:c r="E83" s="17" t="str">
        <x:v>11326.18</x:v>
      </x:c>
      <x:c r="F83" s="17" t="str">
        <x:v>11860.63</x:v>
      </x:c>
      <x:c r="G83" s="18" t="n">
        <x:v>534.45</x:v>
      </x:c>
      <x:c r="H83" s="18" t="n">
        <x:f>IFERROR(G83/1000,"")</x:f>
        <x:v>0.5344500000000001</x:v>
      </x:c>
      <x:c r="I83" s="19" t="n">
        <x:f>IFERROR(G83/J83,"")</x:f>
        <x:v>0.01360531575940802</x:v>
      </x:c>
      <x:c r="J83" s="17" t="n">
        <x:v>39282.44</x:v>
      </x:c>
      <x:c r="K83" s="17" t="str"/>
      <x:c r="L83" s="17" t="str">
        <x:v>已完成：查询宁德时代最近20个交易日的PE_TTM和PB估值变化，取得 1 条记录。</x:v>
      </x:c>
      <x:c r="M83" s="17" t="str"/>
      <x:c r="N83" s="18" t="n">
        <x:v>3373.2</x:v>
      </x:c>
      <x:c r="O83" s="17" t="str">
        <x:v>public_sse_client_estimate</x:v>
      </x:c>
    </x:row>
    <x:row r="84" ht="48" customHeight="1">
      <x:c r="A84" s="17" t="str">
        <x:v>BUS022</x:v>
      </x:c>
      <x:c r="B84" s="17" t="str">
        <x:v>查询宁德时代最近20个交易日PE_TTM和PB变化。</x:v>
      </x:c>
      <x:c r="C84" s="17" t="n">
        <x:v>4</x:v>
      </x:c>
      <x:c r="D84" s="17" t="str">
        <x:v>数据查询 1/1</x:v>
      </x:c>
      <x:c r="E84" s="17" t="str">
        <x:v>16392.3</x:v>
      </x:c>
      <x:c r="F84" s="17" t="str">
        <x:v>17455.92</x:v>
      </x:c>
      <x:c r="G84" s="18" t="n">
        <x:v>1063.62</x:v>
      </x:c>
      <x:c r="H84" s="18" t="n">
        <x:f>IFERROR(G84/1000,"")</x:f>
        <x:v>1.0636199999999998</x:v>
      </x:c>
      <x:c r="I84" s="19" t="n">
        <x:f>IFERROR(G84/J84,"")</x:f>
        <x:v>0.027076220316253265</x:v>
      </x:c>
      <x:c r="J84" s="17" t="n">
        <x:v>39282.44</x:v>
      </x:c>
      <x:c r="K84" s="17" t="str"/>
      <x:c r="L84" s="17" t="str">
        <x:v>已完成：查询宁德时代最近20个交易日的PE_TTM和PB估值序列，取得 1 条记录。</x:v>
      </x:c>
      <x:c r="M84" s="17" t="str"/>
      <x:c r="N84" s="18" t="n">
        <x:v>4531.67</x:v>
      </x:c>
      <x:c r="O84" s="17" t="str">
        <x:v>public_sse_client_estimate</x:v>
      </x:c>
    </x:row>
    <x:row r="85" ht="48" customHeight="1">
      <x:c r="A85" s="17" t="str">
        <x:v>BUS022</x:v>
      </x:c>
      <x:c r="B85" s="17" t="str">
        <x:v>查询宁德时代最近20个交易日PE_TTM和PB变化。</x:v>
      </x:c>
      <x:c r="C85" s="17" t="n">
        <x:v>5</x:v>
      </x:c>
      <x:c r="D85" s="17" t="str">
        <x:v>数据查询 1/1</x:v>
      </x:c>
      <x:c r="E85" s="17" t="str">
        <x:v>21600.42</x:v>
      </x:c>
      <x:c r="F85" s="17" t="str">
        <x:v>22033.53</x:v>
      </x:c>
      <x:c r="G85" s="18" t="n">
        <x:v>433.11</x:v>
      </x:c>
      <x:c r="H85" s="18" t="n">
        <x:f>IFERROR(G85/1000,"")</x:f>
        <x:v>0.43311</x:v>
      </x:c>
      <x:c r="I85" s="19" t="n">
        <x:f>IFERROR(G85/J85,"")</x:f>
        <x:v>0.011025537110220241</x:v>
      </x:c>
      <x:c r="J85" s="17" t="n">
        <x:v>39282.44</x:v>
      </x:c>
      <x:c r="K85" s="17" t="str"/>
      <x:c r="L85" s="17" t="str">
        <x:v>已完成：通过股票行情查询宁德时代最近20个交易日的收盘价，结合估值数据，取得 20 条记录。</x:v>
      </x:c>
      <x:c r="M85" s="17" t="str"/>
      <x:c r="N85" s="18" t="n">
        <x:v>4144.5</x:v>
      </x:c>
      <x:c r="O85" s="17" t="str">
        <x:v>public_sse_client_estimate</x:v>
      </x:c>
    </x:row>
    <x:row r="86" ht="48" customHeight="1">
      <x:c r="A86" s="17" t="str">
        <x:v>BUS022</x:v>
      </x:c>
      <x:c r="B86" s="17" t="str">
        <x:v>查询宁德时代最近20个交易日PE_TTM和PB变化。</x:v>
      </x:c>
      <x:c r="C86" s="17" t="n">
        <x:v>6</x:v>
      </x:c>
      <x:c r="D86" s="17" t="str">
        <x:v>数据查询 1/2</x:v>
      </x:c>
      <x:c r="E86" s="17" t="str">
        <x:v>27185.73</x:v>
      </x:c>
      <x:c r="F86" s="17" t="str">
        <x:v>27590.53</x:v>
      </x:c>
      <x:c r="G86" s="18" t="n">
        <x:v>404.8</x:v>
      </x:c>
      <x:c r="H86" s="18" t="n">
        <x:f>IFERROR(G86/1000,"")</x:f>
        <x:v>0.4048</x:v>
      </x:c>
      <x:c r="I86" s="19" t="n">
        <x:f>IFERROR(G86/J86,"")</x:f>
        <x:v>0.010304858863145975</x:v>
      </x:c>
      <x:c r="J86" s="17" t="n">
        <x:v>39282.44</x:v>
      </x:c>
      <x:c r="K86" s="17" t="str"/>
      <x:c r="L86" s="17" t="str">
        <x:v>当前查询未完成，已保留此前取得的有效结果。</x:v>
      </x:c>
      <x:c r="M86" s="17" t="str"/>
      <x:c r="N86" s="18" t="n">
        <x:v>5152.2</x:v>
      </x:c>
      <x:c r="O86" s="17" t="str">
        <x:v>public_sse_client_estimate</x:v>
      </x:c>
    </x:row>
    <x:row r="87" ht="48" customHeight="1">
      <x:c r="A87" s="17" t="str">
        <x:v>BUS022</x:v>
      </x:c>
      <x:c r="B87" s="17" t="str">
        <x:v>查询宁德时代最近20个交易日PE_TTM和PB变化。</x:v>
      </x:c>
      <x:c r="C87" s="17" t="n">
        <x:v>7</x:v>
      </x:c>
      <x:c r="D87" s="17" t="str">
        <x:v>回答整理</x:v>
      </x:c>
      <x:c r="E87" s="17" t="str">
        <x:v>27590.53</x:v>
      </x:c>
      <x:c r="F87" s="17" t="str">
        <x:v>33931.87</x:v>
      </x:c>
      <x:c r="G87" s="18" t="n">
        <x:v>6341.34</x:v>
      </x:c>
      <x:c r="H87" s="18" t="n">
        <x:f>IFERROR(G87/1000,"")</x:f>
        <x:v>6.34134</x:v>
      </x:c>
      <x:c r="I87" s="19" t="n">
        <x:f>IFERROR(G87/J87,"")</x:f>
        <x:v>0.1614293816779202</x:v>
      </x:c>
      <x:c r="J87" s="17" t="n">
        <x:v>39282.44</x:v>
      </x:c>
      <x:c r="K87" s="17" t="str"/>
      <x:c r="L87" s="17" t="str">
        <x:v>证据与回答已整理完成。</x:v>
      </x:c>
      <x:c r="M87" s="17" t="str"/>
      <x:c r="N87" s="18" t="n">
        <x:v>0</x:v>
      </x:c>
      <x:c r="O87" s="17" t="str">
        <x:v>public_sse_client_estimate</x:v>
      </x:c>
    </x:row>
    <x:row r="88" ht="48" customHeight="1">
      <x:c r="A88" s="17" t="str">
        <x:v>BUS023</x:v>
      </x:c>
      <x:c r="B88" s="17" t="str">
        <x:v>当前自由流通市值最高的前20只股票。</x:v>
      </x:c>
      <x:c r="C88" s="17" t="n">
        <x:v>1</x:v>
      </x:c>
      <x:c r="D88" s="17" t="str">
        <x:v>问题理解</x:v>
      </x:c>
      <x:c r="E88" s="17" t="str">
        <x:v>6373.05</x:v>
      </x:c>
      <x:c r="F88" s="17" t="str">
        <x:v>11548.41</x:v>
      </x:c>
      <x:c r="G88" s="18" t="n">
        <x:v>5175.36</x:v>
      </x:c>
      <x:c r="H88" s="18" t="n">
        <x:f>IFERROR(G88/1000,"")</x:f>
        <x:v>5.1753599999999995</x:v>
      </x:c>
      <x:c r="I88" s="19" t="n">
        <x:f>IFERROR(G88/J88,"")</x:f>
        <x:v>0.15427748161542773</x:v>
      </x:c>
      <x:c r="J88" s="17" t="n">
        <x:v>33545.79</x:v>
      </x:c>
      <x:c r="K88" s="17" t="str"/>
      <x:c r="L88" s="17" t="str">
        <x:v>已明确本题的对象与口径，开始获取所需证据。</x:v>
      </x:c>
      <x:c r="M88" s="17" t="str"/>
      <x:c r="N88" s="18" t="n">
        <x:v>6373.05</x:v>
      </x:c>
      <x:c r="O88" s="17" t="str">
        <x:v>public_sse_client_estimate</x:v>
      </x:c>
    </x:row>
    <x:row r="89" ht="48" customHeight="1">
      <x:c r="A89" s="17" t="str">
        <x:v>BUS023</x:v>
      </x:c>
      <x:c r="B89" s="17" t="str">
        <x:v>当前自由流通市值最高的前20只股票。</x:v>
      </x:c>
      <x:c r="C89" s="17" t="n">
        <x:v>2</x:v>
      </x:c>
      <x:c r="D89" s="17" t="str">
        <x:v>数据口径</x:v>
      </x:c>
      <x:c r="E89" s="17" t="str">
        <x:v>11548.41</x:v>
      </x:c>
      <x:c r="F89" s="17" t="str">
        <x:v>11709.99</x:v>
      </x:c>
      <x:c r="G89" s="18" t="n">
        <x:v>161.58</x:v>
      </x:c>
      <x:c r="H89" s="18" t="n">
        <x:f>IFERROR(G89/1000,"")</x:f>
        <x:v>0.16158</x:v>
      </x:c>
      <x:c r="I89" s="19" t="n">
        <x:f>IFERROR(G89/J89,"")</x:f>
        <x:v>0.00481669980048167</x:v>
      </x:c>
      <x:c r="J89" s="17" t="n">
        <x:v>33545.79</x:v>
      </x:c>
      <x:c r="K89" s="17" t="str"/>
      <x:c r="L89" s="17" t="str">
        <x:v>已定位个股行情视图，并确认了可用字段与时间口径。</x:v>
      </x:c>
      <x:c r="M89" s="17" t="str"/>
      <x:c r="N89" s="18" t="n">
        <x:v>0</x:v>
      </x:c>
      <x:c r="O89" s="17" t="str">
        <x:v>public_sse_client_estimate</x:v>
      </x:c>
    </x:row>
    <x:row r="90" ht="48" customHeight="1">
      <x:c r="A90" s="17" t="str">
        <x:v>BUS023</x:v>
      </x:c>
      <x:c r="B90" s="17" t="str">
        <x:v>当前自由流通市值最高的前20只股票。</x:v>
      </x:c>
      <x:c r="C90" s="17" t="n">
        <x:v>3</x:v>
      </x:c>
      <x:c r="D90" s="17" t="str">
        <x:v>数据口径</x:v>
      </x:c>
      <x:c r="E90" s="17" t="str">
        <x:v>11709.99</x:v>
      </x:c>
      <x:c r="F90" s="17" t="str">
        <x:v>12036</x:v>
      </x:c>
      <x:c r="G90" s="18" t="n">
        <x:v>326.01</x:v>
      </x:c>
      <x:c r="H90" s="18" t="n">
        <x:f>IFERROR(G90/1000,"")</x:f>
        <x:v>0.32600999999999997</x:v>
      </x:c>
      <x:c r="I90" s="19" t="n">
        <x:f>IFERROR(G90/J90,"")</x:f>
        <x:v>0.009718358100971835</x:v>
      </x:c>
      <x:c r="J90" s="17" t="n">
        <x:v>33545.79</x:v>
      </x:c>
      <x:c r="K90" s="17" t="str"/>
      <x:c r="L90" s="17" t="str">
        <x:v>已定位个股估值视图，并确认了可用字段与时间口径。</x:v>
      </x:c>
      <x:c r="M90" s="17" t="str"/>
      <x:c r="N90" s="18" t="n">
        <x:v>0</x:v>
      </x:c>
      <x:c r="O90" s="17" t="str">
        <x:v>public_sse_client_estimate</x:v>
      </x:c>
    </x:row>
    <x:row r="91" ht="48" customHeight="1">
      <x:c r="A91" s="17" t="str">
        <x:v>BUS023</x:v>
      </x:c>
      <x:c r="B91" s="17" t="str">
        <x:v>当前自由流通市值最高的前20只股票。</x:v>
      </x:c>
      <x:c r="C91" s="17" t="n">
        <x:v>4</x:v>
      </x:c>
      <x:c r="D91" s="17" t="str">
        <x:v>数据查询 1/1</x:v>
      </x:c>
      <x:c r="E91" s="17" t="str">
        <x:v>17026.3</x:v>
      </x:c>
      <x:c r="F91" s="17" t="str">
        <x:v>18227.93</x:v>
      </x:c>
      <x:c r="G91" s="18" t="n">
        <x:v>1201.63</x:v>
      </x:c>
      <x:c r="H91" s="18" t="n">
        <x:f>IFERROR(G91/1000,"")</x:f>
        <x:v>1.2016300000000002</x:v>
      </x:c>
      <x:c r="I91" s="19" t="n">
        <x:f>IFERROR(G91/J91,"")</x:f>
        <x:v>0.03582059030358206</x:v>
      </x:c>
      <x:c r="J91" s="17" t="n">
        <x:v>33545.79</x:v>
      </x:c>
      <x:c r="K91" s="17" t="str"/>
      <x:c r="L91" s="17" t="str">
        <x:v>已完成：查询当前自由流通市值最高的前20只股票，取得 20 条记录。</x:v>
      </x:c>
      <x:c r="M91" s="17" t="str"/>
      <x:c r="N91" s="18" t="n">
        <x:v>4990.3</x:v>
      </x:c>
      <x:c r="O91" s="17" t="str">
        <x:v>public_sse_client_estimate</x:v>
      </x:c>
    </x:row>
    <x:row r="92" ht="48" customHeight="1">
      <x:c r="A92" s="17" t="str">
        <x:v>BUS023</x:v>
      </x:c>
      <x:c r="B92" s="17" t="str">
        <x:v>当前自由流通市值最高的前20只股票。</x:v>
      </x:c>
      <x:c r="C92" s="17" t="n">
        <x:v>5</x:v>
      </x:c>
      <x:c r="D92" s="17" t="str">
        <x:v>回答整理</x:v>
      </x:c>
      <x:c r="E92" s="17" t="str">
        <x:v>18227.93</x:v>
      </x:c>
      <x:c r="F92" s="17" t="str">
        <x:v>30585.11</x:v>
      </x:c>
      <x:c r="G92" s="18" t="n">
        <x:v>12357.18</x:v>
      </x:c>
      <x:c r="H92" s="18" t="n">
        <x:f>IFERROR(G92/1000,"")</x:f>
        <x:v>12.35718</x:v>
      </x:c>
      <x:c r="I92" s="19" t="n">
        <x:f>IFERROR(G92/J92,"")</x:f>
        <x:v>0.36836753583683673</x:v>
      </x:c>
      <x:c r="J92" s="17" t="n">
        <x:v>33545.79</x:v>
      </x:c>
      <x:c r="K92" s="17" t="str"/>
      <x:c r="L92" s="17" t="str">
        <x:v>证据与回答已整理完成。</x:v>
      </x:c>
      <x:c r="M92" s="17" t="str"/>
      <x:c r="N92" s="18" t="n">
        <x:v>0</x:v>
      </x:c>
      <x:c r="O92" s="17" t="str">
        <x:v>public_sse_client_estimate</x:v>
      </x:c>
    </x:row>
    <x:row r="93" ht="48" customHeight="1">
      <x:c r="A93" s="17" t="str">
        <x:v>BUS024</x:v>
      </x:c>
      <x:c r="B93" s="17" t="str">
        <x:v>筛选PS_TTM低于3且总市值超过500亿元的股票。</x:v>
      </x:c>
      <x:c r="C93" s="17" t="n">
        <x:v>1</x:v>
      </x:c>
      <x:c r="D93" s="17" t="str">
        <x:v>问题理解</x:v>
      </x:c>
      <x:c r="E93" s="17" t="str">
        <x:v>8104.91</x:v>
      </x:c>
      <x:c r="F93" s="17" t="str">
        <x:v>8104.91</x:v>
      </x:c>
      <x:c r="G93" s="18" t="n">
        <x:v>0</x:v>
      </x:c>
      <x:c r="H93" s="18" t="n">
        <x:f>IFERROR(G93/1000,"")</x:f>
        <x:v>0</x:v>
      </x:c>
      <x:c r="I93" s="19" t="n">
        <x:f>IFERROR(G93/J93,"")</x:f>
        <x:v>0</x:v>
      </x:c>
      <x:c r="J93" s="17" t="n">
        <x:v>29690.35</x:v>
      </x:c>
      <x:c r="K93" s="17" t="str"/>
      <x:c r="L93" s="17" t="str">
        <x:v>已明确本题的对象与口径，开始获取所需证据。</x:v>
      </x:c>
      <x:c r="M93" s="17" t="str"/>
      <x:c r="N93" s="18" t="n">
        <x:v>8104.91</x:v>
      </x:c>
      <x:c r="O93" s="17" t="str">
        <x:v>public_sse_client_estimate</x:v>
      </x:c>
    </x:row>
    <x:row r="94" ht="48" customHeight="1">
      <x:c r="A94" s="17" t="str">
        <x:v>BUS024</x:v>
      </x:c>
      <x:c r="B94" s="17" t="str">
        <x:v>筛选PS_TTM低于3且总市值超过500亿元的股票。</x:v>
      </x:c>
      <x:c r="C94" s="17" t="n">
        <x:v>2</x:v>
      </x:c>
      <x:c r="D94" s="17" t="str">
        <x:v>专业分析方法</x:v>
      </x:c>
      <x:c r="E94" s="17" t="str">
        <x:v>8114.63</x:v>
      </x:c>
      <x:c r="F94" s="17" t="str">
        <x:v>8119.16</x:v>
      </x:c>
      <x:c r="G94" s="18" t="n">
        <x:v>4.53</x:v>
      </x:c>
      <x:c r="H94" s="18" t="n">
        <x:f>IFERROR(G94/1000,"")</x:f>
        <x:v>0.00453</x:v>
      </x:c>
      <x:c r="I94" s="19" t="n">
        <x:f>IFERROR(G94/J94,"")</x:f>
        <x:v>0.00015257482650086646</x:v>
      </x:c>
      <x:c r="J94" s="17" t="n">
        <x:v>29690.35</x:v>
      </x:c>
      <x:c r="K94" s="17" t="str"/>
      <x:c r="L94" s="17" t="str">
        <x:v>专业分析方法已就绪。</x:v>
      </x:c>
      <x:c r="M94" s="17" t="str"/>
      <x:c r="N94" s="18" t="n">
        <x:v>9.72</x:v>
      </x:c>
      <x:c r="O94" s="17" t="str">
        <x:v>public_sse_client_estimate</x:v>
      </x:c>
    </x:row>
    <x:row r="95" ht="48" customHeight="1">
      <x:c r="A95" s="17" t="str">
        <x:v>BUS024</x:v>
      </x:c>
      <x:c r="B95" s="17" t="str">
        <x:v>筛选PS_TTM低于3且总市值超过500亿元的股票。</x:v>
      </x:c>
      <x:c r="C95" s="17" t="n">
        <x:v>3</x:v>
      </x:c>
      <x:c r="D95" s="17" t="str">
        <x:v>数据口径</x:v>
      </x:c>
      <x:c r="E95" s="17" t="str">
        <x:v>8119.16</x:v>
      </x:c>
      <x:c r="F95" s="17" t="str">
        <x:v>10694.04</x:v>
      </x:c>
      <x:c r="G95" s="18" t="n">
        <x:v>2574.88</x:v>
      </x:c>
      <x:c r="H95" s="18" t="n">
        <x:f>IFERROR(G95/1000,"")</x:f>
        <x:v>2.5748800000000003</x:v>
      </x:c>
      <x:c r="I95" s="19" t="n">
        <x:f>IFERROR(G95/J95,"")</x:f>
        <x:v>0.08672447445045277</x:v>
      </x:c>
      <x:c r="J95" s="17" t="n">
        <x:v>29690.35</x:v>
      </x:c>
      <x:c r="K95" s="17" t="str"/>
      <x:c r="L95" s="17" t="str">
        <x:v>已定位个股估值视图，并确认了可用字段与时间口径。</x:v>
      </x:c>
      <x:c r="M95" s="17" t="str"/>
      <x:c r="N95" s="18" t="n">
        <x:v>0</x:v>
      </x:c>
      <x:c r="O95" s="17" t="str">
        <x:v>public_sse_client_estimate</x:v>
      </x:c>
    </x:row>
    <x:row r="96" ht="48" customHeight="1">
      <x:c r="A96" s="17" t="str">
        <x:v>BUS024</x:v>
      </x:c>
      <x:c r="B96" s="17" t="str">
        <x:v>筛选PS_TTM低于3且总市值超过500亿元的股票。</x:v>
      </x:c>
      <x:c r="C96" s="17" t="n">
        <x:v>4</x:v>
      </x:c>
      <x:c r="D96" s="17" t="str">
        <x:v>数据查询 1/1</x:v>
      </x:c>
      <x:c r="E96" s="17" t="str">
        <x:v>15822.05</x:v>
      </x:c>
      <x:c r="F96" s="17" t="str">
        <x:v>16498.14</x:v>
      </x:c>
      <x:c r="G96" s="18" t="n">
        <x:v>676.09</x:v>
      </x:c>
      <x:c r="H96" s="18" t="n">
        <x:f>IFERROR(G96/1000,"")</x:f>
        <x:v>0.6760900000000001</x:v>
      </x:c>
      <x:c r="I96" s="19" t="n">
        <x:f>IFERROR(G96/J96,"")</x:f>
        <x:v>0.02277137184303991</x:v>
      </x:c>
      <x:c r="J96" s="17" t="n">
        <x:v>29690.35</x:v>
      </x:c>
      <x:c r="K96" s="17" t="str"/>
      <x:c r="L96" s="17" t="str">
        <x:v>已完成：筛选PS_TTM低于3且总市值超过500亿元的股票，取得 100 条记录。</x:v>
      </x:c>
      <x:c r="M96" s="17" t="str"/>
      <x:c r="N96" s="18" t="n">
        <x:v>5128.01</x:v>
      </x:c>
      <x:c r="O96" s="17" t="str">
        <x:v>public_sse_client_estimate</x:v>
      </x:c>
    </x:row>
    <x:row r="97" ht="48" customHeight="1">
      <x:c r="A97" s="17" t="str">
        <x:v>BUS024</x:v>
      </x:c>
      <x:c r="B97" s="17" t="str">
        <x:v>筛选PS_TTM低于3且总市值超过500亿元的股票。</x:v>
      </x:c>
      <x:c r="C97" s="17" t="n">
        <x:v>5</x:v>
      </x:c>
      <x:c r="D97" s="17" t="str">
        <x:v>回答整理</x:v>
      </x:c>
      <x:c r="E97" s="17" t="str">
        <x:v>16498.14</x:v>
      </x:c>
      <x:c r="F97" s="17" t="str">
        <x:v>26809.99</x:v>
      </x:c>
      <x:c r="G97" s="18" t="n">
        <x:v>10311.85</x:v>
      </x:c>
      <x:c r="H97" s="18" t="n">
        <x:f>IFERROR(G97/1000,"")</x:f>
        <x:v>10.31185</x:v>
      </x:c>
      <x:c r="I97" s="19" t="n">
        <x:f>IFERROR(G97/J97,"")</x:f>
        <x:v>0.3473131842501015</x:v>
      </x:c>
      <x:c r="J97" s="17" t="n">
        <x:v>29690.35</x:v>
      </x:c>
      <x:c r="K97" s="17" t="str"/>
      <x:c r="L97" s="17" t="str">
        <x:v>证据与回答已整理完成。</x:v>
      </x:c>
      <x:c r="M97" s="17" t="str"/>
      <x:c r="N97" s="18" t="n">
        <x:v>0</x:v>
      </x:c>
      <x:c r="O97" s="17" t="str">
        <x:v>public_sse_client_estimate</x:v>
      </x:c>
    </x:row>
    <x:row r="98" ht="48" customHeight="1">
      <x:c r="A98" s="17" t="str">
        <x:v>BUS024</x:v>
      </x:c>
      <x:c r="B98" s="17" t="str">
        <x:v>筛选PS_TTM低于3且总市值超过500亿元的股票。</x:v>
      </x:c>
      <x:c r="C98" s="17" t="n">
        <x:v>6</x:v>
      </x:c>
      <x:c r="D98" s="17" t="str">
        <x:v>问题理解</x:v>
      </x:c>
      <x:c r="E98" s="17" t="str">
        <x:v>5835.1</x:v>
      </x:c>
      <x:c r="F98" s="17" t="str">
        <x:v>27954.12</x:v>
      </x:c>
      <x:c r="G98" s="18" t="n">
        <x:v>22119.02</x:v>
      </x:c>
      <x:c r="H98" s="18" t="n">
        <x:f>IFERROR(G98/1000,"")</x:f>
        <x:v>22.11902</x:v>
      </x:c>
      <x:c r="I98" s="19" t="n">
        <x:f>IFERROR(G98/J98,"")</x:f>
        <x:v>0.7449902072558929</x:v>
      </x:c>
      <x:c r="J98" s="17" t="n">
        <x:v>29690.35</x:v>
      </x:c>
      <x:c r="K98" s="17" t="str"/>
      <x:c r="L98" s="17" t="str">
        <x:v>正在理解问题，并确认其中的对象、时间与金融口径。</x:v>
      </x:c>
      <x:c r="M98" s="17" t="str"/>
      <x:c r="N98" s="18" t="n">
        <x:v>0</x:v>
      </x:c>
      <x:c r="O98" s="17" t="str">
        <x:v>public_sse_client_estimate</x:v>
      </x:c>
    </x:row>
    <x:row r="99" ht="48" customHeight="1">
      <x:c r="A99" s="17" t="str">
        <x:v>BUS024</x:v>
      </x:c>
      <x:c r="B99" s="17" t="str">
        <x:v>筛选PS_TTM低于3且总市值超过500亿元的股票。</x:v>
      </x:c>
      <x:c r="C99" s="17" t="n">
        <x:v>7</x:v>
      </x:c>
      <x:c r="D99" s="17" t="str">
        <x:v>问题理解</x:v>
      </x:c>
      <x:c r="E99" s="17" t="str">
        <x:v>27954.12</x:v>
      </x:c>
      <x:c r="F99" s="17" t="str">
        <x:v>29690.35</x:v>
      </x:c>
      <x:c r="G99" s="18" t="n">
        <x:v>1736.23</x:v>
      </x:c>
      <x:c r="H99" s="18" t="n">
        <x:f>IFERROR(G99/1000,"")</x:f>
        <x:v>1.73623</x:v>
      </x:c>
      <x:c r="I99" s="19" t="n">
        <x:f>IFERROR(G99/J99,"")</x:f>
        <x:v>0.058477922961500964</x:v>
      </x:c>
      <x:c r="J99" s="17" t="n">
        <x:v>29690.35</x:v>
      </x:c>
      <x:c r="K99" s="17" t="str"/>
      <x:c r="L99" s="17" t="str">
        <x:v>正在理解问题，并确认其中的对象、时间与金融口径。</x:v>
      </x:c>
      <x:c r="M99" s="17" t="str"/>
      <x:c r="N99" s="18" t="n">
        <x:v>0</x:v>
      </x:c>
      <x:c r="O99" s="17" t="str">
        <x:v>public_sse_client_estimate</x:v>
      </x:c>
    </x:row>
    <x:row r="100" ht="48" customHeight="1">
      <x:c r="A100" s="17" t="str">
        <x:v>BUS025</x:v>
      </x:c>
      <x:c r="B100" s="17" t="str">
        <x:v>查询贵州茅台最新报告期营收、净利润和ROE。</x:v>
      </x:c>
      <x:c r="C100" s="17" t="n">
        <x:v>1</x:v>
      </x:c>
      <x:c r="D100" s="17" t="str">
        <x:v>问题理解</x:v>
      </x:c>
      <x:c r="E100" s="17" t="str">
        <x:v>5690.44</x:v>
      </x:c>
      <x:c r="F100" s="17" t="str">
        <x:v>10288.63</x:v>
      </x:c>
      <x:c r="G100" s="18" t="n">
        <x:v>4598.19</x:v>
      </x:c>
      <x:c r="H100" s="18" t="n">
        <x:f>IFERROR(G100/1000,"")</x:f>
        <x:v>4.59819</x:v>
      </x:c>
      <x:c r="I100" s="19" t="n">
        <x:f>IFERROR(G100/J100,"")</x:f>
        <x:v>0.1134486902744343</x:v>
      </x:c>
      <x:c r="J100" s="17" t="n">
        <x:v>40531.01</x:v>
      </x:c>
      <x:c r="K100" s="17" t="str"/>
      <x:c r="L100" s="17" t="str">
        <x:v>已明确本题的对象与口径，开始获取所需证据。</x:v>
      </x:c>
      <x:c r="M100" s="17" t="str"/>
      <x:c r="N100" s="18" t="n">
        <x:v>5690.44</x:v>
      </x:c>
      <x:c r="O100" s="17" t="str">
        <x:v>public_sse_client_estimate</x:v>
      </x:c>
    </x:row>
    <x:row r="101" ht="48" customHeight="1">
      <x:c r="A101" s="17" t="str">
        <x:v>BUS025</x:v>
      </x:c>
      <x:c r="B101" s="17" t="str">
        <x:v>查询贵州茅台最新报告期营收、净利润和ROE。</x:v>
      </x:c>
      <x:c r="C101" s="17" t="n">
        <x:v>2</x:v>
      </x:c>
      <x:c r="D101" s="17" t="str">
        <x:v>数据口径</x:v>
      </x:c>
      <x:c r="E101" s="17" t="str">
        <x:v>10288.63</x:v>
      </x:c>
      <x:c r="F101" s="17" t="str">
        <x:v>10398.77</x:v>
      </x:c>
      <x:c r="G101" s="18" t="n">
        <x:v>110.14</x:v>
      </x:c>
      <x:c r="H101" s="18" t="n">
        <x:f>IFERROR(G101/1000,"")</x:f>
        <x:v>0.11014</x:v>
      </x:c>
      <x:c r="I101" s="19" t="n">
        <x:f>IFERROR(G101/J101,"")</x:f>
        <x:v>0.002717425497168711</x:v>
      </x:c>
      <x:c r="J101" s="17" t="n">
        <x:v>40531.01</x:v>
      </x:c>
      <x:c r="K101" s="17" t="str"/>
      <x:c r="L101" s="17" t="str">
        <x:v>已定位个股财务视图，并确认了可用字段与时间口径。</x:v>
      </x:c>
      <x:c r="M101" s="17" t="str"/>
      <x:c r="N101" s="18" t="n">
        <x:v>0</x:v>
      </x:c>
      <x:c r="O101" s="17" t="str">
        <x:v>public_sse_client_estimate</x:v>
      </x:c>
    </x:row>
    <x:row r="102" ht="48" customHeight="1">
      <x:c r="A102" s="17" t="str">
        <x:v>BUS025</x:v>
      </x:c>
      <x:c r="B102" s="17" t="str">
        <x:v>查询贵州茅台最新报告期营收、净利润和ROE。</x:v>
      </x:c>
      <x:c r="C102" s="17" t="n">
        <x:v>3</x:v>
      </x:c>
      <x:c r="D102" s="17" t="str">
        <x:v>数据查询 1/1</x:v>
      </x:c>
      <x:c r="E102" s="17" t="str">
        <x:v>13715.44</x:v>
      </x:c>
      <x:c r="F102" s="17" t="str">
        <x:v>14384.78</x:v>
      </x:c>
      <x:c r="G102" s="18" t="n">
        <x:v>669.34</x:v>
      </x:c>
      <x:c r="H102" s="18" t="n">
        <x:f>IFERROR(G102/1000,"")</x:f>
        <x:v>0.66934</x:v>
      </x:c>
      <x:c r="I102" s="19" t="n">
        <x:f>IFERROR(G102/J102,"")</x:f>
        <x:v>0.01651426895110682</x:v>
      </x:c>
      <x:c r="J102" s="17" t="n">
        <x:v>40531.01</x:v>
      </x:c>
      <x:c r="K102" s="17" t="str"/>
      <x:c r="L102" s="17" t="str">
        <x:v>已完成：查询贵州茅台最新报告期的营业收入、净利润和ROE，当前条件下没有匹配记录。</x:v>
      </x:c>
      <x:c r="M102" s="17" t="str"/>
      <x:c r="N102" s="18" t="n">
        <x:v>3316.67</x:v>
      </x:c>
      <x:c r="O102" s="17" t="str">
        <x:v>public_sse_client_estimate</x:v>
      </x:c>
    </x:row>
    <x:row r="103" ht="48" customHeight="1">
      <x:c r="A103" s="17" t="str">
        <x:v>BUS025</x:v>
      </x:c>
      <x:c r="B103" s="17" t="str">
        <x:v>查询贵州茅台最新报告期营收、净利润和ROE。</x:v>
      </x:c>
      <x:c r="C103" s="17" t="n">
        <x:v>4</x:v>
      </x:c>
      <x:c r="D103" s="17" t="str">
        <x:v>数据查询 1/1</x:v>
      </x:c>
      <x:c r="E103" s="17" t="str">
        <x:v>17807.03</x:v>
      </x:c>
      <x:c r="F103" s="17" t="str">
        <x:v>18554.41</x:v>
      </x:c>
      <x:c r="G103" s="18" t="n">
        <x:v>747.38</x:v>
      </x:c>
      <x:c r="H103" s="18" t="n">
        <x:f>IFERROR(G103/1000,"")</x:f>
        <x:v>0.74738</x:v>
      </x:c>
      <x:c r="I103" s="19" t="n">
        <x:f>IFERROR(G103/J103,"")</x:f>
        <x:v>0.01843970826288316</x:v>
      </x:c>
      <x:c r="J103" s="17" t="n">
        <x:v>40531.01</x:v>
      </x:c>
      <x:c r="K103" s="17" t="str"/>
      <x:c r="L103" s="17" t="str">
        <x:v>已完成：查询贵州茅台最新报告期的营业收入、净利润和ROE（realtime=0），当前条件下没有匹配记录。</x:v>
      </x:c>
      <x:c r="M103" s="17" t="str"/>
      <x:c r="N103" s="18" t="n">
        <x:v>3422.25</x:v>
      </x:c>
      <x:c r="O103" s="17" t="str">
        <x:v>public_sse_client_estimate</x:v>
      </x:c>
    </x:row>
    <x:row r="104" ht="48" customHeight="1">
      <x:c r="A104" s="17" t="str">
        <x:v>BUS025</x:v>
      </x:c>
      <x:c r="B104" s="17" t="str">
        <x:v>查询贵州茅台最新报告期营收、净利润和ROE。</x:v>
      </x:c>
      <x:c r="C104" s="17" t="n">
        <x:v>5</x:v>
      </x:c>
      <x:c r="D104" s="17" t="str">
        <x:v>数据查询 1/1</x:v>
      </x:c>
      <x:c r="E104" s="17" t="str">
        <x:v>23116.27</x:v>
      </x:c>
      <x:c r="F104" s="17" t="str">
        <x:v>23776.2</x:v>
      </x:c>
      <x:c r="G104" s="18" t="n">
        <x:v>659.93</x:v>
      </x:c>
      <x:c r="H104" s="18" t="n">
        <x:f>IFERROR(G104/1000,"")</x:f>
        <x:v>0.6599299999999999</x:v>
      </x:c>
      <x:c r="I104" s="19" t="n">
        <x:f>IFERROR(G104/J104,"")</x:f>
        <x:v>0.01628210103819273</x:v>
      </x:c>
      <x:c r="J104" s="17" t="n">
        <x:v>40531.01</x:v>
      </x:c>
      <x:c r="K104" s="17" t="str"/>
      <x:c r="L104" s="17" t="str">
        <x:v>已完成：查询贵州茅台的全部财务数据记录，检查可用报告期，当前条件下没有匹配记录。</x:v>
      </x:c>
      <x:c r="M104" s="17" t="str"/>
      <x:c r="N104" s="18" t="n">
        <x:v>4561.86</x:v>
      </x:c>
      <x:c r="O104" s="17" t="str">
        <x:v>public_sse_client_estimate</x:v>
      </x:c>
    </x:row>
    <x:row r="105" ht="48" customHeight="1">
      <x:c r="A105" s="17" t="str">
        <x:v>BUS025</x:v>
      </x:c>
      <x:c r="B105" s="17" t="str">
        <x:v>查询贵州茅台最新报告期营收、净利润和ROE。</x:v>
      </x:c>
      <x:c r="C105" s="17" t="n">
        <x:v>6</x:v>
      </x:c>
      <x:c r="D105" s="17" t="str">
        <x:v>数据口径</x:v>
      </x:c>
      <x:c r="E105" s="17" t="str">
        <x:v>23776.2</x:v>
      </x:c>
      <x:c r="F105" s="17" t="str">
        <x:v>26073.18</x:v>
      </x:c>
      <x:c r="G105" s="18" t="n">
        <x:v>2296.98</x:v>
      </x:c>
      <x:c r="H105" s="18" t="n">
        <x:f>IFERROR(G105/1000,"")</x:f>
        <x:v>2.29698</x:v>
      </x:c>
      <x:c r="I105" s="19" t="n">
        <x:f>IFERROR(G105/J105,"")</x:f>
        <x:v>0.05667216286986186</x:v>
      </x:c>
      <x:c r="J105" s="17" t="n">
        <x:v>40531.01</x:v>
      </x:c>
      <x:c r="K105" s="17" t="str"/>
      <x:c r="L105" s="17" t="str">
        <x:v>已定位股票基础信息视图，并确认了可用字段与时间口径。</x:v>
      </x:c>
      <x:c r="M105" s="17" t="str"/>
      <x:c r="N105" s="18" t="n">
        <x:v>0</x:v>
      </x:c>
      <x:c r="O105" s="17" t="str">
        <x:v>public_sse_client_estimate</x:v>
      </x:c>
    </x:row>
    <x:row r="106" ht="48" customHeight="1">
      <x:c r="A106" s="17" t="str">
        <x:v>BUS025</x:v>
      </x:c>
      <x:c r="B106" s="17" t="str">
        <x:v>查询贵州茅台最新报告期营收、净利润和ROE。</x:v>
      </x:c>
      <x:c r="C106" s="17" t="n">
        <x:v>7</x:v>
      </x:c>
      <x:c r="D106" s="17" t="str">
        <x:v>数据查询 1/1</x:v>
      </x:c>
      <x:c r="E106" s="17" t="str">
        <x:v>28215.44</x:v>
      </x:c>
      <x:c r="F106" s="17" t="str">
        <x:v>28715.47</x:v>
      </x:c>
      <x:c r="G106" s="18" t="n">
        <x:v>500.03</x:v>
      </x:c>
      <x:c r="H106" s="18" t="n">
        <x:f>IFERROR(G106/1000,"")</x:f>
        <x:v>0.50003</x:v>
      </x:c>
      <x:c r="I106" s="19" t="n">
        <x:f>IFERROR(G106/J106,"")</x:f>
        <x:v>0.012336973591331672</x:v>
      </x:c>
      <x:c r="J106" s="17" t="n">
        <x:v>40531.01</x:v>
      </x:c>
      <x:c r="K106" s="17" t="str"/>
      <x:c r="L106" s="17" t="str">
        <x:v>已完成：查询贵州茅台的基础信息，确认股票代码格式，取得 1 条记录。</x:v>
      </x:c>
      <x:c r="M106" s="17" t="str"/>
      <x:c r="N106" s="18" t="n">
        <x:v>2142.26</x:v>
      </x:c>
      <x:c r="O106" s="17" t="str">
        <x:v>public_sse_client_estimate</x:v>
      </x:c>
    </x:row>
    <x:row r="107" ht="48" customHeight="1">
      <x:c r="A107" s="17" t="str">
        <x:v>BUS025</x:v>
      </x:c>
      <x:c r="B107" s="17" t="str">
        <x:v>查询贵州茅台最新报告期营收、净利润和ROE。</x:v>
      </x:c>
      <x:c r="C107" s="17" t="n">
        <x:v>8</x:v>
      </x:c>
      <x:c r="D107" s="17" t="str">
        <x:v>数据查询 1/1</x:v>
      </x:c>
      <x:c r="E107" s="17" t="str">
        <x:v>33396.74</x:v>
      </x:c>
      <x:c r="F107" s="17" t="str">
        <x:v>33892.51</x:v>
      </x:c>
      <x:c r="G107" s="18" t="n">
        <x:v>495.77</x:v>
      </x:c>
      <x:c r="H107" s="18" t="n">
        <x:f>IFERROR(G107/1000,"")</x:f>
        <x:v>0.49577</x:v>
      </x:c>
      <x:c r="I107" s="19" t="n">
        <x:f>IFERROR(G107/J107,"")</x:f>
        <x:v>0.01223186888261605</x:v>
      </x:c>
      <x:c r="J107" s="17" t="n">
        <x:v>40531.01</x:v>
      </x:c>
      <x:c r="K107" s="17" t="str"/>
      <x:c r="L107" s="17" t="str">
        <x:v>已完成：查询贵州茅台最新报告期财务数据，尝试不同字段名，当前条件下没有匹配记录。</x:v>
      </x:c>
      <x:c r="M107" s="17" t="str"/>
      <x:c r="N107" s="18" t="n">
        <x:v>4681.27</x:v>
      </x:c>
      <x:c r="O107" s="17" t="str">
        <x:v>public_sse_client_estimate</x:v>
      </x:c>
    </x:row>
    <x:row r="108" ht="48" customHeight="1">
      <x:c r="A108" s="17" t="str">
        <x:v>BUS025</x:v>
      </x:c>
      <x:c r="B108" s="17" t="str">
        <x:v>查询贵州茅台最新报告期营收、净利润和ROE。</x:v>
      </x:c>
      <x:c r="C108" s="17" t="n">
        <x:v>9</x:v>
      </x:c>
      <x:c r="D108" s="17" t="str">
        <x:v>回答整理</x:v>
      </x:c>
      <x:c r="E108" s="17" t="str">
        <x:v>33892.51</x:v>
      </x:c>
      <x:c r="F108" s="17" t="str">
        <x:v>37484.49</x:v>
      </x:c>
      <x:c r="G108" s="18" t="n">
        <x:v>3591.98</x:v>
      </x:c>
      <x:c r="H108" s="18" t="n">
        <x:f>IFERROR(G108/1000,"")</x:f>
        <x:v>3.59198</x:v>
      </x:c>
      <x:c r="I108" s="19" t="n">
        <x:f>IFERROR(G108/J108,"")</x:f>
        <x:v>0.08862300742073785</x:v>
      </x:c>
      <x:c r="J108" s="17" t="n">
        <x:v>40531.01</x:v>
      </x:c>
      <x:c r="K108" s="17" t="str"/>
      <x:c r="L108" s="17" t="str">
        <x:v>证据与回答已整理完成。</x:v>
      </x:c>
      <x:c r="M108" s="17" t="str"/>
      <x:c r="N108" s="18" t="n">
        <x:v>0</x:v>
      </x:c>
      <x:c r="O108" s="17" t="str">
        <x:v>public_sse_client_estimate</x:v>
      </x:c>
    </x:row>
    <x:row r="109" ht="48" customHeight="1">
      <x:c r="A109" s="17" t="str">
        <x:v>BUS026</x:v>
      </x:c>
      <x:c r="B109" s="17" t="str">
        <x:v>最新年报ROE最高的前20家公司有哪些？</x:v>
      </x:c>
      <x:c r="C109" s="17" t="n">
        <x:v>1</x:v>
      </x:c>
      <x:c r="D109" s="17" t="str">
        <x:v>问题理解</x:v>
      </x:c>
      <x:c r="E109" s="17" t="str">
        <x:v>5524.57</x:v>
      </x:c>
      <x:c r="F109" s="17" t="str">
        <x:v>8549.32</x:v>
      </x:c>
      <x:c r="G109" s="18" t="n">
        <x:v>3024.75</x:v>
      </x:c>
      <x:c r="H109" s="18" t="n">
        <x:f>IFERROR(G109/1000,"")</x:f>
        <x:v>3.02475</x:v>
      </x:c>
      <x:c r="I109" s="19" t="n">
        <x:f>IFERROR(G109/J109,"")</x:f>
        <x:v>0.041129592175566755</x:v>
      </x:c>
      <x:c r="J109" s="17" t="n">
        <x:v>73541.94</x:v>
      </x:c>
      <x:c r="K109" s="17" t="str"/>
      <x:c r="L109" s="17" t="str">
        <x:v>已明确本题的对象与口径，开始获取所需证据。</x:v>
      </x:c>
      <x:c r="M109" s="17" t="str"/>
      <x:c r="N109" s="18" t="n">
        <x:v>5524.57</x:v>
      </x:c>
      <x:c r="O109" s="17" t="str">
        <x:v>public_sse_client_estimate</x:v>
      </x:c>
    </x:row>
    <x:row r="110" ht="48" customHeight="1">
      <x:c r="A110" s="17" t="str">
        <x:v>BUS026</x:v>
      </x:c>
      <x:c r="B110" s="17" t="str">
        <x:v>最新年报ROE最高的前20家公司有哪些？</x:v>
      </x:c>
      <x:c r="C110" s="17" t="n">
        <x:v>2</x:v>
      </x:c>
      <x:c r="D110" s="17" t="str">
        <x:v>数据口径</x:v>
      </x:c>
      <x:c r="E110" s="17" t="str">
        <x:v>8549.32</x:v>
      </x:c>
      <x:c r="F110" s="17" t="str">
        <x:v>8571.65</x:v>
      </x:c>
      <x:c r="G110" s="18" t="n">
        <x:v>22.33</x:v>
      </x:c>
      <x:c r="H110" s="18" t="n">
        <x:f>IFERROR(G110/1000,"")</x:f>
        <x:v>0.02233</x:v>
      </x:c>
      <x:c r="I110" s="19" t="n">
        <x:f>IFERROR(G110/J110,"")</x:f>
        <x:v>0.00030363626523858357</x:v>
      </x:c>
      <x:c r="J110" s="17" t="n">
        <x:v>73541.94</x:v>
      </x:c>
      <x:c r="K110" s="17" t="str"/>
      <x:c r="L110" s="17" t="str">
        <x:v>已定位个股财务视图，并确认了可用字段与时间口径。</x:v>
      </x:c>
      <x:c r="M110" s="17" t="str"/>
      <x:c r="N110" s="18" t="n">
        <x:v>0</x:v>
      </x:c>
      <x:c r="O110" s="17" t="str">
        <x:v>public_sse_client_estimate</x:v>
      </x:c>
    </x:row>
    <x:row r="111" ht="48" customHeight="1">
      <x:c r="A111" s="17" t="str">
        <x:v>BUS026</x:v>
      </x:c>
      <x:c r="B111" s="17" t="str">
        <x:v>最新年报ROE最高的前20家公司有哪些？</x:v>
      </x:c>
      <x:c r="C111" s="17" t="n">
        <x:v>3</x:v>
      </x:c>
      <x:c r="D111" s="17" t="str">
        <x:v>数据查询 1/1</x:v>
      </x:c>
      <x:c r="E111" s="17" t="str">
        <x:v>14100.92</x:v>
      </x:c>
      <x:c r="F111" s="17" t="str">
        <x:v>14555.94</x:v>
      </x:c>
      <x:c r="G111" s="18" t="n">
        <x:v>455.02</x:v>
      </x:c>
      <x:c r="H111" s="18" t="n">
        <x:f>IFERROR(G111/1000,"")</x:f>
        <x:v>0.45502</x:v>
      </x:c>
      <x:c r="I111" s="19" t="n">
        <x:f>IFERROR(G111/J111,"")</x:f>
        <x:v>0.006187217797082862</x:v>
      </x:c>
      <x:c r="J111" s="17" t="n">
        <x:v>73541.94</x:v>
      </x:c>
      <x:c r="K111" s="17" t="str"/>
      <x:c r="L111" s="17" t="str">
        <x:v>已完成：查询2025年报ROE最高的前20家公司，当前条件下没有匹配记录。</x:v>
      </x:c>
      <x:c r="M111" s="17" t="str"/>
      <x:c r="N111" s="18" t="n">
        <x:v>5529.27</x:v>
      </x:c>
      <x:c r="O111" s="17" t="str">
        <x:v>public_sse_client_estimate</x:v>
      </x:c>
    </x:row>
    <x:row r="112" ht="48" customHeight="1">
      <x:c r="A112" s="17" t="str">
        <x:v>BUS026</x:v>
      </x:c>
      <x:c r="B112" s="17" t="str">
        <x:v>最新年报ROE最高的前20家公司有哪些？</x:v>
      </x:c>
      <x:c r="C112" s="17" t="n">
        <x:v>4</x:v>
      </x:c>
      <x:c r="D112" s="17" t="str">
        <x:v>数据查询 1/1</x:v>
      </x:c>
      <x:c r="E112" s="17" t="str">
        <x:v>19186.88</x:v>
      </x:c>
      <x:c r="F112" s="17" t="str">
        <x:v>19732.41</x:v>
      </x:c>
      <x:c r="G112" s="18" t="n">
        <x:v>545.53</x:v>
      </x:c>
      <x:c r="H112" s="18" t="n">
        <x:f>IFERROR(G112/1000,"")</x:f>
        <x:v>0.54553</x:v>
      </x:c>
      <x:c r="I112" s="19" t="n">
        <x:f>IFERROR(G112/J112,"")</x:f>
        <x:v>0.007417944101012292</x:v>
      </x:c>
      <x:c r="J112" s="17" t="n">
        <x:v>73541.94</x:v>
      </x:c>
      <x:c r="K112" s="17" t="str"/>
      <x:c r="L112" s="17" t="str">
        <x:v>已完成：查询2024年报ROE最高的前20家公司，当前条件下没有匹配记录。</x:v>
      </x:c>
      <x:c r="M112" s="17" t="str"/>
      <x:c r="N112" s="18" t="n">
        <x:v>4630.94</x:v>
      </x:c>
      <x:c r="O112" s="17" t="str">
        <x:v>public_sse_client_estimate</x:v>
      </x:c>
    </x:row>
    <x:row r="113" ht="48" customHeight="1">
      <x:c r="A113" s="17" t="str">
        <x:v>BUS026</x:v>
      </x:c>
      <x:c r="B113" s="17" t="str">
        <x:v>最新年报ROE最高的前20家公司有哪些？</x:v>
      </x:c>
      <x:c r="C113" s="17" t="n">
        <x:v>5</x:v>
      </x:c>
      <x:c r="D113" s="17" t="str">
        <x:v>数据查询 1/1</x:v>
      </x:c>
      <x:c r="E113" s="17" t="str">
        <x:v>23435.27</x:v>
      </x:c>
      <x:c r="F113" s="17" t="str">
        <x:v>23990.03</x:v>
      </x:c>
      <x:c r="G113" s="18" t="n">
        <x:v>554.76</x:v>
      </x:c>
      <x:c r="H113" s="18" t="n">
        <x:f>IFERROR(G113/1000,"")</x:f>
        <x:v>0.55476</x:v>
      </x:c>
      <x:c r="I113" s="19" t="n">
        <x:f>IFERROR(G113/J113,"")</x:f>
        <x:v>0.007543450716693087</x:v>
      </x:c>
      <x:c r="J113" s="17" t="n">
        <x:v>73541.94</x:v>
      </x:c>
      <x:c r="K113" s="17" t="str"/>
      <x:c r="L113" s="17" t="str">
        <x:v>已完成：查询2024年报（合并报表）ROE最高的前20家公司，当前条件下没有匹配记录。</x:v>
      </x:c>
      <x:c r="M113" s="17" t="str"/>
      <x:c r="N113" s="18" t="n">
        <x:v>3702.86</x:v>
      </x:c>
      <x:c r="O113" s="17" t="str">
        <x:v>public_sse_client_estimate</x:v>
      </x:c>
    </x:row>
    <x:row r="114" ht="48" customHeight="1">
      <x:c r="A114" s="17" t="str">
        <x:v>BUS026</x:v>
      </x:c>
      <x:c r="B114" s="17" t="str">
        <x:v>最新年报ROE最高的前20家公司有哪些？</x:v>
      </x:c>
      <x:c r="C114" s="17" t="n">
        <x:v>6</x:v>
      </x:c>
      <x:c r="D114" s="17" t="str">
        <x:v>专业分析方法</x:v>
      </x:c>
      <x:c r="E114" s="17" t="str">
        <x:v>28811.84</x:v>
      </x:c>
      <x:c r="F114" s="17" t="str">
        <x:v>28824.06</x:v>
      </x:c>
      <x:c r="G114" s="18" t="n">
        <x:v>12.22</x:v>
      </x:c>
      <x:c r="H114" s="18" t="n">
        <x:f>IFERROR(G114/1000,"")</x:f>
        <x:v>0.01222</x:v>
      </x:c>
      <x:c r="I114" s="19" t="n">
        <x:f>IFERROR(G114/J114,"")</x:f>
        <x:v>0.00016616368836612144</x:v>
      </x:c>
      <x:c r="J114" s="17" t="n">
        <x:v>73541.94</x:v>
      </x:c>
      <x:c r="K114" s="17" t="str"/>
      <x:c r="L114" s="17" t="str">
        <x:v>专业分析方法已就绪。</x:v>
      </x:c>
      <x:c r="M114" s="17" t="str"/>
      <x:c r="N114" s="18" t="n">
        <x:v>4821.81</x:v>
      </x:c>
      <x:c r="O114" s="17" t="str">
        <x:v>public_sse_client_estimate</x:v>
      </x:c>
    </x:row>
    <x:row r="115" ht="48" customHeight="1">
      <x:c r="A115" s="17" t="str">
        <x:v>BUS026</x:v>
      </x:c>
      <x:c r="B115" s="17" t="str">
        <x:v>最新年报ROE最高的前20家公司有哪些？</x:v>
      </x:c>
      <x:c r="C115" s="17" t="n">
        <x:v>7</x:v>
      </x:c>
      <x:c r="D115" s="17" t="str">
        <x:v>数据查询 1/1</x:v>
      </x:c>
      <x:c r="E115" s="17" t="str">
        <x:v>34123.25</x:v>
      </x:c>
      <x:c r="F115" s="17" t="str">
        <x:v>34632.75</x:v>
      </x:c>
      <x:c r="G115" s="18" t="n">
        <x:v>509.5</x:v>
      </x:c>
      <x:c r="H115" s="18" t="n">
        <x:f>IFERROR(G115/1000,"")</x:f>
        <x:v>0.5095</x:v>
      </x:c>
      <x:c r="I115" s="19" t="n">
        <x:f>IFERROR(G115/J115,"")</x:f>
        <x:v>0.0069280195763125095</x:v>
      </x:c>
      <x:c r="J115" s="17" t="n">
        <x:v>73541.94</x:v>
      </x:c>
      <x:c r="K115" s="17" t="str"/>
      <x:c r="L115" s="17" t="str">
        <x:v>已完成：测试查询一只知名股票的2024年报财务数据，验证数据源是否可用，当前条件下没有匹配记录。</x:v>
      </x:c>
      <x:c r="M115" s="17" t="str"/>
      <x:c r="N115" s="18" t="n">
        <x:v>5299.19</x:v>
      </x:c>
      <x:c r="O115" s="17" t="str">
        <x:v>public_sse_client_estimate</x:v>
      </x:c>
    </x:row>
    <x:row r="116" ht="48" customHeight="1">
      <x:c r="A116" s="17" t="str">
        <x:v>BUS026</x:v>
      </x:c>
      <x:c r="B116" s="17" t="str">
        <x:v>最新年报ROE最高的前20家公司有哪些？</x:v>
      </x:c>
      <x:c r="C116" s="17" t="n">
        <x:v>8</x:v>
      </x:c>
      <x:c r="D116" s="17" t="str">
        <x:v>数据口径</x:v>
      </x:c>
      <x:c r="E116" s="17" t="str">
        <x:v>34632.75</x:v>
      </x:c>
      <x:c r="F116" s="17" t="str">
        <x:v>37500.63</x:v>
      </x:c>
      <x:c r="G116" s="18" t="n">
        <x:v>2867.88</x:v>
      </x:c>
      <x:c r="H116" s="18" t="n">
        <x:f>IFERROR(G116/1000,"")</x:f>
        <x:v>2.86788</x:v>
      </x:c>
      <x:c r="I116" s="19" t="n">
        <x:f>IFERROR(G116/J116,"")</x:f>
        <x:v>0.03899652361632016</x:v>
      </x:c>
      <x:c r="J116" s="17" t="n">
        <x:v>73541.94</x:v>
      </x:c>
      <x:c r="K116" s="17" t="str"/>
      <x:c r="L116" s="17" t="str">
        <x:v>已定位个股估值视图，并确认了可用字段与时间口径。</x:v>
      </x:c>
      <x:c r="M116" s="17" t="str"/>
      <x:c r="N116" s="18" t="n">
        <x:v>0</x:v>
      </x:c>
      <x:c r="O116" s="17" t="str">
        <x:v>public_sse_client_estimate</x:v>
      </x:c>
    </x:row>
    <x:row r="117" ht="48" customHeight="1">
      <x:c r="A117" s="17" t="str">
        <x:v>BUS026</x:v>
      </x:c>
      <x:c r="B117" s="17" t="str">
        <x:v>最新年报ROE最高的前20家公司有哪些？</x:v>
      </x:c>
      <x:c r="C117" s="17" t="n">
        <x:v>9</x:v>
      </x:c>
      <x:c r="D117" s="17" t="str">
        <x:v>数据口径</x:v>
      </x:c>
      <x:c r="E117" s="17" t="str">
        <x:v>37500.63</x:v>
      </x:c>
      <x:c r="F117" s="17" t="str">
        <x:v>37972.84</x:v>
      </x:c>
      <x:c r="G117" s="18" t="n">
        <x:v>472.21</x:v>
      </x:c>
      <x:c r="H117" s="18" t="n">
        <x:f>IFERROR(G117/1000,"")</x:f>
        <x:v>0.47220999999999996</x:v>
      </x:c>
      <x:c r="I117" s="19" t="n">
        <x:f>IFERROR(G117/J117,"")</x:f>
        <x:v>0.006420961970815564</x:v>
      </x:c>
      <x:c r="J117" s="17" t="n">
        <x:v>73541.94</x:v>
      </x:c>
      <x:c r="K117" s="17" t="str"/>
      <x:c r="L117" s="17" t="str">
        <x:v>已定位个股业绩预告视图，并确认了可用字段与时间口径。</x:v>
      </x:c>
      <x:c r="M117" s="17" t="str"/>
      <x:c r="N117" s="18" t="n">
        <x:v>0</x:v>
      </x:c>
      <x:c r="O117" s="17" t="str">
        <x:v>public_sse_client_estimate</x:v>
      </x:c>
    </x:row>
    <x:row r="118" ht="48" customHeight="1">
      <x:c r="A118" s="17" t="str">
        <x:v>BUS026</x:v>
      </x:c>
      <x:c r="B118" s="17" t="str">
        <x:v>最新年报ROE最高的前20家公司有哪些？</x:v>
      </x:c>
      <x:c r="C118" s="17" t="n">
        <x:v>10</x:v>
      </x:c>
      <x:c r="D118" s="17" t="str">
        <x:v>数据查询 1/1</x:v>
      </x:c>
      <x:c r="E118" s="17" t="str">
        <x:v>41459.17</x:v>
      </x:c>
      <x:c r="F118" s="17" t="str">
        <x:v>41947.59</x:v>
      </x:c>
      <x:c r="G118" s="18" t="n">
        <x:v>488.42</x:v>
      </x:c>
      <x:c r="H118" s="18" t="n">
        <x:f>IFERROR(G118/1000,"")</x:f>
        <x:v>0.48842</x:v>
      </x:c>
      <x:c r="I118" s="19" t="n">
        <x:f>IFERROR(G118/J118,"")</x:f>
        <x:v>0.006641380415039364</x:v>
      </x:c>
      <x:c r="J118" s="17" t="n">
        <x:v>73541.94</x:v>
      </x:c>
      <x:c r="K118" s="17" t="str"/>
      <x:c r="L118" s="17" t="str">
        <x:v>已完成：测试不同日期格式和报表类型的财务数据查询，当前条件下没有匹配记录。</x:v>
      </x:c>
      <x:c r="M118" s="17" t="str"/>
      <x:c r="N118" s="18" t="n">
        <x:v>3486.33</x:v>
      </x:c>
      <x:c r="O118" s="17" t="str">
        <x:v>public_sse_client_estimate</x:v>
      </x:c>
    </x:row>
    <x:row r="119" ht="48" customHeight="1">
      <x:c r="A119" s="17" t="str">
        <x:v>BUS026</x:v>
      </x:c>
      <x:c r="B119" s="17" t="str">
        <x:v>最新年报ROE最高的前20家公司有哪些？</x:v>
      </x:c>
      <x:c r="C119" s="17" t="n">
        <x:v>11</x:v>
      </x:c>
      <x:c r="D119" s="17" t="str">
        <x:v>数据查询 1/1</x:v>
      </x:c>
      <x:c r="E119" s="17" t="str">
        <x:v>44772.72</x:v>
      </x:c>
      <x:c r="F119" s="17" t="str">
        <x:v>45313.18</x:v>
      </x:c>
      <x:c r="G119" s="18" t="n">
        <x:v>540.46</x:v>
      </x:c>
      <x:c r="H119" s="18" t="n">
        <x:f>IFERROR(G119/1000,"")</x:f>
        <x:v>0.54046</x:v>
      </x:c>
      <x:c r="I119" s="19" t="n">
        <x:f>IFERROR(G119/J119,"")</x:f>
        <x:v>0.007349003847328477</x:v>
      </x:c>
      <x:c r="J119" s="17" t="n">
        <x:v>73541.94</x:v>
      </x:c>
      <x:c r="K119" s="17" t="str"/>
      <x:c r="L119" s="17" t="str">
        <x:v>已完成：验证财务数据源是否可用，无过滤条件查询，取得 3 条记录。</x:v>
      </x:c>
      <x:c r="M119" s="17" t="str"/>
      <x:c r="N119" s="18" t="n">
        <x:v>2825.13</x:v>
      </x:c>
      <x:c r="O119" s="17" t="str">
        <x:v>public_sse_client_estimate</x:v>
      </x:c>
    </x:row>
    <x:row r="120" ht="48" customHeight="1">
      <x:c r="A120" s="17" t="str">
        <x:v>BUS026</x:v>
      </x:c>
      <x:c r="B120" s="17" t="str">
        <x:v>最新年报ROE最高的前20家公司有哪些？</x:v>
      </x:c>
      <x:c r="C120" s="17" t="n">
        <x:v>12</x:v>
      </x:c>
      <x:c r="D120" s="17" t="str">
        <x:v>数据查询 1/1</x:v>
      </x:c>
      <x:c r="E120" s="17" t="str">
        <x:v>50279.41</x:v>
      </x:c>
      <x:c r="F120" s="17" t="str">
        <x:v>50720.98</x:v>
      </x:c>
      <x:c r="G120" s="18" t="n">
        <x:v>441.57</x:v>
      </x:c>
      <x:c r="H120" s="18" t="n">
        <x:f>IFERROR(G120/1000,"")</x:f>
        <x:v>0.44157</x:v>
      </x:c>
      <x:c r="I120" s="19" t="n">
        <x:f>IFERROR(G120/J120,"")</x:f>
        <x:v>0.006004328958414749</x:v>
      </x:c>
      <x:c r="J120" s="17" t="n">
        <x:v>73541.94</x:v>
      </x:c>
      <x:c r="K120" s="17" t="str"/>
      <x:c r="L120" s="17" t="str">
        <x:v>已完成：查询数据源中可用的报告期分布，寻找年报数据，取得 5 条记录。</x:v>
      </x:c>
      <x:c r="M120" s="17" t="str"/>
      <x:c r="N120" s="18" t="n">
        <x:v>4966.23</x:v>
      </x:c>
      <x:c r="O120" s="17" t="str">
        <x:v>public_sse_client_estimate</x:v>
      </x:c>
    </x:row>
    <x:row r="121" ht="48" customHeight="1">
      <x:c r="A121" s="17" t="str">
        <x:v>BUS026</x:v>
      </x:c>
      <x:c r="B121" s="17" t="str">
        <x:v>最新年报ROE最高的前20家公司有哪些？</x:v>
      </x:c>
      <x:c r="C121" s="17" t="n">
        <x:v>13</x:v>
      </x:c>
      <x:c r="D121" s="17" t="str">
        <x:v>数据查询 1/1</x:v>
      </x:c>
      <x:c r="E121" s="17" t="str">
        <x:v>55052.39</x:v>
      </x:c>
      <x:c r="F121" s="17" t="str">
        <x:v>55628.49</x:v>
      </x:c>
      <x:c r="G121" s="18" t="n">
        <x:v>576.1</x:v>
      </x:c>
      <x:c r="H121" s="18" t="n">
        <x:f>IFERROR(G121/1000,"")</x:f>
        <x:v>0.5761000000000001</x:v>
      </x:c>
      <x:c r="I121" s="19" t="n">
        <x:f>IFERROR(G121/J121,"")</x:f>
        <x:v>0.007833625275591043</x:v>
      </x:c>
      <x:c r="J121" s="17" t="n">
        <x:v>73541.94</x:v>
      </x:c>
      <x:c r="K121" s="17" t="str"/>
      <x:c r="L121" s="17" t="str">
        <x:v>已完成：查询2026年中报ROE最高的前20家公司，取得 20 条记录。</x:v>
      </x:c>
      <x:c r="M121" s="17" t="str"/>
      <x:c r="N121" s="18" t="n">
        <x:v>4331.41</x:v>
      </x:c>
      <x:c r="O121" s="17" t="str">
        <x:v>public_sse_client_estimate</x:v>
      </x:c>
    </x:row>
    <x:row r="122" ht="48" customHeight="1">
      <x:c r="A122" s="17" t="str">
        <x:v>BUS026</x:v>
      </x:c>
      <x:c r="B122" s="17" t="str">
        <x:v>最新年报ROE最高的前20家公司有哪些？</x:v>
      </x:c>
      <x:c r="C122" s="17" t="n">
        <x:v>14</x:v>
      </x:c>
      <x:c r="D122" s="17" t="str">
        <x:v>回答整理</x:v>
      </x:c>
      <x:c r="E122" s="17" t="str">
        <x:v>55628.49</x:v>
      </x:c>
      <x:c r="F122" s="17" t="str">
        <x:v>68452.44</x:v>
      </x:c>
      <x:c r="G122" s="18" t="n">
        <x:v>12823.95</x:v>
      </x:c>
      <x:c r="H122" s="18" t="n">
        <x:f>IFERROR(G122/1000,"")</x:f>
        <x:v>12.82395</x:v>
      </x:c>
      <x:c r="I122" s="19" t="n">
        <x:f>IFERROR(G122/J122,"")</x:f>
        <x:v>0.17437600911806242</x:v>
      </x:c>
      <x:c r="J122" s="17" t="n">
        <x:v>73541.94</x:v>
      </x:c>
      <x:c r="K122" s="17" t="str"/>
      <x:c r="L122" s="17" t="str">
        <x:v>证据与回答已整理完成。</x:v>
      </x:c>
      <x:c r="M122" s="17" t="str"/>
      <x:c r="N122" s="18" t="n">
        <x:v>0</x:v>
      </x:c>
      <x:c r="O122" s="17" t="str">
        <x:v>public_sse_client_estimate</x:v>
      </x:c>
    </x:row>
    <x:row r="123" ht="48" customHeight="1">
      <x:c r="A123" s="17" t="str">
        <x:v>BUS027</x:v>
      </x:c>
      <x:c r="B123" s="17" t="str">
        <x:v>筛选资产负债率低于40%且毛利率高于30%的公司。</x:v>
      </x:c>
      <x:c r="C123" s="17" t="n">
        <x:v>1</x:v>
      </x:c>
      <x:c r="D123" s="17" t="str">
        <x:v>问题理解</x:v>
      </x:c>
      <x:c r="E123" s="17" t="str">
        <x:v>5695.39</x:v>
      </x:c>
      <x:c r="F123" s="17" t="str">
        <x:v>7866.61</x:v>
      </x:c>
      <x:c r="G123" s="18" t="n">
        <x:v>2171.22</x:v>
      </x:c>
      <x:c r="H123" s="18" t="n">
        <x:f>IFERROR(G123/1000,"")</x:f>
        <x:v>2.17122</x:v>
      </x:c>
      <x:c r="I123" s="19" t="n">
        <x:f>IFERROR(G123/J123,"")</x:f>
        <x:v>0.0589888579137448</x:v>
      </x:c>
      <x:c r="J123" s="17" t="n">
        <x:v>36807.29</x:v>
      </x:c>
      <x:c r="K123" s="17" t="str"/>
      <x:c r="L123" s="17" t="str">
        <x:v>已明确本题的对象与口径，开始获取所需证据。</x:v>
      </x:c>
      <x:c r="M123" s="17" t="str"/>
      <x:c r="N123" s="18" t="n">
        <x:v>5695.39</x:v>
      </x:c>
      <x:c r="O123" s="17" t="str">
        <x:v>public_sse_client_estimate</x:v>
      </x:c>
    </x:row>
    <x:row r="124" ht="48" customHeight="1">
      <x:c r="A124" s="17" t="str">
        <x:v>BUS027</x:v>
      </x:c>
      <x:c r="B124" s="17" t="str">
        <x:v>筛选资产负债率低于40%且毛利率高于30%的公司。</x:v>
      </x:c>
      <x:c r="C124" s="17" t="n">
        <x:v>2</x:v>
      </x:c>
      <x:c r="D124" s="17" t="str">
        <x:v>专业分析方法</x:v>
      </x:c>
      <x:c r="E124" s="17" t="str">
        <x:v>7874.1</x:v>
      </x:c>
      <x:c r="F124" s="17" t="str">
        <x:v>7878.36</x:v>
      </x:c>
      <x:c r="G124" s="18" t="n">
        <x:v>4.26</x:v>
      </x:c>
      <x:c r="H124" s="18" t="n">
        <x:f>IFERROR(G124/1000,"")</x:f>
        <x:v>0.00426</x:v>
      </x:c>
      <x:c r="I124" s="19" t="n">
        <x:f>IFERROR(G124/J124,"")</x:f>
        <x:v>0.00011573794213048556</x:v>
      </x:c>
      <x:c r="J124" s="17" t="n">
        <x:v>36807.29</x:v>
      </x:c>
      <x:c r="K124" s="17" t="str"/>
      <x:c r="L124" s="17" t="str">
        <x:v>专业分析方法已就绪。</x:v>
      </x:c>
      <x:c r="M124" s="17" t="str"/>
      <x:c r="N124" s="18" t="n">
        <x:v>7.49</x:v>
      </x:c>
      <x:c r="O124" s="17" t="str">
        <x:v>public_sse_client_estimate</x:v>
      </x:c>
    </x:row>
    <x:row r="125" ht="48" customHeight="1">
      <x:c r="A125" s="17" t="str">
        <x:v>BUS027</x:v>
      </x:c>
      <x:c r="B125" s="17" t="str">
        <x:v>筛选资产负债率低于40%且毛利率高于30%的公司。</x:v>
      </x:c>
      <x:c r="C125" s="17" t="n">
        <x:v>3</x:v>
      </x:c>
      <x:c r="D125" s="17" t="str">
        <x:v>数据口径</x:v>
      </x:c>
      <x:c r="E125" s="17" t="str">
        <x:v>7878.36</x:v>
      </x:c>
      <x:c r="F125" s="17" t="str">
        <x:v>11298.75</x:v>
      </x:c>
      <x:c r="G125" s="18" t="n">
        <x:v>3420.39</x:v>
      </x:c>
      <x:c r="H125" s="18" t="n">
        <x:f>IFERROR(G125/1000,"")</x:f>
        <x:v>3.42039</x:v>
      </x:c>
      <x:c r="I125" s="19" t="n">
        <x:f>IFERROR(G125/J125,"")</x:f>
        <x:v>0.09292697180368345</x:v>
      </x:c>
      <x:c r="J125" s="17" t="n">
        <x:v>36807.29</x:v>
      </x:c>
      <x:c r="K125" s="17" t="str"/>
      <x:c r="L125" s="17" t="str">
        <x:v>已定位个股财务视图，并确认了可用字段与时间口径。</x:v>
      </x:c>
      <x:c r="M125" s="17" t="str"/>
      <x:c r="N125" s="18" t="n">
        <x:v>0</x:v>
      </x:c>
      <x:c r="O125" s="17" t="str">
        <x:v>public_sse_client_estimate</x:v>
      </x:c>
    </x:row>
    <x:row r="126" ht="48" customHeight="1">
      <x:c r="A126" s="17" t="str">
        <x:v>BUS027</x:v>
      </x:c>
      <x:c r="B126" s="17" t="str">
        <x:v>筛选资产负债率低于40%且毛利率高于30%的公司。</x:v>
      </x:c>
      <x:c r="C126" s="17" t="n">
        <x:v>4</x:v>
      </x:c>
      <x:c r="D126" s="17" t="str">
        <x:v>数据查询 1/1</x:v>
      </x:c>
      <x:c r="E126" s="17" t="str">
        <x:v>17699.88</x:v>
      </x:c>
      <x:c r="F126" s="17" t="str">
        <x:v>18357.87</x:v>
      </x:c>
      <x:c r="G126" s="18" t="n">
        <x:v>657.99</x:v>
      </x:c>
      <x:c r="H126" s="18" t="n">
        <x:f>IFERROR(G126/1000,"")</x:f>
        <x:v>0.65799</x:v>
      </x:c>
      <x:c r="I126" s="19" t="n">
        <x:f>IFERROR(G126/J126,"")</x:f>
        <x:v>0.01787662172357704</x:v>
      </x:c>
      <x:c r="J126" s="17" t="n">
        <x:v>36807.29</x:v>
      </x:c>
      <x:c r="K126" s="17" t="str"/>
      <x:c r="L126" s="17" t="str">
        <x:v>已完成：筛选资产负债率低于40%且毛利率高于30%的公司，取最新一期财报数据，取得 21 条记录。</x:v>
      </x:c>
      <x:c r="M126" s="17" t="str"/>
      <x:c r="N126" s="18" t="n">
        <x:v>6401.13</x:v>
      </x:c>
      <x:c r="O126" s="17" t="str">
        <x:v>public_sse_client_estimate</x:v>
      </x:c>
    </x:row>
    <x:row r="127" ht="48" customHeight="1">
      <x:c r="A127" s="17" t="str">
        <x:v>BUS027</x:v>
      </x:c>
      <x:c r="B127" s="17" t="str">
        <x:v>筛选资产负债率低于40%且毛利率高于30%的公司。</x:v>
      </x:c>
      <x:c r="C127" s="17" t="n">
        <x:v>5</x:v>
      </x:c>
      <x:c r="D127" s="17" t="str">
        <x:v>回答整理</x:v>
      </x:c>
      <x:c r="E127" s="17" t="str">
        <x:v>18357.87</x:v>
      </x:c>
      <x:c r="F127" s="17" t="str">
        <x:v>33904.33</x:v>
      </x:c>
      <x:c r="G127" s="18" t="n">
        <x:v>15546.46</x:v>
      </x:c>
      <x:c r="H127" s="18" t="n">
        <x:f>IFERROR(G127/1000,"")</x:f>
        <x:v>15.54646</x:v>
      </x:c>
      <x:c r="I127" s="19" t="n">
        <x:f>IFERROR(G127/J127,"")</x:f>
        <x:v>0.42237448070749023</x:v>
      </x:c>
      <x:c r="J127" s="17" t="n">
        <x:v>36807.29</x:v>
      </x:c>
      <x:c r="K127" s="17" t="str"/>
      <x:c r="L127" s="17" t="str">
        <x:v>证据与回答已整理完成。</x:v>
      </x:c>
      <x:c r="M127" s="17" t="str"/>
      <x:c r="N127" s="18" t="n">
        <x:v>0</x:v>
      </x:c>
      <x:c r="O127" s="17" t="str">
        <x:v>public_sse_client_estimate</x:v>
      </x:c>
    </x:row>
    <x:row r="128" ht="48" customHeight="1">
      <x:c r="A128" s="17" t="str">
        <x:v>BUS028</x:v>
      </x:c>
      <x:c r="B128" s="17" t="str">
        <x:v>查询宁德时代最近4个报告期研发费用和净利润。</x:v>
      </x:c>
      <x:c r="C128" s="17" t="n">
        <x:v>1</x:v>
      </x:c>
      <x:c r="D128" s="17" t="str">
        <x:v>问题理解</x:v>
      </x:c>
      <x:c r="E128" s="17" t="str">
        <x:v>5462.97</x:v>
      </x:c>
      <x:c r="F128" s="17" t="str">
        <x:v>9429.88</x:v>
      </x:c>
      <x:c r="G128" s="18" t="n">
        <x:v>3966.91</x:v>
      </x:c>
      <x:c r="H128" s="18" t="n">
        <x:f>IFERROR(G128/1000,"")</x:f>
        <x:v>3.96691</x:v>
      </x:c>
      <x:c r="I128" s="19" t="n">
        <x:f>IFERROR(G128/J128,"")</x:f>
        <x:v>0.10572861112577006</x:v>
      </x:c>
      <x:c r="J128" s="17" t="n">
        <x:v>37519.74</x:v>
      </x:c>
      <x:c r="K128" s="17" t="str"/>
      <x:c r="L128" s="17" t="str">
        <x:v>已明确本题的对象与口径，开始获取所需证据。</x:v>
      </x:c>
      <x:c r="M128" s="17" t="str"/>
      <x:c r="N128" s="18" t="n">
        <x:v>5462.97</x:v>
      </x:c>
      <x:c r="O128" s="17" t="str">
        <x:v>public_sse_client_estimate</x:v>
      </x:c>
    </x:row>
    <x:row r="129" ht="48" customHeight="1">
      <x:c r="A129" s="17" t="str">
        <x:v>BUS028</x:v>
      </x:c>
      <x:c r="B129" s="17" t="str">
        <x:v>查询宁德时代最近4个报告期研发费用和净利润。</x:v>
      </x:c>
      <x:c r="C129" s="17" t="n">
        <x:v>2</x:v>
      </x:c>
      <x:c r="D129" s="17" t="str">
        <x:v>数据口径</x:v>
      </x:c>
      <x:c r="E129" s="17" t="str">
        <x:v>9429.88</x:v>
      </x:c>
      <x:c r="F129" s="17" t="str">
        <x:v>9495.78</x:v>
      </x:c>
      <x:c r="G129" s="18" t="n">
        <x:v>65.9</x:v>
      </x:c>
      <x:c r="H129" s="18" t="n">
        <x:f>IFERROR(G129/1000,"")</x:f>
        <x:v>0.0659</x:v>
      </x:c>
      <x:c r="I129" s="19" t="n">
        <x:f>IFERROR(G129/J129,"")</x:f>
        <x:v>0.0017564087597621947</x:v>
      </x:c>
      <x:c r="J129" s="17" t="n">
        <x:v>37519.74</x:v>
      </x:c>
      <x:c r="K129" s="17" t="str"/>
      <x:c r="L129" s="17" t="str">
        <x:v>已定位个股财务视图，并确认了可用字段与时间口径。</x:v>
      </x:c>
      <x:c r="M129" s="17" t="str"/>
      <x:c r="N129" s="18" t="n">
        <x:v>0</x:v>
      </x:c>
      <x:c r="O129" s="17" t="str">
        <x:v>public_sse_client_estimate</x:v>
      </x:c>
    </x:row>
    <x:row r="130" ht="48" customHeight="1">
      <x:c r="A130" s="17" t="str">
        <x:v>BUS028</x:v>
      </x:c>
      <x:c r="B130" s="17" t="str">
        <x:v>查询宁德时代最近4个报告期研发费用和净利润。</x:v>
      </x:c>
      <x:c r="C130" s="17" t="n">
        <x:v>3</x:v>
      </x:c>
      <x:c r="D130" s="17" t="str">
        <x:v>数据查询 1/1</x:v>
      </x:c>
      <x:c r="E130" s="17" t="str">
        <x:v>18164.24</x:v>
      </x:c>
      <x:c r="F130" s="17" t="str">
        <x:v>18649.52</x:v>
      </x:c>
      <x:c r="G130" s="18" t="n">
        <x:v>485.28</x:v>
      </x:c>
      <x:c r="H130" s="18" t="n">
        <x:f>IFERROR(G130/1000,"")</x:f>
        <x:v>0.48528</x:v>
      </x:c>
      <x:c r="I130" s="19" t="n">
        <x:f>IFERROR(G130/J130,"")</x:f>
        <x:v>0.012933991546849738</x:v>
      </x:c>
      <x:c r="J130" s="17" t="n">
        <x:v>37519.74</x:v>
      </x:c>
      <x:c r="K130" s="17" t="str"/>
      <x:c r="L130" s="17" t="str">
        <x:v>已完成：查询宁德时代最近4个报告期的研发费用和净利润，取得 1 条记录。</x:v>
      </x:c>
      <x:c r="M130" s="17" t="str"/>
      <x:c r="N130" s="18" t="n">
        <x:v>8668.46</x:v>
      </x:c>
      <x:c r="O130" s="17" t="str">
        <x:v>public_sse_client_estimate</x:v>
      </x:c>
    </x:row>
    <x:row r="131" ht="48" customHeight="1">
      <x:c r="A131" s="17" t="str">
        <x:v>BUS028</x:v>
      </x:c>
      <x:c r="B131" s="17" t="str">
        <x:v>查询宁德时代最近4个报告期研发费用和净利润。</x:v>
      </x:c>
      <x:c r="C131" s="17" t="n">
        <x:v>4</x:v>
      </x:c>
      <x:c r="D131" s="17" t="str">
        <x:v>数据查询 1/1</x:v>
      </x:c>
      <x:c r="E131" s="17" t="str">
        <x:v>22447.35</x:v>
      </x:c>
      <x:c r="F131" s="17" t="str">
        <x:v>22967.78</x:v>
      </x:c>
      <x:c r="G131" s="18" t="n">
        <x:v>520.43</x:v>
      </x:c>
      <x:c r="H131" s="18" t="n">
        <x:f>IFERROR(G131/1000,"")</x:f>
        <x:v>0.52043</x:v>
      </x:c>
      <x:c r="I131" s="19" t="n">
        <x:f>IFERROR(G131/J131,"")</x:f>
        <x:v>0.013870831727511971</x:v>
      </x:c>
      <x:c r="J131" s="17" t="n">
        <x:v>37519.74</x:v>
      </x:c>
      <x:c r="K131" s="17" t="str"/>
      <x:c r="L131" s="17" t="str">
        <x:v>已完成：查询宁德时代多个历史报告期的研发费用和净利润（使用realtime=0），取得 1 条记录。</x:v>
      </x:c>
      <x:c r="M131" s="17" t="str"/>
      <x:c r="N131" s="18" t="n">
        <x:v>3797.83</x:v>
      </x:c>
      <x:c r="O131" s="17" t="str">
        <x:v>public_sse_client_estimate</x:v>
      </x:c>
    </x:row>
    <x:row r="132" ht="48" customHeight="1">
      <x:c r="A132" s="17" t="str">
        <x:v>BUS028</x:v>
      </x:c>
      <x:c r="B132" s="17" t="str">
        <x:v>查询宁德时代最近4个报告期研发费用和净利润。</x:v>
      </x:c>
      <x:c r="C132" s="17" t="n">
        <x:v>5</x:v>
      </x:c>
      <x:c r="D132" s="17" t="str">
        <x:v>数据查询 1/1</x:v>
      </x:c>
      <x:c r="E132" s="17" t="str">
        <x:v>25687.88</x:v>
      </x:c>
      <x:c r="F132" s="17" t="str">
        <x:v>26108.86</x:v>
      </x:c>
      <x:c r="G132" s="18" t="n">
        <x:v>420.98</x:v>
      </x:c>
      <x:c r="H132" s="18" t="n">
        <x:f>IFERROR(G132/1000,"")</x:f>
        <x:v>0.42098</x:v>
      </x:c>
      <x:c r="I132" s="19" t="n">
        <x:f>IFERROR(G132/J132,"")</x:f>
        <x:v>0.011220227005837462</x:v>
      </x:c>
      <x:c r="J132" s="17" t="n">
        <x:v>37519.74</x:v>
      </x:c>
      <x:c r="K132" s="17" t="str"/>
      <x:c r="L132" s="17" t="str">
        <x:v>已完成：尝试用report_period范围查询宁德时代多个报告期的研发费用和净利润，取得 1 条记录。</x:v>
      </x:c>
      <x:c r="M132" s="17" t="str"/>
      <x:c r="N132" s="18" t="n">
        <x:v>2720.1</x:v>
      </x:c>
      <x:c r="O132" s="17" t="str">
        <x:v>public_sse_client_estimate</x:v>
      </x:c>
    </x:row>
    <x:row r="133" ht="48" customHeight="1">
      <x:c r="A133" s="17" t="str">
        <x:v>BUS028</x:v>
      </x:c>
      <x:c r="B133" s="17" t="str">
        <x:v>查询宁德时代最近4个报告期研发费用和净利润。</x:v>
      </x:c>
      <x:c r="C133" s="17" t="n">
        <x:v>6</x:v>
      </x:c>
      <x:c r="D133" s="17" t="str">
        <x:v>数据查询 1/1</x:v>
      </x:c>
      <x:c r="E133" s="17" t="str">
        <x:v>30402.49</x:v>
      </x:c>
      <x:c r="F133" s="17" t="str">
        <x:v>30865.98</x:v>
      </x:c>
      <x:c r="G133" s="18" t="n">
        <x:v>463.49</x:v>
      </x:c>
      <x:c r="H133" s="18" t="n">
        <x:f>IFERROR(G133/1000,"")</x:f>
        <x:v>0.46349</x:v>
      </x:c>
      <x:c r="I133" s="19" t="n">
        <x:f>IFERROR(G133/J133,"")</x:f>
        <x:v>0.012353230592749311</x:v>
      </x:c>
      <x:c r="J133" s="17" t="n">
        <x:v>37519.74</x:v>
      </x:c>
      <x:c r="K133" s="17" t="str"/>
      <x:c r="L133" s="17" t="str">
        <x:v>已完成：逐步查询宁德时代更早报告期的研发费用和净利润，当前条件下没有匹配记录。</x:v>
      </x:c>
      <x:c r="M133" s="17" t="str"/>
      <x:c r="N133" s="18" t="n">
        <x:v>4293.63</x:v>
      </x:c>
      <x:c r="O133" s="17" t="str">
        <x:v>public_sse_client_estimate</x:v>
      </x:c>
    </x:row>
    <x:row r="134" ht="48" customHeight="1">
      <x:c r="A134" s="17" t="str">
        <x:v>BUS028</x:v>
      </x:c>
      <x:c r="B134" s="17" t="str">
        <x:v>查询宁德时代最近4个报告期研发费用和净利润。</x:v>
      </x:c>
      <x:c r="C134" s="17" t="n">
        <x:v>7</x:v>
      </x:c>
      <x:c r="D134" s="17" t="str">
        <x:v>回答整理</x:v>
      </x:c>
      <x:c r="E134" s="17" t="str">
        <x:v>30865.98</x:v>
      </x:c>
      <x:c r="F134" s="17" t="str">
        <x:v>33941.88</x:v>
      </x:c>
      <x:c r="G134" s="18" t="n">
        <x:v>3075.9</x:v>
      </x:c>
      <x:c r="H134" s="18" t="n">
        <x:f>IFERROR(G134/1000,"")</x:f>
        <x:v>3.0759000000000003</x:v>
      </x:c>
      <x:c r="I134" s="19" t="n">
        <x:f>IFERROR(G134/J134,"")</x:f>
        <x:v>0.08198084528304302</x:v>
      </x:c>
      <x:c r="J134" s="17" t="n">
        <x:v>37519.74</x:v>
      </x:c>
      <x:c r="K134" s="17" t="str"/>
      <x:c r="L134" s="17" t="str">
        <x:v>证据与回答已整理完成。</x:v>
      </x:c>
      <x:c r="M134" s="17" t="str"/>
      <x:c r="N134" s="18" t="n">
        <x:v>0</x:v>
      </x:c>
      <x:c r="O134" s="17" t="str">
        <x:v>public_sse_client_estimate</x:v>
      </x:c>
    </x:row>
    <x:row r="135" ht="48" customHeight="1">
      <x:c r="A135" s="17" t="str">
        <x:v>BUS029</x:v>
      </x:c>
      <x:c r="B135" s="17" t="str">
        <x:v>筛选最新报告期经营现金流为正且净利润为正的公司。</x:v>
      </x:c>
      <x:c r="C135" s="17" t="n">
        <x:v>1</x:v>
      </x:c>
      <x:c r="D135" s="17" t="str">
        <x:v>问题理解</x:v>
      </x:c>
      <x:c r="E135" s="17" t="str">
        <x:v>5056.86</x:v>
      </x:c>
      <x:c r="F135" s="17" t="str">
        <x:v>8118.36</x:v>
      </x:c>
      <x:c r="G135" s="18" t="n">
        <x:v>3061.5</x:v>
      </x:c>
      <x:c r="H135" s="18" t="n">
        <x:f>IFERROR(G135/1000,"")</x:f>
        <x:v>3.0615</x:v>
      </x:c>
      <x:c r="I135" s="19" t="n">
        <x:f>IFERROR(G135/J135,"")</x:f>
        <x:v>0.07535393458791133</x:v>
      </x:c>
      <x:c r="J135" s="17" t="n">
        <x:v>40628.27</x:v>
      </x:c>
      <x:c r="K135" s="17" t="str"/>
      <x:c r="L135" s="17" t="str">
        <x:v>已明确本题的对象与口径，开始获取所需证据。</x:v>
      </x:c>
      <x:c r="M135" s="17" t="str"/>
      <x:c r="N135" s="18" t="n">
        <x:v>5056.86</x:v>
      </x:c>
      <x:c r="O135" s="17" t="str">
        <x:v>public_sse_client_estimate</x:v>
      </x:c>
    </x:row>
    <x:row r="136" ht="48" customHeight="1">
      <x:c r="A136" s="17" t="str">
        <x:v>BUS029</x:v>
      </x:c>
      <x:c r="B136" s="17" t="str">
        <x:v>筛选最新报告期经营现金流为正且净利润为正的公司。</x:v>
      </x:c>
      <x:c r="C136" s="17" t="n">
        <x:v>2</x:v>
      </x:c>
      <x:c r="D136" s="17" t="str">
        <x:v>专业分析方法</x:v>
      </x:c>
      <x:c r="E136" s="17" t="str">
        <x:v>8133.01</x:v>
      </x:c>
      <x:c r="F136" s="17" t="str">
        <x:v>8147.23</x:v>
      </x:c>
      <x:c r="G136" s="18" t="n">
        <x:v>14.22</x:v>
      </x:c>
      <x:c r="H136" s="18" t="n">
        <x:f>IFERROR(G136/1000,"")</x:f>
        <x:v>0.01422</x:v>
      </x:c>
      <x:c r="I136" s="19" t="n">
        <x:f>IFERROR(G136/J136,"")</x:f>
        <x:v>0.00035000259671406144</x:v>
      </x:c>
      <x:c r="J136" s="17" t="n">
        <x:v>40628.27</x:v>
      </x:c>
      <x:c r="K136" s="17" t="str"/>
      <x:c r="L136" s="17" t="str">
        <x:v>专业分析方法已就绪。</x:v>
      </x:c>
      <x:c r="M136" s="17" t="str"/>
      <x:c r="N136" s="18" t="n">
        <x:v>14.65</x:v>
      </x:c>
      <x:c r="O136" s="17" t="str">
        <x:v>public_sse_client_estimate</x:v>
      </x:c>
    </x:row>
    <x:row r="137" ht="48" customHeight="1">
      <x:c r="A137" s="17" t="str">
        <x:v>BUS029</x:v>
      </x:c>
      <x:c r="B137" s="17" t="str">
        <x:v>筛选最新报告期经营现金流为正且净利润为正的公司。</x:v>
      </x:c>
      <x:c r="C137" s="17" t="n">
        <x:v>3</x:v>
      </x:c>
      <x:c r="D137" s="17" t="str">
        <x:v>数据口径</x:v>
      </x:c>
      <x:c r="E137" s="17" t="str">
        <x:v>8147.23</x:v>
      </x:c>
      <x:c r="F137" s="17" t="str">
        <x:v>10872.54</x:v>
      </x:c>
      <x:c r="G137" s="18" t="n">
        <x:v>2725.31</x:v>
      </x:c>
      <x:c r="H137" s="18" t="n">
        <x:f>IFERROR(G137/1000,"")</x:f>
        <x:v>2.72531</x:v>
      </x:c>
      <x:c r="I137" s="19" t="n">
        <x:f>IFERROR(G137/J137,"")</x:f>
        <x:v>0.06707915449021089</x:v>
      </x:c>
      <x:c r="J137" s="17" t="n">
        <x:v>40628.27</x:v>
      </x:c>
      <x:c r="K137" s="17" t="str"/>
      <x:c r="L137" s="17" t="str">
        <x:v>已定位个股财务视图，并确认了可用字段与时间口径。</x:v>
      </x:c>
      <x:c r="M137" s="17" t="str"/>
      <x:c r="N137" s="18" t="n">
        <x:v>0</x:v>
      </x:c>
      <x:c r="O137" s="17" t="str">
        <x:v>public_sse_client_estimate</x:v>
      </x:c>
    </x:row>
    <x:row r="138" ht="48" customHeight="1">
      <x:c r="A138" s="17" t="str">
        <x:v>BUS029</x:v>
      </x:c>
      <x:c r="B138" s="17" t="str">
        <x:v>筛选最新报告期经营现金流为正且净利润为正的公司。</x:v>
      </x:c>
      <x:c r="C138" s="17" t="n">
        <x:v>4</x:v>
      </x:c>
      <x:c r="D138" s="17" t="str">
        <x:v>数据查询 1/1</x:v>
      </x:c>
      <x:c r="E138" s="17" t="str">
        <x:v>21138.47</x:v>
      </x:c>
      <x:c r="F138" s="17" t="str">
        <x:v>21794.92</x:v>
      </x:c>
      <x:c r="G138" s="18" t="n">
        <x:v>656.45</x:v>
      </x:c>
      <x:c r="H138" s="18" t="n">
        <x:f>IFERROR(G138/1000,"")</x:f>
        <x:v>0.6564500000000001</x:v>
      </x:c>
      <x:c r="I138" s="19" t="n">
        <x:f>IFERROR(G138/J138,"")</x:f>
        <x:v>0.016157468678828807</x:v>
      </x:c>
      <x:c r="J138" s="17" t="n">
        <x:v>40628.27</x:v>
      </x:c>
      <x:c r="K138" s="17" t="str"/>
      <x:c r="L138" s="17" t="str">
        <x:v>已完成：查看最新可用的财务报告期，取得 1 条记录。</x:v>
      </x:c>
      <x:c r="M138" s="17" t="str"/>
      <x:c r="N138" s="18" t="n">
        <x:v>10265.93</x:v>
      </x:c>
      <x:c r="O138" s="17" t="str">
        <x:v>public_sse_client_estimate</x:v>
      </x:c>
    </x:row>
    <x:row r="139" ht="48" customHeight="1">
      <x:c r="A139" s="17" t="str">
        <x:v>BUS029</x:v>
      </x:c>
      <x:c r="B139" s="17" t="str">
        <x:v>筛选最新报告期经营现金流为正且净利润为正的公司。</x:v>
      </x:c>
      <x:c r="C139" s="17" t="n">
        <x:v>5</x:v>
      </x:c>
      <x:c r="D139" s="17" t="str">
        <x:v>数据查询 1/1</x:v>
      </x:c>
      <x:c r="E139" s="17" t="str">
        <x:v>24777.54</x:v>
      </x:c>
      <x:c r="F139" s="17" t="str">
        <x:v>25318.34</x:v>
      </x:c>
      <x:c r="G139" s="18" t="n">
        <x:v>540.8</x:v>
      </x:c>
      <x:c r="H139" s="18" t="n">
        <x:f>IFERROR(G139/1000,"")</x:f>
        <x:v>0.5408</x:v>
      </x:c>
      <x:c r="I139" s="19" t="n">
        <x:f>IFERROR(G139/J139,"")</x:f>
        <x:v>0.013310928572641661</x:v>
      </x:c>
      <x:c r="J139" s="17" t="n">
        <x:v>40628.27</x:v>
      </x:c>
      <x:c r="K139" s="17" t="str"/>
      <x:c r="L139" s="17" t="str">
        <x:v>已完成：筛选2026年中报经营现金流和净利润均为正的公司，取得 20 条记录。</x:v>
      </x:c>
      <x:c r="M139" s="17" t="str"/>
      <x:c r="N139" s="18" t="n">
        <x:v>2982.62</x:v>
      </x:c>
      <x:c r="O139" s="17" t="str">
        <x:v>public_sse_client_estimate</x:v>
      </x:c>
    </x:row>
    <x:row r="140" ht="48" customHeight="1">
      <x:c r="A140" s="17" t="str">
        <x:v>BUS029</x:v>
      </x:c>
      <x:c r="B140" s="17" t="str">
        <x:v>筛选最新报告期经营现金流为正且净利润为正的公司。</x:v>
      </x:c>
      <x:c r="C140" s="17" t="n">
        <x:v>6</x:v>
      </x:c>
      <x:c r="D140" s="17" t="str">
        <x:v>回答整理</x:v>
      </x:c>
      <x:c r="E140" s="17" t="str">
        <x:v>25318.34</x:v>
      </x:c>
      <x:c r="F140" s="17" t="str">
        <x:v>37300.25</x:v>
      </x:c>
      <x:c r="G140" s="18" t="n">
        <x:v>11981.91</x:v>
      </x:c>
      <x:c r="H140" s="18" t="n">
        <x:f>IFERROR(G140/1000,"")</x:f>
        <x:v>11.98191</x:v>
      </x:c>
      <x:c r="I140" s="19" t="n">
        <x:f>IFERROR(G140/J140,"")</x:f>
        <x:v>0.2949155846409409</x:v>
      </x:c>
      <x:c r="J140" s="17" t="n">
        <x:v>40628.27</x:v>
      </x:c>
      <x:c r="K140" s="17" t="str"/>
      <x:c r="L140" s="17" t="str">
        <x:v>证据与回答已整理完成。</x:v>
      </x:c>
      <x:c r="M140" s="17" t="str"/>
      <x:c r="N140" s="18" t="n">
        <x:v>0</x:v>
      </x:c>
      <x:c r="O140" s="17" t="str">
        <x:v>public_sse_client_estimate</x:v>
      </x:c>
    </x:row>
    <x:row r="141" ht="48" customHeight="1">
      <x:c r="A141" s="17" t="str">
        <x:v>BUS030</x:v>
      </x:c>
      <x:c r="B141" s="17" t="str">
        <x:v>最新报告期净利率最高的前20家公司。</x:v>
      </x:c>
      <x:c r="C141" s="17" t="n">
        <x:v>1</x:v>
      </x:c>
      <x:c r="D141" s="17" t="str">
        <x:v>问题理解</x:v>
      </x:c>
      <x:c r="E141" s="17" t="str">
        <x:v>6484.16</x:v>
      </x:c>
      <x:c r="F141" s="17" t="str">
        <x:v>11592.31</x:v>
      </x:c>
      <x:c r="G141" s="18" t="n">
        <x:v>5108.15</x:v>
      </x:c>
      <x:c r="H141" s="18" t="n">
        <x:f>IFERROR(G141/1000,"")</x:f>
        <x:v>5.108149999999999</x:v>
      </x:c>
      <x:c r="I141" s="19" t="n">
        <x:f>IFERROR(G141/J141,"")</x:f>
        <x:v>0.1419006630077668</x:v>
      </x:c>
      <x:c r="J141" s="17" t="n">
        <x:v>35998.07</x:v>
      </x:c>
      <x:c r="K141" s="17" t="str"/>
      <x:c r="L141" s="17" t="str">
        <x:v>已明确本题的对象与口径，开始获取所需证据。</x:v>
      </x:c>
      <x:c r="M141" s="17" t="str"/>
      <x:c r="N141" s="18" t="n">
        <x:v>6484.16</x:v>
      </x:c>
      <x:c r="O141" s="17" t="str">
        <x:v>public_sse_client_estimate</x:v>
      </x:c>
    </x:row>
    <x:row r="142" ht="48" customHeight="1">
      <x:c r="A142" s="17" t="str">
        <x:v>BUS030</x:v>
      </x:c>
      <x:c r="B142" s="17" t="str">
        <x:v>最新报告期净利率最高的前20家公司。</x:v>
      </x:c>
      <x:c r="C142" s="17" t="n">
        <x:v>2</x:v>
      </x:c>
      <x:c r="D142" s="17" t="str">
        <x:v>数据口径</x:v>
      </x:c>
      <x:c r="E142" s="17" t="str">
        <x:v>11592.31</x:v>
      </x:c>
      <x:c r="F142" s="17" t="str">
        <x:v>11787.1</x:v>
      </x:c>
      <x:c r="G142" s="18" t="n">
        <x:v>194.79</x:v>
      </x:c>
      <x:c r="H142" s="18" t="n">
        <x:f>IFERROR(G142/1000,"")</x:f>
        <x:v>0.19479</x:v>
      </x:c>
      <x:c r="I142" s="19" t="n">
        <x:f>IFERROR(G142/J142,"")</x:f>
        <x:v>0.005411123429672757</x:v>
      </x:c>
      <x:c r="J142" s="17" t="n">
        <x:v>35998.07</x:v>
      </x:c>
      <x:c r="K142" s="17" t="str"/>
      <x:c r="L142" s="17" t="str">
        <x:v>已定位个股财务视图，并确认了可用字段与时间口径。</x:v>
      </x:c>
      <x:c r="M142" s="17" t="str"/>
      <x:c r="N142" s="18" t="n">
        <x:v>0</x:v>
      </x:c>
      <x:c r="O142" s="17" t="str">
        <x:v>public_sse_client_estimate</x:v>
      </x:c>
    </x:row>
    <x:row r="143" ht="48" customHeight="1">
      <x:c r="A143" s="17" t="str">
        <x:v>BUS030</x:v>
      </x:c>
      <x:c r="B143" s="17" t="str">
        <x:v>最新报告期净利率最高的前20家公司。</x:v>
      </x:c>
      <x:c r="C143" s="17" t="n">
        <x:v>3</x:v>
      </x:c>
      <x:c r="D143" s="17" t="str">
        <x:v>数据查询 1/2</x:v>
      </x:c>
      <x:c r="E143" s="17" t="str">
        <x:v>19117.56</x:v>
      </x:c>
      <x:c r="F143" s="17" t="str">
        <x:v>19642.37</x:v>
      </x:c>
      <x:c r="G143" s="18" t="n">
        <x:v>524.81</x:v>
      </x:c>
      <x:c r="H143" s="18" t="n">
        <x:f>IFERROR(G143/1000,"")</x:f>
        <x:v>0.52481</x:v>
      </x:c>
      <x:c r="I143" s="19" t="n">
        <x:f>IFERROR(G143/J143,"")</x:f>
        <x:v>0.01457883714321351</x:v>
      </x:c>
      <x:c r="J143" s="17" t="n">
        <x:v>35998.07</x:v>
      </x:c>
      <x:c r="K143" s="17" t="str"/>
      <x:c r="L143" s="17" t="str">
        <x:v>已完成：查询最新可用的财务报告期，了解有哪些报告期，取得 5 条记录。</x:v>
      </x:c>
      <x:c r="M143" s="17" t="str"/>
      <x:c r="N143" s="18" t="n">
        <x:v>7330.46</x:v>
      </x:c>
      <x:c r="O143" s="17" t="str">
        <x:v>public_sse_client_estimate</x:v>
      </x:c>
    </x:row>
    <x:row r="144" ht="48" customHeight="1">
      <x:c r="A144" s="17" t="str">
        <x:v>BUS030</x:v>
      </x:c>
      <x:c r="B144" s="17" t="str">
        <x:v>最新报告期净利率最高的前20家公司。</x:v>
      </x:c>
      <x:c r="C144" s="17" t="n">
        <x:v>4</x:v>
      </x:c>
      <x:c r="D144" s="17" t="str">
        <x:v>数据查询 2/2</x:v>
      </x:c>
      <x:c r="E144" s="17" t="str">
        <x:v>19647.04</x:v>
      </x:c>
      <x:c r="F144" s="17" t="str">
        <x:v>20141.33</x:v>
      </x:c>
      <x:c r="G144" s="18" t="n">
        <x:v>494.29</x:v>
      </x:c>
      <x:c r="H144" s="18" t="n">
        <x:f>IFERROR(G144/1000,"")</x:f>
        <x:v>0.49429</x:v>
      </x:c>
      <x:c r="I144" s="19" t="n">
        <x:f>IFERROR(G144/J144,"")</x:f>
        <x:v>0.01373101391269032</x:v>
      </x:c>
      <x:c r="J144" s="17" t="n">
        <x:v>35998.07</x:v>
      </x:c>
      <x:c r="K144" s="17" t="str"/>
      <x:c r="L144" s="17" t="str">
        <x:v>已完成：按最新报告期查询净利率最高的前20家公司，取得 20 条记录。</x:v>
      </x:c>
      <x:c r="M144" s="17" t="str"/>
      <x:c r="N144" s="18" t="n">
        <x:v>4.67</x:v>
      </x:c>
      <x:c r="O144" s="17" t="str">
        <x:v>public_sse_client_estimate</x:v>
      </x:c>
    </x:row>
    <x:row r="145" ht="48" customHeight="1">
      <x:c r="A145" s="17" t="str">
        <x:v>BUS030</x:v>
      </x:c>
      <x:c r="B145" s="17" t="str">
        <x:v>最新报告期净利率最高的前20家公司。</x:v>
      </x:c>
      <x:c r="C145" s="17" t="n">
        <x:v>5</x:v>
      </x:c>
      <x:c r="D145" s="17" t="str">
        <x:v>回答整理</x:v>
      </x:c>
      <x:c r="E145" s="17" t="str">
        <x:v>20141.33</x:v>
      </x:c>
      <x:c r="F145" s="17" t="str">
        <x:v>33140.25</x:v>
      </x:c>
      <x:c r="G145" s="18" t="n">
        <x:v>12998.92</x:v>
      </x:c>
      <x:c r="H145" s="18" t="n">
        <x:f>IFERROR(G145/1000,"")</x:f>
        <x:v>12.99892</x:v>
      </x:c>
      <x:c r="I145" s="19" t="n">
        <x:f>IFERROR(G145/J145,"")</x:f>
        <x:v>0.36110047010853635</x:v>
      </x:c>
      <x:c r="J145" s="17" t="n">
        <x:v>35998.07</x:v>
      </x:c>
      <x:c r="K145" s="17" t="str"/>
      <x:c r="L145" s="17" t="str">
        <x:v>证据与回答已整理完成。</x:v>
      </x:c>
      <x:c r="M145" s="17" t="str"/>
      <x:c r="N145" s="18" t="n">
        <x:v>0</x:v>
      </x:c>
      <x:c r="O145" s="17" t="str">
        <x:v>public_sse_client_estimate</x:v>
      </x:c>
    </x:row>
    <x:row r="146" ht="48" customHeight="1">
      <x:c r="A146" s="17" t="str">
        <x:v>BUS031</x:v>
      </x:c>
      <x:c r="B146" s="17" t="str">
        <x:v>贵州茅台最新融资余额、融资买入额和融资偿还额是多少？</x:v>
      </x:c>
      <x:c r="C146" s="17" t="n">
        <x:v>1</x:v>
      </x:c>
      <x:c r="D146" s="17" t="str">
        <x:v>问题理解</x:v>
      </x:c>
      <x:c r="E146" s="17" t="str">
        <x:v>5721.75</x:v>
      </x:c>
      <x:c r="F146" s="17" t="str">
        <x:v>8259.57</x:v>
      </x:c>
      <x:c r="G146" s="18" t="n">
        <x:v>2537.82</x:v>
      </x:c>
      <x:c r="H146" s="18" t="n">
        <x:f>IFERROR(G146/1000,"")</x:f>
        <x:v>2.53782</x:v>
      </x:c>
      <x:c r="I146" s="19" t="n">
        <x:f>IFERROR(G146/J146,"")</x:f>
        <x:v>0.13821457455702027</x:v>
      </x:c>
      <x:c r="J146" s="17" t="n">
        <x:v>18361.45</x:v>
      </x:c>
      <x:c r="K146" s="17" t="str"/>
      <x:c r="L146" s="17" t="str">
        <x:v>已明确本题的对象与口径，开始获取所需证据。</x:v>
      </x:c>
      <x:c r="M146" s="17" t="str"/>
      <x:c r="N146" s="18" t="n">
        <x:v>5721.75</x:v>
      </x:c>
      <x:c r="O146" s="17" t="str">
        <x:v>public_sse_client_estimate</x:v>
      </x:c>
    </x:row>
    <x:row r="147" ht="48" customHeight="1">
      <x:c r="A147" s="17" t="str">
        <x:v>BUS031</x:v>
      </x:c>
      <x:c r="B147" s="17" t="str">
        <x:v>贵州茅台最新融资余额、融资买入额和融资偿还额是多少？</x:v>
      </x:c>
      <x:c r="C147" s="17" t="n">
        <x:v>2</x:v>
      </x:c>
      <x:c r="D147" s="17" t="str">
        <x:v>数据口径</x:v>
      </x:c>
      <x:c r="E147" s="17" t="str">
        <x:v>8259.57</x:v>
      </x:c>
      <x:c r="F147" s="17" t="str">
        <x:v>8289.51</x:v>
      </x:c>
      <x:c r="G147" s="18" t="n">
        <x:v>29.94</x:v>
      </x:c>
      <x:c r="H147" s="18" t="n">
        <x:f>IFERROR(G147/1000,"")</x:f>
        <x:v>0.02994</x:v>
      </x:c>
      <x:c r="I147" s="19" t="n">
        <x:f>IFERROR(G147/J147,"")</x:f>
        <x:v>0.001630590176701731</x:v>
      </x:c>
      <x:c r="J147" s="17" t="n">
        <x:v>18361.45</x:v>
      </x:c>
      <x:c r="K147" s="17" t="str"/>
      <x:c r="L147" s="17" t="str">
        <x:v>已定位融资融券视图，并确认了可用字段与时间口径。</x:v>
      </x:c>
      <x:c r="M147" s="17" t="str"/>
      <x:c r="N147" s="18" t="n">
        <x:v>0</x:v>
      </x:c>
      <x:c r="O147" s="17" t="str">
        <x:v>public_sse_client_estimate</x:v>
      </x:c>
    </x:row>
    <x:row r="148" ht="48" customHeight="1">
      <x:c r="A148" s="17" t="str">
        <x:v>BUS031</x:v>
      </x:c>
      <x:c r="B148" s="17" t="str">
        <x:v>贵州茅台最新融资余额、融资买入额和融资偿还额是多少？</x:v>
      </x:c>
      <x:c r="C148" s="17" t="n">
        <x:v>3</x:v>
      </x:c>
      <x:c r="D148" s="17" t="str">
        <x:v>数据查询 1/1</x:v>
      </x:c>
      <x:c r="E148" s="17" t="str">
        <x:v>11599.79</x:v>
      </x:c>
      <x:c r="F148" s="17" t="str">
        <x:v>12162.6</x:v>
      </x:c>
      <x:c r="G148" s="18" t="n">
        <x:v>562.81</x:v>
      </x:c>
      <x:c r="H148" s="18" t="n">
        <x:f>IFERROR(G148/1000,"")</x:f>
        <x:v>0.5628099999999999</x:v>
      </x:c>
      <x:c r="I148" s="19" t="n">
        <x:f>IFERROR(G148/J148,"")</x:f>
        <x:v>0.03065171868234807</x:v>
      </x:c>
      <x:c r="J148" s="17" t="n">
        <x:v>18361.45</x:v>
      </x:c>
      <x:c r="K148" s="17" t="str"/>
      <x:c r="L148" s="17" t="str">
        <x:v>已完成：查询贵州茅台最新的融资余额、融资买入额和融资偿还额，取得 1 条记录。</x:v>
      </x:c>
      <x:c r="M148" s="17" t="str"/>
      <x:c r="N148" s="18" t="n">
        <x:v>3310.28</x:v>
      </x:c>
      <x:c r="O148" s="17" t="str">
        <x:v>public_sse_client_estimate</x:v>
      </x:c>
    </x:row>
    <x:row r="149" ht="48" customHeight="1">
      <x:c r="A149" s="17" t="str">
        <x:v>BUS031</x:v>
      </x:c>
      <x:c r="B149" s="17" t="str">
        <x:v>贵州茅台最新融资余额、融资买入额和融资偿还额是多少？</x:v>
      </x:c>
      <x:c r="C149" s="17" t="n">
        <x:v>4</x:v>
      </x:c>
      <x:c r="D149" s="17" t="str">
        <x:v>回答整理</x:v>
      </x:c>
      <x:c r="E149" s="17" t="str">
        <x:v>12162.6</x:v>
      </x:c>
      <x:c r="F149" s="17" t="str">
        <x:v>15447.35</x:v>
      </x:c>
      <x:c r="G149" s="18" t="n">
        <x:v>3284.75</x:v>
      </x:c>
      <x:c r="H149" s="18" t="n">
        <x:f>IFERROR(G149/1000,"")</x:f>
        <x:v>3.28475</x:v>
      </x:c>
      <x:c r="I149" s="19" t="n">
        <x:f>IFERROR(G149/J149,"")</x:f>
        <x:v>0.17889382374485674</x:v>
      </x:c>
      <x:c r="J149" s="17" t="n">
        <x:v>18361.45</x:v>
      </x:c>
      <x:c r="K149" s="17" t="str"/>
      <x:c r="L149" s="17" t="str">
        <x:v>证据与回答已整理完成。</x:v>
      </x:c>
      <x:c r="M149" s="17" t="str"/>
      <x:c r="N149" s="18" t="n">
        <x:v>0</x:v>
      </x:c>
      <x:c r="O149" s="17" t="str">
        <x:v>public_sse_client_estimate</x:v>
      </x:c>
    </x:row>
    <x:row r="150" ht="48" customHeight="1">
      <x:c r="A150" s="17" t="str">
        <x:v>BUS032</x:v>
      </x:c>
      <x:c r="B150" s="17" t="str">
        <x:v>最新融资余额最高的前20只股票有哪些？</x:v>
      </x:c>
      <x:c r="C150" s="17" t="n">
        <x:v>1</x:v>
      </x:c>
      <x:c r="D150" s="17" t="str">
        <x:v>问题理解</x:v>
      </x:c>
      <x:c r="E150" s="17" t="str">
        <x:v>5640.57</x:v>
      </x:c>
      <x:c r="F150" s="17" t="str">
        <x:v>10331.67</x:v>
      </x:c>
      <x:c r="G150" s="18" t="n">
        <x:v>4691.1</x:v>
      </x:c>
      <x:c r="H150" s="18" t="n">
        <x:f>IFERROR(G150/1000,"")</x:f>
        <x:v>4.6911000000000005</x:v>
      </x:c>
      <x:c r="I150" s="19" t="n">
        <x:f>IFERROR(G150/J150,"")</x:f>
        <x:v>0.11674996528187387</x:v>
      </x:c>
      <x:c r="J150" s="17" t="n">
        <x:v>40180.74</x:v>
      </x:c>
      <x:c r="K150" s="17" t="str"/>
      <x:c r="L150" s="17" t="str">
        <x:v>已明确本题的对象与口径，开始获取所需证据。</x:v>
      </x:c>
      <x:c r="M150" s="17" t="str"/>
      <x:c r="N150" s="18" t="n">
        <x:v>5640.57</x:v>
      </x:c>
      <x:c r="O150" s="17" t="str">
        <x:v>public_sse_client_estimate</x:v>
      </x:c>
    </x:row>
    <x:row r="151" ht="48" customHeight="1">
      <x:c r="A151" s="17" t="str">
        <x:v>BUS032</x:v>
      </x:c>
      <x:c r="B151" s="17" t="str">
        <x:v>最新融资余额最高的前20只股票有哪些？</x:v>
      </x:c>
      <x:c r="C151" s="17" t="n">
        <x:v>2</x:v>
      </x:c>
      <x:c r="D151" s="17" t="str">
        <x:v>数据口径</x:v>
      </x:c>
      <x:c r="E151" s="17" t="str">
        <x:v>10331.67</x:v>
      </x:c>
      <x:c r="F151" s="17" t="str">
        <x:v>10442.16</x:v>
      </x:c>
      <x:c r="G151" s="18" t="n">
        <x:v>110.49</x:v>
      </x:c>
      <x:c r="H151" s="18" t="n">
        <x:f>IFERROR(G151/1000,"")</x:f>
        <x:v>0.11048999999999999</x:v>
      </x:c>
      <x:c r="I151" s="19" t="n">
        <x:f>IFERROR(G151/J151,"")</x:f>
        <x:v>0.0027498249161165274</x:v>
      </x:c>
      <x:c r="J151" s="17" t="n">
        <x:v>40180.74</x:v>
      </x:c>
      <x:c r="K151" s="17" t="str"/>
      <x:c r="L151" s="17" t="str">
        <x:v>已定位融资融券视图，并确认了可用字段与时间口径。</x:v>
      </x:c>
      <x:c r="M151" s="17" t="str"/>
      <x:c r="N151" s="18" t="n">
        <x:v>0</x:v>
      </x:c>
      <x:c r="O151" s="17" t="str">
        <x:v>public_sse_client_estimate</x:v>
      </x:c>
    </x:row>
    <x:row r="152" ht="48" customHeight="1">
      <x:c r="A152" s="17" t="str">
        <x:v>BUS032</x:v>
      </x:c>
      <x:c r="B152" s="17" t="str">
        <x:v>最新融资余额最高的前20只股票有哪些？</x:v>
      </x:c>
      <x:c r="C152" s="17" t="n">
        <x:v>3</x:v>
      </x:c>
      <x:c r="D152" s="17" t="str">
        <x:v>数据查询 1/1</x:v>
      </x:c>
      <x:c r="E152" s="17" t="str">
        <x:v>13628.11</x:v>
      </x:c>
      <x:c r="F152" s="17" t="str">
        <x:v>14706.49</x:v>
      </x:c>
      <x:c r="G152" s="18" t="n">
        <x:v>1078.38</x:v>
      </x:c>
      <x:c r="H152" s="18" t="n">
        <x:f>IFERROR(G152/1000,"")</x:f>
        <x:v>1.0783800000000001</x:v>
      </x:c>
      <x:c r="I152" s="19" t="n">
        <x:f>IFERROR(G152/J152,"")</x:f>
        <x:v>0.026838231451187813</x:v>
      </x:c>
      <x:c r="J152" s="17" t="n">
        <x:v>40180.74</x:v>
      </x:c>
      <x:c r="K152" s="17" t="str"/>
      <x:c r="L152" s="17" t="str">
        <x:v>已完成：查询最新交易日融资余额最高的前20只股票及其融资余额，当前条件下没有匹配记录。</x:v>
      </x:c>
      <x:c r="M152" s="17" t="str"/>
      <x:c r="N152" s="18" t="n">
        <x:v>3185.95</x:v>
      </x:c>
      <x:c r="O152" s="17" t="str">
        <x:v>public_sse_client_estimate</x:v>
      </x:c>
    </x:row>
    <x:row r="153" ht="48" customHeight="1">
      <x:c r="A153" s="17" t="str">
        <x:v>BUS032</x:v>
      </x:c>
      <x:c r="B153" s="17" t="str">
        <x:v>最新融资余额最高的前20只股票有哪些？</x:v>
      </x:c>
      <x:c r="C153" s="17" t="n">
        <x:v>4</x:v>
      </x:c>
      <x:c r="D153" s="17" t="str">
        <x:v>数据查询 1/1</x:v>
      </x:c>
      <x:c r="E153" s="17" t="str">
        <x:v>18178.82</x:v>
      </x:c>
      <x:c r="F153" s="17" t="str">
        <x:v>18653.23</x:v>
      </x:c>
      <x:c r="G153" s="18" t="n">
        <x:v>474.41</x:v>
      </x:c>
      <x:c r="H153" s="18" t="n">
        <x:f>IFERROR(G153/1000,"")</x:f>
        <x:v>0.47441</x:v>
      </x:c>
      <x:c r="I153" s="19" t="n">
        <x:f>IFERROR(G153/J153,"")</x:f>
        <x:v>0.01180690052000038</x:v>
      </x:c>
      <x:c r="J153" s="17" t="n">
        <x:v>40180.74</x:v>
      </x:c>
      <x:c r="K153" s="17" t="str"/>
      <x:c r="L153" s="17" t="str">
        <x:v>已完成：确认融资余额数据源中最近可用的交易日，取得 5 条记录。</x:v>
      </x:c>
      <x:c r="M153" s="17" t="str"/>
      <x:c r="N153" s="18" t="n">
        <x:v>3472.33</x:v>
      </x:c>
      <x:c r="O153" s="17" t="str">
        <x:v>public_sse_client_estimate</x:v>
      </x:c>
    </x:row>
    <x:row r="154" ht="48" customHeight="1">
      <x:c r="A154" s="17" t="str">
        <x:v>BUS032</x:v>
      </x:c>
      <x:c r="B154" s="17" t="str">
        <x:v>最新融资余额最高的前20只股票有哪些？</x:v>
      </x:c>
      <x:c r="C154" s="17" t="n">
        <x:v>5</x:v>
      </x:c>
      <x:c r="D154" s="17" t="str">
        <x:v>数据查询 1/1</x:v>
      </x:c>
      <x:c r="E154" s="17" t="str">
        <x:v>21593.28</x:v>
      </x:c>
      <x:c r="F154" s="17" t="str">
        <x:v>22060.6</x:v>
      </x:c>
      <x:c r="G154" s="18" t="n">
        <x:v>467.32</x:v>
      </x:c>
      <x:c r="H154" s="18" t="n">
        <x:f>IFERROR(G154/1000,"")</x:f>
        <x:v>0.46732</x:v>
      </x:c>
      <x:c r="I154" s="19" t="n">
        <x:f>IFERROR(G154/J154,"")</x:f>
        <x:v>0.01163044782151847</x:v>
      </x:c>
      <x:c r="J154" s="17" t="n">
        <x:v>40180.74</x:v>
      </x:c>
      <x:c r="K154" s="17" t="str"/>
      <x:c r="L154" s="17" t="str">
        <x:v>当前查询未完成，已保留此前取得的有效结果。</x:v>
      </x:c>
      <x:c r="M154" s="17" t="str"/>
      <x:c r="N154" s="18" t="n">
        <x:v>2940.05</x:v>
      </x:c>
      <x:c r="O154" s="17" t="str">
        <x:v>public_sse_client_estimate</x:v>
      </x:c>
    </x:row>
    <x:row r="155" ht="48" customHeight="1">
      <x:c r="A155" s="17" t="str">
        <x:v>BUS032</x:v>
      </x:c>
      <x:c r="B155" s="17" t="str">
        <x:v>最新融资余额最高的前20只股票有哪些？</x:v>
      </x:c>
      <x:c r="C155" s="17" t="n">
        <x:v>6</x:v>
      </x:c>
      <x:c r="D155" s="17" t="str">
        <x:v>数据查询 1/1</x:v>
      </x:c>
      <x:c r="E155" s="17" t="str">
        <x:v>24174.67</x:v>
      </x:c>
      <x:c r="F155" s="17" t="str">
        <x:v>25181.22</x:v>
      </x:c>
      <x:c r="G155" s="18" t="n">
        <x:v>1006.55</x:v>
      </x:c>
      <x:c r="H155" s="18" t="n">
        <x:f>IFERROR(G155/1000,"")</x:f>
        <x:v>1.00655</x:v>
      </x:c>
      <x:c r="I155" s="19" t="n">
        <x:f>IFERROR(G155/J155,"")</x:f>
        <x:v>0.025050559048937375</x:v>
      </x:c>
      <x:c r="J155" s="17" t="n">
        <x:v>40180.74</x:v>
      </x:c>
      <x:c r="K155" s="17" t="str"/>
      <x:c r="L155" s="17" t="str">
        <x:v>已完成：查询2026-07-30融资余额最高的前20只股票，取得 20 条记录。</x:v>
      </x:c>
      <x:c r="M155" s="17" t="str"/>
      <x:c r="N155" s="18" t="n">
        <x:v>2114.07</x:v>
      </x:c>
      <x:c r="O155" s="17" t="str">
        <x:v>public_sse_client_estimate</x:v>
      </x:c>
    </x:row>
    <x:row r="156" ht="48" customHeight="1">
      <x:c r="A156" s="17" t="str">
        <x:v>BUS032</x:v>
      </x:c>
      <x:c r="B156" s="17" t="str">
        <x:v>最新融资余额最高的前20只股票有哪些？</x:v>
      </x:c>
      <x:c r="C156" s="17" t="n">
        <x:v>7</x:v>
      </x:c>
      <x:c r="D156" s="17" t="str">
        <x:v>回答整理</x:v>
      </x:c>
      <x:c r="E156" s="17" t="str">
        <x:v>25181.22</x:v>
      </x:c>
      <x:c r="F156" s="17" t="str">
        <x:v>37117.06</x:v>
      </x:c>
      <x:c r="G156" s="18" t="n">
        <x:v>11935.84</x:v>
      </x:c>
      <x:c r="H156" s="18" t="n">
        <x:f>IFERROR(G156/1000,"")</x:f>
        <x:v>11.93584</x:v>
      </x:c>
      <x:c r="I156" s="19" t="n">
        <x:f>IFERROR(G156/J156,"")</x:f>
        <x:v>0.2970537625738103</x:v>
      </x:c>
      <x:c r="J156" s="17" t="n">
        <x:v>40180.74</x:v>
      </x:c>
      <x:c r="K156" s="17" t="str"/>
      <x:c r="L156" s="17" t="str">
        <x:v>证据与回答已整理完成。</x:v>
      </x:c>
      <x:c r="M156" s="17" t="str"/>
      <x:c r="N156" s="18" t="n">
        <x:v>0</x:v>
      </x:c>
      <x:c r="O156" s="17" t="str">
        <x:v>public_sse_client_estimate</x:v>
      </x:c>
    </x:row>
    <x:row r="157" ht="48" customHeight="1">
      <x:c r="A157" s="17" t="str">
        <x:v>BUS033</x:v>
      </x:c>
      <x:c r="B157" s="17" t="str">
        <x:v>近5个交易日融资净买入合计最高的前10只股票。</x:v>
      </x:c>
      <x:c r="C157" s="17" t="n">
        <x:v>1</x:v>
      </x:c>
      <x:c r="D157" s="17" t="str">
        <x:v>问题理解</x:v>
      </x:c>
      <x:c r="E157" s="17" t="str">
        <x:v>5274</x:v>
      </x:c>
      <x:c r="F157" s="17" t="str">
        <x:v>8454.35</x:v>
      </x:c>
      <x:c r="G157" s="18" t="n">
        <x:v>3180.35</x:v>
      </x:c>
      <x:c r="H157" s="18" t="n">
        <x:f>IFERROR(G157/1000,"")</x:f>
        <x:v>3.18035</x:v>
      </x:c>
      <x:c r="I157" s="19" t="n">
        <x:f>IFERROR(G157/J157,"")</x:f>
        <x:v>0.12693241313470197</x:v>
      </x:c>
      <x:c r="J157" s="17" t="n">
        <x:v>25055.46</x:v>
      </x:c>
      <x:c r="K157" s="17" t="str"/>
      <x:c r="L157" s="17" t="str">
        <x:v>已明确本题的对象与口径，开始获取所需证据。</x:v>
      </x:c>
      <x:c r="M157" s="17" t="str"/>
      <x:c r="N157" s="18" t="n">
        <x:v>5274</x:v>
      </x:c>
      <x:c r="O157" s="17" t="str">
        <x:v>public_sse_client_estimate</x:v>
      </x:c>
    </x:row>
    <x:row r="158" ht="48" customHeight="1">
      <x:c r="A158" s="17" t="str">
        <x:v>BUS033</x:v>
      </x:c>
      <x:c r="B158" s="17" t="str">
        <x:v>近5个交易日融资净买入合计最高的前10只股票。</x:v>
      </x:c>
      <x:c r="C158" s="17" t="n">
        <x:v>2</x:v>
      </x:c>
      <x:c r="D158" s="17" t="str">
        <x:v>数据口径</x:v>
      </x:c>
      <x:c r="E158" s="17" t="str">
        <x:v>8454.35</x:v>
      </x:c>
      <x:c r="F158" s="17" t="str">
        <x:v>8467.59</x:v>
      </x:c>
      <x:c r="G158" s="18" t="n">
        <x:v>13.24</x:v>
      </x:c>
      <x:c r="H158" s="18" t="n">
        <x:f>IFERROR(G158/1000,"")</x:f>
        <x:v>0.01324</x:v>
      </x:c>
      <x:c r="I158" s="19" t="n">
        <x:f>IFERROR(G158/J158,"")</x:f>
        <x:v>0.0005284277359106558</x:v>
      </x:c>
      <x:c r="J158" s="17" t="n">
        <x:v>25055.46</x:v>
      </x:c>
      <x:c r="K158" s="17" t="str"/>
      <x:c r="L158" s="17" t="str">
        <x:v>已定位融资融券视图，并确认了可用字段与时间口径。</x:v>
      </x:c>
      <x:c r="M158" s="17" t="str"/>
      <x:c r="N158" s="18" t="n">
        <x:v>0</x:v>
      </x:c>
      <x:c r="O158" s="17" t="str">
        <x:v>public_sse_client_estimate</x:v>
      </x:c>
    </x:row>
    <x:row r="159" ht="48" customHeight="1">
      <x:c r="A159" s="17" t="str">
        <x:v>BUS033</x:v>
      </x:c>
      <x:c r="B159" s="17" t="str">
        <x:v>近5个交易日融资净买入合计最高的前10只股票。</x:v>
      </x:c>
      <x:c r="C159" s="17" t="n">
        <x:v>3</x:v>
      </x:c>
      <x:c r="D159" s="17" t="str">
        <x:v>数据查询 1/1</x:v>
      </x:c>
      <x:c r="E159" s="17" t="str">
        <x:v>11737.37</x:v>
      </x:c>
      <x:c r="F159" s="17" t="str">
        <x:v>13129.75</x:v>
      </x:c>
      <x:c r="G159" s="18" t="n">
        <x:v>1392.38</x:v>
      </x:c>
      <x:c r="H159" s="18" t="n">
        <x:f>IFERROR(G159/1000,"")</x:f>
        <x:v>1.3923800000000002</x:v>
      </x:c>
      <x:c r="I159" s="19" t="n">
        <x:f>IFERROR(G159/J159,"")</x:f>
        <x:v>0.05557191925432621</x:v>
      </x:c>
      <x:c r="J159" s="17" t="n">
        <x:v>25055.46</x:v>
      </x:c>
      <x:c r="K159" s="17" t="str"/>
      <x:c r="L159" s="17" t="str">
        <x:v>已完成：近5个交易日融资净买入合计最高的前10只股票，取得 10 条记录。</x:v>
      </x:c>
      <x:c r="M159" s="17" t="str"/>
      <x:c r="N159" s="18" t="n">
        <x:v>3269.78</x:v>
      </x:c>
      <x:c r="O159" s="17" t="str">
        <x:v>public_sse_client_estimate</x:v>
      </x:c>
    </x:row>
    <x:row r="160" ht="48" customHeight="1">
      <x:c r="A160" s="17" t="str">
        <x:v>BUS033</x:v>
      </x:c>
      <x:c r="B160" s="17" t="str">
        <x:v>近5个交易日融资净买入合计最高的前10只股票。</x:v>
      </x:c>
      <x:c r="C160" s="17" t="n">
        <x:v>4</x:v>
      </x:c>
      <x:c r="D160" s="17" t="str">
        <x:v>回答整理</x:v>
      </x:c>
      <x:c r="E160" s="17" t="str">
        <x:v>13129.75</x:v>
      </x:c>
      <x:c r="F160" s="17" t="str">
        <x:v>22759.63</x:v>
      </x:c>
      <x:c r="G160" s="18" t="n">
        <x:v>9629.88</x:v>
      </x:c>
      <x:c r="H160" s="18" t="n">
        <x:f>IFERROR(G160/1000,"")</x:f>
        <x:v>9.62988</x:v>
      </x:c>
      <x:c r="I160" s="19" t="n">
        <x:f>IFERROR(G160/J160,"")</x:f>
        <x:v>0.38434257443287806</x:v>
      </x:c>
      <x:c r="J160" s="17" t="n">
        <x:v>25055.46</x:v>
      </x:c>
      <x:c r="K160" s="17" t="str"/>
      <x:c r="L160" s="17" t="str">
        <x:v>证据与回答已整理完成。</x:v>
      </x:c>
      <x:c r="M160" s="17" t="str"/>
      <x:c r="N160" s="18" t="n">
        <x:v>0</x:v>
      </x:c>
      <x:c r="O160" s="17" t="str">
        <x:v>public_sse_client_estimate</x:v>
      </x:c>
    </x:row>
    <x:row r="161" ht="48" customHeight="1">
      <x:c r="A161" s="17" t="str">
        <x:v>BUS034</x:v>
      </x:c>
      <x:c r="B161" s="17" t="str">
        <x:v>最新融券余量最高的前20只股票。</x:v>
      </x:c>
      <x:c r="C161" s="17" t="n">
        <x:v>1</x:v>
      </x:c>
      <x:c r="D161" s="17" t="str">
        <x:v>问题理解</x:v>
      </x:c>
      <x:c r="E161" s="17" t="str">
        <x:v>5531.73</x:v>
      </x:c>
      <x:c r="F161" s="17" t="str">
        <x:v>7974.34</x:v>
      </x:c>
      <x:c r="G161" s="18" t="n">
        <x:v>2442.61</x:v>
      </x:c>
      <x:c r="H161" s="18" t="n">
        <x:f>IFERROR(G161/1000,"")</x:f>
        <x:v>2.44261</x:v>
      </x:c>
      <x:c r="I161" s="19" t="n">
        <x:f>IFERROR(G161/J161,"")</x:f>
        <x:v>0.13693287535997573</x:v>
      </x:c>
      <x:c r="J161" s="17" t="n">
        <x:v>17838.01</x:v>
      </x:c>
      <x:c r="K161" s="17" t="str"/>
      <x:c r="L161" s="17" t="str">
        <x:v>已明确本题的对象与口径，开始获取所需证据。</x:v>
      </x:c>
      <x:c r="M161" s="17" t="str"/>
      <x:c r="N161" s="18" t="n">
        <x:v>5531.73</x:v>
      </x:c>
      <x:c r="O161" s="17" t="str">
        <x:v>public_sse_client_estimate</x:v>
      </x:c>
    </x:row>
    <x:row r="162" ht="48" customHeight="1">
      <x:c r="A162" s="17" t="str">
        <x:v>BUS034</x:v>
      </x:c>
      <x:c r="B162" s="17" t="str">
        <x:v>最新融券余量最高的前20只股票。</x:v>
      </x:c>
      <x:c r="C162" s="17" t="n">
        <x:v>2</x:v>
      </x:c>
      <x:c r="D162" s="17" t="str">
        <x:v>数据口径</x:v>
      </x:c>
      <x:c r="E162" s="17" t="str">
        <x:v>7974.34</x:v>
      </x:c>
      <x:c r="F162" s="17" t="str">
        <x:v>8000.2</x:v>
      </x:c>
      <x:c r="G162" s="18" t="n">
        <x:v>25.86</x:v>
      </x:c>
      <x:c r="H162" s="18" t="n">
        <x:f>IFERROR(G162/1000,"")</x:f>
        <x:v>0.02586</x:v>
      </x:c>
      <x:c r="I162" s="19" t="n">
        <x:f>IFERROR(G162/J162,"")</x:f>
        <x:v>0.001449713280797578</x:v>
      </x:c>
      <x:c r="J162" s="17" t="n">
        <x:v>17838.01</x:v>
      </x:c>
      <x:c r="K162" s="17" t="str"/>
      <x:c r="L162" s="17" t="str">
        <x:v>已定位融资融券视图，并确认了可用字段与时间口径。</x:v>
      </x:c>
      <x:c r="M162" s="17" t="str"/>
      <x:c r="N162" s="18" t="n">
        <x:v>0</x:v>
      </x:c>
      <x:c r="O162" s="17" t="str">
        <x:v>public_sse_client_estimate</x:v>
      </x:c>
    </x:row>
    <x:row r="163" ht="48" customHeight="1">
      <x:c r="A163" s="17" t="str">
        <x:v>BUS034</x:v>
      </x:c>
      <x:c r="B163" s="17" t="str">
        <x:v>最新融券余量最高的前20只股票。</x:v>
      </x:c>
      <x:c r="C163" s="17" t="n">
        <x:v>3</x:v>
      </x:c>
      <x:c r="D163" s="17" t="str">
        <x:v>数据查询 1/1</x:v>
      </x:c>
      <x:c r="E163" s="17" t="str">
        <x:v>11407.92</x:v>
      </x:c>
      <x:c r="F163" s="17" t="str">
        <x:v>12477.23</x:v>
      </x:c>
      <x:c r="G163" s="18" t="n">
        <x:v>1069.31</x:v>
      </x:c>
      <x:c r="H163" s="18" t="n">
        <x:f>IFERROR(G163/1000,"")</x:f>
        <x:v>1.06931</x:v>
      </x:c>
      <x:c r="I163" s="19" t="n">
        <x:f>IFERROR(G163/J163,"")</x:f>
        <x:v>0.05994558810091485</x:v>
      </x:c>
      <x:c r="J163" s="17" t="n">
        <x:v>17838.01</x:v>
      </x:c>
      <x:c r="K163" s="17" t="str"/>
      <x:c r="L163" s="17" t="str">
        <x:v>已完成：查询最新交易日融券余量最高的前20只股票及其融券余量，当前条件下没有匹配记录。</x:v>
      </x:c>
      <x:c r="M163" s="17" t="str"/>
      <x:c r="N163" s="18" t="n">
        <x:v>3407.72</x:v>
      </x:c>
      <x:c r="O163" s="17" t="str">
        <x:v>public_sse_client_estimate</x:v>
      </x:c>
    </x:row>
    <x:row r="164" ht="48" customHeight="1">
      <x:c r="A164" s="17" t="str">
        <x:v>BUS034</x:v>
      </x:c>
      <x:c r="B164" s="17" t="str">
        <x:v>最新融券余量最高的前20只股票。</x:v>
      </x:c>
      <x:c r="C164" s="17" t="n">
        <x:v>4</x:v>
      </x:c>
      <x:c r="D164" s="17" t="str">
        <x:v>回答整理</x:v>
      </x:c>
      <x:c r="E164" s="17" t="str">
        <x:v>12477.23</x:v>
      </x:c>
      <x:c r="F164" s="17" t="str">
        <x:v>15774.01</x:v>
      </x:c>
      <x:c r="G164" s="18" t="n">
        <x:v>3296.78</x:v>
      </x:c>
      <x:c r="H164" s="18" t="n">
        <x:f>IFERROR(G164/1000,"")</x:f>
        <x:v>3.29678</x:v>
      </x:c>
      <x:c r="I164" s="19" t="n">
        <x:f>IFERROR(G164/J164,"")</x:f>
        <x:v>0.18481770107764267</x:v>
      </x:c>
      <x:c r="J164" s="17" t="n">
        <x:v>17838.01</x:v>
      </x:c>
      <x:c r="K164" s="17" t="str"/>
      <x:c r="L164" s="17" t="str">
        <x:v>证据与回答已整理完成。</x:v>
      </x:c>
      <x:c r="M164" s="17" t="str"/>
      <x:c r="N164" s="18" t="n">
        <x:v>0</x:v>
      </x:c>
      <x:c r="O164" s="17" t="str">
        <x:v>public_sse_client_estimate</x:v>
      </x:c>
    </x:row>
    <x:row r="165" ht="48" customHeight="1">
      <x:c r="A165" s="17" t="str">
        <x:v>BUS035</x:v>
      </x:c>
      <x:c r="B165" s="17" t="str">
        <x:v>筛选融资余额占流通市值比例超过5%的股票。</x:v>
      </x:c>
      <x:c r="C165" s="17" t="n">
        <x:v>1</x:v>
      </x:c>
      <x:c r="D165" s="17" t="str">
        <x:v>问题理解</x:v>
      </x:c>
      <x:c r="E165" s="17" t="str">
        <x:v>5264.38</x:v>
      </x:c>
      <x:c r="F165" s="17" t="str">
        <x:v>7742.9</x:v>
      </x:c>
      <x:c r="G165" s="18" t="n">
        <x:v>2478.52</x:v>
      </x:c>
      <x:c r="H165" s="18" t="n">
        <x:f>IFERROR(G165/1000,"")</x:f>
        <x:v>2.47852</x:v>
      </x:c>
      <x:c r="I165" s="19" t="n">
        <x:f>IFERROR(G165/J165,"")</x:f>
        <x:v>0.1300404362943418</x:v>
      </x:c>
      <x:c r="J165" s="17" t="n">
        <x:v>19059.61</x:v>
      </x:c>
      <x:c r="K165" s="17" t="str"/>
      <x:c r="L165" s="17" t="str">
        <x:v>已明确本题的对象与口径，开始获取所需证据。</x:v>
      </x:c>
      <x:c r="M165" s="17" t="str"/>
      <x:c r="N165" s="18" t="n">
        <x:v>5264.38</x:v>
      </x:c>
      <x:c r="O165" s="17" t="str">
        <x:v>public_sse_client_estimate</x:v>
      </x:c>
    </x:row>
    <x:row r="166" ht="48" customHeight="1">
      <x:c r="A166" s="17" t="str">
        <x:v>BUS035</x:v>
      </x:c>
      <x:c r="B166" s="17" t="str">
        <x:v>筛选融资余额占流通市值比例超过5%的股票。</x:v>
      </x:c>
      <x:c r="C166" s="17" t="n">
        <x:v>2</x:v>
      </x:c>
      <x:c r="D166" s="17" t="str">
        <x:v>数据口径</x:v>
      </x:c>
      <x:c r="E166" s="17" t="str">
        <x:v>7742.9</x:v>
      </x:c>
      <x:c r="F166" s="17" t="str">
        <x:v>7763.55</x:v>
      </x:c>
      <x:c r="G166" s="18" t="n">
        <x:v>20.65</x:v>
      </x:c>
      <x:c r="H166" s="18" t="n">
        <x:f>IFERROR(G166/1000,"")</x:f>
        <x:v>0.020649999999999998</x:v>
      </x:c>
      <x:c r="I166" s="19" t="n">
        <x:f>IFERROR(G166/J166,"")</x:f>
        <x:v>0.0010834429455796838</x:v>
      </x:c>
      <x:c r="J166" s="17" t="n">
        <x:v>19059.61</x:v>
      </x:c>
      <x:c r="K166" s="17" t="str"/>
      <x:c r="L166" s="17" t="str">
        <x:v>已定位融资融券视图，并确认了可用字段与时间口径。</x:v>
      </x:c>
      <x:c r="M166" s="17" t="str"/>
      <x:c r="N166" s="18" t="n">
        <x:v>0</x:v>
      </x:c>
      <x:c r="O166" s="17" t="str">
        <x:v>public_sse_client_estimate</x:v>
      </x:c>
    </x:row>
    <x:row r="167" ht="48" customHeight="1">
      <x:c r="A167" s="17" t="str">
        <x:v>BUS035</x:v>
      </x:c>
      <x:c r="B167" s="17" t="str">
        <x:v>筛选融资余额占流通市值比例超过5%的股票。</x:v>
      </x:c>
      <x:c r="C167" s="17" t="n">
        <x:v>3</x:v>
      </x:c>
      <x:c r="D167" s="17" t="str">
        <x:v>数据口径</x:v>
      </x:c>
      <x:c r="E167" s="17" t="str">
        <x:v>7763.55</x:v>
      </x:c>
      <x:c r="F167" s="17" t="str">
        <x:v>8124.62</x:v>
      </x:c>
      <x:c r="G167" s="18" t="n">
        <x:v>361.07</x:v>
      </x:c>
      <x:c r="H167" s="18" t="n">
        <x:f>IFERROR(G167/1000,"")</x:f>
        <x:v>0.36107</x:v>
      </x:c>
      <x:c r="I167" s="19" t="n">
        <x:f>IFERROR(G167/J167,"")</x:f>
        <x:v>0.018944249121571742</x:v>
      </x:c>
      <x:c r="J167" s="17" t="n">
        <x:v>19059.61</x:v>
      </x:c>
      <x:c r="K167" s="17" t="str"/>
      <x:c r="L167" s="17" t="str">
        <x:v>已定位个股行情视图，并确认了可用字段与时间口径。</x:v>
      </x:c>
      <x:c r="M167" s="17" t="str"/>
      <x:c r="N167" s="18" t="n">
        <x:v>0</x:v>
      </x:c>
      <x:c r="O167" s="17" t="str">
        <x:v>public_sse_client_estimate</x:v>
      </x:c>
    </x:row>
    <x:row r="168" ht="48" customHeight="1">
      <x:c r="A168" s="17" t="str">
        <x:v>BUS035</x:v>
      </x:c>
      <x:c r="B168" s="17" t="str">
        <x:v>筛选融资余额占流通市值比例超过5%的股票。</x:v>
      </x:c>
      <x:c r="C168" s="17" t="n">
        <x:v>4</x:v>
      </x:c>
      <x:c r="D168" s="17" t="str">
        <x:v>数据查询 1/1</x:v>
      </x:c>
      <x:c r="E168" s="17" t="str">
        <x:v>13629.91</x:v>
      </x:c>
      <x:c r="F168" s="17" t="str">
        <x:v>14637.62</x:v>
      </x:c>
      <x:c r="G168" s="18" t="n">
        <x:v>1007.71</x:v>
      </x:c>
      <x:c r="H168" s="18" t="n">
        <x:f>IFERROR(G168/1000,"")</x:f>
        <x:v>1.00771</x:v>
      </x:c>
      <x:c r="I168" s="19" t="n">
        <x:f>IFERROR(G168/J168,"")</x:f>
        <x:v>0.05287149107458127</x:v>
      </x:c>
      <x:c r="J168" s="17" t="n">
        <x:v>19059.61</x:v>
      </x:c>
      <x:c r="K168" s="17" t="str"/>
      <x:c r="L168" s="17" t="str">
        <x:v>已完成：查询融资余额占流通市值比例超过5%的股票，按比例降序排列，当前条件下没有匹配记录。</x:v>
      </x:c>
      <x:c r="M168" s="17" t="str"/>
      <x:c r="N168" s="18" t="n">
        <x:v>5505.29</x:v>
      </x:c>
      <x:c r="O168" s="17" t="str">
        <x:v>public_sse_client_estimate</x:v>
      </x:c>
    </x:row>
    <x:row r="169" ht="48" customHeight="1">
      <x:c r="A169" s="17" t="str">
        <x:v>BUS035</x:v>
      </x:c>
      <x:c r="B169" s="17" t="str">
        <x:v>筛选融资余额占流通市值比例超过5%的股票。</x:v>
      </x:c>
      <x:c r="C169" s="17" t="n">
        <x:v>5</x:v>
      </x:c>
      <x:c r="D169" s="17" t="str">
        <x:v>回答整理</x:v>
      </x:c>
      <x:c r="E169" s="17" t="str">
        <x:v>14637.62</x:v>
      </x:c>
      <x:c r="F169" s="17" t="str">
        <x:v>16758.73</x:v>
      </x:c>
      <x:c r="G169" s="18" t="n">
        <x:v>2121.11</x:v>
      </x:c>
      <x:c r="H169" s="18" t="n">
        <x:f>IFERROR(G169/1000,"")</x:f>
        <x:v>2.1211100000000003</x:v>
      </x:c>
      <x:c r="I169" s="19" t="n">
        <x:f>IFERROR(G169/J169,"")</x:f>
        <x:v>0.11128821628564278</x:v>
      </x:c>
      <x:c r="J169" s="17" t="n">
        <x:v>19059.61</x:v>
      </x:c>
      <x:c r="K169" s="17" t="str"/>
      <x:c r="L169" s="17" t="str">
        <x:v>证据与回答已整理完成。</x:v>
      </x:c>
      <x:c r="M169" s="17" t="str"/>
      <x:c r="N169" s="18" t="n">
        <x:v>0</x:v>
      </x:c>
      <x:c r="O169" s="17" t="str">
        <x:v>public_sse_client_estimate</x:v>
      </x:c>
    </x:row>
    <x:row r="170" ht="48" customHeight="1">
      <x:c r="A170" s="17" t="str">
        <x:v>BUS036</x:v>
      </x:c>
      <x:c r="B170" s="17" t="str">
        <x:v>最新融资偿还额最高的前20只股票。</x:v>
      </x:c>
      <x:c r="C170" s="17" t="n">
        <x:v>1</x:v>
      </x:c>
      <x:c r="D170" s="17" t="str">
        <x:v>问题理解</x:v>
      </x:c>
      <x:c r="E170" s="17" t="str">
        <x:v>5743.69</x:v>
      </x:c>
      <x:c r="F170" s="17" t="str">
        <x:v>8504.93</x:v>
      </x:c>
      <x:c r="G170" s="18" t="n">
        <x:v>2761.24</x:v>
      </x:c>
      <x:c r="H170" s="18" t="n">
        <x:f>IFERROR(G170/1000,"")</x:f>
        <x:v>2.76124</x:v>
      </x:c>
      <x:c r="I170" s="19" t="n">
        <x:f>IFERROR(G170/J170,"")</x:f>
        <x:v>0.05586678760306182</x:v>
      </x:c>
      <x:c r="J170" s="17" t="n">
        <x:v>49425.43</x:v>
      </x:c>
      <x:c r="K170" s="17" t="str"/>
      <x:c r="L170" s="17" t="str">
        <x:v>已明确本题的对象与口径，开始获取所需证据。</x:v>
      </x:c>
      <x:c r="M170" s="17" t="str"/>
      <x:c r="N170" s="18" t="n">
        <x:v>5743.69</x:v>
      </x:c>
      <x:c r="O170" s="17" t="str">
        <x:v>public_sse_client_estimate</x:v>
      </x:c>
    </x:row>
    <x:row r="171" ht="48" customHeight="1">
      <x:c r="A171" s="17" t="str">
        <x:v>BUS036</x:v>
      </x:c>
      <x:c r="B171" s="17" t="str">
        <x:v>最新融资偿还额最高的前20只股票。</x:v>
      </x:c>
      <x:c r="C171" s="17" t="n">
        <x:v>2</x:v>
      </x:c>
      <x:c r="D171" s="17" t="str">
        <x:v>数据口径</x:v>
      </x:c>
      <x:c r="E171" s="17" t="str">
        <x:v>8504.93</x:v>
      </x:c>
      <x:c r="F171" s="17" t="str">
        <x:v>8534.08</x:v>
      </x:c>
      <x:c r="G171" s="18" t="n">
        <x:v>29.15</x:v>
      </x:c>
      <x:c r="H171" s="18" t="n">
        <x:f>IFERROR(G171/1000,"")</x:f>
        <x:v>0.02915</x:v>
      </x:c>
      <x:c r="I171" s="19" t="n">
        <x:f>IFERROR(G171/J171,"")</x:f>
        <x:v>0.0005897773676425273</x:v>
      </x:c>
      <x:c r="J171" s="17" t="n">
        <x:v>49425.43</x:v>
      </x:c>
      <x:c r="K171" s="17" t="str"/>
      <x:c r="L171" s="17" t="str">
        <x:v>已定位融资融券视图，并确认了可用字段与时间口径。</x:v>
      </x:c>
      <x:c r="M171" s="17" t="str"/>
      <x:c r="N171" s="18" t="n">
        <x:v>0</x:v>
      </x:c>
      <x:c r="O171" s="17" t="str">
        <x:v>public_sse_client_estimate</x:v>
      </x:c>
    </x:row>
    <x:row r="172" ht="48" customHeight="1">
      <x:c r="A172" s="17" t="str">
        <x:v>BUS036</x:v>
      </x:c>
      <x:c r="B172" s="17" t="str">
        <x:v>最新融资偿还额最高的前20只股票。</x:v>
      </x:c>
      <x:c r="C172" s="17" t="n">
        <x:v>3</x:v>
      </x:c>
      <x:c r="D172" s="17" t="str">
        <x:v>数据查询 1/1</x:v>
      </x:c>
      <x:c r="E172" s="17" t="str">
        <x:v>13073.49</x:v>
      </x:c>
      <x:c r="F172" s="17" t="str">
        <x:v>14179.58</x:v>
      </x:c>
      <x:c r="G172" s="18" t="n">
        <x:v>1106.09</x:v>
      </x:c>
      <x:c r="H172" s="18" t="n">
        <x:f>IFERROR(G172/1000,"")</x:f>
        <x:v>1.10609</x:v>
      </x:c>
      <x:c r="I172" s="19" t="n">
        <x:f>IFERROR(G172/J172,"")</x:f>
        <x:v>0.022378965645822403</x:v>
      </x:c>
      <x:c r="J172" s="17" t="n">
        <x:v>49425.43</x:v>
      </x:c>
      <x:c r="K172" s="17" t="str"/>
      <x:c r="L172" s="17" t="str">
        <x:v>已完成：查询最新交易日融资偿还额最高的前20只股票，当前条件下没有匹配记录。</x:v>
      </x:c>
      <x:c r="M172" s="17" t="str"/>
      <x:c r="N172" s="18" t="n">
        <x:v>4539.41</x:v>
      </x:c>
      <x:c r="O172" s="17" t="str">
        <x:v>public_sse_client_estimate</x:v>
      </x:c>
    </x:row>
    <x:row r="173" ht="48" customHeight="1">
      <x:c r="A173" s="17" t="str">
        <x:v>BUS036</x:v>
      </x:c>
      <x:c r="B173" s="17" t="str">
        <x:v>最新融资偿还额最高的前20只股票。</x:v>
      </x:c>
      <x:c r="C173" s="17" t="n">
        <x:v>4</x:v>
      </x:c>
      <x:c r="D173" s="17" t="str">
        <x:v>数据查询 1/1</x:v>
      </x:c>
      <x:c r="E173" s="17" t="str">
        <x:v>18992.17</x:v>
      </x:c>
      <x:c r="F173" s="17" t="str">
        <x:v>19507.05</x:v>
      </x:c>
      <x:c r="G173" s="18" t="n">
        <x:v>514.88</x:v>
      </x:c>
      <x:c r="H173" s="18" t="n">
        <x:f>IFERROR(G173/1000,"")</x:f>
        <x:v>0.51488</x:v>
      </x:c>
      <x:c r="I173" s="19" t="n">
        <x:f>IFERROR(G173/J173,"")</x:f>
        <x:v>0.010417309470044064</x:v>
      </x:c>
      <x:c r="J173" s="17" t="n">
        <x:v>49425.43</x:v>
      </x:c>
      <x:c r="K173" s="17" t="str"/>
      <x:c r="L173" s="17" t="str">
        <x:v>已完成：查找最近有数据的交易日融资偿还额最高的前20只股票，取得 20 条记录。</x:v>
      </x:c>
      <x:c r="M173" s="17" t="str"/>
      <x:c r="N173" s="18" t="n">
        <x:v>4812.59</x:v>
      </x:c>
      <x:c r="O173" s="17" t="str">
        <x:v>public_sse_client_estimate</x:v>
      </x:c>
    </x:row>
    <x:row r="174" ht="48" customHeight="1">
      <x:c r="A174" s="17" t="str">
        <x:v>BUS036</x:v>
      </x:c>
      <x:c r="B174" s="17" t="str">
        <x:v>最新融资偿还额最高的前20只股票。</x:v>
      </x:c>
      <x:c r="C174" s="17" t="n">
        <x:v>5</x:v>
      </x:c>
      <x:c r="D174" s="17" t="str">
        <x:v>回答整理</x:v>
      </x:c>
      <x:c r="E174" s="17" t="str">
        <x:v>19507.05</x:v>
      </x:c>
      <x:c r="F174" s="17" t="str">
        <x:v>46607.63</x:v>
      </x:c>
      <x:c r="G174" s="18" t="n">
        <x:v>27100.58</x:v>
      </x:c>
      <x:c r="H174" s="18" t="n">
        <x:f>IFERROR(G174/1000,"")</x:f>
        <x:v>27.10058</x:v>
      </x:c>
      <x:c r="I174" s="19" t="n">
        <x:f>IFERROR(G174/J174,"")</x:f>
        <x:v>0.5483124780098019</x:v>
      </x:c>
      <x:c r="J174" s="17" t="n">
        <x:v>49425.43</x:v>
      </x:c>
      <x:c r="K174" s="17" t="str"/>
      <x:c r="L174" s="17" t="str">
        <x:v>证据与回答已整理完成。</x:v>
      </x:c>
      <x:c r="M174" s="17" t="str"/>
      <x:c r="N174" s="18" t="n">
        <x:v>0</x:v>
      </x:c>
      <x:c r="O174" s="17" t="str">
        <x:v>public_sse_client_estimate</x:v>
      </x:c>
    </x:row>
    <x:row r="175" ht="48" customHeight="1">
      <x:c r="A175" s="17" t="str">
        <x:v>BUS037</x:v>
      </x:c>
      <x:c r="B175" s="17" t="str">
        <x:v>查询贵州茅台最新一期股东户数和截止日期。</x:v>
      </x:c>
      <x:c r="C175" s="17" t="n">
        <x:v>1</x:v>
      </x:c>
      <x:c r="D175" s="17" t="str">
        <x:v>问题理解</x:v>
      </x:c>
      <x:c r="E175" s="17" t="str">
        <x:v>5340.31</x:v>
      </x:c>
      <x:c r="F175" s="17" t="str">
        <x:v>7446.54</x:v>
      </x:c>
      <x:c r="G175" s="18" t="n">
        <x:v>2106.23</x:v>
      </x:c>
      <x:c r="H175" s="18" t="n">
        <x:f>IFERROR(G175/1000,"")</x:f>
        <x:v>2.10623</x:v>
      </x:c>
      <x:c r="I175" s="19" t="n">
        <x:f>IFERROR(G175/J175,"")</x:f>
        <x:v>0.034858031921240706</x:v>
      </x:c>
      <x:c r="J175" s="17" t="n">
        <x:v>60423.09</x:v>
      </x:c>
      <x:c r="K175" s="17" t="str"/>
      <x:c r="L175" s="17" t="str">
        <x:v>已明确本题的对象与口径，开始获取所需证据。</x:v>
      </x:c>
      <x:c r="M175" s="17" t="str"/>
      <x:c r="N175" s="18" t="n">
        <x:v>5340.31</x:v>
      </x:c>
      <x:c r="O175" s="17" t="str">
        <x:v>public_sse_client_estimate</x:v>
      </x:c>
    </x:row>
    <x:row r="176" ht="48" customHeight="1">
      <x:c r="A176" s="17" t="str">
        <x:v>BUS037</x:v>
      </x:c>
      <x:c r="B176" s="17" t="str">
        <x:v>查询贵州茅台最新一期股东户数和截止日期。</x:v>
      </x:c>
      <x:c r="C176" s="17" t="n">
        <x:v>2</x:v>
      </x:c>
      <x:c r="D176" s="17" t="str">
        <x:v>数据口径</x:v>
      </x:c>
      <x:c r="E176" s="17" t="str">
        <x:v>7446.54</x:v>
      </x:c>
      <x:c r="F176" s="17" t="str">
        <x:v>7478.5</x:v>
      </x:c>
      <x:c r="G176" s="18" t="n">
        <x:v>31.96</x:v>
      </x:c>
      <x:c r="H176" s="18" t="n">
        <x:f>IFERROR(G176/1000,"")</x:f>
        <x:v>0.03196</x:v>
      </x:c>
      <x:c r="I176" s="19" t="n">
        <x:f>IFERROR(G176/J176,"")</x:f>
        <x:v>0.0005289368683395702</x:v>
      </x:c>
      <x:c r="J176" s="17" t="n">
        <x:v>60423.09</x:v>
      </x:c>
      <x:c r="K176" s="17" t="str"/>
      <x:c r="L176" s="17" t="str">
        <x:v>已定位个股股东视图，并确认了可用字段与时间口径。</x:v>
      </x:c>
      <x:c r="M176" s="17" t="str"/>
      <x:c r="N176" s="18" t="n">
        <x:v>0</x:v>
      </x:c>
      <x:c r="O176" s="17" t="str">
        <x:v>public_sse_client_estimate</x:v>
      </x:c>
    </x:row>
    <x:row r="177" ht="48" customHeight="1">
      <x:c r="A177" s="17" t="str">
        <x:v>BUS037</x:v>
      </x:c>
      <x:c r="B177" s="17" t="str">
        <x:v>查询贵州茅台最新一期股东户数和截止日期。</x:v>
      </x:c>
      <x:c r="C177" s="17" t="n">
        <x:v>3</x:v>
      </x:c>
      <x:c r="D177" s="17" t="str">
        <x:v>数据查询 1/1</x:v>
      </x:c>
      <x:c r="E177" s="17" t="str">
        <x:v>10096.19</x:v>
      </x:c>
      <x:c r="F177" s="17" t="str">
        <x:v>55265.82</x:v>
      </x:c>
      <x:c r="G177" s="18" t="n">
        <x:v>45169.63</x:v>
      </x:c>
      <x:c r="H177" s="18" t="n">
        <x:f>IFERROR(G177/1000,"")</x:f>
        <x:v>45.16963</x:v>
      </x:c>
      <x:c r="I177" s="19" t="n">
        <x:f>IFERROR(G177/J177,"")</x:f>
        <x:v>0.7475557771044149</x:v>
      </x:c>
      <x:c r="J177" s="17" t="n">
        <x:v>60423.09</x:v>
      </x:c>
      <x:c r="K177" s="17" t="str"/>
      <x:c r="L177" s="17" t="str">
        <x:v>已完成：查询贵州茅台最新一期股东户数和截止日期，取得 1 条记录。</x:v>
      </x:c>
      <x:c r="M177" s="17" t="str"/>
      <x:c r="N177" s="18" t="n">
        <x:v>2617.69</x:v>
      </x:c>
      <x:c r="O177" s="17" t="str">
        <x:v>public_sse_client_estimate</x:v>
      </x:c>
    </x:row>
    <x:row r="178" ht="48" customHeight="1">
      <x:c r="A178" s="17" t="str">
        <x:v>BUS037</x:v>
      </x:c>
      <x:c r="B178" s="17" t="str">
        <x:v>查询贵州茅台最新一期股东户数和截止日期。</x:v>
      </x:c>
      <x:c r="C178" s="17" t="n">
        <x:v>4</x:v>
      </x:c>
      <x:c r="D178" s="17" t="str">
        <x:v>回答整理</x:v>
      </x:c>
      <x:c r="E178" s="17" t="str">
        <x:v>55265.82</x:v>
      </x:c>
      <x:c r="F178" s="17" t="str">
        <x:v>57672.17</x:v>
      </x:c>
      <x:c r="G178" s="18" t="n">
        <x:v>2406.35</x:v>
      </x:c>
      <x:c r="H178" s="18" t="n">
        <x:f>IFERROR(G178/1000,"")</x:f>
        <x:v>2.4063499999999998</x:v>
      </x:c>
      <x:c r="I178" s="19" t="n">
        <x:f>IFERROR(G178/J178,"")</x:f>
        <x:v>0.03982500729439689</x:v>
      </x:c>
      <x:c r="J178" s="17" t="n">
        <x:v>60423.09</x:v>
      </x:c>
      <x:c r="K178" s="17" t="str"/>
      <x:c r="L178" s="17" t="str">
        <x:v>证据与回答已整理完成。</x:v>
      </x:c>
      <x:c r="M178" s="17" t="str"/>
      <x:c r="N178" s="18" t="n">
        <x:v>0</x:v>
      </x:c>
      <x:c r="O178" s="17" t="str">
        <x:v>public_sse_client_estimate</x:v>
      </x:c>
    </x:row>
    <x:row r="179" ht="48" customHeight="1">
      <x:c r="A179" s="17" t="str">
        <x:v>BUS038</x:v>
      </x:c>
      <x:c r="B179" s="17" t="str">
        <x:v>查询宁德时代最新前十大流通股东名称、持股数量和持股比例。</x:v>
      </x:c>
      <x:c r="C179" s="17" t="n">
        <x:v>1</x:v>
      </x:c>
      <x:c r="D179" s="17" t="str">
        <x:v>问题理解</x:v>
      </x:c>
      <x:c r="E179" s="17" t="str">
        <x:v>5280.54</x:v>
      </x:c>
      <x:c r="F179" s="17" t="str">
        <x:v>7416.2</x:v>
      </x:c>
      <x:c r="G179" s="18" t="n">
        <x:v>2135.66</x:v>
      </x:c>
      <x:c r="H179" s="18" t="n">
        <x:f>IFERROR(G179/1000,"")</x:f>
        <x:v>2.1356599999999997</x:v>
      </x:c>
      <x:c r="I179" s="19" t="n">
        <x:f>IFERROR(G179/J179,"")</x:f>
        <x:v>0.03810708940390024</x:v>
      </x:c>
      <x:c r="J179" s="17" t="n">
        <x:v>56043.64</x:v>
      </x:c>
      <x:c r="K179" s="17" t="str"/>
      <x:c r="L179" s="17" t="str">
        <x:v>已明确本题的对象与口径，开始获取所需证据。</x:v>
      </x:c>
      <x:c r="M179" s="17" t="str"/>
      <x:c r="N179" s="18" t="n">
        <x:v>5280.54</x:v>
      </x:c>
      <x:c r="O179" s="17" t="str">
        <x:v>public_sse_client_estimate</x:v>
      </x:c>
    </x:row>
    <x:row r="180" ht="48" customHeight="1">
      <x:c r="A180" s="17" t="str">
        <x:v>BUS038</x:v>
      </x:c>
      <x:c r="B180" s="17" t="str">
        <x:v>查询宁德时代最新前十大流通股东名称、持股数量和持股比例。</x:v>
      </x:c>
      <x:c r="C180" s="17" t="n">
        <x:v>2</x:v>
      </x:c>
      <x:c r="D180" s="17" t="str">
        <x:v>数据口径</x:v>
      </x:c>
      <x:c r="E180" s="17" t="str">
        <x:v>7416.2</x:v>
      </x:c>
      <x:c r="F180" s="17" t="str">
        <x:v>7433.16</x:v>
      </x:c>
      <x:c r="G180" s="18" t="n">
        <x:v>16.96</x:v>
      </x:c>
      <x:c r="H180" s="18" t="n">
        <x:f>IFERROR(G180/1000,"")</x:f>
        <x:v>0.01696</x:v>
      </x:c>
      <x:c r="I180" s="19" t="n">
        <x:f>IFERROR(G180/J180,"")</x:f>
        <x:v>0.0003026213143900004</x:v>
      </x:c>
      <x:c r="J180" s="17" t="n">
        <x:v>56043.64</x:v>
      </x:c>
      <x:c r="K180" s="17" t="str"/>
      <x:c r="L180" s="17" t="str">
        <x:v>已定位个股股东视图，并确认了可用字段与时间口径。</x:v>
      </x:c>
      <x:c r="M180" s="17" t="str"/>
      <x:c r="N180" s="18" t="n">
        <x:v>0</x:v>
      </x:c>
      <x:c r="O180" s="17" t="str">
        <x:v>public_sse_client_estimate</x:v>
      </x:c>
    </x:row>
    <x:row r="181" ht="48" customHeight="1">
      <x:c r="A181" s="17" t="str">
        <x:v>BUS038</x:v>
      </x:c>
      <x:c r="B181" s="17" t="str">
        <x:v>查询宁德时代最新前十大流通股东名称、持股数量和持股比例。</x:v>
      </x:c>
      <x:c r="C181" s="17" t="n">
        <x:v>3</x:v>
      </x:c>
      <x:c r="D181" s="17" t="str">
        <x:v>数据查询 1/1</x:v>
      </x:c>
      <x:c r="E181" s="17" t="str">
        <x:v>11167.83</x:v>
      </x:c>
      <x:c r="F181" s="17" t="str">
        <x:v>46624.94</x:v>
      </x:c>
      <x:c r="G181" s="18" t="n">
        <x:v>35457.11</x:v>
      </x:c>
      <x:c r="H181" s="18" t="n">
        <x:f>IFERROR(G181/1000,"")</x:f>
        <x:v>35.45711</x:v>
      </x:c>
      <x:c r="I181" s="19" t="n">
        <x:f>IFERROR(G181/J181,"")</x:f>
        <x:v>0.6326696481527609</x:v>
      </x:c>
      <x:c r="J181" s="17" t="n">
        <x:v>56043.64</x:v>
      </x:c>
      <x:c r="K181" s="17" t="str"/>
      <x:c r="L181" s="17" t="str">
        <x:v>已完成：查询宁德时代最新前十大流通股东的持股明细，取得 10 条记录。</x:v>
      </x:c>
      <x:c r="M181" s="17" t="str"/>
      <x:c r="N181" s="18" t="n">
        <x:v>3734.67</x:v>
      </x:c>
      <x:c r="O181" s="17" t="str">
        <x:v>public_sse_client_estimate</x:v>
      </x:c>
    </x:row>
    <x:row r="182" ht="48" customHeight="1">
      <x:c r="A182" s="17" t="str">
        <x:v>BUS038</x:v>
      </x:c>
      <x:c r="B182" s="17" t="str">
        <x:v>查询宁德时代最新前十大流通股东名称、持股数量和持股比例。</x:v>
      </x:c>
      <x:c r="C182" s="17" t="n">
        <x:v>4</x:v>
      </x:c>
      <x:c r="D182" s="17" t="str">
        <x:v>回答整理</x:v>
      </x:c>
      <x:c r="E182" s="17" t="str">
        <x:v>46624.94</x:v>
      </x:c>
      <x:c r="F182" s="17" t="str">
        <x:v>53608.03</x:v>
      </x:c>
      <x:c r="G182" s="18" t="n">
        <x:v>6983.09</x:v>
      </x:c>
      <x:c r="H182" s="18" t="n">
        <x:f>IFERROR(G182/1000,"")</x:f>
        <x:v>6.98309</x:v>
      </x:c>
      <x:c r="I182" s="19" t="n">
        <x:f>IFERROR(G182/J182,"")</x:f>
        <x:v>0.12460093598488607</x:v>
      </x:c>
      <x:c r="J182" s="17" t="n">
        <x:v>56043.64</x:v>
      </x:c>
      <x:c r="K182" s="17" t="str"/>
      <x:c r="L182" s="17" t="str">
        <x:v>证据与回答已整理完成。</x:v>
      </x:c>
      <x:c r="M182" s="17" t="str"/>
      <x:c r="N182" s="18" t="n">
        <x:v>0</x:v>
      </x:c>
      <x:c r="O182" s="17" t="str">
        <x:v>public_sse_client_estimate</x:v>
      </x:c>
    </x:row>
    <x:row r="183" ht="48" customHeight="1">
      <x:c r="A183" s="17" t="str">
        <x:v>BUS039</x:v>
      </x:c>
      <x:c r="B183" s="17" t="str">
        <x:v>筛选最新股东户数最多的前20家公司。</x:v>
      </x:c>
      <x:c r="C183" s="17" t="n">
        <x:v>1</x:v>
      </x:c>
      <x:c r="D183" s="17" t="str">
        <x:v>问题理解</x:v>
      </x:c>
      <x:c r="E183" s="17" t="str">
        <x:v>5210.18</x:v>
      </x:c>
      <x:c r="F183" s="17" t="str">
        <x:v>8240.02</x:v>
      </x:c>
      <x:c r="G183" s="18" t="n">
        <x:v>3029.84</x:v>
      </x:c>
      <x:c r="H183" s="18" t="n">
        <x:f>IFERROR(G183/1000,"")</x:f>
        <x:v>3.02984</x:v>
      </x:c>
      <x:c r="I183" s="19" t="n">
        <x:f>IFERROR(G183/J183,"")</x:f>
        <x:v>0.020768452767953752</x:v>
      </x:c>
      <x:c r="J183" s="17" t="n">
        <x:v>145886.65</x:v>
      </x:c>
      <x:c r="K183" s="17" t="str"/>
      <x:c r="L183" s="17" t="str">
        <x:v>已明确本题的对象与口径，开始获取所需证据。</x:v>
      </x:c>
      <x:c r="M183" s="17" t="str"/>
      <x:c r="N183" s="18" t="n">
        <x:v>5210.18</x:v>
      </x:c>
      <x:c r="O183" s="17" t="str">
        <x:v>public_sse_client_estimate</x:v>
      </x:c>
    </x:row>
    <x:row r="184" ht="48" customHeight="1">
      <x:c r="A184" s="17" t="str">
        <x:v>BUS039</x:v>
      </x:c>
      <x:c r="B184" s="17" t="str">
        <x:v>筛选最新股东户数最多的前20家公司。</x:v>
      </x:c>
      <x:c r="C184" s="17" t="n">
        <x:v>2</x:v>
      </x:c>
      <x:c r="D184" s="17" t="str">
        <x:v>数据口径</x:v>
      </x:c>
      <x:c r="E184" s="17" t="str">
        <x:v>8240.02</x:v>
      </x:c>
      <x:c r="F184" s="17" t="str">
        <x:v>8250.99</x:v>
      </x:c>
      <x:c r="G184" s="18" t="n">
        <x:v>10.97</x:v>
      </x:c>
      <x:c r="H184" s="18" t="n">
        <x:f>IFERROR(G184/1000,"")</x:f>
        <x:v>0.01097</x:v>
      </x:c>
      <x:c r="I184" s="19" t="n">
        <x:f>IFERROR(G184/J184,"")</x:f>
        <x:v>0.00007519536571715095</x:v>
      </x:c>
      <x:c r="J184" s="17" t="n">
        <x:v>145886.65</x:v>
      </x:c>
      <x:c r="K184" s="17" t="str"/>
      <x:c r="L184" s="17" t="str">
        <x:v>已定位个股股东视图，并确认了可用字段与时间口径。</x:v>
      </x:c>
      <x:c r="M184" s="17" t="str"/>
      <x:c r="N184" s="18" t="n">
        <x:v>0</x:v>
      </x:c>
      <x:c r="O184" s="17" t="str">
        <x:v>public_sse_client_estimate</x:v>
      </x:c>
    </x:row>
    <x:row r="185" ht="48" customHeight="1">
      <x:c r="A185" s="17" t="str">
        <x:v>BUS039</x:v>
      </x:c>
      <x:c r="B185" s="17" t="str">
        <x:v>筛选最新股东户数最多的前20家公司。</x:v>
      </x:c>
      <x:c r="C185" s="17" t="n">
        <x:v>3</x:v>
      </x:c>
      <x:c r="D185" s="17" t="str">
        <x:v>数据查询 1/1</x:v>
      </x:c>
      <x:c r="E185" s="17" t="str">
        <x:v>14772.93</x:v>
      </x:c>
      <x:c r="F185" s="17" t="str">
        <x:v>51553.77</x:v>
      </x:c>
      <x:c r="G185" s="18" t="n">
        <x:v>36780.84</x:v>
      </x:c>
      <x:c r="H185" s="18" t="n">
        <x:f>IFERROR(G185/1000,"")</x:f>
        <x:v>36.78084</x:v>
      </x:c>
      <x:c r="I185" s="19" t="n">
        <x:f>IFERROR(G185/J185,"")</x:f>
        <x:v>0.2521192994698281</x:v>
      </x:c>
      <x:c r="J185" s="17" t="n">
        <x:v>145886.65</x:v>
      </x:c>
      <x:c r="K185" s="17" t="str"/>
      <x:c r="L185" s="17" t="str">
        <x:v>已完成：查询最新股东户数最多的前20家公司，取得 20 条记录。</x:v>
      </x:c>
      <x:c r="M185" s="17" t="str"/>
      <x:c r="N185" s="18" t="n">
        <x:v>6521.94</x:v>
      </x:c>
      <x:c r="O185" s="17" t="str">
        <x:v>public_sse_client_estimate</x:v>
      </x:c>
    </x:row>
    <x:row r="186" ht="48" customHeight="1">
      <x:c r="A186" s="17" t="str">
        <x:v>BUS039</x:v>
      </x:c>
      <x:c r="B186" s="17" t="str">
        <x:v>筛选最新股东户数最多的前20家公司。</x:v>
      </x:c>
      <x:c r="C186" s="17" t="n">
        <x:v>4</x:v>
      </x:c>
      <x:c r="D186" s="17" t="str">
        <x:v>数据查询 1/1</x:v>
      </x:c>
      <x:c r="E186" s="17" t="str">
        <x:v>60318.13</x:v>
      </x:c>
      <x:c r="F186" s="17" t="str">
        <x:v>97430.87</x:v>
      </x:c>
      <x:c r="G186" s="18" t="n">
        <x:v>37112.74</x:v>
      </x:c>
      <x:c r="H186" s="18" t="n">
        <x:f>IFERROR(G186/1000,"")</x:f>
        <x:v>37.112739999999995</x:v>
      </x:c>
      <x:c r="I186" s="19" t="n">
        <x:f>IFERROR(G186/J186,"")</x:f>
        <x:v>0.25439435342438804</x:v>
      </x:c>
      <x:c r="J186" s="17" t="n">
        <x:v>145886.65</x:v>
      </x:c>
      <x:c r="K186" s="17" t="str"/>
      <x:c r="L186" s="17" t="str">
        <x:v>已完成：按股东户数降序取前20家公司的最新股东户数，取得 20 条记录。</x:v>
      </x:c>
      <x:c r="M186" s="17" t="str"/>
      <x:c r="N186" s="18" t="n">
        <x:v>8764.36</x:v>
      </x:c>
      <x:c r="O186" s="17" t="str">
        <x:v>public_sse_client_estimate</x:v>
      </x:c>
    </x:row>
    <x:row r="187" ht="48" customHeight="1">
      <x:c r="A187" s="17" t="str">
        <x:v>BUS039</x:v>
      </x:c>
      <x:c r="B187" s="17" t="str">
        <x:v>筛选最新股东户数最多的前20家公司。</x:v>
      </x:c>
      <x:c r="C187" s="17" t="n">
        <x:v>5</x:v>
      </x:c>
      <x:c r="D187" s="17" t="str">
        <x:v>数据查询 1/1</x:v>
      </x:c>
      <x:c r="E187" s="17" t="str">
        <x:v>109080.12</x:v>
      </x:c>
      <x:c r="F187" s="17" t="str">
        <x:v>121125.67</x:v>
      </x:c>
      <x:c r="G187" s="18" t="n">
        <x:v>12045.55</x:v>
      </x:c>
      <x:c r="H187" s="18" t="n">
        <x:f>IFERROR(G187/1000,"")</x:f>
        <x:v>12.045549999999999</x:v>
      </x:c>
      <x:c r="I187" s="19" t="n">
        <x:f>IFERROR(G187/J187,"")</x:f>
        <x:v>0.0825678703294647</x:v>
      </x:c>
      <x:c r="J187" s="17" t="n">
        <x:v>145886.65</x:v>
      </x:c>
      <x:c r="K187" s="17" t="str"/>
      <x:c r="L187" s="17" t="str">
        <x:v>已完成：筛选2026年最新披露的股东户数，按户数降序取前20名，取得 20 条记录。</x:v>
      </x:c>
      <x:c r="M187" s="17" t="str"/>
      <x:c r="N187" s="18" t="n">
        <x:v>11649.25</x:v>
      </x:c>
      <x:c r="O187" s="17" t="str">
        <x:v>public_sse_client_estimate</x:v>
      </x:c>
    </x:row>
    <x:row r="188" ht="48" customHeight="1">
      <x:c r="A188" s="17" t="str">
        <x:v>BUS039</x:v>
      </x:c>
      <x:c r="B188" s="17" t="str">
        <x:v>筛选最新股东户数最多的前20家公司。</x:v>
      </x:c>
      <x:c r="C188" s="17" t="n">
        <x:v>6</x:v>
      </x:c>
      <x:c r="D188" s="17" t="str">
        <x:v>回答整理</x:v>
      </x:c>
      <x:c r="E188" s="17" t="str">
        <x:v>121125.67</x:v>
      </x:c>
      <x:c r="F188" s="17" t="str">
        <x:v>142289.52</x:v>
      </x:c>
      <x:c r="G188" s="18" t="n">
        <x:v>21163.85</x:v>
      </x:c>
      <x:c r="H188" s="18" t="n">
        <x:f>IFERROR(G188/1000,"")</x:f>
        <x:v>21.16385</x:v>
      </x:c>
      <x:c r="I188" s="19" t="n">
        <x:f>IFERROR(G188/J188,"")</x:f>
        <x:v>0.14507050508048544</x:v>
      </x:c>
      <x:c r="J188" s="17" t="n">
        <x:v>145886.65</x:v>
      </x:c>
      <x:c r="K188" s="17" t="str"/>
      <x:c r="L188" s="17" t="str">
        <x:v>证据与回答已整理完成。</x:v>
      </x:c>
      <x:c r="M188" s="17" t="str"/>
      <x:c r="N188" s="18" t="n">
        <x:v>0</x:v>
      </x:c>
      <x:c r="O188" s="17" t="str">
        <x:v>public_sse_client_estimate</x:v>
      </x:c>
    </x:row>
    <x:row r="189" ht="48" customHeight="1">
      <x:c r="A189" s="17" t="str">
        <x:v>BUS040</x:v>
      </x:c>
      <x:c r="B189" s="17" t="str">
        <x:v>查询中央汇金持有的上市公司、持股比例和报告期。</x:v>
      </x:c>
      <x:c r="C189" s="17" t="n">
        <x:v>1</x:v>
      </x:c>
      <x:c r="D189" s="17" t="str">
        <x:v>问题理解</x:v>
      </x:c>
      <x:c r="E189" s="17" t="str">
        <x:v>5547.7</x:v>
      </x:c>
      <x:c r="F189" s="17" t="str">
        <x:v>9158.75</x:v>
      </x:c>
      <x:c r="G189" s="18" t="n">
        <x:v>3611.05</x:v>
      </x:c>
      <x:c r="H189" s="18" t="n">
        <x:f>IFERROR(G189/1000,"")</x:f>
        <x:v>3.61105</x:v>
      </x:c>
      <x:c r="I189" s="19" t="n">
        <x:f>IFERROR(G189/J189,"")</x:f>
        <x:v>0.04320373190846344</x:v>
      </x:c>
      <x:c r="J189" s="17" t="n">
        <x:v>83581.9</x:v>
      </x:c>
      <x:c r="K189" s="17" t="str"/>
      <x:c r="L189" s="17" t="str">
        <x:v>已明确本题的对象与口径，开始获取所需证据。</x:v>
      </x:c>
      <x:c r="M189" s="17" t="str"/>
      <x:c r="N189" s="18" t="n">
        <x:v>5547.7</x:v>
      </x:c>
      <x:c r="O189" s="17" t="str">
        <x:v>public_sse_client_estimate</x:v>
      </x:c>
    </x:row>
    <x:row r="190" ht="48" customHeight="1">
      <x:c r="A190" s="17" t="str">
        <x:v>BUS040</x:v>
      </x:c>
      <x:c r="B190" s="17" t="str">
        <x:v>查询中央汇金持有的上市公司、持股比例和报告期。</x:v>
      </x:c>
      <x:c r="C190" s="17" t="n">
        <x:v>2</x:v>
      </x:c>
      <x:c r="D190" s="17" t="str">
        <x:v>数据口径</x:v>
      </x:c>
      <x:c r="E190" s="17" t="str">
        <x:v>9158.75</x:v>
      </x:c>
      <x:c r="F190" s="17" t="str">
        <x:v>9178.49</x:v>
      </x:c>
      <x:c r="G190" s="18" t="n">
        <x:v>19.74</x:v>
      </x:c>
      <x:c r="H190" s="18" t="n">
        <x:f>IFERROR(G190/1000,"")</x:f>
        <x:v>0.019739999999999997</x:v>
      </x:c>
      <x:c r="I190" s="19" t="n">
        <x:f>IFERROR(G190/J190,"")</x:f>
        <x:v>0.0002361755356123754</x:v>
      </x:c>
      <x:c r="J190" s="17" t="n">
        <x:v>83581.9</x:v>
      </x:c>
      <x:c r="K190" s="17" t="str"/>
      <x:c r="L190" s="17" t="str">
        <x:v>已定位个股股东视图，并确认了可用字段与时间口径。</x:v>
      </x:c>
      <x:c r="M190" s="17" t="str"/>
      <x:c r="N190" s="18" t="n">
        <x:v>0</x:v>
      </x:c>
      <x:c r="O190" s="17" t="str">
        <x:v>public_sse_client_estimate</x:v>
      </x:c>
    </x:row>
    <x:row r="191" ht="48" customHeight="1">
      <x:c r="A191" s="17" t="str">
        <x:v>BUS040</x:v>
      </x:c>
      <x:c r="B191" s="17" t="str">
        <x:v>查询中央汇金持有的上市公司、持股比例和报告期。</x:v>
      </x:c>
      <x:c r="C191" s="17" t="n">
        <x:v>3</x:v>
      </x:c>
      <x:c r="D191" s="17" t="str">
        <x:v>数据查询 1/1</x:v>
      </x:c>
      <x:c r="E191" s="17" t="str">
        <x:v>16393.49</x:v>
      </x:c>
      <x:c r="F191" s="17" t="str">
        <x:v>60882.99</x:v>
      </x:c>
      <x:c r="G191" s="18" t="n">
        <x:v>44489.5</x:v>
      </x:c>
      <x:c r="H191" s="18" t="n">
        <x:f>IFERROR(G191/1000,"")</x:f>
        <x:v>44.4895</x:v>
      </x:c>
      <x:c r="I191" s="19" t="n">
        <x:f>IFERROR(G191/J191,"")</x:f>
        <x:v>0.5322862964349937</x:v>
      </x:c>
      <x:c r="J191" s="17" t="n">
        <x:v>83581.9</x:v>
      </x:c>
      <x:c r="K191" s="17" t="str"/>
      <x:c r="L191" s="17" t="str">
        <x:v>已完成：查询中央汇金作为前十大股东持有的上市公司、持股比例和报告期，取得 100 条记录。</x:v>
      </x:c>
      <x:c r="M191" s="17" t="str"/>
      <x:c r="N191" s="18" t="n">
        <x:v>7215</x:v>
      </x:c>
      <x:c r="O191" s="17" t="str">
        <x:v>public_sse_client_estimate</x:v>
      </x:c>
    </x:row>
    <x:row r="192" ht="48" customHeight="1">
      <x:c r="A192" s="17" t="str">
        <x:v>BUS040</x:v>
      </x:c>
      <x:c r="B192" s="17" t="str">
        <x:v>查询中央汇金持有的上市公司、持股比例和报告期。</x:v>
      </x:c>
      <x:c r="C192" s="17" t="n">
        <x:v>4</x:v>
      </x:c>
      <x:c r="D192" s="17" t="str">
        <x:v>回答整理</x:v>
      </x:c>
      <x:c r="E192" s="17" t="str">
        <x:v>60882.99</x:v>
      </x:c>
      <x:c r="F192" s="17" t="str">
        <x:v>81142.85</x:v>
      </x:c>
      <x:c r="G192" s="18" t="n">
        <x:v>20259.86</x:v>
      </x:c>
      <x:c r="H192" s="18" t="n">
        <x:f>IFERROR(G192/1000,"")</x:f>
        <x:v>20.25986</x:v>
      </x:c>
      <x:c r="I192" s="19" t="n">
        <x:f>IFERROR(G192/J192,"")</x:f>
        <x:v>0.24239530328934855</x:v>
      </x:c>
      <x:c r="J192" s="17" t="n">
        <x:v>83581.9</x:v>
      </x:c>
      <x:c r="K192" s="17" t="str"/>
      <x:c r="L192" s="17" t="str">
        <x:v>证据与回答已整理完成。</x:v>
      </x:c>
      <x:c r="M192" s="17" t="str"/>
      <x:c r="N192" s="18" t="n">
        <x:v>0</x:v>
      </x:c>
      <x:c r="O192" s="17" t="str">
        <x:v>public_sse_client_estimate</x:v>
      </x:c>
    </x:row>
    <x:row r="193" ht="48" customHeight="1">
      <x:c r="A193" s="17" t="str">
        <x:v>BUS041</x:v>
      </x:c>
      <x:c r="B193" s="17" t="str">
        <x:v>筛选最新持股比例超过5%的股东记录。</x:v>
      </x:c>
      <x:c r="C193" s="17" t="n">
        <x:v>1</x:v>
      </x:c>
      <x:c r="D193" s="17" t="str">
        <x:v>问题理解</x:v>
      </x:c>
      <x:c r="E193" s="17" t="str">
        <x:v>5508.1</x:v>
      </x:c>
      <x:c r="F193" s="17" t="str">
        <x:v>9330.47</x:v>
      </x:c>
      <x:c r="G193" s="18" t="n">
        <x:v>3822.37</x:v>
      </x:c>
      <x:c r="H193" s="18" t="n">
        <x:f>IFERROR(G193/1000,"")</x:f>
        <x:v>3.82237</x:v>
      </x:c>
      <x:c r="I193" s="19" t="n">
        <x:f>IFERROR(G193/J193,"")</x:f>
        <x:v>0.2311519347273675</x:v>
      </x:c>
      <x:c r="J193" s="17" t="n">
        <x:v>16536.18</x:v>
      </x:c>
      <x:c r="K193" s="17" t="str"/>
      <x:c r="L193" s="17" t="str">
        <x:v>已明确本题的对象与口径，开始获取所需证据。</x:v>
      </x:c>
      <x:c r="M193" s="17" t="str"/>
      <x:c r="N193" s="18" t="n">
        <x:v>5508.1</x:v>
      </x:c>
      <x:c r="O193" s="17" t="str">
        <x:v>public_sse_client_estimate</x:v>
      </x:c>
    </x:row>
    <x:row r="194" ht="48" customHeight="1">
      <x:c r="A194" s="17" t="str">
        <x:v>BUS041</x:v>
      </x:c>
      <x:c r="B194" s="17" t="str">
        <x:v>筛选最新持股比例超过5%的股东记录。</x:v>
      </x:c>
      <x:c r="C194" s="17" t="n">
        <x:v>2</x:v>
      </x:c>
      <x:c r="D194" s="17" t="str">
        <x:v>数据口径</x:v>
      </x:c>
      <x:c r="E194" s="17" t="str">
        <x:v>9330.47</x:v>
      </x:c>
      <x:c r="F194" s="17" t="str">
        <x:v>9370.56</x:v>
      </x:c>
      <x:c r="G194" s="18" t="n">
        <x:v>40.09</x:v>
      </x:c>
      <x:c r="H194" s="18" t="n">
        <x:f>IFERROR(G194/1000,"")</x:f>
        <x:v>0.04009</x:v>
      </x:c>
      <x:c r="I194" s="19" t="n">
        <x:f>IFERROR(G194/J194,"")</x:f>
        <x:v>0.0024243809634389565</x:v>
      </x:c>
      <x:c r="J194" s="17" t="n">
        <x:v>16536.18</x:v>
      </x:c>
      <x:c r="K194" s="17" t="str"/>
      <x:c r="L194" s="17" t="str">
        <x:v>已定位个股股东视图，并确认了可用字段与时间口径。</x:v>
      </x:c>
      <x:c r="M194" s="17" t="str"/>
      <x:c r="N194" s="18" t="n">
        <x:v>0</x:v>
      </x:c>
      <x:c r="O194" s="17" t="str">
        <x:v>public_sse_client_estimate</x:v>
      </x:c>
    </x:row>
    <x:row r="195" ht="48" customHeight="1">
      <x:c r="A195" s="17" t="str">
        <x:v>BUS041</x:v>
      </x:c>
      <x:c r="B195" s="17" t="str">
        <x:v>筛选最新持股比例超过5%的股东记录。</x:v>
      </x:c>
      <x:c r="C195" s="17" t="n">
        <x:v>3</x:v>
      </x:c>
      <x:c r="D195" s="17" t="str">
        <x:v>回答整理</x:v>
      </x:c>
      <x:c r="E195" s="17" t="str">
        <x:v>9370.56</x:v>
      </x:c>
      <x:c r="F195" s="17" t="str">
        <x:v>14322.85</x:v>
      </x:c>
      <x:c r="G195" s="18" t="n">
        <x:v>4952.29</x:v>
      </x:c>
      <x:c r="H195" s="18" t="n">
        <x:f>IFERROR(G195/1000,"")</x:f>
        <x:v>4.95229</x:v>
      </x:c>
      <x:c r="I195" s="19" t="n">
        <x:f>IFERROR(G195/J195,"")</x:f>
        <x:v>0.2994821052988054</x:v>
      </x:c>
      <x:c r="J195" s="17" t="n">
        <x:v>16536.18</x:v>
      </x:c>
      <x:c r="K195" s="17" t="str"/>
      <x:c r="L195" s="17" t="str">
        <x:v>证据与回答已整理完成。</x:v>
      </x:c>
      <x:c r="M195" s="17" t="str"/>
      <x:c r="N195" s="18" t="n">
        <x:v>0</x:v>
      </x:c>
      <x:c r="O195" s="17" t="str">
        <x:v>public_sse_client_estimate</x:v>
      </x:c>
    </x:row>
    <x:row r="196" ht="48" customHeight="1">
      <x:c r="A196" s="17" t="str">
        <x:v>BUS042</x:v>
      </x:c>
      <x:c r="B196" s="17" t="str">
        <x:v>查询万科A最新前十大股东及其股份性质。</x:v>
      </x:c>
      <x:c r="C196" s="17" t="n">
        <x:v>1</x:v>
      </x:c>
      <x:c r="D196" s="17" t="str">
        <x:v>问题理解</x:v>
      </x:c>
      <x:c r="E196" s="17" t="str">
        <x:v>5360</x:v>
      </x:c>
      <x:c r="F196" s="17" t="str">
        <x:v>7578.88</x:v>
      </x:c>
      <x:c r="G196" s="18" t="n">
        <x:v>2218.88</x:v>
      </x:c>
      <x:c r="H196" s="18" t="n">
        <x:f>IFERROR(G196/1000,"")</x:f>
        <x:v>2.21888</x:v>
      </x:c>
      <x:c r="I196" s="19" t="n">
        <x:f>IFERROR(G196/J196,"")</x:f>
        <x:v>0.03367767673085149</x:v>
      </x:c>
      <x:c r="J196" s="17" t="n">
        <x:v>65885.78</x:v>
      </x:c>
      <x:c r="K196" s="17" t="str"/>
      <x:c r="L196" s="17" t="str">
        <x:v>已明确本题的对象与口径，开始获取所需证据。</x:v>
      </x:c>
      <x:c r="M196" s="17" t="str"/>
      <x:c r="N196" s="18" t="n">
        <x:v>5360</x:v>
      </x:c>
      <x:c r="O196" s="17" t="str">
        <x:v>public_sse_client_estimate</x:v>
      </x:c>
    </x:row>
    <x:row r="197" ht="48" customHeight="1">
      <x:c r="A197" s="17" t="str">
        <x:v>BUS042</x:v>
      </x:c>
      <x:c r="B197" s="17" t="str">
        <x:v>查询万科A最新前十大股东及其股份性质。</x:v>
      </x:c>
      <x:c r="C197" s="17" t="n">
        <x:v>2</x:v>
      </x:c>
      <x:c r="D197" s="17" t="str">
        <x:v>数据口径</x:v>
      </x:c>
      <x:c r="E197" s="17" t="str">
        <x:v>7578.88</x:v>
      </x:c>
      <x:c r="F197" s="17" t="str">
        <x:v>7624.01</x:v>
      </x:c>
      <x:c r="G197" s="18" t="n">
        <x:v>45.13</x:v>
      </x:c>
      <x:c r="H197" s="18" t="n">
        <x:f>IFERROR(G197/1000,"")</x:f>
        <x:v>0.04513</x:v>
      </x:c>
      <x:c r="I197" s="19" t="n">
        <x:f>IFERROR(G197/J197,"")</x:f>
        <x:v>0.0006849732977282807</x:v>
      </x:c>
      <x:c r="J197" s="17" t="n">
        <x:v>65885.78</x:v>
      </x:c>
      <x:c r="K197" s="17" t="str"/>
      <x:c r="L197" s="17" t="str">
        <x:v>已定位个股股东视图，并确认了可用字段与时间口径。</x:v>
      </x:c>
      <x:c r="M197" s="17" t="str"/>
      <x:c r="N197" s="18" t="n">
        <x:v>0</x:v>
      </x:c>
      <x:c r="O197" s="17" t="str">
        <x:v>public_sse_client_estimate</x:v>
      </x:c>
    </x:row>
    <x:row r="198" ht="48" customHeight="1">
      <x:c r="A198" s="17" t="str">
        <x:v>BUS042</x:v>
      </x:c>
      <x:c r="B198" s="17" t="str">
        <x:v>查询万科A最新前十大股东及其股份性质。</x:v>
      </x:c>
      <x:c r="C198" s="17" t="n">
        <x:v>3</x:v>
      </x:c>
      <x:c r="D198" s="17" t="str">
        <x:v>数据查询 1/1</x:v>
      </x:c>
      <x:c r="E198" s="17" t="str">
        <x:v>10980.91</x:v>
      </x:c>
      <x:c r="F198" s="17" t="str">
        <x:v>53800.78</x:v>
      </x:c>
      <x:c r="G198" s="18" t="n">
        <x:v>42819.87</x:v>
      </x:c>
      <x:c r="H198" s="18" t="n">
        <x:f>IFERROR(G198/1000,"")</x:f>
        <x:v>42.81987</x:v>
      </x:c>
      <x:c r="I198" s="19" t="n">
        <x:f>IFERROR(G198/J198,"")</x:f>
        <x:v>0.6499106483978789</x:v>
      </x:c>
      <x:c r="J198" s="17" t="n">
        <x:v>65885.78</x:v>
      </x:c>
      <x:c r="K198" s="17" t="str"/>
      <x:c r="L198" s="17" t="str">
        <x:v>已完成：查询万科A最新前十大股东及其持股数量和股份性质，取得 10 条记录。</x:v>
      </x:c>
      <x:c r="M198" s="17" t="str"/>
      <x:c r="N198" s="18" t="n">
        <x:v>3356.9</x:v>
      </x:c>
      <x:c r="O198" s="17" t="str">
        <x:v>public_sse_client_estimate</x:v>
      </x:c>
    </x:row>
    <x:row r="199" ht="48" customHeight="1">
      <x:c r="A199" s="17" t="str">
        <x:v>BUS042</x:v>
      </x:c>
      <x:c r="B199" s="17" t="str">
        <x:v>查询万科A最新前十大股东及其股份性质。</x:v>
      </x:c>
      <x:c r="C199" s="17" t="n">
        <x:v>4</x:v>
      </x:c>
      <x:c r="D199" s="17" t="str">
        <x:v>回答整理</x:v>
      </x:c>
      <x:c r="E199" s="17" t="str">
        <x:v>53800.78</x:v>
      </x:c>
      <x:c r="F199" s="17" t="str">
        <x:v>63328.96</x:v>
      </x:c>
      <x:c r="G199" s="18" t="n">
        <x:v>9528.18</x:v>
      </x:c>
      <x:c r="H199" s="18" t="n">
        <x:f>IFERROR(G199/1000,"")</x:f>
        <x:v>9.52818</x:v>
      </x:c>
      <x:c r="I199" s="19" t="n">
        <x:f>IFERROR(G199/J199,"")</x:f>
        <x:v>0.14461663806666628</x:v>
      </x:c>
      <x:c r="J199" s="17" t="n">
        <x:v>65885.78</x:v>
      </x:c>
      <x:c r="K199" s="17" t="str"/>
      <x:c r="L199" s="17" t="str">
        <x:v>证据与回答已整理完成。</x:v>
      </x:c>
      <x:c r="M199" s="17" t="str"/>
      <x:c r="N199" s="18" t="n">
        <x:v>0</x:v>
      </x:c>
      <x:c r="O199" s="17" t="str">
        <x:v>public_sse_client_estimate</x:v>
      </x:c>
    </x:row>
    <x:row r="200" ht="48" customHeight="1">
      <x:c r="A200" s="17" t="str">
        <x:v>BUS043</x:v>
      </x:c>
      <x:c r="B200" s="17" t="str">
        <x:v>查询万科A最新股权质押比例和累计质押股数。</x:v>
      </x:c>
      <x:c r="C200" s="17" t="n">
        <x:v>1</x:v>
      </x:c>
      <x:c r="D200" s="17" t="str">
        <x:v>问题理解</x:v>
      </x:c>
      <x:c r="E200" s="17" t="str">
        <x:v>5044.02</x:v>
      </x:c>
      <x:c r="F200" s="17" t="str">
        <x:v>7733.08</x:v>
      </x:c>
      <x:c r="G200" s="18" t="n">
        <x:v>2689.06</x:v>
      </x:c>
      <x:c r="H200" s="18" t="n">
        <x:f>IFERROR(G200/1000,"")</x:f>
        <x:v>2.68906</x:v>
      </x:c>
      <x:c r="I200" s="19" t="n">
        <x:f>IFERROR(G200/J200,"")</x:f>
        <x:v>0.11411831458351988</x:v>
      </x:c>
      <x:c r="J200" s="17" t="n">
        <x:v>23563.79</x:v>
      </x:c>
      <x:c r="K200" s="17" t="str"/>
      <x:c r="L200" s="17" t="str">
        <x:v>已明确本题的对象与口径，开始获取所需证据。</x:v>
      </x:c>
      <x:c r="M200" s="17" t="str"/>
      <x:c r="N200" s="18" t="n">
        <x:v>5044.02</x:v>
      </x:c>
      <x:c r="O200" s="17" t="str">
        <x:v>public_sse_client_estimate</x:v>
      </x:c>
    </x:row>
    <x:row r="201" ht="48" customHeight="1">
      <x:c r="A201" s="17" t="str">
        <x:v>BUS043</x:v>
      </x:c>
      <x:c r="B201" s="17" t="str">
        <x:v>查询万科A最新股权质押比例和累计质押股数。</x:v>
      </x:c>
      <x:c r="C201" s="17" t="n">
        <x:v>2</x:v>
      </x:c>
      <x:c r="D201" s="17" t="str">
        <x:v>数据口径</x:v>
      </x:c>
      <x:c r="E201" s="17" t="str">
        <x:v>7733.08</x:v>
      </x:c>
      <x:c r="F201" s="17" t="str">
        <x:v>8163.22</x:v>
      </x:c>
      <x:c r="G201" s="18" t="n">
        <x:v>430.14</x:v>
      </x:c>
      <x:c r="H201" s="18" t="n">
        <x:f>IFERROR(G201/1000,"")</x:f>
        <x:v>0.43013999999999997</x:v>
      </x:c>
      <x:c r="I201" s="19" t="n">
        <x:f>IFERROR(G201/J201,"")</x:f>
        <x:v>0.018254279129121417</x:v>
      </x:c>
      <x:c r="J201" s="17" t="n">
        <x:v>23563.79</x:v>
      </x:c>
      <x:c r="K201" s="17" t="str"/>
      <x:c r="L201" s="17" t="str">
        <x:v>已定位个股股权质押视图，并确认了可用字段与时间口径。</x:v>
      </x:c>
      <x:c r="M201" s="17" t="str"/>
      <x:c r="N201" s="18" t="n">
        <x:v>0</x:v>
      </x:c>
      <x:c r="O201" s="17" t="str">
        <x:v>public_sse_client_estimate</x:v>
      </x:c>
    </x:row>
    <x:row r="202" ht="48" customHeight="1">
      <x:c r="A202" s="17" t="str">
        <x:v>BUS043</x:v>
      </x:c>
      <x:c r="B202" s="17" t="str">
        <x:v>查询万科A最新股权质押比例和累计质押股数。</x:v>
      </x:c>
      <x:c r="C202" s="17" t="n">
        <x:v>3</x:v>
      </x:c>
      <x:c r="D202" s="17" t="str">
        <x:v>数据查询 1/1</x:v>
      </x:c>
      <x:c r="E202" s="17" t="str">
        <x:v>11460.32</x:v>
      </x:c>
      <x:c r="F202" s="17" t="str">
        <x:v>18543.22</x:v>
      </x:c>
      <x:c r="G202" s="18" t="n">
        <x:v>7082.9</x:v>
      </x:c>
      <x:c r="H202" s="18" t="n">
        <x:f>IFERROR(G202/1000,"")</x:f>
        <x:v>7.0828999999999995</x:v>
      </x:c>
      <x:c r="I202" s="19" t="n">
        <x:f>IFERROR(G202/J202,"")</x:f>
        <x:v>0.30058407412389937</x:v>
      </x:c>
      <x:c r="J202" s="17" t="n">
        <x:v>23563.79</x:v>
      </x:c>
      <x:c r="K202" s="17" t="str"/>
      <x:c r="L202" s="17" t="str">
        <x:v>已完成：查询万科A最新股权质押比例和累计质押股数，取得 1 条记录。</x:v>
      </x:c>
      <x:c r="M202" s="17" t="str"/>
      <x:c r="N202" s="18" t="n">
        <x:v>3297.1</x:v>
      </x:c>
      <x:c r="O202" s="17" t="str">
        <x:v>public_sse_client_estimate</x:v>
      </x:c>
    </x:row>
    <x:row r="203" ht="48" customHeight="1">
      <x:c r="A203" s="17" t="str">
        <x:v>BUS043</x:v>
      </x:c>
      <x:c r="B203" s="17" t="str">
        <x:v>查询万科A最新股权质押比例和累计质押股数。</x:v>
      </x:c>
      <x:c r="C203" s="17" t="n">
        <x:v>4</x:v>
      </x:c>
      <x:c r="D203" s="17" t="str">
        <x:v>回答整理</x:v>
      </x:c>
      <x:c r="E203" s="17" t="str">
        <x:v>18543.22</x:v>
      </x:c>
      <x:c r="F203" s="17" t="str">
        <x:v>21413.53</x:v>
      </x:c>
      <x:c r="G203" s="18" t="n">
        <x:v>2870.31</x:v>
      </x:c>
      <x:c r="H203" s="18" t="n">
        <x:f>IFERROR(G203/1000,"")</x:f>
        <x:v>2.87031</x:v>
      </x:c>
      <x:c r="I203" s="19" t="n">
        <x:f>IFERROR(G203/J203,"")</x:f>
        <x:v>0.12181020116033965</x:v>
      </x:c>
      <x:c r="J203" s="17" t="n">
        <x:v>23563.79</x:v>
      </x:c>
      <x:c r="K203" s="17" t="str"/>
      <x:c r="L203" s="17" t="str">
        <x:v>证据与回答已整理完成。</x:v>
      </x:c>
      <x:c r="M203" s="17" t="str"/>
      <x:c r="N203" s="18" t="n">
        <x:v>0</x:v>
      </x:c>
      <x:c r="O203" s="17" t="str">
        <x:v>public_sse_client_estimate</x:v>
      </x:c>
    </x:row>
    <x:row r="204" ht="48" customHeight="1">
      <x:c r="A204" s="17" t="str">
        <x:v>BUS044</x:v>
      </x:c>
      <x:c r="B204" s="17" t="str">
        <x:v>最新公司累计质押比例最高的前20只股票。</x:v>
      </x:c>
      <x:c r="C204" s="17" t="n">
        <x:v>1</x:v>
      </x:c>
      <x:c r="D204" s="17" t="str">
        <x:v>问题理解</x:v>
      </x:c>
      <x:c r="E204" s="17" t="str">
        <x:v>5513.87</x:v>
      </x:c>
      <x:c r="F204" s="17" t="str">
        <x:v>8264.24</x:v>
      </x:c>
      <x:c r="G204" s="18" t="n">
        <x:v>2750.37</x:v>
      </x:c>
      <x:c r="H204" s="18" t="n">
        <x:f>IFERROR(G204/1000,"")</x:f>
        <x:v>2.7503699999999998</x:v>
      </x:c>
      <x:c r="I204" s="19" t="n">
        <x:f>IFERROR(G204/J204,"")</x:f>
        <x:v>0.09032200223837071</x:v>
      </x:c>
      <x:c r="J204" s="17" t="n">
        <x:v>30450.72</x:v>
      </x:c>
      <x:c r="K204" s="17" t="str"/>
      <x:c r="L204" s="17" t="str">
        <x:v>已明确本题的对象与口径，开始获取所需证据。</x:v>
      </x:c>
      <x:c r="M204" s="17" t="str"/>
      <x:c r="N204" s="18" t="n">
        <x:v>5513.87</x:v>
      </x:c>
      <x:c r="O204" s="17" t="str">
        <x:v>public_sse_client_estimate</x:v>
      </x:c>
    </x:row>
    <x:row r="205" ht="48" customHeight="1">
      <x:c r="A205" s="17" t="str">
        <x:v>BUS044</x:v>
      </x:c>
      <x:c r="B205" s="17" t="str">
        <x:v>最新公司累计质押比例最高的前20只股票。</x:v>
      </x:c>
      <x:c r="C205" s="17" t="n">
        <x:v>2</x:v>
      </x:c>
      <x:c r="D205" s="17" t="str">
        <x:v>数据口径</x:v>
      </x:c>
      <x:c r="E205" s="17" t="str">
        <x:v>8264.24</x:v>
      </x:c>
      <x:c r="F205" s="17" t="str">
        <x:v>8273.53</x:v>
      </x:c>
      <x:c r="G205" s="18" t="n">
        <x:v>9.29</x:v>
      </x:c>
      <x:c r="H205" s="18" t="n">
        <x:f>IFERROR(G205/1000,"")</x:f>
        <x:v>0.00929</x:v>
      </x:c>
      <x:c r="I205" s="19" t="n">
        <x:f>IFERROR(G205/J205,"")</x:f>
        <x:v>0.00030508309819932003</x:v>
      </x:c>
      <x:c r="J205" s="17" t="n">
        <x:v>30450.72</x:v>
      </x:c>
      <x:c r="K205" s="17" t="str"/>
      <x:c r="L205" s="17" t="str">
        <x:v>已定位个股股权质押视图，并确认了可用字段与时间口径。</x:v>
      </x:c>
      <x:c r="M205" s="17" t="str"/>
      <x:c r="N205" s="18" t="n">
        <x:v>0</x:v>
      </x:c>
      <x:c r="O205" s="17" t="str">
        <x:v>public_sse_client_estimate</x:v>
      </x:c>
    </x:row>
    <x:row r="206" ht="48" customHeight="1">
      <x:c r="A206" s="17" t="str">
        <x:v>BUS044</x:v>
      </x:c>
      <x:c r="B206" s="17" t="str">
        <x:v>最新公司累计质押比例最高的前20只股票。</x:v>
      </x:c>
      <x:c r="C206" s="17" t="n">
        <x:v>3</x:v>
      </x:c>
      <x:c r="D206" s="17" t="str">
        <x:v>数据查询 1/1</x:v>
      </x:c>
      <x:c r="E206" s="17" t="str">
        <x:v>11252.04</x:v>
      </x:c>
      <x:c r="F206" s="17" t="str">
        <x:v>21412.38</x:v>
      </x:c>
      <x:c r="G206" s="18" t="n">
        <x:v>10160.34</x:v>
      </x:c>
      <x:c r="H206" s="18" t="n">
        <x:f>IFERROR(G206/1000,"")</x:f>
        <x:v>10.16034</x:v>
      </x:c>
      <x:c r="I206" s="19" t="n">
        <x:f>IFERROR(G206/J206,"")</x:f>
        <x:v>0.3336650167877804</x:v>
      </x:c>
      <x:c r="J206" s="17" t="n">
        <x:v>30450.72</x:v>
      </x:c>
      <x:c r="K206" s="17" t="str"/>
      <x:c r="L206" s="17" t="str">
        <x:v>已完成：查询最新公司累计质押比例最高的前20只股票，取得 20 条记录。</x:v>
      </x:c>
      <x:c r="M206" s="17" t="str"/>
      <x:c r="N206" s="18" t="n">
        <x:v>2978.51</x:v>
      </x:c>
      <x:c r="O206" s="17" t="str">
        <x:v>public_sse_client_estimate</x:v>
      </x:c>
    </x:row>
    <x:row r="207" ht="48" customHeight="1">
      <x:c r="A207" s="17" t="str">
        <x:v>BUS044</x:v>
      </x:c>
      <x:c r="B207" s="17" t="str">
        <x:v>最新公司累计质押比例最高的前20只股票。</x:v>
      </x:c>
      <x:c r="C207" s="17" t="n">
        <x:v>4</x:v>
      </x:c>
      <x:c r="D207" s="17" t="str">
        <x:v>回答整理</x:v>
      </x:c>
      <x:c r="E207" s="17" t="str">
        <x:v>21412.38</x:v>
      </x:c>
      <x:c r="F207" s="17" t="str">
        <x:v>28148.83</x:v>
      </x:c>
      <x:c r="G207" s="18" t="n">
        <x:v>6736.45</x:v>
      </x:c>
      <x:c r="H207" s="18" t="n">
        <x:f>IFERROR(G207/1000,"")</x:f>
        <x:v>6.73645</x:v>
      </x:c>
      <x:c r="I207" s="19" t="n">
        <x:f>IFERROR(G207/J207,"")</x:f>
        <x:v>0.22122465412968886</x:v>
      </x:c>
      <x:c r="J207" s="17" t="n">
        <x:v>30450.72</x:v>
      </x:c>
      <x:c r="K207" s="17" t="str"/>
      <x:c r="L207" s="17" t="str">
        <x:v>证据与回答已整理完成。</x:v>
      </x:c>
      <x:c r="M207" s="17" t="str"/>
      <x:c r="N207" s="18" t="n">
        <x:v>0</x:v>
      </x:c>
      <x:c r="O207" s="17" t="str">
        <x:v>public_sse_client_estimate</x:v>
      </x:c>
    </x:row>
    <x:row r="208" ht="48" customHeight="1">
      <x:c r="A208" s="17" t="str">
        <x:v>BUS045</x:v>
      </x:c>
      <x:c r="B208" s="17" t="str">
        <x:v>查询尚未解除质押的股权质押记录。</x:v>
      </x:c>
      <x:c r="C208" s="17" t="n">
        <x:v>1</x:v>
      </x:c>
      <x:c r="D208" s="17" t="str">
        <x:v>问题理解</x:v>
      </x:c>
      <x:c r="E208" s="17" t="str">
        <x:v>5549.52</x:v>
      </x:c>
      <x:c r="F208" s="17" t="str">
        <x:v>11073.35</x:v>
      </x:c>
      <x:c r="G208" s="18" t="n">
        <x:v>5523.83</x:v>
      </x:c>
      <x:c r="H208" s="18" t="n">
        <x:f>IFERROR(G208/1000,"")</x:f>
        <x:v>5.52383</x:v>
      </x:c>
      <x:c r="I208" s="19" t="n">
        <x:f>IFERROR(G208/J208,"")</x:f>
        <x:v>0.3298393804752246</x:v>
      </x:c>
      <x:c r="J208" s="17" t="n">
        <x:v>16747.03</x:v>
      </x:c>
      <x:c r="K208" s="17" t="str"/>
      <x:c r="L208" s="17" t="str">
        <x:v>已明确本题的对象与口径，开始获取所需证据。</x:v>
      </x:c>
      <x:c r="M208" s="17" t="str"/>
      <x:c r="N208" s="18" t="n">
        <x:v>5549.52</x:v>
      </x:c>
      <x:c r="O208" s="17" t="str">
        <x:v>public_sse_client_estimate</x:v>
      </x:c>
    </x:row>
    <x:row r="209" ht="48" customHeight="1">
      <x:c r="A209" s="17" t="str">
        <x:v>BUS045</x:v>
      </x:c>
      <x:c r="B209" s="17" t="str">
        <x:v>查询尚未解除质押的股权质押记录。</x:v>
      </x:c>
      <x:c r="C209" s="17" t="n">
        <x:v>2</x:v>
      </x:c>
      <x:c r="D209" s="17" t="str">
        <x:v>数据口径</x:v>
      </x:c>
      <x:c r="E209" s="17" t="str">
        <x:v>11073.35</x:v>
      </x:c>
      <x:c r="F209" s="17" t="str">
        <x:v>11114.57</x:v>
      </x:c>
      <x:c r="G209" s="18" t="n">
        <x:v>41.22</x:v>
      </x:c>
      <x:c r="H209" s="18" t="n">
        <x:f>IFERROR(G209/1000,"")</x:f>
        <x:v>0.04122</x:v>
      </x:c>
      <x:c r="I209" s="19" t="n">
        <x:f>IFERROR(G209/J209,"")</x:f>
        <x:v>0.0024613319496053928</x:v>
      </x:c>
      <x:c r="J209" s="17" t="n">
        <x:v>16747.03</x:v>
      </x:c>
      <x:c r="K209" s="17" t="str"/>
      <x:c r="L209" s="17" t="str">
        <x:v>已定位个股股权质押视图，并确认了可用字段与时间口径。</x:v>
      </x:c>
      <x:c r="M209" s="17" t="str"/>
      <x:c r="N209" s="18" t="n">
        <x:v>0</x:v>
      </x:c>
      <x:c r="O209" s="17" t="str">
        <x:v>public_sse_client_estimate</x:v>
      </x:c>
    </x:row>
    <x:row r="210" ht="48" customHeight="1">
      <x:c r="A210" s="17" t="str">
        <x:v>BUS045</x:v>
      </x:c>
      <x:c r="B210" s="17" t="str">
        <x:v>查询尚未解除质押的股权质押记录。</x:v>
      </x:c>
      <x:c r="C210" s="17" t="n">
        <x:v>3</x:v>
      </x:c>
      <x:c r="D210" s="17" t="str">
        <x:v>回答整理</x:v>
      </x:c>
      <x:c r="E210" s="17" t="str">
        <x:v>11114.57</x:v>
      </x:c>
      <x:c r="F210" s="17" t="str">
        <x:v>14265.57</x:v>
      </x:c>
      <x:c r="G210" s="18" t="n">
        <x:v>3151</x:v>
      </x:c>
      <x:c r="H210" s="18" t="n">
        <x:f>IFERROR(G210/1000,"")</x:f>
        <x:v>3.151</x:v>
      </x:c>
      <x:c r="I210" s="19" t="n">
        <x:f>IFERROR(G210/J210,"")</x:f>
        <x:v>0.18815276499773395</x:v>
      </x:c>
      <x:c r="J210" s="17" t="n">
        <x:v>16747.03</x:v>
      </x:c>
      <x:c r="K210" s="17" t="str"/>
      <x:c r="L210" s="17" t="str">
        <x:v>证据与回答已整理完成。</x:v>
      </x:c>
      <x:c r="M210" s="17" t="str"/>
      <x:c r="N210" s="18" t="n">
        <x:v>0</x:v>
      </x:c>
      <x:c r="O210" s="17" t="str">
        <x:v>public_sse_client_estimate</x:v>
      </x:c>
    </x:row>
    <x:row r="211" ht="48" customHeight="1">
      <x:c r="A211" s="17" t="str">
        <x:v>BUS046</x:v>
      </x:c>
      <x:c r="B211" s="17" t="str">
        <x:v>查询贵州茅台主要股东的股权质押明细。</x:v>
      </x:c>
      <x:c r="C211" s="17" t="n">
        <x:v>1</x:v>
      </x:c>
      <x:c r="D211" s="17" t="str">
        <x:v>问题理解</x:v>
      </x:c>
      <x:c r="E211" s="17" t="str">
        <x:v>5780.22</x:v>
      </x:c>
      <x:c r="F211" s="17" t="str">
        <x:v>8473.34</x:v>
      </x:c>
      <x:c r="G211" s="18" t="n">
        <x:v>2693.12</x:v>
      </x:c>
      <x:c r="H211" s="18" t="n">
        <x:f>IFERROR(G211/1000,"")</x:f>
        <x:v>2.69312</x:v>
      </x:c>
      <x:c r="I211" s="19" t="n">
        <x:f>IFERROR(G211/J211,"")</x:f>
        <x:v>0.08450851841171231</x:v>
      </x:c>
      <x:c r="J211" s="17" t="n">
        <x:v>31868.03</x:v>
      </x:c>
      <x:c r="K211" s="17" t="str"/>
      <x:c r="L211" s="17" t="str">
        <x:v>已明确本题的对象与口径，开始获取所需证据。</x:v>
      </x:c>
      <x:c r="M211" s="17" t="str"/>
      <x:c r="N211" s="18" t="n">
        <x:v>5780.22</x:v>
      </x:c>
      <x:c r="O211" s="17" t="str">
        <x:v>public_sse_client_estimate</x:v>
      </x:c>
    </x:row>
    <x:row r="212" ht="48" customHeight="1">
      <x:c r="A212" s="17" t="str">
        <x:v>BUS046</x:v>
      </x:c>
      <x:c r="B212" s="17" t="str">
        <x:v>查询贵州茅台主要股东的股权质押明细。</x:v>
      </x:c>
      <x:c r="C212" s="17" t="n">
        <x:v>2</x:v>
      </x:c>
      <x:c r="D212" s="17" t="str">
        <x:v>数据口径</x:v>
      </x:c>
      <x:c r="E212" s="17" t="str">
        <x:v>8473.34</x:v>
      </x:c>
      <x:c r="F212" s="17" t="str">
        <x:v>9606.08</x:v>
      </x:c>
      <x:c r="G212" s="18" t="n">
        <x:v>1132.74</x:v>
      </x:c>
      <x:c r="H212" s="18" t="n">
        <x:f>IFERROR(G212/1000,"")</x:f>
        <x:v>1.13274</x:v>
      </x:c>
      <x:c r="I212" s="19" t="n">
        <x:f>IFERROR(G212/J212,"")</x:f>
        <x:v>0.03554471362051561</x:v>
      </x:c>
      <x:c r="J212" s="17" t="n">
        <x:v>31868.03</x:v>
      </x:c>
      <x:c r="K212" s="17" t="str"/>
      <x:c r="L212" s="17" t="str">
        <x:v>已定位个股股权质押视图，并确认了可用字段与时间口径。</x:v>
      </x:c>
      <x:c r="M212" s="17" t="str"/>
      <x:c r="N212" s="18" t="n">
        <x:v>0</x:v>
      </x:c>
      <x:c r="O212" s="17" t="str">
        <x:v>public_sse_client_estimate</x:v>
      </x:c>
    </x:row>
    <x:row r="213" ht="48" customHeight="1">
      <x:c r="A213" s="17" t="str">
        <x:v>BUS046</x:v>
      </x:c>
      <x:c r="B213" s="17" t="str">
        <x:v>查询贵州茅台主要股东的股权质押明细。</x:v>
      </x:c>
      <x:c r="C213" s="17" t="n">
        <x:v>3</x:v>
      </x:c>
      <x:c r="D213" s="17" t="str">
        <x:v>数据查询 1/2</x:v>
      </x:c>
      <x:c r="E213" s="17" t="str">
        <x:v>13090.52</x:v>
      </x:c>
      <x:c r="F213" s="17" t="str">
        <x:v>19135.71</x:v>
      </x:c>
      <x:c r="G213" s="18" t="n">
        <x:v>6045.19</x:v>
      </x:c>
      <x:c r="H213" s="18" t="n">
        <x:f>IFERROR(G213/1000,"")</x:f>
        <x:v>6.04519</x:v>
      </x:c>
      <x:c r="I213" s="19" t="n">
        <x:f>IFERROR(G213/J213,"")</x:f>
        <x:v>0.18969449947172762</x:v>
      </x:c>
      <x:c r="J213" s="17" t="n">
        <x:v>31868.03</x:v>
      </x:c>
      <x:c r="K213" s="17" t="str"/>
      <x:c r="L213" s="17" t="str">
        <x:v>已完成：查询贵州茅台主要股东的股权质押/解押明细，当前条件下没有匹配记录。</x:v>
      </x:c>
      <x:c r="M213" s="17" t="str"/>
      <x:c r="N213" s="18" t="n">
        <x:v>3484.44</x:v>
      </x:c>
      <x:c r="O213" s="17" t="str">
        <x:v>public_sse_client_estimate</x:v>
      </x:c>
    </x:row>
    <x:row r="214" ht="48" customHeight="1">
      <x:c r="A214" s="17" t="str">
        <x:v>BUS046</x:v>
      </x:c>
      <x:c r="B214" s="17" t="str">
        <x:v>查询贵州茅台主要股东的股权质押明细。</x:v>
      </x:c>
      <x:c r="C214" s="17" t="n">
        <x:v>4</x:v>
      </x:c>
      <x:c r="D214" s="17" t="str">
        <x:v>数据查询 2/2</x:v>
      </x:c>
      <x:c r="E214" s="17" t="str">
        <x:v>19138.79</x:v>
      </x:c>
      <x:c r="F214" s="17" t="str">
        <x:v>25602.39</x:v>
      </x:c>
      <x:c r="G214" s="18" t="n">
        <x:v>6463.6</x:v>
      </x:c>
      <x:c r="H214" s="18" t="n">
        <x:f>IFERROR(G214/1000,"")</x:f>
        <x:v>6.4636000000000005</x:v>
      </x:c>
      <x:c r="I214" s="19" t="n">
        <x:f>IFERROR(G214/J214,"")</x:f>
        <x:v>0.20282395868210243</x:v>
      </x:c>
      <x:c r="J214" s="17" t="n">
        <x:v>31868.03</x:v>
      </x:c>
      <x:c r="K214" s="17" t="str"/>
      <x:c r="L214" s="17" t="str">
        <x:v>已完成：查询贵州茅台股东累计质押和冻结汇总，当前条件下没有匹配记录。</x:v>
      </x:c>
      <x:c r="M214" s="17" t="str"/>
      <x:c r="N214" s="18" t="n">
        <x:v>3.08</x:v>
      </x:c>
      <x:c r="O214" s="17" t="str">
        <x:v>public_sse_client_estimate</x:v>
      </x:c>
    </x:row>
    <x:row r="215" ht="48" customHeight="1">
      <x:c r="A215" s="17" t="str">
        <x:v>BUS046</x:v>
      </x:c>
      <x:c r="B215" s="17" t="str">
        <x:v>查询贵州茅台主要股东的股权质押明细。</x:v>
      </x:c>
      <x:c r="C215" s="17" t="n">
        <x:v>5</x:v>
      </x:c>
      <x:c r="D215" s="17" t="str">
        <x:v>回答整理</x:v>
      </x:c>
      <x:c r="E215" s="17" t="str">
        <x:v>25602.39</x:v>
      </x:c>
      <x:c r="F215" s="17" t="str">
        <x:v>29354.22</x:v>
      </x:c>
      <x:c r="G215" s="18" t="n">
        <x:v>3751.83</x:v>
      </x:c>
      <x:c r="H215" s="18" t="n">
        <x:f>IFERROR(G215/1000,"")</x:f>
        <x:v>3.75183</x:v>
      </x:c>
      <x:c r="I215" s="19" t="n">
        <x:f>IFERROR(G215/J215,"")</x:f>
        <x:v>0.11773021426175387</x:v>
      </x:c>
      <x:c r="J215" s="17" t="n">
        <x:v>31868.03</x:v>
      </x:c>
      <x:c r="K215" s="17" t="str"/>
      <x:c r="L215" s="17" t="str">
        <x:v>证据与回答已整理完成。</x:v>
      </x:c>
      <x:c r="M215" s="17" t="str"/>
      <x:c r="N215" s="18" t="n">
        <x:v>0</x:v>
      </x:c>
      <x:c r="O215" s="17" t="str">
        <x:v>public_sse_client_estimate</x:v>
      </x:c>
    </x:row>
    <x:row r="216" ht="48" customHeight="1">
      <x:c r="A216" s="17" t="str">
        <x:v>BUS047</x:v>
      </x:c>
      <x:c r="B216" s="17" t="str">
        <x:v>筛选最新冻结股数最高的前20家公司。</x:v>
      </x:c>
      <x:c r="C216" s="17" t="n">
        <x:v>1</x:v>
      </x:c>
      <x:c r="D216" s="17" t="str">
        <x:v>问题理解</x:v>
      </x:c>
      <x:c r="E216" s="17" t="str">
        <x:v>5443.14</x:v>
      </x:c>
      <x:c r="F216" s="17" t="str">
        <x:v>8146.96</x:v>
      </x:c>
      <x:c r="G216" s="18" t="n">
        <x:v>2703.82</x:v>
      </x:c>
      <x:c r="H216" s="18" t="n">
        <x:f>IFERROR(G216/1000,"")</x:f>
        <x:v>2.7038200000000003</x:v>
      </x:c>
      <x:c r="I216" s="19" t="n">
        <x:f>IFERROR(G216/J216,"")</x:f>
        <x:v>0.025160614317193738</x:v>
      </x:c>
      <x:c r="J216" s="17" t="n">
        <x:v>107462.4</x:v>
      </x:c>
      <x:c r="K216" s="17" t="str"/>
      <x:c r="L216" s="17" t="str">
        <x:v>已明确本题的对象与口径，开始获取所需证据。</x:v>
      </x:c>
      <x:c r="M216" s="17" t="str"/>
      <x:c r="N216" s="18" t="n">
        <x:v>5443.14</x:v>
      </x:c>
      <x:c r="O216" s="17" t="str">
        <x:v>public_sse_client_estimate</x:v>
      </x:c>
    </x:row>
    <x:row r="217" ht="48" customHeight="1">
      <x:c r="A217" s="17" t="str">
        <x:v>BUS047</x:v>
      </x:c>
      <x:c r="B217" s="17" t="str">
        <x:v>筛选最新冻结股数最高的前20家公司。</x:v>
      </x:c>
      <x:c r="C217" s="17" t="n">
        <x:v>2</x:v>
      </x:c>
      <x:c r="D217" s="17" t="str">
        <x:v>数据口径</x:v>
      </x:c>
      <x:c r="E217" s="17" t="str">
        <x:v>8146.96</x:v>
      </x:c>
      <x:c r="F217" s="17" t="str">
        <x:v>8219.75</x:v>
      </x:c>
      <x:c r="G217" s="18" t="n">
        <x:v>72.79</x:v>
      </x:c>
      <x:c r="H217" s="18" t="n">
        <x:f>IFERROR(G217/1000,"")</x:f>
        <x:v>0.07279000000000001</x:v>
      </x:c>
      <x:c r="I217" s="19" t="n">
        <x:f>IFERROR(G217/J217,"")</x:f>
        <x:v>0.0006773531951640761</x:v>
      </x:c>
      <x:c r="J217" s="17" t="n">
        <x:v>107462.4</x:v>
      </x:c>
      <x:c r="K217" s="17" t="str"/>
      <x:c r="L217" s="17" t="str">
        <x:v>已定位个股股东视图，并确认了可用字段与时间口径。</x:v>
      </x:c>
      <x:c r="M217" s="17" t="str"/>
      <x:c r="N217" s="18" t="n">
        <x:v>0</x:v>
      </x:c>
      <x:c r="O217" s="17" t="str">
        <x:v>public_sse_client_estimate</x:v>
      </x:c>
    </x:row>
    <x:row r="218" ht="48" customHeight="1">
      <x:c r="A218" s="17" t="str">
        <x:v>BUS047</x:v>
      </x:c>
      <x:c r="B218" s="17" t="str">
        <x:v>筛选最新冻结股数最高的前20家公司。</x:v>
      </x:c>
      <x:c r="C218" s="17" t="n">
        <x:v>3</x:v>
      </x:c>
      <x:c r="D218" s="17" t="str">
        <x:v>数据查询 1/1</x:v>
      </x:c>
      <x:c r="E218" s="17" t="str">
        <x:v>16775.3</x:v>
      </x:c>
      <x:c r="F218" s="17" t="str">
        <x:v>59686.34</x:v>
      </x:c>
      <x:c r="G218" s="18" t="n">
        <x:v>42911.04</x:v>
      </x:c>
      <x:c r="H218" s="18" t="n">
        <x:f>IFERROR(G218/1000,"")</x:f>
        <x:v>42.91104</x:v>
      </x:c>
      <x:c r="I218" s="19" t="n">
        <x:f>IFERROR(G218/J218,"")</x:f>
        <x:v>0.39931213149901734</x:v>
      </x:c>
      <x:c r="J218" s="17" t="n">
        <x:v>107462.4</x:v>
      </x:c>
      <x:c r="K218" s="17" t="str"/>
      <x:c r="L218" s="17" t="str">
        <x:v>已完成：查询全市场累计冻结股数最高的前20家公司，取得 20 条记录。</x:v>
      </x:c>
      <x:c r="M218" s="17" t="str"/>
      <x:c r="N218" s="18" t="n">
        <x:v>8555.55</x:v>
      </x:c>
      <x:c r="O218" s="17" t="str">
        <x:v>public_sse_client_estimate</x:v>
      </x:c>
    </x:row>
    <x:row r="219" ht="48" customHeight="1">
      <x:c r="A219" s="17" t="str">
        <x:v>BUS047</x:v>
      </x:c>
      <x:c r="B219" s="17" t="str">
        <x:v>筛选最新冻结股数最高的前20家公司。</x:v>
      </x:c>
      <x:c r="C219" s="17" t="n">
        <x:v>4</x:v>
      </x:c>
      <x:c r="D219" s="17" t="str">
        <x:v>数据查询 1/1</x:v>
      </x:c>
      <x:c r="E219" s="17" t="str">
        <x:v>71877.78</x:v>
      </x:c>
      <x:c r="F219" s="17" t="str">
        <x:v>86852.38</x:v>
      </x:c>
      <x:c r="G219" s="18" t="n">
        <x:v>14974.6</x:v>
      </x:c>
      <x:c r="H219" s="18" t="n">
        <x:f>IFERROR(G219/1000,"")</x:f>
        <x:v>14.9746</x:v>
      </x:c>
      <x:c r="I219" s="19" t="n">
        <x:f>IFERROR(G219/J219,"")</x:f>
        <x:v>0.13934734381513908</x:v>
      </x:c>
      <x:c r="J219" s="17" t="n">
        <x:v>107462.4</x:v>
      </x:c>
      <x:c r="K219" s="17" t="str"/>
      <x:c r="L219" s="17" t="str">
        <x:v>已完成：查询全市场最新一期累计冻结股数最高的前20家公司，取得 20 条记录。</x:v>
      </x:c>
      <x:c r="M219" s="17" t="str"/>
      <x:c r="N219" s="18" t="n">
        <x:v>12191.44</x:v>
      </x:c>
      <x:c r="O219" s="17" t="str">
        <x:v>public_sse_client_estimate</x:v>
      </x:c>
    </x:row>
    <x:row r="220" ht="48" customHeight="1">
      <x:c r="A220" s="17" t="str">
        <x:v>BUS047</x:v>
      </x:c>
      <x:c r="B220" s="17" t="str">
        <x:v>筛选最新冻结股数最高的前20家公司。</x:v>
      </x:c>
      <x:c r="C220" s="17" t="n">
        <x:v>5</x:v>
      </x:c>
      <x:c r="D220" s="17" t="str">
        <x:v>回答整理</x:v>
      </x:c>
      <x:c r="E220" s="17" t="str">
        <x:v>86852.38</x:v>
      </x:c>
      <x:c r="F220" s="17" t="str">
        <x:v>104553.19</x:v>
      </x:c>
      <x:c r="G220" s="18" t="n">
        <x:v>17700.81</x:v>
      </x:c>
      <x:c r="H220" s="18" t="n">
        <x:f>IFERROR(G220/1000,"")</x:f>
        <x:v>17.70081</x:v>
      </x:c>
      <x:c r="I220" s="19" t="n">
        <x:f>IFERROR(G220/J220,"")</x:f>
        <x:v>0.16471631007682688</x:v>
      </x:c>
      <x:c r="J220" s="17" t="n">
        <x:v>107462.4</x:v>
      </x:c>
      <x:c r="K220" s="17" t="str"/>
      <x:c r="L220" s="17" t="str">
        <x:v>证据与回答已整理完成。</x:v>
      </x:c>
      <x:c r="M220" s="17" t="str"/>
      <x:c r="N220" s="18" t="n">
        <x:v>0</x:v>
      </x:c>
      <x:c r="O220" s="17" t="str">
        <x:v>public_sse_client_estimate</x:v>
      </x:c>
    </x:row>
    <x:row r="221" ht="48" customHeight="1">
      <x:c r="A221" s="17" t="str">
        <x:v>BUS048</x:v>
      </x:c>
      <x:c r="B221" s="17" t="str">
        <x:v>查询质押比例超过30%的公司和质押股东。</x:v>
      </x:c>
      <x:c r="C221" s="17" t="n">
        <x:v>1</x:v>
      </x:c>
      <x:c r="D221" s="17" t="str">
        <x:v>问题理解</x:v>
      </x:c>
      <x:c r="E221" s="17" t="str">
        <x:v>5815.81</x:v>
      </x:c>
      <x:c r="F221" s="17" t="str">
        <x:v>10319.45</x:v>
      </x:c>
      <x:c r="G221" s="18" t="n">
        <x:v>4503.64</x:v>
      </x:c>
      <x:c r="H221" s="18" t="n">
        <x:f>IFERROR(G221/1000,"")</x:f>
        <x:v>4.503640000000001</x:v>
      </x:c>
      <x:c r="I221" s="19" t="n">
        <x:f>IFERROR(G221/J221,"")</x:f>
        <x:v>0.129815767362157</x:v>
      </x:c>
      <x:c r="J221" s="17" t="n">
        <x:v>34692.55</x:v>
      </x:c>
      <x:c r="K221" s="17" t="str"/>
      <x:c r="L221" s="17" t="str">
        <x:v>已明确本题的对象与口径，开始获取所需证据。</x:v>
      </x:c>
      <x:c r="M221" s="17" t="str"/>
      <x:c r="N221" s="18" t="n">
        <x:v>5815.81</x:v>
      </x:c>
      <x:c r="O221" s="17" t="str">
        <x:v>public_sse_client_estimate</x:v>
      </x:c>
    </x:row>
    <x:row r="222" ht="48" customHeight="1">
      <x:c r="A222" s="17" t="str">
        <x:v>BUS048</x:v>
      </x:c>
      <x:c r="B222" s="17" t="str">
        <x:v>查询质押比例超过30%的公司和质押股东。</x:v>
      </x:c>
      <x:c r="C222" s="17" t="n">
        <x:v>2</x:v>
      </x:c>
      <x:c r="D222" s="17" t="str">
        <x:v>数据口径</x:v>
      </x:c>
      <x:c r="E222" s="17" t="str">
        <x:v>10319.45</x:v>
      </x:c>
      <x:c r="F222" s="17" t="str">
        <x:v>10453.84</x:v>
      </x:c>
      <x:c r="G222" s="18" t="n">
        <x:v>134.39</x:v>
      </x:c>
      <x:c r="H222" s="18" t="n">
        <x:f>IFERROR(G222/1000,"")</x:f>
        <x:v>0.13438999999999998</x:v>
      </x:c>
      <x:c r="I222" s="19" t="n">
        <x:f>IFERROR(G222/J222,"")</x:f>
        <x:v>0.0038737423452585634</x:v>
      </x:c>
      <x:c r="J222" s="17" t="n">
        <x:v>34692.55</x:v>
      </x:c>
      <x:c r="K222" s="17" t="str"/>
      <x:c r="L222" s="17" t="str">
        <x:v>已定位个股股权质押视图，并确认了可用字段与时间口径。</x:v>
      </x:c>
      <x:c r="M222" s="17" t="str"/>
      <x:c r="N222" s="18" t="n">
        <x:v>0</x:v>
      </x:c>
      <x:c r="O222" s="17" t="str">
        <x:v>public_sse_client_estimate</x:v>
      </x:c>
    </x:row>
    <x:row r="223" ht="48" customHeight="1">
      <x:c r="A223" s="17" t="str">
        <x:v>BUS048</x:v>
      </x:c>
      <x:c r="B223" s="17" t="str">
        <x:v>查询质押比例超过30%的公司和质押股东。</x:v>
      </x:c>
      <x:c r="C223" s="17" t="n">
        <x:v>3</x:v>
      </x:c>
      <x:c r="D223" s="17" t="str">
        <x:v>数据查询 1/1</x:v>
      </x:c>
      <x:c r="E223" s="17" t="str">
        <x:v>16419.21</x:v>
      </x:c>
      <x:c r="F223" s="17" t="str">
        <x:v>18101.3</x:v>
      </x:c>
      <x:c r="G223" s="18" t="n">
        <x:v>1682.09</x:v>
      </x:c>
      <x:c r="H223" s="18" t="n">
        <x:f>IFERROR(G223/1000,"")</x:f>
        <x:v>1.6820899999999999</x:v>
      </x:c>
      <x:c r="I223" s="19" t="n">
        <x:f>IFERROR(G223/J223,"")</x:f>
        <x:v>0.04848562587644897</x:v>
      </x:c>
      <x:c r="J223" s="17" t="n">
        <x:v>34692.55</x:v>
      </x:c>
      <x:c r="K223" s="17" t="str"/>
      <x:c r="L223" s="17" t="str">
        <x:v>已完成：查询质押比例超过30%的公司及其质押比例，当前条件下没有匹配记录。</x:v>
      </x:c>
      <x:c r="M223" s="17" t="str"/>
      <x:c r="N223" s="18" t="n">
        <x:v>5965.37</x:v>
      </x:c>
      <x:c r="O223" s="17" t="str">
        <x:v>public_sse_client_estimate</x:v>
      </x:c>
    </x:row>
    <x:row r="224" ht="48" customHeight="1">
      <x:c r="A224" s="17" t="str">
        <x:v>BUS048</x:v>
      </x:c>
      <x:c r="B224" s="17" t="str">
        <x:v>查询质押比例超过30%的公司和质押股东。</x:v>
      </x:c>
      <x:c r="C224" s="17" t="n">
        <x:v>4</x:v>
      </x:c>
      <x:c r="D224" s="17" t="str">
        <x:v>数据查询 1/1</x:v>
      </x:c>
      <x:c r="E224" s="17" t="str">
        <x:v>25012.78</x:v>
      </x:c>
      <x:c r="F224" s="17" t="str">
        <x:v>27756.34</x:v>
      </x:c>
      <x:c r="G224" s="18" t="n">
        <x:v>2743.56</x:v>
      </x:c>
      <x:c r="H224" s="18" t="n">
        <x:f>IFERROR(G224/1000,"")</x:f>
        <x:v>2.74356</x:v>
      </x:c>
      <x:c r="I224" s="19" t="n">
        <x:f>IFERROR(G224/J224,"")</x:f>
        <x:v>0.0790821084065599</x:v>
      </x:c>
      <x:c r="J224" s="17" t="n">
        <x:v>34692.55</x:v>
      </x:c>
      <x:c r="K224" s="17" t="str"/>
      <x:c r="L224" s="17" t="str">
        <x:v>已完成：尝试通过质押/冻结汇总查询质押比例超过30%的公司，当前条件下没有匹配记录。</x:v>
      </x:c>
      <x:c r="M224" s="17" t="str"/>
      <x:c r="N224" s="18" t="n">
        <x:v>6911.48</x:v>
      </x:c>
      <x:c r="O224" s="17" t="str">
        <x:v>public_sse_client_estimate</x:v>
      </x:c>
    </x:row>
    <x:row r="225" ht="48" customHeight="1">
      <x:c r="A225" s="17" t="str">
        <x:v>BUS048</x:v>
      </x:c>
      <x:c r="B225" s="17" t="str">
        <x:v>查询质押比例超过30%的公司和质押股东。</x:v>
      </x:c>
      <x:c r="C225" s="17" t="n">
        <x:v>5</x:v>
      </x:c>
      <x:c r="D225" s="17" t="str">
        <x:v>回答整理</x:v>
      </x:c>
      <x:c r="E225" s="17" t="str">
        <x:v>27756.34</x:v>
      </x:c>
      <x:c r="F225" s="17" t="str">
        <x:v>31813.06</x:v>
      </x:c>
      <x:c r="G225" s="18" t="n">
        <x:v>4056.72</x:v>
      </x:c>
      <x:c r="H225" s="18" t="n">
        <x:f>IFERROR(G225/1000,"")</x:f>
        <x:v>4.056719999999999</x:v>
      </x:c>
      <x:c r="I225" s="19" t="n">
        <x:f>IFERROR(G225/J225,"")</x:f>
        <x:v>0.11693346265985059</x:v>
      </x:c>
      <x:c r="J225" s="17" t="n">
        <x:v>34692.55</x:v>
      </x:c>
      <x:c r="K225" s="17" t="str"/>
      <x:c r="L225" s="17" t="str">
        <x:v>证据与回答已整理完成。</x:v>
      </x:c>
      <x:c r="M225" s="17" t="str"/>
      <x:c r="N225" s="18" t="n">
        <x:v>0</x:v>
      </x:c>
      <x:c r="O225" s="17" t="str">
        <x:v>public_sse_client_estimate</x:v>
      </x:c>
    </x:row>
    <x:row r="226" ht="48" customHeight="1">
      <x:c r="A226" s="17" t="str">
        <x:v>BUS049</x:v>
      </x:c>
      <x:c r="B226" s="17" t="str">
        <x:v>查询贵州茅台最近一次现金分红方案。</x:v>
      </x:c>
      <x:c r="C226" s="17" t="n">
        <x:v>1</x:v>
      </x:c>
      <x:c r="D226" s="17" t="str">
        <x:v>问题理解</x:v>
      </x:c>
      <x:c r="E226" s="17" t="str">
        <x:v>4855.52</x:v>
      </x:c>
      <x:c r="F226" s="17" t="str">
        <x:v>7452.99</x:v>
      </x:c>
      <x:c r="G226" s="18" t="n">
        <x:v>2597.47</x:v>
      </x:c>
      <x:c r="H226" s="18" t="n">
        <x:f>IFERROR(G226/1000,"")</x:f>
        <x:v>2.59747</x:v>
      </x:c>
      <x:c r="I226" s="19" t="n">
        <x:f>IFERROR(G226/J226,"")</x:f>
        <x:v>0.11857464103081469</x:v>
      </x:c>
      <x:c r="J226" s="17" t="n">
        <x:v>21905.78</x:v>
      </x:c>
      <x:c r="K226" s="17" t="str"/>
      <x:c r="L226" s="17" t="str">
        <x:v>已明确本题的对象与口径，开始获取所需证据。</x:v>
      </x:c>
      <x:c r="M226" s="17" t="str"/>
      <x:c r="N226" s="18" t="n">
        <x:v>4855.52</x:v>
      </x:c>
      <x:c r="O226" s="17" t="str">
        <x:v>public_sse_client_estimate</x:v>
      </x:c>
    </x:row>
    <x:row r="227" ht="48" customHeight="1">
      <x:c r="A227" s="17" t="str">
        <x:v>BUS049</x:v>
      </x:c>
      <x:c r="B227" s="17" t="str">
        <x:v>查询贵州茅台最近一次现金分红方案。</x:v>
      </x:c>
      <x:c r="C227" s="17" t="n">
        <x:v>2</x:v>
      </x:c>
      <x:c r="D227" s="17" t="str">
        <x:v>数据口径</x:v>
      </x:c>
      <x:c r="E227" s="17" t="str">
        <x:v>7452.99</x:v>
      </x:c>
      <x:c r="F227" s="17" t="str">
        <x:v>7469.83</x:v>
      </x:c>
      <x:c r="G227" s="18" t="n">
        <x:v>16.84</x:v>
      </x:c>
      <x:c r="H227" s="18" t="n">
        <x:f>IFERROR(G227/1000,"")</x:f>
        <x:v>0.01684</x:v>
      </x:c>
      <x:c r="I227" s="19" t="n">
        <x:f>IFERROR(G227/J227,"")</x:f>
        <x:v>0.0007687468786776823</x:v>
      </x:c>
      <x:c r="J227" s="17" t="n">
        <x:v>21905.78</x:v>
      </x:c>
      <x:c r="K227" s="17" t="str"/>
      <x:c r="L227" s="17" t="str">
        <x:v>已定位个股股本事件视图，并确认了可用字段与时间口径。</x:v>
      </x:c>
      <x:c r="M227" s="17" t="str"/>
      <x:c r="N227" s="18" t="n">
        <x:v>0</x:v>
      </x:c>
      <x:c r="O227" s="17" t="str">
        <x:v>public_sse_client_estimate</x:v>
      </x:c>
    </x:row>
    <x:row r="228" ht="48" customHeight="1">
      <x:c r="A228" s="17" t="str">
        <x:v>BUS049</x:v>
      </x:c>
      <x:c r="B228" s="17" t="str">
        <x:v>查询贵州茅台最近一次现金分红方案。</x:v>
      </x:c>
      <x:c r="C228" s="17" t="n">
        <x:v>3</x:v>
      </x:c>
      <x:c r="D228" s="17" t="str">
        <x:v>数据查询 1/1</x:v>
      </x:c>
      <x:c r="E228" s="17" t="str">
        <x:v>11098.73</x:v>
      </x:c>
      <x:c r="F228" s="17" t="str">
        <x:v>14538.08</x:v>
      </x:c>
      <x:c r="G228" s="18" t="n">
        <x:v>3439.35</x:v>
      </x:c>
      <x:c r="H228" s="18" t="n">
        <x:f>IFERROR(G228/1000,"")</x:f>
        <x:v>3.43935</x:v>
      </x:c>
      <x:c r="I228" s="19" t="n">
        <x:f>IFERROR(G228/J228,"")</x:f>
        <x:v>0.15700650695843746</x:v>
      </x:c>
      <x:c r="J228" s="17" t="n">
        <x:v>21905.78</x:v>
      </x:c>
      <x:c r="K228" s="17" t="str"/>
      <x:c r="L228" s="17" t="str">
        <x:v>已完成：查询贵州茅台最近一次现金分红方案，取得 1 条记录。</x:v>
      </x:c>
      <x:c r="M228" s="17" t="str"/>
      <x:c r="N228" s="18" t="n">
        <x:v>3628.9</x:v>
      </x:c>
      <x:c r="O228" s="17" t="str">
        <x:v>public_sse_client_estimate</x:v>
      </x:c>
    </x:row>
    <x:row r="229" ht="48" customHeight="1">
      <x:c r="A229" s="17" t="str">
        <x:v>BUS049</x:v>
      </x:c>
      <x:c r="B229" s="17" t="str">
        <x:v>查询贵州茅台最近一次现金分红方案。</x:v>
      </x:c>
      <x:c r="C229" s="17" t="n">
        <x:v>4</x:v>
      </x:c>
      <x:c r="D229" s="17" t="str">
        <x:v>回答整理</x:v>
      </x:c>
      <x:c r="E229" s="17" t="str">
        <x:v>14538.08</x:v>
      </x:c>
      <x:c r="F229" s="17" t="str">
        <x:v>19496.72</x:v>
      </x:c>
      <x:c r="G229" s="18" t="n">
        <x:v>4958.64</x:v>
      </x:c>
      <x:c r="H229" s="18" t="n">
        <x:f>IFERROR(G229/1000,"")</x:f>
        <x:v>4.95864</x:v>
      </x:c>
      <x:c r="I229" s="19" t="n">
        <x:f>IFERROR(G229/J229,"")</x:f>
        <x:v>0.22636217473196574</x:v>
      </x:c>
      <x:c r="J229" s="17" t="n">
        <x:v>21905.78</x:v>
      </x:c>
      <x:c r="K229" s="17" t="str"/>
      <x:c r="L229" s="17" t="str">
        <x:v>证据与回答已整理完成。</x:v>
      </x:c>
      <x:c r="M229" s="17" t="str"/>
      <x:c r="N229" s="18" t="n">
        <x:v>0</x:v>
      </x:c>
      <x:c r="O229" s="17" t="str">
        <x:v>public_sse_client_estimate</x:v>
      </x:c>
    </x:row>
    <x:row r="230" ht="48" customHeight="1">
      <x:c r="A230" s="17" t="str">
        <x:v>BUS050</x:v>
      </x:c>
      <x:c r="B230" s="17" t="str">
        <x:v>查询近期除权除息的股票、除权日和每股现金分红。</x:v>
      </x:c>
      <x:c r="C230" s="17" t="n">
        <x:v>1</x:v>
      </x:c>
      <x:c r="D230" s="17" t="str">
        <x:v>问题理解</x:v>
      </x:c>
      <x:c r="E230" s="17" t="str">
        <x:v>5441.11</x:v>
      </x:c>
      <x:c r="F230" s="17" t="str">
        <x:v>8371.76</x:v>
      </x:c>
      <x:c r="G230" s="18" t="n">
        <x:v>2930.65</x:v>
      </x:c>
      <x:c r="H230" s="18" t="n">
        <x:f>IFERROR(G230/1000,"")</x:f>
        <x:v>2.93065</x:v>
      </x:c>
      <x:c r="I230" s="19" t="n">
        <x:f>IFERROR(G230/J230,"")</x:f>
        <x:v>0.10477623615687351</x:v>
      </x:c>
      <x:c r="J230" s="17" t="n">
        <x:v>27970.56</x:v>
      </x:c>
      <x:c r="K230" s="17" t="str"/>
      <x:c r="L230" s="17" t="str">
        <x:v>已明确本题的对象与口径，开始获取所需证据。</x:v>
      </x:c>
      <x:c r="M230" s="17" t="str"/>
      <x:c r="N230" s="18" t="n">
        <x:v>5441.11</x:v>
      </x:c>
      <x:c r="O230" s="17" t="str">
        <x:v>public_sse_client_estimate</x:v>
      </x:c>
    </x:row>
    <x:row r="231" ht="48" customHeight="1">
      <x:c r="A231" s="17" t="str">
        <x:v>BUS050</x:v>
      </x:c>
      <x:c r="B231" s="17" t="str">
        <x:v>查询近期除权除息的股票、除权日和每股现金分红。</x:v>
      </x:c>
      <x:c r="C231" s="17" t="n">
        <x:v>2</x:v>
      </x:c>
      <x:c r="D231" s="17" t="str">
        <x:v>数据口径</x:v>
      </x:c>
      <x:c r="E231" s="17" t="str">
        <x:v>8371.76</x:v>
      </x:c>
      <x:c r="F231" s="17" t="str">
        <x:v>8384.82</x:v>
      </x:c>
      <x:c r="G231" s="18" t="n">
        <x:v>13.06</x:v>
      </x:c>
      <x:c r="H231" s="18" t="n">
        <x:f>IFERROR(G231/1000,"")</x:f>
        <x:v>0.01306</x:v>
      </x:c>
      <x:c r="I231" s="19" t="n">
        <x:f>IFERROR(G231/J231,"")</x:f>
        <x:v>0.00046691950393556655</x:v>
      </x:c>
      <x:c r="J231" s="17" t="n">
        <x:v>27970.56</x:v>
      </x:c>
      <x:c r="K231" s="17" t="str"/>
      <x:c r="L231" s="17" t="str">
        <x:v>已定位个股股本事件视图，并确认了可用字段与时间口径。</x:v>
      </x:c>
      <x:c r="M231" s="17" t="str"/>
      <x:c r="N231" s="18" t="n">
        <x:v>0</x:v>
      </x:c>
      <x:c r="O231" s="17" t="str">
        <x:v>public_sse_client_estimate</x:v>
      </x:c>
    </x:row>
    <x:row r="232" ht="48" customHeight="1">
      <x:c r="A232" s="17" t="str">
        <x:v>BUS050</x:v>
      </x:c>
      <x:c r="B232" s="17" t="str">
        <x:v>查询近期除权除息的股票、除权日和每股现金分红。</x:v>
      </x:c>
      <x:c r="C232" s="17" t="n">
        <x:v>3</x:v>
      </x:c>
      <x:c r="D232" s="17" t="str">
        <x:v>数据查询 1/1</x:v>
      </x:c>
      <x:c r="E232" s="17" t="str">
        <x:v>14303.21</x:v>
      </x:c>
      <x:c r="F232" s="17" t="str">
        <x:v>15515.61</x:v>
      </x:c>
      <x:c r="G232" s="18" t="n">
        <x:v>1212.4</x:v>
      </x:c>
      <x:c r="H232" s="18" t="n">
        <x:f>IFERROR(G232/1000,"")</x:f>
        <x:v>1.2124000000000001</x:v>
      </x:c>
      <x:c r="I232" s="19" t="n">
        <x:f>IFERROR(G232/J232,"")</x:f>
        <x:v>0.043345574775764235</x:v>
      </x:c>
      <x:c r="J232" s="17" t="n">
        <x:v>27970.56</x:v>
      </x:c>
      <x:c r="K232" s="17" t="str"/>
      <x:c r="L232" s="17" t="str">
        <x:v>已完成：查询近期除权除息的股票，包括除权日和每股现金分红，取得 20 条记录。</x:v>
      </x:c>
      <x:c r="M232" s="17" t="str"/>
      <x:c r="N232" s="18" t="n">
        <x:v>5918.39</x:v>
      </x:c>
      <x:c r="O232" s="17" t="str">
        <x:v>public_sse_client_estimate</x:v>
      </x:c>
    </x:row>
    <x:row r="233" ht="48" customHeight="1">
      <x:c r="A233" s="17" t="str">
        <x:v>BUS050</x:v>
      </x:c>
      <x:c r="B233" s="17" t="str">
        <x:v>查询近期除权除息的股票、除权日和每股现金分红。</x:v>
      </x:c>
      <x:c r="C233" s="17" t="n">
        <x:v>4</x:v>
      </x:c>
      <x:c r="D233" s="17" t="str">
        <x:v>回答整理</x:v>
      </x:c>
      <x:c r="E233" s="17" t="str">
        <x:v>15515.61</x:v>
      </x:c>
      <x:c r="F233" s="17" t="str">
        <x:v>25297.66</x:v>
      </x:c>
      <x:c r="G233" s="18" t="n">
        <x:v>9782.05</x:v>
      </x:c>
      <x:c r="H233" s="18" t="n">
        <x:f>IFERROR(G233/1000,"")</x:f>
        <x:v>9.78205</x:v>
      </x:c>
      <x:c r="I233" s="19" t="n">
        <x:f>IFERROR(G233/J233,"")</x:f>
        <x:v>0.3497266411541277</x:v>
      </x:c>
      <x:c r="J233" s="17" t="n">
        <x:v>27970.56</x:v>
      </x:c>
      <x:c r="K233" s="17" t="str"/>
      <x:c r="L233" s="17" t="str">
        <x:v>证据与回答已整理完成。</x:v>
      </x:c>
      <x:c r="M233" s="17" t="str"/>
      <x:c r="N233" s="18" t="n">
        <x:v>0</x:v>
      </x:c>
      <x:c r="O233" s="17" t="str">
        <x:v>public_sse_client_estimate</x:v>
      </x:c>
    </x:row>
    <x:row r="234" ht="48" customHeight="1">
      <x:c r="A234" s="17" t="str">
        <x:v>BUS051</x:v>
      </x:c>
      <x:c r="B234" s="17" t="str">
        <x:v>筛选现金分红总额最高的前20家公司。</x:v>
      </x:c>
      <x:c r="C234" s="17" t="n">
        <x:v>1</x:v>
      </x:c>
      <x:c r="D234" s="17" t="str">
        <x:v>问题理解</x:v>
      </x:c>
      <x:c r="E234" s="17" t="str">
        <x:v>5504.8</x:v>
      </x:c>
      <x:c r="F234" s="17" t="str">
        <x:v>9850.81</x:v>
      </x:c>
      <x:c r="G234" s="18" t="n">
        <x:v>4346.01</x:v>
      </x:c>
      <x:c r="H234" s="18" t="n">
        <x:f>IFERROR(G234/1000,"")</x:f>
        <x:v>4.346010000000001</x:v>
      </x:c>
      <x:c r="I234" s="19" t="n">
        <x:f>IFERROR(G234/J234,"")</x:f>
        <x:v>0.07595873209682497</x:v>
      </x:c>
      <x:c r="J234" s="17" t="n">
        <x:v>57215.41</x:v>
      </x:c>
      <x:c r="K234" s="17" t="str"/>
      <x:c r="L234" s="17" t="str">
        <x:v>已明确本题的对象与口径，开始获取所需证据。</x:v>
      </x:c>
      <x:c r="M234" s="17" t="str"/>
      <x:c r="N234" s="18" t="n">
        <x:v>5504.8</x:v>
      </x:c>
      <x:c r="O234" s="17" t="str">
        <x:v>public_sse_client_estimate</x:v>
      </x:c>
    </x:row>
    <x:row r="235" ht="48" customHeight="1">
      <x:c r="A235" s="17" t="str">
        <x:v>BUS051</x:v>
      </x:c>
      <x:c r="B235" s="17" t="str">
        <x:v>筛选现金分红总额最高的前20家公司。</x:v>
      </x:c>
      <x:c r="C235" s="17" t="n">
        <x:v>2</x:v>
      </x:c>
      <x:c r="D235" s="17" t="str">
        <x:v>专业分析方法</x:v>
      </x:c>
      <x:c r="E235" s="17" t="str">
        <x:v>9853.49</x:v>
      </x:c>
      <x:c r="F235" s="17" t="str">
        <x:v>9868.56</x:v>
      </x:c>
      <x:c r="G235" s="18" t="n">
        <x:v>15.07</x:v>
      </x:c>
      <x:c r="H235" s="18" t="n">
        <x:f>IFERROR(G235/1000,"")</x:f>
        <x:v>0.01507</x:v>
      </x:c>
      <x:c r="I235" s="19" t="n">
        <x:f>IFERROR(G235/J235,"")</x:f>
        <x:v>0.00026339057956588965</x:v>
      </x:c>
      <x:c r="J235" s="17" t="n">
        <x:v>57215.41</x:v>
      </x:c>
      <x:c r="K235" s="17" t="str"/>
      <x:c r="L235" s="17" t="str">
        <x:v>专业分析方法已就绪。</x:v>
      </x:c>
      <x:c r="M235" s="17" t="str"/>
      <x:c r="N235" s="18" t="n">
        <x:v>2.68</x:v>
      </x:c>
      <x:c r="O235" s="17" t="str">
        <x:v>public_sse_client_estimate</x:v>
      </x:c>
    </x:row>
    <x:row r="236" ht="48" customHeight="1">
      <x:c r="A236" s="17" t="str">
        <x:v>BUS051</x:v>
      </x:c>
      <x:c r="B236" s="17" t="str">
        <x:v>筛选现金分红总额最高的前20家公司。</x:v>
      </x:c>
      <x:c r="C236" s="17" t="n">
        <x:v>3</x:v>
      </x:c>
      <x:c r="D236" s="17" t="str">
        <x:v>数据口径</x:v>
      </x:c>
      <x:c r="E236" s="17" t="str">
        <x:v>9868.56</x:v>
      </x:c>
      <x:c r="F236" s="17" t="str">
        <x:v>12502.41</x:v>
      </x:c>
      <x:c r="G236" s="18" t="n">
        <x:v>2633.85</x:v>
      </x:c>
      <x:c r="H236" s="18" t="n">
        <x:f>IFERROR(G236/1000,"")</x:f>
        <x:v>2.63385</x:v>
      </x:c>
      <x:c r="I236" s="19" t="n">
        <x:f>IFERROR(G236/J236,"")</x:f>
        <x:v>0.04603392687389638</x:v>
      </x:c>
      <x:c r="J236" s="17" t="n">
        <x:v>57215.41</x:v>
      </x:c>
      <x:c r="K236" s="17" t="str"/>
      <x:c r="L236" s="17" t="str">
        <x:v>已定位个股股本事件视图，并确认了可用字段与时间口径。</x:v>
      </x:c>
      <x:c r="M236" s="17" t="str"/>
      <x:c r="N236" s="18" t="n">
        <x:v>0</x:v>
      </x:c>
      <x:c r="O236" s="17" t="str">
        <x:v>public_sse_client_estimate</x:v>
      </x:c>
    </x:row>
    <x:row r="237" ht="48" customHeight="1">
      <x:c r="A237" s="17" t="str">
        <x:v>BUS051</x:v>
      </x:c>
      <x:c r="B237" s="17" t="str">
        <x:v>筛选现金分红总额最高的前20家公司。</x:v>
      </x:c>
      <x:c r="C237" s="17" t="n">
        <x:v>4</x:v>
      </x:c>
      <x:c r="D237" s="17" t="str">
        <x:v>数据查询 1/1</x:v>
      </x:c>
      <x:c r="E237" s="17" t="str">
        <x:v>19893.31</x:v>
      </x:c>
      <x:c r="F237" s="17" t="str">
        <x:v>21375.58</x:v>
      </x:c>
      <x:c r="G237" s="18" t="n">
        <x:v>1482.27</x:v>
      </x:c>
      <x:c r="H237" s="18" t="n">
        <x:f>IFERROR(G237/1000,"")</x:f>
        <x:v>1.48227</x:v>
      </x:c>
      <x:c r="I237" s="19" t="n">
        <x:f>IFERROR(G237/J237,"")</x:f>
        <x:v>0.02590683174340619</x:v>
      </x:c>
      <x:c r="J237" s="17" t="n">
        <x:v>57215.41</x:v>
      </x:c>
      <x:c r="K237" s="17" t="str"/>
      <x:c r="L237" s="17" t="str">
        <x:v>已完成：查询2025年现金分红总额最高的前20家公司，取得 20 条记录。</x:v>
      </x:c>
      <x:c r="M237" s="17" t="str"/>
      <x:c r="N237" s="18" t="n">
        <x:v>7390.9</x:v>
      </x:c>
      <x:c r="O237" s="17" t="str">
        <x:v>public_sse_client_estimate</x:v>
      </x:c>
    </x:row>
    <x:row r="238" ht="48" customHeight="1">
      <x:c r="A238" s="17" t="str">
        <x:v>BUS051</x:v>
      </x:c>
      <x:c r="B238" s="17" t="str">
        <x:v>筛选现金分红总额最高的前20家公司。</x:v>
      </x:c>
      <x:c r="C238" s="17" t="n">
        <x:v>5</x:v>
      </x:c>
      <x:c r="D238" s="17" t="str">
        <x:v>数据口径</x:v>
      </x:c>
      <x:c r="E238" s="17" t="str">
        <x:v>21375.58</x:v>
      </x:c>
      <x:c r="F238" s="17" t="str">
        <x:v>34756.61</x:v>
      </x:c>
      <x:c r="G238" s="18" t="n">
        <x:v>13381.03</x:v>
      </x:c>
      <x:c r="H238" s="18" t="n">
        <x:f>IFERROR(G238/1000,"")</x:f>
        <x:v>13.38103</x:v>
      </x:c>
      <x:c r="I238" s="19" t="n">
        <x:f>IFERROR(G238/J238,"")</x:f>
        <x:v>0.2338710847304948</x:v>
      </x:c>
      <x:c r="J238" s="17" t="n">
        <x:v>57215.41</x:v>
      </x:c>
      <x:c r="K238" s="17" t="str"/>
      <x:c r="L238" s="17" t="str">
        <x:v>已定位个股财务视图，并确认了可用字段与时间口径。</x:v>
      </x:c>
      <x:c r="M238" s="17" t="str"/>
      <x:c r="N238" s="18" t="n">
        <x:v>0</x:v>
      </x:c>
      <x:c r="O238" s="17" t="str">
        <x:v>public_sse_client_estimate</x:v>
      </x:c>
    </x:row>
    <x:row r="239" ht="48" customHeight="1">
      <x:c r="A239" s="17" t="str">
        <x:v>BUS051</x:v>
      </x:c>
      <x:c r="B239" s="17" t="str">
        <x:v>筛选现金分红总额最高的前20家公司。</x:v>
      </x:c>
      <x:c r="C239" s="17" t="n">
        <x:v>6</x:v>
      </x:c>
      <x:c r="D239" s="17" t="str">
        <x:v>数据查询 1/1</x:v>
      </x:c>
      <x:c r="E239" s="17" t="str">
        <x:v>40858.68</x:v>
      </x:c>
      <x:c r="F239" s="17" t="str">
        <x:v>42820.64</x:v>
      </x:c>
      <x:c r="G239" s="18" t="n">
        <x:v>1961.96</x:v>
      </x:c>
      <x:c r="H239" s="18" t="n">
        <x:f>IFERROR(G239/1000,"")</x:f>
        <x:v>1.96196</x:v>
      </x:c>
      <x:c r="I239" s="19" t="n">
        <x:f>IFERROR(G239/J239,"")</x:f>
        <x:v>0.034290761876913926</x:v>
      </x:c>
      <x:c r="J239" s="17" t="n">
        <x:v>57215.41</x:v>
      </x:c>
      <x:c r="K239" s="17" t="str"/>
      <x:c r="L239" s="17" t="str">
        <x:v>已完成：查询2025年年报（end_date=2025-12-31）现金分红总额最高的前20家公司，取得 20 条记录。</x:v>
      </x:c>
      <x:c r="M239" s="17" t="str"/>
      <x:c r="N239" s="18" t="n">
        <x:v>6102.07</x:v>
      </x:c>
      <x:c r="O239" s="17" t="str">
        <x:v>public_sse_client_estimate</x:v>
      </x:c>
    </x:row>
    <x:row r="240" ht="48" customHeight="1">
      <x:c r="A240" s="17" t="str">
        <x:v>BUS051</x:v>
      </x:c>
      <x:c r="B240" s="17" t="str">
        <x:v>筛选现金分红总额最高的前20家公司。</x:v>
      </x:c>
      <x:c r="C240" s="17" t="n">
        <x:v>7</x:v>
      </x:c>
      <x:c r="D240" s="17" t="str">
        <x:v>回答整理</x:v>
      </x:c>
      <x:c r="E240" s="17" t="str">
        <x:v>42820.64</x:v>
      </x:c>
      <x:c r="F240" s="17" t="str">
        <x:v>54711.17</x:v>
      </x:c>
      <x:c r="G240" s="18" t="n">
        <x:v>11890.53</x:v>
      </x:c>
      <x:c r="H240" s="18" t="n">
        <x:f>IFERROR(G240/1000,"")</x:f>
        <x:v>11.89053</x:v>
      </x:c>
      <x:c r="I240" s="19" t="n">
        <x:f>IFERROR(G240/J240,"")</x:f>
        <x:v>0.20782041062014586</x:v>
      </x:c>
      <x:c r="J240" s="17" t="n">
        <x:v>57215.41</x:v>
      </x:c>
      <x:c r="K240" s="17" t="str"/>
      <x:c r="L240" s="17" t="str">
        <x:v>证据与回答已整理完成。</x:v>
      </x:c>
      <x:c r="M240" s="17" t="str"/>
      <x:c r="N240" s="18" t="n">
        <x:v>0</x:v>
      </x:c>
      <x:c r="O240" s="17" t="str">
        <x:v>public_sse_client_estimate</x:v>
      </x:c>
    </x:row>
    <x:row r="241" ht="48" customHeight="1">
      <x:c r="A241" s="17" t="str">
        <x:v>BUS052</x:v>
      </x:c>
      <x:c r="B241" s="17" t="str">
        <x:v>查询未来30天有限售股解禁的股票和解禁数量。</x:v>
      </x:c>
      <x:c r="C241" s="17" t="n">
        <x:v>1</x:v>
      </x:c>
      <x:c r="D241" s="17" t="str">
        <x:v>问题理解</x:v>
      </x:c>
      <x:c r="E241" s="17" t="str">
        <x:v>5767.26</x:v>
      </x:c>
      <x:c r="F241" s="17" t="str">
        <x:v>9819.08</x:v>
      </x:c>
      <x:c r="G241" s="18" t="n">
        <x:v>4051.82</x:v>
      </x:c>
      <x:c r="H241" s="18" t="n">
        <x:f>IFERROR(G241/1000,"")</x:f>
        <x:v>4.05182</x:v>
      </x:c>
      <x:c r="I241" s="19" t="n">
        <x:f>IFERROR(G241/J241,"")</x:f>
        <x:v>0.10162139982925242</x:v>
      </x:c>
      <x:c r="J241" s="17" t="n">
        <x:v>39871.72</x:v>
      </x:c>
      <x:c r="K241" s="17" t="str"/>
      <x:c r="L241" s="17" t="str">
        <x:v>已明确本题的对象与口径，开始获取所需证据。</x:v>
      </x:c>
      <x:c r="M241" s="17" t="str"/>
      <x:c r="N241" s="18" t="n">
        <x:v>5767.26</x:v>
      </x:c>
      <x:c r="O241" s="17" t="str">
        <x:v>public_sse_client_estimate</x:v>
      </x:c>
    </x:row>
    <x:row r="242" ht="48" customHeight="1">
      <x:c r="A242" s="17" t="str">
        <x:v>BUS052</x:v>
      </x:c>
      <x:c r="B242" s="17" t="str">
        <x:v>查询未来30天有限售股解禁的股票和解禁数量。</x:v>
      </x:c>
      <x:c r="C242" s="17" t="n">
        <x:v>2</x:v>
      </x:c>
      <x:c r="D242" s="17" t="str">
        <x:v>数据口径</x:v>
      </x:c>
      <x:c r="E242" s="17" t="str">
        <x:v>9819.08</x:v>
      </x:c>
      <x:c r="F242" s="17" t="str">
        <x:v>9836.56</x:v>
      </x:c>
      <x:c r="G242" s="18" t="n">
        <x:v>17.48</x:v>
      </x:c>
      <x:c r="H242" s="18" t="n">
        <x:f>IFERROR(G242/1000,"")</x:f>
        <x:v>0.01748</x:v>
      </x:c>
      <x:c r="I242" s="19" t="n">
        <x:f>IFERROR(G242/J242,"")</x:f>
        <x:v>0.00043840596793918096</x:v>
      </x:c>
      <x:c r="J242" s="17" t="n">
        <x:v>39871.72</x:v>
      </x:c>
      <x:c r="K242" s="17" t="str"/>
      <x:c r="L242" s="17" t="str">
        <x:v>已定位个股股本事件视图，并确认了可用字段与时间口径。</x:v>
      </x:c>
      <x:c r="M242" s="17" t="str"/>
      <x:c r="N242" s="18" t="n">
        <x:v>0</x:v>
      </x:c>
      <x:c r="O242" s="17" t="str">
        <x:v>public_sse_client_estimate</x:v>
      </x:c>
    </x:row>
    <x:row r="243" ht="48" customHeight="1">
      <x:c r="A243" s="17" t="str">
        <x:v>BUS052</x:v>
      </x:c>
      <x:c r="B243" s="17" t="str">
        <x:v>查询未来30天有限售股解禁的股票和解禁数量。</x:v>
      </x:c>
      <x:c r="C243" s="17" t="n">
        <x:v>3</x:v>
      </x:c>
      <x:c r="D243" s="17" t="str">
        <x:v>数据口径</x:v>
      </x:c>
      <x:c r="E243" s="17" t="str">
        <x:v>9836.56</x:v>
      </x:c>
      <x:c r="F243" s="17" t="str">
        <x:v>10244.23</x:v>
      </x:c>
      <x:c r="G243" s="18" t="n">
        <x:v>407.67</x:v>
      </x:c>
      <x:c r="H243" s="18" t="n">
        <x:f>IFERROR(G243/1000,"")</x:f>
        <x:v>0.40767000000000003</x:v>
      </x:c>
      <x:c r="I243" s="19" t="n">
        <x:f>IFERROR(G243/J243,"")</x:f>
        <x:v>0.010224540100101024</x:v>
      </x:c>
      <x:c r="J243" s="17" t="n">
        <x:v>39871.72</x:v>
      </x:c>
      <x:c r="K243" s="17" t="str"/>
      <x:c r="L243" s="17" t="str">
        <x:v>已定位个股股东视图，并确认了可用字段与时间口径。</x:v>
      </x:c>
      <x:c r="M243" s="17" t="str"/>
      <x:c r="N243" s="18" t="n">
        <x:v>0</x:v>
      </x:c>
      <x:c r="O243" s="17" t="str">
        <x:v>public_sse_client_estimate</x:v>
      </x:c>
    </x:row>
    <x:row r="244" ht="48" customHeight="1">
      <x:c r="A244" s="17" t="str">
        <x:v>BUS052</x:v>
      </x:c>
      <x:c r="B244" s="17" t="str">
        <x:v>查询未来30天有限售股解禁的股票和解禁数量。</x:v>
      </x:c>
      <x:c r="C244" s="17" t="n">
        <x:v>4</x:v>
      </x:c>
      <x:c r="D244" s="17" t="str">
        <x:v>数据查询 1/1</x:v>
      </x:c>
      <x:c r="E244" s="17" t="str">
        <x:v>14418.4</x:v>
      </x:c>
      <x:c r="F244" s="17" t="str">
        <x:v>15938.46</x:v>
      </x:c>
      <x:c r="G244" s="18" t="n">
        <x:v>1520.06</x:v>
      </x:c>
      <x:c r="H244" s="18" t="n">
        <x:f>IFERROR(G244/1000,"")</x:f>
        <x:v>1.52006</x:v>
      </x:c>
      <x:c r="I244" s="19" t="n">
        <x:f>IFERROR(G244/J244,"")</x:f>
        <x:v>0.03812376290764481</x:v>
      </x:c>
      <x:c r="J244" s="17" t="n">
        <x:v>39871.72</x:v>
      </x:c>
      <x:c r="K244" s="17" t="str"/>
      <x:c r="L244" s="17" t="str">
        <x:v>已完成：查询未来30天（2026-08-02至2026-09-01）有限售股解禁的股票及解禁数量，取得 100 条记录。</x:v>
      </x:c>
      <x:c r="M244" s="17" t="str"/>
      <x:c r="N244" s="18" t="n">
        <x:v>4174.17</x:v>
      </x:c>
      <x:c r="O244" s="17" t="str">
        <x:v>public_sse_client_estimate</x:v>
      </x:c>
    </x:row>
    <x:row r="245" ht="48" customHeight="1">
      <x:c r="A245" s="17" t="str">
        <x:v>BUS052</x:v>
      </x:c>
      <x:c r="B245" s="17" t="str">
        <x:v>查询未来30天有限售股解禁的股票和解禁数量。</x:v>
      </x:c>
      <x:c r="C245" s="17" t="n">
        <x:v>5</x:v>
      </x:c>
      <x:c r="D245" s="17" t="str">
        <x:v>回答整理</x:v>
      </x:c>
      <x:c r="E245" s="17" t="str">
        <x:v>15938.46</x:v>
      </x:c>
      <x:c r="F245" s="17" t="str">
        <x:v>37618.7</x:v>
      </x:c>
      <x:c r="G245" s="18" t="n">
        <x:v>21680.24</x:v>
      </x:c>
      <x:c r="H245" s="18" t="n">
        <x:f>IFERROR(G245/1000,"")</x:f>
        <x:v>21.68024</x:v>
      </x:c>
      <x:c r="I245" s="19" t="n">
        <x:f>IFERROR(G245/J245,"")</x:f>
        <x:v>0.5437498056266447</x:v>
      </x:c>
      <x:c r="J245" s="17" t="n">
        <x:v>39871.72</x:v>
      </x:c>
      <x:c r="K245" s="17" t="str"/>
      <x:c r="L245" s="17" t="str">
        <x:v>证据与回答已整理完成。</x:v>
      </x:c>
      <x:c r="M245" s="17" t="str"/>
      <x:c r="N245" s="18" t="n">
        <x:v>0</x:v>
      </x:c>
      <x:c r="O245" s="17" t="str">
        <x:v>public_sse_client_estimate</x:v>
      </x:c>
    </x:row>
    <x:row r="246" ht="48" customHeight="1">
      <x:c r="A246" s="17" t="str">
        <x:v>BUS054</x:v>
      </x:c>
      <x:c r="B246" s="17" t="str">
        <x:v>查询配股比例最高的股票及配股价格。</x:v>
      </x:c>
      <x:c r="C246" s="17" t="n">
        <x:v>1</x:v>
      </x:c>
      <x:c r="D246" s="17" t="str">
        <x:v>问题理解</x:v>
      </x:c>
      <x:c r="E246" s="17" t="str">
        <x:v>5825.93</x:v>
      </x:c>
      <x:c r="F246" s="17" t="str">
        <x:v>8179.91</x:v>
      </x:c>
      <x:c r="G246" s="18" t="n">
        <x:v>2353.98</x:v>
      </x:c>
      <x:c r="H246" s="18" t="n">
        <x:f>IFERROR(G246/1000,"")</x:f>
        <x:v>2.35398</x:v>
      </x:c>
      <x:c r="I246" s="19" t="n">
        <x:f>IFERROR(G246/J246,"")</x:f>
        <x:v>0.0868907857703133</x:v>
      </x:c>
      <x:c r="J246" s="17" t="n">
        <x:v>27091.25</x:v>
      </x:c>
      <x:c r="K246" s="17" t="str"/>
      <x:c r="L246" s="17" t="str">
        <x:v>已明确本题的对象与口径，开始获取所需证据。</x:v>
      </x:c>
      <x:c r="M246" s="17" t="str"/>
      <x:c r="N246" s="18" t="n">
        <x:v>5825.93</x:v>
      </x:c>
      <x:c r="O246" s="17" t="str">
        <x:v>public_sse_client_estimate</x:v>
      </x:c>
    </x:row>
    <x:row r="247" ht="48" customHeight="1">
      <x:c r="A247" s="17" t="str">
        <x:v>BUS054</x:v>
      </x:c>
      <x:c r="B247" s="17" t="str">
        <x:v>查询配股比例最高的股票及配股价格。</x:v>
      </x:c>
      <x:c r="C247" s="17" t="n">
        <x:v>2</x:v>
      </x:c>
      <x:c r="D247" s="17" t="str">
        <x:v>数据口径</x:v>
      </x:c>
      <x:c r="E247" s="17" t="str">
        <x:v>8179.91</x:v>
      </x:c>
      <x:c r="F247" s="17" t="str">
        <x:v>8194.59</x:v>
      </x:c>
      <x:c r="G247" s="18" t="n">
        <x:v>14.68</x:v>
      </x:c>
      <x:c r="H247" s="18" t="n">
        <x:f>IFERROR(G247/1000,"")</x:f>
        <x:v>0.01468</x:v>
      </x:c>
      <x:c r="I247" s="19" t="n">
        <x:f>IFERROR(G247/J247,"")</x:f>
        <x:v>0.0005418723757670835</x:v>
      </x:c>
      <x:c r="J247" s="17" t="n">
        <x:v>27091.25</x:v>
      </x:c>
      <x:c r="K247" s="17" t="str"/>
      <x:c r="L247" s="17" t="str">
        <x:v>已定位个股股本事件视图，并确认了可用字段与时间口径。</x:v>
      </x:c>
      <x:c r="M247" s="17" t="str"/>
      <x:c r="N247" s="18" t="n">
        <x:v>0</x:v>
      </x:c>
      <x:c r="O247" s="17" t="str">
        <x:v>public_sse_client_estimate</x:v>
      </x:c>
    </x:row>
    <x:row r="248" ht="48" customHeight="1">
      <x:c r="A248" s="17" t="str">
        <x:v>BUS054</x:v>
      </x:c>
      <x:c r="B248" s="17" t="str">
        <x:v>查询配股比例最高的股票及配股价格。</x:v>
      </x:c>
      <x:c r="C248" s="17" t="n">
        <x:v>3</x:v>
      </x:c>
      <x:c r="D248" s="17" t="str">
        <x:v>数据查询 1/1</x:v>
      </x:c>
      <x:c r="E248" s="17" t="str">
        <x:v>12515.61</x:v>
      </x:c>
      <x:c r="F248" s="17" t="str">
        <x:v>14658.78</x:v>
      </x:c>
      <x:c r="G248" s="18" t="n">
        <x:v>2143.17</x:v>
      </x:c>
      <x:c r="H248" s="18" t="n">
        <x:f>IFERROR(G248/1000,"")</x:f>
        <x:v>2.14317</x:v>
      </x:c>
      <x:c r="I248" s="19" t="n">
        <x:f>IFERROR(G248/J248,"")</x:f>
        <x:v>0.07910930651040465</x:v>
      </x:c>
      <x:c r="J248" s="17" t="n">
        <x:v>27091.25</x:v>
      </x:c>
      <x:c r="K248" s="17" t="str"/>
      <x:c r="L248" s="17" t="str">
        <x:v>已完成：查询配股比例最高的股票及其配股价格，取得 10 条记录。</x:v>
      </x:c>
      <x:c r="M248" s="17" t="str"/>
      <x:c r="N248" s="18" t="n">
        <x:v>4321.02</x:v>
      </x:c>
      <x:c r="O248" s="17" t="str">
        <x:v>public_sse_client_estimate</x:v>
      </x:c>
    </x:row>
    <x:row r="249" ht="48" customHeight="1">
      <x:c r="A249" s="17" t="str">
        <x:v>BUS054</x:v>
      </x:c>
      <x:c r="B249" s="17" t="str">
        <x:v>查询配股比例最高的股票及配股价格。</x:v>
      </x:c>
      <x:c r="C249" s="17" t="n">
        <x:v>4</x:v>
      </x:c>
      <x:c r="D249" s="17" t="str">
        <x:v>回答整理</x:v>
      </x:c>
      <x:c r="E249" s="17" t="str">
        <x:v>14658.78</x:v>
      </x:c>
      <x:c r="F249" s="17" t="str">
        <x:v>24621.34</x:v>
      </x:c>
      <x:c r="G249" s="18" t="n">
        <x:v>9962.56</x:v>
      </x:c>
      <x:c r="H249" s="18" t="n">
        <x:f>IFERROR(G249/1000,"")</x:f>
        <x:v>9.96256</x:v>
      </x:c>
      <x:c r="I249" s="19" t="n">
        <x:f>IFERROR(G249/J249,"")</x:f>
        <x:v>0.36774087574401326</x:v>
      </x:c>
      <x:c r="J249" s="17" t="n">
        <x:v>27091.25</x:v>
      </x:c>
      <x:c r="K249" s="17" t="str"/>
      <x:c r="L249" s="17" t="str">
        <x:v>证据与回答已整理完成。</x:v>
      </x:c>
      <x:c r="M249" s="17" t="str"/>
      <x:c r="N249" s="18" t="n">
        <x:v>0</x:v>
      </x:c>
      <x:c r="O249" s="17" t="str">
        <x:v>public_sse_client_estimate</x:v>
      </x:c>
    </x:row>
    <x:row r="250" ht="48" customHeight="1">
      <x:c r="A250" s="17" t="str">
        <x:v>BUS055</x:v>
      </x:c>
      <x:c r="B250" s="17" t="str">
        <x:v>查询宁德时代最新业绩预告类型、预告摘要和公告日期。</x:v>
      </x:c>
      <x:c r="C250" s="17" t="n">
        <x:v>1</x:v>
      </x:c>
      <x:c r="D250" s="17" t="str">
        <x:v>问题理解</x:v>
      </x:c>
      <x:c r="E250" s="17" t="str">
        <x:v>5168.55</x:v>
      </x:c>
      <x:c r="F250" s="17" t="str">
        <x:v>7607.71</x:v>
      </x:c>
      <x:c r="G250" s="18" t="n">
        <x:v>2439.16</x:v>
      </x:c>
      <x:c r="H250" s="18" t="n">
        <x:f>IFERROR(G250/1000,"")</x:f>
        <x:v>2.4391599999999998</x:v>
      </x:c>
      <x:c r="I250" s="19" t="n">
        <x:f>IFERROR(G250/J250,"")</x:f>
        <x:v>0.13967196705813098</x:v>
      </x:c>
      <x:c r="J250" s="17" t="n">
        <x:v>17463.49</x:v>
      </x:c>
      <x:c r="K250" s="17" t="str"/>
      <x:c r="L250" s="17" t="str">
        <x:v>已明确本题的对象与口径，开始获取所需证据。</x:v>
      </x:c>
      <x:c r="M250" s="17" t="str"/>
      <x:c r="N250" s="18" t="n">
        <x:v>5168.55</x:v>
      </x:c>
      <x:c r="O250" s="17" t="str">
        <x:v>public_sse_client_estimate</x:v>
      </x:c>
    </x:row>
    <x:row r="251" ht="48" customHeight="1">
      <x:c r="A251" s="17" t="str">
        <x:v>BUS055</x:v>
      </x:c>
      <x:c r="B251" s="17" t="str">
        <x:v>查询宁德时代最新业绩预告类型、预告摘要和公告日期。</x:v>
      </x:c>
      <x:c r="C251" s="17" t="n">
        <x:v>2</x:v>
      </x:c>
      <x:c r="D251" s="17" t="str">
        <x:v>数据口径</x:v>
      </x:c>
      <x:c r="E251" s="17" t="str">
        <x:v>7607.71</x:v>
      </x:c>
      <x:c r="F251" s="17" t="str">
        <x:v>7619.39</x:v>
      </x:c>
      <x:c r="G251" s="18" t="n">
        <x:v>11.68</x:v>
      </x:c>
      <x:c r="H251" s="18" t="n">
        <x:f>IFERROR(G251/1000,"")</x:f>
        <x:v>0.01168</x:v>
      </x:c>
      <x:c r="I251" s="19" t="n">
        <x:f>IFERROR(G251/J251,"")</x:f>
        <x:v>0.0006688239292375121</x:v>
      </x:c>
      <x:c r="J251" s="17" t="n">
        <x:v>17463.49</x:v>
      </x:c>
      <x:c r="K251" s="17" t="str"/>
      <x:c r="L251" s="17" t="str">
        <x:v>已定位个股业绩预告视图，并确认了可用字段与时间口径。</x:v>
      </x:c>
      <x:c r="M251" s="17" t="str"/>
      <x:c r="N251" s="18" t="n">
        <x:v>0</x:v>
      </x:c>
      <x:c r="O251" s="17" t="str">
        <x:v>public_sse_client_estimate</x:v>
      </x:c>
    </x:row>
    <x:row r="252" ht="48" customHeight="1">
      <x:c r="A252" s="17" t="str">
        <x:v>BUS055</x:v>
      </x:c>
      <x:c r="B252" s="17" t="str">
        <x:v>查询宁德时代最新业绩预告类型、预告摘要和公告日期。</x:v>
      </x:c>
      <x:c r="C252" s="17" t="n">
        <x:v>3</x:v>
      </x:c>
      <x:c r="D252" s="17" t="str">
        <x:v>数据查询 1/1</x:v>
      </x:c>
      <x:c r="E252" s="17" t="str">
        <x:v>10362.45</x:v>
      </x:c>
      <x:c r="F252" s="17" t="str">
        <x:v>11463.32</x:v>
      </x:c>
      <x:c r="G252" s="18" t="n">
        <x:v>1100.87</x:v>
      </x:c>
      <x:c r="H252" s="18" t="n">
        <x:f>IFERROR(G252/1000,"")</x:f>
        <x:v>1.1008699999999998</x:v>
      </x:c>
      <x:c r="I252" s="19" t="n">
        <x:f>IFERROR(G252/J252,"")</x:f>
        <x:v>0.06303837320031676</x:v>
      </x:c>
      <x:c r="J252" s="17" t="n">
        <x:v>17463.49</x:v>
      </x:c>
      <x:c r="K252" s="17" t="str"/>
      <x:c r="L252" s="17" t="str">
        <x:v>已完成：查询宁德时代最新业绩预告的类型、摘要和公告日期，取得 1 条记录。</x:v>
      </x:c>
      <x:c r="M252" s="17" t="str"/>
      <x:c r="N252" s="18" t="n">
        <x:v>2743.06</x:v>
      </x:c>
      <x:c r="O252" s="17" t="str">
        <x:v>public_sse_client_estimate</x:v>
      </x:c>
    </x:row>
    <x:row r="253" ht="48" customHeight="1">
      <x:c r="A253" s="17" t="str">
        <x:v>BUS055</x:v>
      </x:c>
      <x:c r="B253" s="17" t="str">
        <x:v>查询宁德时代最新业绩预告类型、预告摘要和公告日期。</x:v>
      </x:c>
      <x:c r="C253" s="17" t="n">
        <x:v>4</x:v>
      </x:c>
      <x:c r="D253" s="17" t="str">
        <x:v>回答整理</x:v>
      </x:c>
      <x:c r="E253" s="17" t="str">
        <x:v>11463.32</x:v>
      </x:c>
      <x:c r="F253" s="17" t="str">
        <x:v>14946.66</x:v>
      </x:c>
      <x:c r="G253" s="18" t="n">
        <x:v>3483.34</x:v>
      </x:c>
      <x:c r="H253" s="18" t="n">
        <x:f>IFERROR(G253/1000,"")</x:f>
        <x:v>3.48334</x:v>
      </x:c>
      <x:c r="I253" s="19" t="n">
        <x:f>IFERROR(G253/J253,"")</x:f>
        <x:v>0.19946413918409206</x:v>
      </x:c>
      <x:c r="J253" s="17" t="n">
        <x:v>17463.49</x:v>
      </x:c>
      <x:c r="K253" s="17" t="str"/>
      <x:c r="L253" s="17" t="str">
        <x:v>证据与回答已整理完成。</x:v>
      </x:c>
      <x:c r="M253" s="17" t="str"/>
      <x:c r="N253" s="18" t="n">
        <x:v>0</x:v>
      </x:c>
      <x:c r="O253" s="17" t="str">
        <x:v>public_sse_client_estimate</x:v>
      </x:c>
    </x:row>
    <x:row r="254" ht="48" customHeight="1">
      <x:c r="A254" s="17" t="str">
        <x:v>BUS056</x:v>
      </x:c>
      <x:c r="B254" s="17" t="str">
        <x:v>筛选最新业绩预告为预增的公司。</x:v>
      </x:c>
      <x:c r="C254" s="17" t="n">
        <x:v>1</x:v>
      </x:c>
      <x:c r="D254" s="17" t="str">
        <x:v>问题理解</x:v>
      </x:c>
      <x:c r="E254" s="17" t="str">
        <x:v>5322.27</x:v>
      </x:c>
      <x:c r="F254" s="17" t="str">
        <x:v>9804.5</x:v>
      </x:c>
      <x:c r="G254" s="18" t="n">
        <x:v>4482.23</x:v>
      </x:c>
      <x:c r="H254" s="18" t="n">
        <x:f>IFERROR(G254/1000,"")</x:f>
        <x:v>4.4822299999999995</x:v>
      </x:c>
      <x:c r="I254" s="19" t="n">
        <x:f>IFERROR(G254/J254,"")</x:f>
        <x:v>0.10959715697752322</x:v>
      </x:c>
      <x:c r="J254" s="17" t="n">
        <x:v>40897.32</x:v>
      </x:c>
      <x:c r="K254" s="17" t="str"/>
      <x:c r="L254" s="17" t="str">
        <x:v>已明确本题的对象与口径，开始获取所需证据。</x:v>
      </x:c>
      <x:c r="M254" s="17" t="str"/>
      <x:c r="N254" s="18" t="n">
        <x:v>5322.27</x:v>
      </x:c>
      <x:c r="O254" s="17" t="str">
        <x:v>public_sse_client_estimate</x:v>
      </x:c>
    </x:row>
    <x:row r="255" ht="48" customHeight="1">
      <x:c r="A255" s="17" t="str">
        <x:v>BUS056</x:v>
      </x:c>
      <x:c r="B255" s="17" t="str">
        <x:v>筛选最新业绩预告为预增的公司。</x:v>
      </x:c>
      <x:c r="C255" s="17" t="n">
        <x:v>2</x:v>
      </x:c>
      <x:c r="D255" s="17" t="str">
        <x:v>专业分析方法</x:v>
      </x:c>
      <x:c r="E255" s="17" t="str">
        <x:v>9810.54</x:v>
      </x:c>
      <x:c r="F255" s="17" t="str">
        <x:v>9831.54</x:v>
      </x:c>
      <x:c r="G255" s="18" t="n">
        <x:v>21</x:v>
      </x:c>
      <x:c r="H255" s="18" t="n">
        <x:f>IFERROR(G255/1000,"")</x:f>
        <x:v>0.021</x:v>
      </x:c>
      <x:c r="I255" s="19" t="n">
        <x:f>IFERROR(G255/J255,"")</x:f>
        <x:v>0.0005134810789557849</x:v>
      </x:c>
      <x:c r="J255" s="17" t="n">
        <x:v>40897.32</x:v>
      </x:c>
      <x:c r="K255" s="17" t="str"/>
      <x:c r="L255" s="17" t="str">
        <x:v>专业分析方法已就绪。</x:v>
      </x:c>
      <x:c r="M255" s="17" t="str"/>
      <x:c r="N255" s="18" t="n">
        <x:v>6.04</x:v>
      </x:c>
      <x:c r="O255" s="17" t="str">
        <x:v>public_sse_client_estimate</x:v>
      </x:c>
    </x:row>
    <x:row r="256" ht="48" customHeight="1">
      <x:c r="A256" s="17" t="str">
        <x:v>BUS056</x:v>
      </x:c>
      <x:c r="B256" s="17" t="str">
        <x:v>筛选最新业绩预告为预增的公司。</x:v>
      </x:c>
      <x:c r="C256" s="17" t="n">
        <x:v>3</x:v>
      </x:c>
      <x:c r="D256" s="17" t="str">
        <x:v>数据口径</x:v>
      </x:c>
      <x:c r="E256" s="17" t="str">
        <x:v>9831.54</x:v>
      </x:c>
      <x:c r="F256" s="17" t="str">
        <x:v>12267.26</x:v>
      </x:c>
      <x:c r="G256" s="18" t="n">
        <x:v>2435.72</x:v>
      </x:c>
      <x:c r="H256" s="18" t="n">
        <x:f>IFERROR(G256/1000,"")</x:f>
        <x:v>2.43572</x:v>
      </x:c>
      <x:c r="I256" s="19" t="n">
        <x:f>IFERROR(G256/J256,"")</x:f>
        <x:v>0.05955695874448497</x:v>
      </x:c>
      <x:c r="J256" s="17" t="n">
        <x:v>40897.32</x:v>
      </x:c>
      <x:c r="K256" s="17" t="str"/>
      <x:c r="L256" s="17" t="str">
        <x:v>已定位个股业绩预告视图，并确认了可用字段与时间口径。</x:v>
      </x:c>
      <x:c r="M256" s="17" t="str"/>
      <x:c r="N256" s="18" t="n">
        <x:v>0</x:v>
      </x:c>
      <x:c r="O256" s="17" t="str">
        <x:v>public_sse_client_estimate</x:v>
      </x:c>
    </x:row>
    <x:row r="257" ht="48" customHeight="1">
      <x:c r="A257" s="17" t="str">
        <x:v>BUS056</x:v>
      </x:c>
      <x:c r="B257" s="17" t="str">
        <x:v>筛选最新业绩预告为预增的公司。</x:v>
      </x:c>
      <x:c r="C257" s="17" t="n">
        <x:v>4</x:v>
      </x:c>
      <x:c r="D257" s="17" t="str">
        <x:v>数据查询 1/1</x:v>
      </x:c>
      <x:c r="E257" s="17" t="str">
        <x:v>18557.05</x:v>
      </x:c>
      <x:c r="F257" s="17" t="str">
        <x:v>19510.13</x:v>
      </x:c>
      <x:c r="G257" s="18" t="n">
        <x:v>953.08</x:v>
      </x:c>
      <x:c r="H257" s="18" t="n">
        <x:f>IFERROR(G257/1000,"")</x:f>
        <x:v>0.95308</x:v>
      </x:c>
      <x:c r="I257" s="19" t="n">
        <x:f>IFERROR(G257/J257,"")</x:f>
        <x:v>0.023304216511008547</x:v>
      </x:c>
      <x:c r="J257" s="17" t="n">
        <x:v>40897.32</x:v>
      </x:c>
      <x:c r="K257" s="17" t="str"/>
      <x:c r="L257" s="17" t="str">
        <x:v>已完成：查询最新业绩预告类型为预增的公司，按公告日期降序排列，取得 50 条记录。</x:v>
      </x:c>
      <x:c r="M257" s="17" t="str"/>
      <x:c r="N257" s="18" t="n">
        <x:v>6289.79</x:v>
      </x:c>
      <x:c r="O257" s="17" t="str">
        <x:v>public_sse_client_estimate</x:v>
      </x:c>
    </x:row>
    <x:row r="258" ht="48" customHeight="1">
      <x:c r="A258" s="17" t="str">
        <x:v>BUS056</x:v>
      </x:c>
      <x:c r="B258" s="17" t="str">
        <x:v>筛选最新业绩预告为预增的公司。</x:v>
      </x:c>
      <x:c r="C258" s="17" t="n">
        <x:v>5</x:v>
      </x:c>
      <x:c r="D258" s="17" t="str">
        <x:v>回答整理</x:v>
      </x:c>
      <x:c r="E258" s="17" t="str">
        <x:v>19510.13</x:v>
      </x:c>
      <x:c r="F258" s="17" t="str">
        <x:v>38227.95</x:v>
      </x:c>
      <x:c r="G258" s="18" t="n">
        <x:v>18717.82</x:v>
      </x:c>
      <x:c r="H258" s="18" t="n">
        <x:f>IFERROR(G258/1000,"")</x:f>
        <x:v>18.71782</x:v>
      </x:c>
      <x:c r="I258" s="19" t="n">
        <x:f>IFERROR(G258/J258,"")</x:f>
        <x:v>0.4576784004428652</x:v>
      </x:c>
      <x:c r="J258" s="17" t="n">
        <x:v>40897.32</x:v>
      </x:c>
      <x:c r="K258" s="17" t="str"/>
      <x:c r="L258" s="17" t="str">
        <x:v>证据与回答已整理完成。</x:v>
      </x:c>
      <x:c r="M258" s="17" t="str"/>
      <x:c r="N258" s="18" t="n">
        <x:v>0</x:v>
      </x:c>
      <x:c r="O258" s="17" t="str">
        <x:v>public_sse_client_estimate</x:v>
      </x:c>
    </x:row>
    <x:row r="259" ht="48" customHeight="1">
      <x:c r="A259" s="17" t="str">
        <x:v>BUS057</x:v>
      </x:c>
      <x:c r="B259" s="17" t="str">
        <x:v>最新业绩预告净利润同比上限最高的前20家公司。</x:v>
      </x:c>
      <x:c r="C259" s="17" t="n">
        <x:v>1</x:v>
      </x:c>
      <x:c r="D259" s="17" t="str">
        <x:v>问题理解</x:v>
      </x:c>
      <x:c r="E259" s="17" t="str">
        <x:v>5343.41</x:v>
      </x:c>
      <x:c r="F259" s="17" t="str">
        <x:v>7907.48</x:v>
      </x:c>
      <x:c r="G259" s="18" t="n">
        <x:v>2564.07</x:v>
      </x:c>
      <x:c r="H259" s="18" t="n">
        <x:f>IFERROR(G259/1000,"")</x:f>
        <x:v>2.56407</x:v>
      </x:c>
      <x:c r="I259" s="19" t="n">
        <x:f>IFERROR(G259/J259,"")</x:f>
        <x:v>0.0631760160429191</x:v>
      </x:c>
      <x:c r="J259" s="17" t="n">
        <x:v>40586.13</x:v>
      </x:c>
      <x:c r="K259" s="17" t="str"/>
      <x:c r="L259" s="17" t="str">
        <x:v>已明确本题的对象与口径，开始获取所需证据。</x:v>
      </x:c>
      <x:c r="M259" s="17" t="str"/>
      <x:c r="N259" s="18" t="n">
        <x:v>5343.41</x:v>
      </x:c>
      <x:c r="O259" s="17" t="str">
        <x:v>public_sse_client_estimate</x:v>
      </x:c>
    </x:row>
    <x:row r="260" ht="48" customHeight="1">
      <x:c r="A260" s="17" t="str">
        <x:v>BUS057</x:v>
      </x:c>
      <x:c r="B260" s="17" t="str">
        <x:v>最新业绩预告净利润同比上限最高的前20家公司。</x:v>
      </x:c>
      <x:c r="C260" s="17" t="n">
        <x:v>2</x:v>
      </x:c>
      <x:c r="D260" s="17" t="str">
        <x:v>数据口径</x:v>
      </x:c>
      <x:c r="E260" s="17" t="str">
        <x:v>7907.48</x:v>
      </x:c>
      <x:c r="F260" s="17" t="str">
        <x:v>8146.2</x:v>
      </x:c>
      <x:c r="G260" s="18" t="n">
        <x:v>238.72</x:v>
      </x:c>
      <x:c r="H260" s="18" t="n">
        <x:f>IFERROR(G260/1000,"")</x:f>
        <x:v>0.23872</x:v>
      </x:c>
      <x:c r="I260" s="19" t="n">
        <x:f>IFERROR(G260/J260,"")</x:f>
        <x:v>0.005881812333425237</x:v>
      </x:c>
      <x:c r="J260" s="17" t="n">
        <x:v>40586.13</x:v>
      </x:c>
      <x:c r="K260" s="17" t="str"/>
      <x:c r="L260" s="17" t="str">
        <x:v>已定位个股业绩预告视图，并确认了可用字段与时间口径。</x:v>
      </x:c>
      <x:c r="M260" s="17" t="str"/>
      <x:c r="N260" s="18" t="n">
        <x:v>0</x:v>
      </x:c>
      <x:c r="O260" s="17" t="str">
        <x:v>public_sse_client_estimate</x:v>
      </x:c>
    </x:row>
    <x:row r="261" ht="48" customHeight="1">
      <x:c r="A261" s="17" t="str">
        <x:v>BUS057</x:v>
      </x:c>
      <x:c r="B261" s="17" t="str">
        <x:v>最新业绩预告净利润同比上限最高的前20家公司。</x:v>
      </x:c>
      <x:c r="C261" s="17" t="n">
        <x:v>3</x:v>
      </x:c>
      <x:c r="D261" s="17" t="str">
        <x:v>数据查询 1/1</x:v>
      </x:c>
      <x:c r="E261" s="17" t="str">
        <x:v>15347.21</x:v>
      </x:c>
      <x:c r="F261" s="17" t="str">
        <x:v>16037.64</x:v>
      </x:c>
      <x:c r="G261" s="18" t="n">
        <x:v>690.43</x:v>
      </x:c>
      <x:c r="H261" s="18" t="n">
        <x:f>IFERROR(G261/1000,"")</x:f>
        <x:v>0.69043</x:v>
      </x:c>
      <x:c r="I261" s="19" t="n">
        <x:f>IFERROR(G261/J261,"")</x:f>
        <x:v>0.017011476580792502</x:v>
      </x:c>
      <x:c r="J261" s="17" t="n">
        <x:v>40586.13</x:v>
      </x:c>
      <x:c r="K261" s="17" t="str"/>
      <x:c r="L261" s="17" t="str">
        <x:v>已完成：查询最新业绩预告中净利润同比变动上限最高的前20家公司，取得 20 条记录。</x:v>
      </x:c>
      <x:c r="M261" s="17" t="str"/>
      <x:c r="N261" s="18" t="n">
        <x:v>7201.01</x:v>
      </x:c>
      <x:c r="O261" s="17" t="str">
        <x:v>public_sse_client_estimate</x:v>
      </x:c>
    </x:row>
    <x:row r="262" ht="48" customHeight="1">
      <x:c r="A262" s="17" t="str">
        <x:v>BUS057</x:v>
      </x:c>
      <x:c r="B262" s="17" t="str">
        <x:v>最新业绩预告净利润同比上限最高的前20家公司。</x:v>
      </x:c>
      <x:c r="C262" s="17" t="n">
        <x:v>4</x:v>
      </x:c>
      <x:c r="D262" s="17" t="str">
        <x:v>回答整理</x:v>
      </x:c>
      <x:c r="E262" s="17" t="str">
        <x:v>16037.64</x:v>
      </x:c>
      <x:c r="F262" s="17" t="str">
        <x:v>36810.3</x:v>
      </x:c>
      <x:c r="G262" s="18" t="n">
        <x:v>20772.66</x:v>
      </x:c>
      <x:c r="H262" s="18" t="n">
        <x:f>IFERROR(G262/1000,"")</x:f>
        <x:v>20.77266</x:v>
      </x:c>
      <x:c r="I262" s="19" t="n">
        <x:f>IFERROR(G262/J262,"")</x:f>
        <x:v>0.5118167216238652</x:v>
      </x:c>
      <x:c r="J262" s="17" t="n">
        <x:v>40586.13</x:v>
      </x:c>
      <x:c r="K262" s="17" t="str"/>
      <x:c r="L262" s="17" t="str">
        <x:v>证据与回答已整理完成。</x:v>
      </x:c>
      <x:c r="M262" s="17" t="str"/>
      <x:c r="N262" s="18" t="n">
        <x:v>0</x:v>
      </x:c>
      <x:c r="O262" s="17" t="str">
        <x:v>public_sse_client_estimate</x:v>
      </x:c>
    </x:row>
    <x:row r="263" ht="48" customHeight="1">
      <x:c r="A263" s="17" t="str">
        <x:v>BUS058</x:v>
      </x:c>
      <x:c r="B263" s="17" t="str">
        <x:v>筛选最新业绩预告为亏损或预减的公司。</x:v>
      </x:c>
      <x:c r="C263" s="17" t="n">
        <x:v>1</x:v>
      </x:c>
      <x:c r="D263" s="17" t="str">
        <x:v>问题理解</x:v>
      </x:c>
      <x:c r="E263" s="17" t="str">
        <x:v>5802.76</x:v>
      </x:c>
      <x:c r="F263" s="17" t="str">
        <x:v>10768.32</x:v>
      </x:c>
      <x:c r="G263" s="18" t="n">
        <x:v>4965.56</x:v>
      </x:c>
      <x:c r="H263" s="18" t="n">
        <x:f>IFERROR(G263/1000,"")</x:f>
        <x:v>4.96556</x:v>
      </x:c>
      <x:c r="I263" s="19" t="n">
        <x:f>IFERROR(G263/J263,"")</x:f>
        <x:v>0.059462194272753996</x:v>
      </x:c>
      <x:c r="J263" s="17" t="n">
        <x:v>83507.85</x:v>
      </x:c>
      <x:c r="K263" s="17" t="str"/>
      <x:c r="L263" s="17" t="str">
        <x:v>已明确本题的对象与口径，开始获取所需证据。</x:v>
      </x:c>
      <x:c r="M263" s="17" t="str"/>
      <x:c r="N263" s="18" t="n">
        <x:v>5802.76</x:v>
      </x:c>
      <x:c r="O263" s="17" t="str">
        <x:v>public_sse_client_estimate</x:v>
      </x:c>
    </x:row>
    <x:row r="264" ht="48" customHeight="1">
      <x:c r="A264" s="17" t="str">
        <x:v>BUS058</x:v>
      </x:c>
      <x:c r="B264" s="17" t="str">
        <x:v>筛选最新业绩预告为亏损或预减的公司。</x:v>
      </x:c>
      <x:c r="C264" s="17" t="n">
        <x:v>2</x:v>
      </x:c>
      <x:c r="D264" s="17" t="str">
        <x:v>专业分析方法</x:v>
      </x:c>
      <x:c r="E264" s="17" t="str">
        <x:v>10787.69</x:v>
      </x:c>
      <x:c r="F264" s="17" t="str">
        <x:v>11024.82</x:v>
      </x:c>
      <x:c r="G264" s="18" t="n">
        <x:v>237.13</x:v>
      </x:c>
      <x:c r="H264" s="18" t="n">
        <x:f>IFERROR(G264/1000,"")</x:f>
        <x:v>0.23713</x:v>
      </x:c>
      <x:c r="I264" s="19" t="n">
        <x:f>IFERROR(G264/J264,"")</x:f>
        <x:v>0.002839613281865118</x:v>
      </x:c>
      <x:c r="J264" s="17" t="n">
        <x:v>83507.85</x:v>
      </x:c>
      <x:c r="K264" s="17" t="str"/>
      <x:c r="L264" s="17" t="str">
        <x:v>专业分析方法已就绪。</x:v>
      </x:c>
      <x:c r="M264" s="17" t="str"/>
      <x:c r="N264" s="18" t="n">
        <x:v>19.37</x:v>
      </x:c>
      <x:c r="O264" s="17" t="str">
        <x:v>public_sse_client_estimate</x:v>
      </x:c>
    </x:row>
    <x:row r="265" ht="48" customHeight="1">
      <x:c r="A265" s="17" t="str">
        <x:v>BUS058</x:v>
      </x:c>
      <x:c r="B265" s="17" t="str">
        <x:v>筛选最新业绩预告为亏损或预减的公司。</x:v>
      </x:c>
      <x:c r="C265" s="17" t="n">
        <x:v>3</x:v>
      </x:c>
      <x:c r="D265" s="17" t="str">
        <x:v>数据口径</x:v>
      </x:c>
      <x:c r="E265" s="17" t="str">
        <x:v>11024.82</x:v>
      </x:c>
      <x:c r="F265" s="17" t="str">
        <x:v>13842.34</x:v>
      </x:c>
      <x:c r="G265" s="18" t="n">
        <x:v>2817.52</x:v>
      </x:c>
      <x:c r="H265" s="18" t="n">
        <x:f>IFERROR(G265/1000,"")</x:f>
        <x:v>2.81752</x:v>
      </x:c>
      <x:c r="I265" s="19" t="n">
        <x:f>IFERROR(G265/J265,"")</x:f>
        <x:v>0.033739582566189884</x:v>
      </x:c>
      <x:c r="J265" s="17" t="n">
        <x:v>83507.85</x:v>
      </x:c>
      <x:c r="K265" s="17" t="str"/>
      <x:c r="L265" s="17" t="str">
        <x:v>已定位个股业绩预告视图，并确认了可用字段与时间口径。</x:v>
      </x:c>
      <x:c r="M265" s="17" t="str"/>
      <x:c r="N265" s="18" t="n">
        <x:v>0</x:v>
      </x:c>
      <x:c r="O265" s="17" t="str">
        <x:v>public_sse_client_estimate</x:v>
      </x:c>
    </x:row>
    <x:row r="266" ht="48" customHeight="1">
      <x:c r="A266" s="17" t="str">
        <x:v>BUS058</x:v>
      </x:c>
      <x:c r="B266" s="17" t="str">
        <x:v>筛选最新业绩预告为亏损或预减的公司。</x:v>
      </x:c>
      <x:c r="C266" s="17" t="n">
        <x:v>4</x:v>
      </x:c>
      <x:c r="D266" s="17" t="str">
        <x:v>数据查询 1/1</x:v>
      </x:c>
      <x:c r="E266" s="17" t="str">
        <x:v>22566.7</x:v>
      </x:c>
      <x:c r="F266" s="17" t="str">
        <x:v>23171.51</x:v>
      </x:c>
      <x:c r="G266" s="18" t="n">
        <x:v>604.81</x:v>
      </x:c>
      <x:c r="H266" s="18" t="n">
        <x:f>IFERROR(G266/1000,"")</x:f>
        <x:v>0.60481</x:v>
      </x:c>
      <x:c r="I266" s="19" t="n">
        <x:f>IFERROR(G266/J266,"")</x:f>
        <x:v>0.007242552646248226</x:v>
      </x:c>
      <x:c r="J266" s="17" t="n">
        <x:v>83507.85</x:v>
      </x:c>
      <x:c r="K266" s="17" t="str"/>
      <x:c r="L266" s="17" t="str">
        <x:v>已完成：查询业绩预告数据中最新报告期，取得 1 条记录。</x:v>
      </x:c>
      <x:c r="M266" s="17" t="str"/>
      <x:c r="N266" s="18" t="n">
        <x:v>8724.36</x:v>
      </x:c>
      <x:c r="O266" s="17" t="str">
        <x:v>public_sse_client_estimate</x:v>
      </x:c>
    </x:row>
    <x:row r="267" ht="48" customHeight="1">
      <x:c r="A267" s="17" t="str">
        <x:v>BUS058</x:v>
      </x:c>
      <x:c r="B267" s="17" t="str">
        <x:v>筛选最新业绩预告为亏损或预减的公司。</x:v>
      </x:c>
      <x:c r="C267" s="17" t="n">
        <x:v>5</x:v>
      </x:c>
      <x:c r="D267" s="17" t="str">
        <x:v>数据查询 1/1</x:v>
      </x:c>
      <x:c r="E267" s="17" t="str">
        <x:v>27620.45</x:v>
      </x:c>
      <x:c r="F267" s="17" t="str">
        <x:v>28271.97</x:v>
      </x:c>
      <x:c r="G267" s="18" t="n">
        <x:v>651.52</x:v>
      </x:c>
      <x:c r="H267" s="18" t="n">
        <x:f>IFERROR(G267/1000,"")</x:f>
        <x:v>0.65152</x:v>
      </x:c>
      <x:c r="I267" s="19" t="n">
        <x:f>IFERROR(G267/J267,"")</x:f>
        <x:v>0.00780190125838469</x:v>
      </x:c>
      <x:c r="J267" s="17" t="n">
        <x:v>83507.85</x:v>
      </x:c>
      <x:c r="K267" s="17" t="str"/>
      <x:c r="L267" s="17" t="str">
        <x:v>已完成：筛选2026-12-31报告期业绩预告为亏损或预减的公司，取得 50 条记录。</x:v>
      </x:c>
      <x:c r="M267" s="17" t="str"/>
      <x:c r="N267" s="18" t="n">
        <x:v>4448.94</x:v>
      </x:c>
      <x:c r="O267" s="17" t="str">
        <x:v>public_sse_client_estimate</x:v>
      </x:c>
    </x:row>
    <x:row r="268" ht="48" customHeight="1">
      <x:c r="A268" s="17" t="str">
        <x:v>BUS058</x:v>
      </x:c>
      <x:c r="B268" s="17" t="str">
        <x:v>筛选最新业绩预告为亏损或预减的公司。</x:v>
      </x:c>
      <x:c r="C268" s="17" t="n">
        <x:v>6</x:v>
      </x:c>
      <x:c r="D268" s="17" t="str">
        <x:v>数据查询 1/1</x:v>
      </x:c>
      <x:c r="E268" s="17" t="str">
        <x:v>52688.63</x:v>
      </x:c>
      <x:c r="F268" s="17" t="str">
        <x:v>53312.02</x:v>
      </x:c>
      <x:c r="G268" s="18" t="n">
        <x:v>623.39</x:v>
      </x:c>
      <x:c r="H268" s="18" t="n">
        <x:f>IFERROR(G268/1000,"")</x:f>
        <x:v>0.62339</x:v>
      </x:c>
      <x:c r="I268" s="19" t="n">
        <x:f>IFERROR(G268/J268,"")</x:f>
        <x:v>0.0074650466992025296</x:v>
      </x:c>
      <x:c r="J268" s="17" t="n">
        <x:v>83507.85</x:v>
      </x:c>
      <x:c r="K268" s="17" t="str"/>
      <x:c r="L268" s="17" t="str">
        <x:v>已完成：筛选报告期为2026-06-30且业绩预告为亏损或预减的公司，取得 50 条记录。</x:v>
      </x:c>
      <x:c r="M268" s="17" t="str"/>
      <x:c r="N268" s="18" t="n">
        <x:v>24416.66</x:v>
      </x:c>
      <x:c r="O268" s="17" t="str">
        <x:v>public_sse_client_estimate</x:v>
      </x:c>
    </x:row>
    <x:row r="269" ht="48" customHeight="1">
      <x:c r="A269" s="17" t="str">
        <x:v>BUS058</x:v>
      </x:c>
      <x:c r="B269" s="17" t="str">
        <x:v>筛选最新业绩预告为亏损或预减的公司。</x:v>
      </x:c>
      <x:c r="C269" s="17" t="n">
        <x:v>7</x:v>
      </x:c>
      <x:c r="D269" s="17" t="str">
        <x:v>数据查询 1/1</x:v>
      </x:c>
      <x:c r="E269" s="17" t="str">
        <x:v>65376</x:v>
      </x:c>
      <x:c r="F269" s="17" t="str">
        <x:v>65868.51</x:v>
      </x:c>
      <x:c r="G269" s="18" t="n">
        <x:v>492.51</x:v>
      </x:c>
      <x:c r="H269" s="18" t="n">
        <x:f>IFERROR(G269/1000,"")</x:f>
        <x:v>0.49251</x:v>
      </x:c>
      <x:c r="I269" s="19" t="n">
        <x:f>IFERROR(G269/J269,"")</x:f>
        <x:v>0.005897768892385566</x:v>
      </x:c>
      <x:c r="J269" s="17" t="n">
        <x:v>83507.85</x:v>
      </x:c>
      <x:c r="K269" s="17" t="str"/>
      <x:c r="L269" s="17" t="str">
        <x:v>已完成：获取2026-06-30报告期业绩预告为预降的完整公司列表，取得 15 条记录。</x:v>
      </x:c>
      <x:c r="M269" s="17" t="str"/>
      <x:c r="N269" s="18" t="n">
        <x:v>12063.98</x:v>
      </x:c>
      <x:c r="O269" s="17" t="str">
        <x:v>public_sse_client_estimate</x:v>
      </x:c>
    </x:row>
    <x:row r="270" ht="48" customHeight="1">
      <x:c r="A270" s="17" t="str">
        <x:v>BUS058</x:v>
      </x:c>
      <x:c r="B270" s="17" t="str">
        <x:v>筛选最新业绩预告为亏损或预减的公司。</x:v>
      </x:c>
      <x:c r="C270" s="17" t="n">
        <x:v>8</x:v>
      </x:c>
      <x:c r="D270" s="17" t="str">
        <x:v>回答整理</x:v>
      </x:c>
      <x:c r="E270" s="17" t="str">
        <x:v>65868.51</x:v>
      </x:c>
      <x:c r="F270" s="17" t="str">
        <x:v>79389.24</x:v>
      </x:c>
      <x:c r="G270" s="18" t="n">
        <x:v>13520.73</x:v>
      </x:c>
      <x:c r="H270" s="18" t="n">
        <x:f>IFERROR(G270/1000,"")</x:f>
        <x:v>13.52073</x:v>
      </x:c>
      <x:c r="I270" s="19" t="n">
        <x:f>IFERROR(G270/J270,"")</x:f>
        <x:v>0.16190968872986192</x:v>
      </x:c>
      <x:c r="J270" s="17" t="n">
        <x:v>83507.85</x:v>
      </x:c>
      <x:c r="K270" s="17" t="str"/>
      <x:c r="L270" s="17" t="str">
        <x:v>证据与回答已整理完成。</x:v>
      </x:c>
      <x:c r="M270" s="17" t="str"/>
      <x:c r="N270" s="18" t="n">
        <x:v>0</x:v>
      </x:c>
      <x:c r="O270" s="17" t="str">
        <x:v>public_sse_client_estimate</x:v>
      </x:c>
    </x:row>
    <x:row r="271" ht="48" customHeight="1">
      <x:c r="A271" s="17" t="str">
        <x:v>BUS059</x:v>
      </x:c>
      <x:c r="B271" s="17" t="str">
        <x:v>查询贵州茅台最近一次业绩预告的净利润区间。</x:v>
      </x:c>
      <x:c r="C271" s="17" t="n">
        <x:v>1</x:v>
      </x:c>
      <x:c r="D271" s="17" t="str">
        <x:v>问题理解</x:v>
      </x:c>
      <x:c r="E271" s="17" t="str">
        <x:v>5329.66</x:v>
      </x:c>
      <x:c r="F271" s="17" t="str">
        <x:v>7851.51</x:v>
      </x:c>
      <x:c r="G271" s="18" t="n">
        <x:v>2521.85</x:v>
      </x:c>
      <x:c r="H271" s="18" t="n">
        <x:f>IFERROR(G271/1000,"")</x:f>
        <x:v>2.5218499999999997</x:v>
      </x:c>
      <x:c r="I271" s="19" t="n">
        <x:f>IFERROR(G271/J271,"")</x:f>
        <x:v>0.1374374832075958</x:v>
      </x:c>
      <x:c r="J271" s="17" t="n">
        <x:v>18349.07</x:v>
      </x:c>
      <x:c r="K271" s="17" t="str"/>
      <x:c r="L271" s="17" t="str">
        <x:v>已明确本题的对象与口径，开始获取所需证据。</x:v>
      </x:c>
      <x:c r="M271" s="17" t="str"/>
      <x:c r="N271" s="18" t="n">
        <x:v>5329.66</x:v>
      </x:c>
      <x:c r="O271" s="17" t="str">
        <x:v>public_sse_client_estimate</x:v>
      </x:c>
    </x:row>
    <x:row r="272" ht="48" customHeight="1">
      <x:c r="A272" s="17" t="str">
        <x:v>BUS059</x:v>
      </x:c>
      <x:c r="B272" s="17" t="str">
        <x:v>查询贵州茅台最近一次业绩预告的净利润区间。</x:v>
      </x:c>
      <x:c r="C272" s="17" t="n">
        <x:v>2</x:v>
      </x:c>
      <x:c r="D272" s="17" t="str">
        <x:v>数据口径</x:v>
      </x:c>
      <x:c r="E272" s="17" t="str">
        <x:v>7851.51</x:v>
      </x:c>
      <x:c r="F272" s="17" t="str">
        <x:v>8067.25</x:v>
      </x:c>
      <x:c r="G272" s="18" t="n">
        <x:v>215.74</x:v>
      </x:c>
      <x:c r="H272" s="18" t="n">
        <x:f>IFERROR(G272/1000,"")</x:f>
        <x:v>0.21574000000000002</x:v>
      </x:c>
      <x:c r="I272" s="19" t="n">
        <x:f>IFERROR(G272/J272,"")</x:f>
        <x:v>0.011757544115314838</x:v>
      </x:c>
      <x:c r="J272" s="17" t="n">
        <x:v>18349.07</x:v>
      </x:c>
      <x:c r="K272" s="17" t="str"/>
      <x:c r="L272" s="17" t="str">
        <x:v>已定位个股业绩预告视图，并确认了可用字段与时间口径。</x:v>
      </x:c>
      <x:c r="M272" s="17" t="str"/>
      <x:c r="N272" s="18" t="n">
        <x:v>0</x:v>
      </x:c>
      <x:c r="O272" s="17" t="str">
        <x:v>public_sse_client_estimate</x:v>
      </x:c>
    </x:row>
    <x:row r="273" ht="48" customHeight="1">
      <x:c r="A273" s="17" t="str">
        <x:v>BUS059</x:v>
      </x:c>
      <x:c r="B273" s="17" t="str">
        <x:v>查询贵州茅台最近一次业绩预告的净利润区间。</x:v>
      </x:c>
      <x:c r="C273" s="17" t="n">
        <x:v>3</x:v>
      </x:c>
      <x:c r="D273" s="17" t="str">
        <x:v>数据查询 1/1</x:v>
      </x:c>
      <x:c r="E273" s="17" t="str">
        <x:v>11196.6</x:v>
      </x:c>
      <x:c r="F273" s="17" t="str">
        <x:v>11860.92</x:v>
      </x:c>
      <x:c r="G273" s="18" t="n">
        <x:v>664.32</x:v>
      </x:c>
      <x:c r="H273" s="18" t="n">
        <x:f>IFERROR(G273/1000,"")</x:f>
        <x:v>0.66432</x:v>
      </x:c>
      <x:c r="I273" s="19" t="n">
        <x:f>IFERROR(G273/J273,"")</x:f>
        <x:v>0.03620455968613123</x:v>
      </x:c>
      <x:c r="J273" s="17" t="n">
        <x:v>18349.07</x:v>
      </x:c>
      <x:c r="K273" s="17" t="str"/>
      <x:c r="L273" s="17" t="str">
        <x:v>已完成：查询贵州茅台最近一次业绩预告的净利润区间，取得 1 条记录。</x:v>
      </x:c>
      <x:c r="M273" s="17" t="str"/>
      <x:c r="N273" s="18" t="n">
        <x:v>3129.35</x:v>
      </x:c>
      <x:c r="O273" s="17" t="str">
        <x:v>public_sse_client_estimate</x:v>
      </x:c>
    </x:row>
    <x:row r="274" ht="48" customHeight="1">
      <x:c r="A274" s="17" t="str">
        <x:v>BUS059</x:v>
      </x:c>
      <x:c r="B274" s="17" t="str">
        <x:v>查询贵州茅台最近一次业绩预告的净利润区间。</x:v>
      </x:c>
      <x:c r="C274" s="17" t="n">
        <x:v>4</x:v>
      </x:c>
      <x:c r="D274" s="17" t="str">
        <x:v>回答整理</x:v>
      </x:c>
      <x:c r="E274" s="17" t="str">
        <x:v>11860.92</x:v>
      </x:c>
      <x:c r="F274" s="17" t="str">
        <x:v>15839.58</x:v>
      </x:c>
      <x:c r="G274" s="18" t="n">
        <x:v>3978.66</x:v>
      </x:c>
      <x:c r="H274" s="18" t="n">
        <x:f>IFERROR(G274/1000,"")</x:f>
        <x:v>3.9786599999999996</x:v>
      </x:c>
      <x:c r="I274" s="19" t="n">
        <x:f>IFERROR(G274/J274,"")</x:f>
        <x:v>0.2168316977372695</x:v>
      </x:c>
      <x:c r="J274" s="17" t="n">
        <x:v>18349.07</x:v>
      </x:c>
      <x:c r="K274" s="17" t="str"/>
      <x:c r="L274" s="17" t="str">
        <x:v>证据与回答已整理完成。</x:v>
      </x:c>
      <x:c r="M274" s="17" t="str"/>
      <x:c r="N274" s="18" t="n">
        <x:v>0</x:v>
      </x:c>
      <x:c r="O274" s="17" t="str">
        <x:v>public_sse_client_estimate</x:v>
      </x:c>
    </x:row>
    <x:row r="275" ht="48" customHeight="1">
      <x:c r="A275" s="17" t="str">
        <x:v>BUS060</x:v>
      </x:c>
      <x:c r="B275" s="17" t="str">
        <x:v>最新业绩预告收入上限最高的前20家公司。</x:v>
      </x:c>
      <x:c r="C275" s="17" t="n">
        <x:v>1</x:v>
      </x:c>
      <x:c r="D275" s="17" t="str">
        <x:v>问题理解</x:v>
      </x:c>
      <x:c r="E275" s="17" t="str">
        <x:v>5365.26</x:v>
      </x:c>
      <x:c r="F275" s="17" t="str">
        <x:v>7664.68</x:v>
      </x:c>
      <x:c r="G275" s="18" t="n">
        <x:v>2299.42</x:v>
      </x:c>
      <x:c r="H275" s="18" t="n">
        <x:f>IFERROR(G275/1000,"")</x:f>
        <x:v>2.29942</x:v>
      </x:c>
      <x:c r="I275" s="19" t="n">
        <x:f>IFERROR(G275/J275,"")</x:f>
        <x:v>0.04186564692640475</x:v>
      </x:c>
      <x:c r="J275" s="17" t="n">
        <x:v>54923.79</x:v>
      </x:c>
      <x:c r="K275" s="17" t="str"/>
      <x:c r="L275" s="17" t="str">
        <x:v>已明确本题的对象与口径，开始获取所需证据。</x:v>
      </x:c>
      <x:c r="M275" s="17" t="str"/>
      <x:c r="N275" s="18" t="n">
        <x:v>5365.26</x:v>
      </x:c>
      <x:c r="O275" s="17" t="str">
        <x:v>public_sse_client_estimate</x:v>
      </x:c>
    </x:row>
    <x:row r="276" ht="48" customHeight="1">
      <x:c r="A276" s="17" t="str">
        <x:v>BUS060</x:v>
      </x:c>
      <x:c r="B276" s="17" t="str">
        <x:v>最新业绩预告收入上限最高的前20家公司。</x:v>
      </x:c>
      <x:c r="C276" s="17" t="n">
        <x:v>2</x:v>
      </x:c>
      <x:c r="D276" s="17" t="str">
        <x:v>数据口径</x:v>
      </x:c>
      <x:c r="E276" s="17" t="str">
        <x:v>7664.68</x:v>
      </x:c>
      <x:c r="F276" s="17" t="str">
        <x:v>7688.76</x:v>
      </x:c>
      <x:c r="G276" s="18" t="n">
        <x:v>24.08</x:v>
      </x:c>
      <x:c r="H276" s="18" t="n">
        <x:f>IFERROR(G276/1000,"")</x:f>
        <x:v>0.024079999999999997</x:v>
      </x:c>
      <x:c r="I276" s="19" t="n">
        <x:f>IFERROR(G276/J276,"")</x:f>
        <x:v>0.00043842568038367344</x:v>
      </x:c>
      <x:c r="J276" s="17" t="n">
        <x:v>54923.79</x:v>
      </x:c>
      <x:c r="K276" s="17" t="str"/>
      <x:c r="L276" s="17" t="str">
        <x:v>已定位个股业绩预告视图，并确认了可用字段与时间口径。</x:v>
      </x:c>
      <x:c r="M276" s="17" t="str"/>
      <x:c r="N276" s="18" t="n">
        <x:v>0</x:v>
      </x:c>
      <x:c r="O276" s="17" t="str">
        <x:v>public_sse_client_estimate</x:v>
      </x:c>
    </x:row>
    <x:row r="277" ht="48" customHeight="1">
      <x:c r="A277" s="17" t="str">
        <x:v>BUS060</x:v>
      </x:c>
      <x:c r="B277" s="17" t="str">
        <x:v>最新业绩预告收入上限最高的前20家公司。</x:v>
      </x:c>
      <x:c r="C277" s="17" t="n">
        <x:v>3</x:v>
      </x:c>
      <x:c r="D277" s="17" t="str">
        <x:v>数据查询 1/1</x:v>
      </x:c>
      <x:c r="E277" s="17" t="str">
        <x:v>17486.71</x:v>
      </x:c>
      <x:c r="F277" s="17" t="str">
        <x:v>18059.85</x:v>
      </x:c>
      <x:c r="G277" s="18" t="n">
        <x:v>573.14</x:v>
      </x:c>
      <x:c r="H277" s="18" t="n">
        <x:f>IFERROR(G277/1000,"")</x:f>
        <x:v>0.57314</x:v>
      </x:c>
      <x:c r="I277" s="19" t="n">
        <x:f>IFERROR(G277/J277,"")</x:f>
        <x:v>0.01043518664680642</x:v>
      </x:c>
      <x:c r="J277" s="17" t="n">
        <x:v>54923.79</x:v>
      </x:c>
      <x:c r="K277" s="17" t="str"/>
      <x:c r="L277" s="17" t="str">
        <x:v>已完成：查询最新业绩预告中收入上限最高的前20家公司，取得 20 条记录。</x:v>
      </x:c>
      <x:c r="M277" s="17" t="str"/>
      <x:c r="N277" s="18" t="n">
        <x:v>9797.95</x:v>
      </x:c>
      <x:c r="O277" s="17" t="str">
        <x:v>public_sse_client_estimate</x:v>
      </x:c>
    </x:row>
    <x:row r="278" ht="48" customHeight="1">
      <x:c r="A278" s="17" t="str">
        <x:v>BUS060</x:v>
      </x:c>
      <x:c r="B278" s="17" t="str">
        <x:v>最新业绩预告收入上限最高的前20家公司。</x:v>
      </x:c>
      <x:c r="C278" s="17" t="n">
        <x:v>4</x:v>
      </x:c>
      <x:c r="D278" s="17" t="str">
        <x:v>数据查询 1/1</x:v>
      </x:c>
      <x:c r="E278" s="17" t="str">
        <x:v>30310.34</x:v>
      </x:c>
      <x:c r="F278" s="17" t="str">
        <x:v>30810</x:v>
      </x:c>
      <x:c r="G278" s="18" t="n">
        <x:v>499.66</x:v>
      </x:c>
      <x:c r="H278" s="18" t="n">
        <x:f>IFERROR(G278/1000,"")</x:f>
        <x:v>0.49966000000000005</x:v>
      </x:c>
      <x:c r="I278" s="19" t="n">
        <x:f>IFERROR(G278/J278,"")</x:f>
        <x:v>0.009097332867961225</x:v>
      </x:c>
      <x:c r="J278" s="17" t="n">
        <x:v>54923.79</x:v>
      </x:c>
      <x:c r="K278" s="17" t="str"/>
      <x:c r="L278" s="17" t="str">
        <x:v>已完成：查询2026年中报（最新完整报告期）业绩预告中收入上限最高的前20家公司，取得 20 条记录。</x:v>
      </x:c>
      <x:c r="M278" s="17" t="str"/>
      <x:c r="N278" s="18" t="n">
        <x:v>12250.49</x:v>
      </x:c>
      <x:c r="O278" s="17" t="str">
        <x:v>public_sse_client_estimate</x:v>
      </x:c>
    </x:row>
    <x:row r="279" ht="48" customHeight="1">
      <x:c r="A279" s="17" t="str">
        <x:v>BUS060</x:v>
      </x:c>
      <x:c r="B279" s="17" t="str">
        <x:v>最新业绩预告收入上限最高的前20家公司。</x:v>
      </x:c>
      <x:c r="C279" s="17" t="n">
        <x:v>5</x:v>
      </x:c>
      <x:c r="D279" s="17" t="str">
        <x:v>回答整理</x:v>
      </x:c>
      <x:c r="E279" s="17" t="str">
        <x:v>30810</x:v>
      </x:c>
      <x:c r="F279" s="17" t="str">
        <x:v>51405.8</x:v>
      </x:c>
      <x:c r="G279" s="18" t="n">
        <x:v>20595.8</x:v>
      </x:c>
      <x:c r="H279" s="18" t="n">
        <x:f>IFERROR(G279/1000,"")</x:f>
        <x:v>20.5958</x:v>
      </x:c>
      <x:c r="I279" s="19" t="n">
        <x:f>IFERROR(G279/J279,"")</x:f>
        <x:v>0.3749886888723447</x:v>
      </x:c>
      <x:c r="J279" s="17" t="n">
        <x:v>54923.79</x:v>
      </x:c>
      <x:c r="K279" s="17" t="str"/>
      <x:c r="L279" s="17" t="str">
        <x:v>证据与回答已整理完成。</x:v>
      </x:c>
      <x:c r="M279" s="17" t="str"/>
      <x:c r="N279" s="18" t="n">
        <x:v>0</x:v>
      </x:c>
      <x:c r="O279" s="17" t="str">
        <x:v>public_sse_client_estimate</x:v>
      </x:c>
    </x:row>
    <x:row r="280" ht="48" customHeight="1">
      <x:c r="A280" s="17" t="str">
        <x:v>BUS061</x:v>
      </x:c>
      <x:c r="B280" s="17" t="str">
        <x:v>查询贵州茅台最新主营业务分部收入、成本和毛利率。</x:v>
      </x:c>
      <x:c r="C280" s="17" t="n">
        <x:v>1</x:v>
      </x:c>
      <x:c r="D280" s="17" t="str">
        <x:v>问题理解</x:v>
      </x:c>
      <x:c r="E280" s="17" t="str">
        <x:v>6140.73</x:v>
      </x:c>
      <x:c r="F280" s="17" t="str">
        <x:v>10364.62</x:v>
      </x:c>
      <x:c r="G280" s="18" t="n">
        <x:v>4223.89</x:v>
      </x:c>
      <x:c r="H280" s="18" t="n">
        <x:f>IFERROR(G280/1000,"")</x:f>
        <x:v>4.22389</x:v>
      </x:c>
      <x:c r="I280" s="19" t="n">
        <x:f>IFERROR(G280/J280,"")</x:f>
        <x:v>0.08489992241424363</x:v>
      </x:c>
      <x:c r="J280" s="17" t="n">
        <x:v>49751.4</x:v>
      </x:c>
      <x:c r="K280" s="17" t="str"/>
      <x:c r="L280" s="17" t="str">
        <x:v>已明确本题的对象与口径，开始获取所需证据。</x:v>
      </x:c>
      <x:c r="M280" s="17" t="str"/>
      <x:c r="N280" s="18" t="n">
        <x:v>6140.73</x:v>
      </x:c>
      <x:c r="O280" s="17" t="str">
        <x:v>public_sse_client_estimate</x:v>
      </x:c>
    </x:row>
    <x:row r="281" ht="48" customHeight="1">
      <x:c r="A281" s="17" t="str">
        <x:v>BUS061</x:v>
      </x:c>
      <x:c r="B281" s="17" t="str">
        <x:v>查询贵州茅台最新主营业务分部收入、成本和毛利率。</x:v>
      </x:c>
      <x:c r="C281" s="17" t="n">
        <x:v>2</x:v>
      </x:c>
      <x:c r="D281" s="17" t="str">
        <x:v>数据口径</x:v>
      </x:c>
      <x:c r="E281" s="17" t="str">
        <x:v>10364.62</x:v>
      </x:c>
      <x:c r="F281" s="17" t="str">
        <x:v>10405.09</x:v>
      </x:c>
      <x:c r="G281" s="18" t="n">
        <x:v>40.47</x:v>
      </x:c>
      <x:c r="H281" s="18" t="n">
        <x:f>IFERROR(G281/1000,"")</x:f>
        <x:v>0.04047</x:v>
      </x:c>
      <x:c r="I281" s="19" t="n">
        <x:f>IFERROR(G281/J281,"")</x:f>
        <x:v>0.0008134444457844402</x:v>
      </x:c>
      <x:c r="J281" s="17" t="n">
        <x:v>49751.4</x:v>
      </x:c>
      <x:c r="K281" s="17" t="str"/>
      <x:c r="L281" s="17" t="str">
        <x:v>已定位个股业务分部视图，并确认了可用字段与时间口径。</x:v>
      </x:c>
      <x:c r="M281" s="17" t="str"/>
      <x:c r="N281" s="18" t="n">
        <x:v>0</x:v>
      </x:c>
      <x:c r="O281" s="17" t="str">
        <x:v>public_sse_client_estimate</x:v>
      </x:c>
    </x:row>
    <x:row r="282" ht="48" customHeight="1">
      <x:c r="A282" s="17" t="str">
        <x:v>BUS061</x:v>
      </x:c>
      <x:c r="B282" s="17" t="str">
        <x:v>查询贵州茅台最新主营业务分部收入、成本和毛利率。</x:v>
      </x:c>
      <x:c r="C282" s="17" t="n">
        <x:v>3</x:v>
      </x:c>
      <x:c r="D282" s="17" t="str">
        <x:v>数据查询 1/1</x:v>
      </x:c>
      <x:c r="E282" s="17" t="str">
        <x:v>14139.26</x:v>
      </x:c>
      <x:c r="F282" s="17" t="str">
        <x:v>31200.26</x:v>
      </x:c>
      <x:c r="G282" s="18" t="n">
        <x:v>17061</x:v>
      </x:c>
      <x:c r="H282" s="18" t="n">
        <x:f>IFERROR(G282/1000,"")</x:f>
        <x:v>17.061</x:v>
      </x:c>
      <x:c r="I282" s="19" t="n">
        <x:f>IFERROR(G282/J282,"")</x:f>
        <x:v>0.3429250232154271</x:v>
      </x:c>
      <x:c r="J282" s="17" t="n">
        <x:v>49751.4</x:v>
      </x:c>
      <x:c r="K282" s="17" t="str"/>
      <x:c r="L282" s="17" t="str">
        <x:v>已完成：查询贵州茅台最新主营业务分部收入、成本和毛利率，取得 20 条记录。</x:v>
      </x:c>
      <x:c r="M282" s="17" t="str"/>
      <x:c r="N282" s="18" t="n">
        <x:v>3734.17</x:v>
      </x:c>
      <x:c r="O282" s="17" t="str">
        <x:v>public_sse_client_estimate</x:v>
      </x:c>
    </x:row>
    <x:row r="283" ht="48" customHeight="1">
      <x:c r="A283" s="17" t="str">
        <x:v>BUS061</x:v>
      </x:c>
      <x:c r="B283" s="17" t="str">
        <x:v>查询贵州茅台最新主营业务分部收入、成本和毛利率。</x:v>
      </x:c>
      <x:c r="C283" s="17" t="n">
        <x:v>4</x:v>
      </x:c>
      <x:c r="D283" s="17" t="str">
        <x:v>回答整理</x:v>
      </x:c>
      <x:c r="E283" s="17" t="str">
        <x:v>31200.26</x:v>
      </x:c>
      <x:c r="F283" s="17" t="str">
        <x:v>47102.59</x:v>
      </x:c>
      <x:c r="G283" s="18" t="n">
        <x:v>15902.33</x:v>
      </x:c>
      <x:c r="H283" s="18" t="n">
        <x:f>IFERROR(G283/1000,"")</x:f>
        <x:v>15.90233</x:v>
      </x:c>
      <x:c r="I283" s="19" t="n">
        <x:f>IFERROR(G283/J283,"")</x:f>
        <x:v>0.3196358293434958</x:v>
      </x:c>
      <x:c r="J283" s="17" t="n">
        <x:v>49751.4</x:v>
      </x:c>
      <x:c r="K283" s="17" t="str"/>
      <x:c r="L283" s="17" t="str">
        <x:v>证据与回答已整理完成。</x:v>
      </x:c>
      <x:c r="M283" s="17" t="str"/>
      <x:c r="N283" s="18" t="n">
        <x:v>0</x:v>
      </x:c>
      <x:c r="O283" s="17" t="str">
        <x:v>public_sse_client_estimate</x:v>
      </x:c>
    </x:row>
    <x:row r="284" ht="48" customHeight="1">
      <x:c r="A284" s="17" t="str">
        <x:v>BUS062</x:v>
      </x:c>
      <x:c r="B284" s="17" t="str">
        <x:v>查询宁德时代按产品分部的销售收入和收入占比。</x:v>
      </x:c>
      <x:c r="C284" s="17" t="n">
        <x:v>1</x:v>
      </x:c>
      <x:c r="D284" s="17" t="str">
        <x:v>问题理解</x:v>
      </x:c>
      <x:c r="E284" s="17" t="str">
        <x:v>5600.14</x:v>
      </x:c>
      <x:c r="F284" s="17" t="str">
        <x:v>8289.86</x:v>
      </x:c>
      <x:c r="G284" s="18" t="n">
        <x:v>2689.72</x:v>
      </x:c>
      <x:c r="H284" s="18" t="n">
        <x:f>IFERROR(G284/1000,"")</x:f>
        <x:v>2.68972</x:v>
      </x:c>
      <x:c r="I284" s="19" t="n">
        <x:f>IFERROR(G284/J284,"")</x:f>
        <x:v>0.04752122732723219</x:v>
      </x:c>
      <x:c r="J284" s="17" t="n">
        <x:v>56600.39</x:v>
      </x:c>
      <x:c r="K284" s="17" t="str"/>
      <x:c r="L284" s="17" t="str">
        <x:v>已明确本题的对象与口径，开始获取所需证据。</x:v>
      </x:c>
      <x:c r="M284" s="17" t="str"/>
      <x:c r="N284" s="18" t="n">
        <x:v>5600.14</x:v>
      </x:c>
      <x:c r="O284" s="17" t="str">
        <x:v>public_sse_client_estimate</x:v>
      </x:c>
    </x:row>
    <x:row r="285" ht="48" customHeight="1">
      <x:c r="A285" s="17" t="str">
        <x:v>BUS062</x:v>
      </x:c>
      <x:c r="B285" s="17" t="str">
        <x:v>查询宁德时代按产品分部的销售收入和收入占比。</x:v>
      </x:c>
      <x:c r="C285" s="17" t="n">
        <x:v>2</x:v>
      </x:c>
      <x:c r="D285" s="17" t="str">
        <x:v>数据口径</x:v>
      </x:c>
      <x:c r="E285" s="17" t="str">
        <x:v>8289.86</x:v>
      </x:c>
      <x:c r="F285" s="17" t="str">
        <x:v>8322.61</x:v>
      </x:c>
      <x:c r="G285" s="18" t="n">
        <x:v>32.75</x:v>
      </x:c>
      <x:c r="H285" s="18" t="n">
        <x:f>IFERROR(G285/1000,"")</x:f>
        <x:v>0.03275</x:v>
      </x:c>
      <x:c r="I285" s="19" t="n">
        <x:f>IFERROR(G285/J285,"")</x:f>
        <x:v>0.0005786179211839354</x:v>
      </x:c>
      <x:c r="J285" s="17" t="n">
        <x:v>56600.39</x:v>
      </x:c>
      <x:c r="K285" s="17" t="str"/>
      <x:c r="L285" s="17" t="str">
        <x:v>已定位个股业务分部视图，并确认了可用字段与时间口径。</x:v>
      </x:c>
      <x:c r="M285" s="17" t="str"/>
      <x:c r="N285" s="18" t="n">
        <x:v>0</x:v>
      </x:c>
      <x:c r="O285" s="17" t="str">
        <x:v>public_sse_client_estimate</x:v>
      </x:c>
    </x:row>
    <x:row r="286" ht="48" customHeight="1">
      <x:c r="A286" s="17" t="str">
        <x:v>BUS062</x:v>
      </x:c>
      <x:c r="B286" s="17" t="str">
        <x:v>查询宁德时代按产品分部的销售收入和收入占比。</x:v>
      </x:c>
      <x:c r="C286" s="17" t="n">
        <x:v>3</x:v>
      </x:c>
      <x:c r="D286" s="17" t="str">
        <x:v>数据查询 1/1</x:v>
      </x:c>
      <x:c r="E286" s="17" t="str">
        <x:v>12282.44</x:v>
      </x:c>
      <x:c r="F286" s="17" t="str">
        <x:v>27111.93</x:v>
      </x:c>
      <x:c r="G286" s="18" t="n">
        <x:v>14829.49</x:v>
      </x:c>
      <x:c r="H286" s="18" t="n">
        <x:f>IFERROR(G286/1000,"")</x:f>
        <x:v>14.82949</x:v>
      </x:c>
      <x:c r="I286" s="19" t="n">
        <x:f>IFERROR(G286/J286,"")</x:f>
        <x:v>0.2620033183516933</x:v>
      </x:c>
      <x:c r="J286" s="17" t="n">
        <x:v>56600.39</x:v>
      </x:c>
      <x:c r="K286" s="17" t="str"/>
      <x:c r="L286" s="17" t="str">
        <x:v>已完成：查询宁德时代（300750.SZ）按产品分部的销售收入和收入占比，取最新报告期，当前条件下没有匹配记录。</x:v>
      </x:c>
      <x:c r="M286" s="17" t="str"/>
      <x:c r="N286" s="18" t="n">
        <x:v>3959.83</x:v>
      </x:c>
      <x:c r="O286" s="17" t="str">
        <x:v>public_sse_client_estimate</x:v>
      </x:c>
    </x:row>
    <x:row r="287" ht="48" customHeight="1">
      <x:c r="A287" s="17" t="str">
        <x:v>BUS062</x:v>
      </x:c>
      <x:c r="B287" s="17" t="str">
        <x:v>查询宁德时代按产品分部的销售收入和收入占比。</x:v>
      </x:c>
      <x:c r="C287" s="17" t="n">
        <x:v>4</x:v>
      </x:c>
      <x:c r="D287" s="17" t="str">
        <x:v>数据查询 1/1</x:v>
      </x:c>
      <x:c r="E287" s="17" t="str">
        <x:v>29912.14</x:v>
      </x:c>
      <x:c r="F287" s="17" t="str">
        <x:v>43307.56</x:v>
      </x:c>
      <x:c r="G287" s="18" t="n">
        <x:v>13395.42</x:v>
      </x:c>
      <x:c r="H287" s="18" t="n">
        <x:f>IFERROR(G287/1000,"")</x:f>
        <x:v>13.39542</x:v>
      </x:c>
      <x:c r="I287" s="19" t="n">
        <x:f>IFERROR(G287/J287,"")</x:f>
        <x:v>0.236666567138495</x:v>
      </x:c>
      <x:c r="J287" s="17" t="n">
        <x:v>56600.39</x:v>
      </x:c>
      <x:c r="K287" s="17" t="str"/>
      <x:c r="L287" s="17" t="str">
        <x:v>已完成：查询宁德时代业务分部数据中实际存在的分部类型，取得 30 条记录。</x:v>
      </x:c>
      <x:c r="M287" s="17" t="str"/>
      <x:c r="N287" s="18" t="n">
        <x:v>2800.21</x:v>
      </x:c>
      <x:c r="O287" s="17" t="str">
        <x:v>public_sse_client_estimate</x:v>
      </x:c>
    </x:row>
    <x:row r="288" ht="48" customHeight="1">
      <x:c r="A288" s="17" t="str">
        <x:v>BUS062</x:v>
      </x:c>
      <x:c r="B288" s="17" t="str">
        <x:v>查询宁德时代按产品分部的销售收入和收入占比。</x:v>
      </x:c>
      <x:c r="C288" s="17" t="n">
        <x:v>5</x:v>
      </x:c>
      <x:c r="D288" s="17" t="str">
        <x:v>回答整理</x:v>
      </x:c>
      <x:c r="E288" s="17" t="str">
        <x:v>43307.56</x:v>
      </x:c>
      <x:c r="F288" s="17" t="str">
        <x:v>52892.18</x:v>
      </x:c>
      <x:c r="G288" s="18" t="n">
        <x:v>9584.62</x:v>
      </x:c>
      <x:c r="H288" s="18" t="n">
        <x:f>IFERROR(G288/1000,"")</x:f>
        <x:v>9.584620000000001</x:v>
      </x:c>
      <x:c r="I288" s="19" t="n">
        <x:f>IFERROR(G288/J288,"")</x:f>
        <x:v>0.16933840915230444</x:v>
      </x:c>
      <x:c r="J288" s="17" t="n">
        <x:v>56600.39</x:v>
      </x:c>
      <x:c r="K288" s="17" t="str"/>
      <x:c r="L288" s="17" t="str">
        <x:v>证据与回答已整理完成。</x:v>
      </x:c>
      <x:c r="M288" s="17" t="str"/>
      <x:c r="N288" s="18" t="n">
        <x:v>0</x:v>
      </x:c>
      <x:c r="O288" s="17" t="str">
        <x:v>public_sse_client_estimate</x:v>
      </x:c>
    </x:row>
    <x:row r="289" ht="48" customHeight="1">
      <x:c r="A289" s="17" t="str">
        <x:v>BUS063</x:v>
      </x:c>
      <x:c r="B289" s="17" t="str">
        <x:v>筛选最新报告期毛利率最高的业务分部记录。</x:v>
      </x:c>
      <x:c r="C289" s="17" t="n">
        <x:v>1</x:v>
      </x:c>
      <x:c r="D289" s="17" t="str">
        <x:v>问题理解</x:v>
      </x:c>
      <x:c r="E289" s="17" t="str">
        <x:v>5543.31</x:v>
      </x:c>
      <x:c r="F289" s="17" t="str">
        <x:v>9158.4</x:v>
      </x:c>
      <x:c r="G289" s="18" t="n">
        <x:v>3615.09</x:v>
      </x:c>
      <x:c r="H289" s="18" t="n">
        <x:f>IFERROR(G289/1000,"")</x:f>
        <x:v>3.6150900000000004</x:v>
      </x:c>
      <x:c r="I289" s="19" t="n">
        <x:f>IFERROR(G289/J289,"")</x:f>
        <x:v>0.06832151170668935</x:v>
      </x:c>
      <x:c r="J289" s="17" t="n">
        <x:v>52912.91</x:v>
      </x:c>
      <x:c r="K289" s="17" t="str"/>
      <x:c r="L289" s="17" t="str">
        <x:v>已明确本题的对象与口径，开始获取所需证据。</x:v>
      </x:c>
      <x:c r="M289" s="17" t="str"/>
      <x:c r="N289" s="18" t="n">
        <x:v>5543.31</x:v>
      </x:c>
      <x:c r="O289" s="17" t="str">
        <x:v>public_sse_client_estimate</x:v>
      </x:c>
    </x:row>
    <x:row r="290" ht="48" customHeight="1">
      <x:c r="A290" s="17" t="str">
        <x:v>BUS063</x:v>
      </x:c>
      <x:c r="B290" s="17" t="str">
        <x:v>筛选最新报告期毛利率最高的业务分部记录。</x:v>
      </x:c>
      <x:c r="C290" s="17" t="n">
        <x:v>2</x:v>
      </x:c>
      <x:c r="D290" s="17" t="str">
        <x:v>数据口径</x:v>
      </x:c>
      <x:c r="E290" s="17" t="str">
        <x:v>9158.4</x:v>
      </x:c>
      <x:c r="F290" s="17" t="str">
        <x:v>9281.89</x:v>
      </x:c>
      <x:c r="G290" s="18" t="n">
        <x:v>123.49</x:v>
      </x:c>
      <x:c r="H290" s="18" t="n">
        <x:f>IFERROR(G290/1000,"")</x:f>
        <x:v>0.12348999999999999</x:v>
      </x:c>
      <x:c r="I290" s="19" t="n">
        <x:f>IFERROR(G290/J290,"")</x:f>
        <x:v>0.0023338349752451714</x:v>
      </x:c>
      <x:c r="J290" s="17" t="n">
        <x:v>52912.91</x:v>
      </x:c>
      <x:c r="K290" s="17" t="str"/>
      <x:c r="L290" s="17" t="str">
        <x:v>已定位个股业务分部视图，并确认了可用字段与时间口径。</x:v>
      </x:c>
      <x:c r="M290" s="17" t="str"/>
      <x:c r="N290" s="18" t="n">
        <x:v>0</x:v>
      </x:c>
      <x:c r="O290" s="17" t="str">
        <x:v>public_sse_client_estimate</x:v>
      </x:c>
    </x:row>
    <x:row r="291" ht="48" customHeight="1">
      <x:c r="A291" s="17" t="str">
        <x:v>BUS063</x:v>
      </x:c>
      <x:c r="B291" s="17" t="str">
        <x:v>筛选最新报告期毛利率最高的业务分部记录。</x:v>
      </x:c>
      <x:c r="C291" s="17" t="n">
        <x:v>3</x:v>
      </x:c>
      <x:c r="D291" s="17" t="str">
        <x:v>数据查询 1/1</x:v>
      </x:c>
      <x:c r="E291" s="17" t="str">
        <x:v>20568.27</x:v>
      </x:c>
      <x:c r="F291" s="17" t="str">
        <x:v>38446.4</x:v>
      </x:c>
      <x:c r="G291" s="18" t="n">
        <x:v>17878.13</x:v>
      </x:c>
      <x:c r="H291" s="18" t="n">
        <x:f>IFERROR(G291/1000,"")</x:f>
        <x:v>17.878130000000002</x:v>
      </x:c>
      <x:c r="I291" s="19" t="n">
        <x:f>IFERROR(G291/J291,"")</x:f>
        <x:v>0.3378784119036356</x:v>
      </x:c>
      <x:c r="J291" s="17" t="n">
        <x:v>52912.91</x:v>
      </x:c>
      <x:c r="K291" s="17" t="str"/>
      <x:c r="L291" s="17" t="str">
        <x:v>已完成：查询最新报告期毛利率最高的业务分部记录，获取毛利率、项目名称、收入、成本、毛利等字段，取得 20 条记录。</x:v>
      </x:c>
      <x:c r="M291" s="17" t="str"/>
      <x:c r="N291" s="18" t="n">
        <x:v>11286.38</x:v>
      </x:c>
      <x:c r="O291" s="17" t="str">
        <x:v>public_sse_client_estimate</x:v>
      </x:c>
    </x:row>
    <x:row r="292" ht="48" customHeight="1">
      <x:c r="A292" s="17" t="str">
        <x:v>BUS063</x:v>
      </x:c>
      <x:c r="B292" s="17" t="str">
        <x:v>筛选最新报告期毛利率最高的业务分部记录。</x:v>
      </x:c>
      <x:c r="C292" s="17" t="n">
        <x:v>4</x:v>
      </x:c>
      <x:c r="D292" s="17" t="str">
        <x:v>回答整理</x:v>
      </x:c>
      <x:c r="E292" s="17" t="str">
        <x:v>38446.4</x:v>
      </x:c>
      <x:c r="F292" s="17" t="str">
        <x:v>49861.66</x:v>
      </x:c>
      <x:c r="G292" s="18" t="n">
        <x:v>11415.26</x:v>
      </x:c>
      <x:c r="H292" s="18" t="n">
        <x:f>IFERROR(G292/1000,"")</x:f>
        <x:v>11.41526</x:v>
      </x:c>
      <x:c r="I292" s="19" t="n">
        <x:f>IFERROR(G292/J292,"")</x:f>
        <x:v>0.2157367644304575</x:v>
      </x:c>
      <x:c r="J292" s="17" t="n">
        <x:v>52912.91</x:v>
      </x:c>
      <x:c r="K292" s="17" t="str"/>
      <x:c r="L292" s="17" t="str">
        <x:v>证据与回答已整理完成。</x:v>
      </x:c>
      <x:c r="M292" s="17" t="str"/>
      <x:c r="N292" s="18" t="n">
        <x:v>0</x:v>
      </x:c>
      <x:c r="O292" s="17" t="str">
        <x:v>public_sse_client_estimate</x:v>
      </x:c>
    </x:row>
    <x:row r="293" ht="48" customHeight="1">
      <x:c r="A293" s="17" t="str">
        <x:v>BUS064</x:v>
      </x:c>
      <x:c r="B293" s="17" t="str">
        <x:v>查询美的集团按地区分部的收入占比。</x:v>
      </x:c>
      <x:c r="C293" s="17" t="n">
        <x:v>1</x:v>
      </x:c>
      <x:c r="D293" s="17" t="str">
        <x:v>问题理解</x:v>
      </x:c>
      <x:c r="E293" s="17" t="str">
        <x:v>5876.76</x:v>
      </x:c>
      <x:c r="F293" s="17" t="str">
        <x:v>8806.32</x:v>
      </x:c>
      <x:c r="G293" s="18" t="n">
        <x:v>2929.56</x:v>
      </x:c>
      <x:c r="H293" s="18" t="n">
        <x:f>IFERROR(G293/1000,"")</x:f>
        <x:v>2.92956</x:v>
      </x:c>
      <x:c r="I293" s="19" t="n">
        <x:f>IFERROR(G293/J293,"")</x:f>
        <x:v>0.03654495286427598</x:v>
      </x:c>
      <x:c r="J293" s="17" t="n">
        <x:v>80163.19</x:v>
      </x:c>
      <x:c r="K293" s="17" t="str"/>
      <x:c r="L293" s="17" t="str">
        <x:v>已明确本题的对象与口径，开始获取所需证据。</x:v>
      </x:c>
      <x:c r="M293" s="17" t="str"/>
      <x:c r="N293" s="18" t="n">
        <x:v>5876.76</x:v>
      </x:c>
      <x:c r="O293" s="17" t="str">
        <x:v>public_sse_client_estimate</x:v>
      </x:c>
    </x:row>
    <x:row r="294" ht="48" customHeight="1">
      <x:c r="A294" s="17" t="str">
        <x:v>BUS064</x:v>
      </x:c>
      <x:c r="B294" s="17" t="str">
        <x:v>查询美的集团按地区分部的收入占比。</x:v>
      </x:c>
      <x:c r="C294" s="17" t="n">
        <x:v>2</x:v>
      </x:c>
      <x:c r="D294" s="17" t="str">
        <x:v>数据口径</x:v>
      </x:c>
      <x:c r="E294" s="17" t="str">
        <x:v>8806.32</x:v>
      </x:c>
      <x:c r="F294" s="17" t="str">
        <x:v>8823.89</x:v>
      </x:c>
      <x:c r="G294" s="18" t="n">
        <x:v>17.57</x:v>
      </x:c>
      <x:c r="H294" s="18" t="n">
        <x:f>IFERROR(G294/1000,"")</x:f>
        <x:v>0.01757</x:v>
      </x:c>
      <x:c r="I294" s="19" t="n">
        <x:f>IFERROR(G294/J294,"")</x:f>
        <x:v>0.00021917790447211494</x:v>
      </x:c>
      <x:c r="J294" s="17" t="n">
        <x:v>80163.19</x:v>
      </x:c>
      <x:c r="K294" s="17" t="str"/>
      <x:c r="L294" s="17" t="str">
        <x:v>已定位个股业务分部视图，并确认了可用字段与时间口径。</x:v>
      </x:c>
      <x:c r="M294" s="17" t="str"/>
      <x:c r="N294" s="18" t="n">
        <x:v>0</x:v>
      </x:c>
      <x:c r="O294" s="17" t="str">
        <x:v>public_sse_client_estimate</x:v>
      </x:c>
    </x:row>
    <x:row r="295" ht="48" customHeight="1">
      <x:c r="A295" s="17" t="str">
        <x:v>BUS064</x:v>
      </x:c>
      <x:c r="B295" s="17" t="str">
        <x:v>查询美的集团按地区分部的收入占比。</x:v>
      </x:c>
      <x:c r="C295" s="17" t="n">
        <x:v>3</x:v>
      </x:c>
      <x:c r="D295" s="17" t="str">
        <x:v>数据查询 1/1</x:v>
      </x:c>
      <x:c r="E295" s="17" t="str">
        <x:v>12448.62</x:v>
      </x:c>
      <x:c r="F295" s="17" t="str">
        <x:v>29226.18</x:v>
      </x:c>
      <x:c r="G295" s="18" t="n">
        <x:v>16777.56</x:v>
      </x:c>
      <x:c r="H295" s="18" t="n">
        <x:f>IFERROR(G295/1000,"")</x:f>
        <x:v>16.77756</x:v>
      </x:c>
      <x:c r="I295" s="19" t="n">
        <x:f>IFERROR(G295/J295,"")</x:f>
        <x:v>0.20929256932015805</x:v>
      </x:c>
      <x:c r="J295" s="17" t="n">
        <x:v>80163.19</x:v>
      </x:c>
      <x:c r="K295" s="17" t="str"/>
      <x:c r="L295" s="17" t="str">
        <x:v>已完成：查询美的集团最新报告期按地区分部的收入占比，当前条件下没有匹配记录。</x:v>
      </x:c>
      <x:c r="M295" s="17" t="str"/>
      <x:c r="N295" s="18" t="n">
        <x:v>3624.73</x:v>
      </x:c>
      <x:c r="O295" s="17" t="str">
        <x:v>public_sse_client_estimate</x:v>
      </x:c>
    </x:row>
    <x:row r="296" ht="48" customHeight="1">
      <x:c r="A296" s="17" t="str">
        <x:v>BUS064</x:v>
      </x:c>
      <x:c r="B296" s="17" t="str">
        <x:v>查询美的集团按地区分部的收入占比。</x:v>
      </x:c>
      <x:c r="C296" s="17" t="n">
        <x:v>4</x:v>
      </x:c>
      <x:c r="D296" s="17" t="str">
        <x:v>数据查询 1/1</x:v>
      </x:c>
      <x:c r="E296" s="17" t="str">
        <x:v>32613.36</x:v>
      </x:c>
      <x:c r="F296" s="17" t="str">
        <x:v>46000.73</x:v>
      </x:c>
      <x:c r="G296" s="18" t="n">
        <x:v>13387.37</x:v>
      </x:c>
      <x:c r="H296" s="18" t="n">
        <x:f>IFERROR(G296/1000,"")</x:f>
        <x:v>13.38737</x:v>
      </x:c>
      <x:c r="I296" s="19" t="n">
        <x:f>IFERROR(G296/J296,"")</x:f>
        <x:v>0.16700146289088547</x:v>
      </x:c>
      <x:c r="J296" s="17" t="n">
        <x:v>80163.19</x:v>
      </x:c>
      <x:c r="K296" s="17" t="str"/>
      <x:c r="L296" s="17" t="str">
        <x:v>已完成：查看美的集团有哪些分部类型和产品/地区名称，取得 50 条记录。</x:v>
      </x:c>
      <x:c r="M296" s="17" t="str"/>
      <x:c r="N296" s="18" t="n">
        <x:v>3387.18</x:v>
      </x:c>
      <x:c r="O296" s="17" t="str">
        <x:v>public_sse_client_estimate</x:v>
      </x:c>
    </x:row>
    <x:row r="297" ht="48" customHeight="1">
      <x:c r="A297" s="17" t="str">
        <x:v>BUS064</x:v>
      </x:c>
      <x:c r="B297" s="17" t="str">
        <x:v>查询美的集团按地区分部的收入占比。</x:v>
      </x:c>
      <x:c r="C297" s="17" t="n">
        <x:v>5</x:v>
      </x:c>
      <x:c r="D297" s="17" t="str">
        <x:v>数据查询 1/1</x:v>
      </x:c>
      <x:c r="E297" s="17" t="str">
        <x:v>53324.92</x:v>
      </x:c>
      <x:c r="F297" s="17" t="str">
        <x:v>67589.09</x:v>
      </x:c>
      <x:c r="G297" s="18" t="n">
        <x:v>14264.17</x:v>
      </x:c>
      <x:c r="H297" s="18" t="n">
        <x:f>IFERROR(G297/1000,"")</x:f>
        <x:v>14.26417</x:v>
      </x:c>
      <x:c r="I297" s="19" t="n">
        <x:f>IFERROR(G297/J297,"")</x:f>
        <x:v>0.1779391513735918</x:v>
      </x:c>
      <x:c r="J297" s="17" t="n">
        <x:v>80163.19</x:v>
      </x:c>
      <x:c r="K297" s="17" t="str"/>
      <x:c r="L297" s="17" t="str">
        <x:v>已完成：查询美的集团各报告期按地区分部（国内/海外）的收入占比，取得 20 条记录。</x:v>
      </x:c>
      <x:c r="M297" s="17" t="str"/>
      <x:c r="N297" s="18" t="n">
        <x:v>7324.19</x:v>
      </x:c>
      <x:c r="O297" s="17" t="str">
        <x:v>public_sse_client_estimate</x:v>
      </x:c>
    </x:row>
    <x:row r="298" ht="48" customHeight="1">
      <x:c r="A298" s="17" t="str">
        <x:v>BUS064</x:v>
      </x:c>
      <x:c r="B298" s="17" t="str">
        <x:v>查询美的集团按地区分部的收入占比。</x:v>
      </x:c>
      <x:c r="C298" s="17" t="n">
        <x:v>6</x:v>
      </x:c>
      <x:c r="D298" s="17" t="str">
        <x:v>回答整理</x:v>
      </x:c>
      <x:c r="E298" s="17" t="str">
        <x:v>67589.09</x:v>
      </x:c>
      <x:c r="F298" s="17" t="str">
        <x:v>77508.9</x:v>
      </x:c>
      <x:c r="G298" s="18" t="n">
        <x:v>9919.81</x:v>
      </x:c>
      <x:c r="H298" s="18" t="n">
        <x:f>IFERROR(G298/1000,"")</x:f>
        <x:v>9.91981</x:v>
      </x:c>
      <x:c r="I298" s="19" t="n">
        <x:f>IFERROR(G298/J298,"")</x:f>
        <x:v>0.1237452002596204</x:v>
      </x:c>
      <x:c r="J298" s="17" t="n">
        <x:v>80163.19</x:v>
      </x:c>
      <x:c r="K298" s="17" t="str"/>
      <x:c r="L298" s="17" t="str">
        <x:v>证据与回答已整理完成。</x:v>
      </x:c>
      <x:c r="M298" s="17" t="str"/>
      <x:c r="N298" s="18" t="n">
        <x:v>0</x:v>
      </x:c>
      <x:c r="O298" s="17" t="str">
        <x:v>public_sse_client_estimate</x:v>
      </x:c>
    </x:row>
    <x:row r="299" ht="48" customHeight="1">
      <x:c r="A299" s="17" t="str">
        <x:v>BUS065</x:v>
      </x:c>
      <x:c r="B299" s="17" t="str">
        <x:v>最新报告期业务分部销售收入最高的前20条记录。</x:v>
      </x:c>
      <x:c r="C299" s="17" t="n">
        <x:v>1</x:v>
      </x:c>
      <x:c r="D299" s="17" t="str">
        <x:v>问题理解</x:v>
      </x:c>
      <x:c r="E299" s="17" t="str">
        <x:v>5406.85</x:v>
      </x:c>
      <x:c r="F299" s="17" t="str">
        <x:v>8124.59</x:v>
      </x:c>
      <x:c r="G299" s="18" t="n">
        <x:v>2717.74</x:v>
      </x:c>
      <x:c r="H299" s="18" t="n">
        <x:f>IFERROR(G299/1000,"")</x:f>
        <x:v>2.7177399999999996</x:v>
      </x:c>
      <x:c r="I299" s="19" t="n">
        <x:f>IFERROR(G299/J299,"")</x:f>
        <x:v>0.048217211820485655</x:v>
      </x:c>
      <x:c r="J299" s="17" t="n">
        <x:v>56364.52</x:v>
      </x:c>
      <x:c r="K299" s="17" t="str"/>
      <x:c r="L299" s="17" t="str">
        <x:v>已明确本题的对象与口径，开始获取所需证据。</x:v>
      </x:c>
      <x:c r="M299" s="17" t="str"/>
      <x:c r="N299" s="18" t="n">
        <x:v>5406.85</x:v>
      </x:c>
      <x:c r="O299" s="17" t="str">
        <x:v>public_sse_client_estimate</x:v>
      </x:c>
    </x:row>
    <x:row r="300" ht="48" customHeight="1">
      <x:c r="A300" s="17" t="str">
        <x:v>BUS065</x:v>
      </x:c>
      <x:c r="B300" s="17" t="str">
        <x:v>最新报告期业务分部销售收入最高的前20条记录。</x:v>
      </x:c>
      <x:c r="C300" s="17" t="n">
        <x:v>2</x:v>
      </x:c>
      <x:c r="D300" s="17" t="str">
        <x:v>数据口径</x:v>
      </x:c>
      <x:c r="E300" s="17" t="str">
        <x:v>8124.59</x:v>
      </x:c>
      <x:c r="F300" s="17" t="str">
        <x:v>8143.08</x:v>
      </x:c>
      <x:c r="G300" s="18" t="n">
        <x:v>18.49</x:v>
      </x:c>
      <x:c r="H300" s="18" t="n">
        <x:f>IFERROR(G300/1000,"")</x:f>
        <x:v>0.01849</x:v>
      </x:c>
      <x:c r="I300" s="19" t="n">
        <x:f>IFERROR(G300/J300,"")</x:f>
        <x:v>0.00032804324422526797</x:v>
      </x:c>
      <x:c r="J300" s="17" t="n">
        <x:v>56364.52</x:v>
      </x:c>
      <x:c r="K300" s="17" t="str"/>
      <x:c r="L300" s="17" t="str">
        <x:v>已定位个股业务分部视图，并确认了可用字段与时间口径。</x:v>
      </x:c>
      <x:c r="M300" s="17" t="str"/>
      <x:c r="N300" s="18" t="n">
        <x:v>0</x:v>
      </x:c>
      <x:c r="O300" s="17" t="str">
        <x:v>public_sse_client_estimate</x:v>
      </x:c>
    </x:row>
    <x:row r="301" ht="48" customHeight="1">
      <x:c r="A301" s="17" t="str">
        <x:v>BUS065</x:v>
      </x:c>
      <x:c r="B301" s="17" t="str">
        <x:v>最新报告期业务分部销售收入最高的前20条记录。</x:v>
      </x:c>
      <x:c r="C301" s="17" t="n">
        <x:v>3</x:v>
      </x:c>
      <x:c r="D301" s="17" t="str">
        <x:v>数据查询 1/2</x:v>
      </x:c>
      <x:c r="E301" s="17" t="str">
        <x:v>18933.85</x:v>
      </x:c>
      <x:c r="F301" s="17" t="str">
        <x:v>27569.91</x:v>
      </x:c>
      <x:c r="G301" s="18" t="n">
        <x:v>8636.06</x:v>
      </x:c>
      <x:c r="H301" s="18" t="n">
        <x:f>IFERROR(G301/1000,"")</x:f>
        <x:v>8.636059999999999</x:v>
      </x:c>
      <x:c r="I301" s="19" t="n">
        <x:f>IFERROR(G301/J301,"")</x:f>
        <x:v>0.1532180172917289</x:v>
      </x:c>
      <x:c r="J301" s="17" t="n">
        <x:v>56364.52</x:v>
      </x:c>
      <x:c r="K301" s="17" t="str"/>
      <x:c r="L301" s="17" t="str">
        <x:v>已完成：获取业务分部数据中最新报告期，取得 1 条记录。</x:v>
      </x:c>
      <x:c r="M301" s="17" t="str"/>
      <x:c r="N301" s="18" t="n">
        <x:v>10790.77</x:v>
      </x:c>
      <x:c r="O301" s="17" t="str">
        <x:v>public_sse_client_estimate</x:v>
      </x:c>
    </x:row>
    <x:row r="302" ht="48" customHeight="1">
      <x:c r="A302" s="17" t="str">
        <x:v>BUS065</x:v>
      </x:c>
      <x:c r="B302" s="17" t="str">
        <x:v>最新报告期业务分部销售收入最高的前20条记录。</x:v>
      </x:c>
      <x:c r="C302" s="17" t="n">
        <x:v>4</x:v>
      </x:c>
      <x:c r="D302" s="17" t="str">
        <x:v>数据查询 2/2</x:v>
      </x:c>
      <x:c r="E302" s="17" t="str">
        <x:v>27573.09</x:v>
      </x:c>
      <x:c r="F302" s="17" t="str">
        <x:v>27575.31</x:v>
      </x:c>
      <x:c r="G302" s="18" t="n">
        <x:v>2.22</x:v>
      </x:c>
      <x:c r="H302" s="18" t="n">
        <x:f>IFERROR(G302/1000,"")</x:f>
        <x:v>0.00222</x:v>
      </x:c>
      <x:c r="I302" s="19" t="n">
        <x:f>IFERROR(G302/J302,"")</x:f>
        <x:v>0.00003938647929584072</x:v>
      </x:c>
      <x:c r="J302" s="17" t="n">
        <x:v>56364.52</x:v>
      </x:c>
      <x:c r="K302" s="17" t="str"/>
      <x:c r="L302" s="17" t="str">
        <x:v>第 2 步的数据请求与目录口径不一致，正在修正。</x:v>
      </x:c>
      <x:c r="M302" s="17" t="str"/>
      <x:c r="N302" s="18" t="n">
        <x:v>3.18</x:v>
      </x:c>
      <x:c r="O302" s="17" t="str">
        <x:v>public_sse_client_estimate</x:v>
      </x:c>
    </x:row>
    <x:row r="303" ht="48" customHeight="1">
      <x:c r="A303" s="17" t="str">
        <x:v>BUS065</x:v>
      </x:c>
      <x:c r="B303" s="17" t="str">
        <x:v>最新报告期业务分部销售收入最高的前20条记录。</x:v>
      </x:c>
      <x:c r="C303" s="17" t="n">
        <x:v>5</x:v>
      </x:c>
      <x:c r="D303" s="17" t="str">
        <x:v>数据查询 1/1</x:v>
      </x:c>
      <x:c r="E303" s="17" t="str">
        <x:v>30493.36</x:v>
      </x:c>
      <x:c r="F303" s="17" t="str">
        <x:v>42775.5</x:v>
      </x:c>
      <x:c r="G303" s="18" t="n">
        <x:v>12282.14</x:v>
      </x:c>
      <x:c r="H303" s="18" t="n">
        <x:f>IFERROR(G303/1000,"")</x:f>
        <x:v>12.28214</x:v>
      </x:c>
      <x:c r="I303" s="19" t="n">
        <x:f>IFERROR(G303/J303,"")</x:f>
        <x:v>0.21790551928766536</x:v>
      </x:c>
      <x:c r="J303" s="17" t="n">
        <x:v>56364.52</x:v>
      </x:c>
      <x:c r="K303" s="17" t="str"/>
      <x:c r="L303" s="17" t="str">
        <x:v>已完成：查询最新报告期(2026-06-30)下业务分部销售收入最高的前20条记录，取得 20 条记录。</x:v>
      </x:c>
      <x:c r="M303" s="17" t="str"/>
      <x:c r="N303" s="18" t="n">
        <x:v>2918.05</x:v>
      </x:c>
      <x:c r="O303" s="17" t="str">
        <x:v>public_sse_client_estimate</x:v>
      </x:c>
    </x:row>
    <x:row r="304" ht="48" customHeight="1">
      <x:c r="A304" s="17" t="str">
        <x:v>BUS065</x:v>
      </x:c>
      <x:c r="B304" s="17" t="str">
        <x:v>最新报告期业务分部销售收入最高的前20条记录。</x:v>
      </x:c>
      <x:c r="C304" s="17" t="n">
        <x:v>6</x:v>
      </x:c>
      <x:c r="D304" s="17" t="str">
        <x:v>回答整理</x:v>
      </x:c>
      <x:c r="E304" s="17" t="str">
        <x:v>42775.5</x:v>
      </x:c>
      <x:c r="F304" s="17" t="str">
        <x:v>53995.58</x:v>
      </x:c>
      <x:c r="G304" s="18" t="n">
        <x:v>11220.08</x:v>
      </x:c>
      <x:c r="H304" s="18" t="n">
        <x:f>IFERROR(G304/1000,"")</x:f>
        <x:v>11.22008</x:v>
      </x:c>
      <x:c r="I304" s="19" t="n">
        <x:f>IFERROR(G304/J304,"")</x:f>
        <x:v>0.19906281469264708</x:v>
      </x:c>
      <x:c r="J304" s="17" t="n">
        <x:v>56364.52</x:v>
      </x:c>
      <x:c r="K304" s="17" t="str"/>
      <x:c r="L304" s="17" t="str">
        <x:v>证据与回答已整理完成。</x:v>
      </x:c>
      <x:c r="M304" s="17" t="str"/>
      <x:c r="N304" s="18" t="n">
        <x:v>0</x:v>
      </x:c>
      <x:c r="O304" s="17" t="str">
        <x:v>public_sse_client_estimate</x:v>
      </x:c>
    </x:row>
    <x:row r="305" ht="48" customHeight="1">
      <x:c r="A305" s="17" t="str">
        <x:v>BUS066</x:v>
      </x:c>
      <x:c r="B305" s="17" t="str">
        <x:v>查询项目名称包含新能源的业务分部销售收入和毛利率。</x:v>
      </x:c>
      <x:c r="C305" s="17" t="n">
        <x:v>1</x:v>
      </x:c>
      <x:c r="D305" s="17" t="str">
        <x:v>问题理解</x:v>
      </x:c>
      <x:c r="E305" s="17" t="str">
        <x:v>5117.41</x:v>
      </x:c>
      <x:c r="F305" s="17" t="str">
        <x:v>8244.92</x:v>
      </x:c>
      <x:c r="G305" s="18" t="n">
        <x:v>3127.51</x:v>
      </x:c>
      <x:c r="H305" s="18" t="n">
        <x:f>IFERROR(G305/1000,"")</x:f>
        <x:v>3.12751</x:v>
      </x:c>
      <x:c r="I305" s="19" t="n">
        <x:f>IFERROR(G305/J305,"")</x:f>
        <x:v>0.07681455539681008</x:v>
      </x:c>
      <x:c r="J305" s="17" t="n">
        <x:v>40715.07</x:v>
      </x:c>
      <x:c r="K305" s="17" t="str"/>
      <x:c r="L305" s="17" t="str">
        <x:v>已明确本题的对象与口径，开始获取所需证据。</x:v>
      </x:c>
      <x:c r="M305" s="17" t="str"/>
      <x:c r="N305" s="18" t="n">
        <x:v>5117.41</x:v>
      </x:c>
      <x:c r="O305" s="17" t="str">
        <x:v>public_sse_client_estimate</x:v>
      </x:c>
    </x:row>
    <x:row r="306" ht="48" customHeight="1">
      <x:c r="A306" s="17" t="str">
        <x:v>BUS066</x:v>
      </x:c>
      <x:c r="B306" s="17" t="str">
        <x:v>查询项目名称包含新能源的业务分部销售收入和毛利率。</x:v>
      </x:c>
      <x:c r="C306" s="17" t="n">
        <x:v>2</x:v>
      </x:c>
      <x:c r="D306" s="17" t="str">
        <x:v>数据口径</x:v>
      </x:c>
      <x:c r="E306" s="17" t="str">
        <x:v>8244.92</x:v>
      </x:c>
      <x:c r="F306" s="17" t="str">
        <x:v>8263.13</x:v>
      </x:c>
      <x:c r="G306" s="18" t="n">
        <x:v>18.21</x:v>
      </x:c>
      <x:c r="H306" s="18" t="n">
        <x:f>IFERROR(G306/1000,"")</x:f>
        <x:v>0.01821</x:v>
      </x:c>
      <x:c r="I306" s="19" t="n">
        <x:f>IFERROR(G306/J306,"")</x:f>
        <x:v>0.00044725454235986824</x:v>
      </x:c>
      <x:c r="J306" s="17" t="n">
        <x:v>40715.07</x:v>
      </x:c>
      <x:c r="K306" s="17" t="str"/>
      <x:c r="L306" s="17" t="str">
        <x:v>已定位个股业务分部视图，并确认了可用字段与时间口径。</x:v>
      </x:c>
      <x:c r="M306" s="17" t="str"/>
      <x:c r="N306" s="18" t="n">
        <x:v>0</x:v>
      </x:c>
      <x:c r="O306" s="17" t="str">
        <x:v>public_sse_client_estimate</x:v>
      </x:c>
    </x:row>
    <x:row r="307" ht="48" customHeight="1">
      <x:c r="A307" s="17" t="str">
        <x:v>BUS066</x:v>
      </x:c>
      <x:c r="B307" s="17" t="str">
        <x:v>查询项目名称包含新能源的业务分部销售收入和毛利率。</x:v>
      </x:c>
      <x:c r="C307" s="17" t="n">
        <x:v>3</x:v>
      </x:c>
      <x:c r="D307" s="17" t="str">
        <x:v>数据查询 1/1</x:v>
      </x:c>
      <x:c r="E307" s="17" t="str">
        <x:v>16781.26</x:v>
      </x:c>
      <x:c r="F307" s="17" t="str">
        <x:v>21877.79</x:v>
      </x:c>
      <x:c r="G307" s="18" t="n">
        <x:v>5096.53</x:v>
      </x:c>
      <x:c r="H307" s="18" t="n">
        <x:f>IFERROR(G307/1000,"")</x:f>
        <x:v>5.09653</x:v>
      </x:c>
      <x:c r="I307" s="19" t="n">
        <x:f>IFERROR(G307/J307,"")</x:f>
        <x:v>0.12517551854878303</x:v>
      </x:c>
      <x:c r="J307" s="17" t="n">
        <x:v>40715.07</x:v>
      </x:c>
      <x:c r="K307" s="17" t="str"/>
      <x:c r="L307" s="17" t="str">
        <x:v>已完成：查询所有业务分部名称包含新能源的销售收入和毛利率，取得 50 条记录。</x:v>
      </x:c>
      <x:c r="M307" s="17" t="str"/>
      <x:c r="N307" s="18" t="n">
        <x:v>8518.13</x:v>
      </x:c>
      <x:c r="O307" s="17" t="str">
        <x:v>public_sse_client_estimate</x:v>
      </x:c>
    </x:row>
    <x:row r="308" ht="48" customHeight="1">
      <x:c r="A308" s="17" t="str">
        <x:v>BUS066</x:v>
      </x:c>
      <x:c r="B308" s="17" t="str">
        <x:v>查询项目名称包含新能源的业务分部销售收入和毛利率。</x:v>
      </x:c>
      <x:c r="C308" s="17" t="n">
        <x:v>4</x:v>
      </x:c>
      <x:c r="D308" s="17" t="str">
        <x:v>回答整理</x:v>
      </x:c>
      <x:c r="E308" s="17" t="str">
        <x:v>21877.79</x:v>
      </x:c>
      <x:c r="F308" s="17" t="str">
        <x:v>37941.65</x:v>
      </x:c>
      <x:c r="G308" s="18" t="n">
        <x:v>16063.86</x:v>
      </x:c>
      <x:c r="H308" s="18" t="n">
        <x:f>IFERROR(G308/1000,"")</x:f>
        <x:v>16.063860000000002</x:v>
      </x:c>
      <x:c r="I308" s="19" t="n">
        <x:f>IFERROR(G308/J308,"")</x:f>
        <x:v>0.3945433472176273</x:v>
      </x:c>
      <x:c r="J308" s="17" t="n">
        <x:v>40715.07</x:v>
      </x:c>
      <x:c r="K308" s="17" t="str"/>
      <x:c r="L308" s="17" t="str">
        <x:v>证据与回答已整理完成。</x:v>
      </x:c>
      <x:c r="M308" s="17" t="str"/>
      <x:c r="N308" s="18" t="n">
        <x:v>0</x:v>
      </x:c>
      <x:c r="O308" s="17" t="str">
        <x:v>public_sse_client_estimate</x:v>
      </x:c>
    </x:row>
    <x:row r="309" ht="48" customHeight="1">
      <x:c r="A309" s="17" t="str">
        <x:v>BUS067</x:v>
      </x:c>
      <x:c r="B309" s="17" t="str">
        <x:v>按申万一级行业统计今天股票平均涨跌幅和上涨家数。</x:v>
      </x:c>
      <x:c r="C309" s="17" t="n">
        <x:v>1</x:v>
      </x:c>
      <x:c r="D309" s="17" t="str">
        <x:v>问题理解</x:v>
      </x:c>
      <x:c r="E309" s="17" t="str">
        <x:v>5712.78</x:v>
      </x:c>
      <x:c r="F309" s="17" t="str">
        <x:v>11881.61</x:v>
      </x:c>
      <x:c r="G309" s="18" t="n">
        <x:v>6168.83</x:v>
      </x:c>
      <x:c r="H309" s="18" t="n">
        <x:f>IFERROR(G309/1000,"")</x:f>
        <x:v>6.16883</x:v>
      </x:c>
      <x:c r="I309" s="19" t="n">
        <x:f>IFERROR(G309/J309,"")</x:f>
        <x:v>0.09203165057025689</x:v>
      </x:c>
      <x:c r="J309" s="17" t="n">
        <x:v>67029.44</x:v>
      </x:c>
      <x:c r="K309" s="17" t="str"/>
      <x:c r="L309" s="17" t="str">
        <x:v>已明确本题的对象与口径，开始获取所需证据。</x:v>
      </x:c>
      <x:c r="M309" s="17" t="str"/>
      <x:c r="N309" s="18" t="n">
        <x:v>5712.78</x:v>
      </x:c>
      <x:c r="O309" s="17" t="str">
        <x:v>public_sse_client_estimate</x:v>
      </x:c>
    </x:row>
    <x:row r="310" ht="48" customHeight="1">
      <x:c r="A310" s="17" t="str">
        <x:v>BUS067</x:v>
      </x:c>
      <x:c r="B310" s="17" t="str">
        <x:v>按申万一级行业统计今天股票平均涨跌幅和上涨家数。</x:v>
      </x:c>
      <x:c r="C310" s="17" t="n">
        <x:v>2</x:v>
      </x:c>
      <x:c r="D310" s="17" t="str">
        <x:v>数据口径</x:v>
      </x:c>
      <x:c r="E310" s="17" t="str">
        <x:v>11881.61</x:v>
      </x:c>
      <x:c r="F310" s="17" t="str">
        <x:v>11909.93</x:v>
      </x:c>
      <x:c r="G310" s="18" t="n">
        <x:v>28.32</x:v>
      </x:c>
      <x:c r="H310" s="18" t="n">
        <x:f>IFERROR(G310/1000,"")</x:f>
        <x:v>0.02832</x:v>
      </x:c>
      <x:c r="I310" s="19" t="n">
        <x:f>IFERROR(G310/J310,"")</x:f>
        <x:v>0.0004225009189991741</x:v>
      </x:c>
      <x:c r="J310" s="17" t="n">
        <x:v>67029.44</x:v>
      </x:c>
      <x:c r="K310" s="17" t="str"/>
      <x:c r="L310" s="17" t="str">
        <x:v>已定位行业成分关系视图，并确认了可用字段与时间口径。</x:v>
      </x:c>
      <x:c r="M310" s="17" t="str"/>
      <x:c r="N310" s="18" t="n">
        <x:v>0</x:v>
      </x:c>
      <x:c r="O310" s="17" t="str">
        <x:v>public_sse_client_estimate</x:v>
      </x:c>
    </x:row>
    <x:row r="311" ht="48" customHeight="1">
      <x:c r="A311" s="17" t="str">
        <x:v>BUS067</x:v>
      </x:c>
      <x:c r="B311" s="17" t="str">
        <x:v>按申万一级行业统计今天股票平均涨跌幅和上涨家数。</x:v>
      </x:c>
      <x:c r="C311" s="17" t="n">
        <x:v>3</x:v>
      </x:c>
      <x:c r="D311" s="17" t="str">
        <x:v>数据查询 1/2</x:v>
      </x:c>
      <x:c r="E311" s="17" t="str">
        <x:v>27931.19</x:v>
      </x:c>
      <x:c r="F311" s="17" t="str">
        <x:v>28946.74</x:v>
      </x:c>
      <x:c r="G311" s="18" t="n">
        <x:v>1015.55</x:v>
      </x:c>
      <x:c r="H311" s="18" t="n">
        <x:f>IFERROR(G311/1000,"")</x:f>
        <x:v>1.01555</x:v>
      </x:c>
      <x:c r="I311" s="19" t="n">
        <x:f>IFERROR(G311/J311,"")</x:f>
        <x:v>0.015150805377458023</x:v>
      </x:c>
      <x:c r="J311" s="17" t="n">
        <x:v>67029.44</x:v>
      </x:c>
      <x:c r="K311" s="17" t="str"/>
      <x:c r="L311" s="17" t="str">
        <x:v>已完成：按申万一级行业统计最近交易日成分股的平均涨跌幅，当前条件下没有匹配记录。</x:v>
      </x:c>
      <x:c r="M311" s="17" t="str"/>
      <x:c r="N311" s="18" t="n">
        <x:v>16021.26</x:v>
      </x:c>
      <x:c r="O311" s="17" t="str">
        <x:v>public_sse_client_estimate</x:v>
      </x:c>
    </x:row>
    <x:row r="312" ht="48" customHeight="1">
      <x:c r="A312" s="17" t="str">
        <x:v>BUS067</x:v>
      </x:c>
      <x:c r="B312" s="17" t="str">
        <x:v>按申万一级行业统计今天股票平均涨跌幅和上涨家数。</x:v>
      </x:c>
      <x:c r="C312" s="17" t="n">
        <x:v>4</x:v>
      </x:c>
      <x:c r="D312" s="17" t="str">
        <x:v>数据查询 2/2</x:v>
      </x:c>
      <x:c r="E312" s="17" t="str">
        <x:v>28952.66</x:v>
      </x:c>
      <x:c r="F312" s="17" t="str">
        <x:v>29966.13</x:v>
      </x:c>
      <x:c r="G312" s="18" t="n">
        <x:v>1013.47</x:v>
      </x:c>
      <x:c r="H312" s="18" t="n">
        <x:f>IFERROR(G312/1000,"")</x:f>
        <x:v>1.01347</x:v>
      </x:c>
      <x:c r="I312" s="19" t="n">
        <x:f>IFERROR(G312/J312,"")</x:f>
        <x:v>0.015119774236514583</x:v>
      </x:c>
      <x:c r="J312" s="17" t="n">
        <x:v>67029.44</x:v>
      </x:c>
      <x:c r="K312" s="17" t="str"/>
      <x:c r="L312" s="17" t="str">
        <x:v>已完成：按申万一级行业统计最近交易日上涨成分股（涨跌幅&gt;0）的家数，当前条件下没有匹配记录。</x:v>
      </x:c>
      <x:c r="M312" s="17" t="str"/>
      <x:c r="N312" s="18" t="n">
        <x:v>5.92</x:v>
      </x:c>
      <x:c r="O312" s="17" t="str">
        <x:v>public_sse_client_estimate</x:v>
      </x:c>
    </x:row>
    <x:row r="313" ht="48" customHeight="1">
      <x:c r="A313" s="17" t="str">
        <x:v>BUS067</x:v>
      </x:c>
      <x:c r="B313" s="17" t="str">
        <x:v>按申万一级行业统计今天股票平均涨跌幅和上涨家数。</x:v>
      </x:c>
      <x:c r="C313" s="17" t="n">
        <x:v>5</x:v>
      </x:c>
      <x:c r="D313" s="17" t="str">
        <x:v>数据查询 1/1</x:v>
      </x:c>
      <x:c r="E313" s="17" t="str">
        <x:v>34231.82</x:v>
      </x:c>
      <x:c r="F313" s="17" t="str">
        <x:v>34814.61</x:v>
      </x:c>
      <x:c r="G313" s="18" t="n">
        <x:v>582.79</x:v>
      </x:c>
      <x:c r="H313" s="18" t="n">
        <x:f>IFERROR(G313/1000,"")</x:f>
        <x:v>0.5827899999999999</x:v>
      </x:c>
      <x:c r="I313" s="19" t="n">
        <x:f>IFERROR(G313/J313,"")</x:f>
        <x:v>0.0086945378030907</x:v>
      </x:c>
      <x:c r="J313" s="17" t="n">
        <x:v>67029.44</x:v>
      </x:c>
      <x:c r="K313" s="17" t="str"/>
      <x:c r="L313" s="17" t="str">
        <x:v>已完成：获取申万一级行业及其成分股列表，当前条件下没有匹配记录。</x:v>
      </x:c>
      <x:c r="M313" s="17" t="str"/>
      <x:c r="N313" s="18" t="n">
        <x:v>4265.69</x:v>
      </x:c>
      <x:c r="O313" s="17" t="str">
        <x:v>public_sse_client_estimate</x:v>
      </x:c>
    </x:row>
    <x:row r="314" ht="48" customHeight="1">
      <x:c r="A314" s="17" t="str">
        <x:v>BUS067</x:v>
      </x:c>
      <x:c r="B314" s="17" t="str">
        <x:v>按申万一级行业统计今天股票平均涨跌幅和上涨家数。</x:v>
      </x:c>
      <x:c r="C314" s="17" t="n">
        <x:v>6</x:v>
      </x:c>
      <x:c r="D314" s="17" t="str">
        <x:v>数据口径</x:v>
      </x:c>
      <x:c r="E314" s="17" t="str">
        <x:v>34814.61</x:v>
      </x:c>
      <x:c r="F314" s="17" t="str">
        <x:v>37739.59</x:v>
      </x:c>
      <x:c r="G314" s="18" t="n">
        <x:v>2924.98</x:v>
      </x:c>
      <x:c r="H314" s="18" t="n">
        <x:f>IFERROR(G314/1000,"")</x:f>
        <x:v>2.92498</x:v>
      </x:c>
      <x:c r="I314" s="19" t="n">
        <x:f>IFERROR(G314/J314,"")</x:f>
        <x:v>0.04363724357536032</x:v>
      </x:c>
      <x:c r="J314" s="17" t="n">
        <x:v>67029.44</x:v>
      </x:c>
      <x:c r="K314" s="17" t="str"/>
      <x:c r="L314" s="17" t="str">
        <x:v>已定位行业基础信息视图，并确认了可用字段与时间口径。</x:v>
      </x:c>
      <x:c r="M314" s="17" t="str"/>
      <x:c r="N314" s="18" t="n">
        <x:v>0</x:v>
      </x:c>
      <x:c r="O314" s="17" t="str">
        <x:v>public_sse_client_estimate</x:v>
      </x:c>
    </x:row>
    <x:row r="315" ht="48" customHeight="1">
      <x:c r="A315" s="17" t="str">
        <x:v>BUS067</x:v>
      </x:c>
      <x:c r="B315" s="17" t="str">
        <x:v>按申万一级行业统计今天股票平均涨跌幅和上涨家数。</x:v>
      </x:c>
      <x:c r="C315" s="17" t="n">
        <x:v>7</x:v>
      </x:c>
      <x:c r="D315" s="17" t="str">
        <x:v>数据查询 1/1</x:v>
      </x:c>
      <x:c r="E315" s="17" t="str">
        <x:v>39906</x:v>
      </x:c>
      <x:c r="F315" s="17" t="str">
        <x:v>40376.6</x:v>
      </x:c>
      <x:c r="G315" s="18" t="n">
        <x:v>470.6</x:v>
      </x:c>
      <x:c r="H315" s="18" t="n">
        <x:f>IFERROR(G315/1000,"")</x:f>
        <x:v>0.4706</x:v>
      </x:c>
      <x:c r="I315" s="19" t="n">
        <x:f>IFERROR(G315/J315,"")</x:f>
        <x:v>0.00702079563845379</x:v>
      </x:c>
      <x:c r="J315" s="17" t="n">
        <x:v>67029.44</x:v>
      </x:c>
      <x:c r="K315" s="17" t="str"/>
      <x:c r="L315" s="17" t="str">
        <x:v>已完成：获取申万一级行业基本信息列表，取得 31 条记录。</x:v>
      </x:c>
      <x:c r="M315" s="17" t="str"/>
      <x:c r="N315" s="18" t="n">
        <x:v>2166.41</x:v>
      </x:c>
      <x:c r="O315" s="17" t="str">
        <x:v>public_sse_client_estimate</x:v>
      </x:c>
    </x:row>
    <x:row r="316" ht="48" customHeight="1">
      <x:c r="A316" s="17" t="str">
        <x:v>BUS067</x:v>
      </x:c>
      <x:c r="B316" s="17" t="str">
        <x:v>按申万一级行业统计今天股票平均涨跌幅和上涨家数。</x:v>
      </x:c>
      <x:c r="C316" s="17" t="n">
        <x:v>8</x:v>
      </x:c>
      <x:c r="D316" s="17" t="str">
        <x:v>数据查询 1/1</x:v>
      </x:c>
      <x:c r="E316" s="17" t="str">
        <x:v>43179.33</x:v>
      </x:c>
      <x:c r="F316" s="17" t="str">
        <x:v>43636.12</x:v>
      </x:c>
      <x:c r="G316" s="18" t="n">
        <x:v>456.79</x:v>
      </x:c>
      <x:c r="H316" s="18" t="n">
        <x:f>IFERROR(G316/1000,"")</x:f>
        <x:v>0.45679000000000003</x:v>
      </x:c>
      <x:c r="I316" s="19" t="n">
        <x:f>IFERROR(G316/J316,"")</x:f>
        <x:v>0.006814766765170647</x:v>
      </x:c>
      <x:c r="J316" s="17" t="n">
        <x:v>67029.44</x:v>
      </x:c>
      <x:c r="K316" s="17" t="str"/>
      <x:c r="L316" s="17" t="str">
        <x:v>已完成：测试一个具体行业（银行）的成分股列表，取得 5 条记录。</x:v>
      </x:c>
      <x:c r="M316" s="17" t="str"/>
      <x:c r="N316" s="18" t="n">
        <x:v>2802.73</x:v>
      </x:c>
      <x:c r="O316" s="17" t="str">
        <x:v>public_sse_client_estimate</x:v>
      </x:c>
    </x:row>
    <x:row r="317" ht="48" customHeight="1">
      <x:c r="A317" s="17" t="str">
        <x:v>BUS067</x:v>
      </x:c>
      <x:c r="B317" s="17" t="str">
        <x:v>按申万一级行业统计今天股票平均涨跌幅和上涨家数。</x:v>
      </x:c>
      <x:c r="C317" s="17" t="n">
        <x:v>9</x:v>
      </x:c>
      <x:c r="D317" s="17" t="str">
        <x:v>数据查询 1/2</x:v>
      </x:c>
      <x:c r="E317" s="17" t="str">
        <x:v>48429.84</x:v>
      </x:c>
      <x:c r="F317" s="17" t="str">
        <x:v>51222.44</x:v>
      </x:c>
      <x:c r="G317" s="18" t="n">
        <x:v>2792.6</x:v>
      </x:c>
      <x:c r="H317" s="18" t="n">
        <x:f>IFERROR(G317/1000,"")</x:f>
        <x:v>2.7925999999999997</x:v>
      </x:c>
      <x:c r="I317" s="19" t="n">
        <x:f>IFERROR(G317/J317,"")</x:f>
        <x:v>0.041662290480123355</x:v>
      </x:c>
      <x:c r="J317" s="17" t="n">
        <x:v>67029.44</x:v>
      </x:c>
      <x:c r="K317" s="17" t="str"/>
      <x:c r="L317" s="17" t="str">
        <x:v>已完成：按申万一级行业统计最近交易日成分股的平均涨跌幅（通过level1_industry_name分组），取得 31 条记录。</x:v>
      </x:c>
      <x:c r="M317" s="17" t="str"/>
      <x:c r="N317" s="18" t="n">
        <x:v>4793.72</x:v>
      </x:c>
      <x:c r="O317" s="17" t="str">
        <x:v>public_sse_client_estimate</x:v>
      </x:c>
    </x:row>
    <x:row r="318" ht="48" customHeight="1">
      <x:c r="A318" s="17" t="str">
        <x:v>BUS067</x:v>
      </x:c>
      <x:c r="B318" s="17" t="str">
        <x:v>按申万一级行业统计今天股票平均涨跌幅和上涨家数。</x:v>
      </x:c>
      <x:c r="C318" s="17" t="n">
        <x:v>10</x:v>
      </x:c>
      <x:c r="D318" s="17" t="str">
        <x:v>数据查询 2/2</x:v>
      </x:c>
      <x:c r="E318" s="17" t="str">
        <x:v>51228.98</x:v>
      </x:c>
      <x:c r="F318" s="17" t="str">
        <x:v>53862.92</x:v>
      </x:c>
      <x:c r="G318" s="18" t="n">
        <x:v>2633.94</x:v>
      </x:c>
      <x:c r="H318" s="18" t="n">
        <x:f>IFERROR(G318/1000,"")</x:f>
        <x:v>2.63394</x:v>
      </x:c>
      <x:c r="I318" s="19" t="n">
        <x:f>IFERROR(G318/J318,"")</x:f>
        <x:v>0.03929527085412022</x:v>
      </x:c>
      <x:c r="J318" s="17" t="n">
        <x:v>67029.44</x:v>
      </x:c>
      <x:c r="K318" s="17" t="str"/>
      <x:c r="L318" s="17" t="str">
        <x:v>已完成：按申万一级行业统计最近交易日上涨成分股（涨跌幅&gt;0）的家数，取得 31 条记录。</x:v>
      </x:c>
      <x:c r="M318" s="17" t="str"/>
      <x:c r="N318" s="18" t="n">
        <x:v>6.54</x:v>
      </x:c>
      <x:c r="O318" s="17" t="str">
        <x:v>public_sse_client_estimate</x:v>
      </x:c>
    </x:row>
    <x:row r="319" ht="48" customHeight="1">
      <x:c r="A319" s="17" t="str">
        <x:v>BUS067</x:v>
      </x:c>
      <x:c r="B319" s="17" t="str">
        <x:v>按申万一级行业统计今天股票平均涨跌幅和上涨家数。</x:v>
      </x:c>
      <x:c r="C319" s="17" t="n">
        <x:v>11</x:v>
      </x:c>
      <x:c r="D319" s="17" t="str">
        <x:v>回答整理</x:v>
      </x:c>
      <x:c r="E319" s="17" t="str">
        <x:v>53862.92</x:v>
      </x:c>
      <x:c r="F319" s="17" t="str">
        <x:v>63560.77</x:v>
      </x:c>
      <x:c r="G319" s="18" t="n">
        <x:v>9697.85</x:v>
      </x:c>
      <x:c r="H319" s="18" t="n">
        <x:f>IFERROR(G319/1000,"")</x:f>
        <x:v>9.69785</x:v>
      </x:c>
      <x:c r="I319" s="19" t="n">
        <x:f>IFERROR(G319/J319,"")</x:f>
        <x:v>0.1446804568261349</x:v>
      </x:c>
      <x:c r="J319" s="17" t="n">
        <x:v>67029.44</x:v>
      </x:c>
      <x:c r="K319" s="17" t="str"/>
      <x:c r="L319" s="17" t="str">
        <x:v>证据与回答已整理完成。</x:v>
      </x:c>
      <x:c r="M319" s="17" t="str"/>
      <x:c r="N319" s="18" t="n">
        <x:v>0</x:v>
      </x:c>
      <x:c r="O319" s="17" t="str">
        <x:v>public_sse_client_estimate</x:v>
      </x:c>
    </x:row>
    <x:row r="320" ht="48" customHeight="1">
      <x:c r="A320" s="17" t="str">
        <x:v>BUS068</x:v>
      </x:c>
      <x:c r="B320" s="17" t="str">
        <x:v>筛选近20个交易日累计涨幅超过30%且当前成交额超过10亿元的股票。</x:v>
      </x:c>
      <x:c r="C320" s="17" t="n">
        <x:v>1</x:v>
      </x:c>
      <x:c r="D320" s="17" t="str">
        <x:v>问题理解</x:v>
      </x:c>
      <x:c r="E320" s="17" t="str">
        <x:v>5453.17</x:v>
      </x:c>
      <x:c r="F320" s="17" t="str">
        <x:v>9420.72</x:v>
      </x:c>
      <x:c r="G320" s="18" t="n">
        <x:v>3967.55</x:v>
      </x:c>
      <x:c r="H320" s="18" t="n">
        <x:f>IFERROR(G320/1000,"")</x:f>
        <x:v>3.96755</x:v>
      </x:c>
      <x:c r="I320" s="19" t="n">
        <x:f>IFERROR(G320/J320,"")</x:f>
        <x:v>0.07621653406341482</x:v>
      </x:c>
      <x:c r="J320" s="17" t="n">
        <x:v>52056.29</x:v>
      </x:c>
      <x:c r="K320" s="17" t="str"/>
      <x:c r="L320" s="17" t="str">
        <x:v>已明确本题的对象与口径，开始获取所需证据。</x:v>
      </x:c>
      <x:c r="M320" s="17" t="str"/>
      <x:c r="N320" s="18" t="n">
        <x:v>5453.17</x:v>
      </x:c>
      <x:c r="O320" s="17" t="str">
        <x:v>public_sse_client_estimate</x:v>
      </x:c>
    </x:row>
    <x:row r="321" ht="48" customHeight="1">
      <x:c r="A321" s="17" t="str">
        <x:v>BUS068</x:v>
      </x:c>
      <x:c r="B321" s="17" t="str">
        <x:v>筛选近20个交易日累计涨幅超过30%且当前成交额超过10亿元的股票。</x:v>
      </x:c>
      <x:c r="C321" s="17" t="n">
        <x:v>2</x:v>
      </x:c>
      <x:c r="D321" s="17" t="str">
        <x:v>专业分析方法</x:v>
      </x:c>
      <x:c r="E321" s="17" t="str">
        <x:v>9424.83</x:v>
      </x:c>
      <x:c r="F321" s="17" t="str">
        <x:v>9661.08</x:v>
      </x:c>
      <x:c r="G321" s="18" t="n">
        <x:v>236.25</x:v>
      </x:c>
      <x:c r="H321" s="18" t="n">
        <x:f>IFERROR(G321/1000,"")</x:f>
        <x:v>0.23625</x:v>
      </x:c>
      <x:c r="I321" s="19" t="n">
        <x:f>IFERROR(G321/J321,"")</x:f>
        <x:v>0.004538356459901387</x:v>
      </x:c>
      <x:c r="J321" s="17" t="n">
        <x:v>52056.29</x:v>
      </x:c>
      <x:c r="K321" s="17" t="str"/>
      <x:c r="L321" s="17" t="str">
        <x:v>专业分析方法已就绪。</x:v>
      </x:c>
      <x:c r="M321" s="17" t="str"/>
      <x:c r="N321" s="18" t="n">
        <x:v>4.11</x:v>
      </x:c>
      <x:c r="O321" s="17" t="str">
        <x:v>public_sse_client_estimate</x:v>
      </x:c>
    </x:row>
    <x:row r="322" ht="48" customHeight="1">
      <x:c r="A322" s="17" t="str">
        <x:v>BUS068</x:v>
      </x:c>
      <x:c r="B322" s="17" t="str">
        <x:v>筛选近20个交易日累计涨幅超过30%且当前成交额超过10亿元的股票。</x:v>
      </x:c>
      <x:c r="C322" s="17" t="n">
        <x:v>3</x:v>
      </x:c>
      <x:c r="D322" s="17" t="str">
        <x:v>数据口径</x:v>
      </x:c>
      <x:c r="E322" s="17" t="str">
        <x:v>9661.08</x:v>
      </x:c>
      <x:c r="F322" s="17" t="str">
        <x:v>12704.66</x:v>
      </x:c>
      <x:c r="G322" s="18" t="n">
        <x:v>3043.58</x:v>
      </x:c>
      <x:c r="H322" s="18" t="n">
        <x:f>IFERROR(G322/1000,"")</x:f>
        <x:v>3.04358</x:v>
      </x:c>
      <x:c r="I322" s="19" t="n">
        <x:f>IFERROR(G322/J322,"")</x:f>
        <x:v>0.05846709398614461</x:v>
      </x:c>
      <x:c r="J322" s="17" t="n">
        <x:v>52056.29</x:v>
      </x:c>
      <x:c r="K322" s="17" t="str"/>
      <x:c r="L322" s="17" t="str">
        <x:v>已定位个股行情视图，并确认了可用字段与时间口径。</x:v>
      </x:c>
      <x:c r="M322" s="17" t="str"/>
      <x:c r="N322" s="18" t="n">
        <x:v>0</x:v>
      </x:c>
      <x:c r="O322" s="17" t="str">
        <x:v>public_sse_client_estimate</x:v>
      </x:c>
    </x:row>
    <x:row r="323" ht="48" customHeight="1">
      <x:c r="A323" s="17" t="str">
        <x:v>BUS068</x:v>
      </x:c>
      <x:c r="B323" s="17" t="str">
        <x:v>筛选近20个交易日累计涨幅超过30%且当前成交额超过10亿元的股票。</x:v>
      </x:c>
      <x:c r="C323" s="17" t="n">
        <x:v>4</x:v>
      </x:c>
      <x:c r="D323" s="17" t="str">
        <x:v>数据查询 1/2</x:v>
      </x:c>
      <x:c r="E323" s="17" t="str">
        <x:v>28780.52</x:v>
      </x:c>
      <x:c r="F323" s="17" t="str">
        <x:v>31391.8</x:v>
      </x:c>
      <x:c r="G323" s="18" t="n">
        <x:v>2611.28</x:v>
      </x:c>
      <x:c r="H323" s="18" t="n">
        <x:f>IFERROR(G323/1000,"")</x:f>
        <x:v>2.6112800000000003</x:v>
      </x:c>
      <x:c r="I323" s="19" t="n">
        <x:f>IFERROR(G323/J323,"")</x:f>
        <x:v>0.050162622038566335</x:v>
      </x:c>
      <x:c r="J323" s="17" t="n">
        <x:v>52056.29</x:v>
      </x:c>
      <x:c r="K323" s="17" t="str"/>
      <x:c r="L323" s="17" t="str">
        <x:v>已完成：找出近20个交易日累计涨幅超过30%的所有股票，取得 41 条记录。</x:v>
      </x:c>
      <x:c r="M323" s="17" t="str"/>
      <x:c r="N323" s="18" t="n">
        <x:v>16075.86</x:v>
      </x:c>
      <x:c r="O323" s="17" t="str">
        <x:v>public_sse_client_estimate</x:v>
      </x:c>
    </x:row>
    <x:row r="324" ht="48" customHeight="1">
      <x:c r="A324" s="17" t="str">
        <x:v>BUS068</x:v>
      </x:c>
      <x:c r="B324" s="17" t="str">
        <x:v>筛选近20个交易日累计涨幅超过30%且当前成交额超过10亿元的股票。</x:v>
      </x:c>
      <x:c r="C324" s="17" t="n">
        <x:v>5</x:v>
      </x:c>
      <x:c r="D324" s="17" t="str">
        <x:v>数据查询 2/2</x:v>
      </x:c>
      <x:c r="E324" s="17" t="str">
        <x:v>31395.04</x:v>
      </x:c>
      <x:c r="F324" s="17" t="str">
        <x:v>32382.28</x:v>
      </x:c>
      <x:c r="G324" s="18" t="n">
        <x:v>987.24</x:v>
      </x:c>
      <x:c r="H324" s="18" t="n">
        <x:f>IFERROR(G324/1000,"")</x:f>
        <x:v>0.98724</x:v>
      </x:c>
      <x:c r="I324" s="19" t="n">
        <x:f>IFERROR(G324/J324,"")</x:f>
        <x:v>0.01896485515967427</x:v>
      </x:c>
      <x:c r="J324" s="17" t="n">
        <x:v>52056.29</x:v>
      </x:c>
      <x:c r="K324" s="17" t="str"/>
      <x:c r="L324" s="17" t="str">
        <x:v>已完成：从上一步结果中筛选出最新交易日成交额超过10亿元的股票，取得 14 条记录。</x:v>
      </x:c>
      <x:c r="M324" s="17" t="str"/>
      <x:c r="N324" s="18" t="n">
        <x:v>3.24</x:v>
      </x:c>
      <x:c r="O324" s="17" t="str">
        <x:v>public_sse_client_estimate</x:v>
      </x:c>
    </x:row>
    <x:row r="325" ht="48" customHeight="1">
      <x:c r="A325" s="17" t="str">
        <x:v>BUS068</x:v>
      </x:c>
      <x:c r="B325" s="17" t="str">
        <x:v>筛选近20个交易日累计涨幅超过30%且当前成交额超过10亿元的股票。</x:v>
      </x:c>
      <x:c r="C325" s="17" t="n">
        <x:v>6</x:v>
      </x:c>
      <x:c r="D325" s="17" t="str">
        <x:v>回答整理</x:v>
      </x:c>
      <x:c r="E325" s="17" t="str">
        <x:v>32382.28</x:v>
      </x:c>
      <x:c r="F325" s="17" t="str">
        <x:v>49253.4</x:v>
      </x:c>
      <x:c r="G325" s="18" t="n">
        <x:v>16871.12</x:v>
      </x:c>
      <x:c r="H325" s="18" t="n">
        <x:f>IFERROR(G325/1000,"")</x:f>
        <x:v>16.871119999999998</x:v>
      </x:c>
      <x:c r="I325" s="19" t="n">
        <x:f>IFERROR(G325/J325,"")</x:f>
        <x:v>0.324093783863583</x:v>
      </x:c>
      <x:c r="J325" s="17" t="n">
        <x:v>52056.29</x:v>
      </x:c>
      <x:c r="K325" s="17" t="str"/>
      <x:c r="L325" s="17" t="str">
        <x:v>证据与回答已整理完成。</x:v>
      </x:c>
      <x:c r="M325" s="17" t="str"/>
      <x:c r="N325" s="18" t="n">
        <x:v>0</x:v>
      </x:c>
      <x:c r="O325" s="17" t="str">
        <x:v>public_sse_client_estimate</x:v>
      </x:c>
    </x:row>
    <x:row r="326" ht="48" customHeight="1">
      <x:c r="A326" s="17" t="str">
        <x:v>BUS069</x:v>
      </x:c>
      <x:c r="B326" s="17" t="str">
        <x:v>找出近5日主力净流入合计最高且今天涨幅为正的前20只股票。</x:v>
      </x:c>
      <x:c r="C326" s="17" t="n">
        <x:v>1</x:v>
      </x:c>
      <x:c r="D326" s="17" t="str">
        <x:v>问题理解</x:v>
      </x:c>
      <x:c r="E326" s="17" t="str">
        <x:v>5470.32</x:v>
      </x:c>
      <x:c r="F326" s="17" t="str">
        <x:v>10624.16</x:v>
      </x:c>
      <x:c r="G326" s="18" t="n">
        <x:v>5153.84</x:v>
      </x:c>
      <x:c r="H326" s="18" t="n">
        <x:f>IFERROR(G326/1000,"")</x:f>
        <x:v>5.15384</x:v>
      </x:c>
      <x:c r="I326" s="19" t="n">
        <x:f>IFERROR(G326/J326,"")</x:f>
        <x:v>0.05237713603010447</x:v>
      </x:c>
      <x:c r="J326" s="17" t="n">
        <x:v>98398.66</x:v>
      </x:c>
      <x:c r="K326" s="17" t="str"/>
      <x:c r="L326" s="17" t="str">
        <x:v>已明确本题的对象与口径，开始获取所需证据。</x:v>
      </x:c>
      <x:c r="M326" s="17" t="str"/>
      <x:c r="N326" s="18" t="n">
        <x:v>5470.32</x:v>
      </x:c>
      <x:c r="O326" s="17" t="str">
        <x:v>public_sse_client_estimate</x:v>
      </x:c>
    </x:row>
    <x:row r="327" ht="48" customHeight="1">
      <x:c r="A327" s="17" t="str">
        <x:v>BUS069</x:v>
      </x:c>
      <x:c r="B327" s="17" t="str">
        <x:v>找出近5日主力净流入合计最高且今天涨幅为正的前20只股票。</x:v>
      </x:c>
      <x:c r="C327" s="17" t="n">
        <x:v>2</x:v>
      </x:c>
      <x:c r="D327" s="17" t="str">
        <x:v>数据口径</x:v>
      </x:c>
      <x:c r="E327" s="17" t="str">
        <x:v>10624.16</x:v>
      </x:c>
      <x:c r="F327" s="17" t="str">
        <x:v>10845.93</x:v>
      </x:c>
      <x:c r="G327" s="18" t="n">
        <x:v>221.77</x:v>
      </x:c>
      <x:c r="H327" s="18" t="n">
        <x:f>IFERROR(G327/1000,"")</x:f>
        <x:v>0.22177000000000002</x:v>
      </x:c>
      <x:c r="I327" s="19" t="n">
        <x:f>IFERROR(G327/J327,"")</x:f>
        <x:v>0.0022537908544689534</x:v>
      </x:c>
      <x:c r="J327" s="17" t="n">
        <x:v>98398.66</x:v>
      </x:c>
      <x:c r="K327" s="17" t="str"/>
      <x:c r="L327" s="17" t="str">
        <x:v>已定位个股资金流视图，并确认了可用字段与时间口径。</x:v>
      </x:c>
      <x:c r="M327" s="17" t="str"/>
      <x:c r="N327" s="18" t="n">
        <x:v>0</x:v>
      </x:c>
      <x:c r="O327" s="17" t="str">
        <x:v>public_sse_client_estimate</x:v>
      </x:c>
    </x:row>
    <x:row r="328" ht="48" customHeight="1">
      <x:c r="A328" s="17" t="str">
        <x:v>BUS069</x:v>
      </x:c>
      <x:c r="B328" s="17" t="str">
        <x:v>找出近5日主力净流入合计最高且今天涨幅为正的前20只股票。</x:v>
      </x:c>
      <x:c r="C328" s="17" t="n">
        <x:v>3</x:v>
      </x:c>
      <x:c r="D328" s="17" t="str">
        <x:v>数据口径</x:v>
      </x:c>
      <x:c r="E328" s="17" t="str">
        <x:v>10845.93</x:v>
      </x:c>
      <x:c r="F328" s="17" t="str">
        <x:v>10877.51</x:v>
      </x:c>
      <x:c r="G328" s="18" t="n">
        <x:v>31.58</x:v>
      </x:c>
      <x:c r="H328" s="18" t="n">
        <x:f>IFERROR(G328/1000,"")</x:f>
        <x:v>0.03158</x:v>
      </x:c>
      <x:c r="I328" s="19" t="n">
        <x:f>IFERROR(G328/J328,"")</x:f>
        <x:v>0.0003209393298648579</x:v>
      </x:c>
      <x:c r="J328" s="17" t="n">
        <x:v>98398.66</x:v>
      </x:c>
      <x:c r="K328" s="17" t="str"/>
      <x:c r="L328" s="17" t="str">
        <x:v>已定位个股行情视图，并确认了可用字段与时间口径。</x:v>
      </x:c>
      <x:c r="M328" s="17" t="str"/>
      <x:c r="N328" s="18" t="n">
        <x:v>0</x:v>
      </x:c>
      <x:c r="O328" s="17" t="str">
        <x:v>public_sse_client_estimate</x:v>
      </x:c>
    </x:row>
    <x:row r="329" ht="48" customHeight="1">
      <x:c r="A329" s="17" t="str">
        <x:v>BUS069</x:v>
      </x:c>
      <x:c r="B329" s="17" t="str">
        <x:v>找出近5日主力净流入合计最高且今天涨幅为正的前20只股票。</x:v>
      </x:c>
      <x:c r="C329" s="17" t="n">
        <x:v>4</x:v>
      </x:c>
      <x:c r="D329" s="17" t="str">
        <x:v>数据查询 1/2</x:v>
      </x:c>
      <x:c r="E329" s="17" t="str">
        <x:v>32778.53</x:v>
      </x:c>
      <x:c r="F329" s="17" t="str">
        <x:v>34432.64</x:v>
      </x:c>
      <x:c r="G329" s="18" t="n">
        <x:v>1654.11</x:v>
      </x:c>
      <x:c r="H329" s="18" t="n">
        <x:f>IFERROR(G329/1000,"")</x:f>
        <x:v>1.65411</x:v>
      </x:c>
      <x:c r="I329" s="19" t="n">
        <x:f>IFERROR(G329/J329,"")</x:f>
        <x:v>0.016810289896224195</x:v>
      </x:c>
      <x:c r="J329" s="17" t="n">
        <x:v>98398.66</x:v>
      </x:c>
      <x:c r="K329" s="17" t="str"/>
      <x:c r="L329" s="17" t="str">
        <x:v>已完成：获取近5日主力净流入合计最高的前200只股票，取得 200 条记录。</x:v>
      </x:c>
      <x:c r="M329" s="17" t="str"/>
      <x:c r="N329" s="18" t="n">
        <x:v>21901.02</x:v>
      </x:c>
      <x:c r="O329" s="17" t="str">
        <x:v>public_sse_client_estimate</x:v>
      </x:c>
    </x:row>
    <x:row r="330" ht="48" customHeight="1">
      <x:c r="A330" s="17" t="str">
        <x:v>BUS069</x:v>
      </x:c>
      <x:c r="B330" s="17" t="str">
        <x:v>找出近5日主力净流入合计最高且今天涨幅为正的前20只股票。</x:v>
      </x:c>
      <x:c r="C330" s="17" t="n">
        <x:v>5</x:v>
      </x:c>
      <x:c r="D330" s="17" t="str">
        <x:v>数据查询 2/2</x:v>
      </x:c>
      <x:c r="E330" s="17" t="str">
        <x:v>34435.87</x:v>
      </x:c>
      <x:c r="F330" s="17" t="str">
        <x:v>45047.48</x:v>
      </x:c>
      <x:c r="G330" s="18" t="n">
        <x:v>10611.61</x:v>
      </x:c>
      <x:c r="H330" s="18" t="n">
        <x:f>IFERROR(G330/1000,"")</x:f>
        <x:v>10.61161</x:v>
      </x:c>
      <x:c r="I330" s="19" t="n">
        <x:f>IFERROR(G330/J330,"")</x:f>
        <x:v>0.10784303363480763</x:v>
      </x:c>
      <x:c r="J330" s="17" t="n">
        <x:v>98398.66</x:v>
      </x:c>
      <x:c r="K330" s="17" t="str"/>
      <x:c r="L330" s="17" t="str">
        <x:v>已完成：查询上述股票今日涨幅，筛选涨幅为正的股票，取得 156 条记录。</x:v>
      </x:c>
      <x:c r="M330" s="17" t="str"/>
      <x:c r="N330" s="18" t="n">
        <x:v>3.23</x:v>
      </x:c>
      <x:c r="O330" s="17" t="str">
        <x:v>public_sse_client_estimate</x:v>
      </x:c>
    </x:row>
    <x:row r="331" ht="48" customHeight="1">
      <x:c r="A331" s="17" t="str">
        <x:v>BUS069</x:v>
      </x:c>
      <x:c r="B331" s="17" t="str">
        <x:v>找出近5日主力净流入合计最高且今天涨幅为正的前20只股票。</x:v>
      </x:c>
      <x:c r="C331" s="17" t="n">
        <x:v>6</x:v>
      </x:c>
      <x:c r="D331" s="17" t="str">
        <x:v>回答整理</x:v>
      </x:c>
      <x:c r="E331" s="17" t="str">
        <x:v>45047.48</x:v>
      </x:c>
      <x:c r="F331" s="17" t="str">
        <x:v>95732.53</x:v>
      </x:c>
      <x:c r="G331" s="18" t="n">
        <x:v>50685.05</x:v>
      </x:c>
      <x:c r="H331" s="18" t="n">
        <x:f>IFERROR(G331/1000,"")</x:f>
        <x:v>50.685050000000004</x:v>
      </x:c>
      <x:c r="I331" s="19" t="n">
        <x:f>IFERROR(G331/J331,"")</x:f>
        <x:v>0.5150989861040791</x:v>
      </x:c>
      <x:c r="J331" s="17" t="n">
        <x:v>98398.66</x:v>
      </x:c>
      <x:c r="K331" s="17" t="str"/>
      <x:c r="L331" s="17" t="str">
        <x:v>证据与回答已整理完成。</x:v>
      </x:c>
      <x:c r="M331" s="17" t="str"/>
      <x:c r="N331" s="18" t="n">
        <x:v>0</x:v>
      </x:c>
      <x:c r="O331" s="17" t="str">
        <x:v>public_sse_client_estimate</x:v>
      </x:c>
    </x:row>
    <x:row r="332" ht="48" customHeight="1">
      <x:c r="A332" s="17" t="str">
        <x:v>BUS070</x:v>
      </x:c>
      <x:c r="B332" s="17" t="str">
        <x:v>筛选ROE高于15%、PE_TTM低于25且最新涨幅为正的股票。</x:v>
      </x:c>
      <x:c r="C332" s="17" t="n">
        <x:v>1</x:v>
      </x:c>
      <x:c r="D332" s="17" t="str">
        <x:v>问题理解</x:v>
      </x:c>
      <x:c r="E332" s="17" t="str">
        <x:v>8085.85</x:v>
      </x:c>
      <x:c r="F332" s="17" t="str">
        <x:v>8085.85</x:v>
      </x:c>
      <x:c r="G332" s="18" t="n">
        <x:v>0</x:v>
      </x:c>
      <x:c r="H332" s="18" t="n">
        <x:f>IFERROR(G332/1000,"")</x:f>
        <x:v>0</x:v>
      </x:c>
      <x:c r="I332" s="19" t="n">
        <x:f>IFERROR(G332/J332,"")</x:f>
        <x:v>0</x:v>
      </x:c>
      <x:c r="J332" s="17" t="n">
        <x:v>42168.75</x:v>
      </x:c>
      <x:c r="K332" s="17" t="str"/>
      <x:c r="L332" s="17" t="str">
        <x:v>已明确本题的对象与口径，开始获取所需证据。</x:v>
      </x:c>
      <x:c r="M332" s="17" t="str"/>
      <x:c r="N332" s="18" t="n">
        <x:v>8085.85</x:v>
      </x:c>
      <x:c r="O332" s="17" t="str">
        <x:v>public_sse_client_estimate</x:v>
      </x:c>
    </x:row>
    <x:row r="333" ht="48" customHeight="1">
      <x:c r="A333" s="17" t="str">
        <x:v>BUS070</x:v>
      </x:c>
      <x:c r="B333" s="17" t="str">
        <x:v>筛选ROE高于15%、PE_TTM低于25且最新涨幅为正的股票。</x:v>
      </x:c>
      <x:c r="C333" s="17" t="n">
        <x:v>2</x:v>
      </x:c>
      <x:c r="D333" s="17" t="str">
        <x:v>专业分析方法</x:v>
      </x:c>
      <x:c r="E333" s="17" t="str">
        <x:v>8095.2</x:v>
      </x:c>
      <x:c r="F333" s="17" t="str">
        <x:v>8104.81</x:v>
      </x:c>
      <x:c r="G333" s="18" t="n">
        <x:v>9.61</x:v>
      </x:c>
      <x:c r="H333" s="18" t="n">
        <x:f>IFERROR(G333/1000,"")</x:f>
        <x:v>0.009609999999999999</x:v>
      </x:c>
      <x:c r="I333" s="19" t="n">
        <x:f>IFERROR(G333/J333,"")</x:f>
        <x:v>0.00022789387876093076</x:v>
      </x:c>
      <x:c r="J333" s="17" t="n">
        <x:v>42168.75</x:v>
      </x:c>
      <x:c r="K333" s="17" t="str"/>
      <x:c r="L333" s="17" t="str">
        <x:v>专业分析方法已就绪。</x:v>
      </x:c>
      <x:c r="M333" s="17" t="str"/>
      <x:c r="N333" s="18" t="n">
        <x:v>9.35</x:v>
      </x:c>
      <x:c r="O333" s="17" t="str">
        <x:v>public_sse_client_estimate</x:v>
      </x:c>
    </x:row>
    <x:row r="334" ht="48" customHeight="1">
      <x:c r="A334" s="17" t="str">
        <x:v>BUS070</x:v>
      </x:c>
      <x:c r="B334" s="17" t="str">
        <x:v>筛选ROE高于15%、PE_TTM低于25且最新涨幅为正的股票。</x:v>
      </x:c>
      <x:c r="C334" s="17" t="n">
        <x:v>3</x:v>
      </x:c>
      <x:c r="D334" s="17" t="str">
        <x:v>数据口径</x:v>
      </x:c>
      <x:c r="E334" s="17" t="str">
        <x:v>8104.81</x:v>
      </x:c>
      <x:c r="F334" s="17" t="str">
        <x:v>11474.49</x:v>
      </x:c>
      <x:c r="G334" s="18" t="n">
        <x:v>3369.68</x:v>
      </x:c>
      <x:c r="H334" s="18" t="n">
        <x:f>IFERROR(G334/1000,"")</x:f>
        <x:v>3.36968</x:v>
      </x:c>
      <x:c r="I334" s="19" t="n">
        <x:f>IFERROR(G334/J334,"")</x:f>
        <x:v>0.07990941159033645</x:v>
      </x:c>
      <x:c r="J334" s="17" t="n">
        <x:v>42168.75</x:v>
      </x:c>
      <x:c r="K334" s="17" t="str"/>
      <x:c r="L334" s="17" t="str">
        <x:v>已定位个股估值视图，并确认了可用字段与时间口径。</x:v>
      </x:c>
      <x:c r="M334" s="17" t="str"/>
      <x:c r="N334" s="18" t="n">
        <x:v>0</x:v>
      </x:c>
      <x:c r="O334" s="17" t="str">
        <x:v>public_sse_client_estimate</x:v>
      </x:c>
    </x:row>
    <x:row r="335" ht="48" customHeight="1">
      <x:c r="A335" s="17" t="str">
        <x:v>BUS070</x:v>
      </x:c>
      <x:c r="B335" s="17" t="str">
        <x:v>筛选ROE高于15%、PE_TTM低于25且最新涨幅为正的股票。</x:v>
      </x:c>
      <x:c r="C335" s="17" t="n">
        <x:v>4</x:v>
      </x:c>
      <x:c r="D335" s="17" t="str">
        <x:v>数据口径</x:v>
      </x:c>
      <x:c r="E335" s="17" t="str">
        <x:v>11474.49</x:v>
      </x:c>
      <x:c r="F335" s="17" t="str">
        <x:v>11680.65</x:v>
      </x:c>
      <x:c r="G335" s="18" t="n">
        <x:v>206.16</x:v>
      </x:c>
      <x:c r="H335" s="18" t="n">
        <x:f>IFERROR(G335/1000,"")</x:f>
        <x:v>0.20616</x:v>
      </x:c>
      <x:c r="I335" s="19" t="n">
        <x:f>IFERROR(G335/J335,"")</x:f>
        <x:v>0.0048889284126278345</x:v>
      </x:c>
      <x:c r="J335" s="17" t="n">
        <x:v>42168.75</x:v>
      </x:c>
      <x:c r="K335" s="17" t="str"/>
      <x:c r="L335" s="17" t="str">
        <x:v>已定位个股财务视图，并确认了可用字段与时间口径。</x:v>
      </x:c>
      <x:c r="M335" s="17" t="str"/>
      <x:c r="N335" s="18" t="n">
        <x:v>0</x:v>
      </x:c>
      <x:c r="O335" s="17" t="str">
        <x:v>public_sse_client_estimate</x:v>
      </x:c>
    </x:row>
    <x:row r="336" ht="48" customHeight="1">
      <x:c r="A336" s="17" t="str">
        <x:v>BUS070</x:v>
      </x:c>
      <x:c r="B336" s="17" t="str">
        <x:v>筛选ROE高于15%、PE_TTM低于25且最新涨幅为正的股票。</x:v>
      </x:c>
      <x:c r="C336" s="17" t="n">
        <x:v>5</x:v>
      </x:c>
      <x:c r="D336" s="17" t="str">
        <x:v>数据口径</x:v>
      </x:c>
      <x:c r="E336" s="17" t="str">
        <x:v>11680.65</x:v>
      </x:c>
      <x:c r="F336" s="17" t="str">
        <x:v>12195.03</x:v>
      </x:c>
      <x:c r="G336" s="18" t="n">
        <x:v>514.38</x:v>
      </x:c>
      <x:c r="H336" s="18" t="n">
        <x:f>IFERROR(G336/1000,"")</x:f>
        <x:v>0.51438</x:v>
      </x:c>
      <x:c r="I336" s="19" t="n">
        <x:f>IFERROR(G336/J336,"")</x:f>
        <x:v>0.012198132503334815</x:v>
      </x:c>
      <x:c r="J336" s="17" t="n">
        <x:v>42168.75</x:v>
      </x:c>
      <x:c r="K336" s="17" t="str"/>
      <x:c r="L336" s="17" t="str">
        <x:v>已定位个股行情视图，并确认了可用字段与时间口径。</x:v>
      </x:c>
      <x:c r="M336" s="17" t="str"/>
      <x:c r="N336" s="18" t="n">
        <x:v>0</x:v>
      </x:c>
      <x:c r="O336" s="17" t="str">
        <x:v>public_sse_client_estimate</x:v>
      </x:c>
    </x:row>
    <x:row r="337" ht="48" customHeight="1">
      <x:c r="A337" s="17" t="str">
        <x:v>BUS070</x:v>
      </x:c>
      <x:c r="B337" s="17" t="str">
        <x:v>筛选ROE高于15%、PE_TTM低于25且最新涨幅为正的股票。</x:v>
      </x:c>
      <x:c r="C337" s="17" t="n">
        <x:v>6</x:v>
      </x:c>
      <x:c r="D337" s="17" t="str">
        <x:v>数据查询 1/3</x:v>
      </x:c>
      <x:c r="E337" s="17" t="str">
        <x:v>22783.32</x:v>
      </x:c>
      <x:c r="F337" s="17" t="str">
        <x:v>23269.91</x:v>
      </x:c>
      <x:c r="G337" s="18" t="n">
        <x:v>486.59</x:v>
      </x:c>
      <x:c r="H337" s="18" t="n">
        <x:f>IFERROR(G337/1000,"")</x:f>
        <x:v>0.48658999999999997</x:v>
      </x:c>
      <x:c r="I337" s="19" t="n">
        <x:f>IFERROR(G337/J337,"")</x:f>
        <x:v>0.011539113680154141</x:v>
      </x:c>
      <x:c r="J337" s="17" t="n">
        <x:v>42168.75</x:v>
      </x:c>
      <x:c r="K337" s="17" t="str"/>
      <x:c r="L337" s="17" t="str">
        <x:v>已完成：查询最新报告期ROE高于15%的股票，获取代码、名称和ROE值，取得 11 条记录。</x:v>
      </x:c>
      <x:c r="M337" s="17" t="str"/>
      <x:c r="N337" s="18" t="n">
        <x:v>10588.29</x:v>
      </x:c>
      <x:c r="O337" s="17" t="str">
        <x:v>public_sse_client_estimate</x:v>
      </x:c>
    </x:row>
    <x:row r="338" ht="48" customHeight="1">
      <x:c r="A338" s="17" t="str">
        <x:v>BUS070</x:v>
      </x:c>
      <x:c r="B338" s="17" t="str">
        <x:v>筛选ROE高于15%、PE_TTM低于25且最新涨幅为正的股票。</x:v>
      </x:c>
      <x:c r="C338" s="17" t="n">
        <x:v>7</x:v>
      </x:c>
      <x:c r="D338" s="17" t="str">
        <x:v>数据查询 2/3</x:v>
      </x:c>
      <x:c r="E338" s="17" t="str">
        <x:v>23273.71</x:v>
      </x:c>
      <x:c r="F338" s="17" t="str">
        <x:v>23839.37</x:v>
      </x:c>
      <x:c r="G338" s="18" t="n">
        <x:v>565.66</x:v>
      </x:c>
      <x:c r="H338" s="18" t="n">
        <x:f>IFERROR(G338/1000,"")</x:f>
        <x:v>0.5656599999999999</x:v>
      </x:c>
      <x:c r="I338" s="19" t="n">
        <x:f>IFERROR(G338/J338,"")</x:f>
        <x:v>0.013414198903216244</x:v>
      </x:c>
      <x:c r="J338" s="17" t="n">
        <x:v>42168.75</x:v>
      </x:c>
      <x:c r="K338" s="17" t="str"/>
      <x:c r="L338" s="17" t="str">
        <x:v>已完成：从上一步得到的股票中筛选PE_TTM低于25的股票，获取代码、名称和PE_TTM，取得 5 条记录。</x:v>
      </x:c>
      <x:c r="M338" s="17" t="str"/>
      <x:c r="N338" s="18" t="n">
        <x:v>3.8</x:v>
      </x:c>
      <x:c r="O338" s="17" t="str">
        <x:v>public_sse_client_estimate</x:v>
      </x:c>
    </x:row>
    <x:row r="339" ht="48" customHeight="1">
      <x:c r="A339" s="17" t="str">
        <x:v>BUS070</x:v>
      </x:c>
      <x:c r="B339" s="17" t="str">
        <x:v>筛选ROE高于15%、PE_TTM低于25且最新涨幅为正的股票。</x:v>
      </x:c>
      <x:c r="C339" s="17" t="n">
        <x:v>8</x:v>
      </x:c>
      <x:c r="D339" s="17" t="str">
        <x:v>数据查询 3/3</x:v>
      </x:c>
      <x:c r="E339" s="17" t="str">
        <x:v>23841.31</x:v>
      </x:c>
      <x:c r="F339" s="17" t="str">
        <x:v>25342.39</x:v>
      </x:c>
      <x:c r="G339" s="18" t="n">
        <x:v>1501.08</x:v>
      </x:c>
      <x:c r="H339" s="18" t="n">
        <x:f>IFERROR(G339/1000,"")</x:f>
        <x:v>1.50108</x:v>
      </x:c>
      <x:c r="I339" s="19" t="n">
        <x:f>IFERROR(G339/J339,"")</x:f>
        <x:v>0.035596976433970653</x:v>
      </x:c>
      <x:c r="J339" s="17" t="n">
        <x:v>42168.75</x:v>
      </x:c>
      <x:c r="K339" s="17" t="str"/>
      <x:c r="L339" s="17" t="str">
        <x:v>已完成：从上一步得到的股票中筛选最新涨幅为正的股票，获取代码、名称和最新涨跌幅，取得 2 条记录。</x:v>
      </x:c>
      <x:c r="M339" s="17" t="str"/>
      <x:c r="N339" s="18" t="n">
        <x:v>1.94</x:v>
      </x:c>
      <x:c r="O339" s="17" t="str">
        <x:v>public_sse_client_estimate</x:v>
      </x:c>
    </x:row>
    <x:row r="340" ht="48" customHeight="1">
      <x:c r="A340" s="17" t="str">
        <x:v>BUS070</x:v>
      </x:c>
      <x:c r="B340" s="17" t="str">
        <x:v>筛选ROE高于15%、PE_TTM低于25且最新涨幅为正的股票。</x:v>
      </x:c>
      <x:c r="C340" s="17" t="n">
        <x:v>9</x:v>
      </x:c>
      <x:c r="D340" s="17" t="str">
        <x:v>回答整理</x:v>
      </x:c>
      <x:c r="E340" s="17" t="str">
        <x:v>25342.39</x:v>
      </x:c>
      <x:c r="F340" s="17" t="str">
        <x:v>39220.37</x:v>
      </x:c>
      <x:c r="G340" s="18" t="n">
        <x:v>13877.98</x:v>
      </x:c>
      <x:c r="H340" s="18" t="n">
        <x:f>IFERROR(G340/1000,"")</x:f>
        <x:v>13.877979999999999</x:v>
      </x:c>
      <x:c r="I340" s="19" t="n">
        <x:f>IFERROR(G340/J340,"")</x:f>
        <x:v>0.3291057951682229</x:v>
      </x:c>
      <x:c r="J340" s="17" t="n">
        <x:v>42168.75</x:v>
      </x:c>
      <x:c r="K340" s="17" t="str"/>
      <x:c r="L340" s="17" t="str">
        <x:v>证据与回答已整理完成。</x:v>
      </x:c>
      <x:c r="M340" s="17" t="str"/>
      <x:c r="N340" s="18" t="n">
        <x:v>0</x:v>
      </x:c>
      <x:c r="O340" s="17" t="str">
        <x:v>public_sse_client_estimate</x:v>
      </x:c>
    </x:row>
    <x:row r="341" ht="48" customHeight="1">
      <x:c r="A341" s="17" t="str">
        <x:v>BUS070</x:v>
      </x:c>
      <x:c r="B341" s="17" t="str">
        <x:v>筛选ROE高于15%、PE_TTM低于25且最新涨幅为正的股票。</x:v>
      </x:c>
      <x:c r="C341" s="17" t="n">
        <x:v>10</x:v>
      </x:c>
      <x:c r="D341" s="17" t="str">
        <x:v>问题理解</x:v>
      </x:c>
      <x:c r="E341" s="17" t="str">
        <x:v>5741.65</x:v>
      </x:c>
      <x:c r="F341" s="17" t="str">
        <x:v>40611.47</x:v>
      </x:c>
      <x:c r="G341" s="18" t="n">
        <x:v>34869.82</x:v>
      </x:c>
      <x:c r="H341" s="18" t="n">
        <x:f>IFERROR(G341/1000,"")</x:f>
        <x:v>34.86982</x:v>
      </x:c>
      <x:c r="I341" s="19" t="n">
        <x:f>IFERROR(G341/J341,"")</x:f>
        <x:v>0.8269113976582184</x:v>
      </x:c>
      <x:c r="J341" s="17" t="n">
        <x:v>42168.75</x:v>
      </x:c>
      <x:c r="K341" s="17" t="str"/>
      <x:c r="L341" s="17" t="str">
        <x:v>正在理解问题，并确认其中的对象、时间与金融口径。</x:v>
      </x:c>
      <x:c r="M341" s="17" t="str"/>
      <x:c r="N341" s="18" t="n">
        <x:v>0</x:v>
      </x:c>
      <x:c r="O341" s="17" t="str">
        <x:v>public_sse_client_estimate</x:v>
      </x:c>
    </x:row>
    <x:row r="342" ht="48" customHeight="1">
      <x:c r="A342" s="17" t="str">
        <x:v>BUS070</x:v>
      </x:c>
      <x:c r="B342" s="17" t="str">
        <x:v>筛选ROE高于15%、PE_TTM低于25且最新涨幅为正的股票。</x:v>
      </x:c>
      <x:c r="C342" s="17" t="n">
        <x:v>11</x:v>
      </x:c>
      <x:c r="D342" s="17" t="str">
        <x:v>问题理解</x:v>
      </x:c>
      <x:c r="E342" s="17" t="str">
        <x:v>40611.47</x:v>
      </x:c>
      <x:c r="F342" s="17" t="str">
        <x:v>42168.75</x:v>
      </x:c>
      <x:c r="G342" s="18" t="n">
        <x:v>1557.28</x:v>
      </x:c>
      <x:c r="H342" s="18" t="n">
        <x:f>IFERROR(G342/1000,"")</x:f>
        <x:v>1.55728</x:v>
      </x:c>
      <x:c r="I342" s="19" t="n">
        <x:f>IFERROR(G342/J342,"")</x:f>
        <x:v>0.0369297169112198</x:v>
      </x:c>
      <x:c r="J342" s="17" t="n">
        <x:v>42168.75</x:v>
      </x:c>
      <x:c r="K342" s="17" t="str"/>
      <x:c r="L342" s="17" t="str">
        <x:v>正在理解问题，并确认其中的对象、时间与金融口径。</x:v>
      </x:c>
      <x:c r="M342" s="17" t="str"/>
      <x:c r="N342" s="18" t="n">
        <x:v>0</x:v>
      </x:c>
      <x:c r="O342" s="17" t="str">
        <x:v>public_sse_client_estimate</x:v>
      </x:c>
    </x:row>
    <x:row r="343" ht="48" customHeight="1">
      <x:c r="A343" s="17" t="str">
        <x:v>BUS071</x:v>
      </x:c>
      <x:c r="B343" s="17" t="str">
        <x:v>同时查询贵州茅台当前行情、最新PE/PB和最新股东户数。</x:v>
      </x:c>
      <x:c r="C343" s="17" t="n">
        <x:v>1</x:v>
      </x:c>
      <x:c r="D343" s="17" t="str">
        <x:v>问题理解</x:v>
      </x:c>
      <x:c r="E343" s="17" t="str">
        <x:v>5459.93</x:v>
      </x:c>
      <x:c r="F343" s="17" t="str">
        <x:v>9742.61</x:v>
      </x:c>
      <x:c r="G343" s="18" t="n">
        <x:v>4282.68</x:v>
      </x:c>
      <x:c r="H343" s="18" t="n">
        <x:f>IFERROR(G343/1000,"")</x:f>
        <x:v>4.28268</x:v>
      </x:c>
      <x:c r="I343" s="19" t="n">
        <x:f>IFERROR(G343/J343,"")</x:f>
        <x:v>0.061881213869825605</x:v>
      </x:c>
      <x:c r="J343" s="17" t="n">
        <x:v>69208.08</x:v>
      </x:c>
      <x:c r="K343" s="17" t="str"/>
      <x:c r="L343" s="17" t="str">
        <x:v>已明确本题的对象与口径，开始获取所需证据。</x:v>
      </x:c>
      <x:c r="M343" s="17" t="str"/>
      <x:c r="N343" s="18" t="n">
        <x:v>5459.93</x:v>
      </x:c>
      <x:c r="O343" s="17" t="str">
        <x:v>public_sse_client_estimate</x:v>
      </x:c>
    </x:row>
    <x:row r="344" ht="48" customHeight="1">
      <x:c r="A344" s="17" t="str">
        <x:v>BUS071</x:v>
      </x:c>
      <x:c r="B344" s="17" t="str">
        <x:v>同时查询贵州茅台当前行情、最新PE/PB和最新股东户数。</x:v>
      </x:c>
      <x:c r="C344" s="17" t="n">
        <x:v>2</x:v>
      </x:c>
      <x:c r="D344" s="17" t="str">
        <x:v>数据口径</x:v>
      </x:c>
      <x:c r="E344" s="17" t="str">
        <x:v>9742.61</x:v>
      </x:c>
      <x:c r="F344" s="17" t="str">
        <x:v>9778.01</x:v>
      </x:c>
      <x:c r="G344" s="18" t="n">
        <x:v>35.4</x:v>
      </x:c>
      <x:c r="H344" s="18" t="n">
        <x:f>IFERROR(G344/1000,"")</x:f>
        <x:v>0.0354</x:v>
      </x:c>
      <x:c r="I344" s="19" t="n">
        <x:f>IFERROR(G344/J344,"")</x:f>
        <x:v>0.0005115009692509892</x:v>
      </x:c>
      <x:c r="J344" s="17" t="n">
        <x:v>69208.08</x:v>
      </x:c>
      <x:c r="K344" s="17" t="str"/>
      <x:c r="L344" s="17" t="str">
        <x:v>已定位个股行情视图，并确认了可用字段与时间口径。</x:v>
      </x:c>
      <x:c r="M344" s="17" t="str"/>
      <x:c r="N344" s="18" t="n">
        <x:v>0</x:v>
      </x:c>
      <x:c r="O344" s="17" t="str">
        <x:v>public_sse_client_estimate</x:v>
      </x:c>
    </x:row>
    <x:row r="345" ht="48" customHeight="1">
      <x:c r="A345" s="17" t="str">
        <x:v>BUS071</x:v>
      </x:c>
      <x:c r="B345" s="17" t="str">
        <x:v>同时查询贵州茅台当前行情、最新PE/PB和最新股东户数。</x:v>
      </x:c>
      <x:c r="C345" s="17" t="n">
        <x:v>3</x:v>
      </x:c>
      <x:c r="D345" s="17" t="str">
        <x:v>数据口径</x:v>
      </x:c>
      <x:c r="E345" s="17" t="str">
        <x:v>9778.01</x:v>
      </x:c>
      <x:c r="F345" s="17" t="str">
        <x:v>10286.68</x:v>
      </x:c>
      <x:c r="G345" s="18" t="n">
        <x:v>508.67</x:v>
      </x:c>
      <x:c r="H345" s="18" t="n">
        <x:f>IFERROR(G345/1000,"")</x:f>
        <x:v>0.5086700000000001</x:v>
      </x:c>
      <x:c r="I345" s="19" t="n">
        <x:f>IFERROR(G345/J345,"")</x:f>
        <x:v>0.007349864351098889</x:v>
      </x:c>
      <x:c r="J345" s="17" t="n">
        <x:v>69208.08</x:v>
      </x:c>
      <x:c r="K345" s="17" t="str"/>
      <x:c r="L345" s="17" t="str">
        <x:v>已定位个股估值视图，并确认了可用字段与时间口径。</x:v>
      </x:c>
      <x:c r="M345" s="17" t="str"/>
      <x:c r="N345" s="18" t="n">
        <x:v>0</x:v>
      </x:c>
      <x:c r="O345" s="17" t="str">
        <x:v>public_sse_client_estimate</x:v>
      </x:c>
    </x:row>
    <x:row r="346" ht="48" customHeight="1">
      <x:c r="A346" s="17" t="str">
        <x:v>BUS071</x:v>
      </x:c>
      <x:c r="B346" s="17" t="str">
        <x:v>同时查询贵州茅台当前行情、最新PE/PB和最新股东户数。</x:v>
      </x:c>
      <x:c r="C346" s="17" t="n">
        <x:v>4</x:v>
      </x:c>
      <x:c r="D346" s="17" t="str">
        <x:v>数据口径</x:v>
      </x:c>
      <x:c r="E346" s="17" t="str">
        <x:v>10286.68</x:v>
      </x:c>
      <x:c r="F346" s="17" t="str">
        <x:v>10623.22</x:v>
      </x:c>
      <x:c r="G346" s="18" t="n">
        <x:v>336.54</x:v>
      </x:c>
      <x:c r="H346" s="18" t="n">
        <x:f>IFERROR(G346/1000,"")</x:f>
        <x:v>0.33654</x:v>
      </x:c>
      <x:c r="I346" s="19" t="n">
        <x:f>IFERROR(G346/J346,"")</x:f>
        <x:v>0.00486272701106576</x:v>
      </x:c>
      <x:c r="J346" s="17" t="n">
        <x:v>69208.08</x:v>
      </x:c>
      <x:c r="K346" s="17" t="str"/>
      <x:c r="L346" s="17" t="str">
        <x:v>已定位个股股东视图，并确认了可用字段与时间口径。</x:v>
      </x:c>
      <x:c r="M346" s="17" t="str"/>
      <x:c r="N346" s="18" t="n">
        <x:v>0</x:v>
      </x:c>
      <x:c r="O346" s="17" t="str">
        <x:v>public_sse_client_estimate</x:v>
      </x:c>
    </x:row>
    <x:row r="347" ht="48" customHeight="1">
      <x:c r="A347" s="17" t="str">
        <x:v>BUS071</x:v>
      </x:c>
      <x:c r="B347" s="17" t="str">
        <x:v>同时查询贵州茅台当前行情、最新PE/PB和最新股东户数。</x:v>
      </x:c>
      <x:c r="C347" s="17" t="n">
        <x:v>5</x:v>
      </x:c>
      <x:c r="D347" s="17" t="str">
        <x:v>数据查询 1/3</x:v>
      </x:c>
      <x:c r="E347" s="17" t="str">
        <x:v>24443.82</x:v>
      </x:c>
      <x:c r="F347" s="17" t="str">
        <x:v>25556.5</x:v>
      </x:c>
      <x:c r="G347" s="18" t="n">
        <x:v>1112.68</x:v>
      </x:c>
      <x:c r="H347" s="18" t="n">
        <x:f>IFERROR(G347/1000,"")</x:f>
        <x:v>1.1126800000000001</x:v>
      </x:c>
      <x:c r="I347" s="19" t="n">
        <x:f>IFERROR(G347/J347,"")</x:f>
        <x:v>0.016077313515994087</x:v>
      </x:c>
      <x:c r="J347" s="17" t="n">
        <x:v>69208.08</x:v>
      </x:c>
      <x:c r="K347" s="17" t="str"/>
      <x:c r="L347" s="17" t="str">
        <x:v>已完成：查询贵州茅台最近一个交易日的最新行情，取得 1 条记录。</x:v>
      </x:c>
      <x:c r="M347" s="17" t="str"/>
      <x:c r="N347" s="18" t="n">
        <x:v>13820.6</x:v>
      </x:c>
      <x:c r="O347" s="17" t="str">
        <x:v>public_sse_client_estimate</x:v>
      </x:c>
    </x:row>
    <x:row r="348" ht="48" customHeight="1">
      <x:c r="A348" s="17" t="str">
        <x:v>BUS071</x:v>
      </x:c>
      <x:c r="B348" s="17" t="str">
        <x:v>同时查询贵州茅台当前行情、最新PE/PB和最新股东户数。</x:v>
      </x:c>
      <x:c r="C348" s="17" t="n">
        <x:v>6</x:v>
      </x:c>
      <x:c r="D348" s="17" t="str">
        <x:v>数据查询 2/3</x:v>
      </x:c>
      <x:c r="E348" s="17" t="str">
        <x:v>25558.51</x:v>
      </x:c>
      <x:c r="F348" s="17" t="str">
        <x:v>26088.74</x:v>
      </x:c>
      <x:c r="G348" s="18" t="n">
        <x:v>530.23</x:v>
      </x:c>
      <x:c r="H348" s="18" t="n">
        <x:f>IFERROR(G348/1000,"")</x:f>
        <x:v>0.53023</x:v>
      </x:c>
      <x:c r="I348" s="19" t="n">
        <x:f>IFERROR(G348/J348,"")</x:f>
        <x:v>0.007661388670224633</x:v>
      </x:c>
      <x:c r="J348" s="17" t="n">
        <x:v>69208.08</x:v>
      </x:c>
      <x:c r="K348" s="17" t="str"/>
      <x:c r="L348" s="17" t="str">
        <x:v>已完成：查询贵州茅台最新PE和PB估值，取得 1 条记录。</x:v>
      </x:c>
      <x:c r="M348" s="17" t="str"/>
      <x:c r="N348" s="18" t="n">
        <x:v>2.01</x:v>
      </x:c>
      <x:c r="O348" s="17" t="str">
        <x:v>public_sse_client_estimate</x:v>
      </x:c>
    </x:row>
    <x:row r="349" ht="48" customHeight="1">
      <x:c r="A349" s="17" t="str">
        <x:v>BUS071</x:v>
      </x:c>
      <x:c r="B349" s="17" t="str">
        <x:v>同时查询贵州茅台当前行情、最新PE/PB和最新股东户数。</x:v>
      </x:c>
      <x:c r="C349" s="17" t="n">
        <x:v>7</x:v>
      </x:c>
      <x:c r="D349" s="17" t="str">
        <x:v>数据查询 3/3</x:v>
      </x:c>
      <x:c r="E349" s="17" t="str">
        <x:v>26091.02</x:v>
      </x:c>
      <x:c r="F349" s="17" t="str">
        <x:v>59291.23</x:v>
      </x:c>
      <x:c r="G349" s="18" t="n">
        <x:v>33200.21</x:v>
      </x:c>
      <x:c r="H349" s="18" t="n">
        <x:f>IFERROR(G349/1000,"")</x:f>
        <x:v>33.20021</x:v>
      </x:c>
      <x:c r="I349" s="19" t="n">
        <x:f>IFERROR(G349/J349,"")</x:f>
        <x:v>0.47971580774961536</x:v>
      </x:c>
      <x:c r="J349" s="17" t="n">
        <x:v>69208.08</x:v>
      </x:c>
      <x:c r="K349" s="17" t="str"/>
      <x:c r="L349" s="17" t="str">
        <x:v>已完成：查询贵州茅台最新一期股东户数，取得 1 条记录。</x:v>
      </x:c>
      <x:c r="M349" s="17" t="str"/>
      <x:c r="N349" s="18" t="n">
        <x:v>2.28</x:v>
      </x:c>
      <x:c r="O349" s="17" t="str">
        <x:v>public_sse_client_estimate</x:v>
      </x:c>
    </x:row>
    <x:row r="350" ht="48" customHeight="1">
      <x:c r="A350" s="17" t="str">
        <x:v>BUS071</x:v>
      </x:c>
      <x:c r="B350" s="17" t="str">
        <x:v>同时查询贵州茅台当前行情、最新PE/PB和最新股东户数。</x:v>
      </x:c>
      <x:c r="C350" s="17" t="n">
        <x:v>8</x:v>
      </x:c>
      <x:c r="D350" s="17" t="str">
        <x:v>回答整理</x:v>
      </x:c>
      <x:c r="E350" s="17" t="str">
        <x:v>59291.23</x:v>
      </x:c>
      <x:c r="F350" s="17" t="str">
        <x:v>64613.35</x:v>
      </x:c>
      <x:c r="G350" s="18" t="n">
        <x:v>5322.12</x:v>
      </x:c>
      <x:c r="H350" s="18" t="n">
        <x:f>IFERROR(G350/1000,"")</x:f>
        <x:v>5.32212</x:v>
      </x:c>
      <x:c r="I350" s="19" t="n">
        <x:f>IFERROR(G350/J350,"")</x:f>
        <x:v>0.07690026944830719</x:v>
      </x:c>
      <x:c r="J350" s="17" t="n">
        <x:v>69208.08</x:v>
      </x:c>
      <x:c r="K350" s="17" t="str"/>
      <x:c r="L350" s="17" t="str">
        <x:v>证据与回答已整理完成。</x:v>
      </x:c>
      <x:c r="M350" s="17" t="str"/>
      <x:c r="N350" s="18" t="n">
        <x:v>0</x:v>
      </x:c>
      <x:c r="O350" s="17" t="str">
        <x:v>public_sse_client_estimate</x:v>
      </x:c>
    </x:row>
    <x:row r="351" ht="48" customHeight="1">
      <x:c r="A351" s="17" t="str">
        <x:v>BUS072</x:v>
      </x:c>
      <x:c r="B351" s="17" t="str">
        <x:v>找出今天主力净流入前20只股票，并返回它们的融资余额和涨跌幅。</x:v>
      </x:c>
      <x:c r="C351" s="17" t="n">
        <x:v>1</x:v>
      </x:c>
      <x:c r="D351" s="17" t="str">
        <x:v>问题理解</x:v>
      </x:c>
      <x:c r="E351" s="17" t="str">
        <x:v>5478.42</x:v>
      </x:c>
      <x:c r="F351" s="17" t="str">
        <x:v>10149.35</x:v>
      </x:c>
      <x:c r="G351" s="18" t="n">
        <x:v>4670.93</x:v>
      </x:c>
      <x:c r="H351" s="18" t="n">
        <x:f>IFERROR(G351/1000,"")</x:f>
        <x:v>4.67093</x:v>
      </x:c>
      <x:c r="I351" s="19" t="n">
        <x:f>IFERROR(G351/J351,"")</x:f>
        <x:v>0.0983139049432787</x:v>
      </x:c>
      <x:c r="J351" s="17" t="n">
        <x:v>47510.37</x:v>
      </x:c>
      <x:c r="K351" s="17" t="str"/>
      <x:c r="L351" s="17" t="str">
        <x:v>已明确本题的对象与口径，开始获取所需证据。</x:v>
      </x:c>
      <x:c r="M351" s="17" t="str"/>
      <x:c r="N351" s="18" t="n">
        <x:v>5478.42</x:v>
      </x:c>
      <x:c r="O351" s="17" t="str">
        <x:v>public_sse_client_estimate</x:v>
      </x:c>
    </x:row>
    <x:row r="352" ht="48" customHeight="1">
      <x:c r="A352" s="17" t="str">
        <x:v>BUS072</x:v>
      </x:c>
      <x:c r="B352" s="17" t="str">
        <x:v>找出今天主力净流入前20只股票，并返回它们的融资余额和涨跌幅。</x:v>
      </x:c>
      <x:c r="C352" s="17" t="n">
        <x:v>2</x:v>
      </x:c>
      <x:c r="D352" s="17" t="str">
        <x:v>数据口径</x:v>
      </x:c>
      <x:c r="E352" s="17" t="str">
        <x:v>10149.35</x:v>
      </x:c>
      <x:c r="F352" s="17" t="str">
        <x:v>10172.01</x:v>
      </x:c>
      <x:c r="G352" s="18" t="n">
        <x:v>22.66</x:v>
      </x:c>
      <x:c r="H352" s="18" t="n">
        <x:f>IFERROR(G352/1000,"")</x:f>
        <x:v>0.02266</x:v>
      </x:c>
      <x:c r="I352" s="19" t="n">
        <x:f>IFERROR(G352/J352,"")</x:f>
        <x:v>0.0004769485061892803</x:v>
      </x:c>
      <x:c r="J352" s="17" t="n">
        <x:v>47510.37</x:v>
      </x:c>
      <x:c r="K352" s="17" t="str"/>
      <x:c r="L352" s="17" t="str">
        <x:v>已定位个股资金流视图，并确认了可用字段与时间口径。</x:v>
      </x:c>
      <x:c r="M352" s="17" t="str"/>
      <x:c r="N352" s="18" t="n">
        <x:v>0</x:v>
      </x:c>
      <x:c r="O352" s="17" t="str">
        <x:v>public_sse_client_estimate</x:v>
      </x:c>
    </x:row>
    <x:row r="353" ht="48" customHeight="1">
      <x:c r="A353" s="17" t="str">
        <x:v>BUS072</x:v>
      </x:c>
      <x:c r="B353" s="17" t="str">
        <x:v>找出今天主力净流入前20只股票，并返回它们的融资余额和涨跌幅。</x:v>
      </x:c>
      <x:c r="C353" s="17" t="n">
        <x:v>3</x:v>
      </x:c>
      <x:c r="D353" s="17" t="str">
        <x:v>数据口径</x:v>
      </x:c>
      <x:c r="E353" s="17" t="str">
        <x:v>10172.01</x:v>
      </x:c>
      <x:c r="F353" s="17" t="str">
        <x:v>10579.24</x:v>
      </x:c>
      <x:c r="G353" s="18" t="n">
        <x:v>407.23</x:v>
      </x:c>
      <x:c r="H353" s="18" t="n">
        <x:f>IFERROR(G353/1000,"")</x:f>
        <x:v>0.40723000000000004</x:v>
      </x:c>
      <x:c r="I353" s="19" t="n">
        <x:f>IFERROR(G353/J353,"")</x:f>
        <x:v>0.008571391887707884</x:v>
      </x:c>
      <x:c r="J353" s="17" t="n">
        <x:v>47510.37</x:v>
      </x:c>
      <x:c r="K353" s="17" t="str"/>
      <x:c r="L353" s="17" t="str">
        <x:v>已定位融资融券视图，并确认了可用字段与时间口径。</x:v>
      </x:c>
      <x:c r="M353" s="17" t="str"/>
      <x:c r="N353" s="18" t="n">
        <x:v>0</x:v>
      </x:c>
      <x:c r="O353" s="17" t="str">
        <x:v>public_sse_client_estimate</x:v>
      </x:c>
    </x:row>
    <x:row r="354" ht="48" customHeight="1">
      <x:c r="A354" s="17" t="str">
        <x:v>BUS072</x:v>
      </x:c>
      <x:c r="B354" s="17" t="str">
        <x:v>找出今天主力净流入前20只股票，并返回它们的融资余额和涨跌幅。</x:v>
      </x:c>
      <x:c r="C354" s="17" t="n">
        <x:v>4</x:v>
      </x:c>
      <x:c r="D354" s="17" t="str">
        <x:v>数据口径</x:v>
      </x:c>
      <x:c r="E354" s="17" t="str">
        <x:v>10579.24</x:v>
      </x:c>
      <x:c r="F354" s="17" t="str">
        <x:v>11052.11</x:v>
      </x:c>
      <x:c r="G354" s="18" t="n">
        <x:v>472.87</x:v>
      </x:c>
      <x:c r="H354" s="18" t="n">
        <x:f>IFERROR(G354/1000,"")</x:f>
        <x:v>0.47287</x:v>
      </x:c>
      <x:c r="I354" s="19" t="n">
        <x:f>IFERROR(G354/J354,"")</x:f>
        <x:v>0.009952985000958738</x:v>
      </x:c>
      <x:c r="J354" s="17" t="n">
        <x:v>47510.37</x:v>
      </x:c>
      <x:c r="K354" s="17" t="str"/>
      <x:c r="L354" s="17" t="str">
        <x:v>已定位个股行情视图，并确认了可用字段与时间口径。</x:v>
      </x:c>
      <x:c r="M354" s="17" t="str"/>
      <x:c r="N354" s="18" t="n">
        <x:v>0</x:v>
      </x:c>
      <x:c r="O354" s="17" t="str">
        <x:v>public_sse_client_estimate</x:v>
      </x:c>
    </x:row>
    <x:row r="355" ht="48" customHeight="1">
      <x:c r="A355" s="17" t="str">
        <x:v>BUS072</x:v>
      </x:c>
      <x:c r="B355" s="17" t="str">
        <x:v>找出今天主力净流入前20只股票，并返回它们的融资余额和涨跌幅。</x:v>
      </x:c>
      <x:c r="C355" s="17" t="n">
        <x:v>5</x:v>
      </x:c>
      <x:c r="D355" s="17" t="str">
        <x:v>数据查询 1/3</x:v>
      </x:c>
      <x:c r="E355" s="17" t="str">
        <x:v>24036.35</x:v>
      </x:c>
      <x:c r="F355" s="17" t="str">
        <x:v>26189.14</x:v>
      </x:c>
      <x:c r="G355" s="18" t="n">
        <x:v>2152.79</x:v>
      </x:c>
      <x:c r="H355" s="18" t="n">
        <x:f>IFERROR(G355/1000,"")</x:f>
        <x:v>2.15279</x:v>
      </x:c>
      <x:c r="I355" s="19" t="n">
        <x:f>IFERROR(G355/J355,"")</x:f>
        <x:v>0.045312002411263055</x:v>
      </x:c>
      <x:c r="J355" s="17" t="n">
        <x:v>47510.37</x:v>
      </x:c>
      <x:c r="K355" s="17" t="str"/>
      <x:c r="L355" s="17" t="str">
        <x:v>已完成：查询最近交易日主力净流入前20只股票，取得 20 条记录。</x:v>
      </x:c>
      <x:c r="M355" s="17" t="str"/>
      <x:c r="N355" s="18" t="n">
        <x:v>12984.24</x:v>
      </x:c>
      <x:c r="O355" s="17" t="str">
        <x:v>public_sse_client_estimate</x:v>
      </x:c>
    </x:row>
    <x:row r="356" ht="48" customHeight="1">
      <x:c r="A356" s="17" t="str">
        <x:v>BUS072</x:v>
      </x:c>
      <x:c r="B356" s="17" t="str">
        <x:v>找出今天主力净流入前20只股票，并返回它们的融资余额和涨跌幅。</x:v>
      </x:c>
      <x:c r="C356" s="17" t="n">
        <x:v>6</x:v>
      </x:c>
      <x:c r="D356" s="17" t="str">
        <x:v>数据查询 2/3</x:v>
      </x:c>
      <x:c r="E356" s="17" t="str">
        <x:v>26194.38</x:v>
      </x:c>
      <x:c r="F356" s="17" t="str">
        <x:v>26200.19</x:v>
      </x:c>
      <x:c r="G356" s="18" t="n">
        <x:v>5.81</x:v>
      </x:c>
      <x:c r="H356" s="18" t="n">
        <x:f>IFERROR(G356/1000,"")</x:f>
        <x:v>0.005809999999999999</x:v>
      </x:c>
      <x:c r="I356" s="19" t="n">
        <x:f>IFERROR(G356/J356,"")</x:f>
        <x:v>0.00012228909183405643</x:v>
      </x:c>
      <x:c r="J356" s="17" t="n">
        <x:v>47510.37</x:v>
      </x:c>
      <x:c r="K356" s="17" t="str"/>
      <x:c r="L356" s="17" t="str">
        <x:v>已完成：查询上述20只股票最近交易日的融资余额，当前条件下没有匹配记录。</x:v>
      </x:c>
      <x:c r="M356" s="17" t="str"/>
      <x:c r="N356" s="18" t="n">
        <x:v>5.24</x:v>
      </x:c>
      <x:c r="O356" s="17" t="str">
        <x:v>public_sse_client_estimate</x:v>
      </x:c>
    </x:row>
    <x:row r="357" ht="48" customHeight="1">
      <x:c r="A357" s="17" t="str">
        <x:v>BUS072</x:v>
      </x:c>
      <x:c r="B357" s="17" t="str">
        <x:v>找出今天主力净流入前20只股票，并返回它们的融资余额和涨跌幅。</x:v>
      </x:c>
      <x:c r="C357" s="17" t="n">
        <x:v>7</x:v>
      </x:c>
      <x:c r="D357" s="17" t="str">
        <x:v>数据查询 3/3</x:v>
      </x:c>
      <x:c r="E357" s="17" t="str">
        <x:v>26203.61</x:v>
      </x:c>
      <x:c r="F357" s="17" t="str">
        <x:v>27198.27</x:v>
      </x:c>
      <x:c r="G357" s="18" t="n">
        <x:v>994.66</x:v>
      </x:c>
      <x:c r="H357" s="18" t="n">
        <x:f>IFERROR(G357/1000,"")</x:f>
        <x:v>0.99466</x:v>
      </x:c>
      <x:c r="I357" s="19" t="n">
        <x:f>IFERROR(G357/J357,"")</x:f>
        <x:v>0.020935639945552937</x:v>
      </x:c>
      <x:c r="J357" s="17" t="n">
        <x:v>47510.37</x:v>
      </x:c>
      <x:c r="K357" s="17" t="str"/>
      <x:c r="L357" s="17" t="str">
        <x:v>已完成：查询上述20只股票最近交易日的涨跌幅，取得 20 条记录。</x:v>
      </x:c>
      <x:c r="M357" s="17" t="str"/>
      <x:c r="N357" s="18" t="n">
        <x:v>3.42</x:v>
      </x:c>
      <x:c r="O357" s="17" t="str">
        <x:v>public_sse_client_estimate</x:v>
      </x:c>
    </x:row>
    <x:row r="358" ht="48" customHeight="1">
      <x:c r="A358" s="17" t="str">
        <x:v>BUS072</x:v>
      </x:c>
      <x:c r="B358" s="17" t="str">
        <x:v>找出今天主力净流入前20只股票，并返回它们的融资余额和涨跌幅。</x:v>
      </x:c>
      <x:c r="C358" s="17" t="n">
        <x:v>8</x:v>
      </x:c>
      <x:c r="D358" s="17" t="str">
        <x:v>回答整理</x:v>
      </x:c>
      <x:c r="E358" s="17" t="str">
        <x:v>27198.27</x:v>
      </x:c>
      <x:c r="F358" s="17" t="str">
        <x:v>44499.69</x:v>
      </x:c>
      <x:c r="G358" s="18" t="n">
        <x:v>17301.42</x:v>
      </x:c>
      <x:c r="H358" s="18" t="n">
        <x:f>IFERROR(G358/1000,"")</x:f>
        <x:v>17.301419999999997</x:v>
      </x:c>
      <x:c r="I358" s="19" t="n">
        <x:f>IFERROR(G358/J358,"")</x:f>
        <x:v>0.36416091897411024</x:v>
      </x:c>
      <x:c r="J358" s="17" t="n">
        <x:v>47510.37</x:v>
      </x:c>
      <x:c r="K358" s="17" t="str"/>
      <x:c r="L358" s="17" t="str">
        <x:v>证据与回答已整理完成。</x:v>
      </x:c>
      <x:c r="M358" s="17" t="str"/>
      <x:c r="N358" s="18" t="n">
        <x:v>0</x:v>
      </x:c>
      <x:c r="O358" s="17" t="str">
        <x:v>public_sse_client_estimate</x:v>
      </x:c>
    </x:row>
    <x:row r="359" ht="48" customHeight="1">
      <x:c r="A359" s="17" t="str">
        <x:v>BUS073</x:v>
      </x:c>
      <x:c r="B359" s="17" t="str">
        <x:v>查询宁德时代最新财务ROE、当前估值和最近10日股价表现。</x:v>
      </x:c>
      <x:c r="C359" s="17" t="n">
        <x:v>1</x:v>
      </x:c>
      <x:c r="D359" s="17" t="str">
        <x:v>问题理解</x:v>
      </x:c>
      <x:c r="E359" s="17" t="str">
        <x:v>5407.79</x:v>
      </x:c>
      <x:c r="F359" s="17" t="str">
        <x:v>10047.17</x:v>
      </x:c>
      <x:c r="G359" s="18" t="n">
        <x:v>4639.38</x:v>
      </x:c>
      <x:c r="H359" s="18" t="n">
        <x:f>IFERROR(G359/1000,"")</x:f>
        <x:v>4.63938</x:v>
      </x:c>
      <x:c r="I359" s="19" t="n">
        <x:f>IFERROR(G359/J359,"")</x:f>
        <x:v>0.10793229228341504</x:v>
      </x:c>
      <x:c r="J359" s="17" t="n">
        <x:v>42984.17</x:v>
      </x:c>
      <x:c r="K359" s="17" t="str"/>
      <x:c r="L359" s="17" t="str">
        <x:v>已明确本题的对象与口径，开始获取所需证据。</x:v>
      </x:c>
      <x:c r="M359" s="17" t="str"/>
      <x:c r="N359" s="18" t="n">
        <x:v>5407.79</x:v>
      </x:c>
      <x:c r="O359" s="17" t="str">
        <x:v>public_sse_client_estimate</x:v>
      </x:c>
    </x:row>
    <x:row r="360" ht="48" customHeight="1">
      <x:c r="A360" s="17" t="str">
        <x:v>BUS073</x:v>
      </x:c>
      <x:c r="B360" s="17" t="str">
        <x:v>查询宁德时代最新财务ROE、当前估值和最近10日股价表现。</x:v>
      </x:c>
      <x:c r="C360" s="17" t="n">
        <x:v>2</x:v>
      </x:c>
      <x:c r="D360" s="17" t="str">
        <x:v>数据口径</x:v>
      </x:c>
      <x:c r="E360" s="17" t="str">
        <x:v>10047.17</x:v>
      </x:c>
      <x:c r="F360" s="17" t="str">
        <x:v>10125.03</x:v>
      </x:c>
      <x:c r="G360" s="18" t="n">
        <x:v>77.86</x:v>
      </x:c>
      <x:c r="H360" s="18" t="n">
        <x:f>IFERROR(G360/1000,"")</x:f>
        <x:v>0.07786</x:v>
      </x:c>
      <x:c r="I360" s="19" t="n">
        <x:f>IFERROR(G360/J360,"")</x:f>
        <x:v>0.0018113645093065657</x:v>
      </x:c>
      <x:c r="J360" s="17" t="n">
        <x:v>42984.17</x:v>
      </x:c>
      <x:c r="K360" s="17" t="str"/>
      <x:c r="L360" s="17" t="str">
        <x:v>已定位个股财务视图，并确认了可用字段与时间口径。</x:v>
      </x:c>
      <x:c r="M360" s="17" t="str"/>
      <x:c r="N360" s="18" t="n">
        <x:v>0</x:v>
      </x:c>
      <x:c r="O360" s="17" t="str">
        <x:v>public_sse_client_estimate</x:v>
      </x:c>
    </x:row>
    <x:row r="361" ht="48" customHeight="1">
      <x:c r="A361" s="17" t="str">
        <x:v>BUS073</x:v>
      </x:c>
      <x:c r="B361" s="17" t="str">
        <x:v>查询宁德时代最新财务ROE、当前估值和最近10日股价表现。</x:v>
      </x:c>
      <x:c r="C361" s="17" t="n">
        <x:v>3</x:v>
      </x:c>
      <x:c r="D361" s="17" t="str">
        <x:v>数据口径</x:v>
      </x:c>
      <x:c r="E361" s="17" t="str">
        <x:v>10125.03</x:v>
      </x:c>
      <x:c r="F361" s="17" t="str">
        <x:v>10709.76</x:v>
      </x:c>
      <x:c r="G361" s="18" t="n">
        <x:v>584.73</x:v>
      </x:c>
      <x:c r="H361" s="18" t="n">
        <x:f>IFERROR(G361/1000,"")</x:f>
        <x:v>0.58473</x:v>
      </x:c>
      <x:c r="I361" s="19" t="n">
        <x:f>IFERROR(G361/J361,"")</x:f>
        <x:v>0.013603380035022197</x:v>
      </x:c>
      <x:c r="J361" s="17" t="n">
        <x:v>42984.17</x:v>
      </x:c>
      <x:c r="K361" s="17" t="str"/>
      <x:c r="L361" s="17" t="str">
        <x:v>已定位个股估值视图，并确认了可用字段与时间口径。</x:v>
      </x:c>
      <x:c r="M361" s="17" t="str"/>
      <x:c r="N361" s="18" t="n">
        <x:v>0</x:v>
      </x:c>
      <x:c r="O361" s="17" t="str">
        <x:v>public_sse_client_estimate</x:v>
      </x:c>
    </x:row>
    <x:row r="362" ht="48" customHeight="1">
      <x:c r="A362" s="17" t="str">
        <x:v>BUS073</x:v>
      </x:c>
      <x:c r="B362" s="17" t="str">
        <x:v>查询宁德时代最新财务ROE、当前估值和最近10日股价表现。</x:v>
      </x:c>
      <x:c r="C362" s="17" t="n">
        <x:v>4</x:v>
      </x:c>
      <x:c r="D362" s="17" t="str">
        <x:v>数据口径</x:v>
      </x:c>
      <x:c r="E362" s="17" t="str">
        <x:v>10709.76</x:v>
      </x:c>
      <x:c r="F362" s="17" t="str">
        <x:v>11101.23</x:v>
      </x:c>
      <x:c r="G362" s="18" t="n">
        <x:v>391.47</x:v>
      </x:c>
      <x:c r="H362" s="18" t="n">
        <x:f>IFERROR(G362/1000,"")</x:f>
        <x:v>0.39147000000000004</x:v>
      </x:c>
      <x:c r="I362" s="19" t="n">
        <x:f>IFERROR(G362/J362,"")</x:f>
        <x:v>0.009107306247858224</x:v>
      </x:c>
      <x:c r="J362" s="17" t="n">
        <x:v>42984.17</x:v>
      </x:c>
      <x:c r="K362" s="17" t="str"/>
      <x:c r="L362" s="17" t="str">
        <x:v>已定位个股行情视图，并确认了可用字段与时间口径。</x:v>
      </x:c>
      <x:c r="M362" s="17" t="str"/>
      <x:c r="N362" s="18" t="n">
        <x:v>0</x:v>
      </x:c>
      <x:c r="O362" s="17" t="str">
        <x:v>public_sse_client_estimate</x:v>
      </x:c>
    </x:row>
    <x:row r="363" ht="48" customHeight="1">
      <x:c r="A363" s="17" t="str">
        <x:v>BUS073</x:v>
      </x:c>
      <x:c r="B363" s="17" t="str">
        <x:v>查询宁德时代最新财务ROE、当前估值和最近10日股价表现。</x:v>
      </x:c>
      <x:c r="C363" s="17" t="n">
        <x:v>5</x:v>
      </x:c>
      <x:c r="D363" s="17" t="str">
        <x:v>数据查询 1/3</x:v>
      </x:c>
      <x:c r="E363" s="17" t="str">
        <x:v>23319.92</x:v>
      </x:c>
      <x:c r="F363" s="17" t="str">
        <x:v>23901.93</x:v>
      </x:c>
      <x:c r="G363" s="18" t="n">
        <x:v>582.01</x:v>
      </x:c>
      <x:c r="H363" s="18" t="n">
        <x:f>IFERROR(G363/1000,"")</x:f>
        <x:v>0.58201</x:v>
      </x:c>
      <x:c r="I363" s="19" t="n">
        <x:f>IFERROR(G363/J363,"")</x:f>
        <x:v>0.01354010092552677</x:v>
      </x:c>
      <x:c r="J363" s="17" t="n">
        <x:v>42984.17</x:v>
      </x:c>
      <x:c r="K363" s="17" t="str"/>
      <x:c r="L363" s="17" t="str">
        <x:v>已完成：获取宁德时代最新ROE，取得 1 条记录。</x:v>
      </x:c>
      <x:c r="M363" s="17" t="str"/>
      <x:c r="N363" s="18" t="n">
        <x:v>12218.69</x:v>
      </x:c>
      <x:c r="O363" s="17" t="str">
        <x:v>public_sse_client_estimate</x:v>
      </x:c>
    </x:row>
    <x:row r="364" ht="48" customHeight="1">
      <x:c r="A364" s="17" t="str">
        <x:v>BUS073</x:v>
      </x:c>
      <x:c r="B364" s="17" t="str">
        <x:v>查询宁德时代最新财务ROE、当前估值和最近10日股价表现。</x:v>
      </x:c>
      <x:c r="C364" s="17" t="n">
        <x:v>6</x:v>
      </x:c>
      <x:c r="D364" s="17" t="str">
        <x:v>数据查询 2/3</x:v>
      </x:c>
      <x:c r="E364" s="17" t="str">
        <x:v>23910.92</x:v>
      </x:c>
      <x:c r="F364" s="17" t="str">
        <x:v>24391.53</x:v>
      </x:c>
      <x:c r="G364" s="18" t="n">
        <x:v>480.61</x:v>
      </x:c>
      <x:c r="H364" s="18" t="n">
        <x:f>IFERROR(G364/1000,"")</x:f>
        <x:v>0.48061000000000004</x:v>
      </x:c>
      <x:c r="I364" s="19" t="n">
        <x:f>IFERROR(G364/J364,"")</x:f>
        <x:v>0.011181092946542879</x:v>
      </x:c>
      <x:c r="J364" s="17" t="n">
        <x:v>42984.17</x:v>
      </x:c>
      <x:c r="K364" s="17" t="str"/>
      <x:c r="L364" s="17" t="str">
        <x:v>已完成：获取宁德时代当前估值数据，取得 1 条记录。</x:v>
      </x:c>
      <x:c r="M364" s="17" t="str"/>
      <x:c r="N364" s="18" t="n">
        <x:v>8.99</x:v>
      </x:c>
      <x:c r="O364" s="17" t="str">
        <x:v>public_sse_client_estimate</x:v>
      </x:c>
    </x:row>
    <x:row r="365" ht="48" customHeight="1">
      <x:c r="A365" s="17" t="str">
        <x:v>BUS073</x:v>
      </x:c>
      <x:c r="B365" s="17" t="str">
        <x:v>查询宁德时代最新财务ROE、当前估值和最近10日股价表现。</x:v>
      </x:c>
      <x:c r="C365" s="17" t="n">
        <x:v>7</x:v>
      </x:c>
      <x:c r="D365" s="17" t="str">
        <x:v>数据查询 3/3</x:v>
      </x:c>
      <x:c r="E365" s="17" t="str">
        <x:v>24394.77</x:v>
      </x:c>
      <x:c r="F365" s="17" t="str">
        <x:v>24960.55</x:v>
      </x:c>
      <x:c r="G365" s="18" t="n">
        <x:v>565.78</x:v>
      </x:c>
      <x:c r="H365" s="18" t="n">
        <x:f>IFERROR(G365/1000,"")</x:f>
        <x:v>0.56578</x:v>
      </x:c>
      <x:c r="I365" s="19" t="n">
        <x:f>IFERROR(G365/J365,"")</x:f>
        <x:v>0.0131625200626184</x:v>
      </x:c>
      <x:c r="J365" s="17" t="n">
        <x:v>42984.17</x:v>
      </x:c>
      <x:c r="K365" s="17" t="str"/>
      <x:c r="L365" s="17" t="str">
        <x:v>已完成：获取宁德时代最近10个交易日股价表现，取得 10 条记录。</x:v>
      </x:c>
      <x:c r="M365" s="17" t="str"/>
      <x:c r="N365" s="18" t="n">
        <x:v>3.24</x:v>
      </x:c>
      <x:c r="O365" s="17" t="str">
        <x:v>public_sse_client_estimate</x:v>
      </x:c>
    </x:row>
    <x:row r="366" ht="48" customHeight="1">
      <x:c r="A366" s="17" t="str">
        <x:v>BUS073</x:v>
      </x:c>
      <x:c r="B366" s="17" t="str">
        <x:v>查询宁德时代最新财务ROE、当前估值和最近10日股价表现。</x:v>
      </x:c>
      <x:c r="C366" s="17" t="n">
        <x:v>8</x:v>
      </x:c>
      <x:c r="D366" s="17" t="str">
        <x:v>回答整理</x:v>
      </x:c>
      <x:c r="E366" s="17" t="str">
        <x:v>24960.55</x:v>
      </x:c>
      <x:c r="F366" s="17" t="str">
        <x:v>37632.62</x:v>
      </x:c>
      <x:c r="G366" s="18" t="n">
        <x:v>12672.07</x:v>
      </x:c>
      <x:c r="H366" s="18" t="n">
        <x:f>IFERROR(G366/1000,"")</x:f>
        <x:v>12.67207</x:v>
      </x:c>
      <x:c r="I366" s="19" t="n">
        <x:f>IFERROR(G366/J366,"")</x:f>
        <x:v>0.29480783274400785</x:v>
      </x:c>
      <x:c r="J366" s="17" t="n">
        <x:v>42984.17</x:v>
      </x:c>
      <x:c r="K366" s="17" t="str"/>
      <x:c r="L366" s="17" t="str">
        <x:v>证据与回答已整理完成。</x:v>
      </x:c>
      <x:c r="M366" s="17" t="str"/>
      <x:c r="N366" s="18" t="n">
        <x:v>0</x:v>
      </x:c>
      <x:c r="O366" s="17" t="str">
        <x:v>public_sse_client_estimate</x:v>
      </x:c>
    </x:row>
    <x:row r="367" ht="48" customHeight="1">
      <x:c r="A367" s="17" t="str">
        <x:v>BUS074</x:v>
      </x:c>
      <x:c r="B367" s="17" t="str">
        <x:v>筛选最新现金分红较高且当前PE_TTM低于20的股票。</x:v>
      </x:c>
      <x:c r="C367" s="17" t="n">
        <x:v>1</x:v>
      </x:c>
      <x:c r="D367" s="17" t="str">
        <x:v>问题理解</x:v>
      </x:c>
      <x:c r="E367" s="17" t="str">
        <x:v>5752.86</x:v>
      </x:c>
      <x:c r="F367" s="17" t="str">
        <x:v>10368.56</x:v>
      </x:c>
      <x:c r="G367" s="18" t="n">
        <x:v>4615.7</x:v>
      </x:c>
      <x:c r="H367" s="18" t="n">
        <x:f>IFERROR(G367/1000,"")</x:f>
        <x:v>4.6156999999999995</x:v>
      </x:c>
      <x:c r="I367" s="19" t="n">
        <x:f>IFERROR(G367/J367,"")</x:f>
        <x:v>0.05716110770962251</x:v>
      </x:c>
      <x:c r="J367" s="17" t="n">
        <x:v>80748.96</x:v>
      </x:c>
      <x:c r="K367" s="17" t="str"/>
      <x:c r="L367" s="17" t="str">
        <x:v>已明确本题的对象与口径，开始获取所需证据。</x:v>
      </x:c>
      <x:c r="M367" s="17" t="str"/>
      <x:c r="N367" s="18" t="n">
        <x:v>5752.86</x:v>
      </x:c>
      <x:c r="O367" s="17" t="str">
        <x:v>public_sse_client_estimate</x:v>
      </x:c>
    </x:row>
    <x:row r="368" ht="48" customHeight="1">
      <x:c r="A368" s="17" t="str">
        <x:v>BUS074</x:v>
      </x:c>
      <x:c r="B368" s="17" t="str">
        <x:v>筛选最新现金分红较高且当前PE_TTM低于20的股票。</x:v>
      </x:c>
      <x:c r="C368" s="17" t="n">
        <x:v>2</x:v>
      </x:c>
      <x:c r="D368" s="17" t="str">
        <x:v>专业分析方法</x:v>
      </x:c>
      <x:c r="E368" s="17" t="str">
        <x:v>10387.26</x:v>
      </x:c>
      <x:c r="F368" s="17" t="str">
        <x:v>10394.84</x:v>
      </x:c>
      <x:c r="G368" s="18" t="n">
        <x:v>7.58</x:v>
      </x:c>
      <x:c r="H368" s="18" t="n">
        <x:f>IFERROR(G368/1000,"")</x:f>
        <x:v>0.00758</x:v>
      </x:c>
      <x:c r="I368" s="19" t="n">
        <x:f>IFERROR(G368/J368,"")</x:f>
        <x:v>0.00009387117803127123</x:v>
      </x:c>
      <x:c r="J368" s="17" t="n">
        <x:v>80748.96</x:v>
      </x:c>
      <x:c r="K368" s="17" t="str"/>
      <x:c r="L368" s="17" t="str">
        <x:v>专业分析方法已就绪。</x:v>
      </x:c>
      <x:c r="M368" s="17" t="str"/>
      <x:c r="N368" s="18" t="n">
        <x:v>18.7</x:v>
      </x:c>
      <x:c r="O368" s="17" t="str">
        <x:v>public_sse_client_estimate</x:v>
      </x:c>
    </x:row>
    <x:row r="369" ht="48" customHeight="1">
      <x:c r="A369" s="17" t="str">
        <x:v>BUS074</x:v>
      </x:c>
      <x:c r="B369" s="17" t="str">
        <x:v>筛选最新现金分红较高且当前PE_TTM低于20的股票。</x:v>
      </x:c>
      <x:c r="C369" s="17" t="n">
        <x:v>3</x:v>
      </x:c>
      <x:c r="D369" s="17" t="str">
        <x:v>数据口径</x:v>
      </x:c>
      <x:c r="E369" s="17" t="str">
        <x:v>10394.84</x:v>
      </x:c>
      <x:c r="F369" s="17" t="str">
        <x:v>14569.91</x:v>
      </x:c>
      <x:c r="G369" s="18" t="n">
        <x:v>4175.07</x:v>
      </x:c>
      <x:c r="H369" s="18" t="n">
        <x:f>IFERROR(G369/1000,"")</x:f>
        <x:v>4.17507</x:v>
      </x:c>
      <x:c r="I369" s="19" t="n">
        <x:f>IFERROR(G369/J369,"")</x:f>
        <x:v>0.051704319163986746</x:v>
      </x:c>
      <x:c r="J369" s="17" t="n">
        <x:v>80748.96</x:v>
      </x:c>
      <x:c r="K369" s="17" t="str"/>
      <x:c r="L369" s="17" t="str">
        <x:v>已定位个股估值视图，并确认了可用字段与时间口径。</x:v>
      </x:c>
      <x:c r="M369" s="17" t="str"/>
      <x:c r="N369" s="18" t="n">
        <x:v>0</x:v>
      </x:c>
      <x:c r="O369" s="17" t="str">
        <x:v>public_sse_client_estimate</x:v>
      </x:c>
    </x:row>
    <x:row r="370" ht="48" customHeight="1">
      <x:c r="A370" s="17" t="str">
        <x:v>BUS074</x:v>
      </x:c>
      <x:c r="B370" s="17" t="str">
        <x:v>筛选最新现金分红较高且当前PE_TTM低于20的股票。</x:v>
      </x:c>
      <x:c r="C370" s="17" t="n">
        <x:v>4</x:v>
      </x:c>
      <x:c r="D370" s="17" t="str">
        <x:v>数据口径</x:v>
      </x:c>
      <x:c r="E370" s="17" t="str">
        <x:v>14569.91</x:v>
      </x:c>
      <x:c r="F370" s="17" t="str">
        <x:v>15147.63</x:v>
      </x:c>
      <x:c r="G370" s="18" t="n">
        <x:v>577.72</x:v>
      </x:c>
      <x:c r="H370" s="18" t="n">
        <x:f>IFERROR(G370/1000,"")</x:f>
        <x:v>0.57772</x:v>
      </x:c>
      <x:c r="I370" s="19" t="n">
        <x:f>IFERROR(G370/J370,"")</x:f>
        <x:v>0.007154519389475728</x:v>
      </x:c>
      <x:c r="J370" s="17" t="n">
        <x:v>80748.96</x:v>
      </x:c>
      <x:c r="K370" s="17" t="str"/>
      <x:c r="L370" s="17" t="str">
        <x:v>已定位个股股本事件视图，并确认了可用字段与时间口径。</x:v>
      </x:c>
      <x:c r="M370" s="17" t="str"/>
      <x:c r="N370" s="18" t="n">
        <x:v>0</x:v>
      </x:c>
      <x:c r="O370" s="17" t="str">
        <x:v>public_sse_client_estimate</x:v>
      </x:c>
    </x:row>
    <x:row r="371" ht="48" customHeight="1">
      <x:c r="A371" s="17" t="str">
        <x:v>BUS074</x:v>
      </x:c>
      <x:c r="B371" s="17" t="str">
        <x:v>筛选最新现金分红较高且当前PE_TTM低于20的股票。</x:v>
      </x:c>
      <x:c r="C371" s="17" t="n">
        <x:v>5</x:v>
      </x:c>
      <x:c r="D371" s="17" t="str">
        <x:v>数据口径</x:v>
      </x:c>
      <x:c r="E371" s="17" t="str">
        <x:v>15147.63</x:v>
      </x:c>
      <x:c r="F371" s="17" t="str">
        <x:v>15351.2</x:v>
      </x:c>
      <x:c r="G371" s="18" t="n">
        <x:v>203.57</x:v>
      </x:c>
      <x:c r="H371" s="18" t="n">
        <x:f>IFERROR(G371/1000,"")</x:f>
        <x:v>0.20357</x:v>
      </x:c>
      <x:c r="I371" s="19" t="n">
        <x:f>IFERROR(G371/J371,"")</x:f>
        <x:v>0.002521023180979668</x:v>
      </x:c>
      <x:c r="J371" s="17" t="n">
        <x:v>80748.96</x:v>
      </x:c>
      <x:c r="K371" s="17" t="str"/>
      <x:c r="L371" s="17" t="str">
        <x:v>已定位股票基础信息视图，并确认了可用字段与时间口径。</x:v>
      </x:c>
      <x:c r="M371" s="17" t="str"/>
      <x:c r="N371" s="18" t="n">
        <x:v>0</x:v>
      </x:c>
      <x:c r="O371" s="17" t="str">
        <x:v>public_sse_client_estimate</x:v>
      </x:c>
    </x:row>
    <x:row r="372" ht="48" customHeight="1">
      <x:c r="A372" s="17" t="str">
        <x:v>BUS074</x:v>
      </x:c>
      <x:c r="B372" s="17" t="str">
        <x:v>筛选最新现金分红较高且当前PE_TTM低于20的股票。</x:v>
      </x:c>
      <x:c r="C372" s="17" t="n">
        <x:v>6</x:v>
      </x:c>
      <x:c r="D372" s="17" t="str">
        <x:v>数据查询 1/2</x:v>
      </x:c>
      <x:c r="E372" s="17" t="str">
        <x:v>40570.54</x:v>
      </x:c>
      <x:c r="F372" s="17" t="str">
        <x:v>41689.51</x:v>
      </x:c>
      <x:c r="G372" s="18" t="n">
        <x:v>1118.97</x:v>
      </x:c>
      <x:c r="H372" s="18" t="n">
        <x:f>IFERROR(G372/1000,"")</x:f>
        <x:v>1.11897</x:v>
      </x:c>
      <x:c r="I372" s="19" t="n">
        <x:f>IFERROR(G372/J372,"")</x:f>
        <x:v>0.013857392095204693</x:v>
      </x:c>
      <x:c r="J372" s="17" t="n">
        <x:v>80748.96</x:v>
      </x:c>
      <x:c r="K372" s="17" t="str"/>
      <x:c r="L372" s="17" t="str">
        <x:v>已完成：找出所有PE_TTM低于20的A股股票代码和名称，取得 500 条记录。</x:v>
      </x:c>
      <x:c r="M372" s="17" t="str"/>
      <x:c r="N372" s="18" t="n">
        <x:v>25219.34</x:v>
      </x:c>
      <x:c r="O372" s="17" t="str">
        <x:v>public_sse_client_estimate</x:v>
      </x:c>
    </x:row>
    <x:row r="373" ht="48" customHeight="1">
      <x:c r="A373" s="17" t="str">
        <x:v>BUS074</x:v>
      </x:c>
      <x:c r="B373" s="17" t="str">
        <x:v>筛选最新现金分红较高且当前PE_TTM低于20的股票。</x:v>
      </x:c>
      <x:c r="C373" s="17" t="n">
        <x:v>7</x:v>
      </x:c>
      <x:c r="D373" s="17" t="str">
        <x:v>数据查询 2/2</x:v>
      </x:c>
      <x:c r="E373" s="17" t="str">
        <x:v>41696.28</x:v>
      </x:c>
      <x:c r="F373" s="17" t="str">
        <x:v>42931.2</x:v>
      </x:c>
      <x:c r="G373" s="18" t="n">
        <x:v>1234.92</x:v>
      </x:c>
      <x:c r="H373" s="18" t="n">
        <x:f>IFERROR(G373/1000,"")</x:f>
        <x:v>1.23492</x:v>
      </x:c>
      <x:c r="I373" s="19" t="n">
        <x:f>IFERROR(G373/J373,"")</x:f>
        <x:v>0.015293323901632912</x:v>
      </x:c>
      <x:c r="J373" s="17" t="n">
        <x:v>80748.96</x:v>
      </x:c>
      <x:c r="K373" s="17" t="str"/>
      <x:c r="L373" s="17" t="str">
        <x:v>已完成：从PE_TTM低于20的股票中，获取其最新现金分红记录，按每股分红金额降序排列，取得 200 条记录。</x:v>
      </x:c>
      <x:c r="M373" s="17" t="str"/>
      <x:c r="N373" s="18" t="n">
        <x:v>6.77</x:v>
      </x:c>
      <x:c r="O373" s="17" t="str">
        <x:v>public_sse_client_estimate</x:v>
      </x:c>
    </x:row>
    <x:row r="374" ht="48" customHeight="1">
      <x:c r="A374" s="17" t="str">
        <x:v>BUS074</x:v>
      </x:c>
      <x:c r="B374" s="17" t="str">
        <x:v>筛选最新现金分红较高且当前PE_TTM低于20的股票。</x:v>
      </x:c>
      <x:c r="C374" s="17" t="n">
        <x:v>8</x:v>
      </x:c>
      <x:c r="D374" s="17" t="str">
        <x:v>数据查询 1/1</x:v>
      </x:c>
      <x:c r="E374" s="17" t="str">
        <x:v>57108.31</x:v>
      </x:c>
      <x:c r="F374" s="17" t="str">
        <x:v>57619.04</x:v>
      </x:c>
      <x:c r="G374" s="18" t="n">
        <x:v>510.73</x:v>
      </x:c>
      <x:c r="H374" s="18" t="n">
        <x:f>IFERROR(G374/1000,"")</x:f>
        <x:v>0.51073</x:v>
      </x:c>
      <x:c r="I374" s="19" t="n">
        <x:f>IFERROR(G374/J374,"")</x:f>
        <x:v>0.006324911181518622</x:v>
      </x:c>
      <x:c r="J374" s="17" t="n">
        <x:v>80748.96</x:v>
      </x:c>
      <x:c r="K374" s="17" t="str"/>
      <x:c r="L374" s="17" t="str">
        <x:v>已完成：获取上述高分红股票的PE_TTM和市值数据，取得 19 条记录。</x:v>
      </x:c>
      <x:c r="M374" s="17" t="str"/>
      <x:c r="N374" s="18" t="n">
        <x:v>14177.11</x:v>
      </x:c>
      <x:c r="O374" s="17" t="str">
        <x:v>public_sse_client_estimate</x:v>
      </x:c>
    </x:row>
    <x:row r="375" ht="48" customHeight="1">
      <x:c r="A375" s="17" t="str">
        <x:v>BUS074</x:v>
      </x:c>
      <x:c r="B375" s="17" t="str">
        <x:v>筛选最新现金分红较高且当前PE_TTM低于20的股票。</x:v>
      </x:c>
      <x:c r="C375" s="17" t="n">
        <x:v>9</x:v>
      </x:c>
      <x:c r="D375" s="17" t="str">
        <x:v>回答整理</x:v>
      </x:c>
      <x:c r="E375" s="17" t="str">
        <x:v>57619.04</x:v>
      </x:c>
      <x:c r="F375" s="17" t="str">
        <x:v>76152.78</x:v>
      </x:c>
      <x:c r="G375" s="18" t="n">
        <x:v>18533.74</x:v>
      </x:c>
      <x:c r="H375" s="18" t="n">
        <x:f>IFERROR(G375/1000,"")</x:f>
        <x:v>18.53374</x:v>
      </x:c>
      <x:c r="I375" s="19" t="n">
        <x:f>IFERROR(G375/J375,"")</x:f>
        <x:v>0.229522956085131</x:v>
      </x:c>
      <x:c r="J375" s="17" t="n">
        <x:v>80748.96</x:v>
      </x:c>
      <x:c r="K375" s="17" t="str"/>
      <x:c r="L375" s="17" t="str">
        <x:v>证据与回答已整理完成。</x:v>
      </x:c>
      <x:c r="M375" s="17" t="str"/>
      <x:c r="N375" s="18" t="n">
        <x:v>0</x:v>
      </x:c>
      <x:c r="O375" s="17" t="str">
        <x:v>public_sse_client_estimate</x:v>
      </x:c>
    </x:row>
    <x:row r="376" ht="48" customHeight="1">
      <x:c r="A376" s="17" t="str">
        <x:v>BUS075</x:v>
      </x:c>
      <x:c r="B376" s="17" t="str">
        <x:v>查询沪深300指数代码和指数名称。</x:v>
      </x:c>
      <x:c r="C376" s="17" t="n">
        <x:v>1</x:v>
      </x:c>
      <x:c r="D376" s="17" t="str">
        <x:v>问题理解</x:v>
      </x:c>
      <x:c r="E376" s="17" t="str">
        <x:v>5681.63</x:v>
      </x:c>
      <x:c r="F376" s="17" t="str">
        <x:v>10020.61</x:v>
      </x:c>
      <x:c r="G376" s="18" t="n">
        <x:v>4338.98</x:v>
      </x:c>
      <x:c r="H376" s="18" t="n">
        <x:f>IFERROR(G376/1000,"")</x:f>
        <x:v>4.338979999999999</x:v>
      </x:c>
      <x:c r="I376" s="19" t="n">
        <x:f>IFERROR(G376/J376,"")</x:f>
        <x:v>0.24834332091324823</x:v>
      </x:c>
      <x:c r="J376" s="17" t="n">
        <x:v>17471.7</x:v>
      </x:c>
      <x:c r="K376" s="17" t="str"/>
      <x:c r="L376" s="17" t="str">
        <x:v>已明确本题的对象与口径，开始获取所需证据。</x:v>
      </x:c>
      <x:c r="M376" s="17" t="str"/>
      <x:c r="N376" s="18" t="n">
        <x:v>5681.63</x:v>
      </x:c>
      <x:c r="O376" s="17" t="str">
        <x:v>public_sse_client_estimate</x:v>
      </x:c>
    </x:row>
    <x:row r="377" ht="48" customHeight="1">
      <x:c r="A377" s="17" t="str">
        <x:v>BUS075</x:v>
      </x:c>
      <x:c r="B377" s="17" t="str">
        <x:v>查询沪深300指数代码和指数名称。</x:v>
      </x:c>
      <x:c r="C377" s="17" t="n">
        <x:v>2</x:v>
      </x:c>
      <x:c r="D377" s="17" t="str">
        <x:v>数据口径</x:v>
      </x:c>
      <x:c r="E377" s="17" t="str">
        <x:v>10020.61</x:v>
      </x:c>
      <x:c r="F377" s="17" t="str">
        <x:v>10195.86</x:v>
      </x:c>
      <x:c r="G377" s="18" t="n">
        <x:v>175.25</x:v>
      </x:c>
      <x:c r="H377" s="18" t="n">
        <x:f>IFERROR(G377/1000,"")</x:f>
        <x:v>0.17525</x:v>
      </x:c>
      <x:c r="I377" s="19" t="n">
        <x:f>IFERROR(G377/J377,"")</x:f>
        <x:v>0.010030506476187206</x:v>
      </x:c>
      <x:c r="J377" s="17" t="n">
        <x:v>17471.7</x:v>
      </x:c>
      <x:c r="K377" s="17" t="str"/>
      <x:c r="L377" s="17" t="str">
        <x:v>已定位指数基础信息视图，并确认了可用字段与时间口径。</x:v>
      </x:c>
      <x:c r="M377" s="17" t="str"/>
      <x:c r="N377" s="18" t="n">
        <x:v>0</x:v>
      </x:c>
      <x:c r="O377" s="17" t="str">
        <x:v>public_sse_client_estimate</x:v>
      </x:c>
    </x:row>
    <x:row r="378" ht="48" customHeight="1">
      <x:c r="A378" s="17" t="str">
        <x:v>BUS075</x:v>
      </x:c>
      <x:c r="B378" s="17" t="str">
        <x:v>查询沪深300指数代码和指数名称。</x:v>
      </x:c>
      <x:c r="C378" s="17" t="n">
        <x:v>3</x:v>
      </x:c>
      <x:c r="D378" s="17" t="str">
        <x:v>数据查询 1/1</x:v>
      </x:c>
      <x:c r="E378" s="17" t="str">
        <x:v>12571.38</x:v>
      </x:c>
      <x:c r="F378" s="17" t="str">
        <x:v>13198.14</x:v>
      </x:c>
      <x:c r="G378" s="18" t="n">
        <x:v>626.76</x:v>
      </x:c>
      <x:c r="H378" s="18" t="n">
        <x:f>IFERROR(G378/1000,"")</x:f>
        <x:v>0.62676</x:v>
      </x:c>
      <x:c r="I378" s="19" t="n">
        <x:f>IFERROR(G378/J378,"")</x:f>
        <x:v>0.03587286869623448</x:v>
      </x:c>
      <x:c r="J378" s="17" t="n">
        <x:v>17471.7</x:v>
      </x:c>
      <x:c r="K378" s="17" t="str"/>
      <x:c r="L378" s="17" t="str">
        <x:v>已完成：查询沪深300指数的代码和名称，取得 1 条记录。</x:v>
      </x:c>
      <x:c r="M378" s="17" t="str"/>
      <x:c r="N378" s="18" t="n">
        <x:v>2375.52</x:v>
      </x:c>
      <x:c r="O378" s="17" t="str">
        <x:v>public_sse_client_estimate</x:v>
      </x:c>
    </x:row>
    <x:row r="379" ht="48" customHeight="1">
      <x:c r="A379" s="17" t="str">
        <x:v>BUS075</x:v>
      </x:c>
      <x:c r="B379" s="17" t="str">
        <x:v>查询沪深300指数代码和指数名称。</x:v>
      </x:c>
      <x:c r="C379" s="17" t="n">
        <x:v>4</x:v>
      </x:c>
      <x:c r="D379" s="17" t="str">
        <x:v>回答整理</x:v>
      </x:c>
      <x:c r="E379" s="17" t="str">
        <x:v>13198.14</x:v>
      </x:c>
      <x:c r="F379" s="17" t="str">
        <x:v>14939.82</x:v>
      </x:c>
      <x:c r="G379" s="18" t="n">
        <x:v>1741.68</x:v>
      </x:c>
      <x:c r="H379" s="18" t="n">
        <x:f>IFERROR(G379/1000,"")</x:f>
        <x:v>1.7416800000000001</x:v>
      </x:c>
      <x:c r="I379" s="19" t="n">
        <x:f>IFERROR(G379/J379,"")</x:f>
        <x:v>0.09968577757173028</x:v>
      </x:c>
      <x:c r="J379" s="17" t="n">
        <x:v>17471.7</x:v>
      </x:c>
      <x:c r="K379" s="17" t="str"/>
      <x:c r="L379" s="17" t="str">
        <x:v>证据与回答已整理完成。</x:v>
      </x:c>
      <x:c r="M379" s="17" t="str"/>
      <x:c r="N379" s="18" t="n">
        <x:v>0</x:v>
      </x:c>
      <x:c r="O379" s="17" t="str">
        <x:v>public_sse_client_estimate</x:v>
      </x:c>
    </x:row>
    <x:row r="380" ht="48" customHeight="1">
      <x:c r="A380" s="17" t="str">
        <x:v>BUS076</x:v>
      </x:c>
      <x:c r="B380" s="17" t="str">
        <x:v>列出名称包含中证的指数代码和名称。</x:v>
      </x:c>
      <x:c r="C380" s="17" t="n">
        <x:v>1</x:v>
      </x:c>
      <x:c r="D380" s="17" t="str">
        <x:v>问题理解</x:v>
      </x:c>
      <x:c r="E380" s="17" t="str">
        <x:v>5943.02</x:v>
      </x:c>
      <x:c r="F380" s="17" t="str">
        <x:v>10633.29</x:v>
      </x:c>
      <x:c r="G380" s="18" t="n">
        <x:v>4690.27</x:v>
      </x:c>
      <x:c r="H380" s="18" t="n">
        <x:f>IFERROR(G380/1000,"")</x:f>
        <x:v>4.690270000000001</x:v>
      </x:c>
      <x:c r="I380" s="19" t="n">
        <x:f>IFERROR(G380/J380,"")</x:f>
        <x:v>0.136352747800312</x:v>
      </x:c>
      <x:c r="J380" s="17" t="n">
        <x:v>34398.06</x:v>
      </x:c>
      <x:c r="K380" s="17" t="str"/>
      <x:c r="L380" s="17" t="str">
        <x:v>已明确本题的对象与口径，开始获取所需证据。</x:v>
      </x:c>
      <x:c r="M380" s="17" t="str"/>
      <x:c r="N380" s="18" t="n">
        <x:v>5943.02</x:v>
      </x:c>
      <x:c r="O380" s="17" t="str">
        <x:v>public_sse_client_estimate</x:v>
      </x:c>
    </x:row>
    <x:row r="381" ht="48" customHeight="1">
      <x:c r="A381" s="17" t="str">
        <x:v>BUS076</x:v>
      </x:c>
      <x:c r="B381" s="17" t="str">
        <x:v>列出名称包含中证的指数代码和名称。</x:v>
      </x:c>
      <x:c r="C381" s="17" t="n">
        <x:v>2</x:v>
      </x:c>
      <x:c r="D381" s="17" t="str">
        <x:v>数据口径</x:v>
      </x:c>
      <x:c r="E381" s="17" t="str">
        <x:v>10633.29</x:v>
      </x:c>
      <x:c r="F381" s="17" t="str">
        <x:v>10772.73</x:v>
      </x:c>
      <x:c r="G381" s="18" t="n">
        <x:v>139.44</x:v>
      </x:c>
      <x:c r="H381" s="18" t="n">
        <x:f>IFERROR(G381/1000,"")</x:f>
        <x:v>0.13944</x:v>
      </x:c>
      <x:c r="I381" s="19" t="n">
        <x:f>IFERROR(G381/J381,"")</x:f>
        <x:v>0.00405371698287636</x:v>
      </x:c>
      <x:c r="J381" s="17" t="n">
        <x:v>34398.06</x:v>
      </x:c>
      <x:c r="K381" s="17" t="str"/>
      <x:c r="L381" s="17" t="str">
        <x:v>已定位指数基础信息视图，并确认了可用字段与时间口径。</x:v>
      </x:c>
      <x:c r="M381" s="17" t="str"/>
      <x:c r="N381" s="18" t="n">
        <x:v>0</x:v>
      </x:c>
      <x:c r="O381" s="17" t="str">
        <x:v>public_sse_client_estimate</x:v>
      </x:c>
    </x:row>
    <x:row r="382" ht="48" customHeight="1">
      <x:c r="A382" s="17" t="str">
        <x:v>BUS076</x:v>
      </x:c>
      <x:c r="B382" s="17" t="str">
        <x:v>列出名称包含中证的指数代码和名称。</x:v>
      </x:c>
      <x:c r="C382" s="17" t="n">
        <x:v>3</x:v>
      </x:c>
      <x:c r="D382" s="17" t="str">
        <x:v>数据查询 1/1</x:v>
      </x:c>
      <x:c r="E382" s="17" t="str">
        <x:v>14538.02</x:v>
      </x:c>
      <x:c r="F382" s="17" t="str">
        <x:v>15234.34</x:v>
      </x:c>
      <x:c r="G382" s="18" t="n">
        <x:v>696.32</x:v>
      </x:c>
      <x:c r="H382" s="18" t="n">
        <x:f>IFERROR(G382/1000,"")</x:f>
        <x:v>0.69632</x:v>
      </x:c>
      <x:c r="I382" s="19" t="n">
        <x:f>IFERROR(G382/J382,"")</x:f>
        <x:v>0.020243002076279885</x:v>
      </x:c>
      <x:c r="J382" s="17" t="n">
        <x:v>34398.06</x:v>
      </x:c>
      <x:c r="K382" s="17" t="str"/>
      <x:c r="L382" s="17" t="str">
        <x:v>已完成：查询名称包含中证的指数代码和名称，取得 100 条记录。</x:v>
      </x:c>
      <x:c r="M382" s="17" t="str"/>
      <x:c r="N382" s="18" t="n">
        <x:v>3765.29</x:v>
      </x:c>
      <x:c r="O382" s="17" t="str">
        <x:v>public_sse_client_estimate</x:v>
      </x:c>
    </x:row>
    <x:row r="383" ht="48" customHeight="1">
      <x:c r="A383" s="17" t="str">
        <x:v>BUS076</x:v>
      </x:c>
      <x:c r="B383" s="17" t="str">
        <x:v>列出名称包含中证的指数代码和名称。</x:v>
      </x:c>
      <x:c r="C383" s="17" t="n">
        <x:v>4</x:v>
      </x:c>
      <x:c r="D383" s="17" t="str">
        <x:v>回答整理</x:v>
      </x:c>
      <x:c r="E383" s="17" t="str">
        <x:v>15234.34</x:v>
      </x:c>
      <x:c r="F383" s="17" t="str">
        <x:v>31663.29</x:v>
      </x:c>
      <x:c r="G383" s="18" t="n">
        <x:v>16428.95</x:v>
      </x:c>
      <x:c r="H383" s="18" t="n">
        <x:f>IFERROR(G383/1000,"")</x:f>
        <x:v>16.42895</x:v>
      </x:c>
      <x:c r="I383" s="19" t="n">
        <x:f>IFERROR(G383/J383,"")</x:f>
        <x:v>0.47761269094826864</x:v>
      </x:c>
      <x:c r="J383" s="17" t="n">
        <x:v>34398.06</x:v>
      </x:c>
      <x:c r="K383" s="17" t="str"/>
      <x:c r="L383" s="17" t="str">
        <x:v>证据与回答已整理完成。</x:v>
      </x:c>
      <x:c r="M383" s="17" t="str"/>
      <x:c r="N383" s="18" t="n">
        <x:v>0</x:v>
      </x:c>
      <x:c r="O383" s="17" t="str">
        <x:v>public_sse_client_estimate</x:v>
      </x:c>
    </x:row>
    <x:row r="384" ht="48" customHeight="1">
      <x:c r="A384" s="17" t="str">
        <x:v>BUS077</x:v>
      </x:c>
      <x:c r="B384" s="17" t="str">
        <x:v>查询上证指数、深证成指、创业板指的代码和名称。</x:v>
      </x:c>
      <x:c r="C384" s="17" t="n">
        <x:v>1</x:v>
      </x:c>
      <x:c r="D384" s="17" t="str">
        <x:v>问题理解</x:v>
      </x:c>
      <x:c r="E384" s="17" t="str">
        <x:v>6337.27</x:v>
      </x:c>
      <x:c r="F384" s="17" t="str">
        <x:v>10922.6</x:v>
      </x:c>
      <x:c r="G384" s="18" t="n">
        <x:v>4585.33</x:v>
      </x:c>
      <x:c r="H384" s="18" t="n">
        <x:f>IFERROR(G384/1000,"")</x:f>
        <x:v>4.58533</x:v>
      </x:c>
      <x:c r="I384" s="19" t="n">
        <x:f>IFERROR(G384/J384,"")</x:f>
        <x:v>0.23521521027547182</x:v>
      </x:c>
      <x:c r="J384" s="17" t="n">
        <x:v>19494.19</x:v>
      </x:c>
      <x:c r="K384" s="17" t="str"/>
      <x:c r="L384" s="17" t="str">
        <x:v>已明确本题的对象与口径，开始获取所需证据。</x:v>
      </x:c>
      <x:c r="M384" s="17" t="str"/>
      <x:c r="N384" s="18" t="n">
        <x:v>6337.27</x:v>
      </x:c>
      <x:c r="O384" s="17" t="str">
        <x:v>public_sse_client_estimate</x:v>
      </x:c>
    </x:row>
    <x:row r="385" ht="48" customHeight="1">
      <x:c r="A385" s="17" t="str">
        <x:v>BUS077</x:v>
      </x:c>
      <x:c r="B385" s="17" t="str">
        <x:v>查询上证指数、深证成指、创业板指的代码和名称。</x:v>
      </x:c>
      <x:c r="C385" s="17" t="n">
        <x:v>2</x:v>
      </x:c>
      <x:c r="D385" s="17" t="str">
        <x:v>数据口径</x:v>
      </x:c>
      <x:c r="E385" s="17" t="str">
        <x:v>10922.6</x:v>
      </x:c>
      <x:c r="F385" s="17" t="str">
        <x:v>11028</x:v>
      </x:c>
      <x:c r="G385" s="18" t="n">
        <x:v>105.4</x:v>
      </x:c>
      <x:c r="H385" s="18" t="n">
        <x:f>IFERROR(G385/1000,"")</x:f>
        <x:v>0.10540000000000001</x:v>
      </x:c>
      <x:c r="I385" s="19" t="n">
        <x:f>IFERROR(G385/J385,"")</x:f>
        <x:v>0.005406739136122097</x:v>
      </x:c>
      <x:c r="J385" s="17" t="n">
        <x:v>19494.19</x:v>
      </x:c>
      <x:c r="K385" s="17" t="str"/>
      <x:c r="L385" s="17" t="str">
        <x:v>已定位指数基础信息视图，并确认了可用字段与时间口径。</x:v>
      </x:c>
      <x:c r="M385" s="17" t="str"/>
      <x:c r="N385" s="18" t="n">
        <x:v>0</x:v>
      </x:c>
      <x:c r="O385" s="17" t="str">
        <x:v>public_sse_client_estimate</x:v>
      </x:c>
    </x:row>
    <x:row r="386" ht="48" customHeight="1">
      <x:c r="A386" s="17" t="str">
        <x:v>BUS077</x:v>
      </x:c>
      <x:c r="B386" s="17" t="str">
        <x:v>查询上证指数、深证成指、创业板指的代码和名称。</x:v>
      </x:c>
      <x:c r="C386" s="17" t="n">
        <x:v>3</x:v>
      </x:c>
      <x:c r="D386" s="17" t="str">
        <x:v>数据查询 1/1</x:v>
      </x:c>
      <x:c r="E386" s="17" t="str">
        <x:v>14156.4</x:v>
      </x:c>
      <x:c r="F386" s="17" t="str">
        <x:v>14945.02</x:v>
      </x:c>
      <x:c r="G386" s="18" t="n">
        <x:v>788.62</x:v>
      </x:c>
      <x:c r="H386" s="18" t="n">
        <x:f>IFERROR(G386/1000,"")</x:f>
        <x:v>0.78862</x:v>
      </x:c>
      <x:c r="I386" s="19" t="n">
        <x:f>IFERROR(G386/J386,"")</x:f>
        <x:v>0.04045410453063195</x:v>
      </x:c>
      <x:c r="J386" s="17" t="n">
        <x:v>19494.19</x:v>
      </x:c>
      <x:c r="K386" s="17" t="str"/>
      <x:c r="L386" s="17" t="str">
        <x:v>已完成：查询上证指数、深证成指、创业板指的代码和名称，取得 3 条记录。</x:v>
      </x:c>
      <x:c r="M386" s="17" t="str"/>
      <x:c r="N386" s="18" t="n">
        <x:v>3128.4</x:v>
      </x:c>
      <x:c r="O386" s="17" t="str">
        <x:v>public_sse_client_estimate</x:v>
      </x:c>
    </x:row>
    <x:row r="387" ht="48" customHeight="1">
      <x:c r="A387" s="17" t="str">
        <x:v>BUS077</x:v>
      </x:c>
      <x:c r="B387" s="17" t="str">
        <x:v>查询上证指数、深证成指、创业板指的代码和名称。</x:v>
      </x:c>
      <x:c r="C387" s="17" t="n">
        <x:v>4</x:v>
      </x:c>
      <x:c r="D387" s="17" t="str">
        <x:v>回答整理</x:v>
      </x:c>
      <x:c r="E387" s="17" t="str">
        <x:v>14945.02</x:v>
      </x:c>
      <x:c r="F387" s="17" t="str">
        <x:v>16659.09</x:v>
      </x:c>
      <x:c r="G387" s="18" t="n">
        <x:v>1714.07</x:v>
      </x:c>
      <x:c r="H387" s="18" t="n">
        <x:f>IFERROR(G387/1000,"")</x:f>
        <x:v>1.71407</x:v>
      </x:c>
      <x:c r="I387" s="19" t="n">
        <x:f>IFERROR(G387/J387,"")</x:f>
        <x:v>0.08792722344452374</x:v>
      </x:c>
      <x:c r="J387" s="17" t="n">
        <x:v>19494.19</x:v>
      </x:c>
      <x:c r="K387" s="17" t="str"/>
      <x:c r="L387" s="17" t="str">
        <x:v>证据与回答已整理完成。</x:v>
      </x:c>
      <x:c r="M387" s="17" t="str"/>
      <x:c r="N387" s="18" t="n">
        <x:v>0</x:v>
      </x:c>
      <x:c r="O387" s="17" t="str">
        <x:v>public_sse_client_estimate</x:v>
      </x:c>
    </x:row>
    <x:row r="388" ht="48" customHeight="1">
      <x:c r="A388" s="17" t="str">
        <x:v>BUS078</x:v>
      </x:c>
      <x:c r="B388" s="17" t="str">
        <x:v>列出名称包含红利的指数代码和名称。</x:v>
      </x:c>
      <x:c r="C388" s="17" t="n">
        <x:v>1</x:v>
      </x:c>
      <x:c r="D388" s="17" t="str">
        <x:v>问题理解</x:v>
      </x:c>
      <x:c r="E388" s="17" t="str">
        <x:v>6957.29</x:v>
      </x:c>
      <x:c r="F388" s="17" t="str">
        <x:v>8994.24</x:v>
      </x:c>
      <x:c r="G388" s="18" t="n">
        <x:v>2036.95</x:v>
      </x:c>
      <x:c r="H388" s="18" t="n">
        <x:f>IFERROR(G388/1000,"")</x:f>
        <x:v>2.03695</x:v>
      </x:c>
      <x:c r="I388" s="19" t="n">
        <x:f>IFERROR(G388/J388,"")</x:f>
        <x:v>0.083159281081187</x:v>
      </x:c>
      <x:c r="J388" s="17" t="n">
        <x:v>24494.56</x:v>
      </x:c>
      <x:c r="K388" s="17" t="str"/>
      <x:c r="L388" s="17" t="str">
        <x:v>已明确本题的对象与口径，开始获取所需证据。</x:v>
      </x:c>
      <x:c r="M388" s="17" t="str"/>
      <x:c r="N388" s="18" t="n">
        <x:v>6957.29</x:v>
      </x:c>
      <x:c r="O388" s="17" t="str">
        <x:v>public_sse_client_estimate</x:v>
      </x:c>
    </x:row>
    <x:row r="389" ht="48" customHeight="1">
      <x:c r="A389" s="17" t="str">
        <x:v>BUS078</x:v>
      </x:c>
      <x:c r="B389" s="17" t="str">
        <x:v>列出名称包含红利的指数代码和名称。</x:v>
      </x:c>
      <x:c r="C389" s="17" t="n">
        <x:v>2</x:v>
      </x:c>
      <x:c r="D389" s="17" t="str">
        <x:v>数据口径</x:v>
      </x:c>
      <x:c r="E389" s="17" t="str">
        <x:v>8994.24</x:v>
      </x:c>
      <x:c r="F389" s="17" t="str">
        <x:v>9050.51</x:v>
      </x:c>
      <x:c r="G389" s="18" t="n">
        <x:v>56.27</x:v>
      </x:c>
      <x:c r="H389" s="18" t="n">
        <x:f>IFERROR(G389/1000,"")</x:f>
        <x:v>0.05627</x:v>
      </x:c>
      <x:c r="I389" s="19" t="n">
        <x:f>IFERROR(G389/J389,"")</x:f>
        <x:v>0.002297244775982912</x:v>
      </x:c>
      <x:c r="J389" s="17" t="n">
        <x:v>24494.56</x:v>
      </x:c>
      <x:c r="K389" s="17" t="str"/>
      <x:c r="L389" s="17" t="str">
        <x:v>已定位指数基础信息视图，并确认了可用字段与时间口径。</x:v>
      </x:c>
      <x:c r="M389" s="17" t="str"/>
      <x:c r="N389" s="18" t="n">
        <x:v>0</x:v>
      </x:c>
      <x:c r="O389" s="17" t="str">
        <x:v>public_sse_client_estimate</x:v>
      </x:c>
    </x:row>
    <x:row r="390" ht="48" customHeight="1">
      <x:c r="A390" s="17" t="str">
        <x:v>BUS078</x:v>
      </x:c>
      <x:c r="B390" s="17" t="str">
        <x:v>列出名称包含红利的指数代码和名称。</x:v>
      </x:c>
      <x:c r="C390" s="17" t="n">
        <x:v>3</x:v>
      </x:c>
      <x:c r="D390" s="17" t="str">
        <x:v>数据查询 1/1</x:v>
      </x:c>
      <x:c r="E390" s="17" t="str">
        <x:v>12784.99</x:v>
      </x:c>
      <x:c r="F390" s="17" t="str">
        <x:v>13385.91</x:v>
      </x:c>
      <x:c r="G390" s="18" t="n">
        <x:v>600.92</x:v>
      </x:c>
      <x:c r="H390" s="18" t="n">
        <x:f>IFERROR(G390/1000,"")</x:f>
        <x:v>0.60092</x:v>
      </x:c>
      <x:c r="I390" s="19" t="n">
        <x:f>IFERROR(G390/J390,"")</x:f>
        <x:v>0.024532794220430983</x:v>
      </x:c>
      <x:c r="J390" s="17" t="n">
        <x:v>24494.56</x:v>
      </x:c>
      <x:c r="K390" s="17" t="str"/>
      <x:c r="L390" s="17" t="str">
        <x:v>已完成：查找名称包含'红利'的指数代码和名称，取得 100 条记录。</x:v>
      </x:c>
      <x:c r="M390" s="17" t="str"/>
      <x:c r="N390" s="18" t="n">
        <x:v>3734.48</x:v>
      </x:c>
      <x:c r="O390" s="17" t="str">
        <x:v>public_sse_client_estimate</x:v>
      </x:c>
    </x:row>
    <x:row r="391" ht="48" customHeight="1">
      <x:c r="A391" s="17" t="str">
        <x:v>BUS078</x:v>
      </x:c>
      <x:c r="B391" s="17" t="str">
        <x:v>列出名称包含红利的指数代码和名称。</x:v>
      </x:c>
      <x:c r="C391" s="17" t="n">
        <x:v>4</x:v>
      </x:c>
      <x:c r="D391" s="17" t="str">
        <x:v>回答整理</x:v>
      </x:c>
      <x:c r="E391" s="17" t="str">
        <x:v>13385.91</x:v>
      </x:c>
      <x:c r="F391" s="17" t="str">
        <x:v>22406.74</x:v>
      </x:c>
      <x:c r="G391" s="18" t="n">
        <x:v>9020.83</x:v>
      </x:c>
      <x:c r="H391" s="18" t="n">
        <x:f>IFERROR(G391/1000,"")</x:f>
        <x:v>9.02083</x:v>
      </x:c>
      <x:c r="I391" s="19" t="n">
        <x:f>IFERROR(G391/J391,"")</x:f>
        <x:v>0.36827891580824473</x:v>
      </x:c>
      <x:c r="J391" s="17" t="n">
        <x:v>24494.56</x:v>
      </x:c>
      <x:c r="K391" s="17" t="str"/>
      <x:c r="L391" s="17" t="str">
        <x:v>证据与回答已整理完成。</x:v>
      </x:c>
      <x:c r="M391" s="17" t="str"/>
      <x:c r="N391" s="18" t="n">
        <x:v>0</x:v>
      </x:c>
      <x:c r="O391" s="17" t="str">
        <x:v>public_sse_client_estimate</x:v>
      </x:c>
    </x:row>
    <x:row r="392" ht="48" customHeight="1">
      <x:c r="A392" s="17" t="str">
        <x:v>BUS079</x:v>
      </x:c>
      <x:c r="B392" s="17" t="str">
        <x:v>查询科创50指数的代码和名称。</x:v>
      </x:c>
      <x:c r="C392" s="17" t="n">
        <x:v>1</x:v>
      </x:c>
      <x:c r="D392" s="17" t="str">
        <x:v>问题理解</x:v>
      </x:c>
      <x:c r="E392" s="17" t="str">
        <x:v>5460.57</x:v>
      </x:c>
      <x:c r="F392" s="17" t="str">
        <x:v>8716.77</x:v>
      </x:c>
      <x:c r="G392" s="18" t="n">
        <x:v>3256.2</x:v>
      </x:c>
      <x:c r="H392" s="18" t="n">
        <x:f>IFERROR(G392/1000,"")</x:f>
        <x:v>3.2561999999999998</x:v>
      </x:c>
      <x:c r="I392" s="19" t="n">
        <x:f>IFERROR(G392/J392,"")</x:f>
        <x:v>0.20174846188638096</x:v>
      </x:c>
      <x:c r="J392" s="17" t="n">
        <x:v>16139.9</x:v>
      </x:c>
      <x:c r="K392" s="17" t="str"/>
      <x:c r="L392" s="17" t="str">
        <x:v>已明确本题的对象与口径，开始获取所需证据。</x:v>
      </x:c>
      <x:c r="M392" s="17" t="str"/>
      <x:c r="N392" s="18" t="n">
        <x:v>5460.57</x:v>
      </x:c>
      <x:c r="O392" s="17" t="str">
        <x:v>public_sse_client_estimate</x:v>
      </x:c>
    </x:row>
    <x:row r="393" ht="48" customHeight="1">
      <x:c r="A393" s="17" t="str">
        <x:v>BUS079</x:v>
      </x:c>
      <x:c r="B393" s="17" t="str">
        <x:v>查询科创50指数的代码和名称。</x:v>
      </x:c>
      <x:c r="C393" s="17" t="n">
        <x:v>2</x:v>
      </x:c>
      <x:c r="D393" s="17" t="str">
        <x:v>数据口径</x:v>
      </x:c>
      <x:c r="E393" s="17" t="str">
        <x:v>8716.77</x:v>
      </x:c>
      <x:c r="F393" s="17" t="str">
        <x:v>10355.73</x:v>
      </x:c>
      <x:c r="G393" s="18" t="n">
        <x:v>1638.96</x:v>
      </x:c>
      <x:c r="H393" s="18" t="n">
        <x:f>IFERROR(G393/1000,"")</x:f>
        <x:v>1.63896</x:v>
      </x:c>
      <x:c r="I393" s="19" t="n">
        <x:f>IFERROR(G393/J393,"")</x:f>
        <x:v>0.10154709756566026</x:v>
      </x:c>
      <x:c r="J393" s="17" t="n">
        <x:v>16139.9</x:v>
      </x:c>
      <x:c r="K393" s="17" t="str"/>
      <x:c r="L393" s="17" t="str">
        <x:v>已定位指数基础信息视图，并确认了可用字段与时间口径。</x:v>
      </x:c>
      <x:c r="M393" s="17" t="str"/>
      <x:c r="N393" s="18" t="n">
        <x:v>0</x:v>
      </x:c>
      <x:c r="O393" s="17" t="str">
        <x:v>public_sse_client_estimate</x:v>
      </x:c>
    </x:row>
    <x:row r="394" ht="48" customHeight="1">
      <x:c r="A394" s="17" t="str">
        <x:v>BUS079</x:v>
      </x:c>
      <x:c r="B394" s="17" t="str">
        <x:v>查询科创50指数的代码和名称。</x:v>
      </x:c>
      <x:c r="C394" s="17" t="n">
        <x:v>3</x:v>
      </x:c>
      <x:c r="D394" s="17" t="str">
        <x:v>数据查询 1/1</x:v>
      </x:c>
      <x:c r="E394" s="17" t="str">
        <x:v>11101.26</x:v>
      </x:c>
      <x:c r="F394" s="17" t="str">
        <x:v>11545.39</x:v>
      </x:c>
      <x:c r="G394" s="18" t="n">
        <x:v>444.13</x:v>
      </x:c>
      <x:c r="H394" s="18" t="n">
        <x:f>IFERROR(G394/1000,"")</x:f>
        <x:v>0.44412999999999997</x:v>
      </x:c>
      <x:c r="I394" s="19" t="n">
        <x:f>IFERROR(G394/J394,"")</x:f>
        <x:v>0.0275175186959027</x:v>
      </x:c>
      <x:c r="J394" s="17" t="n">
        <x:v>16139.9</x:v>
      </x:c>
      <x:c r="K394" s="17" t="str"/>
      <x:c r="L394" s="17" t="str">
        <x:v>已完成：查询科创50指数的代码和名称，取得 1 条记录。</x:v>
      </x:c>
      <x:c r="M394" s="17" t="str"/>
      <x:c r="N394" s="18" t="n">
        <x:v>745.53</x:v>
      </x:c>
      <x:c r="O394" s="17" t="str">
        <x:v>public_sse_client_estimate</x:v>
      </x:c>
    </x:row>
    <x:row r="395" ht="48" customHeight="1">
      <x:c r="A395" s="17" t="str">
        <x:v>BUS079</x:v>
      </x:c>
      <x:c r="B395" s="17" t="str">
        <x:v>查询科创50指数的代码和名称。</x:v>
      </x:c>
      <x:c r="C395" s="17" t="n">
        <x:v>4</x:v>
      </x:c>
      <x:c r="D395" s="17" t="str">
        <x:v>回答整理</x:v>
      </x:c>
      <x:c r="E395" s="17" t="str">
        <x:v>11545.39</x:v>
      </x:c>
      <x:c r="F395" s="17" t="str">
        <x:v>13047.35</x:v>
      </x:c>
      <x:c r="G395" s="18" t="n">
        <x:v>1501.96</x:v>
      </x:c>
      <x:c r="H395" s="18" t="n">
        <x:f>IFERROR(G395/1000,"")</x:f>
        <x:v>1.50196</x:v>
      </x:c>
      <x:c r="I395" s="19" t="n">
        <x:f>IFERROR(G395/J395,"")</x:f>
        <x:v>0.09305881696912621</x:v>
      </x:c>
      <x:c r="J395" s="17" t="n">
        <x:v>16139.9</x:v>
      </x:c>
      <x:c r="K395" s="17" t="str"/>
      <x:c r="L395" s="17" t="str">
        <x:v>证据与回答已整理完成。</x:v>
      </x:c>
      <x:c r="M395" s="17" t="str"/>
      <x:c r="N395" s="18" t="n">
        <x:v>0</x:v>
      </x:c>
      <x:c r="O395" s="17" t="str">
        <x:v>public_sse_client_estimate</x:v>
      </x:c>
    </x:row>
    <x:row r="396" ht="48" customHeight="1">
      <x:c r="A396" s="17" t="str">
        <x:v>BUS080</x:v>
      </x:c>
      <x:c r="B396" s="17" t="str">
        <x:v>查询名称包含医药的指数代码和名称。</x:v>
      </x:c>
      <x:c r="C396" s="17" t="n">
        <x:v>1</x:v>
      </x:c>
      <x:c r="D396" s="17" t="str">
        <x:v>问题理解</x:v>
      </x:c>
      <x:c r="E396" s="17" t="str">
        <x:v>5846.11</x:v>
      </x:c>
      <x:c r="F396" s="17" t="str">
        <x:v>8904.24</x:v>
      </x:c>
      <x:c r="G396" s="18" t="n">
        <x:v>3058.13</x:v>
      </x:c>
      <x:c r="H396" s="18" t="n">
        <x:f>IFERROR(G396/1000,"")</x:f>
        <x:v>3.0581300000000002</x:v>
      </x:c>
      <x:c r="I396" s="19" t="n">
        <x:f>IFERROR(G396/J396,"")</x:f>
        <x:v>0.10011671056271515</x:v>
      </x:c>
      <x:c r="J396" s="17" t="n">
        <x:v>30545.65</x:v>
      </x:c>
      <x:c r="K396" s="17" t="str"/>
      <x:c r="L396" s="17" t="str">
        <x:v>已明确本题的对象与口径，开始获取所需证据。</x:v>
      </x:c>
      <x:c r="M396" s="17" t="str"/>
      <x:c r="N396" s="18" t="n">
        <x:v>5846.11</x:v>
      </x:c>
      <x:c r="O396" s="17" t="str">
        <x:v>public_sse_client_estimate</x:v>
      </x:c>
    </x:row>
    <x:row r="397" ht="48" customHeight="1">
      <x:c r="A397" s="17" t="str">
        <x:v>BUS080</x:v>
      </x:c>
      <x:c r="B397" s="17" t="str">
        <x:v>查询名称包含医药的指数代码和名称。</x:v>
      </x:c>
      <x:c r="C397" s="17" t="n">
        <x:v>2</x:v>
      </x:c>
      <x:c r="D397" s="17" t="str">
        <x:v>数据口径</x:v>
      </x:c>
      <x:c r="E397" s="17" t="str">
        <x:v>8904.24</x:v>
      </x:c>
      <x:c r="F397" s="17" t="str">
        <x:v>8946.37</x:v>
      </x:c>
      <x:c r="G397" s="18" t="n">
        <x:v>42.13</x:v>
      </x:c>
      <x:c r="H397" s="18" t="n">
        <x:f>IFERROR(G397/1000,"")</x:f>
        <x:v>0.04213</x:v>
      </x:c>
      <x:c r="I397" s="19" t="n">
        <x:f>IFERROR(G397/J397,"")</x:f>
        <x:v>0.0013792471268413015</x:v>
      </x:c>
      <x:c r="J397" s="17" t="n">
        <x:v>30545.65</x:v>
      </x:c>
      <x:c r="K397" s="17" t="str"/>
      <x:c r="L397" s="17" t="str">
        <x:v>已定位指数基础信息视图，并确认了可用字段与时间口径。</x:v>
      </x:c>
      <x:c r="M397" s="17" t="str"/>
      <x:c r="N397" s="18" t="n">
        <x:v>0</x:v>
      </x:c>
      <x:c r="O397" s="17" t="str">
        <x:v>public_sse_client_estimate</x:v>
      </x:c>
    </x:row>
    <x:row r="398" ht="48" customHeight="1">
      <x:c r="A398" s="17" t="str">
        <x:v>BUS080</x:v>
      </x:c>
      <x:c r="B398" s="17" t="str">
        <x:v>查询名称包含医药的指数代码和名称。</x:v>
      </x:c>
      <x:c r="C398" s="17" t="n">
        <x:v>3</x:v>
      </x:c>
      <x:c r="D398" s="17" t="str">
        <x:v>数据查询 1/1</x:v>
      </x:c>
      <x:c r="E398" s="17" t="str">
        <x:v>12841.69</x:v>
      </x:c>
      <x:c r="F398" s="17" t="str">
        <x:v>13384.9</x:v>
      </x:c>
      <x:c r="G398" s="18" t="n">
        <x:v>543.21</x:v>
      </x:c>
      <x:c r="H398" s="18" t="n">
        <x:f>IFERROR(G398/1000,"")</x:f>
        <x:v>0.5432100000000001</x:v>
      </x:c>
      <x:c r="I398" s="19" t="n">
        <x:f>IFERROR(G398/J398,"")</x:f>
        <x:v>0.017783546920756312</x:v>
      </x:c>
      <x:c r="J398" s="17" t="n">
        <x:v>30545.65</x:v>
      </x:c>
      <x:c r="K398" s="17" t="str"/>
      <x:c r="L398" s="17" t="str">
        <x:v>已完成：查询名称包含医药的指数代码和名称，当前条件下没有匹配记录。</x:v>
      </x:c>
      <x:c r="M398" s="17" t="str"/>
      <x:c r="N398" s="18" t="n">
        <x:v>3895.32</x:v>
      </x:c>
      <x:c r="O398" s="17" t="str">
        <x:v>public_sse_client_estimate</x:v>
      </x:c>
    </x:row>
    <x:row r="399" ht="48" customHeight="1">
      <x:c r="A399" s="17" t="str">
        <x:v>BUS080</x:v>
      </x:c>
      <x:c r="B399" s="17" t="str">
        <x:v>查询名称包含医药的指数代码和名称。</x:v>
      </x:c>
      <x:c r="C399" s="17" t="n">
        <x:v>4</x:v>
      </x:c>
      <x:c r="D399" s="17" t="str">
        <x:v>数据查询 1/1</x:v>
      </x:c>
      <x:c r="E399" s="17" t="str">
        <x:v>16293.22</x:v>
      </x:c>
      <x:c r="F399" s="17" t="str">
        <x:v>16814.35</x:v>
      </x:c>
      <x:c r="G399" s="18" t="n">
        <x:v>521.13</x:v>
      </x:c>
      <x:c r="H399" s="18" t="n">
        <x:f>IFERROR(G399/1000,"")</x:f>
        <x:v>0.52113</x:v>
      </x:c>
      <x:c r="I399" s="19" t="n">
        <x:f>IFERROR(G399/J399,"")</x:f>
        <x:v>0.01706069440329474</x:v>
      </x:c>
      <x:c r="J399" s="17" t="n">
        <x:v>30545.65</x:v>
      </x:c>
      <x:c r="K399" s="17" t="str"/>
      <x:c r="L399" s="17" t="str">
        <x:v>已完成：查询名称包含医药的指数代码和名称，使用通配符，取得 50 条记录。</x:v>
      </x:c>
      <x:c r="M399" s="17" t="str"/>
      <x:c r="N399" s="18" t="n">
        <x:v>2908.32</x:v>
      </x:c>
      <x:c r="O399" s="17" t="str">
        <x:v>public_sse_client_estimate</x:v>
      </x:c>
    </x:row>
    <x:row r="400" ht="48" customHeight="1">
      <x:c r="A400" s="17" t="str">
        <x:v>BUS080</x:v>
      </x:c>
      <x:c r="B400" s="17" t="str">
        <x:v>查询名称包含医药的指数代码和名称。</x:v>
      </x:c>
      <x:c r="C400" s="17" t="n">
        <x:v>5</x:v>
      </x:c>
      <x:c r="D400" s="17" t="str">
        <x:v>回答整理</x:v>
      </x:c>
      <x:c r="E400" s="17" t="str">
        <x:v>16814.35</x:v>
      </x:c>
      <x:c r="F400" s="17" t="str">
        <x:v>26351.9</x:v>
      </x:c>
      <x:c r="G400" s="18" t="n">
        <x:v>9537.55</x:v>
      </x:c>
      <x:c r="H400" s="18" t="n">
        <x:f>IFERROR(G400/1000,"")</x:f>
        <x:v>9.53755</x:v>
      </x:c>
      <x:c r="I400" s="19" t="n">
        <x:f>IFERROR(G400/J400,"")</x:f>
        <x:v>0.312239222278786</x:v>
      </x:c>
      <x:c r="J400" s="17" t="n">
        <x:v>30545.65</x:v>
      </x:c>
      <x:c r="K400" s="17" t="str"/>
      <x:c r="L400" s="17" t="str">
        <x:v>证据与回答已整理完成。</x:v>
      </x:c>
      <x:c r="M400" s="17" t="str"/>
      <x:c r="N400" s="18" t="n">
        <x:v>0</x:v>
      </x:c>
      <x:c r="O400" s="17" t="str">
        <x:v>public_sse_client_estimate</x:v>
      </x:c>
    </x:row>
    <x:row r="401" ht="48" customHeight="1">
      <x:c r="A401" s="17" t="str">
        <x:v>BUS081</x:v>
      </x:c>
      <x:c r="B401" s="17" t="str">
        <x:v>沪深300当前点位、涨跌幅和成交额是多少？</x:v>
      </x:c>
      <x:c r="C401" s="17" t="n">
        <x:v>1</x:v>
      </x:c>
      <x:c r="D401" s="17" t="str">
        <x:v>问题理解</x:v>
      </x:c>
      <x:c r="E401" s="17" t="str">
        <x:v>5843.39</x:v>
      </x:c>
      <x:c r="F401" s="17" t="str">
        <x:v>8267.04</x:v>
      </x:c>
      <x:c r="G401" s="18" t="n">
        <x:v>2423.65</x:v>
      </x:c>
      <x:c r="H401" s="18" t="n">
        <x:f>IFERROR(G401/1000,"")</x:f>
        <x:v>2.4236500000000003</x:v>
      </x:c>
      <x:c r="I401" s="19" t="n">
        <x:f>IFERROR(G401/J401,"")</x:f>
        <x:v>0.1361209584658795</x:v>
      </x:c>
      <x:c r="J401" s="17" t="n">
        <x:v>17805.12</x:v>
      </x:c>
      <x:c r="K401" s="17" t="str"/>
      <x:c r="L401" s="17" t="str">
        <x:v>已明确本题的对象与口径，开始获取所需证据。</x:v>
      </x:c>
      <x:c r="M401" s="17" t="str"/>
      <x:c r="N401" s="18" t="n">
        <x:v>5843.39</x:v>
      </x:c>
      <x:c r="O401" s="17" t="str">
        <x:v>public_sse_client_estimate</x:v>
      </x:c>
    </x:row>
    <x:row r="402" ht="48" customHeight="1">
      <x:c r="A402" s="17" t="str">
        <x:v>BUS081</x:v>
      </x:c>
      <x:c r="B402" s="17" t="str">
        <x:v>沪深300当前点位、涨跌幅和成交额是多少？</x:v>
      </x:c>
      <x:c r="C402" s="17" t="n">
        <x:v>2</x:v>
      </x:c>
      <x:c r="D402" s="17" t="str">
        <x:v>数据口径</x:v>
      </x:c>
      <x:c r="E402" s="17" t="str">
        <x:v>8267.04</x:v>
      </x:c>
      <x:c r="F402" s="17" t="str">
        <x:v>8300.58</x:v>
      </x:c>
      <x:c r="G402" s="18" t="n">
        <x:v>33.54</x:v>
      </x:c>
      <x:c r="H402" s="18" t="n">
        <x:f>IFERROR(G402/1000,"")</x:f>
        <x:v>0.03354</x:v>
      </x:c>
      <x:c r="I402" s="19" t="n">
        <x:f>IFERROR(G402/J402,"")</x:f>
        <x:v>0.0018837278266026851</x:v>
      </x:c>
      <x:c r="J402" s="17" t="n">
        <x:v>17805.12</x:v>
      </x:c>
      <x:c r="K402" s="17" t="str"/>
      <x:c r="L402" s="17" t="str">
        <x:v>已定位指数行情视图，并确认了可用字段与时间口径。</x:v>
      </x:c>
      <x:c r="M402" s="17" t="str"/>
      <x:c r="N402" s="18" t="n">
        <x:v>0</x:v>
      </x:c>
      <x:c r="O402" s="17" t="str">
        <x:v>public_sse_client_estimate</x:v>
      </x:c>
    </x:row>
    <x:row r="403" ht="48" customHeight="1">
      <x:c r="A403" s="17" t="str">
        <x:v>BUS081</x:v>
      </x:c>
      <x:c r="B403" s="17" t="str">
        <x:v>沪深300当前点位、涨跌幅和成交额是多少？</x:v>
      </x:c>
      <x:c r="C403" s="17" t="n">
        <x:v>3</x:v>
      </x:c>
      <x:c r="D403" s="17" t="str">
        <x:v>数据查询 1/1</x:v>
      </x:c>
      <x:c r="E403" s="17" t="str">
        <x:v>11791.01</x:v>
      </x:c>
      <x:c r="F403" s="17" t="str">
        <x:v>12243.81</x:v>
      </x:c>
      <x:c r="G403" s="18" t="n">
        <x:v>452.8</x:v>
      </x:c>
      <x:c r="H403" s="18" t="n">
        <x:f>IFERROR(G403/1000,"")</x:f>
        <x:v>0.45280000000000004</x:v>
      </x:c>
      <x:c r="I403" s="19" t="n">
        <x:f>IFERROR(G403/J403,"")</x:f>
        <x:v>0.02543088729533977</x:v>
      </x:c>
      <x:c r="J403" s="17" t="n">
        <x:v>17805.12</x:v>
      </x:c>
      <x:c r="K403" s="17" t="str"/>
      <x:c r="L403" s="17" t="str">
        <x:v>已完成：查询沪深300指数当前最新行情，包括点位、涨跌幅和成交额，取得 1 条记录。</x:v>
      </x:c>
      <x:c r="M403" s="17" t="str"/>
      <x:c r="N403" s="18" t="n">
        <x:v>3490.43</x:v>
      </x:c>
      <x:c r="O403" s="17" t="str">
        <x:v>public_sse_client_estimate</x:v>
      </x:c>
    </x:row>
    <x:row r="404" ht="48" customHeight="1">
      <x:c r="A404" s="17" t="str">
        <x:v>BUS081</x:v>
      </x:c>
      <x:c r="B404" s="17" t="str">
        <x:v>沪深300当前点位、涨跌幅和成交额是多少？</x:v>
      </x:c>
      <x:c r="C404" s="17" t="n">
        <x:v>4</x:v>
      </x:c>
      <x:c r="D404" s="17" t="str">
        <x:v>回答整理</x:v>
      </x:c>
      <x:c r="E404" s="17" t="str">
        <x:v>12243.81</x:v>
      </x:c>
      <x:c r="F404" s="17" t="str">
        <x:v>15349.71</x:v>
      </x:c>
      <x:c r="G404" s="18" t="n">
        <x:v>3105.9</x:v>
      </x:c>
      <x:c r="H404" s="18" t="n">
        <x:f>IFERROR(G404/1000,"")</x:f>
        <x:v>3.1059</x:v>
      </x:c>
      <x:c r="I404" s="19" t="n">
        <x:f>IFERROR(G404/J404,"")</x:f>
        <x:v>0.17443858845096244</x:v>
      </x:c>
      <x:c r="J404" s="17" t="n">
        <x:v>17805.12</x:v>
      </x:c>
      <x:c r="K404" s="17" t="str"/>
      <x:c r="L404" s="17" t="str">
        <x:v>证据与回答已整理完成。</x:v>
      </x:c>
      <x:c r="M404" s="17" t="str"/>
      <x:c r="N404" s="18" t="n">
        <x:v>0</x:v>
      </x:c>
      <x:c r="O404" s="17" t="str">
        <x:v>public_sse_client_estimate</x:v>
      </x:c>
    </x:row>
    <x:row r="405" ht="48" customHeight="1">
      <x:c r="A405" s="17" t="str">
        <x:v>BUS082</x:v>
      </x:c>
      <x:c r="B405" s="17" t="str">
        <x:v>今天涨幅最高的指数前20名。</x:v>
      </x:c>
      <x:c r="C405" s="17" t="n">
        <x:v>1</x:v>
      </x:c>
      <x:c r="D405" s="17" t="str">
        <x:v>问题理解</x:v>
      </x:c>
      <x:c r="E405" s="17" t="str">
        <x:v>5684.55</x:v>
      </x:c>
      <x:c r="F405" s="17" t="str">
        <x:v>8564.14</x:v>
      </x:c>
      <x:c r="G405" s="18" t="n">
        <x:v>2879.59</x:v>
      </x:c>
      <x:c r="H405" s="18" t="n">
        <x:f>IFERROR(G405/1000,"")</x:f>
        <x:v>2.8795900000000003</x:v>
      </x:c>
      <x:c r="I405" s="19" t="n">
        <x:f>IFERROR(G405/J405,"")</x:f>
        <x:v>0.0841987349678011</x:v>
      </x:c>
      <x:c r="J405" s="17" t="n">
        <x:v>34199.92</x:v>
      </x:c>
      <x:c r="K405" s="17" t="str"/>
      <x:c r="L405" s="17" t="str">
        <x:v>已明确本题的对象与口径，开始获取所需证据。</x:v>
      </x:c>
      <x:c r="M405" s="17" t="str"/>
      <x:c r="N405" s="18" t="n">
        <x:v>5684.55</x:v>
      </x:c>
      <x:c r="O405" s="17" t="str">
        <x:v>public_sse_client_estimate</x:v>
      </x:c>
    </x:row>
    <x:row r="406" ht="48" customHeight="1">
      <x:c r="A406" s="17" t="str">
        <x:v>BUS082</x:v>
      </x:c>
      <x:c r="B406" s="17" t="str">
        <x:v>今天涨幅最高的指数前20名。</x:v>
      </x:c>
      <x:c r="C406" s="17" t="n">
        <x:v>2</x:v>
      </x:c>
      <x:c r="D406" s="17" t="str">
        <x:v>数据口径</x:v>
      </x:c>
      <x:c r="E406" s="17" t="str">
        <x:v>8564.14</x:v>
      </x:c>
      <x:c r="F406" s="17" t="str">
        <x:v>8655.3</x:v>
      </x:c>
      <x:c r="G406" s="18" t="n">
        <x:v>91.16</x:v>
      </x:c>
      <x:c r="H406" s="18" t="n">
        <x:f>IFERROR(G406/1000,"")</x:f>
        <x:v>0.09115999999999999</x:v>
      </x:c>
      <x:c r="I406" s="19" t="n">
        <x:f>IFERROR(G406/J406,"")</x:f>
        <x:v>0.0026655033111188564</x:v>
      </x:c>
      <x:c r="J406" s="17" t="n">
        <x:v>34199.92</x:v>
      </x:c>
      <x:c r="K406" s="17" t="str"/>
      <x:c r="L406" s="17" t="str">
        <x:v>已定位指数行情视图，并确认了可用字段与时间口径。</x:v>
      </x:c>
      <x:c r="M406" s="17" t="str"/>
      <x:c r="N406" s="18" t="n">
        <x:v>0</x:v>
      </x:c>
      <x:c r="O406" s="17" t="str">
        <x:v>public_sse_client_estimate</x:v>
      </x:c>
    </x:row>
    <x:row r="407" ht="48" customHeight="1">
      <x:c r="A407" s="17" t="str">
        <x:v>BUS082</x:v>
      </x:c>
      <x:c r="B407" s="17" t="str">
        <x:v>今天涨幅最高的指数前20名。</x:v>
      </x:c>
      <x:c r="C407" s="17" t="n">
        <x:v>3</x:v>
      </x:c>
      <x:c r="D407" s="17" t="str">
        <x:v>数据查询 1/1</x:v>
      </x:c>
      <x:c r="E407" s="17" t="str">
        <x:v>19828.32</x:v>
      </x:c>
      <x:c r="F407" s="17" t="str">
        <x:v>20993.08</x:v>
      </x:c>
      <x:c r="G407" s="18" t="n">
        <x:v>1164.76</x:v>
      </x:c>
      <x:c r="H407" s="18" t="n">
        <x:f>IFERROR(G407/1000,"")</x:f>
        <x:v>1.16476</x:v>
      </x:c>
      <x:c r="I407" s="19" t="n">
        <x:f>IFERROR(G407/J407,"")</x:f>
        <x:v>0.03405738960792891</x:v>
      </x:c>
      <x:c r="J407" s="17" t="n">
        <x:v>34199.92</x:v>
      </x:c>
      <x:c r="K407" s="17" t="str"/>
      <x:c r="L407" s="17" t="str">
        <x:v>已完成：查询今天涨幅最高的指数前20名，取得 20 条记录。</x:v>
      </x:c>
      <x:c r="M407" s="17" t="str"/>
      <x:c r="N407" s="18" t="n">
        <x:v>11173.02</x:v>
      </x:c>
      <x:c r="O407" s="17" t="str">
        <x:v>public_sse_client_estimate</x:v>
      </x:c>
    </x:row>
    <x:row r="408" ht="48" customHeight="1">
      <x:c r="A408" s="17" t="str">
        <x:v>BUS082</x:v>
      </x:c>
      <x:c r="B408" s="17" t="str">
        <x:v>今天涨幅最高的指数前20名。</x:v>
      </x:c>
      <x:c r="C408" s="17" t="n">
        <x:v>4</x:v>
      </x:c>
      <x:c r="D408" s="17" t="str">
        <x:v>回答整理</x:v>
      </x:c>
      <x:c r="E408" s="17" t="str">
        <x:v>20993.08</x:v>
      </x:c>
      <x:c r="F408" s="17" t="str">
        <x:v>32075.16</x:v>
      </x:c>
      <x:c r="G408" s="18" t="n">
        <x:v>11082.08</x:v>
      </x:c>
      <x:c r="H408" s="18" t="n">
        <x:f>IFERROR(G408/1000,"")</x:f>
        <x:v>11.08208</x:v>
      </x:c>
      <x:c r="I408" s="19" t="n">
        <x:f>IFERROR(G408/J408,"")</x:f>
        <x:v>0.32403818488464303</x:v>
      </x:c>
      <x:c r="J408" s="17" t="n">
        <x:v>34199.92</x:v>
      </x:c>
      <x:c r="K408" s="17" t="str"/>
      <x:c r="L408" s="17" t="str">
        <x:v>证据与回答已整理完成。</x:v>
      </x:c>
      <x:c r="M408" s="17" t="str"/>
      <x:c r="N408" s="18" t="n">
        <x:v>0</x:v>
      </x:c>
      <x:c r="O408" s="17" t="str">
        <x:v>public_sse_client_estimate</x:v>
      </x:c>
    </x:row>
    <x:row r="409" ht="48" customHeight="1">
      <x:c r="A409" s="17" t="str">
        <x:v>BUS083</x:v>
      </x:c>
      <x:c r="B409" s="17" t="str">
        <x:v>查询上证指数最近10个交易日收盘点位和涨跌幅。</x:v>
      </x:c>
      <x:c r="C409" s="17" t="n">
        <x:v>1</x:v>
      </x:c>
      <x:c r="D409" s="17" t="str">
        <x:v>问题理解</x:v>
      </x:c>
      <x:c r="E409" s="17" t="str">
        <x:v>5490.59</x:v>
      </x:c>
      <x:c r="F409" s="17" t="str">
        <x:v>8348.7</x:v>
      </x:c>
      <x:c r="G409" s="18" t="n">
        <x:v>2858.11</x:v>
      </x:c>
      <x:c r="H409" s="18" t="n">
        <x:f>IFERROR(G409/1000,"")</x:f>
        <x:v>2.85811</x:v>
      </x:c>
      <x:c r="I409" s="19" t="n">
        <x:f>IFERROR(G409/J409,"")</x:f>
        <x:v>0.11397104417464096</x:v>
      </x:c>
      <x:c r="J409" s="17" t="n">
        <x:v>25077.51</x:v>
      </x:c>
      <x:c r="K409" s="17" t="str"/>
      <x:c r="L409" s="17" t="str">
        <x:v>已明确本题的对象与口径，开始获取所需证据。</x:v>
      </x:c>
      <x:c r="M409" s="17" t="str"/>
      <x:c r="N409" s="18" t="n">
        <x:v>5490.59</x:v>
      </x:c>
      <x:c r="O409" s="17" t="str">
        <x:v>public_sse_client_estimate</x:v>
      </x:c>
    </x:row>
    <x:row r="410" ht="48" customHeight="1">
      <x:c r="A410" s="17" t="str">
        <x:v>BUS083</x:v>
      </x:c>
      <x:c r="B410" s="17" t="str">
        <x:v>查询上证指数最近10个交易日收盘点位和涨跌幅。</x:v>
      </x:c>
      <x:c r="C410" s="17" t="n">
        <x:v>2</x:v>
      </x:c>
      <x:c r="D410" s="17" t="str">
        <x:v>数据口径</x:v>
      </x:c>
      <x:c r="E410" s="17" t="str">
        <x:v>8348.7</x:v>
      </x:c>
      <x:c r="F410" s="17" t="str">
        <x:v>8383.32</x:v>
      </x:c>
      <x:c r="G410" s="18" t="n">
        <x:v>34.62</x:v>
      </x:c>
      <x:c r="H410" s="18" t="n">
        <x:f>IFERROR(G410/1000,"")</x:f>
        <x:v>0.03462</x:v>
      </x:c>
      <x:c r="I410" s="19" t="n">
        <x:f>IFERROR(G410/J410,"")</x:f>
        <x:v>0.001380519836299537</x:v>
      </x:c>
      <x:c r="J410" s="17" t="n">
        <x:v>25077.51</x:v>
      </x:c>
      <x:c r="K410" s="17" t="str"/>
      <x:c r="L410" s="17" t="str">
        <x:v>已定位指数行情视图，并确认了可用字段与时间口径。</x:v>
      </x:c>
      <x:c r="M410" s="17" t="str"/>
      <x:c r="N410" s="18" t="n">
        <x:v>0</x:v>
      </x:c>
      <x:c r="O410" s="17" t="str">
        <x:v>public_sse_client_estimate</x:v>
      </x:c>
    </x:row>
    <x:row r="411" ht="48" customHeight="1">
      <x:c r="A411" s="17" t="str">
        <x:v>BUS083</x:v>
      </x:c>
      <x:c r="B411" s="17" t="str">
        <x:v>查询上证指数最近10个交易日收盘点位和涨跌幅。</x:v>
      </x:c>
      <x:c r="C411" s="17" t="n">
        <x:v>3</x:v>
      </x:c>
      <x:c r="D411" s="17" t="str">
        <x:v>数据查询 1/1</x:v>
      </x:c>
      <x:c r="E411" s="17" t="str">
        <x:v>11623.06</x:v>
      </x:c>
      <x:c r="F411" s="17" t="str">
        <x:v>12503.32</x:v>
      </x:c>
      <x:c r="G411" s="18" t="n">
        <x:v>880.26</x:v>
      </x:c>
      <x:c r="H411" s="18" t="n">
        <x:f>IFERROR(G411/1000,"")</x:f>
        <x:v>0.88026</x:v>
      </x:c>
      <x:c r="I411" s="19" t="n">
        <x:f>IFERROR(G411/J411,"")</x:f>
        <x:v>0.03510157108899568</x:v>
      </x:c>
      <x:c r="J411" s="17" t="n">
        <x:v>25077.51</x:v>
      </x:c>
      <x:c r="K411" s="17" t="str"/>
      <x:c r="L411" s="17" t="str">
        <x:v>已完成：查询上证指数最近10个交易日的收盘点位和涨跌幅，取得 10 条记录。</x:v>
      </x:c>
      <x:c r="M411" s="17" t="str"/>
      <x:c r="N411" s="18" t="n">
        <x:v>3239.74</x:v>
      </x:c>
      <x:c r="O411" s="17" t="str">
        <x:v>public_sse_client_estimate</x:v>
      </x:c>
    </x:row>
    <x:row r="412" ht="48" customHeight="1">
      <x:c r="A412" s="17" t="str">
        <x:v>BUS083</x:v>
      </x:c>
      <x:c r="B412" s="17" t="str">
        <x:v>查询上证指数最近10个交易日收盘点位和涨跌幅。</x:v>
      </x:c>
      <x:c r="C412" s="17" t="n">
        <x:v>4</x:v>
      </x:c>
      <x:c r="D412" s="17" t="str">
        <x:v>回答整理</x:v>
      </x:c>
      <x:c r="E412" s="17" t="str">
        <x:v>12503.32</x:v>
      </x:c>
      <x:c r="F412" s="17" t="str">
        <x:v>22874.63</x:v>
      </x:c>
      <x:c r="G412" s="18" t="n">
        <x:v>10371.31</x:v>
      </x:c>
      <x:c r="H412" s="18" t="n">
        <x:f>IFERROR(G412/1000,"")</x:f>
        <x:v>10.37131</x:v>
      </x:c>
      <x:c r="I412" s="19" t="n">
        <x:f>IFERROR(G412/J412,"")</x:f>
        <x:v>0.4135701670540656</x:v>
      </x:c>
      <x:c r="J412" s="17" t="n">
        <x:v>25077.51</x:v>
      </x:c>
      <x:c r="K412" s="17" t="str"/>
      <x:c r="L412" s="17" t="str">
        <x:v>证据与回答已整理完成。</x:v>
      </x:c>
      <x:c r="M412" s="17" t="str"/>
      <x:c r="N412" s="18" t="n">
        <x:v>0</x:v>
      </x:c>
      <x:c r="O412" s="17" t="str">
        <x:v>public_sse_client_estimate</x:v>
      </x:c>
    </x:row>
    <x:row r="413" ht="48" customHeight="1">
      <x:c r="A413" s="17" t="str">
        <x:v>BUS085</x:v>
      </x:c>
      <x:c r="B413" s="17" t="str">
        <x:v>过去20个交易日跌幅最大的指数前10名。</x:v>
      </x:c>
      <x:c r="C413" s="17" t="n">
        <x:v>1</x:v>
      </x:c>
      <x:c r="D413" s="17" t="str">
        <x:v>问题理解</x:v>
      </x:c>
      <x:c r="E413" s="17" t="str">
        <x:v>5957.53</x:v>
      </x:c>
      <x:c r="F413" s="17" t="str">
        <x:v>8737.78</x:v>
      </x:c>
      <x:c r="G413" s="18" t="n">
        <x:v>2780.25</x:v>
      </x:c>
      <x:c r="H413" s="18" t="n">
        <x:f>IFERROR(G413/1000,"")</x:f>
        <x:v>2.78025</x:v>
      </x:c>
      <x:c r="I413" s="19" t="n">
        <x:f>IFERROR(G413/J413,"")</x:f>
        <x:v>0.11166864546063593</x:v>
      </x:c>
      <x:c r="J413" s="17" t="n">
        <x:v>24897.32</x:v>
      </x:c>
      <x:c r="K413" s="17" t="str"/>
      <x:c r="L413" s="17" t="str">
        <x:v>已明确本题的对象与口径，开始获取所需证据。</x:v>
      </x:c>
      <x:c r="M413" s="17" t="str"/>
      <x:c r="N413" s="18" t="n">
        <x:v>5957.53</x:v>
      </x:c>
      <x:c r="O413" s="17" t="str">
        <x:v>public_sse_client_estimate</x:v>
      </x:c>
    </x:row>
    <x:row r="414" ht="48" customHeight="1">
      <x:c r="A414" s="17" t="str">
        <x:v>BUS085</x:v>
      </x:c>
      <x:c r="B414" s="17" t="str">
        <x:v>过去20个交易日跌幅最大的指数前10名。</x:v>
      </x:c>
      <x:c r="C414" s="17" t="n">
        <x:v>2</x:v>
      </x:c>
      <x:c r="D414" s="17" t="str">
        <x:v>数据口径</x:v>
      </x:c>
      <x:c r="E414" s="17" t="str">
        <x:v>8737.78</x:v>
      </x:c>
      <x:c r="F414" s="17" t="str">
        <x:v>8775.53</x:v>
      </x:c>
      <x:c r="G414" s="18" t="n">
        <x:v>37.75</x:v>
      </x:c>
      <x:c r="H414" s="18" t="n">
        <x:f>IFERROR(G414/1000,"")</x:f>
        <x:v>0.03775</x:v>
      </x:c>
      <x:c r="I414" s="19" t="n">
        <x:f>IFERROR(G414/J414,"")</x:f>
        <x:v>0.0015162274493800939</x:v>
      </x:c>
      <x:c r="J414" s="17" t="n">
        <x:v>24897.32</x:v>
      </x:c>
      <x:c r="K414" s="17" t="str"/>
      <x:c r="L414" s="17" t="str">
        <x:v>已定位指数行情视图，并确认了可用字段与时间口径。</x:v>
      </x:c>
      <x:c r="M414" s="17" t="str"/>
      <x:c r="N414" s="18" t="n">
        <x:v>0</x:v>
      </x:c>
      <x:c r="O414" s="17" t="str">
        <x:v>public_sse_client_estimate</x:v>
      </x:c>
    </x:row>
    <x:row r="415" ht="48" customHeight="1">
      <x:c r="A415" s="17" t="str">
        <x:v>BUS085</x:v>
      </x:c>
      <x:c r="B415" s="17" t="str">
        <x:v>过去20个交易日跌幅最大的指数前10名。</x:v>
      </x:c>
      <x:c r="C415" s="17" t="n">
        <x:v>3</x:v>
      </x:c>
      <x:c r="D415" s="17" t="str">
        <x:v>数据查询 1/1</x:v>
      </x:c>
      <x:c r="E415" s="17" t="str">
        <x:v>12195.68</x:v>
      </x:c>
      <x:c r="F415" s="17" t="str">
        <x:v>15503.2</x:v>
      </x:c>
      <x:c r="G415" s="18" t="n">
        <x:v>3307.52</x:v>
      </x:c>
      <x:c r="H415" s="18" t="n">
        <x:f>IFERROR(G415/1000,"")</x:f>
        <x:v>3.30752</x:v>
      </x:c>
      <x:c r="I415" s="19" t="n">
        <x:f>IFERROR(G415/J415,"")</x:f>
        <x:v>0.13284642684433506</x:v>
      </x:c>
      <x:c r="J415" s="17" t="n">
        <x:v>24897.32</x:v>
      </x:c>
      <x:c r="K415" s="17" t="str"/>
      <x:c r="L415" s="17" t="str">
        <x:v>已完成：查询过去20个交易日累计跌幅最大的前10个指数，取得 10 条记录。</x:v>
      </x:c>
      <x:c r="M415" s="17" t="str"/>
      <x:c r="N415" s="18" t="n">
        <x:v>3420.15</x:v>
      </x:c>
      <x:c r="O415" s="17" t="str">
        <x:v>public_sse_client_estimate</x:v>
      </x:c>
    </x:row>
    <x:row r="416" ht="48" customHeight="1">
      <x:c r="A416" s="17" t="str">
        <x:v>BUS085</x:v>
      </x:c>
      <x:c r="B416" s="17" t="str">
        <x:v>过去20个交易日跌幅最大的指数前10名。</x:v>
      </x:c>
      <x:c r="C416" s="17" t="n">
        <x:v>4</x:v>
      </x:c>
      <x:c r="D416" s="17" t="str">
        <x:v>回答整理</x:v>
      </x:c>
      <x:c r="E416" s="17" t="str">
        <x:v>15503.2</x:v>
      </x:c>
      <x:c r="F416" s="17" t="str">
        <x:v>22033.2</x:v>
      </x:c>
      <x:c r="G416" s="18" t="n">
        <x:v>6530</x:v>
      </x:c>
      <x:c r="H416" s="18" t="n">
        <x:f>IFERROR(G416/1000,"")</x:f>
        <x:v>6.53</x:v>
      </x:c>
      <x:c r="I416" s="19" t="n">
        <x:f>IFERROR(G416/J416,"")</x:f>
        <x:v>0.2622772250185964</x:v>
      </x:c>
      <x:c r="J416" s="17" t="n">
        <x:v>24897.32</x:v>
      </x:c>
      <x:c r="K416" s="17" t="str"/>
      <x:c r="L416" s="17" t="str">
        <x:v>证据与回答已整理完成。</x:v>
      </x:c>
      <x:c r="M416" s="17" t="str"/>
      <x:c r="N416" s="18" t="n">
        <x:v>0</x:v>
      </x:c>
      <x:c r="O416" s="17" t="str">
        <x:v>public_sse_client_estimate</x:v>
      </x:c>
    </x:row>
    <x:row r="417" ht="48" customHeight="1">
      <x:c r="A417" s="17" t="str">
        <x:v>BUS086</x:v>
      </x:c>
      <x:c r="B417" s="17" t="str">
        <x:v>查询创业板指当前开盘价、最高价、最低价和最新点位。</x:v>
      </x:c>
      <x:c r="C417" s="17" t="n">
        <x:v>1</x:v>
      </x:c>
      <x:c r="D417" s="17" t="str">
        <x:v>问题理解</x:v>
      </x:c>
      <x:c r="E417" s="17" t="str">
        <x:v>5725.32</x:v>
      </x:c>
      <x:c r="F417" s="17" t="str">
        <x:v>8551.39</x:v>
      </x:c>
      <x:c r="G417" s="18" t="n">
        <x:v>2826.07</x:v>
      </x:c>
      <x:c r="H417" s="18" t="n">
        <x:f>IFERROR(G417/1000,"")</x:f>
        <x:v>2.82607</x:v>
      </x:c>
      <x:c r="I417" s="19" t="n">
        <x:f>IFERROR(G417/J417,"")</x:f>
        <x:v>0.12170891273911054</x:v>
      </x:c>
      <x:c r="J417" s="17" t="n">
        <x:v>23219.91</x:v>
      </x:c>
      <x:c r="K417" s="17" t="str"/>
      <x:c r="L417" s="17" t="str">
        <x:v>已明确本题的对象与口径，开始获取所需证据。</x:v>
      </x:c>
      <x:c r="M417" s="17" t="str"/>
      <x:c r="N417" s="18" t="n">
        <x:v>5725.32</x:v>
      </x:c>
      <x:c r="O417" s="17" t="str">
        <x:v>public_sse_client_estimate</x:v>
      </x:c>
    </x:row>
    <x:row r="418" ht="48" customHeight="1">
      <x:c r="A418" s="17" t="str">
        <x:v>BUS086</x:v>
      </x:c>
      <x:c r="B418" s="17" t="str">
        <x:v>查询创业板指当前开盘价、最高价、最低价和最新点位。</x:v>
      </x:c>
      <x:c r="C418" s="17" t="n">
        <x:v>2</x:v>
      </x:c>
      <x:c r="D418" s="17" t="str">
        <x:v>数据口径</x:v>
      </x:c>
      <x:c r="E418" s="17" t="str">
        <x:v>8551.39</x:v>
      </x:c>
      <x:c r="F418" s="17" t="str">
        <x:v>8568.26</x:v>
      </x:c>
      <x:c r="G418" s="18" t="n">
        <x:v>16.87</x:v>
      </x:c>
      <x:c r="H418" s="18" t="n">
        <x:f>IFERROR(G418/1000,"")</x:f>
        <x:v>0.01687</x:v>
      </x:c>
      <x:c r="I418" s="19" t="n">
        <x:f>IFERROR(G418/J418,"")</x:f>
        <x:v>0.0007265316704500578</x:v>
      </x:c>
      <x:c r="J418" s="17" t="n">
        <x:v>23219.91</x:v>
      </x:c>
      <x:c r="K418" s="17" t="str"/>
      <x:c r="L418" s="17" t="str">
        <x:v>已定位指数行情视图，并确认了可用字段与时间口径。</x:v>
      </x:c>
      <x:c r="M418" s="17" t="str"/>
      <x:c r="N418" s="18" t="n">
        <x:v>0</x:v>
      </x:c>
      <x:c r="O418" s="17" t="str">
        <x:v>public_sse_client_estimate</x:v>
      </x:c>
    </x:row>
    <x:row r="419" ht="48" customHeight="1">
      <x:c r="A419" s="17" t="str">
        <x:v>BUS086</x:v>
      </x:c>
      <x:c r="B419" s="17" t="str">
        <x:v>查询创业板指当前开盘价、最高价、最低价和最新点位。</x:v>
      </x:c>
      <x:c r="C419" s="17" t="n">
        <x:v>3</x:v>
      </x:c>
      <x:c r="D419" s="17" t="str">
        <x:v>数据查询 1/1</x:v>
      </x:c>
      <x:c r="E419" s="17" t="str">
        <x:v>13704.33</x:v>
      </x:c>
      <x:c r="F419" s="17" t="str">
        <x:v>14263.27</x:v>
      </x:c>
      <x:c r="G419" s="18" t="n">
        <x:v>558.94</x:v>
      </x:c>
      <x:c r="H419" s="18" t="n">
        <x:f>IFERROR(G419/1000,"")</x:f>
        <x:v>0.5589400000000001</x:v>
      </x:c>
      <x:c r="I419" s="19" t="n">
        <x:f>IFERROR(G419/J419,"")</x:f>
        <x:v>0.024071583395456748</x:v>
      </x:c>
      <x:c r="J419" s="17" t="n">
        <x:v>23219.91</x:v>
      </x:c>
      <x:c r="K419" s="17" t="str"/>
      <x:c r="L419" s="17" t="str">
        <x:v>已完成：查询创业板指当前开盘价、最高价、最低价和最新点位，取得 1 条记录。</x:v>
      </x:c>
      <x:c r="M419" s="17" t="str"/>
      <x:c r="N419" s="18" t="n">
        <x:v>5136.07</x:v>
      </x:c>
      <x:c r="O419" s="17" t="str">
        <x:v>public_sse_client_estimate</x:v>
      </x:c>
    </x:row>
    <x:row r="420" ht="48" customHeight="1">
      <x:c r="A420" s="17" t="str">
        <x:v>BUS086</x:v>
      </x:c>
      <x:c r="B420" s="17" t="str">
        <x:v>查询创业板指当前开盘价、最高价、最低价和最新点位。</x:v>
      </x:c>
      <x:c r="C420" s="17" t="n">
        <x:v>4</x:v>
      </x:c>
      <x:c r="D420" s="17" t="str">
        <x:v>回答整理</x:v>
      </x:c>
      <x:c r="E420" s="17" t="str">
        <x:v>14263.27</x:v>
      </x:c>
      <x:c r="F420" s="17" t="str">
        <x:v>17917.31</x:v>
      </x:c>
      <x:c r="G420" s="18" t="n">
        <x:v>3654.04</x:v>
      </x:c>
      <x:c r="H420" s="18" t="n">
        <x:f>IFERROR(G420/1000,"")</x:f>
        <x:v>3.65404</x:v>
      </x:c>
      <x:c r="I420" s="19" t="n">
        <x:f>IFERROR(G420/J420,"")</x:f>
        <x:v>0.1573666736865044</x:v>
      </x:c>
      <x:c r="J420" s="17" t="n">
        <x:v>23219.91</x:v>
      </x:c>
      <x:c r="K420" s="17" t="str"/>
      <x:c r="L420" s="17" t="str">
        <x:v>证据与回答已整理完成。</x:v>
      </x:c>
      <x:c r="M420" s="17" t="str"/>
      <x:c r="N420" s="18" t="n">
        <x:v>0</x:v>
      </x:c>
      <x:c r="O420" s="17" t="str">
        <x:v>public_sse_client_estimate</x:v>
      </x:c>
    </x:row>
    <x:row r="421" ht="48" customHeight="1">
      <x:c r="A421" s="17" t="str">
        <x:v>BUS087</x:v>
      </x:c>
      <x:c r="B421" s="17" t="str">
        <x:v>查询沪深300最新PE、PB和总市值。</x:v>
      </x:c>
      <x:c r="C421" s="17" t="n">
        <x:v>1</x:v>
      </x:c>
      <x:c r="D421" s="17" t="str">
        <x:v>问题理解</x:v>
      </x:c>
      <x:c r="E421" s="17" t="str">
        <x:v>5477.27</x:v>
      </x:c>
      <x:c r="F421" s="17" t="str">
        <x:v>8382.54</x:v>
      </x:c>
      <x:c r="G421" s="18" t="n">
        <x:v>2905.27</x:v>
      </x:c>
      <x:c r="H421" s="18" t="n">
        <x:f>IFERROR(G421/1000,"")</x:f>
        <x:v>2.90527</x:v>
      </x:c>
      <x:c r="I421" s="19" t="n">
        <x:f>IFERROR(G421/J421,"")</x:f>
        <x:v>0.11910925218640485</x:v>
      </x:c>
      <x:c r="J421" s="17" t="n">
        <x:v>24391.64</x:v>
      </x:c>
      <x:c r="K421" s="17" t="str"/>
      <x:c r="L421" s="17" t="str">
        <x:v>已明确本题的对象与口径，开始获取所需证据。</x:v>
      </x:c>
      <x:c r="M421" s="17" t="str"/>
      <x:c r="N421" s="18" t="n">
        <x:v>5477.27</x:v>
      </x:c>
      <x:c r="O421" s="17" t="str">
        <x:v>public_sse_client_estimate</x:v>
      </x:c>
    </x:row>
    <x:row r="422" ht="48" customHeight="1">
      <x:c r="A422" s="17" t="str">
        <x:v>BUS087</x:v>
      </x:c>
      <x:c r="B422" s="17" t="str">
        <x:v>查询沪深300最新PE、PB和总市值。</x:v>
      </x:c>
      <x:c r="C422" s="17" t="n">
        <x:v>2</x:v>
      </x:c>
      <x:c r="D422" s="17" t="str">
        <x:v>数据口径</x:v>
      </x:c>
      <x:c r="E422" s="17" t="str">
        <x:v>8382.54</x:v>
      </x:c>
      <x:c r="F422" s="17" t="str">
        <x:v>9262.46</x:v>
      </x:c>
      <x:c r="G422" s="18" t="n">
        <x:v>879.92</x:v>
      </x:c>
      <x:c r="H422" s="18" t="n">
        <x:f>IFERROR(G422/1000,"")</x:f>
        <x:v>0.8799199999999999</x:v>
      </x:c>
      <x:c r="I422" s="19" t="n">
        <x:f>IFERROR(G422/J422,"")</x:f>
        <x:v>0.03607465508674283</x:v>
      </x:c>
      <x:c r="J422" s="17" t="n">
        <x:v>24391.64</x:v>
      </x:c>
      <x:c r="K422" s="17" t="str"/>
      <x:c r="L422" s="17" t="str">
        <x:v>已定位指数估值视图，并确认了可用字段与时间口径。</x:v>
      </x:c>
      <x:c r="M422" s="17" t="str"/>
      <x:c r="N422" s="18" t="n">
        <x:v>0</x:v>
      </x:c>
      <x:c r="O422" s="17" t="str">
        <x:v>public_sse_client_estimate</x:v>
      </x:c>
    </x:row>
    <x:row r="423" ht="48" customHeight="1">
      <x:c r="A423" s="17" t="str">
        <x:v>BUS087</x:v>
      </x:c>
      <x:c r="B423" s="17" t="str">
        <x:v>查询沪深300最新PE、PB和总市值。</x:v>
      </x:c>
      <x:c r="C423" s="17" t="n">
        <x:v>3</x:v>
      </x:c>
      <x:c r="D423" s="17" t="str">
        <x:v>数据查询 1/1</x:v>
      </x:c>
      <x:c r="E423" s="17" t="str">
        <x:v>13717.25</x:v>
      </x:c>
      <x:c r="F423" s="17" t="str">
        <x:v>14239.82</x:v>
      </x:c>
      <x:c r="G423" s="18" t="n">
        <x:v>522.57</x:v>
      </x:c>
      <x:c r="H423" s="18" t="n">
        <x:f>IFERROR(G423/1000,"")</x:f>
        <x:v>0.5225700000000001</x:v>
      </x:c>
      <x:c r="I423" s="19" t="n">
        <x:f>IFERROR(G423/J423,"")</x:f>
        <x:v>0.021424143682015645</x:v>
      </x:c>
      <x:c r="J423" s="17" t="n">
        <x:v>24391.64</x:v>
      </x:c>
      <x:c r="K423" s="17" t="str"/>
      <x:c r="L423" s="17" t="str">
        <x:v>已完成：查询沪深300指数最新PE、PB和总市值，取得 1 条记录。</x:v>
      </x:c>
      <x:c r="M423" s="17" t="str"/>
      <x:c r="N423" s="18" t="n">
        <x:v>4454.79</x:v>
      </x:c>
      <x:c r="O423" s="17" t="str">
        <x:v>public_sse_client_estimate</x:v>
      </x:c>
    </x:row>
    <x:row r="424" ht="48" customHeight="1">
      <x:c r="A424" s="17" t="str">
        <x:v>BUS087</x:v>
      </x:c>
      <x:c r="B424" s="17" t="str">
        <x:v>查询沪深300最新PE、PB和总市值。</x:v>
      </x:c>
      <x:c r="C424" s="17" t="n">
        <x:v>4</x:v>
      </x:c>
      <x:c r="D424" s="17" t="str">
        <x:v>数据查询 1/1</x:v>
      </x:c>
      <x:c r="E424" s="17" t="str">
        <x:v>17821.08</x:v>
      </x:c>
      <x:c r="F424" s="17" t="str">
        <x:v>18356.55</x:v>
      </x:c>
      <x:c r="G424" s="18" t="n">
        <x:v>535.47</x:v>
      </x:c>
      <x:c r="H424" s="18" t="n">
        <x:f>IFERROR(G424/1000,"")</x:f>
        <x:v>0.53547</x:v>
      </x:c>
      <x:c r="I424" s="19" t="n">
        <x:f>IFERROR(G424/J424,"")</x:f>
        <x:v>0.02195301340951244</x:v>
      </x:c>
      <x:c r="J424" s="17" t="n">
        <x:v>24391.64</x:v>
      </x:c>
      <x:c r="K424" s="17" t="str"/>
      <x:c r="L424" s="17" t="str">
        <x:v>已完成：查询沪深300指数最新PE、PB和总市值（使用基础字段名），取得 1 条记录。</x:v>
      </x:c>
      <x:c r="M424" s="17" t="str"/>
      <x:c r="N424" s="18" t="n">
        <x:v>3581.26</x:v>
      </x:c>
      <x:c r="O424" s="17" t="str">
        <x:v>public_sse_client_estimate</x:v>
      </x:c>
    </x:row>
    <x:row r="425" ht="48" customHeight="1">
      <x:c r="A425" s="17" t="str">
        <x:v>BUS087</x:v>
      </x:c>
      <x:c r="B425" s="17" t="str">
        <x:v>查询沪深300最新PE、PB和总市值。</x:v>
      </x:c>
      <x:c r="C425" s="17" t="n">
        <x:v>5</x:v>
      </x:c>
      <x:c r="D425" s="17" t="str">
        <x:v>回答整理</x:v>
      </x:c>
      <x:c r="E425" s="17" t="str">
        <x:v>18356.55</x:v>
      </x:c>
      <x:c r="F425" s="17" t="str">
        <x:v>21269.07</x:v>
      </x:c>
      <x:c r="G425" s="18" t="n">
        <x:v>2912.52</x:v>
      </x:c>
      <x:c r="H425" s="18" t="n">
        <x:f>IFERROR(G425/1000,"")</x:f>
        <x:v>2.9125199999999998</x:v>
      </x:c>
      <x:c r="I425" s="19" t="n">
        <x:f>IFERROR(G425/J425,"")</x:f>
        <x:v>0.1194064851727887</x:v>
      </x:c>
      <x:c r="J425" s="17" t="n">
        <x:v>24391.64</x:v>
      </x:c>
      <x:c r="K425" s="17" t="str"/>
      <x:c r="L425" s="17" t="str">
        <x:v>证据与回答已整理完成。</x:v>
      </x:c>
      <x:c r="M425" s="17" t="str"/>
      <x:c r="N425" s="18" t="n">
        <x:v>0</x:v>
      </x:c>
      <x:c r="O425" s="17" t="str">
        <x:v>public_sse_client_estimate</x:v>
      </x:c>
    </x:row>
    <x:row r="426" ht="48" customHeight="1">
      <x:c r="A426" s="17" t="str">
        <x:v>BUS088</x:v>
      </x:c>
      <x:c r="B426" s="17" t="str">
        <x:v>当前PE_TTM最低的指数前20名。</x:v>
      </x:c>
      <x:c r="C426" s="17" t="n">
        <x:v>1</x:v>
      </x:c>
      <x:c r="D426" s="17" t="str">
        <x:v>问题理解</x:v>
      </x:c>
      <x:c r="E426" s="17" t="str">
        <x:v>5037.41</x:v>
      </x:c>
      <x:c r="F426" s="17" t="str">
        <x:v>7764.27</x:v>
      </x:c>
      <x:c r="G426" s="18" t="n">
        <x:v>2726.86</x:v>
      </x:c>
      <x:c r="H426" s="18" t="n">
        <x:f>IFERROR(G426/1000,"")</x:f>
        <x:v>2.7268600000000003</x:v>
      </x:c>
      <x:c r="I426" s="19" t="n">
        <x:f>IFERROR(G426/J426,"")</x:f>
        <x:v>0.10010716091134134</x:v>
      </x:c>
      <x:c r="J426" s="17" t="n">
        <x:v>27239.41</x:v>
      </x:c>
      <x:c r="K426" s="17" t="str"/>
      <x:c r="L426" s="17" t="str">
        <x:v>已明确本题的对象与口径，开始获取所需证据。</x:v>
      </x:c>
      <x:c r="M426" s="17" t="str"/>
      <x:c r="N426" s="18" t="n">
        <x:v>5037.41</x:v>
      </x:c>
      <x:c r="O426" s="17" t="str">
        <x:v>public_sse_client_estimate</x:v>
      </x:c>
    </x:row>
    <x:row r="427" ht="48" customHeight="1">
      <x:c r="A427" s="17" t="str">
        <x:v>BUS088</x:v>
      </x:c>
      <x:c r="B427" s="17" t="str">
        <x:v>当前PE_TTM最低的指数前20名。</x:v>
      </x:c>
      <x:c r="C427" s="17" t="n">
        <x:v>2</x:v>
      </x:c>
      <x:c r="D427" s="17" t="str">
        <x:v>数据口径</x:v>
      </x:c>
      <x:c r="E427" s="17" t="str">
        <x:v>7764.27</x:v>
      </x:c>
      <x:c r="F427" s="17" t="str">
        <x:v>7787.4</x:v>
      </x:c>
      <x:c r="G427" s="18" t="n">
        <x:v>23.13</x:v>
      </x:c>
      <x:c r="H427" s="18" t="n">
        <x:f>IFERROR(G427/1000,"")</x:f>
        <x:v>0.023129999999999998</x:v>
      </x:c>
      <x:c r="I427" s="19" t="n">
        <x:f>IFERROR(G427/J427,"")</x:f>
        <x:v>0.0008491373344723692</x:v>
      </x:c>
      <x:c r="J427" s="17" t="n">
        <x:v>27239.41</x:v>
      </x:c>
      <x:c r="K427" s="17" t="str"/>
      <x:c r="L427" s="17" t="str">
        <x:v>已定位指数估值视图，并确认了可用字段与时间口径。</x:v>
      </x:c>
      <x:c r="M427" s="17" t="str"/>
      <x:c r="N427" s="18" t="n">
        <x:v>0</x:v>
      </x:c>
      <x:c r="O427" s="17" t="str">
        <x:v>public_sse_client_estimate</x:v>
      </x:c>
    </x:row>
    <x:row r="428" ht="48" customHeight="1">
      <x:c r="A428" s="17" t="str">
        <x:v>BUS088</x:v>
      </x:c>
      <x:c r="B428" s="17" t="str">
        <x:v>当前PE_TTM最低的指数前20名。</x:v>
      </x:c>
      <x:c r="C428" s="17" t="n">
        <x:v>3</x:v>
      </x:c>
      <x:c r="D428" s="17" t="str">
        <x:v>数据查询 1/1</x:v>
      </x:c>
      <x:c r="E428" s="17" t="str">
        <x:v>11066.73</x:v>
      </x:c>
      <x:c r="F428" s="17" t="str">
        <x:v>11654.7</x:v>
      </x:c>
      <x:c r="G428" s="18" t="n">
        <x:v>587.97</x:v>
      </x:c>
      <x:c r="H428" s="18" t="n">
        <x:f>IFERROR(G428/1000,"")</x:f>
        <x:v>0.58797</x:v>
      </x:c>
      <x:c r="I428" s="19" t="n">
        <x:f>IFERROR(G428/J428,"")</x:f>
        <x:v>0.02158526928446688</x:v>
      </x:c>
      <x:c r="J428" s="17" t="n">
        <x:v>27239.41</x:v>
      </x:c>
      <x:c r="K428" s="17" t="str"/>
      <x:c r="L428" s="17" t="str">
        <x:v>已完成：获取所有指数的PE_TTM，按PE_TTM升序排列，取前20名，当前条件下没有匹配记录。</x:v>
      </x:c>
      <x:c r="M428" s="17" t="str"/>
      <x:c r="N428" s="18" t="n">
        <x:v>3279.33</x:v>
      </x:c>
      <x:c r="O428" s="17" t="str">
        <x:v>public_sse_client_estimate</x:v>
      </x:c>
    </x:row>
    <x:row r="429" ht="48" customHeight="1">
      <x:c r="A429" s="17" t="str">
        <x:v>BUS088</x:v>
      </x:c>
      <x:c r="B429" s="17" t="str">
        <x:v>当前PE_TTM最低的指数前20名。</x:v>
      </x:c>
      <x:c r="C429" s="17" t="n">
        <x:v>4</x:v>
      </x:c>
      <x:c r="D429" s="17" t="str">
        <x:v>数据查询 1/1</x:v>
      </x:c>
      <x:c r="E429" s="17" t="str">
        <x:v>15350.59</x:v>
      </x:c>
      <x:c r="F429" s="17" t="str">
        <x:v>15928.25</x:v>
      </x:c>
      <x:c r="G429" s="18" t="n">
        <x:v>577.66</x:v>
      </x:c>
      <x:c r="H429" s="18" t="n">
        <x:f>IFERROR(G429/1000,"")</x:f>
        <x:v>0.57766</x:v>
      </x:c>
      <x:c r="I429" s="19" t="n">
        <x:f>IFERROR(G429/J429,"")</x:f>
        <x:v>0.02120677356814997</x:v>
      </x:c>
      <x:c r="J429" s="17" t="n">
        <x:v>27239.41</x:v>
      </x:c>
      <x:c r="K429" s="17" t="str"/>
      <x:c r="L429" s="17" t="str">
        <x:v>已完成：获取所有指数的PE_TTM，按PE_TTM升序排列，取前20名，取得 20 条记录。</x:v>
      </x:c>
      <x:c r="M429" s="17" t="str"/>
      <x:c r="N429" s="18" t="n">
        <x:v>3695.89</x:v>
      </x:c>
      <x:c r="O429" s="17" t="str">
        <x:v>public_sse_client_estimate</x:v>
      </x:c>
    </x:row>
    <x:row r="430" ht="48" customHeight="1">
      <x:c r="A430" s="17" t="str">
        <x:v>BUS088</x:v>
      </x:c>
      <x:c r="B430" s="17" t="str">
        <x:v>当前PE_TTM最低的指数前20名。</x:v>
      </x:c>
      <x:c r="C430" s="17" t="n">
        <x:v>5</x:v>
      </x:c>
      <x:c r="D430" s="17" t="str">
        <x:v>回答整理</x:v>
      </x:c>
      <x:c r="E430" s="17" t="str">
        <x:v>15928.25</x:v>
      </x:c>
      <x:c r="F430" s="17" t="str">
        <x:v>24556.36</x:v>
      </x:c>
      <x:c r="G430" s="18" t="n">
        <x:v>8628.11</x:v>
      </x:c>
      <x:c r="H430" s="18" t="n">
        <x:f>IFERROR(G430/1000,"")</x:f>
        <x:v>8.628110000000001</x:v>
      </x:c>
      <x:c r="I430" s="19" t="n">
        <x:f>IFERROR(G430/J430,"")</x:f>
        <x:v>0.3167509868972933</x:v>
      </x:c>
      <x:c r="J430" s="17" t="n">
        <x:v>27239.41</x:v>
      </x:c>
      <x:c r="K430" s="17" t="str"/>
      <x:c r="L430" s="17" t="str">
        <x:v>证据与回答已整理完成。</x:v>
      </x:c>
      <x:c r="M430" s="17" t="str"/>
      <x:c r="N430" s="18" t="n">
        <x:v>0</x:v>
      </x:c>
      <x:c r="O430" s="17" t="str">
        <x:v>public_sse_client_estimate</x:v>
      </x:c>
    </x:row>
    <x:row r="431" ht="48" customHeight="1">
      <x:c r="A431" s="17" t="str">
        <x:v>BUS089</x:v>
      </x:c>
      <x:c r="B431" s="17" t="str">
        <x:v>筛选PB低于1.5的指数。</x:v>
      </x:c>
      <x:c r="C431" s="17" t="n">
        <x:v>1</x:v>
      </x:c>
      <x:c r="D431" s="17" t="str">
        <x:v>问题理解</x:v>
      </x:c>
      <x:c r="E431" s="17" t="str">
        <x:v>5524.44</x:v>
      </x:c>
      <x:c r="F431" s="17" t="str">
        <x:v>9429.87</x:v>
      </x:c>
      <x:c r="G431" s="18" t="n">
        <x:v>3905.43</x:v>
      </x:c>
      <x:c r="H431" s="18" t="n">
        <x:f>IFERROR(G431/1000,"")</x:f>
        <x:v>3.90543</x:v>
      </x:c>
      <x:c r="I431" s="19" t="n">
        <x:f>IFERROR(G431/J431,"")</x:f>
        <x:v>0.13956836846280848</x:v>
      </x:c>
      <x:c r="J431" s="17" t="n">
        <x:v>27982.2</x:v>
      </x:c>
      <x:c r="K431" s="17" t="str"/>
      <x:c r="L431" s="17" t="str">
        <x:v>已明确本题的对象与口径，开始获取所需证据。</x:v>
      </x:c>
      <x:c r="M431" s="17" t="str"/>
      <x:c r="N431" s="18" t="n">
        <x:v>5524.44</x:v>
      </x:c>
      <x:c r="O431" s="17" t="str">
        <x:v>public_sse_client_estimate</x:v>
      </x:c>
    </x:row>
    <x:row r="432" ht="48" customHeight="1">
      <x:c r="A432" s="17" t="str">
        <x:v>BUS089</x:v>
      </x:c>
      <x:c r="B432" s="17" t="str">
        <x:v>筛选PB低于1.5的指数。</x:v>
      </x:c>
      <x:c r="C432" s="17" t="n">
        <x:v>2</x:v>
      </x:c>
      <x:c r="D432" s="17" t="str">
        <x:v>数据口径</x:v>
      </x:c>
      <x:c r="E432" s="17" t="str">
        <x:v>9429.87</x:v>
      </x:c>
      <x:c r="F432" s="17" t="str">
        <x:v>9467.29</x:v>
      </x:c>
      <x:c r="G432" s="18" t="n">
        <x:v>37.42</x:v>
      </x:c>
      <x:c r="H432" s="18" t="n">
        <x:f>IFERROR(G432/1000,"")</x:f>
        <x:v>0.03742</x:v>
      </x:c>
      <x:c r="I432" s="19" t="n">
        <x:f>IFERROR(G432/J432,"")</x:f>
        <x:v>0.0013372786986012536</x:v>
      </x:c>
      <x:c r="J432" s="17" t="n">
        <x:v>27982.2</x:v>
      </x:c>
      <x:c r="K432" s="17" t="str"/>
      <x:c r="L432" s="17" t="str">
        <x:v>已定位指数估值视图，并确认了可用字段与时间口径。</x:v>
      </x:c>
      <x:c r="M432" s="17" t="str"/>
      <x:c r="N432" s="18" t="n">
        <x:v>0</x:v>
      </x:c>
      <x:c r="O432" s="17" t="str">
        <x:v>public_sse_client_estimate</x:v>
      </x:c>
    </x:row>
    <x:row r="433" ht="48" customHeight="1">
      <x:c r="A433" s="17" t="str">
        <x:v>BUS089</x:v>
      </x:c>
      <x:c r="B433" s="17" t="str">
        <x:v>筛选PB低于1.5的指数。</x:v>
      </x:c>
      <x:c r="C433" s="17" t="n">
        <x:v>3</x:v>
      </x:c>
      <x:c r="D433" s="17" t="str">
        <x:v>数据查询 1/1</x:v>
      </x:c>
      <x:c r="E433" s="17" t="str">
        <x:v>13859.19</x:v>
      </x:c>
      <x:c r="F433" s="17" t="str">
        <x:v>14492.03</x:v>
      </x:c>
      <x:c r="G433" s="18" t="n">
        <x:v>632.84</x:v>
      </x:c>
      <x:c r="H433" s="18" t="n">
        <x:f>IFERROR(G433/1000,"")</x:f>
        <x:v>0.6328400000000001</x:v>
      </x:c>
      <x:c r="I433" s="19" t="n">
        <x:f>IFERROR(G433/J433,"")</x:f>
        <x:v>0.022615805762234563</x:v>
      </x:c>
      <x:c r="J433" s="17" t="n">
        <x:v>27982.2</x:v>
      </x:c>
      <x:c r="K433" s="17" t="str"/>
      <x:c r="L433" s="17" t="str">
        <x:v>已完成：筛选出PB低于1.5的所有指数，当前条件下没有匹配记录。</x:v>
      </x:c>
      <x:c r="M433" s="17" t="str"/>
      <x:c r="N433" s="18" t="n">
        <x:v>4391.9</x:v>
      </x:c>
      <x:c r="O433" s="17" t="str">
        <x:v>public_sse_client_estimate</x:v>
      </x:c>
    </x:row>
    <x:row r="434" ht="48" customHeight="1">
      <x:c r="A434" s="17" t="str">
        <x:v>BUS089</x:v>
      </x:c>
      <x:c r="B434" s="17" t="str">
        <x:v>筛选PB低于1.5的指数。</x:v>
      </x:c>
      <x:c r="C434" s="17" t="n">
        <x:v>4</x:v>
      </x:c>
      <x:c r="D434" s="17" t="str">
        <x:v>数据查询 1/1</x:v>
      </x:c>
      <x:c r="E434" s="17" t="str">
        <x:v>17503.66</x:v>
      </x:c>
      <x:c r="F434" s="17" t="str">
        <x:v>18054.95</x:v>
      </x:c>
      <x:c r="G434" s="18" t="n">
        <x:v>551.29</x:v>
      </x:c>
      <x:c r="H434" s="18" t="n">
        <x:f>IFERROR(G434/1000,"")</x:f>
        <x:v>0.55129</x:v>
      </x:c>
      <x:c r="I434" s="19" t="n">
        <x:f>IFERROR(G434/J434,"")</x:f>
        <x:v>0.019701453066592333</x:v>
      </x:c>
      <x:c r="J434" s="17" t="n">
        <x:v>27982.2</x:v>
      </x:c>
      <x:c r="K434" s="17" t="str"/>
      <x:c r="L434" s="17" t="str">
        <x:v>已完成：查看当前数据源中有哪些指数以及它们的PB值，当前条件下没有匹配记录。</x:v>
      </x:c>
      <x:c r="M434" s="17" t="str"/>
      <x:c r="N434" s="18" t="n">
        <x:v>3011.63</x:v>
      </x:c>
      <x:c r="O434" s="17" t="str">
        <x:v>public_sse_client_estimate</x:v>
      </x:c>
    </x:row>
    <x:row r="435" ht="48" customHeight="1">
      <x:c r="A435" s="17" t="str">
        <x:v>BUS089</x:v>
      </x:c>
      <x:c r="B435" s="17" t="str">
        <x:v>筛选PB低于1.5的指数。</x:v>
      </x:c>
      <x:c r="C435" s="17" t="n">
        <x:v>5</x:v>
      </x:c>
      <x:c r="D435" s="17" t="str">
        <x:v>数据查询 1/1</x:v>
      </x:c>
      <x:c r="E435" s="17" t="str">
        <x:v>20655.79</x:v>
      </x:c>
      <x:c r="F435" s="17" t="str">
        <x:v>21230.44</x:v>
      </x:c>
      <x:c r="G435" s="18" t="n">
        <x:v>574.65</x:v>
      </x:c>
      <x:c r="H435" s="18" t="n">
        <x:f>IFERROR(G435/1000,"")</x:f>
        <x:v>0.57465</x:v>
      </x:c>
      <x:c r="I435" s="19" t="n">
        <x:f>IFERROR(G435/J435,"")</x:f>
        <x:v>0.02053626948560156</x:v>
      </x:c>
      <x:c r="J435" s="17" t="n">
        <x:v>27982.2</x:v>
      </x:c>
      <x:c r="K435" s="17" t="str"/>
      <x:c r="L435" s="17" t="str">
        <x:v>已完成：查看当前数据源中指数估值数据是否有任何记录，取得 10 条记录。</x:v>
      </x:c>
      <x:c r="M435" s="17" t="str"/>
      <x:c r="N435" s="18" t="n">
        <x:v>2600.84</x:v>
      </x:c>
      <x:c r="O435" s="17" t="str">
        <x:v>public_sse_client_estimate</x:v>
      </x:c>
    </x:row>
    <x:row r="436" ht="48" customHeight="1">
      <x:c r="A436" s="17" t="str">
        <x:v>BUS089</x:v>
      </x:c>
      <x:c r="B436" s="17" t="str">
        <x:v>筛选PB低于1.5的指数。</x:v>
      </x:c>
      <x:c r="C436" s="17" t="n">
        <x:v>6</x:v>
      </x:c>
      <x:c r="D436" s="17" t="str">
        <x:v>回答整理</x:v>
      </x:c>
      <x:c r="E436" s="17" t="str">
        <x:v>21230.44</x:v>
      </x:c>
      <x:c r="F436" s="17" t="str">
        <x:v>25225.74</x:v>
      </x:c>
      <x:c r="G436" s="18" t="n">
        <x:v>3995.3</x:v>
      </x:c>
      <x:c r="H436" s="18" t="n">
        <x:f>IFERROR(G436/1000,"")</x:f>
        <x:v>3.9953000000000003</x:v>
      </x:c>
      <x:c r="I436" s="19" t="n">
        <x:f>IFERROR(G436/J436,"")</x:f>
        <x:v>0.1427800530337143</x:v>
      </x:c>
      <x:c r="J436" s="17" t="n">
        <x:v>27982.2</x:v>
      </x:c>
      <x:c r="K436" s="17" t="str"/>
      <x:c r="L436" s="17" t="str">
        <x:v>证据与回答已整理完成。</x:v>
      </x:c>
      <x:c r="M436" s="17" t="str"/>
      <x:c r="N436" s="18" t="n">
        <x:v>0</x:v>
      </x:c>
      <x:c r="O436" s="17" t="str">
        <x:v>public_sse_client_estimate</x:v>
      </x:c>
    </x:row>
    <x:row r="437" ht="48" customHeight="1">
      <x:c r="A437" s="17" t="str">
        <x:v>BUS090</x:v>
      </x:c>
      <x:c r="B437" s="17" t="str">
        <x:v>查询中证500最近估值PE和PB。</x:v>
      </x:c>
      <x:c r="C437" s="17" t="n">
        <x:v>1</x:v>
      </x:c>
      <x:c r="D437" s="17" t="str">
        <x:v>问题理解</x:v>
      </x:c>
      <x:c r="E437" s="17" t="str">
        <x:v>5563.93</x:v>
      </x:c>
      <x:c r="F437" s="17" t="str">
        <x:v>8669.77</x:v>
      </x:c>
      <x:c r="G437" s="18" t="n">
        <x:v>3105.84</x:v>
      </x:c>
      <x:c r="H437" s="18" t="n">
        <x:f>IFERROR(G437/1000,"")</x:f>
        <x:v>3.10584</x:v>
      </x:c>
      <x:c r="I437" s="19" t="n">
        <x:f>IFERROR(G437/J437,"")</x:f>
        <x:v>0.11247106147225903</x:v>
      </x:c>
      <x:c r="J437" s="17" t="n">
        <x:v>27614.57</x:v>
      </x:c>
      <x:c r="K437" s="17" t="str"/>
      <x:c r="L437" s="17" t="str">
        <x:v>已明确本题的对象与口径，开始获取所需证据。</x:v>
      </x:c>
      <x:c r="M437" s="17" t="str"/>
      <x:c r="N437" s="18" t="n">
        <x:v>5563.93</x:v>
      </x:c>
      <x:c r="O437" s="17" t="str">
        <x:v>public_sse_client_estimate</x:v>
      </x:c>
    </x:row>
    <x:row r="438" ht="48" customHeight="1">
      <x:c r="A438" s="17" t="str">
        <x:v>BUS090</x:v>
      </x:c>
      <x:c r="B438" s="17" t="str">
        <x:v>查询中证500最近估值PE和PB。</x:v>
      </x:c>
      <x:c r="C438" s="17" t="n">
        <x:v>2</x:v>
      </x:c>
      <x:c r="D438" s="17" t="str">
        <x:v>数据口径</x:v>
      </x:c>
      <x:c r="E438" s="17" t="str">
        <x:v>8669.77</x:v>
      </x:c>
      <x:c r="F438" s="17" t="str">
        <x:v>8867.67</x:v>
      </x:c>
      <x:c r="G438" s="18" t="n">
        <x:v>197.9</x:v>
      </x:c>
      <x:c r="H438" s="18" t="n">
        <x:f>IFERROR(G438/1000,"")</x:f>
        <x:v>0.1979</x:v>
      </x:c>
      <x:c r="I438" s="19" t="n">
        <x:f>IFERROR(G438/J438,"")</x:f>
        <x:v>0.0071665066665894134</x:v>
      </x:c>
      <x:c r="J438" s="17" t="n">
        <x:v>27614.57</x:v>
      </x:c>
      <x:c r="K438" s="17" t="str"/>
      <x:c r="L438" s="17" t="str">
        <x:v>已定位指数估值视图，并确认了可用字段与时间口径。</x:v>
      </x:c>
      <x:c r="M438" s="17" t="str"/>
      <x:c r="N438" s="18" t="n">
        <x:v>0</x:v>
      </x:c>
      <x:c r="O438" s="17" t="str">
        <x:v>public_sse_client_estimate</x:v>
      </x:c>
    </x:row>
    <x:row r="439" ht="48" customHeight="1">
      <x:c r="A439" s="17" t="str">
        <x:v>BUS090</x:v>
      </x:c>
      <x:c r="B439" s="17" t="str">
        <x:v>查询中证500最近估值PE和PB。</x:v>
      </x:c>
      <x:c r="C439" s="17" t="n">
        <x:v>3</x:v>
      </x:c>
      <x:c r="D439" s="17" t="str">
        <x:v>数据查询 1/1</x:v>
      </x:c>
      <x:c r="E439" s="17" t="str">
        <x:v>12764.71</x:v>
      </x:c>
      <x:c r="F439" s="17" t="str">
        <x:v>13354</x:v>
      </x:c>
      <x:c r="G439" s="18" t="n">
        <x:v>589.29</x:v>
      </x:c>
      <x:c r="H439" s="18" t="n">
        <x:f>IFERROR(G439/1000,"")</x:f>
        <x:v>0.58929</x:v>
      </x:c>
      <x:c r="I439" s="19" t="n">
        <x:f>IFERROR(G439/J439,"")</x:f>
        <x:v>0.02133982169557592</x:v>
      </x:c>
      <x:c r="J439" s="17" t="n">
        <x:v>27614.57</x:v>
      </x:c>
      <x:c r="K439" s="17" t="str"/>
      <x:c r="L439" s="17" t="str">
        <x:v>已完成：查询中证500指数最近交易日的最新PE和PB估值数据，取得 1 条记录。</x:v>
      </x:c>
      <x:c r="M439" s="17" t="str"/>
      <x:c r="N439" s="18" t="n">
        <x:v>3897.04</x:v>
      </x:c>
      <x:c r="O439" s="17" t="str">
        <x:v>public_sse_client_estimate</x:v>
      </x:c>
    </x:row>
    <x:row r="440" ht="48" customHeight="1">
      <x:c r="A440" s="17" t="str">
        <x:v>BUS090</x:v>
      </x:c>
      <x:c r="B440" s="17" t="str">
        <x:v>查询中证500最近估值PE和PB。</x:v>
      </x:c>
      <x:c r="C440" s="17" t="n">
        <x:v>4</x:v>
      </x:c>
      <x:c r="D440" s="17" t="str">
        <x:v>数据查询 1/1</x:v>
      </x:c>
      <x:c r="E440" s="17" t="str">
        <x:v>16747.66</x:v>
      </x:c>
      <x:c r="F440" s="17" t="str">
        <x:v>17733.17</x:v>
      </x:c>
      <x:c r="G440" s="18" t="n">
        <x:v>985.51</x:v>
      </x:c>
      <x:c r="H440" s="18" t="n">
        <x:f>IFERROR(G440/1000,"")</x:f>
        <x:v>0.98551</x:v>
      </x:c>
      <x:c r="I440" s="19" t="n">
        <x:f>IFERROR(G440/J440,"")</x:f>
        <x:v>0.03568804439105878</x:v>
      </x:c>
      <x:c r="J440" s="17" t="n">
        <x:v>27614.57</x:v>
      </x:c>
      <x:c r="K440" s="17" t="str"/>
      <x:c r="L440" s="17" t="str">
        <x:v>已完成：查询中证500上一个交易日的PE和PB估值数据，当前条件下没有匹配记录。</x:v>
      </x:c>
      <x:c r="M440" s="17" t="str"/>
      <x:c r="N440" s="18" t="n">
        <x:v>3393.66</x:v>
      </x:c>
      <x:c r="O440" s="17" t="str">
        <x:v>public_sse_client_estimate</x:v>
      </x:c>
    </x:row>
    <x:row r="441" ht="48" customHeight="1">
      <x:c r="A441" s="17" t="str">
        <x:v>BUS090</x:v>
      </x:c>
      <x:c r="B441" s="17" t="str">
        <x:v>查询中证500最近估值PE和PB。</x:v>
      </x:c>
      <x:c r="C441" s="17" t="n">
        <x:v>5</x:v>
      </x:c>
      <x:c r="D441" s="17" t="str">
        <x:v>数据查询 1/1</x:v>
      </x:c>
      <x:c r="E441" s="17" t="str">
        <x:v>20249.89</x:v>
      </x:c>
      <x:c r="F441" s="17" t="str">
        <x:v>20831.85</x:v>
      </x:c>
      <x:c r="G441" s="18" t="n">
        <x:v>581.96</x:v>
      </x:c>
      <x:c r="H441" s="18" t="n">
        <x:f>IFERROR(G441/1000,"")</x:f>
        <x:v>0.58196</x:v>
      </x:c>
      <x:c r="I441" s="19" t="n">
        <x:f>IFERROR(G441/J441,"")</x:f>
        <x:v>0.02107438211060321</x:v>
      </x:c>
      <x:c r="J441" s="17" t="n">
        <x:v>27614.57</x:v>
      </x:c>
      <x:c r="K441" s="17" t="str"/>
      <x:c r="L441" s="17" t="str">
        <x:v>已完成：查询中证500历史估值数据，确认是否有数据记录，取得 1 条记录。</x:v>
      </x:c>
      <x:c r="M441" s="17" t="str"/>
      <x:c r="N441" s="18" t="n">
        <x:v>2516.72</x:v>
      </x:c>
      <x:c r="O441" s="17" t="str">
        <x:v>public_sse_client_estimate</x:v>
      </x:c>
    </x:row>
    <x:row r="442" ht="48" customHeight="1">
      <x:c r="A442" s="17" t="str">
        <x:v>BUS090</x:v>
      </x:c>
      <x:c r="B442" s="17" t="str">
        <x:v>查询中证500最近估值PE和PB。</x:v>
      </x:c>
      <x:c r="C442" s="17" t="n">
        <x:v>6</x:v>
      </x:c>
      <x:c r="D442" s="17" t="str">
        <x:v>回答整理</x:v>
      </x:c>
      <x:c r="E442" s="17" t="str">
        <x:v>20831.85</x:v>
      </x:c>
      <x:c r="F442" s="17" t="str">
        <x:v>23572.18</x:v>
      </x:c>
      <x:c r="G442" s="18" t="n">
        <x:v>2740.33</x:v>
      </x:c>
      <x:c r="H442" s="18" t="n">
        <x:f>IFERROR(G442/1000,"")</x:f>
        <x:v>2.7403299999999997</x:v>
      </x:c>
      <x:c r="I442" s="19" t="n">
        <x:f>IFERROR(G442/J442,"")</x:f>
        <x:v>0.0992349328633399</x:v>
      </x:c>
      <x:c r="J442" s="17" t="n">
        <x:v>27614.57</x:v>
      </x:c>
      <x:c r="K442" s="17" t="str"/>
      <x:c r="L442" s="17" t="str">
        <x:v>证据与回答已整理完成。</x:v>
      </x:c>
      <x:c r="M442" s="17" t="str"/>
      <x:c r="N442" s="18" t="n">
        <x:v>0</x:v>
      </x:c>
      <x:c r="O442" s="17" t="str">
        <x:v>public_sse_client_estimate</x:v>
      </x:c>
    </x:row>
    <x:row r="443" ht="48" customHeight="1">
      <x:c r="A443" s="17" t="str">
        <x:v>BUS091</x:v>
      </x:c>
      <x:c r="B443" s="17" t="str">
        <x:v>当前市场规模最大的指数前20名。</x:v>
      </x:c>
      <x:c r="C443" s="17" t="n">
        <x:v>1</x:v>
      </x:c>
      <x:c r="D443" s="17" t="str">
        <x:v>问题理解</x:v>
      </x:c>
      <x:c r="E443" s="17" t="str">
        <x:v>6204.56</x:v>
      </x:c>
      <x:c r="F443" s="17" t="str">
        <x:v>11825.85</x:v>
      </x:c>
      <x:c r="G443" s="18" t="n">
        <x:v>5621.29</x:v>
      </x:c>
      <x:c r="H443" s="18" t="n">
        <x:f>IFERROR(G443/1000,"")</x:f>
        <x:v>5.62129</x:v>
      </x:c>
      <x:c r="I443" s="19" t="n">
        <x:f>IFERROR(G443/J443,"")</x:f>
        <x:v>0.06151653583358539</x:v>
      </x:c>
      <x:c r="J443" s="17" t="n">
        <x:v>91378.52</x:v>
      </x:c>
      <x:c r="K443" s="17" t="str"/>
      <x:c r="L443" s="17" t="str">
        <x:v>已明确本题的对象与口径，开始获取所需证据。</x:v>
      </x:c>
      <x:c r="M443" s="17" t="str"/>
      <x:c r="N443" s="18" t="n">
        <x:v>6204.56</x:v>
      </x:c>
      <x:c r="O443" s="17" t="str">
        <x:v>public_sse_client_estimate</x:v>
      </x:c>
    </x:row>
    <x:row r="444" ht="48" customHeight="1">
      <x:c r="A444" s="17" t="str">
        <x:v>BUS091</x:v>
      </x:c>
      <x:c r="B444" s="17" t="str">
        <x:v>当前市场规模最大的指数前20名。</x:v>
      </x:c>
      <x:c r="C444" s="17" t="n">
        <x:v>2</x:v>
      </x:c>
      <x:c r="D444" s="17" t="str">
        <x:v>数据口径</x:v>
      </x:c>
      <x:c r="E444" s="17" t="str">
        <x:v>11825.85</x:v>
      </x:c>
      <x:c r="F444" s="17" t="str">
        <x:v>11941.86</x:v>
      </x:c>
      <x:c r="G444" s="18" t="n">
        <x:v>116.01</x:v>
      </x:c>
      <x:c r="H444" s="18" t="n">
        <x:f>IFERROR(G444/1000,"")</x:f>
        <x:v>0.11601</x:v>
      </x:c>
      <x:c r="I444" s="19" t="n">
        <x:f>IFERROR(G444/J444,"")</x:f>
        <x:v>0.0012695543766740806</x:v>
      </x:c>
      <x:c r="J444" s="17" t="n">
        <x:v>91378.52</x:v>
      </x:c>
      <x:c r="K444" s="17" t="str"/>
      <x:c r="L444" s="17" t="str">
        <x:v>已定位指数基础信息视图，并确认了可用字段与时间口径。</x:v>
      </x:c>
      <x:c r="M444" s="17" t="str"/>
      <x:c r="N444" s="18" t="n">
        <x:v>0</x:v>
      </x:c>
      <x:c r="O444" s="17" t="str">
        <x:v>public_sse_client_estimate</x:v>
      </x:c>
    </x:row>
    <x:row r="445" ht="48" customHeight="1">
      <x:c r="A445" s="17" t="str">
        <x:v>BUS091</x:v>
      </x:c>
      <x:c r="B445" s="17" t="str">
        <x:v>当前市场规模最大的指数前20名。</x:v>
      </x:c>
      <x:c r="C445" s="17" t="n">
        <x:v>3</x:v>
      </x:c>
      <x:c r="D445" s="17" t="str">
        <x:v>数据口径</x:v>
      </x:c>
      <x:c r="E445" s="17" t="str">
        <x:v>11941.86</x:v>
      </x:c>
      <x:c r="F445" s="17" t="str">
        <x:v>12326.95</x:v>
      </x:c>
      <x:c r="G445" s="18" t="n">
        <x:v>385.09</x:v>
      </x:c>
      <x:c r="H445" s="18" t="n">
        <x:f>IFERROR(G445/1000,"")</x:f>
        <x:v>0.38509</x:v>
      </x:c>
      <x:c r="I445" s="19" t="n">
        <x:f>IFERROR(G445/J445,"")</x:f>
        <x:v>0.004214228901934502</x:v>
      </x:c>
      <x:c r="J445" s="17" t="n">
        <x:v>91378.52</x:v>
      </x:c>
      <x:c r="K445" s="17" t="str"/>
      <x:c r="L445" s="17" t="str">
        <x:v>已定位指数行情视图，并确认了可用字段与时间口径。</x:v>
      </x:c>
      <x:c r="M445" s="17" t="str"/>
      <x:c r="N445" s="18" t="n">
        <x:v>0</x:v>
      </x:c>
      <x:c r="O445" s="17" t="str">
        <x:v>public_sse_client_estimate</x:v>
      </x:c>
    </x:row>
    <x:row r="446" ht="48" customHeight="1">
      <x:c r="A446" s="17" t="str">
        <x:v>BUS091</x:v>
      </x:c>
      <x:c r="B446" s="17" t="str">
        <x:v>当前市场规模最大的指数前20名。</x:v>
      </x:c>
      <x:c r="C446" s="17" t="n">
        <x:v>4</x:v>
      </x:c>
      <x:c r="D446" s="17" t="str">
        <x:v>数据口径</x:v>
      </x:c>
      <x:c r="E446" s="17" t="str">
        <x:v>12326.95</x:v>
      </x:c>
      <x:c r="F446" s="17" t="str">
        <x:v>12738.26</x:v>
      </x:c>
      <x:c r="G446" s="18" t="n">
        <x:v>411.31</x:v>
      </x:c>
      <x:c r="H446" s="18" t="n">
        <x:f>IFERROR(G446/1000,"")</x:f>
        <x:v>0.41131</x:v>
      </x:c>
      <x:c r="I446" s="19" t="n">
        <x:f>IFERROR(G446/J446,"")</x:f>
        <x:v>0.0045011672327369716</x:v>
      </x:c>
      <x:c r="J446" s="17" t="n">
        <x:v>91378.52</x:v>
      </x:c>
      <x:c r="K446" s="17" t="str"/>
      <x:c r="L446" s="17" t="str">
        <x:v>已定位指数成分关系视图，并确认了可用字段与时间口径。</x:v>
      </x:c>
      <x:c r="M446" s="17" t="str"/>
      <x:c r="N446" s="18" t="n">
        <x:v>0</x:v>
      </x:c>
      <x:c r="O446" s="17" t="str">
        <x:v>public_sse_client_estimate</x:v>
      </x:c>
    </x:row>
    <x:row r="447" ht="48" customHeight="1">
      <x:c r="A447" s="17" t="str">
        <x:v>BUS091</x:v>
      </x:c>
      <x:c r="B447" s="17" t="str">
        <x:v>当前市场规模最大的指数前20名。</x:v>
      </x:c>
      <x:c r="C447" s="17" t="n">
        <x:v>5</x:v>
      </x:c>
      <x:c r="D447" s="17" t="str">
        <x:v>数据口径</x:v>
      </x:c>
      <x:c r="E447" s="17" t="str">
        <x:v>12738.26</x:v>
      </x:c>
      <x:c r="F447" s="17" t="str">
        <x:v>16581.99</x:v>
      </x:c>
      <x:c r="G447" s="18" t="n">
        <x:v>3843.73</x:v>
      </x:c>
      <x:c r="H447" s="18" t="n">
        <x:f>IFERROR(G447/1000,"")</x:f>
        <x:v>3.84373</x:v>
      </x:c>
      <x:c r="I447" s="19" t="n">
        <x:f>IFERROR(G447/J447,"")</x:f>
        <x:v>0.04206382418975488</x:v>
      </x:c>
      <x:c r="J447" s="17" t="n">
        <x:v>91378.52</x:v>
      </x:c>
      <x:c r="K447" s="17" t="str"/>
      <x:c r="L447" s="17" t="str">
        <x:v>已定位指数估值视图，并确认了可用字段与时间口径。</x:v>
      </x:c>
      <x:c r="M447" s="17" t="str"/>
      <x:c r="N447" s="18" t="n">
        <x:v>0</x:v>
      </x:c>
      <x:c r="O447" s="17" t="str">
        <x:v>public_sse_client_estimate</x:v>
      </x:c>
    </x:row>
    <x:row r="448" ht="48" customHeight="1">
      <x:c r="A448" s="17" t="str">
        <x:v>BUS091</x:v>
      </x:c>
      <x:c r="B448" s="17" t="str">
        <x:v>当前市场规模最大的指数前20名。</x:v>
      </x:c>
      <x:c r="C448" s="17" t="n">
        <x:v>6</x:v>
      </x:c>
      <x:c r="D448" s="17" t="str">
        <x:v>数据口径</x:v>
      </x:c>
      <x:c r="E448" s="17" t="str">
        <x:v>16581.99</x:v>
      </x:c>
      <x:c r="F448" s="17" t="str">
        <x:v>16946.7</x:v>
      </x:c>
      <x:c r="G448" s="18" t="n">
        <x:v>364.71</x:v>
      </x:c>
      <x:c r="H448" s="18" t="n">
        <x:f>IFERROR(G448/1000,"")</x:f>
        <x:v>0.36471</x:v>
      </x:c>
      <x:c r="I448" s="19" t="n">
        <x:f>IFERROR(G448/J448,"")</x:f>
        <x:v>0.003991200557855391</x:v>
      </x:c>
      <x:c r="J448" s="17" t="n">
        <x:v>91378.52</x:v>
      </x:c>
      <x:c r="K448" s="17" t="str"/>
      <x:c r="L448" s="17" t="str">
        <x:v>已定位个股估值视图，并确认了可用字段与时间口径。</x:v>
      </x:c>
      <x:c r="M448" s="17" t="str"/>
      <x:c r="N448" s="18" t="n">
        <x:v>0</x:v>
      </x:c>
      <x:c r="O448" s="17" t="str">
        <x:v>public_sse_client_estimate</x:v>
      </x:c>
    </x:row>
    <x:row r="449" ht="48" customHeight="1">
      <x:c r="A449" s="17" t="str">
        <x:v>BUS091</x:v>
      </x:c>
      <x:c r="B449" s="17" t="str">
        <x:v>当前市场规模最大的指数前20名。</x:v>
      </x:c>
      <x:c r="C449" s="17" t="n">
        <x:v>7</x:v>
      </x:c>
      <x:c r="D449" s="17" t="str">
        <x:v>数据查询 1/1</x:v>
      </x:c>
      <x:c r="E449" s="17" t="str">
        <x:v>20333.35</x:v>
      </x:c>
      <x:c r="F449" s="17" t="str">
        <x:v>20954.59</x:v>
      </x:c>
      <x:c r="G449" s="18" t="n">
        <x:v>621.24</x:v>
      </x:c>
      <x:c r="H449" s="18" t="n">
        <x:f>IFERROR(G449/1000,"")</x:f>
        <x:v>0.62124</x:v>
      </x:c>
      <x:c r="I449" s="19" t="n">
        <x:f>IFERROR(G449/J449,"")</x:f>
        <x:v>0.006798534272605859</x:v>
      </x:c>
      <x:c r="J449" s="17" t="n">
        <x:v>91378.52</x:v>
      </x:c>
      <x:c r="K449" s="17" t="str"/>
      <x:c r="L449" s="17" t="str">
        <x:v>已完成：获取当前市场规模（总市值）最大的前20只指数，当前条件下没有匹配记录。</x:v>
      </x:c>
      <x:c r="M449" s="17" t="str"/>
      <x:c r="N449" s="18" t="n">
        <x:v>3386.65</x:v>
      </x:c>
      <x:c r="O449" s="17" t="str">
        <x:v>public_sse_client_estimate</x:v>
      </x:c>
    </x:row>
    <x:row r="450" ht="48" customHeight="1">
      <x:c r="A450" s="17" t="str">
        <x:v>BUS091</x:v>
      </x:c>
      <x:c r="B450" s="17" t="str">
        <x:v>当前市场规模最大的指数前20名。</x:v>
      </x:c>
      <x:c r="C450" s="17" t="n">
        <x:v>8</x:v>
      </x:c>
      <x:c r="D450" s="17" t="str">
        <x:v>数据查询 1/1</x:v>
      </x:c>
      <x:c r="E450" s="17" t="str">
        <x:v>25754.36</x:v>
      </x:c>
      <x:c r="F450" s="17" t="str">
        <x:v>29803.08</x:v>
      </x:c>
      <x:c r="G450" s="18" t="n">
        <x:v>4048.72</x:v>
      </x:c>
      <x:c r="H450" s="18" t="n">
        <x:f>IFERROR(G450/1000,"")</x:f>
        <x:v>4.048719999999999</x:v>
      </x:c>
      <x:c r="I450" s="19" t="n">
        <x:f>IFERROR(G450/J450,"")</x:f>
        <x:v>0.04430713038468997</x:v>
      </x:c>
      <x:c r="J450" s="17" t="n">
        <x:v>91378.52</x:v>
      </x:c>
      <x:c r="K450" s="17" t="str"/>
      <x:c r="L450" s="17" t="str">
        <x:v>已完成：查看指数估值数据是否有记录，测试market_value字段，取得 5 条记录。</x:v>
      </x:c>
      <x:c r="M450" s="17" t="str"/>
      <x:c r="N450" s="18" t="n">
        <x:v>4799.77</x:v>
      </x:c>
      <x:c r="O450" s="17" t="str">
        <x:v>public_sse_client_estimate</x:v>
      </x:c>
    </x:row>
    <x:row r="451" ht="48" customHeight="1">
      <x:c r="A451" s="17" t="str">
        <x:v>BUS091</x:v>
      </x:c>
      <x:c r="B451" s="17" t="str">
        <x:v>当前市场规模最大的指数前20名。</x:v>
      </x:c>
      <x:c r="C451" s="17" t="n">
        <x:v>9</x:v>
      </x:c>
      <x:c r="D451" s="17" t="str">
        <x:v>数据查询 1/1</x:v>
      </x:c>
      <x:c r="E451" s="17" t="str">
        <x:v>30864.86</x:v>
      </x:c>
      <x:c r="F451" s="17" t="str">
        <x:v>31836.91</x:v>
      </x:c>
      <x:c r="G451" s="18" t="n">
        <x:v>972.05</x:v>
      </x:c>
      <x:c r="H451" s="18" t="n">
        <x:f>IFERROR(G451/1000,"")</x:f>
        <x:v>0.97205</x:v>
      </x:c>
      <x:c r="I451" s="19" t="n">
        <x:f>IFERROR(G451/J451,"")</x:f>
        <x:v>0.010637620307266959</x:v>
      </x:c>
      <x:c r="J451" s="17" t="n">
        <x:v>91378.52</x:v>
      </x:c>
      <x:c r="K451" s="17" t="str"/>
      <x:c r="L451" s="17" t="str">
        <x:v>已完成：获取指数成交额排名前20，作为市场规模参考，取得 20 条记录。</x:v>
      </x:c>
      <x:c r="M451" s="17" t="str"/>
      <x:c r="N451" s="18" t="n">
        <x:v>1061.78</x:v>
      </x:c>
      <x:c r="O451" s="17" t="str">
        <x:v>public_sse_client_estimate</x:v>
      </x:c>
    </x:row>
    <x:row r="452" ht="48" customHeight="1">
      <x:c r="A452" s="17" t="str">
        <x:v>BUS091</x:v>
      </x:c>
      <x:c r="B452" s="17" t="str">
        <x:v>当前市场规模最大的指数前20名。</x:v>
      </x:c>
      <x:c r="C452" s="17" t="n">
        <x:v>10</x:v>
      </x:c>
      <x:c r="D452" s="17" t="str">
        <x:v>数据查询 1/1</x:v>
      </x:c>
      <x:c r="E452" s="17" t="str">
        <x:v>37725.33</x:v>
      </x:c>
      <x:c r="F452" s="17" t="str">
        <x:v>38327.12</x:v>
      </x:c>
      <x:c r="G452" s="18" t="n">
        <x:v>601.79</x:v>
      </x:c>
      <x:c r="H452" s="18" t="n">
        <x:f>IFERROR(G452/1000,"")</x:f>
        <x:v>0.6017899999999999</x:v>
      </x:c>
      <x:c r="I452" s="19" t="n">
        <x:f>IFERROR(G452/J452,"")</x:f>
        <x:v>0.006585683375042624</x:v>
      </x:c>
      <x:c r="J452" s="17" t="n">
        <x:v>91378.52</x:v>
      </x:c>
      <x:c r="K452" s="17" t="str"/>
      <x:c r="L452" s="17" t="str">
        <x:v>已完成：获取所有指数的基本信息，了解有哪些主要指数，取得 100 条记录。</x:v>
      </x:c>
      <x:c r="M452" s="17" t="str"/>
      <x:c r="N452" s="18" t="n">
        <x:v>5888.42</x:v>
      </x:c>
      <x:c r="O452" s="17" t="str">
        <x:v>public_sse_client_estimate</x:v>
      </x:c>
    </x:row>
    <x:row r="453" ht="48" customHeight="1">
      <x:c r="A453" s="17" t="str">
        <x:v>BUS091</x:v>
      </x:c>
      <x:c r="B453" s="17" t="str">
        <x:v>当前市场规模最大的指数前20名。</x:v>
      </x:c>
      <x:c r="C453" s="17" t="n">
        <x:v>11</x:v>
      </x:c>
      <x:c r="D453" s="17" t="str">
        <x:v>数据查询 1/1</x:v>
      </x:c>
      <x:c r="E453" s="17" t="str">
        <x:v>43488.05</x:v>
      </x:c>
      <x:c r="F453" s="17" t="str">
        <x:v>44105.62</x:v>
      </x:c>
      <x:c r="G453" s="18" t="n">
        <x:v>617.57</x:v>
      </x:c>
      <x:c r="H453" s="18" t="n">
        <x:f>IFERROR(G453/1000,"")</x:f>
        <x:v>0.6175700000000001</x:v>
      </x:c>
      <x:c r="I453" s="19" t="n">
        <x:f>IFERROR(G453/J453,"")</x:f>
        <x:v>0.006758371661086216</x:v>
      </x:c>
      <x:c r="J453" s="17" t="n">
        <x:v>91378.52</x:v>
      </x:c>
      <x:c r="K453" s="17" t="str"/>
      <x:c r="L453" s="17" t="str">
        <x:v>已完成：获取更多指数信息，特别是中证系列指数，取得 200 条记录。</x:v>
      </x:c>
      <x:c r="M453" s="17" t="str"/>
      <x:c r="N453" s="18" t="n">
        <x:v>5160.93</x:v>
      </x:c>
      <x:c r="O453" s="17" t="str">
        <x:v>public_sse_client_estimate</x:v>
      </x:c>
    </x:row>
    <x:row r="454" ht="48" customHeight="1">
      <x:c r="A454" s="17" t="str">
        <x:v>BUS091</x:v>
      </x:c>
      <x:c r="B454" s="17" t="str">
        <x:v>当前市场规模最大的指数前20名。</x:v>
      </x:c>
      <x:c r="C454" s="17" t="n">
        <x:v>12</x:v>
      </x:c>
      <x:c r="D454" s="17" t="str">
        <x:v>数据查询 1/1</x:v>
      </x:c>
      <x:c r="E454" s="17" t="str">
        <x:v>51663.36</x:v>
      </x:c>
      <x:c r="F454" s="17" t="str">
        <x:v>52167.58</x:v>
      </x:c>
      <x:c r="G454" s="18" t="n">
        <x:v>504.22</x:v>
      </x:c>
      <x:c r="H454" s="18" t="n">
        <x:f>IFERROR(G454/1000,"")</x:f>
        <x:v>0.50422</x:v>
      </x:c>
      <x:c r="I454" s="19" t="n">
        <x:f>IFERROR(G454/J454,"")</x:f>
        <x:v>0.005517926970145719</x:v>
      </x:c>
      <x:c r="J454" s="17" t="n">
        <x:v>91378.52</x:v>
      </x:c>
      <x:c r="K454" s="17" t="str"/>
      <x:c r="L454" s="17" t="str">
        <x:v>第 1 步的数据源查询未完成。</x:v>
      </x:c>
      <x:c r="M454" s="17" t="str"/>
      <x:c r="N454" s="18" t="n">
        <x:v>7557.74</x:v>
      </x:c>
      <x:c r="O454" s="17" t="str">
        <x:v>public_sse_client_estimate</x:v>
      </x:c>
    </x:row>
    <x:row r="455" ht="48" customHeight="1">
      <x:c r="A455" s="17" t="str">
        <x:v>BUS091</x:v>
      </x:c>
      <x:c r="B455" s="17" t="str">
        <x:v>当前市场规模最大的指数前20名。</x:v>
      </x:c>
      <x:c r="C455" s="17" t="n">
        <x:v>13</x:v>
      </x:c>
      <x:c r="D455" s="17" t="str">
        <x:v>数据查询 1/1</x:v>
      </x:c>
      <x:c r="E455" s="17" t="str">
        <x:v>70577.93</x:v>
      </x:c>
      <x:c r="F455" s="17" t="str">
        <x:v>72971.28</x:v>
      </x:c>
      <x:c r="G455" s="18" t="n">
        <x:v>2393.35</x:v>
      </x:c>
      <x:c r="H455" s="18" t="n">
        <x:f>IFERROR(G455/1000,"")</x:f>
        <x:v>2.39335</x:v>
      </x:c>
      <x:c r="I455" s="19" t="n">
        <x:f>IFERROR(G455/J455,"")</x:f>
        <x:v>0.02619160389115516</x:v>
      </x:c>
      <x:c r="J455" s="17" t="n">
        <x:v>91378.52</x:v>
      </x:c>
      <x:c r="K455" s="17" t="str"/>
      <x:c r="L455" s="17" t="str">
        <x:v>已完成：获取主要宽基指数的成分股数量，了解覆盖范围，取得 5 条记录。</x:v>
      </x:c>
      <x:c r="M455" s="17" t="str"/>
      <x:c r="N455" s="18" t="n">
        <x:v>18410.35</x:v>
      </x:c>
      <x:c r="O455" s="17" t="str">
        <x:v>public_sse_client_estimate</x:v>
      </x:c>
    </x:row>
    <x:row r="456" ht="48" customHeight="1">
      <x:c r="A456" s="17" t="str">
        <x:v>BUS091</x:v>
      </x:c>
      <x:c r="B456" s="17" t="str">
        <x:v>当前市场规模最大的指数前20名。</x:v>
      </x:c>
      <x:c r="C456" s="17" t="n">
        <x:v>14</x:v>
      </x:c>
      <x:c r="D456" s="17" t="str">
        <x:v>回答整理</x:v>
      </x:c>
      <x:c r="E456" s="17" t="str">
        <x:v>72971.28</x:v>
      </x:c>
      <x:c r="F456" s="17" t="str">
        <x:v>84341.24</x:v>
      </x:c>
      <x:c r="G456" s="18" t="n">
        <x:v>11369.96</x:v>
      </x:c>
      <x:c r="H456" s="18" t="n">
        <x:f>IFERROR(G456/1000,"")</x:f>
        <x:v>11.369959999999999</x:v>
      </x:c>
      <x:c r="I456" s="19" t="n">
        <x:f>IFERROR(G456/J456,"")</x:f>
        <x:v>0.12442705353511961</x:v>
      </x:c>
      <x:c r="J456" s="17" t="n">
        <x:v>91378.52</x:v>
      </x:c>
      <x:c r="K456" s="17" t="str"/>
      <x:c r="L456" s="17" t="str">
        <x:v>证据与回答已整理完成。</x:v>
      </x:c>
      <x:c r="M456" s="17" t="str"/>
      <x:c r="N456" s="18" t="n">
        <x:v>0</x:v>
      </x:c>
      <x:c r="O456" s="17" t="str">
        <x:v>public_sse_client_estimate</x:v>
      </x:c>
    </x:row>
    <x:row r="457" ht="48" customHeight="1">
      <x:c r="A457" s="17" t="str">
        <x:v>BUS092</x:v>
      </x:c>
      <x:c r="B457" s="17" t="str">
        <x:v>筛选PS_TTM低于2的指数。</x:v>
      </x:c>
      <x:c r="C457" s="17" t="n">
        <x:v>1</x:v>
      </x:c>
      <x:c r="D457" s="17" t="str">
        <x:v>问题理解</x:v>
      </x:c>
      <x:c r="E457" s="17" t="str">
        <x:v>5475.36</x:v>
      </x:c>
      <x:c r="F457" s="17" t="str">
        <x:v>9438.15</x:v>
      </x:c>
      <x:c r="G457" s="18" t="n">
        <x:v>3962.79</x:v>
      </x:c>
      <x:c r="H457" s="18" t="n">
        <x:f>IFERROR(G457/1000,"")</x:f>
        <x:v>3.96279</x:v>
      </x:c>
      <x:c r="I457" s="19" t="n">
        <x:f>IFERROR(G457/J457,"")</x:f>
        <x:v>0.19231233994354074</x:v>
      </x:c>
      <x:c r="J457" s="17" t="n">
        <x:v>20606.01</x:v>
      </x:c>
      <x:c r="K457" s="17" t="str"/>
      <x:c r="L457" s="17" t="str">
        <x:v>已明确本题的对象与口径，开始获取所需证据。</x:v>
      </x:c>
      <x:c r="M457" s="17" t="str"/>
      <x:c r="N457" s="18" t="n">
        <x:v>5475.36</x:v>
      </x:c>
      <x:c r="O457" s="17" t="str">
        <x:v>public_sse_client_estimate</x:v>
      </x:c>
    </x:row>
    <x:row r="458" ht="48" customHeight="1">
      <x:c r="A458" s="17" t="str">
        <x:v>BUS092</x:v>
      </x:c>
      <x:c r="B458" s="17" t="str">
        <x:v>筛选PS_TTM低于2的指数。</x:v>
      </x:c>
      <x:c r="C458" s="17" t="n">
        <x:v>2</x:v>
      </x:c>
      <x:c r="D458" s="17" t="str">
        <x:v>数据口径</x:v>
      </x:c>
      <x:c r="E458" s="17" t="str">
        <x:v>9438.15</x:v>
      </x:c>
      <x:c r="F458" s="17" t="str">
        <x:v>9473.55</x:v>
      </x:c>
      <x:c r="G458" s="18" t="n">
        <x:v>35.4</x:v>
      </x:c>
      <x:c r="H458" s="18" t="n">
        <x:f>IFERROR(G458/1000,"")</x:f>
        <x:v>0.0354</x:v>
      </x:c>
      <x:c r="I458" s="19" t="n">
        <x:f>IFERROR(G458/J458,"")</x:f>
        <x:v>0.0017179453955423686</x:v>
      </x:c>
      <x:c r="J458" s="17" t="n">
        <x:v>20606.01</x:v>
      </x:c>
      <x:c r="K458" s="17" t="str"/>
      <x:c r="L458" s="17" t="str">
        <x:v>已定位指数估值视图，并确认了可用字段与时间口径。</x:v>
      </x:c>
      <x:c r="M458" s="17" t="str"/>
      <x:c r="N458" s="18" t="n">
        <x:v>0</x:v>
      </x:c>
      <x:c r="O458" s="17" t="str">
        <x:v>public_sse_client_estimate</x:v>
      </x:c>
    </x:row>
    <x:row r="459" ht="48" customHeight="1">
      <x:c r="A459" s="17" t="str">
        <x:v>BUS092</x:v>
      </x:c>
      <x:c r="B459" s="17" t="str">
        <x:v>筛选PS_TTM低于2的指数。</x:v>
      </x:c>
      <x:c r="C459" s="17" t="n">
        <x:v>3</x:v>
      </x:c>
      <x:c r="D459" s="17" t="str">
        <x:v>数据查询 1/1</x:v>
      </x:c>
      <x:c r="E459" s="17" t="str">
        <x:v>12888.54</x:v>
      </x:c>
      <x:c r="F459" s="17" t="str">
        <x:v>13491.52</x:v>
      </x:c>
      <x:c r="G459" s="18" t="n">
        <x:v>602.98</x:v>
      </x:c>
      <x:c r="H459" s="18" t="n">
        <x:f>IFERROR(G459/1000,"")</x:f>
        <x:v>0.6029800000000001</x:v>
      </x:c>
      <x:c r="I459" s="19" t="n">
        <x:f>IFERROR(G459/J459,"")</x:f>
        <x:v>0.029262336570738345</x:v>
      </x:c>
      <x:c r="J459" s="17" t="n">
        <x:v>20606.01</x:v>
      </x:c>
      <x:c r="K459" s="17" t="str"/>
      <x:c r="L459" s="17" t="str">
        <x:v>已完成：筛选出所有PS_TTM低于2的指数及其估值数据，当前条件下没有匹配记录。</x:v>
      </x:c>
      <x:c r="M459" s="17" t="str"/>
      <x:c r="N459" s="18" t="n">
        <x:v>3414.99</x:v>
      </x:c>
      <x:c r="O459" s="17" t="str">
        <x:v>public_sse_client_estimate</x:v>
      </x:c>
    </x:row>
    <x:row r="460" ht="48" customHeight="1">
      <x:c r="A460" s="17" t="str">
        <x:v>BUS092</x:v>
      </x:c>
      <x:c r="B460" s="17" t="str">
        <x:v>筛选PS_TTM低于2的指数。</x:v>
      </x:c>
      <x:c r="C460" s="17" t="n">
        <x:v>4</x:v>
      </x:c>
      <x:c r="D460" s="17" t="str">
        <x:v>回答整理</x:v>
      </x:c>
      <x:c r="E460" s="17" t="str">
        <x:v>13491.52</x:v>
      </x:c>
      <x:c r="F460" s="17" t="str">
        <x:v>17955.36</x:v>
      </x:c>
      <x:c r="G460" s="18" t="n">
        <x:v>4463.84</x:v>
      </x:c>
      <x:c r="H460" s="18" t="n">
        <x:f>IFERROR(G460/1000,"")</x:f>
        <x:v>4.46384</x:v>
      </x:c>
      <x:c r="I460" s="19" t="n">
        <x:f>IFERROR(G460/J460,"")</x:f>
        <x:v>0.21662806142479793</x:v>
      </x:c>
      <x:c r="J460" s="17" t="n">
        <x:v>20606.01</x:v>
      </x:c>
      <x:c r="K460" s="17" t="str"/>
      <x:c r="L460" s="17" t="str">
        <x:v>证据与回答已整理完成。</x:v>
      </x:c>
      <x:c r="M460" s="17" t="str"/>
      <x:c r="N460" s="18" t="n">
        <x:v>0</x:v>
      </x:c>
      <x:c r="O460" s="17" t="str">
        <x:v>public_sse_client_estimate</x:v>
      </x:c>
    </x:row>
    <x:row r="461" ht="48" customHeight="1">
      <x:c r="A461" s="17" t="str">
        <x:v>BUS093</x:v>
      </x:c>
      <x:c r="B461" s="17" t="str">
        <x:v>列出沪深300当前成分股和权重。</x:v>
      </x:c>
      <x:c r="C461" s="17" t="n">
        <x:v>1</x:v>
      </x:c>
      <x:c r="D461" s="17" t="str">
        <x:v>问题理解</x:v>
      </x:c>
      <x:c r="E461" s="17" t="str">
        <x:v>5711.63</x:v>
      </x:c>
      <x:c r="F461" s="17" t="str">
        <x:v>10002.22</x:v>
      </x:c>
      <x:c r="G461" s="18" t="n">
        <x:v>4290.59</x:v>
      </x:c>
      <x:c r="H461" s="18" t="n">
        <x:f>IFERROR(G461/1000,"")</x:f>
        <x:v>4.29059</x:v>
      </x:c>
      <x:c r="I461" s="19" t="n">
        <x:f>IFERROR(G461/J461,"")</x:f>
        <x:v>0.10170359729965488</x:v>
      </x:c>
      <x:c r="J461" s="17" t="n">
        <x:v>42187.2</x:v>
      </x:c>
      <x:c r="K461" s="17" t="str"/>
      <x:c r="L461" s="17" t="str">
        <x:v>已明确本题的对象与口径，开始获取所需证据。</x:v>
      </x:c>
      <x:c r="M461" s="17" t="str"/>
      <x:c r="N461" s="18" t="n">
        <x:v>5711.63</x:v>
      </x:c>
      <x:c r="O461" s="17" t="str">
        <x:v>public_sse_client_estimate</x:v>
      </x:c>
    </x:row>
    <x:row r="462" ht="48" customHeight="1">
      <x:c r="A462" s="17" t="str">
        <x:v>BUS093</x:v>
      </x:c>
      <x:c r="B462" s="17" t="str">
        <x:v>列出沪深300当前成分股和权重。</x:v>
      </x:c>
      <x:c r="C462" s="17" t="n">
        <x:v>2</x:v>
      </x:c>
      <x:c r="D462" s="17" t="str">
        <x:v>数据口径</x:v>
      </x:c>
      <x:c r="E462" s="17" t="str">
        <x:v>10002.22</x:v>
      </x:c>
      <x:c r="F462" s="17" t="str">
        <x:v>10082.53</x:v>
      </x:c>
      <x:c r="G462" s="18" t="n">
        <x:v>80.31</x:v>
      </x:c>
      <x:c r="H462" s="18" t="n">
        <x:f>IFERROR(G462/1000,"")</x:f>
        <x:v>0.08031</x:v>
      </x:c>
      <x:c r="I462" s="19" t="n">
        <x:f>IFERROR(G462/J462,"")</x:f>
        <x:v>0.001903657981567869</x:v>
      </x:c>
      <x:c r="J462" s="17" t="n">
        <x:v>42187.2</x:v>
      </x:c>
      <x:c r="K462" s="17" t="str"/>
      <x:c r="L462" s="17" t="str">
        <x:v>已定位指数成分关系视图，并确认了可用字段与时间口径。</x:v>
      </x:c>
      <x:c r="M462" s="17" t="str"/>
      <x:c r="N462" s="18" t="n">
        <x:v>0</x:v>
      </x:c>
      <x:c r="O462" s="17" t="str">
        <x:v>public_sse_client_estimate</x:v>
      </x:c>
    </x:row>
    <x:row r="463" ht="48" customHeight="1">
      <x:c r="A463" s="17" t="str">
        <x:v>BUS093</x:v>
      </x:c>
      <x:c r="B463" s="17" t="str">
        <x:v>列出沪深300当前成分股和权重。</x:v>
      </x:c>
      <x:c r="C463" s="17" t="n">
        <x:v>3</x:v>
      </x:c>
      <x:c r="D463" s="17" t="str">
        <x:v>数据查询 1/1</x:v>
      </x:c>
      <x:c r="E463" s="17" t="str">
        <x:v>13007.02</x:v>
      </x:c>
      <x:c r="F463" s="17" t="str">
        <x:v>13657.87</x:v>
      </x:c>
      <x:c r="G463" s="18" t="n">
        <x:v>650.85</x:v>
      </x:c>
      <x:c r="H463" s="18" t="n">
        <x:f>IFERROR(G463/1000,"")</x:f>
        <x:v>0.65085</x:v>
      </x:c>
      <x:c r="I463" s="19" t="n">
        <x:f>IFERROR(G463/J463,"")</x:f>
        <x:v>0.01542766526339743</x:v>
      </x:c>
      <x:c r="J463" s="17" t="n">
        <x:v>42187.2</x:v>
      </x:c>
      <x:c r="K463" s="17" t="str"/>
      <x:c r="L463" s="17" t="str">
        <x:v>已完成：查询沪深300指数当前所有成分股及权重，取得 100 条记录。</x:v>
      </x:c>
      <x:c r="M463" s="17" t="str"/>
      <x:c r="N463" s="18" t="n">
        <x:v>2924.49</x:v>
      </x:c>
      <x:c r="O463" s="17" t="str">
        <x:v>public_sse_client_estimate</x:v>
      </x:c>
    </x:row>
    <x:row r="464" ht="48" customHeight="1">
      <x:c r="A464" s="17" t="str">
        <x:v>BUS093</x:v>
      </x:c>
      <x:c r="B464" s="17" t="str">
        <x:v>列出沪深300当前成分股和权重。</x:v>
      </x:c>
      <x:c r="C464" s="17" t="n">
        <x:v>4</x:v>
      </x:c>
      <x:c r="D464" s="17" t="str">
        <x:v>回答整理</x:v>
      </x:c>
      <x:c r="E464" s="17" t="str">
        <x:v>13657.87</x:v>
      </x:c>
      <x:c r="F464" s="17" t="str">
        <x:v>38862.48</x:v>
      </x:c>
      <x:c r="G464" s="18" t="n">
        <x:v>25204.61</x:v>
      </x:c>
      <x:c r="H464" s="18" t="n">
        <x:f>IFERROR(G464/1000,"")</x:f>
        <x:v>25.20461</x:v>
      </x:c>
      <x:c r="I464" s="19" t="n">
        <x:f>IFERROR(G464/J464,"")</x:f>
        <x:v>0.5974468559183829</x:v>
      </x:c>
      <x:c r="J464" s="17" t="n">
        <x:v>42187.2</x:v>
      </x:c>
      <x:c r="K464" s="17" t="str"/>
      <x:c r="L464" s="17" t="str">
        <x:v>证据与回答已整理完成。</x:v>
      </x:c>
      <x:c r="M464" s="17" t="str"/>
      <x:c r="N464" s="18" t="n">
        <x:v>0</x:v>
      </x:c>
      <x:c r="O464" s="17" t="str">
        <x:v>public_sse_client_estimate</x:v>
      </x:c>
    </x:row>
    <x:row r="465" ht="48" customHeight="1">
      <x:c r="A465" s="17" t="str">
        <x:v>BUS094</x:v>
      </x:c>
      <x:c r="B465" s="17" t="str">
        <x:v>查询沪深300前10大权重股。</x:v>
      </x:c>
      <x:c r="C465" s="17" t="n">
        <x:v>1</x:v>
      </x:c>
      <x:c r="D465" s="17" t="str">
        <x:v>问题理解</x:v>
      </x:c>
      <x:c r="E465" s="17" t="str">
        <x:v>6443.35</x:v>
      </x:c>
      <x:c r="F465" s="17" t="str">
        <x:v>10942.18</x:v>
      </x:c>
      <x:c r="G465" s="18" t="n">
        <x:v>4498.83</x:v>
      </x:c>
      <x:c r="H465" s="18" t="n">
        <x:f>IFERROR(G465/1000,"")</x:f>
        <x:v>4.49883</x:v>
      </x:c>
      <x:c r="I465" s="19" t="n">
        <x:f>IFERROR(G465/J465,"")</x:f>
        <x:v>0.15463903705633694</x:v>
      </x:c>
      <x:c r="J465" s="17" t="n">
        <x:v>29092.46</x:v>
      </x:c>
      <x:c r="K465" s="17" t="str"/>
      <x:c r="L465" s="17" t="str">
        <x:v>已明确本题的对象与口径，开始获取所需证据。</x:v>
      </x:c>
      <x:c r="M465" s="17" t="str"/>
      <x:c r="N465" s="18" t="n">
        <x:v>6443.35</x:v>
      </x:c>
      <x:c r="O465" s="17" t="str">
        <x:v>public_sse_client_estimate</x:v>
      </x:c>
    </x:row>
    <x:row r="466" ht="48" customHeight="1">
      <x:c r="A466" s="17" t="str">
        <x:v>BUS094</x:v>
      </x:c>
      <x:c r="B466" s="17" t="str">
        <x:v>查询沪深300前10大权重股。</x:v>
      </x:c>
      <x:c r="C466" s="17" t="n">
        <x:v>2</x:v>
      </x:c>
      <x:c r="D466" s="17" t="str">
        <x:v>数据口径</x:v>
      </x:c>
      <x:c r="E466" s="17" t="str">
        <x:v>10942.18</x:v>
      </x:c>
      <x:c r="F466" s="17" t="str">
        <x:v>11104.12</x:v>
      </x:c>
      <x:c r="G466" s="18" t="n">
        <x:v>161.94</x:v>
      </x:c>
      <x:c r="H466" s="18" t="n">
        <x:f>IFERROR(G466/1000,"")</x:f>
        <x:v>0.16194</x:v>
      </x:c>
      <x:c r="I466" s="19" t="n">
        <x:f>IFERROR(G466/J466,"")</x:f>
        <x:v>0.005566390741793578</x:v>
      </x:c>
      <x:c r="J466" s="17" t="n">
        <x:v>29092.46</x:v>
      </x:c>
      <x:c r="K466" s="17" t="str"/>
      <x:c r="L466" s="17" t="str">
        <x:v>已定位指数成分关系视图，并确认了可用字段与时间口径。</x:v>
      </x:c>
      <x:c r="M466" s="17" t="str"/>
      <x:c r="N466" s="18" t="n">
        <x:v>0</x:v>
      </x:c>
      <x:c r="O466" s="17" t="str">
        <x:v>public_sse_client_estimate</x:v>
      </x:c>
    </x:row>
    <x:row r="467" ht="48" customHeight="1">
      <x:c r="A467" s="17" t="str">
        <x:v>BUS094</x:v>
      </x:c>
      <x:c r="B467" s="17" t="str">
        <x:v>查询沪深300前10大权重股。</x:v>
      </x:c>
      <x:c r="C467" s="17" t="n">
        <x:v>3</x:v>
      </x:c>
      <x:c r="D467" s="17" t="str">
        <x:v>数据查询 1/1</x:v>
      </x:c>
      <x:c r="E467" s="17" t="str">
        <x:v>14716.26</x:v>
      </x:c>
      <x:c r="F467" s="17" t="str">
        <x:v>15382.25</x:v>
      </x:c>
      <x:c r="G467" s="18" t="n">
        <x:v>665.99</x:v>
      </x:c>
      <x:c r="H467" s="18" t="n">
        <x:f>IFERROR(G467/1000,"")</x:f>
        <x:v>0.66599</x:v>
      </x:c>
      <x:c r="I467" s="19" t="n">
        <x:f>IFERROR(G467/J467,"")</x:f>
        <x:v>0.02289218581034399</x:v>
      </x:c>
      <x:c r="J467" s="17" t="n">
        <x:v>29092.46</x:v>
      </x:c>
      <x:c r="K467" s="17" t="str"/>
      <x:c r="L467" s="17" t="str">
        <x:v>已完成：查询沪深300指数前10大权重股，取得 10 条记录。</x:v>
      </x:c>
      <x:c r="M467" s="17" t="str"/>
      <x:c r="N467" s="18" t="n">
        <x:v>3612.14</x:v>
      </x:c>
      <x:c r="O467" s="17" t="str">
        <x:v>public_sse_client_estimate</x:v>
      </x:c>
    </x:row>
    <x:row r="468" ht="48" customHeight="1">
      <x:c r="A468" s="17" t="str">
        <x:v>BUS094</x:v>
      </x:c>
      <x:c r="B468" s="17" t="str">
        <x:v>查询沪深300前10大权重股。</x:v>
      </x:c>
      <x:c r="C468" s="17" t="n">
        <x:v>4</x:v>
      </x:c>
      <x:c r="D468" s="17" t="str">
        <x:v>回答整理</x:v>
      </x:c>
      <x:c r="E468" s="17" t="str">
        <x:v>15382.25</x:v>
      </x:c>
      <x:c r="F468" s="17" t="str">
        <x:v>23857.59</x:v>
      </x:c>
      <x:c r="G468" s="18" t="n">
        <x:v>8475.34</x:v>
      </x:c>
      <x:c r="H468" s="18" t="n">
        <x:f>IFERROR(G468/1000,"")</x:f>
        <x:v>8.475340000000001</x:v>
      </x:c>
      <x:c r="I468" s="19" t="n">
        <x:f>IFERROR(G468/J468,"")</x:f>
        <x:v>0.2913242812742546</x:v>
      </x:c>
      <x:c r="J468" s="17" t="n">
        <x:v>29092.46</x:v>
      </x:c>
      <x:c r="K468" s="17" t="str"/>
      <x:c r="L468" s="17" t="str">
        <x:v>证据与回答已整理完成。</x:v>
      </x:c>
      <x:c r="M468" s="17" t="str"/>
      <x:c r="N468" s="18" t="n">
        <x:v>0</x:v>
      </x:c>
      <x:c r="O468" s="17" t="str">
        <x:v>public_sse_client_estimate</x:v>
      </x:c>
    </x:row>
    <x:row r="469" ht="48" customHeight="1">
      <x:c r="A469" s="17" t="str">
        <x:v>BUS096</x:v>
      </x:c>
      <x:c r="B469" s="17" t="str">
        <x:v>查询中证500当前成分股数量。</x:v>
      </x:c>
      <x:c r="C469" s="17" t="n">
        <x:v>1</x:v>
      </x:c>
      <x:c r="D469" s="17" t="str">
        <x:v>问题理解</x:v>
      </x:c>
      <x:c r="E469" s="17" t="str">
        <x:v>6564.72</x:v>
      </x:c>
      <x:c r="F469" s="17" t="str">
        <x:v>10131.05</x:v>
      </x:c>
      <x:c r="G469" s="18" t="n">
        <x:v>3566.33</x:v>
      </x:c>
      <x:c r="H469" s="18" t="n">
        <x:f>IFERROR(G469/1000,"")</x:f>
        <x:v>3.56633</x:v>
      </x:c>
      <x:c r="I469" s="19" t="n">
        <x:f>IFERROR(G469/J469,"")</x:f>
        <x:v>0.1664909787605926</x:v>
      </x:c>
      <x:c r="J469" s="17" t="n">
        <x:v>21420.56</x:v>
      </x:c>
      <x:c r="K469" s="17" t="str"/>
      <x:c r="L469" s="17" t="str">
        <x:v>已明确本题的对象与口径，开始获取所需证据。</x:v>
      </x:c>
      <x:c r="M469" s="17" t="str"/>
      <x:c r="N469" s="18" t="n">
        <x:v>6564.72</x:v>
      </x:c>
      <x:c r="O469" s="17" t="str">
        <x:v>public_sse_client_estimate</x:v>
      </x:c>
    </x:row>
    <x:row r="470" ht="48" customHeight="1">
      <x:c r="A470" s="17" t="str">
        <x:v>BUS096</x:v>
      </x:c>
      <x:c r="B470" s="17" t="str">
        <x:v>查询中证500当前成分股数量。</x:v>
      </x:c>
      <x:c r="C470" s="17" t="n">
        <x:v>2</x:v>
      </x:c>
      <x:c r="D470" s="17" t="str">
        <x:v>数据口径</x:v>
      </x:c>
      <x:c r="E470" s="17" t="str">
        <x:v>10131.05</x:v>
      </x:c>
      <x:c r="F470" s="17" t="str">
        <x:v>10177.42</x:v>
      </x:c>
      <x:c r="G470" s="18" t="n">
        <x:v>46.37</x:v>
      </x:c>
      <x:c r="H470" s="18" t="n">
        <x:f>IFERROR(G470/1000,"")</x:f>
        <x:v>0.046369999999999995</x:v>
      </x:c>
      <x:c r="I470" s="19" t="n">
        <x:f>IFERROR(G470/J470,"")</x:f>
        <x:v>0.0021647426584552407</x:v>
      </x:c>
      <x:c r="J470" s="17" t="n">
        <x:v>21420.56</x:v>
      </x:c>
      <x:c r="K470" s="17" t="str"/>
      <x:c r="L470" s="17" t="str">
        <x:v>已定位指数成分关系视图，并确认了可用字段与时间口径。</x:v>
      </x:c>
      <x:c r="M470" s="17" t="str"/>
      <x:c r="N470" s="18" t="n">
        <x:v>0</x:v>
      </x:c>
      <x:c r="O470" s="17" t="str">
        <x:v>public_sse_client_estimate</x:v>
      </x:c>
    </x:row>
    <x:row r="471" ht="48" customHeight="1">
      <x:c r="A471" s="17" t="str">
        <x:v>BUS096</x:v>
      </x:c>
      <x:c r="B471" s="17" t="str">
        <x:v>查询中证500当前成分股数量。</x:v>
      </x:c>
      <x:c r="C471" s="17" t="n">
        <x:v>3</x:v>
      </x:c>
      <x:c r="D471" s="17" t="str">
        <x:v>数据查询 1/1</x:v>
      </x:c>
      <x:c r="E471" s="17" t="str">
        <x:v>13100.96</x:v>
      </x:c>
      <x:c r="F471" s="17" t="str">
        <x:v>15322.07</x:v>
      </x:c>
      <x:c r="G471" s="18" t="n">
        <x:v>2221.11</x:v>
      </x:c>
      <x:c r="H471" s="18" t="n">
        <x:f>IFERROR(G471/1000,"")</x:f>
        <x:v>2.22111</x:v>
      </x:c>
      <x:c r="I471" s="19" t="n">
        <x:f>IFERROR(G471/J471,"")</x:f>
        <x:v>0.1036905664464421</x:v>
      </x:c>
      <x:c r="J471" s="17" t="n">
        <x:v>21420.56</x:v>
      </x:c>
      <x:c r="K471" s="17" t="str"/>
      <x:c r="L471" s="17" t="str">
        <x:v>已完成：查询中证500指数当前成分股数量，取得 2 条记录。</x:v>
      </x:c>
      <x:c r="M471" s="17" t="str"/>
      <x:c r="N471" s="18" t="n">
        <x:v>2923.54</x:v>
      </x:c>
      <x:c r="O471" s="17" t="str">
        <x:v>public_sse_client_estimate</x:v>
      </x:c>
    </x:row>
    <x:row r="472" ht="48" customHeight="1">
      <x:c r="A472" s="17" t="str">
        <x:v>BUS096</x:v>
      </x:c>
      <x:c r="B472" s="17" t="str">
        <x:v>查询中证500当前成分股数量。</x:v>
      </x:c>
      <x:c r="C472" s="17" t="n">
        <x:v>4</x:v>
      </x:c>
      <x:c r="D472" s="17" t="str">
        <x:v>回答整理</x:v>
      </x:c>
      <x:c r="E472" s="17" t="str">
        <x:v>15322.07</x:v>
      </x:c>
      <x:c r="F472" s="17" t="str">
        <x:v>17979.3</x:v>
      </x:c>
      <x:c r="G472" s="18" t="n">
        <x:v>2657.23</x:v>
      </x:c>
      <x:c r="H472" s="18" t="n">
        <x:f>IFERROR(G472/1000,"")</x:f>
        <x:v>2.65723</x:v>
      </x:c>
      <x:c r="I472" s="19" t="n">
        <x:f>IFERROR(G472/J472,"")</x:f>
        <x:v>0.12405044499303472</x:v>
      </x:c>
      <x:c r="J472" s="17" t="n">
        <x:v>21420.56</x:v>
      </x:c>
      <x:c r="K472" s="17" t="str"/>
      <x:c r="L472" s="17" t="str">
        <x:v>证据与回答已整理完成。</x:v>
      </x:c>
      <x:c r="M472" s="17" t="str"/>
      <x:c r="N472" s="18" t="n">
        <x:v>0</x:v>
      </x:c>
      <x:c r="O472" s="17" t="str">
        <x:v>public_sse_client_estimate</x:v>
      </x:c>
    </x:row>
    <x:row r="473" ht="48" customHeight="1">
      <x:c r="A473" s="17" t="str">
        <x:v>BUS097</x:v>
      </x:c>
      <x:c r="B473" s="17" t="str">
        <x:v>查询创业板指权重最高的前20只成分股。</x:v>
      </x:c>
      <x:c r="C473" s="17" t="n">
        <x:v>1</x:v>
      </x:c>
      <x:c r="D473" s="17" t="str">
        <x:v>问题理解</x:v>
      </x:c>
      <x:c r="E473" s="17" t="str">
        <x:v>5765.07</x:v>
      </x:c>
      <x:c r="F473" s="17" t="str">
        <x:v>8119.45</x:v>
      </x:c>
      <x:c r="G473" s="18" t="n">
        <x:v>2354.38</x:v>
      </x:c>
      <x:c r="H473" s="18" t="n">
        <x:f>IFERROR(G473/1000,"")</x:f>
        <x:v>2.35438</x:v>
      </x:c>
      <x:c r="I473" s="19" t="n">
        <x:f>IFERROR(G473/J473,"")</x:f>
        <x:v>0.09790559913837019</x:v>
      </x:c>
      <x:c r="J473" s="17" t="n">
        <x:v>24047.45</x:v>
      </x:c>
      <x:c r="K473" s="17" t="str"/>
      <x:c r="L473" s="17" t="str">
        <x:v>已明确本题的对象与口径，开始获取所需证据。</x:v>
      </x:c>
      <x:c r="M473" s="17" t="str"/>
      <x:c r="N473" s="18" t="n">
        <x:v>5765.07</x:v>
      </x:c>
      <x:c r="O473" s="17" t="str">
        <x:v>public_sse_client_estimate</x:v>
      </x:c>
    </x:row>
    <x:row r="474" ht="48" customHeight="1">
      <x:c r="A474" s="17" t="str">
        <x:v>BUS097</x:v>
      </x:c>
      <x:c r="B474" s="17" t="str">
        <x:v>查询创业板指权重最高的前20只成分股。</x:v>
      </x:c>
      <x:c r="C474" s="17" t="n">
        <x:v>2</x:v>
      </x:c>
      <x:c r="D474" s="17" t="str">
        <x:v>数据口径</x:v>
      </x:c>
      <x:c r="E474" s="17" t="str">
        <x:v>8119.45</x:v>
      </x:c>
      <x:c r="F474" s="17" t="str">
        <x:v>8155.12</x:v>
      </x:c>
      <x:c r="G474" s="18" t="n">
        <x:v>35.67</x:v>
      </x:c>
      <x:c r="H474" s="18" t="n">
        <x:f>IFERROR(G474/1000,"")</x:f>
        <x:v>0.03567</x:v>
      </x:c>
      <x:c r="I474" s="19" t="n">
        <x:f>IFERROR(G474/J474,"")</x:f>
        <x:v>0.0014833173579735066</x:v>
      </x:c>
      <x:c r="J474" s="17" t="n">
        <x:v>24047.45</x:v>
      </x:c>
      <x:c r="K474" s="17" t="str"/>
      <x:c r="L474" s="17" t="str">
        <x:v>已定位指数成分关系视图，并确认了可用字段与时间口径。</x:v>
      </x:c>
      <x:c r="M474" s="17" t="str"/>
      <x:c r="N474" s="18" t="n">
        <x:v>0</x:v>
      </x:c>
      <x:c r="O474" s="17" t="str">
        <x:v>public_sse_client_estimate</x:v>
      </x:c>
    </x:row>
    <x:row r="475" ht="48" customHeight="1">
      <x:c r="A475" s="17" t="str">
        <x:v>BUS097</x:v>
      </x:c>
      <x:c r="B475" s="17" t="str">
        <x:v>查询创业板指权重最高的前20只成分股。</x:v>
      </x:c>
      <x:c r="C475" s="17" t="n">
        <x:v>3</x:v>
      </x:c>
      <x:c r="D475" s="17" t="str">
        <x:v>数据查询 1/1</x:v>
      </x:c>
      <x:c r="E475" s="17" t="str">
        <x:v>11500.76</x:v>
      </x:c>
      <x:c r="F475" s="17" t="str">
        <x:v>12240.44</x:v>
      </x:c>
      <x:c r="G475" s="18" t="n">
        <x:v>739.68</x:v>
      </x:c>
      <x:c r="H475" s="18" t="n">
        <x:f>IFERROR(G475/1000,"")</x:f>
        <x:v>0.73968</x:v>
      </x:c>
      <x:c r="I475" s="19" t="n">
        <x:f>IFERROR(G475/J475,"")</x:f>
        <x:v>0.03075918652497458</x:v>
      </x:c>
      <x:c r="J475" s="17" t="n">
        <x:v>24047.45</x:v>
      </x:c>
      <x:c r="K475" s="17" t="str"/>
      <x:c r="L475" s="17" t="str">
        <x:v>已完成：查询创业板指权重最高的前20只成分股，包括权重，取得 20 条记录。</x:v>
      </x:c>
      <x:c r="M475" s="17" t="str"/>
      <x:c r="N475" s="18" t="n">
        <x:v>3345.64</x:v>
      </x:c>
      <x:c r="O475" s="17" t="str">
        <x:v>public_sse_client_estimate</x:v>
      </x:c>
    </x:row>
    <x:row r="476" ht="48" customHeight="1">
      <x:c r="A476" s="17" t="str">
        <x:v>BUS097</x:v>
      </x:c>
      <x:c r="B476" s="17" t="str">
        <x:v>查询创业板指权重最高的前20只成分股。</x:v>
      </x:c>
      <x:c r="C476" s="17" t="n">
        <x:v>4</x:v>
      </x:c>
      <x:c r="D476" s="17" t="str">
        <x:v>回答整理</x:v>
      </x:c>
      <x:c r="E476" s="17" t="str">
        <x:v>12240.44</x:v>
      </x:c>
      <x:c r="F476" s="17" t="str">
        <x:v>20767.03</x:v>
      </x:c>
      <x:c r="G476" s="18" t="n">
        <x:v>8526.59</x:v>
      </x:c>
      <x:c r="H476" s="18" t="n">
        <x:f>IFERROR(G476/1000,"")</x:f>
        <x:v>8.52659</x:v>
      </x:c>
      <x:c r="I476" s="19" t="n">
        <x:f>IFERROR(G476/J476,"")</x:f>
        <x:v>0.35457356185375166</x:v>
      </x:c>
      <x:c r="J476" s="17" t="n">
        <x:v>24047.45</x:v>
      </x:c>
      <x:c r="K476" s="17" t="str"/>
      <x:c r="L476" s="17" t="str">
        <x:v>证据与回答已整理完成。</x:v>
      </x:c>
      <x:c r="M476" s="17" t="str"/>
      <x:c r="N476" s="18" t="n">
        <x:v>0</x:v>
      </x:c>
      <x:c r="O476" s="17" t="str">
        <x:v>public_sse_client_estimate</x:v>
      </x:c>
    </x:row>
    <x:row r="477" ht="48" customHeight="1">
      <x:c r="A477" s="17" t="str">
        <x:v>BUS098</x:v>
      </x:c>
      <x:c r="B477" s="17" t="str">
        <x:v>查询贵州茅台是否属于沪深300成分股。</x:v>
      </x:c>
      <x:c r="C477" s="17" t="n">
        <x:v>1</x:v>
      </x:c>
      <x:c r="D477" s="17" t="str">
        <x:v>问题理解</x:v>
      </x:c>
      <x:c r="E477" s="17" t="str">
        <x:v>5933.8</x:v>
      </x:c>
      <x:c r="F477" s="17" t="str">
        <x:v>9300.51</x:v>
      </x:c>
      <x:c r="G477" s="18" t="n">
        <x:v>3366.71</x:v>
      </x:c>
      <x:c r="H477" s="18" t="n">
        <x:f>IFERROR(G477/1000,"")</x:f>
        <x:v>3.36671</x:v>
      </x:c>
      <x:c r="I477" s="19" t="n">
        <x:f>IFERROR(G477/J477,"")</x:f>
        <x:v>0.18247285841498886</x:v>
      </x:c>
      <x:c r="J477" s="17" t="n">
        <x:v>18450.47</x:v>
      </x:c>
      <x:c r="K477" s="17" t="str"/>
      <x:c r="L477" s="17" t="str">
        <x:v>已明确本题的对象与口径，开始获取所需证据。</x:v>
      </x:c>
      <x:c r="M477" s="17" t="str"/>
      <x:c r="N477" s="18" t="n">
        <x:v>5933.8</x:v>
      </x:c>
      <x:c r="O477" s="17" t="str">
        <x:v>public_sse_client_estimate</x:v>
      </x:c>
    </x:row>
    <x:row r="478" ht="48" customHeight="1">
      <x:c r="A478" s="17" t="str">
        <x:v>BUS098</x:v>
      </x:c>
      <x:c r="B478" s="17" t="str">
        <x:v>查询贵州茅台是否属于沪深300成分股。</x:v>
      </x:c>
      <x:c r="C478" s="17" t="n">
        <x:v>2</x:v>
      </x:c>
      <x:c r="D478" s="17" t="str">
        <x:v>数据口径</x:v>
      </x:c>
      <x:c r="E478" s="17" t="str">
        <x:v>9300.51</x:v>
      </x:c>
      <x:c r="F478" s="17" t="str">
        <x:v>9411.13</x:v>
      </x:c>
      <x:c r="G478" s="18" t="n">
        <x:v>110.62</x:v>
      </x:c>
      <x:c r="H478" s="18" t="n">
        <x:f>IFERROR(G478/1000,"")</x:f>
        <x:v>0.11062000000000001</x:v>
      </x:c>
      <x:c r="I478" s="19" t="n">
        <x:f>IFERROR(G478/J478,"")</x:f>
        <x:v>0.005995511225459297</x:v>
      </x:c>
      <x:c r="J478" s="17" t="n">
        <x:v>18450.47</x:v>
      </x:c>
      <x:c r="K478" s="17" t="str"/>
      <x:c r="L478" s="17" t="str">
        <x:v>已定位指数成分关系视图，并确认了可用字段与时间口径。</x:v>
      </x:c>
      <x:c r="M478" s="17" t="str"/>
      <x:c r="N478" s="18" t="n">
        <x:v>0</x:v>
      </x:c>
      <x:c r="O478" s="17" t="str">
        <x:v>public_sse_client_estimate</x:v>
      </x:c>
    </x:row>
    <x:row r="479" ht="48" customHeight="1">
      <x:c r="A479" s="17" t="str">
        <x:v>BUS098</x:v>
      </x:c>
      <x:c r="B479" s="17" t="str">
        <x:v>查询贵州茅台是否属于沪深300成分股。</x:v>
      </x:c>
      <x:c r="C479" s="17" t="n">
        <x:v>3</x:v>
      </x:c>
      <x:c r="D479" s="17" t="str">
        <x:v>数据查询 1/1</x:v>
      </x:c>
      <x:c r="E479" s="17" t="str">
        <x:v>11946.32</x:v>
      </x:c>
      <x:c r="F479" s="17" t="str">
        <x:v>12568</x:v>
      </x:c>
      <x:c r="G479" s="18" t="n">
        <x:v>621.68</x:v>
      </x:c>
      <x:c r="H479" s="18" t="n">
        <x:f>IFERROR(G479/1000,"")</x:f>
        <x:v>0.6216799999999999</x:v>
      </x:c>
      <x:c r="I479" s="19" t="n">
        <x:f>IFERROR(G479/J479,"")</x:f>
        <x:v>0.033694534610771425</x:v>
      </x:c>
      <x:c r="J479" s="17" t="n">
        <x:v>18450.47</x:v>
      </x:c>
      <x:c r="K479" s="17" t="str"/>
      <x:c r="L479" s="17" t="str">
        <x:v>已完成：查询沪深300指数成分股中是否包含贵州茅台，取得 2 条记录。</x:v>
      </x:c>
      <x:c r="M479" s="17" t="str"/>
      <x:c r="N479" s="18" t="n">
        <x:v>2535.19</x:v>
      </x:c>
      <x:c r="O479" s="17" t="str">
        <x:v>public_sse_client_estimate</x:v>
      </x:c>
    </x:row>
    <x:row r="480" ht="48" customHeight="1">
      <x:c r="A480" s="17" t="str">
        <x:v>BUS098</x:v>
      </x:c>
      <x:c r="B480" s="17" t="str">
        <x:v>查询贵州茅台是否属于沪深300成分股。</x:v>
      </x:c>
      <x:c r="C480" s="17" t="n">
        <x:v>4</x:v>
      </x:c>
      <x:c r="D480" s="17" t="str">
        <x:v>回答整理</x:v>
      </x:c>
      <x:c r="E480" s="17" t="str">
        <x:v>12568</x:v>
      </x:c>
      <x:c r="F480" s="17" t="str">
        <x:v>14825.45</x:v>
      </x:c>
      <x:c r="G480" s="18" t="n">
        <x:v>2257.45</x:v>
      </x:c>
      <x:c r="H480" s="18" t="n">
        <x:f>IFERROR(G480/1000,"")</x:f>
        <x:v>2.25745</x:v>
      </x:c>
      <x:c r="I480" s="19" t="n">
        <x:f>IFERROR(G480/J480,"")</x:f>
        <x:v>0.12235189672675004</x:v>
      </x:c>
      <x:c r="J480" s="17" t="n">
        <x:v>18450.47</x:v>
      </x:c>
      <x:c r="K480" s="17" t="str"/>
      <x:c r="L480" s="17" t="str">
        <x:v>证据与回答已整理完成。</x:v>
      </x:c>
      <x:c r="M480" s="17" t="str"/>
      <x:c r="N480" s="18" t="n">
        <x:v>0</x:v>
      </x:c>
      <x:c r="O480" s="17" t="str">
        <x:v>public_sse_client_estimate</x:v>
      </x:c>
    </x:row>
    <x:row r="481" ht="48" customHeight="1">
      <x:c r="A481" s="17" t="str">
        <x:v>BUS099</x:v>
      </x:c>
      <x:c r="B481" s="17" t="str">
        <x:v>计算沪深300成分股今天平均涨跌幅和上涨家数。</x:v>
      </x:c>
      <x:c r="C481" s="17" t="n">
        <x:v>1</x:v>
      </x:c>
      <x:c r="D481" s="17" t="str">
        <x:v>问题理解</x:v>
      </x:c>
      <x:c r="E481" s="17" t="str">
        <x:v>5521.9</x:v>
      </x:c>
      <x:c r="F481" s="17" t="str">
        <x:v>10048.73</x:v>
      </x:c>
      <x:c r="G481" s="18" t="n">
        <x:v>4526.83</x:v>
      </x:c>
      <x:c r="H481" s="18" t="n">
        <x:f>IFERROR(G481/1000,"")</x:f>
        <x:v>4.52683</x:v>
      </x:c>
      <x:c r="I481" s="19" t="n">
        <x:f>IFERROR(G481/J481,"")</x:f>
        <x:v>0.16875295198281914</x:v>
      </x:c>
      <x:c r="J481" s="17" t="n">
        <x:v>26825.19</x:v>
      </x:c>
      <x:c r="K481" s="17" t="str"/>
      <x:c r="L481" s="17" t="str">
        <x:v>已明确本题的对象与口径，开始获取所需证据。</x:v>
      </x:c>
      <x:c r="M481" s="17" t="str"/>
      <x:c r="N481" s="18" t="n">
        <x:v>5521.9</x:v>
      </x:c>
      <x:c r="O481" s="17" t="str">
        <x:v>public_sse_client_estimate</x:v>
      </x:c>
    </x:row>
    <x:row r="482" ht="48" customHeight="1">
      <x:c r="A482" s="17" t="str">
        <x:v>BUS099</x:v>
      </x:c>
      <x:c r="B482" s="17" t="str">
        <x:v>计算沪深300成分股今天平均涨跌幅和上涨家数。</x:v>
      </x:c>
      <x:c r="C482" s="17" t="n">
        <x:v>2</x:v>
      </x:c>
      <x:c r="D482" s="17" t="str">
        <x:v>数据口径</x:v>
      </x:c>
      <x:c r="E482" s="17" t="str">
        <x:v>10048.73</x:v>
      </x:c>
      <x:c r="F482" s="17" t="str">
        <x:v>10151.1</x:v>
      </x:c>
      <x:c r="G482" s="18" t="n">
        <x:v>102.37</x:v>
      </x:c>
      <x:c r="H482" s="18" t="n">
        <x:f>IFERROR(G482/1000,"")</x:f>
        <x:v>0.10237</x:v>
      </x:c>
      <x:c r="I482" s="19" t="n">
        <x:f>IFERROR(G482/J482,"")</x:f>
        <x:v>0.003816189186358047</x:v>
      </x:c>
      <x:c r="J482" s="17" t="n">
        <x:v>26825.19</x:v>
      </x:c>
      <x:c r="K482" s="17" t="str"/>
      <x:c r="L482" s="17" t="str">
        <x:v>已定位指数成分关系视图，并确认了可用字段与时间口径。</x:v>
      </x:c>
      <x:c r="M482" s="17" t="str"/>
      <x:c r="N482" s="18" t="n">
        <x:v>0</x:v>
      </x:c>
      <x:c r="O482" s="17" t="str">
        <x:v>public_sse_client_estimate</x:v>
      </x:c>
    </x:row>
    <x:row r="483" ht="48" customHeight="1">
      <x:c r="A483" s="17" t="str">
        <x:v>BUS099</x:v>
      </x:c>
      <x:c r="B483" s="17" t="str">
        <x:v>计算沪深300成分股今天平均涨跌幅和上涨家数。</x:v>
      </x:c>
      <x:c r="C483" s="17" t="n">
        <x:v>3</x:v>
      </x:c>
      <x:c r="D483" s="17" t="str">
        <x:v>数据查询 1/2</x:v>
      </x:c>
      <x:c r="E483" s="17" t="str">
        <x:v>18300.25</x:v>
      </x:c>
      <x:c r="F483" s="17" t="str">
        <x:v>19693.49</x:v>
      </x:c>
      <x:c r="G483" s="18" t="n">
        <x:v>1393.24</x:v>
      </x:c>
      <x:c r="H483" s="18" t="n">
        <x:f>IFERROR(G483/1000,"")</x:f>
        <x:v>1.39324</x:v>
      </x:c>
      <x:c r="I483" s="19" t="n">
        <x:f>IFERROR(G483/J483,"")</x:f>
        <x:v>0.05193774955554835</x:v>
      </x:c>
      <x:c r="J483" s="17" t="n">
        <x:v>26825.19</x:v>
      </x:c>
      <x:c r="K483" s="17" t="str"/>
      <x:c r="L483" s="17" t="str">
        <x:v>已完成：计算沪深300成分股最近一个交易日的平均涨跌幅，取得 2 条记录。</x:v>
      </x:c>
      <x:c r="M483" s="17" t="str"/>
      <x:c r="N483" s="18" t="n">
        <x:v>8149.15</x:v>
      </x:c>
      <x:c r="O483" s="17" t="str">
        <x:v>public_sse_client_estimate</x:v>
      </x:c>
    </x:row>
    <x:row r="484" ht="48" customHeight="1">
      <x:c r="A484" s="17" t="str">
        <x:v>BUS099</x:v>
      </x:c>
      <x:c r="B484" s="17" t="str">
        <x:v>计算沪深300成分股今天平均涨跌幅和上涨家数。</x:v>
      </x:c>
      <x:c r="C484" s="17" t="n">
        <x:v>4</x:v>
      </x:c>
      <x:c r="D484" s="17" t="str">
        <x:v>数据查询 2/2</x:v>
      </x:c>
      <x:c r="E484" s="17" t="str">
        <x:v>19696.56</x:v>
      </x:c>
      <x:c r="F484" s="17" t="str">
        <x:v>21188.42</x:v>
      </x:c>
      <x:c r="G484" s="18" t="n">
        <x:v>1491.86</x:v>
      </x:c>
      <x:c r="H484" s="18" t="n">
        <x:f>IFERROR(G484/1000,"")</x:f>
        <x:v>1.49186</x:v>
      </x:c>
      <x:c r="I484" s="19" t="n">
        <x:f>IFERROR(G484/J484,"")</x:f>
        <x:v>0.055614144764678276</x:v>
      </x:c>
      <x:c r="J484" s="17" t="n">
        <x:v>26825.19</x:v>
      </x:c>
      <x:c r="K484" s="17" t="str"/>
      <x:c r="L484" s="17" t="str">
        <x:v>已完成：计算沪深300成分股最近一个交易日上涨家数（涨跌幅&gt;0），取得 2 条记录。</x:v>
      </x:c>
      <x:c r="M484" s="17" t="str"/>
      <x:c r="N484" s="18" t="n">
        <x:v>3.07</x:v>
      </x:c>
      <x:c r="O484" s="17" t="str">
        <x:v>public_sse_client_estimate</x:v>
      </x:c>
    </x:row>
    <x:row r="485" ht="48" customHeight="1">
      <x:c r="A485" s="17" t="str">
        <x:v>BUS099</x:v>
      </x:c>
      <x:c r="B485" s="17" t="str">
        <x:v>计算沪深300成分股今天平均涨跌幅和上涨家数。</x:v>
      </x:c>
      <x:c r="C485" s="17" t="n">
        <x:v>5</x:v>
      </x:c>
      <x:c r="D485" s="17" t="str">
        <x:v>回答整理</x:v>
      </x:c>
      <x:c r="E485" s="17" t="str">
        <x:v>21188.42</x:v>
      </x:c>
      <x:c r="F485" s="17" t="str">
        <x:v>23265.22</x:v>
      </x:c>
      <x:c r="G485" s="18" t="n">
        <x:v>2076.8</x:v>
      </x:c>
      <x:c r="H485" s="18" t="n">
        <x:f>IFERROR(G485/1000,"")</x:f>
        <x:v>2.0768</x:v>
      </x:c>
      <x:c r="I485" s="19" t="n">
        <x:f>IFERROR(G485/J485,"")</x:f>
        <x:v>0.0774197685086294</x:v>
      </x:c>
      <x:c r="J485" s="17" t="n">
        <x:v>26825.19</x:v>
      </x:c>
      <x:c r="K485" s="17" t="str"/>
      <x:c r="L485" s="17" t="str">
        <x:v>证据与回答已整理完成。</x:v>
      </x:c>
      <x:c r="M485" s="17" t="str"/>
      <x:c r="N485" s="18" t="n">
        <x:v>0</x:v>
      </x:c>
      <x:c r="O485" s="17" t="str">
        <x:v>public_sse_client_estimate</x:v>
      </x:c>
    </x:row>
    <x:row r="486" ht="48" customHeight="1">
      <x:c r="A486" s="17" t="str">
        <x:v>BUS100</x:v>
      </x:c>
      <x:c r="B486" s="17" t="str">
        <x:v>比较沪深300和中证500最近20个交易日累计涨幅。</x:v>
      </x:c>
      <x:c r="C486" s="17" t="n">
        <x:v>1</x:v>
      </x:c>
      <x:c r="D486" s="17" t="str">
        <x:v>问题理解</x:v>
      </x:c>
      <x:c r="E486" s="17" t="str">
        <x:v>5613.46</x:v>
      </x:c>
      <x:c r="F486" s="17" t="str">
        <x:v>8889.71</x:v>
      </x:c>
      <x:c r="G486" s="18" t="n">
        <x:v>3276.25</x:v>
      </x:c>
      <x:c r="H486" s="18" t="n">
        <x:f>IFERROR(G486/1000,"")</x:f>
        <x:v>3.27625</x:v>
      </x:c>
      <x:c r="I486" s="19" t="n">
        <x:f>IFERROR(G486/J486,"")</x:f>
        <x:v>0.18748479949641625</x:v>
      </x:c>
      <x:c r="J486" s="17" t="n">
        <x:v>17474.75</x:v>
      </x:c>
      <x:c r="K486" s="17" t="str"/>
      <x:c r="L486" s="17" t="str">
        <x:v>已明确本题的对象与口径，开始获取所需证据。</x:v>
      </x:c>
      <x:c r="M486" s="17" t="str"/>
      <x:c r="N486" s="18" t="n">
        <x:v>5613.46</x:v>
      </x:c>
      <x:c r="O486" s="17" t="str">
        <x:v>public_sse_client_estimate</x:v>
      </x:c>
    </x:row>
    <x:row r="487" ht="48" customHeight="1">
      <x:c r="A487" s="17" t="str">
        <x:v>BUS100</x:v>
      </x:c>
      <x:c r="B487" s="17" t="str">
        <x:v>比较沪深300和中证500最近20个交易日累计涨幅。</x:v>
      </x:c>
      <x:c r="C487" s="17" t="n">
        <x:v>2</x:v>
      </x:c>
      <x:c r="D487" s="17" t="str">
        <x:v>数据口径</x:v>
      </x:c>
      <x:c r="E487" s="17" t="str">
        <x:v>8889.71</x:v>
      </x:c>
      <x:c r="F487" s="17" t="str">
        <x:v>8926.14</x:v>
      </x:c>
      <x:c r="G487" s="18" t="n">
        <x:v>36.43</x:v>
      </x:c>
      <x:c r="H487" s="18" t="n">
        <x:f>IFERROR(G487/1000,"")</x:f>
        <x:v>0.03643</x:v>
      </x:c>
      <x:c r="I487" s="19" t="n">
        <x:f>IFERROR(G487/J487,"")</x:f>
        <x:v>0.0020847222420921616</x:v>
      </x:c>
      <x:c r="J487" s="17" t="n">
        <x:v>17474.75</x:v>
      </x:c>
      <x:c r="K487" s="17" t="str"/>
      <x:c r="L487" s="17" t="str">
        <x:v>已定位指数行情视图，并确认了可用字段与时间口径。</x:v>
      </x:c>
      <x:c r="M487" s="17" t="str"/>
      <x:c r="N487" s="18" t="n">
        <x:v>0</x:v>
      </x:c>
      <x:c r="O487" s="17" t="str">
        <x:v>public_sse_client_estimate</x:v>
      </x:c>
    </x:row>
    <x:row r="488" ht="48" customHeight="1">
      <x:c r="A488" s="17" t="str">
        <x:v>BUS100</x:v>
      </x:c>
      <x:c r="B488" s="17" t="str">
        <x:v>比较沪深300和中证500最近20个交易日累计涨幅。</x:v>
      </x:c>
      <x:c r="C488" s="17" t="n">
        <x:v>3</x:v>
      </x:c>
      <x:c r="D488" s="17" t="str">
        <x:v>数据查询 1/1</x:v>
      </x:c>
      <x:c r="E488" s="17" t="str">
        <x:v>11600.38</x:v>
      </x:c>
      <x:c r="F488" s="17" t="str">
        <x:v>13793.39</x:v>
      </x:c>
      <x:c r="G488" s="18" t="n">
        <x:v>2193.01</x:v>
      </x:c>
      <x:c r="H488" s="18" t="n">
        <x:f>IFERROR(G488/1000,"")</x:f>
        <x:v>2.19301</x:v>
      </x:c>
      <x:c r="I488" s="19" t="n">
        <x:f>IFERROR(G488/J488,"")</x:f>
        <x:v>0.12549592984162866</x:v>
      </x:c>
      <x:c r="J488" s="17" t="n">
        <x:v>17474.75</x:v>
      </x:c>
      <x:c r="K488" s="17" t="str"/>
      <x:c r="L488" s="17" t="str">
        <x:v>已完成：查询沪深300和中证500最近20个交易日累计涨幅，取得 2 条记录。</x:v>
      </x:c>
      <x:c r="M488" s="17" t="str"/>
      <x:c r="N488" s="18" t="n">
        <x:v>2674.24</x:v>
      </x:c>
      <x:c r="O488" s="17" t="str">
        <x:v>public_sse_client_estimate</x:v>
      </x:c>
    </x:row>
    <x:row r="489" ht="48" customHeight="1">
      <x:c r="A489" s="17" t="str">
        <x:v>BUS100</x:v>
      </x:c>
      <x:c r="B489" s="17" t="str">
        <x:v>比较沪深300和中证500最近20个交易日累计涨幅。</x:v>
      </x:c>
      <x:c r="C489" s="17" t="n">
        <x:v>4</x:v>
      </x:c>
      <x:c r="D489" s="17" t="str">
        <x:v>回答整理</x:v>
      </x:c>
      <x:c r="E489" s="17" t="str">
        <x:v>13793.39</x:v>
      </x:c>
      <x:c r="F489" s="17" t="str">
        <x:v>14679.24</x:v>
      </x:c>
      <x:c r="G489" s="18" t="n">
        <x:v>885.85</x:v>
      </x:c>
      <x:c r="H489" s="18" t="n">
        <x:f>IFERROR(G489/1000,"")</x:f>
        <x:v>0.88585</x:v>
      </x:c>
      <x:c r="I489" s="19" t="n">
        <x:f>IFERROR(G489/J489,"")</x:f>
        <x:v>0.05069314296341865</x:v>
      </x:c>
      <x:c r="J489" s="17" t="n">
        <x:v>17474.75</x:v>
      </x:c>
      <x:c r="K489" s="17" t="str"/>
      <x:c r="L489" s="17" t="str">
        <x:v>证据与回答已整理完成。</x:v>
      </x:c>
      <x:c r="M489" s="17" t="str"/>
      <x:c r="N489" s="18" t="n">
        <x:v>0</x:v>
      </x:c>
      <x:c r="O489" s="17" t="str">
        <x:v>public_sse_client_estimate</x:v>
      </x:c>
    </x:row>
    <x:row r="490" ht="48" customHeight="1">
      <x:c r="A490" s="17" t="str">
        <x:v>BUS101</x:v>
      </x:c>
      <x:c r="B490" s="17" t="str">
        <x:v>筛选沪深300成分股中PE_TTM低于20且今天上涨的股票。</x:v>
      </x:c>
      <x:c r="C490" s="17" t="n">
        <x:v>1</x:v>
      </x:c>
      <x:c r="D490" s="17" t="str">
        <x:v>问题理解</x:v>
      </x:c>
      <x:c r="E490" s="17" t="str">
        <x:v>6850.27</x:v>
      </x:c>
      <x:c r="F490" s="17" t="str">
        <x:v>12417.53</x:v>
      </x:c>
      <x:c r="G490" s="18" t="n">
        <x:v>5567.26</x:v>
      </x:c>
      <x:c r="H490" s="18" t="n">
        <x:f>IFERROR(G490/1000,"")</x:f>
        <x:v>5.56726</x:v>
      </x:c>
      <x:c r="I490" s="19" t="n">
        <x:f>IFERROR(G490/J490,"")</x:f>
        <x:v>0.10136766211240561</x:v>
      </x:c>
      <x:c r="J490" s="17" t="n">
        <x:v>54921.46</x:v>
      </x:c>
      <x:c r="K490" s="17" t="str"/>
      <x:c r="L490" s="17" t="str">
        <x:v>已明确本题的对象与口径，开始获取所需证据。</x:v>
      </x:c>
      <x:c r="M490" s="17" t="str"/>
      <x:c r="N490" s="18" t="n">
        <x:v>6850.27</x:v>
      </x:c>
      <x:c r="O490" s="17" t="str">
        <x:v>public_sse_client_estimate</x:v>
      </x:c>
    </x:row>
    <x:row r="491" ht="48" customHeight="1">
      <x:c r="A491" s="17" t="str">
        <x:v>BUS101</x:v>
      </x:c>
      <x:c r="B491" s="17" t="str">
        <x:v>筛选沪深300成分股中PE_TTM低于20且今天上涨的股票。</x:v>
      </x:c>
      <x:c r="C491" s="17" t="n">
        <x:v>2</x:v>
      </x:c>
      <x:c r="D491" s="17" t="str">
        <x:v>数据口径</x:v>
      </x:c>
      <x:c r="E491" s="17" t="str">
        <x:v>12417.53</x:v>
      </x:c>
      <x:c r="F491" s="17" t="str">
        <x:v>12439.72</x:v>
      </x:c>
      <x:c r="G491" s="18" t="n">
        <x:v>22.19</x:v>
      </x:c>
      <x:c r="H491" s="18" t="n">
        <x:f>IFERROR(G491/1000,"")</x:f>
        <x:v>0.02219</x:v>
      </x:c>
      <x:c r="I491" s="19" t="n">
        <x:f>IFERROR(G491/J491,"")</x:f>
        <x:v>0.00040403150244002986</x:v>
      </x:c>
      <x:c r="J491" s="17" t="n">
        <x:v>54921.46</x:v>
      </x:c>
      <x:c r="K491" s="17" t="str"/>
      <x:c r="L491" s="17" t="str">
        <x:v>已定位指数成分关系视图，并确认了可用字段与时间口径。</x:v>
      </x:c>
      <x:c r="M491" s="17" t="str"/>
      <x:c r="N491" s="18" t="n">
        <x:v>0</x:v>
      </x:c>
      <x:c r="O491" s="17" t="str">
        <x:v>public_sse_client_estimate</x:v>
      </x:c>
    </x:row>
    <x:row r="492" ht="48" customHeight="1">
      <x:c r="A492" s="17" t="str">
        <x:v>BUS101</x:v>
      </x:c>
      <x:c r="B492" s="17" t="str">
        <x:v>筛选沪深300成分股中PE_TTM低于20且今天上涨的股票。</x:v>
      </x:c>
      <x:c r="C492" s="17" t="n">
        <x:v>3</x:v>
      </x:c>
      <x:c r="D492" s="17" t="str">
        <x:v>数据口径</x:v>
      </x:c>
      <x:c r="E492" s="17" t="str">
        <x:v>12439.72</x:v>
      </x:c>
      <x:c r="F492" s="17" t="str">
        <x:v>12841.13</x:v>
      </x:c>
      <x:c r="G492" s="18" t="n">
        <x:v>401.41</x:v>
      </x:c>
      <x:c r="H492" s="18" t="n">
        <x:f>IFERROR(G492/1000,"")</x:f>
        <x:v>0.40141000000000004</x:v>
      </x:c>
      <x:c r="I492" s="19" t="n">
        <x:f>IFERROR(G492/J492,"")</x:f>
        <x:v>0.007308800603625615</x:v>
      </x:c>
      <x:c r="J492" s="17" t="n">
        <x:v>54921.46</x:v>
      </x:c>
      <x:c r="K492" s="17" t="str"/>
      <x:c r="L492" s="17" t="str">
        <x:v>已定位个股行情视图，并确认了可用字段与时间口径。</x:v>
      </x:c>
      <x:c r="M492" s="17" t="str"/>
      <x:c r="N492" s="18" t="n">
        <x:v>0</x:v>
      </x:c>
      <x:c r="O492" s="17" t="str">
        <x:v>public_sse_client_estimate</x:v>
      </x:c>
    </x:row>
    <x:row r="493" ht="48" customHeight="1">
      <x:c r="A493" s="17" t="str">
        <x:v>BUS101</x:v>
      </x:c>
      <x:c r="B493" s="17" t="str">
        <x:v>筛选沪深300成分股中PE_TTM低于20且今天上涨的股票。</x:v>
      </x:c>
      <x:c r="C493" s="17" t="n">
        <x:v>4</x:v>
      </x:c>
      <x:c r="D493" s="17" t="str">
        <x:v>数据口径</x:v>
      </x:c>
      <x:c r="E493" s="17" t="str">
        <x:v>12841.13</x:v>
      </x:c>
      <x:c r="F493" s="17" t="str">
        <x:v>16056.32</x:v>
      </x:c>
      <x:c r="G493" s="18" t="n">
        <x:v>3215.19</x:v>
      </x:c>
      <x:c r="H493" s="18" t="n">
        <x:f>IFERROR(G493/1000,"")</x:f>
        <x:v>3.21519</x:v>
      </x:c>
      <x:c r="I493" s="19" t="n">
        <x:f>IFERROR(G493/J493,"")</x:f>
        <x:v>0.05854159740108875</x:v>
      </x:c>
      <x:c r="J493" s="17" t="n">
        <x:v>54921.46</x:v>
      </x:c>
      <x:c r="K493" s="17" t="str"/>
      <x:c r="L493" s="17" t="str">
        <x:v>已定位个股估值视图，并确认了可用字段与时间口径。</x:v>
      </x:c>
      <x:c r="M493" s="17" t="str"/>
      <x:c r="N493" s="18" t="n">
        <x:v>0</x:v>
      </x:c>
      <x:c r="O493" s="17" t="str">
        <x:v>public_sse_client_estimate</x:v>
      </x:c>
    </x:row>
    <x:row r="494" ht="48" customHeight="1">
      <x:c r="A494" s="17" t="str">
        <x:v>BUS101</x:v>
      </x:c>
      <x:c r="B494" s="17" t="str">
        <x:v>筛选沪深300成分股中PE_TTM低于20且今天上涨的股票。</x:v>
      </x:c>
      <x:c r="C494" s="17" t="n">
        <x:v>5</x:v>
      </x:c>
      <x:c r="D494" s="17" t="str">
        <x:v>数据查询 1/3</x:v>
      </x:c>
      <x:c r="E494" s="17" t="str">
        <x:v>31257.05</x:v>
      </x:c>
      <x:c r="F494" s="17" t="str">
        <x:v>31883.21</x:v>
      </x:c>
      <x:c r="G494" s="18" t="n">
        <x:v>626.16</x:v>
      </x:c>
      <x:c r="H494" s="18" t="n">
        <x:f>IFERROR(G494/1000,"")</x:f>
        <x:v>0.6261599999999999</x:v>
      </x:c>
      <x:c r="I494" s="19" t="n">
        <x:f>IFERROR(G494/J494,"")</x:f>
        <x:v>0.011401007912025645</x:v>
      </x:c>
      <x:c r="J494" s="17" t="n">
        <x:v>54921.46</x:v>
      </x:c>
      <x:c r="K494" s="17" t="str"/>
      <x:c r="L494" s="17" t="str">
        <x:v>已完成：取得沪深300指数全部成分股，取得 100 条记录。</x:v>
      </x:c>
      <x:c r="M494" s="17" t="str"/>
      <x:c r="N494" s="18" t="n">
        <x:v>15200.73</x:v>
      </x:c>
      <x:c r="O494" s="17" t="str">
        <x:v>public_sse_client_estimate</x:v>
      </x:c>
    </x:row>
    <x:row r="495" ht="48" customHeight="1">
      <x:c r="A495" s="17" t="str">
        <x:v>BUS101</x:v>
      </x:c>
      <x:c r="B495" s="17" t="str">
        <x:v>筛选沪深300成分股中PE_TTM低于20且今天上涨的股票。</x:v>
      </x:c>
      <x:c r="C495" s="17" t="n">
        <x:v>6</x:v>
      </x:c>
      <x:c r="D495" s="17" t="str">
        <x:v>数据查询 2/3</x:v>
      </x:c>
      <x:c r="E495" s="17" t="str">
        <x:v>31885.7</x:v>
      </x:c>
      <x:c r="F495" s="17" t="str">
        <x:v>32469.67</x:v>
      </x:c>
      <x:c r="G495" s="18" t="n">
        <x:v>583.97</x:v>
      </x:c>
      <x:c r="H495" s="18" t="n">
        <x:f>IFERROR(G495/1000,"")</x:f>
        <x:v>0.58397</x:v>
      </x:c>
      <x:c r="I495" s="19" t="n">
        <x:f>IFERROR(G495/J495,"")</x:f>
        <x:v>0.010632820030640118</x:v>
      </x:c>
      <x:c r="J495" s="17" t="n">
        <x:v>54921.46</x:v>
      </x:c>
      <x:c r="K495" s="17" t="str"/>
      <x:c r="L495" s="17" t="str">
        <x:v>已完成：从沪深300成分股中筛选PE_TTM低于20的股票，取得 35 条记录。</x:v>
      </x:c>
      <x:c r="M495" s="17" t="str"/>
      <x:c r="N495" s="18" t="n">
        <x:v>2.49</x:v>
      </x:c>
      <x:c r="O495" s="17" t="str">
        <x:v>public_sse_client_estimate</x:v>
      </x:c>
    </x:row>
    <x:row r="496" ht="48" customHeight="1">
      <x:c r="A496" s="17" t="str">
        <x:v>BUS101</x:v>
      </x:c>
      <x:c r="B496" s="17" t="str">
        <x:v>筛选沪深300成分股中PE_TTM低于20且今天上涨的股票。</x:v>
      </x:c>
      <x:c r="C496" s="17" t="n">
        <x:v>7</x:v>
      </x:c>
      <x:c r="D496" s="17" t="str">
        <x:v>数据查询 3/3</x:v>
      </x:c>
      <x:c r="E496" s="17" t="str">
        <x:v>32471.7</x:v>
      </x:c>
      <x:c r="F496" s="17" t="str">
        <x:v>33057.09</x:v>
      </x:c>
      <x:c r="G496" s="18" t="n">
        <x:v>585.39</x:v>
      </x:c>
      <x:c r="H496" s="18" t="n">
        <x:f>IFERROR(G496/1000,"")</x:f>
        <x:v>0.58539</x:v>
      </x:c>
      <x:c r="I496" s="19" t="n">
        <x:f>IFERROR(G496/J496,"")</x:f>
        <x:v>0.010658675133545247</x:v>
      </x:c>
      <x:c r="J496" s="17" t="n">
        <x:v>54921.46</x:v>
      </x:c>
      <x:c r="K496" s="17" t="str"/>
      <x:c r="L496" s="17" t="str">
        <x:v>已完成：从PE_TTM低于20的股票中筛选今日上涨的股票，取得 18 条记录。</x:v>
      </x:c>
      <x:c r="M496" s="17" t="str"/>
      <x:c r="N496" s="18" t="n">
        <x:v>2.03</x:v>
      </x:c>
      <x:c r="O496" s="17" t="str">
        <x:v>public_sse_client_estimate</x:v>
      </x:c>
    </x:row>
    <x:row r="497" ht="48" customHeight="1">
      <x:c r="A497" s="17" t="str">
        <x:v>BUS101</x:v>
      </x:c>
      <x:c r="B497" s="17" t="str">
        <x:v>筛选沪深300成分股中PE_TTM低于20且今天上涨的股票。</x:v>
      </x:c>
      <x:c r="C497" s="17" t="n">
        <x:v>8</x:v>
      </x:c>
      <x:c r="D497" s="17" t="str">
        <x:v>回答整理</x:v>
      </x:c>
      <x:c r="E497" s="17" t="str">
        <x:v>33057.09</x:v>
      </x:c>
      <x:c r="F497" s="17" t="str">
        <x:v>51407.2</x:v>
      </x:c>
      <x:c r="G497" s="18" t="n">
        <x:v>18350.11</x:v>
      </x:c>
      <x:c r="H497" s="18" t="n">
        <x:f>IFERROR(G497/1000,"")</x:f>
        <x:v>18.35011</x:v>
      </x:c>
      <x:c r="I497" s="19" t="n">
        <x:f>IFERROR(G497/J497,"")</x:f>
        <x:v>0.33411548054257845</x:v>
      </x:c>
      <x:c r="J497" s="17" t="n">
        <x:v>54921.46</x:v>
      </x:c>
      <x:c r="K497" s="17" t="str"/>
      <x:c r="L497" s="17" t="str">
        <x:v>证据与回答已整理完成。</x:v>
      </x:c>
      <x:c r="M497" s="17" t="str"/>
      <x:c r="N497" s="18" t="n">
        <x:v>0</x:v>
      </x:c>
      <x:c r="O497" s="17" t="str">
        <x:v>public_sse_client_estimate</x:v>
      </x:c>
    </x:row>
    <x:row r="498" ht="48" customHeight="1">
      <x:c r="A498" s="17" t="str">
        <x:v>BUS102</x:v>
      </x:c>
      <x:c r="B498" s="17" t="str">
        <x:v>统计中证500成分股当前总市值最大的前10只股票。</x:v>
      </x:c>
      <x:c r="C498" s="17" t="n">
        <x:v>1</x:v>
      </x:c>
      <x:c r="D498" s="17" t="str">
        <x:v>问题理解</x:v>
      </x:c>
      <x:c r="E498" s="17" t="str">
        <x:v>5725.68</x:v>
      </x:c>
      <x:c r="F498" s="17" t="str">
        <x:v>8716.98</x:v>
      </x:c>
      <x:c r="G498" s="18" t="n">
        <x:v>2991.3</x:v>
      </x:c>
      <x:c r="H498" s="18" t="n">
        <x:f>IFERROR(G498/1000,"")</x:f>
        <x:v>2.9913000000000003</x:v>
      </x:c>
      <x:c r="I498" s="19" t="n">
        <x:f>IFERROR(G498/J498,"")</x:f>
        <x:v>0.10073928687375142</x:v>
      </x:c>
      <x:c r="J498" s="17" t="n">
        <x:v>29693.48</x:v>
      </x:c>
      <x:c r="K498" s="17" t="str"/>
      <x:c r="L498" s="17" t="str">
        <x:v>已明确本题的对象与口径，开始获取所需证据。</x:v>
      </x:c>
      <x:c r="M498" s="17" t="str"/>
      <x:c r="N498" s="18" t="n">
        <x:v>5725.68</x:v>
      </x:c>
      <x:c r="O498" s="17" t="str">
        <x:v>public_sse_client_estimate</x:v>
      </x:c>
    </x:row>
    <x:row r="499" ht="48" customHeight="1">
      <x:c r="A499" s="17" t="str">
        <x:v>BUS102</x:v>
      </x:c>
      <x:c r="B499" s="17" t="str">
        <x:v>统计中证500成分股当前总市值最大的前10只股票。</x:v>
      </x:c>
      <x:c r="C499" s="17" t="n">
        <x:v>2</x:v>
      </x:c>
      <x:c r="D499" s="17" t="str">
        <x:v>数据口径</x:v>
      </x:c>
      <x:c r="E499" s="17" t="str">
        <x:v>8716.98</x:v>
      </x:c>
      <x:c r="F499" s="17" t="str">
        <x:v>8740.85</x:v>
      </x:c>
      <x:c r="G499" s="18" t="n">
        <x:v>23.87</x:v>
      </x:c>
      <x:c r="H499" s="18" t="n">
        <x:f>IFERROR(G499/1000,"")</x:f>
        <x:v>0.023870000000000002</x:v>
      </x:c>
      <x:c r="I499" s="19" t="n">
        <x:f>IFERROR(G499/J499,"")</x:f>
        <x:v>0.0008038801784095364</x:v>
      </x:c>
      <x:c r="J499" s="17" t="n">
        <x:v>29693.48</x:v>
      </x:c>
      <x:c r="K499" s="17" t="str"/>
      <x:c r="L499" s="17" t="str">
        <x:v>已定位指数成分关系视图，并确认了可用字段与时间口径。</x:v>
      </x:c>
      <x:c r="M499" s="17" t="str"/>
      <x:c r="N499" s="18" t="n">
        <x:v>0</x:v>
      </x:c>
      <x:c r="O499" s="17" t="str">
        <x:v>public_sse_client_estimate</x:v>
      </x:c>
    </x:row>
    <x:row r="500" ht="48" customHeight="1">
      <x:c r="A500" s="17" t="str">
        <x:v>BUS102</x:v>
      </x:c>
      <x:c r="B500" s="17" t="str">
        <x:v>统计中证500成分股当前总市值最大的前10只股票。</x:v>
      </x:c>
      <x:c r="C500" s="17" t="n">
        <x:v>3</x:v>
      </x:c>
      <x:c r="D500" s="17" t="str">
        <x:v>数据口径</x:v>
      </x:c>
      <x:c r="E500" s="17" t="str">
        <x:v>8740.85</x:v>
      </x:c>
      <x:c r="F500" s="17" t="str">
        <x:v>13777.47</x:v>
      </x:c>
      <x:c r="G500" s="18" t="n">
        <x:v>5036.62</x:v>
      </x:c>
      <x:c r="H500" s="18" t="n">
        <x:f>IFERROR(G500/1000,"")</x:f>
        <x:v>5.03662</x:v>
      </x:c>
      <x:c r="I500" s="19" t="n">
        <x:f>IFERROR(G500/J500,"")</x:f>
        <x:v>0.16962040151575364</x:v>
      </x:c>
      <x:c r="J500" s="17" t="n">
        <x:v>29693.48</x:v>
      </x:c>
      <x:c r="K500" s="17" t="str"/>
      <x:c r="L500" s="17" t="str">
        <x:v>已定位个股估值视图，并确认了可用字段与时间口径。</x:v>
      </x:c>
      <x:c r="M500" s="17" t="str"/>
      <x:c r="N500" s="18" t="n">
        <x:v>0</x:v>
      </x:c>
      <x:c r="O500" s="17" t="str">
        <x:v>public_sse_client_estimate</x:v>
      </x:c>
    </x:row>
    <x:row r="501" ht="48" customHeight="1">
      <x:c r="A501" s="17" t="str">
        <x:v>BUS102</x:v>
      </x:c>
      <x:c r="B501" s="17" t="str">
        <x:v>统计中证500成分股当前总市值最大的前10只股票。</x:v>
      </x:c>
      <x:c r="C501" s="17" t="n">
        <x:v>4</x:v>
      </x:c>
      <x:c r="D501" s="17" t="str">
        <x:v>数据查询 1/2</x:v>
      </x:c>
      <x:c r="E501" s="17" t="str">
        <x:v>17441.07</x:v>
      </x:c>
      <x:c r="F501" s="17" t="str">
        <x:v>18072.34</x:v>
      </x:c>
      <x:c r="G501" s="18" t="n">
        <x:v>631.27</x:v>
      </x:c>
      <x:c r="H501" s="18" t="n">
        <x:f>IFERROR(G501/1000,"")</x:f>
        <x:v>0.63127</x:v>
      </x:c>
      <x:c r="I501" s="19" t="n">
        <x:f>IFERROR(G501/J501,"")</x:f>
        <x:v>0.021259549234377378</x:v>
      </x:c>
      <x:c r="J501" s="17" t="n">
        <x:v>29693.48</x:v>
      </x:c>
      <x:c r="K501" s="17" t="str"/>
      <x:c r="L501" s="17" t="str">
        <x:v>已完成：获取中证500指数的全部成分股代码和名称，取得 100 条记录。</x:v>
      </x:c>
      <x:c r="M501" s="17" t="str"/>
      <x:c r="N501" s="18" t="n">
        <x:v>3663.6</x:v>
      </x:c>
      <x:c r="O501" s="17" t="str">
        <x:v>public_sse_client_estimate</x:v>
      </x:c>
    </x:row>
    <x:row r="502" ht="48" customHeight="1">
      <x:c r="A502" s="17" t="str">
        <x:v>BUS102</x:v>
      </x:c>
      <x:c r="B502" s="17" t="str">
        <x:v>统计中证500成分股当前总市值最大的前10只股票。</x:v>
      </x:c>
      <x:c r="C502" s="17" t="n">
        <x:v>5</x:v>
      </x:c>
      <x:c r="D502" s="17" t="str">
        <x:v>数据查询 2/2</x:v>
      </x:c>
      <x:c r="E502" s="17" t="str">
        <x:v>18078.6</x:v>
      </x:c>
      <x:c r="F502" s="17" t="str">
        <x:v>18605.99</x:v>
      </x:c>
      <x:c r="G502" s="18" t="n">
        <x:v>527.39</x:v>
      </x:c>
      <x:c r="H502" s="18" t="n">
        <x:f>IFERROR(G502/1000,"")</x:f>
        <x:v>0.52739</x:v>
      </x:c>
      <x:c r="I502" s="19" t="n">
        <x:f>IFERROR(G502/J502,"")</x:f>
        <x:v>0.017761138135375172</x:v>
      </x:c>
      <x:c r="J502" s="17" t="n">
        <x:v>29693.48</x:v>
      </x:c>
      <x:c r="K502" s="17" t="str"/>
      <x:c r="L502" s="17" t="str">
        <x:v>已完成：查询中证500成分股中总市值最大的前10只股票，取得 10 条记录。</x:v>
      </x:c>
      <x:c r="M502" s="17" t="str"/>
      <x:c r="N502" s="18" t="n">
        <x:v>6.26</x:v>
      </x:c>
      <x:c r="O502" s="17" t="str">
        <x:v>public_sse_client_estimate</x:v>
      </x:c>
    </x:row>
    <x:row r="503" ht="48" customHeight="1">
      <x:c r="A503" s="17" t="str">
        <x:v>BUS102</x:v>
      </x:c>
      <x:c r="B503" s="17" t="str">
        <x:v>统计中证500成分股当前总市值最大的前10只股票。</x:v>
      </x:c>
      <x:c r="C503" s="17" t="n">
        <x:v>6</x:v>
      </x:c>
      <x:c r="D503" s="17" t="str">
        <x:v>回答整理</x:v>
      </x:c>
      <x:c r="E503" s="17" t="str">
        <x:v>18605.99</x:v>
      </x:c>
      <x:c r="F503" s="17" t="str">
        <x:v>26386.85</x:v>
      </x:c>
      <x:c r="G503" s="18" t="n">
        <x:v>7780.86</x:v>
      </x:c>
      <x:c r="H503" s="18" t="n">
        <x:f>IFERROR(G503/1000,"")</x:f>
        <x:v>7.78086</x:v>
      </x:c>
      <x:c r="I503" s="19" t="n">
        <x:f>IFERROR(G503/J503,"")</x:f>
        <x:v>0.26203934331711876</x:v>
      </x:c>
      <x:c r="J503" s="17" t="n">
        <x:v>29693.48</x:v>
      </x:c>
      <x:c r="K503" s="17" t="str"/>
      <x:c r="L503" s="17" t="str">
        <x:v>证据与回答已整理完成。</x:v>
      </x:c>
      <x:c r="M503" s="17" t="str"/>
      <x:c r="N503" s="18" t="n">
        <x:v>0</x:v>
      </x:c>
      <x:c r="O503" s="17" t="str">
        <x:v>public_sse_client_estimate</x:v>
      </x:c>
    </x:row>
    <x:row r="504" ht="48" customHeight="1">
      <x:c r="A504" s="17" t="str">
        <x:v>BUS103</x:v>
      </x:c>
      <x:c r="B504" s="17" t="str">
        <x:v>同时查询沪深300当前点位、最新估值和前十大权重股。</x:v>
      </x:c>
      <x:c r="C504" s="17" t="n">
        <x:v>1</x:v>
      </x:c>
      <x:c r="D504" s="17" t="str">
        <x:v>问题理解</x:v>
      </x:c>
      <x:c r="E504" s="17" t="str">
        <x:v>5874.04</x:v>
      </x:c>
      <x:c r="F504" s="17" t="str">
        <x:v>10123.96</x:v>
      </x:c>
      <x:c r="G504" s="18" t="n">
        <x:v>4249.92</x:v>
      </x:c>
      <x:c r="H504" s="18" t="n">
        <x:f>IFERROR(G504/1000,"")</x:f>
        <x:v>4.24992</x:v>
      </x:c>
      <x:c r="I504" s="19" t="n">
        <x:f>IFERROR(G504/J504,"")</x:f>
        <x:v>0.1188833039103273</x:v>
      </x:c>
      <x:c r="J504" s="17" t="n">
        <x:v>35748.67</x:v>
      </x:c>
      <x:c r="K504" s="17" t="str"/>
      <x:c r="L504" s="17" t="str">
        <x:v>已明确本题的对象与口径，开始获取所需证据。</x:v>
      </x:c>
      <x:c r="M504" s="17" t="str"/>
      <x:c r="N504" s="18" t="n">
        <x:v>5874.04</x:v>
      </x:c>
      <x:c r="O504" s="17" t="str">
        <x:v>public_sse_client_estimate</x:v>
      </x:c>
    </x:row>
    <x:row r="505" ht="48" customHeight="1">
      <x:c r="A505" s="17" t="str">
        <x:v>BUS103</x:v>
      </x:c>
      <x:c r="B505" s="17" t="str">
        <x:v>同时查询沪深300当前点位、最新估值和前十大权重股。</x:v>
      </x:c>
      <x:c r="C505" s="17" t="n">
        <x:v>2</x:v>
      </x:c>
      <x:c r="D505" s="17" t="str">
        <x:v>数据口径</x:v>
      </x:c>
      <x:c r="E505" s="17" t="str">
        <x:v>10123.96</x:v>
      </x:c>
      <x:c r="F505" s="17" t="str">
        <x:v>10218.88</x:v>
      </x:c>
      <x:c r="G505" s="18" t="n">
        <x:v>94.92</x:v>
      </x:c>
      <x:c r="H505" s="18" t="n">
        <x:f>IFERROR(G505/1000,"")</x:f>
        <x:v>0.09492</x:v>
      </x:c>
      <x:c r="I505" s="19" t="n">
        <x:f>IFERROR(G505/J505,"")</x:f>
        <x:v>0.0026552036761087897</x:v>
      </x:c>
      <x:c r="J505" s="17" t="n">
        <x:v>35748.67</x:v>
      </x:c>
      <x:c r="K505" s="17" t="str"/>
      <x:c r="L505" s="17" t="str">
        <x:v>已定位指数行情视图，并确认了可用字段与时间口径。</x:v>
      </x:c>
      <x:c r="M505" s="17" t="str"/>
      <x:c r="N505" s="18" t="n">
        <x:v>0</x:v>
      </x:c>
      <x:c r="O505" s="17" t="str">
        <x:v>public_sse_client_estimate</x:v>
      </x:c>
    </x:row>
    <x:row r="506" ht="48" customHeight="1">
      <x:c r="A506" s="17" t="str">
        <x:v>BUS103</x:v>
      </x:c>
      <x:c r="B506" s="17" t="str">
        <x:v>同时查询沪深300当前点位、最新估值和前十大权重股。</x:v>
      </x:c>
      <x:c r="C506" s="17" t="n">
        <x:v>3</x:v>
      </x:c>
      <x:c r="D506" s="17" t="str">
        <x:v>数据口径</x:v>
      </x:c>
      <x:c r="E506" s="17" t="str">
        <x:v>10218.88</x:v>
      </x:c>
      <x:c r="F506" s="17" t="str">
        <x:v>11176.04</x:v>
      </x:c>
      <x:c r="G506" s="18" t="n">
        <x:v>957.16</x:v>
      </x:c>
      <x:c r="H506" s="18" t="n">
        <x:f>IFERROR(G506/1000,"")</x:f>
        <x:v>0.95716</x:v>
      </x:c>
      <x:c r="I506" s="19" t="n">
        <x:f>IFERROR(G506/J506,"")</x:f>
        <x:v>0.02677470238752938</x:v>
      </x:c>
      <x:c r="J506" s="17" t="n">
        <x:v>35748.67</x:v>
      </x:c>
      <x:c r="K506" s="17" t="str"/>
      <x:c r="L506" s="17" t="str">
        <x:v>已定位指数估值视图，并确认了可用字段与时间口径。</x:v>
      </x:c>
      <x:c r="M506" s="17" t="str"/>
      <x:c r="N506" s="18" t="n">
        <x:v>0</x:v>
      </x:c>
      <x:c r="O506" s="17" t="str">
        <x:v>public_sse_client_estimate</x:v>
      </x:c>
    </x:row>
    <x:row r="507" ht="48" customHeight="1">
      <x:c r="A507" s="17" t="str">
        <x:v>BUS103</x:v>
      </x:c>
      <x:c r="B507" s="17" t="str">
        <x:v>同时查询沪深300当前点位、最新估值和前十大权重股。</x:v>
      </x:c>
      <x:c r="C507" s="17" t="n">
        <x:v>4</x:v>
      </x:c>
      <x:c r="D507" s="17" t="str">
        <x:v>数据口径</x:v>
      </x:c>
      <x:c r="E507" s="17" t="str">
        <x:v>11176.04</x:v>
      </x:c>
      <x:c r="F507" s="17" t="str">
        <x:v>11199.18</x:v>
      </x:c>
      <x:c r="G507" s="18" t="n">
        <x:v>23.14</x:v>
      </x:c>
      <x:c r="H507" s="18" t="n">
        <x:f>IFERROR(G507/1000,"")</x:f>
        <x:v>0.02314</x:v>
      </x:c>
      <x:c r="I507" s="19" t="n">
        <x:f>IFERROR(G507/J507,"")</x:f>
        <x:v>0.0006472968085246249</x:v>
      </x:c>
      <x:c r="J507" s="17" t="n">
        <x:v>35748.67</x:v>
      </x:c>
      <x:c r="K507" s="17" t="str"/>
      <x:c r="L507" s="17" t="str">
        <x:v>已定位指数成分关系视图，并确认了可用字段与时间口径。</x:v>
      </x:c>
      <x:c r="M507" s="17" t="str"/>
      <x:c r="N507" s="18" t="n">
        <x:v>0</x:v>
      </x:c>
      <x:c r="O507" s="17" t="str">
        <x:v>public_sse_client_estimate</x:v>
      </x:c>
    </x:row>
    <x:row r="508" ht="48" customHeight="1">
      <x:c r="A508" s="17" t="str">
        <x:v>BUS103</x:v>
      </x:c>
      <x:c r="B508" s="17" t="str">
        <x:v>同时查询沪深300当前点位、最新估值和前十大权重股。</x:v>
      </x:c>
      <x:c r="C508" s="17" t="n">
        <x:v>5</x:v>
      </x:c>
      <x:c r="D508" s="17" t="str">
        <x:v>数据查询 1/3</x:v>
      </x:c>
      <x:c r="E508" s="17" t="str">
        <x:v>18027.3</x:v>
      </x:c>
      <x:c r="F508" s="17" t="str">
        <x:v>18793.36</x:v>
      </x:c>
      <x:c r="G508" s="18" t="n">
        <x:v>766.06</x:v>
      </x:c>
      <x:c r="H508" s="18" t="n">
        <x:f>IFERROR(G508/1000,"")</x:f>
        <x:v>0.76606</x:v>
      </x:c>
      <x:c r="I508" s="19" t="n">
        <x:f>IFERROR(G508/J508,"")</x:f>
        <x:v>0.021429048968814784</x:v>
      </x:c>
      <x:c r="J508" s="17" t="n">
        <x:v>35748.67</x:v>
      </x:c>
      <x:c r="K508" s="17" t="str"/>
      <x:c r="L508" s="17" t="str">
        <x:v>已完成：查询沪深300指数最新行情（当前点位），取得 1 条记录。</x:v>
      </x:c>
      <x:c r="M508" s="17" t="str"/>
      <x:c r="N508" s="18" t="n">
        <x:v>6828.12</x:v>
      </x:c>
      <x:c r="O508" s="17" t="str">
        <x:v>public_sse_client_estimate</x:v>
      </x:c>
    </x:row>
    <x:row r="509" ht="48" customHeight="1">
      <x:c r="A509" s="17" t="str">
        <x:v>BUS103</x:v>
      </x:c>
      <x:c r="B509" s="17" t="str">
        <x:v>同时查询沪深300当前点位、最新估值和前十大权重股。</x:v>
      </x:c>
      <x:c r="C509" s="17" t="n">
        <x:v>6</x:v>
      </x:c>
      <x:c r="D509" s="17" t="str">
        <x:v>数据查询 2/3</x:v>
      </x:c>
      <x:c r="E509" s="17" t="str">
        <x:v>18796.8</x:v>
      </x:c>
      <x:c r="F509" s="17" t="str">
        <x:v>19402.44</x:v>
      </x:c>
      <x:c r="G509" s="18" t="n">
        <x:v>605.64</x:v>
      </x:c>
      <x:c r="H509" s="18" t="n">
        <x:f>IFERROR(G509/1000,"")</x:f>
        <x:v>0.60564</x:v>
      </x:c>
      <x:c r="I509" s="19" t="n">
        <x:f>IFERROR(G509/J509,"")</x:f>
        <x:v>0.016941609296233957</x:v>
      </x:c>
      <x:c r="J509" s="17" t="n">
        <x:v>35748.67</x:v>
      </x:c>
      <x:c r="K509" s="17" t="str"/>
      <x:c r="L509" s="17" t="str">
        <x:v>已完成：查询沪深300指数最新估值指标，取得 1 条记录。</x:v>
      </x:c>
      <x:c r="M509" s="17" t="str"/>
      <x:c r="N509" s="18" t="n">
        <x:v>3.44</x:v>
      </x:c>
      <x:c r="O509" s="17" t="str">
        <x:v>public_sse_client_estimate</x:v>
      </x:c>
    </x:row>
    <x:row r="510" ht="48" customHeight="1">
      <x:c r="A510" s="17" t="str">
        <x:v>BUS103</x:v>
      </x:c>
      <x:c r="B510" s="17" t="str">
        <x:v>同时查询沪深300当前点位、最新估值和前十大权重股。</x:v>
      </x:c>
      <x:c r="C510" s="17" t="n">
        <x:v>7</x:v>
      </x:c>
      <x:c r="D510" s="17" t="str">
        <x:v>数据查询 3/3</x:v>
      </x:c>
      <x:c r="E510" s="17" t="str">
        <x:v>19405.66</x:v>
      </x:c>
      <x:c r="F510" s="17" t="str">
        <x:v>20125.21</x:v>
      </x:c>
      <x:c r="G510" s="18" t="n">
        <x:v>719.55</x:v>
      </x:c>
      <x:c r="H510" s="18" t="n">
        <x:f>IFERROR(G510/1000,"")</x:f>
        <x:v>0.7195499999999999</x:v>
      </x:c>
      <x:c r="I510" s="19" t="n">
        <x:f>IFERROR(G510/J510,"")</x:f>
        <x:v>0.020128021545976395</x:v>
      </x:c>
      <x:c r="J510" s="17" t="n">
        <x:v>35748.67</x:v>
      </x:c>
      <x:c r="K510" s="17" t="str"/>
      <x:c r="L510" s="17" t="str">
        <x:v>已完成：查询沪深300指数前十大权重成分股，取得 10 条记录。</x:v>
      </x:c>
      <x:c r="M510" s="17" t="str"/>
      <x:c r="N510" s="18" t="n">
        <x:v>3.22</x:v>
      </x:c>
      <x:c r="O510" s="17" t="str">
        <x:v>public_sse_client_estimate</x:v>
      </x:c>
    </x:row>
    <x:row r="511" ht="48" customHeight="1">
      <x:c r="A511" s="17" t="str">
        <x:v>BUS103</x:v>
      </x:c>
      <x:c r="B511" s="17" t="str">
        <x:v>同时查询沪深300当前点位、最新估值和前十大权重股。</x:v>
      </x:c>
      <x:c r="C511" s="17" t="n">
        <x:v>8</x:v>
      </x:c>
      <x:c r="D511" s="17" t="str">
        <x:v>回答整理</x:v>
      </x:c>
      <x:c r="E511" s="17" t="str">
        <x:v>20125.21</x:v>
      </x:c>
      <x:c r="F511" s="17" t="str">
        <x:v>32991.52</x:v>
      </x:c>
      <x:c r="G511" s="18" t="n">
        <x:v>12866.31</x:v>
      </x:c>
      <x:c r="H511" s="18" t="n">
        <x:f>IFERROR(G511/1000,"")</x:f>
        <x:v>12.86631</x:v>
      </x:c>
      <x:c r="I511" s="19" t="n">
        <x:f>IFERROR(G511/J511,"")</x:f>
        <x:v>0.35991017288195615</x:v>
      </x:c>
      <x:c r="J511" s="17" t="n">
        <x:v>35748.67</x:v>
      </x:c>
      <x:c r="K511" s="17" t="str"/>
      <x:c r="L511" s="17" t="str">
        <x:v>证据与回答已整理完成。</x:v>
      </x:c>
      <x:c r="M511" s="17" t="str"/>
      <x:c r="N511" s="18" t="n">
        <x:v>0</x:v>
      </x:c>
      <x:c r="O511" s="17" t="str">
        <x:v>public_sse_client_estimate</x:v>
      </x:c>
    </x:row>
    <x:row r="512" ht="48" customHeight="1">
      <x:c r="A512" s="17" t="str">
        <x:v>BUS104</x:v>
      </x:c>
      <x:c r="B512" s="17" t="str">
        <x:v>查询创业板指涨跌幅，并列出其权重最高的成分股当前涨跌幅。</x:v>
      </x:c>
      <x:c r="C512" s="17" t="n">
        <x:v>1</x:v>
      </x:c>
      <x:c r="D512" s="17" t="str">
        <x:v>问题理解</x:v>
      </x:c>
      <x:c r="E512" s="17" t="str">
        <x:v>6331.24</x:v>
      </x:c>
      <x:c r="F512" s="17" t="str">
        <x:v>9483.31</x:v>
      </x:c>
      <x:c r="G512" s="18" t="n">
        <x:v>3152.07</x:v>
      </x:c>
      <x:c r="H512" s="18" t="n">
        <x:f>IFERROR(G512/1000,"")</x:f>
        <x:v>3.15207</x:v>
      </x:c>
      <x:c r="I512" s="19" t="n">
        <x:f>IFERROR(G512/J512,"")</x:f>
        <x:v>0.09269275592204454</x:v>
      </x:c>
      <x:c r="J512" s="17" t="n">
        <x:v>34005.57</x:v>
      </x:c>
      <x:c r="K512" s="17" t="str"/>
      <x:c r="L512" s="17" t="str">
        <x:v>已明确本题的对象与口径，开始获取所需证据。</x:v>
      </x:c>
      <x:c r="M512" s="17" t="str"/>
      <x:c r="N512" s="18" t="n">
        <x:v>6331.24</x:v>
      </x:c>
      <x:c r="O512" s="17" t="str">
        <x:v>public_sse_client_estimate</x:v>
      </x:c>
    </x:row>
    <x:row r="513" ht="48" customHeight="1">
      <x:c r="A513" s="17" t="str">
        <x:v>BUS104</x:v>
      </x:c>
      <x:c r="B513" s="17" t="str">
        <x:v>查询创业板指涨跌幅，并列出其权重最高的成分股当前涨跌幅。</x:v>
      </x:c>
      <x:c r="C513" s="17" t="n">
        <x:v>2</x:v>
      </x:c>
      <x:c r="D513" s="17" t="str">
        <x:v>数据口径</x:v>
      </x:c>
      <x:c r="E513" s="17" t="str">
        <x:v>9483.31</x:v>
      </x:c>
      <x:c r="F513" s="17" t="str">
        <x:v>9514.76</x:v>
      </x:c>
      <x:c r="G513" s="18" t="n">
        <x:v>31.45</x:v>
      </x:c>
      <x:c r="H513" s="18" t="n">
        <x:f>IFERROR(G513/1000,"")</x:f>
        <x:v>0.03145</x:v>
      </x:c>
      <x:c r="I513" s="19" t="n">
        <x:f>IFERROR(G513/J513,"")</x:f>
        <x:v>0.0009248484880565155</x:v>
      </x:c>
      <x:c r="J513" s="17" t="n">
        <x:v>34005.57</x:v>
      </x:c>
      <x:c r="K513" s="17" t="str"/>
      <x:c r="L513" s="17" t="str">
        <x:v>已定位指数行情视图，并确认了可用字段与时间口径。</x:v>
      </x:c>
      <x:c r="M513" s="17" t="str"/>
      <x:c r="N513" s="18" t="n">
        <x:v>0</x:v>
      </x:c>
      <x:c r="O513" s="17" t="str">
        <x:v>public_sse_client_estimate</x:v>
      </x:c>
    </x:row>
    <x:row r="514" ht="48" customHeight="1">
      <x:c r="A514" s="17" t="str">
        <x:v>BUS104</x:v>
      </x:c>
      <x:c r="B514" s="17" t="str">
        <x:v>查询创业板指涨跌幅，并列出其权重最高的成分股当前涨跌幅。</x:v>
      </x:c>
      <x:c r="C514" s="17" t="n">
        <x:v>3</x:v>
      </x:c>
      <x:c r="D514" s="17" t="str">
        <x:v>数据口径</x:v>
      </x:c>
      <x:c r="E514" s="17" t="str">
        <x:v>9514.76</x:v>
      </x:c>
      <x:c r="F514" s="17" t="str">
        <x:v>9908.8</x:v>
      </x:c>
      <x:c r="G514" s="18" t="n">
        <x:v>394.04</x:v>
      </x:c>
      <x:c r="H514" s="18" t="n">
        <x:f>IFERROR(G514/1000,"")</x:f>
        <x:v>0.39404</x:v>
      </x:c>
      <x:c r="I514" s="19" t="n">
        <x:f>IFERROR(G514/J514,"")</x:f>
        <x:v>0.011587513457354193</x:v>
      </x:c>
      <x:c r="J514" s="17" t="n">
        <x:v>34005.57</x:v>
      </x:c>
      <x:c r="K514" s="17" t="str"/>
      <x:c r="L514" s="17" t="str">
        <x:v>已定位指数成分关系视图，并确认了可用字段与时间口径。</x:v>
      </x:c>
      <x:c r="M514" s="17" t="str"/>
      <x:c r="N514" s="18" t="n">
        <x:v>0</x:v>
      </x:c>
      <x:c r="O514" s="17" t="str">
        <x:v>public_sse_client_estimate</x:v>
      </x:c>
    </x:row>
    <x:row r="515" ht="48" customHeight="1">
      <x:c r="A515" s="17" t="str">
        <x:v>BUS104</x:v>
      </x:c>
      <x:c r="B515" s="17" t="str">
        <x:v>查询创业板指涨跌幅，并列出其权重最高的成分股当前涨跌幅。</x:v>
      </x:c>
      <x:c r="C515" s="17" t="n">
        <x:v>4</x:v>
      </x:c>
      <x:c r="D515" s="17" t="str">
        <x:v>数据查询 1/3</x:v>
      </x:c>
      <x:c r="E515" s="17" t="str">
        <x:v>17549.66</x:v>
      </x:c>
      <x:c r="F515" s="17" t="str">
        <x:v>19891.99</x:v>
      </x:c>
      <x:c r="G515" s="18" t="n">
        <x:v>2342.33</x:v>
      </x:c>
      <x:c r="H515" s="18" t="n">
        <x:f>IFERROR(G515/1000,"")</x:f>
        <x:v>2.34233</x:v>
      </x:c>
      <x:c r="I515" s="19" t="n">
        <x:f>IFERROR(G515/J515,"")</x:f>
        <x:v>0.06888077453193697</x:v>
      </x:c>
      <x:c r="J515" s="17" t="n">
        <x:v>34005.57</x:v>
      </x:c>
      <x:c r="K515" s="17" t="str"/>
      <x:c r="L515" s="17" t="str">
        <x:v>已完成：查询创业板指（399006.SZ）的收盘涨跌幅，取得 1 条记录。</x:v>
      </x:c>
      <x:c r="M515" s="17" t="str"/>
      <x:c r="N515" s="18" t="n">
        <x:v>7640.86</x:v>
      </x:c>
      <x:c r="O515" s="17" t="str">
        <x:v>public_sse_client_estimate</x:v>
      </x:c>
    </x:row>
    <x:row r="516" ht="48" customHeight="1">
      <x:c r="A516" s="17" t="str">
        <x:v>BUS104</x:v>
      </x:c>
      <x:c r="B516" s="17" t="str">
        <x:v>查询创业板指涨跌幅，并列出其权重最高的成分股当前涨跌幅。</x:v>
      </x:c>
      <x:c r="C516" s="17" t="n">
        <x:v>5</x:v>
      </x:c>
      <x:c r="D516" s="17" t="str">
        <x:v>数据查询 2/3</x:v>
      </x:c>
      <x:c r="E516" s="17" t="str">
        <x:v>19894.61</x:v>
      </x:c>
      <x:c r="F516" s="17" t="str">
        <x:v>19897.94</x:v>
      </x:c>
      <x:c r="G516" s="18" t="n">
        <x:v>3.33</x:v>
      </x:c>
      <x:c r="H516" s="18" t="n">
        <x:f>IFERROR(G516/1000,"")</x:f>
        <x:v>0.00333</x:v>
      </x:c>
      <x:c r="I516" s="19" t="n">
        <x:f>IFERROR(G516/J516,"")</x:f>
        <x:v>0.00009792513402951341</x:v>
      </x:c>
      <x:c r="J516" s="17" t="n">
        <x:v>34005.57</x:v>
      </x:c>
      <x:c r="K516" s="17" t="str"/>
      <x:c r="L516" s="17" t="str">
        <x:v>已完成：查询创业板指权重最高的前10只成分股，取得 10 条记录。</x:v>
      </x:c>
      <x:c r="M516" s="17" t="str"/>
      <x:c r="N516" s="18" t="n">
        <x:v>2.62</x:v>
      </x:c>
      <x:c r="O516" s="17" t="str">
        <x:v>public_sse_client_estimate</x:v>
      </x:c>
    </x:row>
    <x:row r="517" ht="48" customHeight="1">
      <x:c r="A517" s="17" t="str">
        <x:v>BUS104</x:v>
      </x:c>
      <x:c r="B517" s="17" t="str">
        <x:v>查询创业板指涨跌幅，并列出其权重最高的成分股当前涨跌幅。</x:v>
      </x:c>
      <x:c r="C517" s="17" t="n">
        <x:v>6</x:v>
      </x:c>
      <x:c r="D517" s="17" t="str">
        <x:v>数据查询 3/3</x:v>
      </x:c>
      <x:c r="E517" s="17" t="str">
        <x:v>19900.28</x:v>
      </x:c>
      <x:c r="F517" s="17" t="str">
        <x:v>19905.13</x:v>
      </x:c>
      <x:c r="G517" s="18" t="n">
        <x:v>4.85</x:v>
      </x:c>
      <x:c r="H517" s="18" t="n">
        <x:f>IFERROR(G517/1000,"")</x:f>
        <x:v>0.004849999999999999</x:v>
      </x:c>
      <x:c r="I517" s="19" t="n">
        <x:f>IFERROR(G517/J517,"")</x:f>
        <x:v>0.00014262369370664864</x:v>
      </x:c>
      <x:c r="J517" s="17" t="n">
        <x:v>34005.57</x:v>
      </x:c>
      <x:c r="K517" s="17" t="str"/>
      <x:c r="L517" s="17" t="str">
        <x:v>已完成：查询上述权重最高的10只成分股的最新行情涨跌幅，取得 10 条记录。</x:v>
      </x:c>
      <x:c r="M517" s="17" t="str"/>
      <x:c r="N517" s="18" t="n">
        <x:v>2.34</x:v>
      </x:c>
      <x:c r="O517" s="17" t="str">
        <x:v>public_sse_client_estimate</x:v>
      </x:c>
    </x:row>
    <x:row r="518" ht="48" customHeight="1">
      <x:c r="A518" s="17" t="str">
        <x:v>BUS104</x:v>
      </x:c>
      <x:c r="B518" s="17" t="str">
        <x:v>查询创业板指涨跌幅，并列出其权重最高的成分股当前涨跌幅。</x:v>
      </x:c>
      <x:c r="C518" s="17" t="n">
        <x:v>7</x:v>
      </x:c>
      <x:c r="D518" s="17" t="str">
        <x:v>回答整理</x:v>
      </x:c>
      <x:c r="E518" s="17" t="str">
        <x:v>19905.13</x:v>
      </x:c>
      <x:c r="F518" s="17" t="str">
        <x:v>30416.84</x:v>
      </x:c>
      <x:c r="G518" s="18" t="n">
        <x:v>10511.71</x:v>
      </x:c>
      <x:c r="H518" s="18" t="n">
        <x:f>IFERROR(G518/1000,"")</x:f>
        <x:v>10.511709999999999</x:v>
      </x:c>
      <x:c r="I518" s="19" t="n">
        <x:f>IFERROR(G518/J518,"")</x:f>
        <x:v>0.3091173004893022</x:v>
      </x:c>
      <x:c r="J518" s="17" t="n">
        <x:v>34005.57</x:v>
      </x:c>
      <x:c r="K518" s="17" t="str"/>
      <x:c r="L518" s="17" t="str">
        <x:v>证据与回答已整理完成。</x:v>
      </x:c>
      <x:c r="M518" s="17" t="str"/>
      <x:c r="N518" s="18" t="n">
        <x:v>0</x:v>
      </x:c>
      <x:c r="O518" s="17" t="str">
        <x:v>public_sse_client_estimate</x:v>
      </x:c>
    </x:row>
    <x:row r="519" ht="48" customHeight="1">
      <x:c r="A519" s="17" t="str">
        <x:v>BUS105</x:v>
      </x:c>
      <x:c r="B519" s="17" t="str">
        <x:v>对比沪深300指数和沪深300ETF今天的涨跌幅。</x:v>
      </x:c>
      <x:c r="C519" s="17" t="n">
        <x:v>1</x:v>
      </x:c>
      <x:c r="D519" s="17" t="str">
        <x:v>问题理解</x:v>
      </x:c>
      <x:c r="E519" s="17" t="str">
        <x:v>5650.93</x:v>
      </x:c>
      <x:c r="F519" s="17" t="str">
        <x:v>9182.36</x:v>
      </x:c>
      <x:c r="G519" s="18" t="n">
        <x:v>3531.43</x:v>
      </x:c>
      <x:c r="H519" s="18" t="n">
        <x:f>IFERROR(G519/1000,"")</x:f>
        <x:v>3.53143</x:v>
      </x:c>
      <x:c r="I519" s="19" t="n">
        <x:f>IFERROR(G519/J519,"")</x:f>
        <x:v>0.1646117946700427</x:v>
      </x:c>
      <x:c r="J519" s="17" t="n">
        <x:v>21453.08</x:v>
      </x:c>
      <x:c r="K519" s="17" t="str"/>
      <x:c r="L519" s="17" t="str">
        <x:v>已明确本题的对象与口径，开始获取所需证据。</x:v>
      </x:c>
      <x:c r="M519" s="17" t="str"/>
      <x:c r="N519" s="18" t="n">
        <x:v>5650.93</x:v>
      </x:c>
      <x:c r="O519" s="17" t="str">
        <x:v>public_sse_client_estimate</x:v>
      </x:c>
    </x:row>
    <x:row r="520" ht="48" customHeight="1">
      <x:c r="A520" s="17" t="str">
        <x:v>BUS105</x:v>
      </x:c>
      <x:c r="B520" s="17" t="str">
        <x:v>对比沪深300指数和沪深300ETF今天的涨跌幅。</x:v>
      </x:c>
      <x:c r="C520" s="17" t="n">
        <x:v>2</x:v>
      </x:c>
      <x:c r="D520" s="17" t="str">
        <x:v>数据口径</x:v>
      </x:c>
      <x:c r="E520" s="17" t="str">
        <x:v>9182.36</x:v>
      </x:c>
      <x:c r="F520" s="17" t="str">
        <x:v>9208.22</x:v>
      </x:c>
      <x:c r="G520" s="18" t="n">
        <x:v>25.86</x:v>
      </x:c>
      <x:c r="H520" s="18" t="n">
        <x:f>IFERROR(G520/1000,"")</x:f>
        <x:v>0.02586</x:v>
      </x:c>
      <x:c r="I520" s="19" t="n">
        <x:f>IFERROR(G520/J520,"")</x:f>
        <x:v>0.0012054213194562272</x:v>
      </x:c>
      <x:c r="J520" s="17" t="n">
        <x:v>21453.08</x:v>
      </x:c>
      <x:c r="K520" s="17" t="str"/>
      <x:c r="L520" s="17" t="str">
        <x:v>已定位指数行情视图，并确认了可用字段与时间口径。</x:v>
      </x:c>
      <x:c r="M520" s="17" t="str"/>
      <x:c r="N520" s="18" t="n">
        <x:v>0</x:v>
      </x:c>
      <x:c r="O520" s="17" t="str">
        <x:v>public_sse_client_estimate</x:v>
      </x:c>
    </x:row>
    <x:row r="521" ht="48" customHeight="1">
      <x:c r="A521" s="17" t="str">
        <x:v>BUS105</x:v>
      </x:c>
      <x:c r="B521" s="17" t="str">
        <x:v>对比沪深300指数和沪深300ETF今天的涨跌幅。</x:v>
      </x:c>
      <x:c r="C521" s="17" t="n">
        <x:v>3</x:v>
      </x:c>
      <x:c r="D521" s="17" t="str">
        <x:v>数据口径</x:v>
      </x:c>
      <x:c r="E521" s="17" t="str">
        <x:v>9208.22</x:v>
      </x:c>
      <x:c r="F521" s="17" t="str">
        <x:v>9614.78</x:v>
      </x:c>
      <x:c r="G521" s="18" t="n">
        <x:v>406.56</x:v>
      </x:c>
      <x:c r="H521" s="18" t="n">
        <x:f>IFERROR(G521/1000,"")</x:f>
        <x:v>0.40656</x:v>
      </x:c>
      <x:c r="I521" s="19" t="n">
        <x:f>IFERROR(G521/J521,"")</x:f>
        <x:v>0.01895112496667145</x:v>
      </x:c>
      <x:c r="J521" s="17" t="n">
        <x:v>21453.08</x:v>
      </x:c>
      <x:c r="K521" s="17" t="str"/>
      <x:c r="L521" s="17" t="str">
        <x:v>已定位基金行情视图，并确认了可用字段与时间口径。</x:v>
      </x:c>
      <x:c r="M521" s="17" t="str"/>
      <x:c r="N521" s="18" t="n">
        <x:v>0</x:v>
      </x:c>
      <x:c r="O521" s="17" t="str">
        <x:v>public_sse_client_estimate</x:v>
      </x:c>
    </x:row>
    <x:row r="522" ht="48" customHeight="1">
      <x:c r="A522" s="17" t="str">
        <x:v>BUS105</x:v>
      </x:c>
      <x:c r="B522" s="17" t="str">
        <x:v>对比沪深300指数和沪深300ETF今天的涨跌幅。</x:v>
      </x:c>
      <x:c r="C522" s="17" t="n">
        <x:v>4</x:v>
      </x:c>
      <x:c r="D522" s="17" t="str">
        <x:v>数据查询 1/2</x:v>
      </x:c>
      <x:c r="E522" s="17" t="str">
        <x:v>12770.5</x:v>
      </x:c>
      <x:c r="F522" s="17" t="str">
        <x:v>14482.17</x:v>
      </x:c>
      <x:c r="G522" s="18" t="n">
        <x:v>1711.67</x:v>
      </x:c>
      <x:c r="H522" s="18" t="n">
        <x:f>IFERROR(G522/1000,"")</x:f>
        <x:v>1.71167</x:v>
      </x:c>
      <x:c r="I522" s="19" t="n">
        <x:f>IFERROR(G522/J522,"")</x:f>
        <x:v>0.07978667864940606</x:v>
      </x:c>
      <x:c r="J522" s="17" t="n">
        <x:v>21453.08</x:v>
      </x:c>
      <x:c r="K522" s="17" t="str"/>
      <x:c r="L522" s="17" t="str">
        <x:v>已完成：查询沪深300指数上一个交易日的涨跌幅，取得 1 条记录。</x:v>
      </x:c>
      <x:c r="M522" s="17" t="str"/>
      <x:c r="N522" s="18" t="n">
        <x:v>3155.72</x:v>
      </x:c>
      <x:c r="O522" s="17" t="str">
        <x:v>public_sse_client_estimate</x:v>
      </x:c>
    </x:row>
    <x:row r="523" ht="48" customHeight="1">
      <x:c r="A523" s="17" t="str">
        <x:v>BUS105</x:v>
      </x:c>
      <x:c r="B523" s="17" t="str">
        <x:v>对比沪深300指数和沪深300ETF今天的涨跌幅。</x:v>
      </x:c>
      <x:c r="C523" s="17" t="n">
        <x:v>5</x:v>
      </x:c>
      <x:c r="D523" s="17" t="str">
        <x:v>数据查询 2/2</x:v>
      </x:c>
      <x:c r="E523" s="17" t="str">
        <x:v>17744.35</x:v>
      </x:c>
      <x:c r="F523" s="17" t="str">
        <x:v>17750.91</x:v>
      </x:c>
      <x:c r="G523" s="18" t="n">
        <x:v>6.56</x:v>
      </x:c>
      <x:c r="H523" s="18" t="n">
        <x:f>IFERROR(G523/1000,"")</x:f>
        <x:v>0.00656</x:v>
      </x:c>
      <x:c r="I523" s="19" t="n">
        <x:f>IFERROR(G523/J523,"")</x:f>
        <x:v>0.00030578359843901195</x:v>
      </x:c>
      <x:c r="J523" s="17" t="n">
        <x:v>21453.08</x:v>
      </x:c>
      <x:c r="K523" s="17" t="str"/>
      <x:c r="L523" s="17" t="str">
        <x:v>已完成：查询沪深300ETF（510300.SH）上一个交易日的涨跌幅，取得 1 条记录。</x:v>
      </x:c>
      <x:c r="M523" s="17" t="str"/>
      <x:c r="N523" s="18" t="n">
        <x:v>3262.18</x:v>
      </x:c>
      <x:c r="O523" s="17" t="str">
        <x:v>public_sse_client_estimate</x:v>
      </x:c>
    </x:row>
    <x:row r="524" ht="48" customHeight="1">
      <x:c r="A524" s="17" t="str">
        <x:v>BUS105</x:v>
      </x:c>
      <x:c r="B524" s="17" t="str">
        <x:v>对比沪深300指数和沪深300ETF今天的涨跌幅。</x:v>
      </x:c>
      <x:c r="C524" s="17" t="n">
        <x:v>6</x:v>
      </x:c>
      <x:c r="D524" s="17" t="str">
        <x:v>回答整理</x:v>
      </x:c>
      <x:c r="E524" s="17" t="str">
        <x:v>17750.91</x:v>
      </x:c>
      <x:c r="F524" s="17" t="str">
        <x:v>19010.05</x:v>
      </x:c>
      <x:c r="G524" s="18" t="n">
        <x:v>1259.14</x:v>
      </x:c>
      <x:c r="H524" s="18" t="n">
        <x:f>IFERROR(G524/1000,"")</x:f>
        <x:v>1.2591400000000001</x:v>
      </x:c>
      <x:c r="I524" s="19" t="n">
        <x:f>IFERROR(G524/J524,"")</x:f>
        <x:v>0.058692737825990486</x:v>
      </x:c>
      <x:c r="J524" s="17" t="n">
        <x:v>21453.08</x:v>
      </x:c>
      <x:c r="K524" s="17" t="str"/>
      <x:c r="L524" s="17" t="str">
        <x:v>证据与回答已整理完成。</x:v>
      </x:c>
      <x:c r="M524" s="17" t="str"/>
      <x:c r="N524" s="18" t="n">
        <x:v>0</x:v>
      </x:c>
      <x:c r="O524" s="17" t="str">
        <x:v>public_sse_client_estimate</x:v>
      </x:c>
    </x:row>
    <x:row r="525" ht="48" customHeight="1">
      <x:c r="A525" s="17" t="str">
        <x:v>BUS106</x:v>
      </x:c>
      <x:c r="B525" s="17" t="str">
        <x:v>查询中证500当前估值，并统计其成分股主力净流入前10名。</x:v>
      </x:c>
      <x:c r="C525" s="17" t="n">
        <x:v>1</x:v>
      </x:c>
      <x:c r="D525" s="17" t="str">
        <x:v>问题理解</x:v>
      </x:c>
      <x:c r="E525" s="17" t="str">
        <x:v>5226.09</x:v>
      </x:c>
      <x:c r="F525" s="17" t="str">
        <x:v>10959.03</x:v>
      </x:c>
      <x:c r="G525" s="18" t="n">
        <x:v>5732.94</x:v>
      </x:c>
      <x:c r="H525" s="18" t="n">
        <x:f>IFERROR(G525/1000,"")</x:f>
        <x:v>5.732939999999999</x:v>
      </x:c>
      <x:c r="I525" s="19" t="n">
        <x:f>IFERROR(G525/J525,"")</x:f>
        <x:v>0.10456325915398627</x:v>
      </x:c>
      <x:c r="J525" s="17" t="n">
        <x:v>54827.48</x:v>
      </x:c>
      <x:c r="K525" s="17" t="str"/>
      <x:c r="L525" s="17" t="str">
        <x:v>已明确本题的对象与口径，开始获取所需证据。</x:v>
      </x:c>
      <x:c r="M525" s="17" t="str"/>
      <x:c r="N525" s="18" t="n">
        <x:v>5226.09</x:v>
      </x:c>
      <x:c r="O525" s="17" t="str">
        <x:v>public_sse_client_estimate</x:v>
      </x:c>
    </x:row>
    <x:row r="526" ht="48" customHeight="1">
      <x:c r="A526" s="17" t="str">
        <x:v>BUS106</x:v>
      </x:c>
      <x:c r="B526" s="17" t="str">
        <x:v>查询中证500当前估值，并统计其成分股主力净流入前10名。</x:v>
      </x:c>
      <x:c r="C526" s="17" t="n">
        <x:v>2</x:v>
      </x:c>
      <x:c r="D526" s="17" t="str">
        <x:v>数据口径</x:v>
      </x:c>
      <x:c r="E526" s="17" t="str">
        <x:v>10959.03</x:v>
      </x:c>
      <x:c r="F526" s="17" t="str">
        <x:v>11160.47</x:v>
      </x:c>
      <x:c r="G526" s="18" t="n">
        <x:v>201.44</x:v>
      </x:c>
      <x:c r="H526" s="18" t="n">
        <x:f>IFERROR(G526/1000,"")</x:f>
        <x:v>0.20144</x:v>
      </x:c>
      <x:c r="I526" s="19" t="n">
        <x:f>IFERROR(G526/J526,"")</x:f>
        <x:v>0.0036740700101481954</x:v>
      </x:c>
      <x:c r="J526" s="17" t="n">
        <x:v>54827.48</x:v>
      </x:c>
      <x:c r="K526" s="17" t="str"/>
      <x:c r="L526" s="17" t="str">
        <x:v>已定位指数估值视图，并确认了可用字段与时间口径。</x:v>
      </x:c>
      <x:c r="M526" s="17" t="str"/>
      <x:c r="N526" s="18" t="n">
        <x:v>0</x:v>
      </x:c>
      <x:c r="O526" s="17" t="str">
        <x:v>public_sse_client_estimate</x:v>
      </x:c>
    </x:row>
    <x:row r="527" ht="48" customHeight="1">
      <x:c r="A527" s="17" t="str">
        <x:v>BUS106</x:v>
      </x:c>
      <x:c r="B527" s="17" t="str">
        <x:v>查询中证500当前估值，并统计其成分股主力净流入前10名。</x:v>
      </x:c>
      <x:c r="C527" s="17" t="n">
        <x:v>3</x:v>
      </x:c>
      <x:c r="D527" s="17" t="str">
        <x:v>数据口径</x:v>
      </x:c>
      <x:c r="E527" s="17" t="str">
        <x:v>11160.47</x:v>
      </x:c>
      <x:c r="F527" s="17" t="str">
        <x:v>11383.56</x:v>
      </x:c>
      <x:c r="G527" s="18" t="n">
        <x:v>223.09</x:v>
      </x:c>
      <x:c r="H527" s="18" t="n">
        <x:f>IFERROR(G527/1000,"")</x:f>
        <x:v>0.22309</x:v>
      </x:c>
      <x:c r="I527" s="19" t="n">
        <x:f>IFERROR(G527/J527,"")</x:f>
        <x:v>0.0040689449888997265</x:v>
      </x:c>
      <x:c r="J527" s="17" t="n">
        <x:v>54827.48</x:v>
      </x:c>
      <x:c r="K527" s="17" t="str"/>
      <x:c r="L527" s="17" t="str">
        <x:v>已定位指数成分关系视图，并确认了可用字段与时间口径。</x:v>
      </x:c>
      <x:c r="M527" s="17" t="str"/>
      <x:c r="N527" s="18" t="n">
        <x:v>0</x:v>
      </x:c>
      <x:c r="O527" s="17" t="str">
        <x:v>public_sse_client_estimate</x:v>
      </x:c>
    </x:row>
    <x:row r="528" ht="48" customHeight="1">
      <x:c r="A528" s="17" t="str">
        <x:v>BUS106</x:v>
      </x:c>
      <x:c r="B528" s="17" t="str">
        <x:v>查询中证500当前估值，并统计其成分股主力净流入前10名。</x:v>
      </x:c>
      <x:c r="C528" s="17" t="n">
        <x:v>4</x:v>
      </x:c>
      <x:c r="D528" s="17" t="str">
        <x:v>数据口径</x:v>
      </x:c>
      <x:c r="E528" s="17" t="str">
        <x:v>11383.56</x:v>
      </x:c>
      <x:c r="F528" s="17" t="str">
        <x:v>11824.97</x:v>
      </x:c>
      <x:c r="G528" s="18" t="n">
        <x:v>441.41</x:v>
      </x:c>
      <x:c r="H528" s="18" t="n">
        <x:f>IFERROR(G528/1000,"")</x:f>
        <x:v>0.44141</x:v>
      </x:c>
      <x:c r="I528" s="19" t="n">
        <x:f>IFERROR(G528/J528,"")</x:f>
        <x:v>0.008050889809270826</x:v>
      </x:c>
      <x:c r="J528" s="17" t="n">
        <x:v>54827.48</x:v>
      </x:c>
      <x:c r="K528" s="17" t="str"/>
      <x:c r="L528" s="17" t="str">
        <x:v>已定位个股资金流视图，并确认了可用字段与时间口径。</x:v>
      </x:c>
      <x:c r="M528" s="17" t="str"/>
      <x:c r="N528" s="18" t="n">
        <x:v>0</x:v>
      </x:c>
      <x:c r="O528" s="17" t="str">
        <x:v>public_sse_client_estimate</x:v>
      </x:c>
    </x:row>
    <x:row r="529" ht="48" customHeight="1">
      <x:c r="A529" s="17" t="str">
        <x:v>BUS106</x:v>
      </x:c>
      <x:c r="B529" s="17" t="str">
        <x:v>查询中证500当前估值，并统计其成分股主力净流入前10名。</x:v>
      </x:c>
      <x:c r="C529" s="17" t="n">
        <x:v>5</x:v>
      </x:c>
      <x:c r="D529" s="17" t="str">
        <x:v>数据查询 1/3</x:v>
      </x:c>
      <x:c r="E529" s="17" t="str">
        <x:v>19446.78</x:v>
      </x:c>
      <x:c r="F529" s="17" t="str">
        <x:v>19992.31</x:v>
      </x:c>
      <x:c r="G529" s="18" t="n">
        <x:v>545.53</x:v>
      </x:c>
      <x:c r="H529" s="18" t="n">
        <x:f>IFERROR(G529/1000,"")</x:f>
        <x:v>0.54553</x:v>
      </x:c>
      <x:c r="I529" s="19" t="n">
        <x:f>IFERROR(G529/J529,"")</x:f>
        <x:v>0.009949937513086503</x:v>
      </x:c>
      <x:c r="J529" s="17" t="n">
        <x:v>54827.48</x:v>
      </x:c>
      <x:c r="K529" s="17" t="str"/>
      <x:c r="L529" s="17" t="str">
        <x:v>已完成：查询中证500指数的当前估值数据（PE、PB等），取得 1 条记录。</x:v>
      </x:c>
      <x:c r="M529" s="17" t="str"/>
      <x:c r="N529" s="18" t="n">
        <x:v>7621.81</x:v>
      </x:c>
      <x:c r="O529" s="17" t="str">
        <x:v>public_sse_client_estimate</x:v>
      </x:c>
    </x:row>
    <x:row r="530" ht="48" customHeight="1">
      <x:c r="A530" s="17" t="str">
        <x:v>BUS106</x:v>
      </x:c>
      <x:c r="B530" s="17" t="str">
        <x:v>查询中证500当前估值，并统计其成分股主力净流入前10名。</x:v>
      </x:c>
      <x:c r="C530" s="17" t="n">
        <x:v>6</x:v>
      </x:c>
      <x:c r="D530" s="17" t="str">
        <x:v>数据查询 2/3</x:v>
      </x:c>
      <x:c r="E530" s="17" t="str">
        <x:v>19997.15</x:v>
      </x:c>
      <x:c r="F530" s="17" t="str">
        <x:v>20477.79</x:v>
      </x:c>
      <x:c r="G530" s="18" t="n">
        <x:v>480.64</x:v>
      </x:c>
      <x:c r="H530" s="18" t="n">
        <x:f>IFERROR(G530/1000,"")</x:f>
        <x:v>0.48064</x:v>
      </x:c>
      <x:c r="I530" s="19" t="n">
        <x:f>IFERROR(G530/J530,"")</x:f>
        <x:v>0.008766406918574408</x:v>
      </x:c>
      <x:c r="J530" s="17" t="n">
        <x:v>54827.48</x:v>
      </x:c>
      <x:c r="K530" s="17" t="str"/>
      <x:c r="L530" s="17" t="str">
        <x:v>已完成：获取中证500指数的全部成分股名单，取得 100 条记录。</x:v>
      </x:c>
      <x:c r="M530" s="17" t="str"/>
      <x:c r="N530" s="18" t="n">
        <x:v>4.84</x:v>
      </x:c>
      <x:c r="O530" s="17" t="str">
        <x:v>public_sse_client_estimate</x:v>
      </x:c>
    </x:row>
    <x:row r="531" ht="48" customHeight="1">
      <x:c r="A531" s="17" t="str">
        <x:v>BUS106</x:v>
      </x:c>
      <x:c r="B531" s="17" t="str">
        <x:v>查询中证500当前估值，并统计其成分股主力净流入前10名。</x:v>
      </x:c>
      <x:c r="C531" s="17" t="n">
        <x:v>7</x:v>
      </x:c>
      <x:c r="D531" s="17" t="str">
        <x:v>数据查询 3/3</x:v>
      </x:c>
      <x:c r="E531" s="17" t="str">
        <x:v>20481.46</x:v>
      </x:c>
      <x:c r="F531" s="17" t="str">
        <x:v>21566.26</x:v>
      </x:c>
      <x:c r="G531" s="18" t="n">
        <x:v>1084.8</x:v>
      </x:c>
      <x:c r="H531" s="18" t="n">
        <x:f>IFERROR(G531/1000,"")</x:f>
        <x:v>1.0848</x:v>
      </x:c>
      <x:c r="I531" s="19" t="n">
        <x:f>IFERROR(G531/J531,"")</x:f>
        <x:v>0.019785698704372332</x:v>
      </x:c>
      <x:c r="J531" s="17" t="n">
        <x:v>54827.48</x:v>
      </x:c>
      <x:c r="K531" s="17" t="str"/>
      <x:c r="L531" s="17" t="str">
        <x:v>已完成：查询中证500成分股中主力净流入最大的前10只股票，取得 10 条记录。</x:v>
      </x:c>
      <x:c r="M531" s="17" t="str"/>
      <x:c r="N531" s="18" t="n">
        <x:v>3.67</x:v>
      </x:c>
      <x:c r="O531" s="17" t="str">
        <x:v>public_sse_client_estimate</x:v>
      </x:c>
    </x:row>
    <x:row r="532" ht="48" customHeight="1">
      <x:c r="A532" s="17" t="str">
        <x:v>BUS106</x:v>
      </x:c>
      <x:c r="B532" s="17" t="str">
        <x:v>查询中证500当前估值，并统计其成分股主力净流入前10名。</x:v>
      </x:c>
      <x:c r="C532" s="17" t="n">
        <x:v>8</x:v>
      </x:c>
      <x:c r="D532" s="17" t="str">
        <x:v>数据查询 1/1</x:v>
      </x:c>
      <x:c r="E532" s="17" t="str">
        <x:v>34753.94</x:v>
      </x:c>
      <x:c r="F532" s="17" t="str">
        <x:v>35342.36</x:v>
      </x:c>
      <x:c r="G532" s="18" t="n">
        <x:v>588.42</x:v>
      </x:c>
      <x:c r="H532" s="18" t="n">
        <x:f>IFERROR(G532/1000,"")</x:f>
        <x:v>0.5884199999999999</x:v>
      </x:c>
      <x:c r="I532" s="19" t="n">
        <x:f>IFERROR(G532/J532,"")</x:f>
        <x:v>0.010732209468682492</x:v>
      </x:c>
      <x:c r="J532" s="17" t="n">
        <x:v>54827.48</x:v>
      </x:c>
      <x:c r="K532" s="17" t="str"/>
      <x:c r="L532" s="17" t="str">
        <x:v>当前查询未完成，已保留此前取得的有效结果。</x:v>
      </x:c>
      <x:c r="M532" s="17" t="str"/>
      <x:c r="N532" s="18" t="n">
        <x:v>13187.68</x:v>
      </x:c>
      <x:c r="O532" s="17" t="str">
        <x:v>public_sse_client_estimate</x:v>
      </x:c>
    </x:row>
    <x:row r="533" ht="48" customHeight="1">
      <x:c r="A533" s="17" t="str">
        <x:v>BUS106</x:v>
      </x:c>
      <x:c r="B533" s="17" t="str">
        <x:v>查询中证500当前估值，并统计其成分股主力净流入前10名。</x:v>
      </x:c>
      <x:c r="C533" s="17" t="n">
        <x:v>9</x:v>
      </x:c>
      <x:c r="D533" s="17" t="str">
        <x:v>数据查询 1/1</x:v>
      </x:c>
      <x:c r="E533" s="17" t="str">
        <x:v>38971.13</x:v>
      </x:c>
      <x:c r="F533" s="17" t="str">
        <x:v>40031.09</x:v>
      </x:c>
      <x:c r="G533" s="18" t="n">
        <x:v>1059.96</x:v>
      </x:c>
      <x:c r="H533" s="18" t="n">
        <x:f>IFERROR(G533/1000,"")</x:f>
        <x:v>1.05996</x:v>
      </x:c>
      <x:c r="I533" s="19" t="n">
        <x:f>IFERROR(G533/J533,"")</x:f>
        <x:v>0.019332641222977967</x:v>
      </x:c>
      <x:c r="J533" s="17" t="n">
        <x:v>54827.48</x:v>
      </x:c>
      <x:c r="K533" s="17" t="str"/>
      <x:c r="L533" s="17" t="str">
        <x:v>已完成：查询中证500在最近交易日2026-07-31的估值数据，当前条件下没有匹配记录。</x:v>
      </x:c>
      <x:c r="M533" s="17" t="str"/>
      <x:c r="N533" s="18" t="n">
        <x:v>3628.77</x:v>
      </x:c>
      <x:c r="O533" s="17" t="str">
        <x:v>public_sse_client_estimate</x:v>
      </x:c>
    </x:row>
    <x:row r="534" ht="48" customHeight="1">
      <x:c r="A534" s="17" t="str">
        <x:v>BUS106</x:v>
      </x:c>
      <x:c r="B534" s="17" t="str">
        <x:v>查询中证500当前估值，并统计其成分股主力净流入前10名。</x:v>
      </x:c>
      <x:c r="C534" s="17" t="n">
        <x:v>10</x:v>
      </x:c>
      <x:c r="D534" s="17" t="str">
        <x:v>回答整理</x:v>
      </x:c>
      <x:c r="E534" s="17" t="str">
        <x:v>40031.09</x:v>
      </x:c>
      <x:c r="F534" s="17" t="str">
        <x:v>51043.06</x:v>
      </x:c>
      <x:c r="G534" s="18" t="n">
        <x:v>11011.97</x:v>
      </x:c>
      <x:c r="H534" s="18" t="n">
        <x:f>IFERROR(G534/1000,"")</x:f>
        <x:v>11.01197</x:v>
      </x:c>
      <x:c r="I534" s="19" t="n">
        <x:f>IFERROR(G534/J534,"")</x:f>
        <x:v>0.2008476406356812</x:v>
      </x:c>
      <x:c r="J534" s="17" t="n">
        <x:v>54827.48</x:v>
      </x:c>
      <x:c r="K534" s="17" t="str"/>
      <x:c r="L534" s="17" t="str">
        <x:v>证据与回答已整理完成。</x:v>
      </x:c>
      <x:c r="M534" s="17" t="str"/>
      <x:c r="N534" s="18" t="n">
        <x:v>0</x:v>
      </x:c>
      <x:c r="O534" s="17" t="str">
        <x:v>public_sse_client_estimate</x:v>
      </x:c>
    </x:row>
    <x:row r="535" ht="48" customHeight="1">
      <x:c r="A535" s="17" t="str">
        <x:v>BUS107</x:v>
      </x:c>
      <x:c r="B535" s="17" t="str">
        <x:v>查询所有申万一级行业的行业代码和行业名称。</x:v>
      </x:c>
      <x:c r="C535" s="17" t="n">
        <x:v>1</x:v>
      </x:c>
      <x:c r="D535" s="17" t="str">
        <x:v>问题理解</x:v>
      </x:c>
      <x:c r="E535" s="17" t="str">
        <x:v>5731.01</x:v>
      </x:c>
      <x:c r="F535" s="17" t="str">
        <x:v>7953.64</x:v>
      </x:c>
      <x:c r="G535" s="18" t="n">
        <x:v>2222.63</x:v>
      </x:c>
      <x:c r="H535" s="18" t="n">
        <x:f>IFERROR(G535/1000,"")</x:f>
        <x:v>2.22263</x:v>
      </x:c>
      <x:c r="I535" s="19" t="n">
        <x:f>IFERROR(G535/J535,"")</x:f>
        <x:v>0.11324187559356162</x:v>
      </x:c>
      <x:c r="J535" s="17" t="n">
        <x:v>19627.28</x:v>
      </x:c>
      <x:c r="K535" s="17" t="str"/>
      <x:c r="L535" s="17" t="str">
        <x:v>已明确本题的对象与口径，开始获取所需证据。</x:v>
      </x:c>
      <x:c r="M535" s="17" t="str"/>
      <x:c r="N535" s="18" t="n">
        <x:v>5731.01</x:v>
      </x:c>
      <x:c r="O535" s="17" t="str">
        <x:v>public_sse_client_estimate</x:v>
      </x:c>
    </x:row>
    <x:row r="536" ht="48" customHeight="1">
      <x:c r="A536" s="17" t="str">
        <x:v>BUS107</x:v>
      </x:c>
      <x:c r="B536" s="17" t="str">
        <x:v>查询所有申万一级行业的行业代码和行业名称。</x:v>
      </x:c>
      <x:c r="C536" s="17" t="n">
        <x:v>2</x:v>
      </x:c>
      <x:c r="D536" s="17" t="str">
        <x:v>数据口径</x:v>
      </x:c>
      <x:c r="E536" s="17" t="str">
        <x:v>7953.64</x:v>
      </x:c>
      <x:c r="F536" s="17" t="str">
        <x:v>7980.71</x:v>
      </x:c>
      <x:c r="G536" s="18" t="n">
        <x:v>27.07</x:v>
      </x:c>
      <x:c r="H536" s="18" t="n">
        <x:f>IFERROR(G536/1000,"")</x:f>
        <x:v>0.02707</x:v>
      </x:c>
      <x:c r="I536" s="19" t="n">
        <x:f>IFERROR(G536/J536,"")</x:f>
        <x:v>0.0013792028238247991</x:v>
      </x:c>
      <x:c r="J536" s="17" t="n">
        <x:v>19627.28</x:v>
      </x:c>
      <x:c r="K536" s="17" t="str"/>
      <x:c r="L536" s="17" t="str">
        <x:v>已定位行业基础信息视图，并确认了可用字段与时间口径。</x:v>
      </x:c>
      <x:c r="M536" s="17" t="str"/>
      <x:c r="N536" s="18" t="n">
        <x:v>0</x:v>
      </x:c>
      <x:c r="O536" s="17" t="str">
        <x:v>public_sse_client_estimate</x:v>
      </x:c>
    </x:row>
    <x:row r="537" ht="48" customHeight="1">
      <x:c r="A537" s="17" t="str">
        <x:v>BUS107</x:v>
      </x:c>
      <x:c r="B537" s="17" t="str">
        <x:v>查询所有申万一级行业的行业代码和行业名称。</x:v>
      </x:c>
      <x:c r="C537" s="17" t="n">
        <x:v>3</x:v>
      </x:c>
      <x:c r="D537" s="17" t="str">
        <x:v>数据查询 1/1</x:v>
      </x:c>
      <x:c r="E537" s="17" t="str">
        <x:v>10093</x:v>
      </x:c>
      <x:c r="F537" s="17" t="str">
        <x:v>11539.67</x:v>
      </x:c>
      <x:c r="G537" s="18" t="n">
        <x:v>1446.67</x:v>
      </x:c>
      <x:c r="H537" s="18" t="n">
        <x:f>IFERROR(G537/1000,"")</x:f>
        <x:v>1.4466700000000001</x:v>
      </x:c>
      <x:c r="I537" s="19" t="n">
        <x:f>IFERROR(G537/J537,"")</x:f>
        <x:v>0.07370710562034068</x:v>
      </x:c>
      <x:c r="J537" s="17" t="n">
        <x:v>19627.28</x:v>
      </x:c>
      <x:c r="K537" s="17" t="str"/>
      <x:c r="L537" s="17" t="str">
        <x:v>已完成：查询所有申万一级行业的行业代码和行业名称，取得 31 条记录。</x:v>
      </x:c>
      <x:c r="M537" s="17" t="str"/>
      <x:c r="N537" s="18" t="n">
        <x:v>2112.29</x:v>
      </x:c>
      <x:c r="O537" s="17" t="str">
        <x:v>public_sse_client_estimate</x:v>
      </x:c>
    </x:row>
    <x:row r="538" ht="48" customHeight="1">
      <x:c r="A538" s="17" t="str">
        <x:v>BUS107</x:v>
      </x:c>
      <x:c r="B538" s="17" t="str">
        <x:v>查询所有申万一级行业的行业代码和行业名称。</x:v>
      </x:c>
      <x:c r="C538" s="17" t="n">
        <x:v>4</x:v>
      </x:c>
      <x:c r="D538" s="17" t="str">
        <x:v>回答整理</x:v>
      </x:c>
      <x:c r="E538" s="17" t="str">
        <x:v>11539.67</x:v>
      </x:c>
      <x:c r="F538" s="17" t="str">
        <x:v>17236.61</x:v>
      </x:c>
      <x:c r="G538" s="18" t="n">
        <x:v>5696.94</x:v>
      </x:c>
      <x:c r="H538" s="18" t="n">
        <x:f>IFERROR(G538/1000,"")</x:f>
        <x:v>5.69694</x:v>
      </x:c>
      <x:c r="I538" s="19" t="n">
        <x:f>IFERROR(G538/J538,"")</x:f>
        <x:v>0.29025621481937386</x:v>
      </x:c>
      <x:c r="J538" s="17" t="n">
        <x:v>19627.28</x:v>
      </x:c>
      <x:c r="K538" s="17" t="str"/>
      <x:c r="L538" s="17" t="str">
        <x:v>证据与回答已整理完成。</x:v>
      </x:c>
      <x:c r="M538" s="17" t="str"/>
      <x:c r="N538" s="18" t="n">
        <x:v>0</x:v>
      </x:c>
      <x:c r="O538" s="17" t="str">
        <x:v>public_sse_client_estimate</x:v>
      </x:c>
    </x:row>
    <x:row r="539" ht="48" customHeight="1">
      <x:c r="A539" s="17" t="str">
        <x:v>BUS108</x:v>
      </x:c>
      <x:c r="B539" s="17" t="str">
        <x:v>查询半导体所属的申万行业级别和上级行业。</x:v>
      </x:c>
      <x:c r="C539" s="17" t="n">
        <x:v>1</x:v>
      </x:c>
      <x:c r="D539" s="17" t="str">
        <x:v>问题理解</x:v>
      </x:c>
      <x:c r="E539" s="17" t="str">
        <x:v>5903.86</x:v>
      </x:c>
      <x:c r="F539" s="17" t="str">
        <x:v>8040.39</x:v>
      </x:c>
      <x:c r="G539" s="18" t="n">
        <x:v>2136.53</x:v>
      </x:c>
      <x:c r="H539" s="18" t="n">
        <x:f>IFERROR(G539/1000,"")</x:f>
        <x:v>2.13653</x:v>
      </x:c>
      <x:c r="I539" s="19" t="n">
        <x:f>IFERROR(G539/J539,"")</x:f>
        <x:v>0.042605263834850644</x:v>
      </x:c>
      <x:c r="J539" s="17" t="n">
        <x:v>50147.09</x:v>
      </x:c>
      <x:c r="K539" s="17" t="str"/>
      <x:c r="L539" s="17" t="str">
        <x:v>已明确本题的对象与口径，开始获取所需证据。</x:v>
      </x:c>
      <x:c r="M539" s="17" t="str"/>
      <x:c r="N539" s="18" t="n">
        <x:v>5903.86</x:v>
      </x:c>
      <x:c r="O539" s="17" t="str">
        <x:v>public_sse_client_estimate</x:v>
      </x:c>
    </x:row>
    <x:row r="540" ht="48" customHeight="1">
      <x:c r="A540" s="17" t="str">
        <x:v>BUS108</x:v>
      </x:c>
      <x:c r="B540" s="17" t="str">
        <x:v>查询半导体所属的申万行业级别和上级行业。</x:v>
      </x:c>
      <x:c r="C540" s="17" t="n">
        <x:v>2</x:v>
      </x:c>
      <x:c r="D540" s="17" t="str">
        <x:v>数据口径</x:v>
      </x:c>
      <x:c r="E540" s="17" t="str">
        <x:v>8040.39</x:v>
      </x:c>
      <x:c r="F540" s="17" t="str">
        <x:v>8058.29</x:v>
      </x:c>
      <x:c r="G540" s="18" t="n">
        <x:v>17.9</x:v>
      </x:c>
      <x:c r="H540" s="18" t="n">
        <x:f>IFERROR(G540/1000,"")</x:f>
        <x:v>0.0179</x:v>
      </x:c>
      <x:c r="I540" s="19" t="n">
        <x:f>IFERROR(G540/J540,"")</x:f>
        <x:v>0.0003569499247114838</x:v>
      </x:c>
      <x:c r="J540" s="17" t="n">
        <x:v>50147.09</x:v>
      </x:c>
      <x:c r="K540" s="17" t="str"/>
      <x:c r="L540" s="17" t="str">
        <x:v>已定位行业基础信息视图，并确认了可用字段与时间口径。</x:v>
      </x:c>
      <x:c r="M540" s="17" t="str"/>
      <x:c r="N540" s="18" t="n">
        <x:v>0</x:v>
      </x:c>
      <x:c r="O540" s="17" t="str">
        <x:v>public_sse_client_estimate</x:v>
      </x:c>
    </x:row>
    <x:row r="541" ht="48" customHeight="1">
      <x:c r="A541" s="17" t="str">
        <x:v>BUS108</x:v>
      </x:c>
      <x:c r="B541" s="17" t="str">
        <x:v>查询半导体所属的申万行业级别和上级行业。</x:v>
      </x:c>
      <x:c r="C541" s="17" t="n">
        <x:v>3</x:v>
      </x:c>
      <x:c r="D541" s="17" t="str">
        <x:v>数据查询 1/1</x:v>
      </x:c>
      <x:c r="E541" s="17" t="str">
        <x:v>10636.75</x:v>
      </x:c>
      <x:c r="F541" s="17" t="str">
        <x:v>11154.52</x:v>
      </x:c>
      <x:c r="G541" s="18" t="n">
        <x:v>517.77</x:v>
      </x:c>
      <x:c r="H541" s="18" t="n">
        <x:f>IFERROR(G541/1000,"")</x:f>
        <x:v>0.51777</x:v>
      </x:c>
      <x:c r="I541" s="19" t="n">
        <x:f>IFERROR(G541/J541,"")</x:f>
        <x:v>0.01032502583898687</x:v>
      </x:c>
      <x:c r="J541" s="17" t="n">
        <x:v>50147.09</x:v>
      </x:c>
      <x:c r="K541" s="17" t="str"/>
      <x:c r="L541" s="17" t="str">
        <x:v>第 1 步的数据源查询未完成。</x:v>
      </x:c>
      <x:c r="M541" s="17" t="str"/>
      <x:c r="N541" s="18" t="n">
        <x:v>2578.46</x:v>
      </x:c>
      <x:c r="O541" s="17" t="str">
        <x:v>public_sse_client_estimate</x:v>
      </x:c>
    </x:row>
    <x:row r="542" ht="48" customHeight="1">
      <x:c r="A542" s="17" t="str">
        <x:v>BUS108</x:v>
      </x:c>
      <x:c r="B542" s="17" t="str">
        <x:v>查询半导体所属的申万行业级别和上级行业。</x:v>
      </x:c>
      <x:c r="C542" s="17" t="n">
        <x:v>4</x:v>
      </x:c>
      <x:c r="D542" s="17" t="str">
        <x:v>数据查询 1/1</x:v>
      </x:c>
      <x:c r="E542" s="17" t="str">
        <x:v>14547.9</x:v>
      </x:c>
      <x:c r="F542" s="17" t="str">
        <x:v>15072.79</x:v>
      </x:c>
      <x:c r="G542" s="18" t="n">
        <x:v>524.89</x:v>
      </x:c>
      <x:c r="H542" s="18" t="n">
        <x:f>IFERROR(G542/1000,"")</x:f>
        <x:v>0.52489</x:v>
      </x:c>
      <x:c r="I542" s="19" t="n">
        <x:f>IFERROR(G542/J542,"")</x:f>
        <x:v>0.01046700815540842</x:v>
      </x:c>
      <x:c r="J542" s="17" t="n">
        <x:v>50147.09</x:v>
      </x:c>
      <x:c r="K542" s="17" t="str"/>
      <x:c r="L542" s="17" t="str">
        <x:v>第 1 步的数据源查询未完成。</x:v>
      </x:c>
      <x:c r="M542" s="17" t="str"/>
      <x:c r="N542" s="18" t="n">
        <x:v>3393.38</x:v>
      </x:c>
      <x:c r="O542" s="17" t="str">
        <x:v>public_sse_client_estimate</x:v>
      </x:c>
    </x:row>
    <x:row r="543" ht="48" customHeight="1">
      <x:c r="A543" s="17" t="str">
        <x:v>BUS108</x:v>
      </x:c>
      <x:c r="B543" s="17" t="str">
        <x:v>查询半导体所属的申万行业级别和上级行业。</x:v>
      </x:c>
      <x:c r="C543" s="17" t="n">
        <x:v>5</x:v>
      </x:c>
      <x:c r="D543" s="17" t="str">
        <x:v>数据查询 1/1</x:v>
      </x:c>
      <x:c r="E543" s="17" t="str">
        <x:v>17462.75</x:v>
      </x:c>
      <x:c r="F543" s="17" t="str">
        <x:v>18031.34</x:v>
      </x:c>
      <x:c r="G543" s="18" t="n">
        <x:v>568.59</x:v>
      </x:c>
      <x:c r="H543" s="18" t="n">
        <x:f>IFERROR(G543/1000,"")</x:f>
        <x:v>0.56859</x:v>
      </x:c>
      <x:c r="I543" s="19" t="n">
        <x:f>IFERROR(G543/J543,"")</x:f>
        <x:v>0.011338444563782267</x:v>
      </x:c>
      <x:c r="J543" s="17" t="n">
        <x:v>50147.09</x:v>
      </x:c>
      <x:c r="K543" s="17" t="str"/>
      <x:c r="L543" s="17" t="str">
        <x:v>第 1 步的数据源查询未完成。</x:v>
      </x:c>
      <x:c r="M543" s="17" t="str"/>
      <x:c r="N543" s="18" t="n">
        <x:v>2389.96</x:v>
      </x:c>
      <x:c r="O543" s="17" t="str">
        <x:v>public_sse_client_estimate</x:v>
      </x:c>
    </x:row>
    <x:row r="544" ht="48" customHeight="1">
      <x:c r="A544" s="17" t="str">
        <x:v>BUS108</x:v>
      </x:c>
      <x:c r="B544" s="17" t="str">
        <x:v>查询半导体所属的申万行业级别和上级行业。</x:v>
      </x:c>
      <x:c r="C544" s="17" t="n">
        <x:v>6</x:v>
      </x:c>
      <x:c r="D544" s="17" t="str">
        <x:v>数据查询 1/1</x:v>
      </x:c>
      <x:c r="E544" s="17" t="str">
        <x:v>20718.83</x:v>
      </x:c>
      <x:c r="F544" s="17" t="str">
        <x:v>21171.02</x:v>
      </x:c>
      <x:c r="G544" s="18" t="n">
        <x:v>452.19</x:v>
      </x:c>
      <x:c r="H544" s="18" t="n">
        <x:f>IFERROR(G544/1000,"")</x:f>
        <x:v>0.45219</x:v>
      </x:c>
      <x:c r="I544" s="19" t="n">
        <x:f>IFERROR(G544/J544,"")</x:f>
        <x:v>0.009017272986328819</x:v>
      </x:c>
      <x:c r="J544" s="17" t="n">
        <x:v>50147.09</x:v>
      </x:c>
      <x:c r="K544" s="17" t="str"/>
      <x:c r="L544" s="17" t="str">
        <x:v>第 1 步的数据源查询未完成。</x:v>
      </x:c>
      <x:c r="M544" s="17" t="str"/>
      <x:c r="N544" s="18" t="n">
        <x:v>2687.49</x:v>
      </x:c>
      <x:c r="O544" s="17" t="str">
        <x:v>public_sse_client_estimate</x:v>
      </x:c>
    </x:row>
    <x:row r="545" ht="48" customHeight="1">
      <x:c r="A545" s="17" t="str">
        <x:v>BUS108</x:v>
      </x:c>
      <x:c r="B545" s="17" t="str">
        <x:v>查询半导体所属的申万行业级别和上级行业。</x:v>
      </x:c>
      <x:c r="C545" s="17" t="n">
        <x:v>7</x:v>
      </x:c>
      <x:c r="D545" s="17" t="str">
        <x:v>数据口径</x:v>
      </x:c>
      <x:c r="E545" s="17" t="str">
        <x:v>21171.02</x:v>
      </x:c>
      <x:c r="F545" s="17" t="str">
        <x:v>23682.03</x:v>
      </x:c>
      <x:c r="G545" s="18" t="n">
        <x:v>2511.01</x:v>
      </x:c>
      <x:c r="H545" s="18" t="n">
        <x:f>IFERROR(G545/1000,"")</x:f>
        <x:v>2.51101</x:v>
      </x:c>
      <x:c r="I545" s="19" t="n">
        <x:f>IFERROR(G545/J545,"")</x:f>
        <x:v>0.0500728955558538</x:v>
      </x:c>
      <x:c r="J545" s="17" t="n">
        <x:v>50147.09</x:v>
      </x:c>
      <x:c r="K545" s="17" t="str"/>
      <x:c r="L545" s="17" t="str">
        <x:v>已定位行业成分关系视图，并确认了可用字段与时间口径。</x:v>
      </x:c>
      <x:c r="M545" s="17" t="str"/>
      <x:c r="N545" s="18" t="n">
        <x:v>0</x:v>
      </x:c>
      <x:c r="O545" s="17" t="str">
        <x:v>public_sse_client_estimate</x:v>
      </x:c>
    </x:row>
    <x:row r="546" ht="48" customHeight="1">
      <x:c r="A546" s="17" t="str">
        <x:v>BUS108</x:v>
      </x:c>
      <x:c r="B546" s="17" t="str">
        <x:v>查询半导体所属的申万行业级别和上级行业。</x:v>
      </x:c>
      <x:c r="C546" s="17" t="n">
        <x:v>8</x:v>
      </x:c>
      <x:c r="D546" s="17" t="str">
        <x:v>数据查询 1/1</x:v>
      </x:c>
      <x:c r="E546" s="17" t="str">
        <x:v>27175.11</x:v>
      </x:c>
      <x:c r="F546" s="17" t="str">
        <x:v>29429.01</x:v>
      </x:c>
      <x:c r="G546" s="18" t="n">
        <x:v>2253.9</x:v>
      </x:c>
      <x:c r="H546" s="18" t="n">
        <x:f>IFERROR(G546/1000,"")</x:f>
        <x:v>2.2539000000000002</x:v>
      </x:c>
      <x:c r="I546" s="19" t="n">
        <x:f>IFERROR(G546/J546,"")</x:f>
        <x:v>0.04494577850878287</x:v>
      </x:c>
      <x:c r="J546" s="17" t="n">
        <x:v>50147.09</x:v>
      </x:c>
      <x:c r="K546" s="17" t="str"/>
      <x:c r="L546" s="17" t="str">
        <x:v>已完成：查询半导体行业的级别和上级行业，取得 1 条记录。</x:v>
      </x:c>
      <x:c r="M546" s="17" t="str"/>
      <x:c r="N546" s="18" t="n">
        <x:v>3493.08</x:v>
      </x:c>
      <x:c r="O546" s="17" t="str">
        <x:v>public_sse_client_estimate</x:v>
      </x:c>
    </x:row>
    <x:row r="547" ht="48" customHeight="1">
      <x:c r="A547" s="17" t="str">
        <x:v>BUS108</x:v>
      </x:c>
      <x:c r="B547" s="17" t="str">
        <x:v>查询半导体所属的申万行业级别和上级行业。</x:v>
      </x:c>
      <x:c r="C547" s="17" t="n">
        <x:v>9</x:v>
      </x:c>
      <x:c r="D547" s="17" t="str">
        <x:v>数据查询 1/1</x:v>
      </x:c>
      <x:c r="E547" s="17" t="str">
        <x:v>30577.22</x:v>
      </x:c>
      <x:c r="F547" s="17" t="str">
        <x:v>31123.15</x:v>
      </x:c>
      <x:c r="G547" s="18" t="n">
        <x:v>545.93</x:v>
      </x:c>
      <x:c r="H547" s="18" t="n">
        <x:f>IFERROR(G547/1000,"")</x:f>
        <x:v>0.5459299999999999</x:v>
      </x:c>
      <x:c r="I547" s="19" t="n">
        <x:f>IFERROR(G547/J547,"")</x:f>
        <x:v>0.010886573876968734</x:v>
      </x:c>
      <x:c r="J547" s="17" t="n">
        <x:v>50147.09</x:v>
      </x:c>
      <x:c r="K547" s="17" t="str"/>
      <x:c r="L547" s="17" t="str">
        <x:v>已完成：查询半导体作为二级行业的信息，取得 1 条记录。</x:v>
      </x:c>
      <x:c r="M547" s="17" t="str"/>
      <x:c r="N547" s="18" t="n">
        <x:v>1148.21</x:v>
      </x:c>
      <x:c r="O547" s="17" t="str">
        <x:v>public_sse_client_estimate</x:v>
      </x:c>
    </x:row>
    <x:row r="548" ht="48" customHeight="1">
      <x:c r="A548" s="17" t="str">
        <x:v>BUS108</x:v>
      </x:c>
      <x:c r="B548" s="17" t="str">
        <x:v>查询半导体所属的申万行业级别和上级行业。</x:v>
      </x:c>
      <x:c r="C548" s="17" t="n">
        <x:v>10</x:v>
      </x:c>
      <x:c r="D548" s="17" t="str">
        <x:v>数据查询 1/1</x:v>
      </x:c>
      <x:c r="E548" s="17" t="str">
        <x:v>34623.31</x:v>
      </x:c>
      <x:c r="F548" s="17" t="str">
        <x:v>35207.06</x:v>
      </x:c>
      <x:c r="G548" s="18" t="n">
        <x:v>583.75</x:v>
      </x:c>
      <x:c r="H548" s="18" t="n">
        <x:f>IFERROR(G548/1000,"")</x:f>
        <x:v>0.58375</x:v>
      </x:c>
      <x:c r="I548" s="19" t="n">
        <x:f>IFERROR(G548/J548,"")</x:f>
        <x:v>0.011640755226275345</x:v>
      </x:c>
      <x:c r="J548" s="17" t="n">
        <x:v>50147.09</x:v>
      </x:c>
      <x:c r="K548" s="17" t="str"/>
      <x:c r="L548" s="17" t="str">
        <x:v>已完成：找到半导体作为二级行业自身的行业信息，当前条件下没有匹配记录。</x:v>
      </x:c>
      <x:c r="M548" s="17" t="str"/>
      <x:c r="N548" s="18" t="n">
        <x:v>3500.16</x:v>
      </x:c>
      <x:c r="O548" s="17" t="str">
        <x:v>public_sse_client_estimate</x:v>
      </x:c>
    </x:row>
    <x:row r="549" ht="48" customHeight="1">
      <x:c r="A549" s="17" t="str">
        <x:v>BUS108</x:v>
      </x:c>
      <x:c r="B549" s="17" t="str">
        <x:v>查询半导体所属的申万行业级别和上级行业。</x:v>
      </x:c>
      <x:c r="C549" s="17" t="n">
        <x:v>11</x:v>
      </x:c>
      <x:c r="D549" s="17" t="str">
        <x:v>数据查询 1/1</x:v>
      </x:c>
      <x:c r="E549" s="17" t="str">
        <x:v>38805.71</x:v>
      </x:c>
      <x:c r="F549" s="17" t="str">
        <x:v>39325.82</x:v>
      </x:c>
      <x:c r="G549" s="18" t="n">
        <x:v>520.11</x:v>
      </x:c>
      <x:c r="H549" s="18" t="n">
        <x:f>IFERROR(G549/1000,"")</x:f>
        <x:v>0.52011</x:v>
      </x:c>
      <x:c r="I549" s="19" t="n">
        <x:f>IFERROR(G549/J549,"")</x:f>
        <x:v>0.010371688566574852</x:v>
      </x:c>
      <x:c r="J549" s="17" t="n">
        <x:v>50147.09</x:v>
      </x:c>
      <x:c r="K549" s="17" t="str"/>
      <x:c r="L549" s="17" t="str">
        <x:v>已完成：查询半导体二级行业下的所有三级行业名称，取得 10 条记录。</x:v>
      </x:c>
      <x:c r="M549" s="17" t="str"/>
      <x:c r="N549" s="18" t="n">
        <x:v>3598.65</x:v>
      </x:c>
      <x:c r="O549" s="17" t="str">
        <x:v>public_sse_client_estimate</x:v>
      </x:c>
    </x:row>
    <x:row r="550" ht="48" customHeight="1">
      <x:c r="A550" s="17" t="str">
        <x:v>BUS108</x:v>
      </x:c>
      <x:c r="B550" s="17" t="str">
        <x:v>查询半导体所属的申万行业级别和上级行业。</x:v>
      </x:c>
      <x:c r="C550" s="17" t="n">
        <x:v>12</x:v>
      </x:c>
      <x:c r="D550" s="17" t="str">
        <x:v>回答整理</x:v>
      </x:c>
      <x:c r="E550" s="17" t="str">
        <x:v>39325.82</x:v>
      </x:c>
      <x:c r="F550" s="17" t="str">
        <x:v>46168.24</x:v>
      </x:c>
      <x:c r="G550" s="18" t="n">
        <x:v>6842.42</x:v>
      </x:c>
      <x:c r="H550" s="18" t="n">
        <x:f>IFERROR(G550/1000,"")</x:f>
        <x:v>6.84242</x:v>
      </x:c>
      <x:c r="I550" s="19" t="n">
        <x:f>IFERROR(G550/J550,"")</x:f>
        <x:v>0.13644700021476822</x:v>
      </x:c>
      <x:c r="J550" s="17" t="n">
        <x:v>50147.09</x:v>
      </x:c>
      <x:c r="K550" s="17" t="str"/>
      <x:c r="L550" s="17" t="str">
        <x:v>证据与回答已整理完成。</x:v>
      </x:c>
      <x:c r="M550" s="17" t="str"/>
      <x:c r="N550" s="18" t="n">
        <x:v>0</x:v>
      </x:c>
      <x:c r="O550" s="17" t="str">
        <x:v>public_sse_client_estimate</x:v>
      </x:c>
    </x:row>
    <x:row r="551" ht="48" customHeight="1">
      <x:c r="A551" s="17" t="str">
        <x:v>BUS109</x:v>
      </x:c>
      <x:c r="B551" s="17" t="str">
        <x:v>列出电子行业下的二级行业。</x:v>
      </x:c>
      <x:c r="C551" s="17" t="n">
        <x:v>1</x:v>
      </x:c>
      <x:c r="D551" s="17" t="str">
        <x:v>问题理解</x:v>
      </x:c>
      <x:c r="E551" s="17" t="str">
        <x:v>5856.81</x:v>
      </x:c>
      <x:c r="F551" s="17" t="str">
        <x:v>9045.46</x:v>
      </x:c>
      <x:c r="G551" s="18" t="n">
        <x:v>3188.65</x:v>
      </x:c>
      <x:c r="H551" s="18" t="n">
        <x:f>IFERROR(G551/1000,"")</x:f>
        <x:v>3.18865</x:v>
      </x:c>
      <x:c r="I551" s="19" t="n">
        <x:f>IFERROR(G551/J551,"")</x:f>
        <x:v>0.0944889612985376</x:v>
      </x:c>
      <x:c r="J551" s="17" t="n">
        <x:v>33746.27</x:v>
      </x:c>
      <x:c r="K551" s="17" t="str"/>
      <x:c r="L551" s="17" t="str">
        <x:v>已明确本题的对象与口径，开始获取所需证据。</x:v>
      </x:c>
      <x:c r="M551" s="17" t="str"/>
      <x:c r="N551" s="18" t="n">
        <x:v>5856.81</x:v>
      </x:c>
      <x:c r="O551" s="17" t="str">
        <x:v>public_sse_client_estimate</x:v>
      </x:c>
    </x:row>
    <x:row r="552" ht="48" customHeight="1">
      <x:c r="A552" s="17" t="str">
        <x:v>BUS109</x:v>
      </x:c>
      <x:c r="B552" s="17" t="str">
        <x:v>列出电子行业下的二级行业。</x:v>
      </x:c>
      <x:c r="C552" s="17" t="n">
        <x:v>2</x:v>
      </x:c>
      <x:c r="D552" s="17" t="str">
        <x:v>数据口径</x:v>
      </x:c>
      <x:c r="E552" s="17" t="str">
        <x:v>9045.46</x:v>
      </x:c>
      <x:c r="F552" s="17" t="str">
        <x:v>9067.17</x:v>
      </x:c>
      <x:c r="G552" s="18" t="n">
        <x:v>21.71</x:v>
      </x:c>
      <x:c r="H552" s="18" t="n">
        <x:f>IFERROR(G552/1000,"")</x:f>
        <x:v>0.02171</x:v>
      </x:c>
      <x:c r="I552" s="19" t="n">
        <x:f>IFERROR(G552/J552,"")</x:f>
        <x:v>0.0006433303591774736</x:v>
      </x:c>
      <x:c r="J552" s="17" t="n">
        <x:v>33746.27</x:v>
      </x:c>
      <x:c r="K552" s="17" t="str"/>
      <x:c r="L552" s="17" t="str">
        <x:v>已定位行业成分关系视图，并确认了可用字段与时间口径。</x:v>
      </x:c>
      <x:c r="M552" s="17" t="str"/>
      <x:c r="N552" s="18" t="n">
        <x:v>0</x:v>
      </x:c>
      <x:c r="O552" s="17" t="str">
        <x:v>public_sse_client_estimate</x:v>
      </x:c>
    </x:row>
    <x:row r="553" ht="48" customHeight="1">
      <x:c r="A553" s="17" t="str">
        <x:v>BUS109</x:v>
      </x:c>
      <x:c r="B553" s="17" t="str">
        <x:v>列出电子行业下的二级行业。</x:v>
      </x:c>
      <x:c r="C553" s="17" t="n">
        <x:v>3</x:v>
      </x:c>
      <x:c r="D553" s="17" t="str">
        <x:v>数据查询 1/1</x:v>
      </x:c>
      <x:c r="E553" s="17" t="str">
        <x:v>13521.63</x:v>
      </x:c>
      <x:c r="F553" s="17" t="str">
        <x:v>14124.17</x:v>
      </x:c>
      <x:c r="G553" s="18" t="n">
        <x:v>602.54</x:v>
      </x:c>
      <x:c r="H553" s="18" t="n">
        <x:f>IFERROR(G553/1000,"")</x:f>
        <x:v>0.60254</x:v>
      </x:c>
      <x:c r="I553" s="19" t="n">
        <x:f>IFERROR(G553/J553,"")</x:f>
        <x:v>0.017855010346328647</x:v>
      </x:c>
      <x:c r="J553" s="17" t="n">
        <x:v>33746.27</x:v>
      </x:c>
      <x:c r="K553" s="17" t="str"/>
      <x:c r="L553" s="17" t="str">
        <x:v>已完成：查询电子一级行业下所有二级行业的名称（去重），取得 100 条记录。</x:v>
      </x:c>
      <x:c r="M553" s="17" t="str"/>
      <x:c r="N553" s="18" t="n">
        <x:v>4454.46</x:v>
      </x:c>
      <x:c r="O553" s="17" t="str">
        <x:v>public_sse_client_estimate</x:v>
      </x:c>
    </x:row>
    <x:row r="554" ht="48" customHeight="1">
      <x:c r="A554" s="17" t="str">
        <x:v>BUS109</x:v>
      </x:c>
      <x:c r="B554" s="17" t="str">
        <x:v>列出电子行业下的二级行业。</x:v>
      </x:c>
      <x:c r="C554" s="17" t="n">
        <x:v>4</x:v>
      </x:c>
      <x:c r="D554" s="17" t="str">
        <x:v>数据查询 1/1</x:v>
      </x:c>
      <x:c r="E554" s="17" t="str">
        <x:v>21714.6</x:v>
      </x:c>
      <x:c r="F554" s="17" t="str">
        <x:v>24580.93</x:v>
      </x:c>
      <x:c r="G554" s="18" t="n">
        <x:v>2866.33</x:v>
      </x:c>
      <x:c r="H554" s="18" t="n">
        <x:f>IFERROR(G554/1000,"")</x:f>
        <x:v>2.86633</x:v>
      </x:c>
      <x:c r="I554" s="19" t="n">
        <x:f>IFERROR(G554/J554,"")</x:f>
        <x:v>0.08493768348324127</x:v>
      </x:c>
      <x:c r="J554" s="17" t="n">
        <x:v>33746.27</x:v>
      </x:c>
      <x:c r="K554" s="17" t="str"/>
      <x:c r="L554" s="17" t="str">
        <x:v>第 1 步的数据请求与目录口径不一致，正在修正。</x:v>
      </x:c>
      <x:c r="M554" s="17" t="str"/>
      <x:c r="N554" s="18" t="n">
        <x:v>7590.43</x:v>
      </x:c>
      <x:c r="O554" s="17" t="str">
        <x:v>public_sse_client_estimate</x:v>
      </x:c>
    </x:row>
    <x:row r="555" ht="48" customHeight="1">
      <x:c r="A555" s="17" t="str">
        <x:v>BUS109</x:v>
      </x:c>
      <x:c r="B555" s="17" t="str">
        <x:v>列出电子行业下的二级行业。</x:v>
      </x:c>
      <x:c r="C555" s="17" t="n">
        <x:v>5</x:v>
      </x:c>
      <x:c r="D555" s="17" t="str">
        <x:v>数据查询 1/1</x:v>
      </x:c>
      <x:c r="E555" s="17" t="str">
        <x:v>24639.11</x:v>
      </x:c>
      <x:c r="F555" s="17" t="str">
        <x:v>25592.82</x:v>
      </x:c>
      <x:c r="G555" s="18" t="n">
        <x:v>953.71</x:v>
      </x:c>
      <x:c r="H555" s="18" t="n">
        <x:f>IFERROR(G555/1000,"")</x:f>
        <x:v>0.9537100000000001</x:v>
      </x:c>
      <x:c r="I555" s="19" t="n">
        <x:f>IFERROR(G555/J555,"")</x:f>
        <x:v>0.02826119745974889</x:v>
      </x:c>
      <x:c r="J555" s="17" t="n">
        <x:v>33746.27</x:v>
      </x:c>
      <x:c r="K555" s="17" t="str"/>
      <x:c r="L555" s="17" t="str">
        <x:v>已完成：按二级行业分组统计，获取电子行业下所有二级行业名称，取得 6 条记录。</x:v>
      </x:c>
      <x:c r="M555" s="17" t="str"/>
      <x:c r="N555" s="18" t="n">
        <x:v>58.18</x:v>
      </x:c>
      <x:c r="O555" s="17" t="str">
        <x:v>public_sse_client_estimate</x:v>
      </x:c>
    </x:row>
    <x:row r="556" ht="48" customHeight="1">
      <x:c r="A556" s="17" t="str">
        <x:v>BUS109</x:v>
      </x:c>
      <x:c r="B556" s="17" t="str">
        <x:v>列出电子行业下的二级行业。</x:v>
      </x:c>
      <x:c r="C556" s="17" t="n">
        <x:v>6</x:v>
      </x:c>
      <x:c r="D556" s="17" t="str">
        <x:v>回答整理</x:v>
      </x:c>
      <x:c r="E556" s="17" t="str">
        <x:v>25592.82</x:v>
      </x:c>
      <x:c r="F556" s="17" t="str">
        <x:v>30765.74</x:v>
      </x:c>
      <x:c r="G556" s="18" t="n">
        <x:v>5172.92</x:v>
      </x:c>
      <x:c r="H556" s="18" t="n">
        <x:f>IFERROR(G556/1000,"")</x:f>
        <x:v>5.17292</x:v>
      </x:c>
      <x:c r="I556" s="19" t="n">
        <x:f>IFERROR(G556/J556,"")</x:f>
        <x:v>0.15328864493764793</x:v>
      </x:c>
      <x:c r="J556" s="17" t="n">
        <x:v>33746.27</x:v>
      </x:c>
      <x:c r="K556" s="17" t="str"/>
      <x:c r="L556" s="17" t="str">
        <x:v>证据与回答已整理完成。</x:v>
      </x:c>
      <x:c r="M556" s="17" t="str"/>
      <x:c r="N556" s="18" t="n">
        <x:v>0</x:v>
      </x:c>
      <x:c r="O556" s="17" t="str">
        <x:v>public_sse_client_estimate</x:v>
      </x:c>
    </x:row>
    <x:row r="557" ht="48" customHeight="1">
      <x:c r="A557" s="17" t="str">
        <x:v>BUS110</x:v>
      </x:c>
      <x:c r="B557" s="17" t="str">
        <x:v>查询计算机设备行业的一级、二级和三级行业名称。</x:v>
      </x:c>
      <x:c r="C557" s="17" t="n">
        <x:v>1</x:v>
      </x:c>
      <x:c r="D557" s="17" t="str">
        <x:v>问题理解</x:v>
      </x:c>
      <x:c r="E557" s="17" t="str">
        <x:v>6076.66</x:v>
      </x:c>
      <x:c r="F557" s="17" t="str">
        <x:v>9875.43</x:v>
      </x:c>
      <x:c r="G557" s="18" t="n">
        <x:v>3798.77</x:v>
      </x:c>
      <x:c r="H557" s="18" t="n">
        <x:f>IFERROR(G557/1000,"")</x:f>
        <x:v>3.79877</x:v>
      </x:c>
      <x:c r="I557" s="19" t="n">
        <x:f>IFERROR(G557/J557,"")</x:f>
        <x:v>0.05145447960103907</x:v>
      </x:c>
      <x:c r="J557" s="17" t="n">
        <x:v>73827.78</x:v>
      </x:c>
      <x:c r="K557" s="17" t="str"/>
      <x:c r="L557" s="17" t="str">
        <x:v>已明确本题的对象与口径，开始获取所需证据。</x:v>
      </x:c>
      <x:c r="M557" s="17" t="str"/>
      <x:c r="N557" s="18" t="n">
        <x:v>6076.66</x:v>
      </x:c>
      <x:c r="O557" s="17" t="str">
        <x:v>public_sse_client_estimate</x:v>
      </x:c>
    </x:row>
    <x:row r="558" ht="48" customHeight="1">
      <x:c r="A558" s="17" t="str">
        <x:v>BUS110</x:v>
      </x:c>
      <x:c r="B558" s="17" t="str">
        <x:v>查询计算机设备行业的一级、二级和三级行业名称。</x:v>
      </x:c>
      <x:c r="C558" s="17" t="n">
        <x:v>2</x:v>
      </x:c>
      <x:c r="D558" s="17" t="str">
        <x:v>数据口径</x:v>
      </x:c>
      <x:c r="E558" s="17" t="str">
        <x:v>9875.43</x:v>
      </x:c>
      <x:c r="F558" s="17" t="str">
        <x:v>12424.04</x:v>
      </x:c>
      <x:c r="G558" s="18" t="n">
        <x:v>2548.61</x:v>
      </x:c>
      <x:c r="H558" s="18" t="n">
        <x:f>IFERROR(G558/1000,"")</x:f>
        <x:v>2.54861</x:v>
      </x:c>
      <x:c r="I558" s="19" t="n">
        <x:f>IFERROR(G558/J558,"")</x:f>
        <x:v>0.03452101634371236</x:v>
      </x:c>
      <x:c r="J558" s="17" t="n">
        <x:v>73827.78</x:v>
      </x:c>
      <x:c r="K558" s="17" t="str"/>
      <x:c r="L558" s="17" t="str">
        <x:v>已定位行业基础信息视图，并确认了可用字段与时间口径。</x:v>
      </x:c>
      <x:c r="M558" s="17" t="str"/>
      <x:c r="N558" s="18" t="n">
        <x:v>0</x:v>
      </x:c>
      <x:c r="O558" s="17" t="str">
        <x:v>public_sse_client_estimate</x:v>
      </x:c>
    </x:row>
    <x:row r="559" ht="48" customHeight="1">
      <x:c r="A559" s="17" t="str">
        <x:v>BUS110</x:v>
      </x:c>
      <x:c r="B559" s="17" t="str">
        <x:v>查询计算机设备行业的一级、二级和三级行业名称。</x:v>
      </x:c>
      <x:c r="C559" s="17" t="n">
        <x:v>3</x:v>
      </x:c>
      <x:c r="D559" s="17" t="str">
        <x:v>数据查询 1/1</x:v>
      </x:c>
      <x:c r="E559" s="17" t="str">
        <x:v>12895.45</x:v>
      </x:c>
      <x:c r="F559" s="17" t="str">
        <x:v>13316.93</x:v>
      </x:c>
      <x:c r="G559" s="18" t="n">
        <x:v>421.48</x:v>
      </x:c>
      <x:c r="H559" s="18" t="n">
        <x:f>IFERROR(G559/1000,"")</x:f>
        <x:v>0.42148</x:v>
      </x:c>
      <x:c r="I559" s="19" t="n">
        <x:f>IFERROR(G559/J559,"")</x:f>
        <x:v>0.005708962127806092</x:v>
      </x:c>
      <x:c r="J559" s="17" t="n">
        <x:v>73827.78</x:v>
      </x:c>
      <x:c r="K559" s="17" t="str"/>
      <x:c r="L559" s="17" t="str">
        <x:v>第 1 步的数据源查询未完成。</x:v>
      </x:c>
      <x:c r="M559" s="17" t="str"/>
      <x:c r="N559" s="18" t="n">
        <x:v>471.41</x:v>
      </x:c>
      <x:c r="O559" s="17" t="str">
        <x:v>public_sse_client_estimate</x:v>
      </x:c>
    </x:row>
    <x:row r="560" ht="48" customHeight="1">
      <x:c r="A560" s="17" t="str">
        <x:v>BUS110</x:v>
      </x:c>
      <x:c r="B560" s="17" t="str">
        <x:v>查询计算机设备行业的一级、二级和三级行业名称。</x:v>
      </x:c>
      <x:c r="C560" s="17" t="n">
        <x:v>4</x:v>
      </x:c>
      <x:c r="D560" s="17" t="str">
        <x:v>数据查询 1/1</x:v>
      </x:c>
      <x:c r="E560" s="17" t="str">
        <x:v>15911.34</x:v>
      </x:c>
      <x:c r="F560" s="17" t="str">
        <x:v>16414.84</x:v>
      </x:c>
      <x:c r="G560" s="18" t="n">
        <x:v>503.5</x:v>
      </x:c>
      <x:c r="H560" s="18" t="n">
        <x:f>IFERROR(G560/1000,"")</x:f>
        <x:v>0.5035</x:v>
      </x:c>
      <x:c r="I560" s="19" t="n">
        <x:f>IFERROR(G560/J560,"")</x:f>
        <x:v>0.006819926049516862</x:v>
      </x:c>
      <x:c r="J560" s="17" t="n">
        <x:v>73827.78</x:v>
      </x:c>
      <x:c r="K560" s="17" t="str"/>
      <x:c r="L560" s="17" t="str">
        <x:v>第 1 步的数据源查询未完成。</x:v>
      </x:c>
      <x:c r="M560" s="17" t="str"/>
      <x:c r="N560" s="18" t="n">
        <x:v>2594.41</x:v>
      </x:c>
      <x:c r="O560" s="17" t="str">
        <x:v>public_sse_client_estimate</x:v>
      </x:c>
    </x:row>
    <x:row r="561" ht="48" customHeight="1">
      <x:c r="A561" s="17" t="str">
        <x:v>BUS110</x:v>
      </x:c>
      <x:c r="B561" s="17" t="str">
        <x:v>查询计算机设备行业的一级、二级和三级行业名称。</x:v>
      </x:c>
      <x:c r="C561" s="17" t="n">
        <x:v>5</x:v>
      </x:c>
      <x:c r="D561" s="17" t="str">
        <x:v>数据查询 1/1</x:v>
      </x:c>
      <x:c r="E561" s="17" t="str">
        <x:v>19222.83</x:v>
      </x:c>
      <x:c r="F561" s="17" t="str">
        <x:v>19875.19</x:v>
      </x:c>
      <x:c r="G561" s="18" t="n">
        <x:v>652.36</x:v>
      </x:c>
      <x:c r="H561" s="18" t="n">
        <x:f>IFERROR(G561/1000,"")</x:f>
        <x:v>0.65236</x:v>
      </x:c>
      <x:c r="I561" s="19" t="n">
        <x:f>IFERROR(G561/J561,"")</x:f>
        <x:v>0.008836240233689813</x:v>
      </x:c>
      <x:c r="J561" s="17" t="n">
        <x:v>73827.78</x:v>
      </x:c>
      <x:c r="K561" s="17" t="str"/>
      <x:c r="L561" s="17" t="str">
        <x:v>已完成：查询行业基础信息，获取行业列表，取得 20 条记录。</x:v>
      </x:c>
      <x:c r="M561" s="17" t="str"/>
      <x:c r="N561" s="18" t="n">
        <x:v>2807.99</x:v>
      </x:c>
      <x:c r="O561" s="17" t="str">
        <x:v>public_sse_client_estimate</x:v>
      </x:c>
    </x:row>
    <x:row r="562" ht="48" customHeight="1">
      <x:c r="A562" s="17" t="str">
        <x:v>BUS110</x:v>
      </x:c>
      <x:c r="B562" s="17" t="str">
        <x:v>查询计算机设备行业的一级、二级和三级行业名称。</x:v>
      </x:c>
      <x:c r="C562" s="17" t="n">
        <x:v>6</x:v>
      </x:c>
      <x:c r="D562" s="17" t="str">
        <x:v>数据查询 1/1</x:v>
      </x:c>
      <x:c r="E562" s="17" t="str">
        <x:v>28677.74</x:v>
      </x:c>
      <x:c r="F562" s="17" t="str">
        <x:v>29232.19</x:v>
      </x:c>
      <x:c r="G562" s="18" t="n">
        <x:v>554.45</x:v>
      </x:c>
      <x:c r="H562" s="18" t="n">
        <x:f>IFERROR(G562/1000,"")</x:f>
        <x:v>0.55445</x:v>
      </x:c>
      <x:c r="I562" s="19" t="n">
        <x:f>IFERROR(G562/J562,"")</x:f>
        <x:v>0.007510045676573237</x:v>
      </x:c>
      <x:c r="J562" s="17" t="n">
        <x:v>73827.78</x:v>
      </x:c>
      <x:c r="K562" s="17" t="str"/>
      <x:c r="L562" s="17" t="str">
        <x:v>已完成：查询计算机设备行业的一级、二级、三级行业名称，取得 100 条记录。</x:v>
      </x:c>
      <x:c r="M562" s="17" t="str"/>
      <x:c r="N562" s="18" t="n">
        <x:v>8802.55</x:v>
      </x:c>
      <x:c r="O562" s="17" t="str">
        <x:v>public_sse_client_estimate</x:v>
      </x:c>
    </x:row>
    <x:row r="563" ht="48" customHeight="1">
      <x:c r="A563" s="17" t="str">
        <x:v>BUS110</x:v>
      </x:c>
      <x:c r="B563" s="17" t="str">
        <x:v>查询计算机设备行业的一级、二级和三级行业名称。</x:v>
      </x:c>
      <x:c r="C563" s="17" t="n">
        <x:v>7</x:v>
      </x:c>
      <x:c r="D563" s="17" t="str">
        <x:v>数据查询 1/1</x:v>
      </x:c>
      <x:c r="E563" s="17" t="str">
        <x:v>39302.32</x:v>
      </x:c>
      <x:c r="F563" s="17" t="str">
        <x:v>39838.19</x:v>
      </x:c>
      <x:c r="G563" s="18" t="n">
        <x:v>535.87</x:v>
      </x:c>
      <x:c r="H563" s="18" t="n">
        <x:f>IFERROR(G563/1000,"")</x:f>
        <x:v>0.53587</x:v>
      </x:c>
      <x:c r="I563" s="19" t="n">
        <x:f>IFERROR(G563/J563,"")</x:f>
        <x:v>0.007258378892064749</x:v>
      </x:c>
      <x:c r="J563" s="17" t="n">
        <x:v>73827.78</x:v>
      </x:c>
      <x:c r="K563" s="17" t="str"/>
      <x:c r="L563" s="17" t="str">
        <x:v>已完成：查询计算机设备行业的基础信息，获取其行业代码和级别，取得 20 条记录。</x:v>
      </x:c>
      <x:c r="M563" s="17" t="str"/>
      <x:c r="N563" s="18" t="n">
        <x:v>10070.13</x:v>
      </x:c>
      <x:c r="O563" s="17" t="str">
        <x:v>public_sse_client_estimate</x:v>
      </x:c>
    </x:row>
    <x:row r="564" ht="48" customHeight="1">
      <x:c r="A564" s="17" t="str">
        <x:v>BUS110</x:v>
      </x:c>
      <x:c r="B564" s="17" t="str">
        <x:v>查询计算机设备行业的一级、二级和三级行业名称。</x:v>
      </x:c>
      <x:c r="C564" s="17" t="n">
        <x:v>8</x:v>
      </x:c>
      <x:c r="D564" s="17" t="str">
        <x:v>数据查询 1/1</x:v>
      </x:c>
      <x:c r="E564" s="17" t="str">
        <x:v>47691.76</x:v>
      </x:c>
      <x:c r="F564" s="17" t="str">
        <x:v>48229.5</x:v>
      </x:c>
      <x:c r="G564" s="18" t="n">
        <x:v>537.74</x:v>
      </x:c>
      <x:c r="H564" s="18" t="n">
        <x:f>IFERROR(G564/1000,"")</x:f>
        <x:v>0.53774</x:v>
      </x:c>
      <x:c r="I564" s="19" t="n">
        <x:f>IFERROR(G564/J564,"")</x:f>
        <x:v>0.007283708110957691</x:v>
      </x:c>
      <x:c r="J564" s="17" t="n">
        <x:v>73827.78</x:v>
      </x:c>
      <x:c r="K564" s="17" t="str"/>
      <x:c r="L564" s="17" t="str">
        <x:v>已完成：搜索包含计算机关键词的行业，取得 100 条记录。</x:v>
      </x:c>
      <x:c r="M564" s="17" t="str"/>
      <x:c r="N564" s="18" t="n">
        <x:v>7853.57</x:v>
      </x:c>
      <x:c r="O564" s="17" t="str">
        <x:v>public_sse_client_estimate</x:v>
      </x:c>
    </x:row>
    <x:row r="565" ht="48" customHeight="1">
      <x:c r="A565" s="17" t="str">
        <x:v>BUS110</x:v>
      </x:c>
      <x:c r="B565" s="17" t="str">
        <x:v>查询计算机设备行业的一级、二级和三级行业名称。</x:v>
      </x:c>
      <x:c r="C565" s="17" t="n">
        <x:v>9</x:v>
      </x:c>
      <x:c r="D565" s="17" t="str">
        <x:v>数据查询 1/1</x:v>
      </x:c>
      <x:c r="E565" s="17" t="str">
        <x:v>53788.22</x:v>
      </x:c>
      <x:c r="F565" s="17" t="str">
        <x:v>54355.17</x:v>
      </x:c>
      <x:c r="G565" s="18" t="n">
        <x:v>566.95</x:v>
      </x:c>
      <x:c r="H565" s="18" t="n">
        <x:f>IFERROR(G565/1000,"")</x:f>
        <x:v>0.5669500000000001</x:v>
      </x:c>
      <x:c r="I565" s="19" t="n">
        <x:f>IFERROR(G565/J565,"")</x:f>
        <x:v>0.007679358637087558</x:v>
      </x:c>
      <x:c r="J565" s="17" t="n">
        <x:v>73827.78</x:v>
      </x:c>
      <x:c r="K565" s="17" t="str"/>
      <x:c r="L565" s="17" t="str">
        <x:v>已完成：使用level1_industry_name字段搜索计算机相关行业，取得 100 条记录。</x:v>
      </x:c>
      <x:c r="M565" s="17" t="str"/>
      <x:c r="N565" s="18" t="n">
        <x:v>5558.72</x:v>
      </x:c>
      <x:c r="O565" s="17" t="str">
        <x:v>public_sse_client_estimate</x:v>
      </x:c>
    </x:row>
    <x:row r="566" ht="48" customHeight="1">
      <x:c r="A566" s="17" t="str">
        <x:v>BUS110</x:v>
      </x:c>
      <x:c r="B566" s="17" t="str">
        <x:v>查询计算机设备行业的一级、二级和三级行业名称。</x:v>
      </x:c>
      <x:c r="C566" s="17" t="n">
        <x:v>10</x:v>
      </x:c>
      <x:c r="D566" s="17" t="str">
        <x:v>数据口径</x:v>
      </x:c>
      <x:c r="E566" s="17" t="str">
        <x:v>54355.17</x:v>
      </x:c>
      <x:c r="F566" s="17" t="str">
        <x:v>61008.33</x:v>
      </x:c>
      <x:c r="G566" s="18" t="n">
        <x:v>6653.16</x:v>
      </x:c>
      <x:c r="H566" s="18" t="n">
        <x:f>IFERROR(G566/1000,"")</x:f>
        <x:v>6.65316</x:v>
      </x:c>
      <x:c r="I566" s="19" t="n">
        <x:f>IFERROR(G566/J566,"")</x:f>
        <x:v>0.09011729731003695</x:v>
      </x:c>
      <x:c r="J566" s="17" t="n">
        <x:v>73827.78</x:v>
      </x:c>
      <x:c r="K566" s="17" t="str"/>
      <x:c r="L566" s="17" t="str">
        <x:v>已定位板块基础信息视图，并确认了可用字段与时间口径。</x:v>
      </x:c>
      <x:c r="M566" s="17" t="str"/>
      <x:c r="N566" s="18" t="n">
        <x:v>0</x:v>
      </x:c>
      <x:c r="O566" s="17" t="str">
        <x:v>public_sse_client_estimate</x:v>
      </x:c>
    </x:row>
    <x:row r="567" ht="48" customHeight="1">
      <x:c r="A567" s="17" t="str">
        <x:v>BUS110</x:v>
      </x:c>
      <x:c r="B567" s="17" t="str">
        <x:v>查询计算机设备行业的一级、二级和三级行业名称。</x:v>
      </x:c>
      <x:c r="C567" s="17" t="n">
        <x:v>11</x:v>
      </x:c>
      <x:c r="D567" s="17" t="str">
        <x:v>数据查询 1/1</x:v>
      </x:c>
      <x:c r="E567" s="17" t="str">
        <x:v>64251.48</x:v>
      </x:c>
      <x:c r="F567" s="17" t="str">
        <x:v>64760.9</x:v>
      </x:c>
      <x:c r="G567" s="18" t="n">
        <x:v>509.42</x:v>
      </x:c>
      <x:c r="H567" s="18" t="n">
        <x:f>IFERROR(G567/1000,"")</x:f>
        <x:v>0.50942</x:v>
      </x:c>
      <x:c r="I567" s="19" t="n">
        <x:f>IFERROR(G567/J567,"")</x:f>
        <x:v>0.006900112667616445</x:v>
      </x:c>
      <x:c r="J567" s="17" t="n">
        <x:v>73827.78</x:v>
      </x:c>
      <x:c r="K567" s="17" t="str"/>
      <x:c r="L567" s="17" t="str">
        <x:v>已完成：查询所有行业数据，查找计算机设备行业，取得 100 条记录。</x:v>
      </x:c>
      <x:c r="M567" s="17" t="str"/>
      <x:c r="N567" s="18" t="n">
        <x:v>3243.15</x:v>
      </x:c>
      <x:c r="O567" s="17" t="str">
        <x:v>public_sse_client_estimate</x:v>
      </x:c>
    </x:row>
    <x:row r="568" ht="48" customHeight="1">
      <x:c r="A568" s="17" t="str">
        <x:v>BUS110</x:v>
      </x:c>
      <x:c r="B568" s="17" t="str">
        <x:v>查询计算机设备行业的一级、二级和三级行业名称。</x:v>
      </x:c>
      <x:c r="C568" s="17" t="n">
        <x:v>12</x:v>
      </x:c>
      <x:c r="D568" s="17" t="str">
        <x:v>回答整理</x:v>
      </x:c>
      <x:c r="E568" s="17" t="str">
        <x:v>64760.9</x:v>
      </x:c>
      <x:c r="F568" s="17" t="str">
        <x:v>69558.68</x:v>
      </x:c>
      <x:c r="G568" s="18" t="n">
        <x:v>4797.78</x:v>
      </x:c>
      <x:c r="H568" s="18" t="n">
        <x:f>IFERROR(G568/1000,"")</x:f>
        <x:v>4.7977799999999995</x:v>
      </x:c>
      <x:c r="I568" s="19" t="n">
        <x:f>IFERROR(G568/J568,"")</x:f>
        <x:v>0.06498610685571203</x:v>
      </x:c>
      <x:c r="J568" s="17" t="n">
        <x:v>73827.78</x:v>
      </x:c>
      <x:c r="K568" s="17" t="str"/>
      <x:c r="L568" s="17" t="str">
        <x:v>证据与回答已整理完成。</x:v>
      </x:c>
      <x:c r="M568" s="17" t="str"/>
      <x:c r="N568" s="18" t="n">
        <x:v>0</x:v>
      </x:c>
      <x:c r="O568" s="17" t="str">
        <x:v>public_sse_client_estimate</x:v>
      </x:c>
    </x:row>
    <x:row r="569" ht="48" customHeight="1">
      <x:c r="A569" s="17" t="str">
        <x:v>BUS111</x:v>
      </x:c>
      <x:c r="B569" s="17" t="str">
        <x:v>筛选行业级别为3的申万行业，返回行业代码和名称。</x:v>
      </x:c>
      <x:c r="C569" s="17" t="n">
        <x:v>1</x:v>
      </x:c>
      <x:c r="D569" s="17" t="str">
        <x:v>问题理解</x:v>
      </x:c>
      <x:c r="E569" s="17" t="str">
        <x:v>5934.25</x:v>
      </x:c>
      <x:c r="F569" s="17" t="str">
        <x:v>8096.66</x:v>
      </x:c>
      <x:c r="G569" s="18" t="n">
        <x:v>2162.41</x:v>
      </x:c>
      <x:c r="H569" s="18" t="n">
        <x:f>IFERROR(G569/1000,"")</x:f>
        <x:v>2.16241</x:v>
      </x:c>
      <x:c r="I569" s="19" t="n">
        <x:f>IFERROR(G569/J569,"")</x:f>
        <x:v>0.06765112404087831</x:v>
      </x:c>
      <x:c r="J569" s="17" t="n">
        <x:v>31964.14</x:v>
      </x:c>
      <x:c r="K569" s="17" t="str"/>
      <x:c r="L569" s="17" t="str">
        <x:v>已明确本题的对象与口径，开始获取所需证据。</x:v>
      </x:c>
      <x:c r="M569" s="17" t="str"/>
      <x:c r="N569" s="18" t="n">
        <x:v>5934.25</x:v>
      </x:c>
      <x:c r="O569" s="17" t="str">
        <x:v>public_sse_client_estimate</x:v>
      </x:c>
    </x:row>
    <x:row r="570" ht="48" customHeight="1">
      <x:c r="A570" s="17" t="str">
        <x:v>BUS111</x:v>
      </x:c>
      <x:c r="B570" s="17" t="str">
        <x:v>筛选行业级别为3的申万行业，返回行业代码和名称。</x:v>
      </x:c>
      <x:c r="C570" s="17" t="n">
        <x:v>2</x:v>
      </x:c>
      <x:c r="D570" s="17" t="str">
        <x:v>数据口径</x:v>
      </x:c>
      <x:c r="E570" s="17" t="str">
        <x:v>8096.66</x:v>
      </x:c>
      <x:c r="F570" s="17" t="str">
        <x:v>8136.86</x:v>
      </x:c>
      <x:c r="G570" s="18" t="n">
        <x:v>40.2</x:v>
      </x:c>
      <x:c r="H570" s="18" t="n">
        <x:f>IFERROR(G570/1000,"")</x:f>
        <x:v>0.0402</x:v>
      </x:c>
      <x:c r="I570" s="19" t="n">
        <x:f>IFERROR(G570/J570,"")</x:f>
        <x:v>0.0012576593645253714</x:v>
      </x:c>
      <x:c r="J570" s="17" t="n">
        <x:v>31964.14</x:v>
      </x:c>
      <x:c r="K570" s="17" t="str"/>
      <x:c r="L570" s="17" t="str">
        <x:v>已确认该金融主体可查询的数据范围。</x:v>
      </x:c>
      <x:c r="M570" s="17" t="str"/>
      <x:c r="N570" s="18" t="n">
        <x:v>0</x:v>
      </x:c>
      <x:c r="O570" s="17" t="str">
        <x:v>public_sse_client_estimate</x:v>
      </x:c>
    </x:row>
    <x:row r="571" ht="48" customHeight="1">
      <x:c r="A571" s="17" t="str">
        <x:v>BUS111</x:v>
      </x:c>
      <x:c r="B571" s="17" t="str">
        <x:v>筛选行业级别为3的申万行业，返回行业代码和名称。</x:v>
      </x:c>
      <x:c r="C571" s="17" t="n">
        <x:v>3</x:v>
      </x:c>
      <x:c r="D571" s="17" t="str">
        <x:v>数据口径</x:v>
      </x:c>
      <x:c r="E571" s="17" t="str">
        <x:v>8136.86</x:v>
      </x:c>
      <x:c r="F571" s="17" t="str">
        <x:v>10360.4</x:v>
      </x:c>
      <x:c r="G571" s="18" t="n">
        <x:v>2223.54</x:v>
      </x:c>
      <x:c r="H571" s="18" t="n">
        <x:f>IFERROR(G571/1000,"")</x:f>
        <x:v>2.22354</x:v>
      </x:c>
      <x:c r="I571" s="19" t="n">
        <x:f>IFERROR(G571/J571,"")</x:f>
        <x:v>0.06956357968648617</x:v>
      </x:c>
      <x:c r="J571" s="17" t="n">
        <x:v>31964.14</x:v>
      </x:c>
      <x:c r="K571" s="17" t="str"/>
      <x:c r="L571" s="17" t="str">
        <x:v>已定位行业基础信息视图，并确认了可用字段与时间口径。</x:v>
      </x:c>
      <x:c r="M571" s="17" t="str"/>
      <x:c r="N571" s="18" t="n">
        <x:v>0</x:v>
      </x:c>
      <x:c r="O571" s="17" t="str">
        <x:v>public_sse_client_estimate</x:v>
      </x:c>
    </x:row>
    <x:row r="572" ht="48" customHeight="1">
      <x:c r="A572" s="17" t="str">
        <x:v>BUS111</x:v>
      </x:c>
      <x:c r="B572" s="17" t="str">
        <x:v>筛选行业级别为3的申万行业，返回行业代码和名称。</x:v>
      </x:c>
      <x:c r="C572" s="17" t="n">
        <x:v>4</x:v>
      </x:c>
      <x:c r="D572" s="17" t="str">
        <x:v>数据查询 1/1</x:v>
      </x:c>
      <x:c r="E572" s="17" t="str">
        <x:v>12950.57</x:v>
      </x:c>
      <x:c r="F572" s="17" t="str">
        <x:v>13388.75</x:v>
      </x:c>
      <x:c r="G572" s="18" t="n">
        <x:v>438.18</x:v>
      </x:c>
      <x:c r="H572" s="18" t="n">
        <x:f>IFERROR(G572/1000,"")</x:f>
        <x:v>0.43818</x:v>
      </x:c>
      <x:c r="I572" s="19" t="n">
        <x:f>IFERROR(G572/J572,"")</x:f>
        <x:v>0.013708487073326546</x:v>
      </x:c>
      <x:c r="J572" s="17" t="n">
        <x:v>31964.14</x:v>
      </x:c>
      <x:c r="K572" s="17" t="str"/>
      <x:c r="L572" s="17" t="str">
        <x:v>已完成：查询所有申万三级行业（level=3）的行业代码和名称，取得 100 条记录。</x:v>
      </x:c>
      <x:c r="M572" s="17" t="str"/>
      <x:c r="N572" s="18" t="n">
        <x:v>2590.17</x:v>
      </x:c>
      <x:c r="O572" s="17" t="str">
        <x:v>public_sse_client_estimate</x:v>
      </x:c>
    </x:row>
    <x:row r="573" ht="48" customHeight="1">
      <x:c r="A573" s="17" t="str">
        <x:v>BUS111</x:v>
      </x:c>
      <x:c r="B573" s="17" t="str">
        <x:v>筛选行业级别为3的申万行业，返回行业代码和名称。</x:v>
      </x:c>
      <x:c r="C573" s="17" t="n">
        <x:v>5</x:v>
      </x:c>
      <x:c r="D573" s="17" t="str">
        <x:v>回答整理</x:v>
      </x:c>
      <x:c r="E573" s="17" t="str">
        <x:v>13388.75</x:v>
      </x:c>
      <x:c r="F573" s="17" t="str">
        <x:v>29433.37</x:v>
      </x:c>
      <x:c r="G573" s="18" t="n">
        <x:v>16044.62</x:v>
      </x:c>
      <x:c r="H573" s="18" t="n">
        <x:f>IFERROR(G573/1000,"")</x:f>
        <x:v>16.044620000000002</x:v>
      </x:c>
      <x:c r="I573" s="19" t="n">
        <x:f>IFERROR(G573/J573,"")</x:f>
        <x:v>0.5019568804291309</x:v>
      </x:c>
      <x:c r="J573" s="17" t="n">
        <x:v>31964.14</x:v>
      </x:c>
      <x:c r="K573" s="17" t="str"/>
      <x:c r="L573" s="17" t="str">
        <x:v>证据与回答已整理完成。</x:v>
      </x:c>
      <x:c r="M573" s="17" t="str"/>
      <x:c r="N573" s="18" t="n">
        <x:v>0</x:v>
      </x:c>
      <x:c r="O573" s="17" t="str">
        <x:v>public_sse_client_estimate</x:v>
      </x:c>
    </x:row>
    <x:row r="574" ht="48" customHeight="1">
      <x:c r="A574" s="17" t="str">
        <x:v>BUS112</x:v>
      </x:c>
      <x:c r="B574" s="17" t="str">
        <x:v>查询名称包含新能源的申万行业及其行业级别。</x:v>
      </x:c>
      <x:c r="C574" s="17" t="n">
        <x:v>1</x:v>
      </x:c>
      <x:c r="D574" s="17" t="str">
        <x:v>问题理解</x:v>
      </x:c>
      <x:c r="E574" s="17" t="str">
        <x:v>5671.48</x:v>
      </x:c>
      <x:c r="F574" s="17" t="str">
        <x:v>8519.71</x:v>
      </x:c>
      <x:c r="G574" s="18" t="n">
        <x:v>2848.23</x:v>
      </x:c>
      <x:c r="H574" s="18" t="n">
        <x:f>IFERROR(G574/1000,"")</x:f>
        <x:v>2.84823</x:v>
      </x:c>
      <x:c r="I574" s="19" t="n">
        <x:f>IFERROR(G574/J574,"")</x:f>
        <x:v>0.056093369011191975</x:v>
      </x:c>
      <x:c r="J574" s="17" t="n">
        <x:v>50776.59</x:v>
      </x:c>
      <x:c r="K574" s="17" t="str"/>
      <x:c r="L574" s="17" t="str">
        <x:v>已明确本题的对象与口径，开始获取所需证据。</x:v>
      </x:c>
      <x:c r="M574" s="17" t="str"/>
      <x:c r="N574" s="18" t="n">
        <x:v>5671.48</x:v>
      </x:c>
      <x:c r="O574" s="17" t="str">
        <x:v>public_sse_client_estimate</x:v>
      </x:c>
    </x:row>
    <x:row r="575" ht="48" customHeight="1">
      <x:c r="A575" s="17" t="str">
        <x:v>BUS112</x:v>
      </x:c>
      <x:c r="B575" s="17" t="str">
        <x:v>查询名称包含新能源的申万行业及其行业级别。</x:v>
      </x:c>
      <x:c r="C575" s="17" t="n">
        <x:v>2</x:v>
      </x:c>
      <x:c r="D575" s="17" t="str">
        <x:v>数据口径</x:v>
      </x:c>
      <x:c r="E575" s="17" t="str">
        <x:v>8519.71</x:v>
      </x:c>
      <x:c r="F575" s="17" t="str">
        <x:v>8641.31</x:v>
      </x:c>
      <x:c r="G575" s="18" t="n">
        <x:v>121.6</x:v>
      </x:c>
      <x:c r="H575" s="18" t="n">
        <x:f>IFERROR(G575/1000,"")</x:f>
        <x:v>0.1216</x:v>
      </x:c>
      <x:c r="I575" s="19" t="n">
        <x:f>IFERROR(G575/J575,"")</x:f>
        <x:v>0.0023948043773715406</x:v>
      </x:c>
      <x:c r="J575" s="17" t="n">
        <x:v>50776.59</x:v>
      </x:c>
      <x:c r="K575" s="17" t="str"/>
      <x:c r="L575" s="17" t="str">
        <x:v>已定位行业基础信息视图，并确认了可用字段与时间口径。</x:v>
      </x:c>
      <x:c r="M575" s="17" t="str"/>
      <x:c r="N575" s="18" t="n">
        <x:v>0</x:v>
      </x:c>
      <x:c r="O575" s="17" t="str">
        <x:v>public_sse_client_estimate</x:v>
      </x:c>
    </x:row>
    <x:row r="576" ht="48" customHeight="1">
      <x:c r="A576" s="17" t="str">
        <x:v>BUS112</x:v>
      </x:c>
      <x:c r="B576" s="17" t="str">
        <x:v>查询名称包含新能源的申万行业及其行业级别。</x:v>
      </x:c>
      <x:c r="C576" s="17" t="n">
        <x:v>3</x:v>
      </x:c>
      <x:c r="D576" s="17" t="str">
        <x:v>数据查询 1/1</x:v>
      </x:c>
      <x:c r="E576" s="17" t="str">
        <x:v>11330.41</x:v>
      </x:c>
      <x:c r="F576" s="17" t="str">
        <x:v>11924.86</x:v>
      </x:c>
      <x:c r="G576" s="18" t="n">
        <x:v>594.45</x:v>
      </x:c>
      <x:c r="H576" s="18" t="n">
        <x:f>IFERROR(G576/1000,"")</x:f>
        <x:v>0.59445</x:v>
      </x:c>
      <x:c r="I576" s="19" t="n">
        <x:f>IFERROR(G576/J576,"")</x:f>
        <x:v>0.011707166629346321</x:v>
      </x:c>
      <x:c r="J576" s="17" t="n">
        <x:v>50776.59</x:v>
      </x:c>
      <x:c r="K576" s="17" t="str"/>
      <x:c r="L576" s="17" t="str">
        <x:v>已完成：查询名称包含新能源的申万行业及其行业级别，取得 100 条记录。</x:v>
      </x:c>
      <x:c r="M576" s="17" t="str"/>
      <x:c r="N576" s="18" t="n">
        <x:v>2689.1</x:v>
      </x:c>
      <x:c r="O576" s="17" t="str">
        <x:v>public_sse_client_estimate</x:v>
      </x:c>
    </x:row>
    <x:row r="577" ht="48" customHeight="1">
      <x:c r="A577" s="17" t="str">
        <x:v>BUS112</x:v>
      </x:c>
      <x:c r="B577" s="17" t="str">
        <x:v>查询名称包含新能源的申万行业及其行业级别。</x:v>
      </x:c>
      <x:c r="C577" s="17" t="n">
        <x:v>4</x:v>
      </x:c>
      <x:c r="D577" s="17" t="str">
        <x:v>数据查询 1/1</x:v>
      </x:c>
      <x:c r="E577" s="17" t="str">
        <x:v>17241.7</x:v>
      </x:c>
      <x:c r="F577" s="17" t="str">
        <x:v>17771.5</x:v>
      </x:c>
      <x:c r="G577" s="18" t="n">
        <x:v>529.8</x:v>
      </x:c>
      <x:c r="H577" s="18" t="n">
        <x:f>IFERROR(G577/1000,"")</x:f>
        <x:v>0.5297999999999999</x:v>
      </x:c>
      <x:c r="I577" s="19" t="n">
        <x:f>IFERROR(G577/J577,"")</x:f>
        <x:v>0.010433942098120413</x:v>
      </x:c>
      <x:c r="J577" s="17" t="n">
        <x:v>50776.59</x:v>
      </x:c>
      <x:c r="K577" s="17" t="str"/>
      <x:c r="L577" s="17" t="str">
        <x:v>已完成：查询名称包含新能源的申万行业及其行业级别，取得 10 条记录。</x:v>
      </x:c>
      <x:c r="M577" s="17" t="str"/>
      <x:c r="N577" s="18" t="n">
        <x:v>5316.84</x:v>
      </x:c>
      <x:c r="O577" s="17" t="str">
        <x:v>public_sse_client_estimate</x:v>
      </x:c>
    </x:row>
    <x:row r="578" ht="48" customHeight="1">
      <x:c r="A578" s="17" t="str">
        <x:v>BUS112</x:v>
      </x:c>
      <x:c r="B578" s="17" t="str">
        <x:v>查询名称包含新能源的申万行业及其行业级别。</x:v>
      </x:c>
      <x:c r="C578" s="17" t="n">
        <x:v>5</x:v>
      </x:c>
      <x:c r="D578" s="17" t="str">
        <x:v>数据查询 1/1</x:v>
      </x:c>
      <x:c r="E578" s="17" t="str">
        <x:v>26175.03</x:v>
      </x:c>
      <x:c r="F578" s="17" t="str">
        <x:v>26861.83</x:v>
      </x:c>
      <x:c r="G578" s="18" t="n">
        <x:v>686.8</x:v>
      </x:c>
      <x:c r="H578" s="18" t="n">
        <x:f>IFERROR(G578/1000,"")</x:f>
        <x:v>0.6868</x:v>
      </x:c>
      <x:c r="I578" s="19" t="n">
        <x:f>IFERROR(G578/J578,"")</x:f>
        <x:v>0.013525918144562287</x:v>
      </x:c>
      <x:c r="J578" s="17" t="n">
        <x:v>50776.59</x:v>
      </x:c>
      <x:c r="K578" s="17" t="str"/>
      <x:c r="L578" s="17" t="str">
        <x:v>已完成：查询所有申万行业及其名称和级别，寻找名称含新能源的行业，取得 500 条记录。</x:v>
      </x:c>
      <x:c r="M578" s="17" t="str"/>
      <x:c r="N578" s="18" t="n">
        <x:v>8403.53</x:v>
      </x:c>
      <x:c r="O578" s="17" t="str">
        <x:v>public_sse_client_estimate</x:v>
      </x:c>
    </x:row>
    <x:row r="579" ht="48" customHeight="1">
      <x:c r="A579" s="17" t="str">
        <x:v>BUS112</x:v>
      </x:c>
      <x:c r="B579" s="17" t="str">
        <x:v>查询名称包含新能源的申万行业及其行业级别。</x:v>
      </x:c>
      <x:c r="C579" s="17" t="n">
        <x:v>6</x:v>
      </x:c>
      <x:c r="D579" s="17" t="str">
        <x:v>回答整理</x:v>
      </x:c>
      <x:c r="E579" s="17" t="str">
        <x:v>26861.83</x:v>
      </x:c>
      <x:c r="F579" s="17" t="str">
        <x:v>47593.96</x:v>
      </x:c>
      <x:c r="G579" s="18" t="n">
        <x:v>20732.13</x:v>
      </x:c>
      <x:c r="H579" s="18" t="n">
        <x:f>IFERROR(G579/1000,"")</x:f>
        <x:v>20.73213</x:v>
      </x:c>
      <x:c r="I579" s="19" t="n">
        <x:f>IFERROR(G579/J579,"")</x:f>
        <x:v>0.40830095128483423</x:v>
      </x:c>
      <x:c r="J579" s="17" t="n">
        <x:v>50776.59</x:v>
      </x:c>
      <x:c r="K579" s="17" t="str"/>
      <x:c r="L579" s="17" t="str">
        <x:v>证据与回答已整理完成。</x:v>
      </x:c>
      <x:c r="M579" s="17" t="str"/>
      <x:c r="N579" s="18" t="n">
        <x:v>0</x:v>
      </x:c>
      <x:c r="O579" s="17" t="str">
        <x:v>public_sse_client_estimate</x:v>
      </x:c>
    </x:row>
    <x:row r="580" ht="48" customHeight="1">
      <x:c r="A580" s="17" t="str">
        <x:v>BUS113</x:v>
      </x:c>
      <x:c r="B580" s="17" t="str">
        <x:v>查询半导体行业当前成分股列表。</x:v>
      </x:c>
      <x:c r="C580" s="17" t="n">
        <x:v>1</x:v>
      </x:c>
      <x:c r="D580" s="17" t="str">
        <x:v>问题理解</x:v>
      </x:c>
      <x:c r="E580" s="17" t="str">
        <x:v>5395.09</x:v>
      </x:c>
      <x:c r="F580" s="17" t="str">
        <x:v>8004.82</x:v>
      </x:c>
      <x:c r="G580" s="18" t="n">
        <x:v>2609.73</x:v>
      </x:c>
      <x:c r="H580" s="18" t="n">
        <x:f>IFERROR(G580/1000,"")</x:f>
        <x:v>2.60973</x:v>
      </x:c>
      <x:c r="I580" s="19" t="n">
        <x:f>IFERROR(G580/J580,"")</x:f>
        <x:v>0.10432184981376023</x:v>
      </x:c>
      <x:c r="J580" s="17" t="n">
        <x:v>25016.14</x:v>
      </x:c>
      <x:c r="K580" s="17" t="str"/>
      <x:c r="L580" s="17" t="str">
        <x:v>已明确本题的对象与口径，开始获取所需证据。</x:v>
      </x:c>
      <x:c r="M580" s="17" t="str"/>
      <x:c r="N580" s="18" t="n">
        <x:v>5395.09</x:v>
      </x:c>
      <x:c r="O580" s="17" t="str">
        <x:v>public_sse_client_estimate</x:v>
      </x:c>
    </x:row>
    <x:row r="581" ht="48" customHeight="1">
      <x:c r="A581" s="17" t="str">
        <x:v>BUS113</x:v>
      </x:c>
      <x:c r="B581" s="17" t="str">
        <x:v>查询半导体行业当前成分股列表。</x:v>
      </x:c>
      <x:c r="C581" s="17" t="n">
        <x:v>2</x:v>
      </x:c>
      <x:c r="D581" s="17" t="str">
        <x:v>数据口径</x:v>
      </x:c>
      <x:c r="E581" s="17" t="str">
        <x:v>8004.82</x:v>
      </x:c>
      <x:c r="F581" s="17" t="str">
        <x:v>8025.39</x:v>
      </x:c>
      <x:c r="G581" s="18" t="n">
        <x:v>20.57</x:v>
      </x:c>
      <x:c r="H581" s="18" t="n">
        <x:f>IFERROR(G581/1000,"")</x:f>
        <x:v>0.02057</x:v>
      </x:c>
      <x:c r="I581" s="19" t="n">
        <x:f>IFERROR(G581/J581,"")</x:f>
        <x:v>0.0008222691430412526</x:v>
      </x:c>
      <x:c r="J581" s="17" t="n">
        <x:v>25016.14</x:v>
      </x:c>
      <x:c r="K581" s="17" t="str"/>
      <x:c r="L581" s="17" t="str">
        <x:v>已定位行业成分关系视图，并确认了可用字段与时间口径。</x:v>
      </x:c>
      <x:c r="M581" s="17" t="str"/>
      <x:c r="N581" s="18" t="n">
        <x:v>0</x:v>
      </x:c>
      <x:c r="O581" s="17" t="str">
        <x:v>public_sse_client_estimate</x:v>
      </x:c>
    </x:row>
    <x:row r="582" ht="48" customHeight="1">
      <x:c r="A582" s="17" t="str">
        <x:v>BUS113</x:v>
      </x:c>
      <x:c r="B582" s="17" t="str">
        <x:v>查询半导体行业当前成分股列表。</x:v>
      </x:c>
      <x:c r="C582" s="17" t="n">
        <x:v>3</x:v>
      </x:c>
      <x:c r="D582" s="17" t="str">
        <x:v>数据查询 1/1</x:v>
      </x:c>
      <x:c r="E582" s="17" t="str">
        <x:v>11339.58</x:v>
      </x:c>
      <x:c r="F582" s="17" t="str">
        <x:v>11928.19</x:v>
      </x:c>
      <x:c r="G582" s="18" t="n">
        <x:v>588.61</x:v>
      </x:c>
      <x:c r="H582" s="18" t="n">
        <x:f>IFERROR(G582/1000,"")</x:f>
        <x:v>0.58861</x:v>
      </x:c>
      <x:c r="I582" s="19" t="n">
        <x:f>IFERROR(G582/J582,"")</x:f>
        <x:v>0.02352920954231948</x:v>
      </x:c>
      <x:c r="J582" s="17" t="n">
        <x:v>25016.14</x:v>
      </x:c>
      <x:c r="K582" s="17" t="str"/>
      <x:c r="L582" s="17" t="str">
        <x:v>已完成：查询半导体行业的成分股列表，取得 74 条记录。</x:v>
      </x:c>
      <x:c r="M582" s="17" t="str"/>
      <x:c r="N582" s="18" t="n">
        <x:v>3314.19</x:v>
      </x:c>
      <x:c r="O582" s="17" t="str">
        <x:v>public_sse_client_estimate</x:v>
      </x:c>
    </x:row>
    <x:row r="583" ht="48" customHeight="1">
      <x:c r="A583" s="17" t="str">
        <x:v>BUS113</x:v>
      </x:c>
      <x:c r="B583" s="17" t="str">
        <x:v>查询半导体行业当前成分股列表。</x:v>
      </x:c>
      <x:c r="C583" s="17" t="n">
        <x:v>4</x:v>
      </x:c>
      <x:c r="D583" s="17" t="str">
        <x:v>回答整理</x:v>
      </x:c>
      <x:c r="E583" s="17" t="str">
        <x:v>11928.19</x:v>
      </x:c>
      <x:c r="F583" s="17" t="str">
        <x:v>22389.09</x:v>
      </x:c>
      <x:c r="G583" s="18" t="n">
        <x:v>10460.9</x:v>
      </x:c>
      <x:c r="H583" s="18" t="n">
        <x:f>IFERROR(G583/1000,"")</x:f>
        <x:v>10.460899999999999</x:v>
      </x:c>
      <x:c r="I583" s="19" t="n">
        <x:f>IFERROR(G583/J583,"")</x:f>
        <x:v>0.4181660320097345</x:v>
      </x:c>
      <x:c r="J583" s="17" t="n">
        <x:v>25016.14</x:v>
      </x:c>
      <x:c r="K583" s="17" t="str"/>
      <x:c r="L583" s="17" t="str">
        <x:v>证据与回答已整理完成。</x:v>
      </x:c>
      <x:c r="M583" s="17" t="str"/>
      <x:c r="N583" s="18" t="n">
        <x:v>0</x:v>
      </x:c>
      <x:c r="O583" s="17" t="str">
        <x:v>public_sse_client_estimate</x:v>
      </x:c>
    </x:row>
    <x:row r="584" ht="48" customHeight="1">
      <x:c r="A584" s="17" t="str">
        <x:v>BUS114</x:v>
      </x:c>
      <x:c r="B584" s="17" t="str">
        <x:v>查询白酒行业成分股数量和股票名单。</x:v>
      </x:c>
      <x:c r="C584" s="17" t="n">
        <x:v>1</x:v>
      </x:c>
      <x:c r="D584" s="17" t="str">
        <x:v>问题理解</x:v>
      </x:c>
      <x:c r="E584" s="17" t="str">
        <x:v>6485.84</x:v>
      </x:c>
      <x:c r="F584" s="17" t="str">
        <x:v>9390.88</x:v>
      </x:c>
      <x:c r="G584" s="18" t="n">
        <x:v>2905.04</x:v>
      </x:c>
      <x:c r="H584" s="18" t="n">
        <x:f>IFERROR(G584/1000,"")</x:f>
        <x:v>2.90504</x:v>
      </x:c>
      <x:c r="I584" s="19" t="n">
        <x:f>IFERROR(G584/J584,"")</x:f>
        <x:v>0.06238675778229189</x:v>
      </x:c>
      <x:c r="J584" s="17" t="n">
        <x:v>46565.01</x:v>
      </x:c>
      <x:c r="K584" s="17" t="str"/>
      <x:c r="L584" s="17" t="str">
        <x:v>已明确本题的对象与口径，开始获取所需证据。</x:v>
      </x:c>
      <x:c r="M584" s="17" t="str"/>
      <x:c r="N584" s="18" t="n">
        <x:v>6485.84</x:v>
      </x:c>
      <x:c r="O584" s="17" t="str">
        <x:v>public_sse_client_estimate</x:v>
      </x:c>
    </x:row>
    <x:row r="585" ht="48" customHeight="1">
      <x:c r="A585" s="17" t="str">
        <x:v>BUS114</x:v>
      </x:c>
      <x:c r="B585" s="17" t="str">
        <x:v>查询白酒行业成分股数量和股票名单。</x:v>
      </x:c>
      <x:c r="C585" s="17" t="n">
        <x:v>2</x:v>
      </x:c>
      <x:c r="D585" s="17" t="str">
        <x:v>数据口径</x:v>
      </x:c>
      <x:c r="E585" s="17" t="str">
        <x:v>9390.88</x:v>
      </x:c>
      <x:c r="F585" s="17" t="str">
        <x:v>9403.77</x:v>
      </x:c>
      <x:c r="G585" s="18" t="n">
        <x:v>12.89</x:v>
      </x:c>
      <x:c r="H585" s="18" t="n">
        <x:f>IFERROR(G585/1000,"")</x:f>
        <x:v>0.01289</x:v>
      </x:c>
      <x:c r="I585" s="19" t="n">
        <x:f>IFERROR(G585/J585,"")</x:f>
        <x:v>0.00027681729264097656</x:v>
      </x:c>
      <x:c r="J585" s="17" t="n">
        <x:v>46565.01</x:v>
      </x:c>
      <x:c r="K585" s="17" t="str"/>
      <x:c r="L585" s="17" t="str">
        <x:v>已定位行业成分关系视图，并确认了可用字段与时间口径。</x:v>
      </x:c>
      <x:c r="M585" s="17" t="str"/>
      <x:c r="N585" s="18" t="n">
        <x:v>0</x:v>
      </x:c>
      <x:c r="O585" s="17" t="str">
        <x:v>public_sse_client_estimate</x:v>
      </x:c>
    </x:row>
    <x:row r="586" ht="48" customHeight="1">
      <x:c r="A586" s="17" t="str">
        <x:v>BUS114</x:v>
      </x:c>
      <x:c r="B586" s="17" t="str">
        <x:v>查询白酒行业成分股数量和股票名单。</x:v>
      </x:c>
      <x:c r="C586" s="17" t="n">
        <x:v>3</x:v>
      </x:c>
      <x:c r="D586" s="17" t="str">
        <x:v>数据查询 1/1</x:v>
      </x:c>
      <x:c r="E586" s="17" t="str">
        <x:v>12300.3</x:v>
      </x:c>
      <x:c r="F586" s="17" t="str">
        <x:v>12846.79</x:v>
      </x:c>
      <x:c r="G586" s="18" t="n">
        <x:v>546.49</x:v>
      </x:c>
      <x:c r="H586" s="18" t="n">
        <x:f>IFERROR(G586/1000,"")</x:f>
        <x:v>0.54649</x:v>
      </x:c>
      <x:c r="I586" s="19" t="n">
        <x:f>IFERROR(G586/J586,"")</x:f>
        <x:v>0.011736065341766274</x:v>
      </x:c>
      <x:c r="J586" s="17" t="n">
        <x:v>46565.01</x:v>
      </x:c>
      <x:c r="K586" s="17" t="str"/>
      <x:c r="L586" s="17" t="str">
        <x:v>已完成：查询白酒行业的成分股数量和股票名单，当前条件下没有匹配记录。</x:v>
      </x:c>
      <x:c r="M586" s="17" t="str"/>
      <x:c r="N586" s="18" t="n">
        <x:v>2896.53</x:v>
      </x:c>
      <x:c r="O586" s="17" t="str">
        <x:v>public_sse_client_estimate</x:v>
      </x:c>
    </x:row>
    <x:row r="587" ht="48" customHeight="1">
      <x:c r="A587" s="17" t="str">
        <x:v>BUS114</x:v>
      </x:c>
      <x:c r="B587" s="17" t="str">
        <x:v>查询白酒行业成分股数量和股票名单。</x:v>
      </x:c>
      <x:c r="C587" s="17" t="n">
        <x:v>4</x:v>
      </x:c>
      <x:c r="D587" s="17" t="str">
        <x:v>数据查询 1/1</x:v>
      </x:c>
      <x:c r="E587" s="17" t="str">
        <x:v>17738.12</x:v>
      </x:c>
      <x:c r="F587" s="17" t="str">
        <x:v>18210.4</x:v>
      </x:c>
      <x:c r="G587" s="18" t="n">
        <x:v>472.28</x:v>
      </x:c>
      <x:c r="H587" s="18" t="n">
        <x:f>IFERROR(G587/1000,"")</x:f>
        <x:v>0.47228</x:v>
      </x:c>
      <x:c r="I587" s="19" t="n">
        <x:f>IFERROR(G587/J587,"")</x:f>
        <x:v>0.010142379438982187</x:v>
      </x:c>
      <x:c r="J587" s="17" t="n">
        <x:v>46565.01</x:v>
      </x:c>
      <x:c r="K587" s="17" t="str"/>
      <x:c r="L587" s="17" t="str">
        <x:v>已完成：尝试用 industry_name 查询白酒行业成分股，当前条件下没有匹配记录。</x:v>
      </x:c>
      <x:c r="M587" s="17" t="str"/>
      <x:c r="N587" s="18" t="n">
        <x:v>4891.33</x:v>
      </x:c>
      <x:c r="O587" s="17" t="str">
        <x:v>public_sse_client_estimate</x:v>
      </x:c>
    </x:row>
    <x:row r="588" ht="48" customHeight="1">
      <x:c r="A588" s="17" t="str">
        <x:v>BUS114</x:v>
      </x:c>
      <x:c r="B588" s="17" t="str">
        <x:v>查询白酒行业成分股数量和股票名单。</x:v>
      </x:c>
      <x:c r="C588" s="17" t="n">
        <x:v>5</x:v>
      </x:c>
      <x:c r="D588" s="17" t="str">
        <x:v>数据口径</x:v>
      </x:c>
      <x:c r="E588" s="17" t="str">
        <x:v>18210.4</x:v>
      </x:c>
      <x:c r="F588" s="17" t="str">
        <x:v>20610.8</x:v>
      </x:c>
      <x:c r="G588" s="18" t="n">
        <x:v>2400.4</x:v>
      </x:c>
      <x:c r="H588" s="18" t="n">
        <x:f>IFERROR(G588/1000,"")</x:f>
        <x:v>2.4004000000000003</x:v>
      </x:c>
      <x:c r="I588" s="19" t="n">
        <x:f>IFERROR(G588/J588,"")</x:f>
        <x:v>0.05154943593913112</x:v>
      </x:c>
      <x:c r="J588" s="17" t="n">
        <x:v>46565.01</x:v>
      </x:c>
      <x:c r="K588" s="17" t="str"/>
      <x:c r="L588" s="17" t="str">
        <x:v>已定位行业基础信息视图，并确认了可用字段与时间口径。</x:v>
      </x:c>
      <x:c r="M588" s="17" t="str"/>
      <x:c r="N588" s="18" t="n">
        <x:v>0</x:v>
      </x:c>
      <x:c r="O588" s="17" t="str">
        <x:v>public_sse_client_estimate</x:v>
      </x:c>
    </x:row>
    <x:row r="589" ht="48" customHeight="1">
      <x:c r="A589" s="17" t="str">
        <x:v>BUS114</x:v>
      </x:c>
      <x:c r="B589" s="17" t="str">
        <x:v>查询白酒行业成分股数量和股票名单。</x:v>
      </x:c>
      <x:c r="C589" s="17" t="n">
        <x:v>6</x:v>
      </x:c>
      <x:c r="D589" s="17" t="str">
        <x:v>数据查询 1/1</x:v>
      </x:c>
      <x:c r="E589" s="17" t="str">
        <x:v>22678.42</x:v>
      </x:c>
      <x:c r="F589" s="17" t="str">
        <x:v>23234.28</x:v>
      </x:c>
      <x:c r="G589" s="18" t="n">
        <x:v>555.86</x:v>
      </x:c>
      <x:c r="H589" s="18" t="n">
        <x:f>IFERROR(G589/1000,"")</x:f>
        <x:v>0.55586</x:v>
      </x:c>
      <x:c r="I589" s="19" t="n">
        <x:f>IFERROR(G589/J589,"")</x:f>
        <x:v>0.011937289393903277</x:v>
      </x:c>
      <x:c r="J589" s="17" t="n">
        <x:v>46565.01</x:v>
      </x:c>
      <x:c r="K589" s="17" t="str"/>
      <x:c r="L589" s="17" t="str">
        <x:v>已完成：查询行业基础信息中白酒相关的行业记录，取得 20 条记录。</x:v>
      </x:c>
      <x:c r="M589" s="17" t="str"/>
      <x:c r="N589" s="18" t="n">
        <x:v>2067.62</x:v>
      </x:c>
      <x:c r="O589" s="17" t="str">
        <x:v>public_sse_client_estimate</x:v>
      </x:c>
    </x:row>
    <x:row r="590" ht="48" customHeight="1">
      <x:c r="A590" s="17" t="str">
        <x:v>BUS114</x:v>
      </x:c>
      <x:c r="B590" s="17" t="str">
        <x:v>查询白酒行业成分股数量和股票名单。</x:v>
      </x:c>
      <x:c r="C590" s="17" t="n">
        <x:v>7</x:v>
      </x:c>
      <x:c r="D590" s="17" t="str">
        <x:v>数据查询 1/1</x:v>
      </x:c>
      <x:c r="E590" s="17" t="str">
        <x:v>26493.86</x:v>
      </x:c>
      <x:c r="F590" s="17" t="str">
        <x:v>27005.88</x:v>
      </x:c>
      <x:c r="G590" s="18" t="n">
        <x:v>512.02</x:v>
      </x:c>
      <x:c r="H590" s="18" t="n">
        <x:f>IFERROR(G590/1000,"")</x:f>
        <x:v>0.51202</x:v>
      </x:c>
      <x:c r="I590" s="19" t="n">
        <x:f>IFERROR(G590/J590,"")</x:f>
        <x:v>0.010995809943990133</x:v>
      </x:c>
      <x:c r="J590" s="17" t="n">
        <x:v>46565.01</x:v>
      </x:c>
      <x:c r="K590" s="17" t="str"/>
      <x:c r="L590" s="17" t="str">
        <x:v>已完成：查询行业基础信息中名称包含白酒的行业记录，取得 10 条记录。</x:v>
      </x:c>
      <x:c r="M590" s="17" t="str"/>
      <x:c r="N590" s="18" t="n">
        <x:v>3259.58</x:v>
      </x:c>
      <x:c r="O590" s="17" t="str">
        <x:v>public_sse_client_estimate</x:v>
      </x:c>
    </x:row>
    <x:row r="591" ht="48" customHeight="1">
      <x:c r="A591" s="17" t="str">
        <x:v>BUS114</x:v>
      </x:c>
      <x:c r="B591" s="17" t="str">
        <x:v>查询白酒行业成分股数量和股票名单。</x:v>
      </x:c>
      <x:c r="C591" s="17" t="n">
        <x:v>8</x:v>
      </x:c>
      <x:c r="D591" s="17" t="str">
        <x:v>数据查询 1/1</x:v>
      </x:c>
      <x:c r="E591" s="17" t="str">
        <x:v>32676.28</x:v>
      </x:c>
      <x:c r="F591" s="17" t="str">
        <x:v>33089.27</x:v>
      </x:c>
      <x:c r="G591" s="18" t="n">
        <x:v>412.99</x:v>
      </x:c>
      <x:c r="H591" s="18" t="n">
        <x:f>IFERROR(G591/1000,"")</x:f>
        <x:v>0.41299</x:v>
      </x:c>
      <x:c r="I591" s="19" t="n">
        <x:f>IFERROR(G591/J591,"")</x:f>
        <x:v>0.008869105794243359</x:v>
      </x:c>
      <x:c r="J591" s="17" t="n">
        <x:v>46565.01</x:v>
      </x:c>
      <x:c r="K591" s="17" t="str"/>
      <x:c r="L591" s="17" t="str">
        <x:v>已完成：查询二级行业名称为白酒Ⅱ的行业信息，取得 2 条记录。</x:v>
      </x:c>
      <x:c r="M591" s="17" t="str"/>
      <x:c r="N591" s="18" t="n">
        <x:v>5670.4</x:v>
      </x:c>
      <x:c r="O591" s="17" t="str">
        <x:v>public_sse_client_estimate</x:v>
      </x:c>
    </x:row>
    <x:row r="592" ht="48" customHeight="1">
      <x:c r="A592" s="17" t="str">
        <x:v>BUS114</x:v>
      </x:c>
      <x:c r="B592" s="17" t="str">
        <x:v>查询白酒行业成分股数量和股票名单。</x:v>
      </x:c>
      <x:c r="C592" s="17" t="n">
        <x:v>9</x:v>
      </x:c>
      <x:c r="D592" s="17" t="str">
        <x:v>数据查询 1/1</x:v>
      </x:c>
      <x:c r="E592" s="17" t="str">
        <x:v>35662.02</x:v>
      </x:c>
      <x:c r="F592" s="17" t="str">
        <x:v>36116.98</x:v>
      </x:c>
      <x:c r="G592" s="18" t="n">
        <x:v>454.96</x:v>
      </x:c>
      <x:c r="H592" s="18" t="n">
        <x:f>IFERROR(G592/1000,"")</x:f>
        <x:v>0.45496</x:v>
      </x:c>
      <x:c r="I592" s="19" t="n">
        <x:f>IFERROR(G592/J592,"")</x:f>
        <x:v>0.009770426335138766</x:v>
      </x:c>
      <x:c r="J592" s="17" t="n">
        <x:v>46565.01</x:v>
      </x:c>
      <x:c r="K592" s="17" t="str"/>
      <x:c r="L592" s="17" t="str">
        <x:v>已完成：查询白酒Ⅲ三级行业的成分股名单，取得 19 条记录。</x:v>
      </x:c>
      <x:c r="M592" s="17" t="str"/>
      <x:c r="N592" s="18" t="n">
        <x:v>2572.75</x:v>
      </x:c>
      <x:c r="O592" s="17" t="str">
        <x:v>public_sse_client_estimate</x:v>
      </x:c>
    </x:row>
    <x:row r="593" ht="48" customHeight="1">
      <x:c r="A593" s="17" t="str">
        <x:v>BUS114</x:v>
      </x:c>
      <x:c r="B593" s="17" t="str">
        <x:v>查询白酒行业成分股数量和股票名单。</x:v>
      </x:c>
      <x:c r="C593" s="17" t="n">
        <x:v>10</x:v>
      </x:c>
      <x:c r="D593" s="17" t="str">
        <x:v>回答整理</x:v>
      </x:c>
      <x:c r="E593" s="17" t="str">
        <x:v>36116.98</x:v>
      </x:c>
      <x:c r="F593" s="17" t="str">
        <x:v>42693.38</x:v>
      </x:c>
      <x:c r="G593" s="18" t="n">
        <x:v>6576.4</x:v>
      </x:c>
      <x:c r="H593" s="18" t="n">
        <x:f>IFERROR(G593/1000,"")</x:f>
        <x:v>6.5764</x:v>
      </x:c>
      <x:c r="I593" s="19" t="n">
        <x:f>IFERROR(G593/J593,"")</x:f>
        <x:v>0.1412305076279378</x:v>
      </x:c>
      <x:c r="J593" s="17" t="n">
        <x:v>46565.01</x:v>
      </x:c>
      <x:c r="K593" s="17" t="str"/>
      <x:c r="L593" s="17" t="str">
        <x:v>证据与回答已整理完成。</x:v>
      </x:c>
      <x:c r="M593" s="17" t="str"/>
      <x:c r="N593" s="18" t="n">
        <x:v>0</x:v>
      </x:c>
      <x:c r="O593" s="17" t="str">
        <x:v>public_sse_client_estimate</x:v>
      </x:c>
    </x:row>
    <x:row r="594" ht="48" customHeight="1">
      <x:c r="A594" s="17" t="str">
        <x:v>BUS115</x:v>
      </x:c>
      <x:c r="B594" s="17" t="str">
        <x:v>查询电子一级行业下所有成分股及对应三级行业。</x:v>
      </x:c>
      <x:c r="C594" s="17" t="n">
        <x:v>1</x:v>
      </x:c>
      <x:c r="D594" s="17" t="str">
        <x:v>问题理解</x:v>
      </x:c>
      <x:c r="E594" s="17" t="str">
        <x:v>5721.35</x:v>
      </x:c>
      <x:c r="F594" s="17" t="str">
        <x:v>8315.88</x:v>
      </x:c>
      <x:c r="G594" s="18" t="n">
        <x:v>2594.53</x:v>
      </x:c>
      <x:c r="H594" s="18" t="n">
        <x:f>IFERROR(G594/1000,"")</x:f>
        <x:v>2.5945300000000002</x:v>
      </x:c>
      <x:c r="I594" s="19" t="n">
        <x:f>IFERROR(G594/J594,"")</x:f>
        <x:v>0.10595700592527432</x:v>
      </x:c>
      <x:c r="J594" s="17" t="n">
        <x:v>24486.63</x:v>
      </x:c>
      <x:c r="K594" s="17" t="str"/>
      <x:c r="L594" s="17" t="str">
        <x:v>已明确本题的对象与口径，开始获取所需证据。</x:v>
      </x:c>
      <x:c r="M594" s="17" t="str"/>
      <x:c r="N594" s="18" t="n">
        <x:v>5721.35</x:v>
      </x:c>
      <x:c r="O594" s="17" t="str">
        <x:v>public_sse_client_estimate</x:v>
      </x:c>
    </x:row>
    <x:row r="595" ht="48" customHeight="1">
      <x:c r="A595" s="17" t="str">
        <x:v>BUS115</x:v>
      </x:c>
      <x:c r="B595" s="17" t="str">
        <x:v>查询电子一级行业下所有成分股及对应三级行业。</x:v>
      </x:c>
      <x:c r="C595" s="17" t="n">
        <x:v>2</x:v>
      </x:c>
      <x:c r="D595" s="17" t="str">
        <x:v>数据口径</x:v>
      </x:c>
      <x:c r="E595" s="17" t="str">
        <x:v>8315.88</x:v>
      </x:c>
      <x:c r="F595" s="17" t="str">
        <x:v>8329.3</x:v>
      </x:c>
      <x:c r="G595" s="18" t="n">
        <x:v>13.42</x:v>
      </x:c>
      <x:c r="H595" s="18" t="n">
        <x:f>IFERROR(G595/1000,"")</x:f>
        <x:v>0.01342</x:v>
      </x:c>
      <x:c r="I595" s="19" t="n">
        <x:f>IFERROR(G595/J595,"")</x:f>
        <x:v>0.0005480541830378455</x:v>
      </x:c>
      <x:c r="J595" s="17" t="n">
        <x:v>24486.63</x:v>
      </x:c>
      <x:c r="K595" s="17" t="str"/>
      <x:c r="L595" s="17" t="str">
        <x:v>已定位行业成分关系视图，并确认了可用字段与时间口径。</x:v>
      </x:c>
      <x:c r="M595" s="17" t="str"/>
      <x:c r="N595" s="18" t="n">
        <x:v>0</x:v>
      </x:c>
      <x:c r="O595" s="17" t="str">
        <x:v>public_sse_client_estimate</x:v>
      </x:c>
    </x:row>
    <x:row r="596" ht="48" customHeight="1">
      <x:c r="A596" s="17" t="str">
        <x:v>BUS115</x:v>
      </x:c>
      <x:c r="B596" s="17" t="str">
        <x:v>查询电子一级行业下所有成分股及对应三级行业。</x:v>
      </x:c>
      <x:c r="C596" s="17" t="n">
        <x:v>3</x:v>
      </x:c>
      <x:c r="D596" s="17" t="str">
        <x:v>数据查询 1/1</x:v>
      </x:c>
      <x:c r="E596" s="17" t="str">
        <x:v>11150.22</x:v>
      </x:c>
      <x:c r="F596" s="17" t="str">
        <x:v>11661.85</x:v>
      </x:c>
      <x:c r="G596" s="18" t="n">
        <x:v>511.63</x:v>
      </x:c>
      <x:c r="H596" s="18" t="n">
        <x:f>IFERROR(G596/1000,"")</x:f>
        <x:v>0.51163</x:v>
      </x:c>
      <x:c r="I596" s="19" t="n">
        <x:f>IFERROR(G596/J596,"")</x:f>
        <x:v>0.020894259438722272</x:v>
      </x:c>
      <x:c r="J596" s="17" t="n">
        <x:v>24486.63</x:v>
      </x:c>
      <x:c r="K596" s="17" t="str"/>
      <x:c r="L596" s="17" t="str">
        <x:v>已完成：查询电子一级行业下的所有成分股及其对应的三级行业名称，取得 100 条记录。</x:v>
      </x:c>
      <x:c r="M596" s="17" t="str"/>
      <x:c r="N596" s="18" t="n">
        <x:v>2820.92</x:v>
      </x:c>
      <x:c r="O596" s="17" t="str">
        <x:v>public_sse_client_estimate</x:v>
      </x:c>
    </x:row>
    <x:row r="597" ht="48" customHeight="1">
      <x:c r="A597" s="17" t="str">
        <x:v>BUS115</x:v>
      </x:c>
      <x:c r="B597" s="17" t="str">
        <x:v>查询电子一级行业下所有成分股及对应三级行业。</x:v>
      </x:c>
      <x:c r="C597" s="17" t="n">
        <x:v>4</x:v>
      </x:c>
      <x:c r="D597" s="17" t="str">
        <x:v>回答整理</x:v>
      </x:c>
      <x:c r="E597" s="17" t="str">
        <x:v>11661.85</x:v>
      </x:c>
      <x:c r="F597" s="17" t="str">
        <x:v>22044.68</x:v>
      </x:c>
      <x:c r="G597" s="18" t="n">
        <x:v>10382.83</x:v>
      </x:c>
      <x:c r="H597" s="18" t="n">
        <x:f>IFERROR(G597/1000,"")</x:f>
        <x:v>10.38283</x:v>
      </x:c>
      <x:c r="I597" s="19" t="n">
        <x:f>IFERROR(G597/J597,"")</x:f>
        <x:v>0.4240203735671262</x:v>
      </x:c>
      <x:c r="J597" s="17" t="n">
        <x:v>24486.63</x:v>
      </x:c>
      <x:c r="K597" s="17" t="str"/>
      <x:c r="L597" s="17" t="str">
        <x:v>证据与回答已整理完成。</x:v>
      </x:c>
      <x:c r="M597" s="17" t="str"/>
      <x:c r="N597" s="18" t="n">
        <x:v>0</x:v>
      </x:c>
      <x:c r="O597" s="17" t="str">
        <x:v>public_sse_client_estimate</x:v>
      </x:c>
    </x:row>
    <x:row r="598" ht="48" customHeight="1">
      <x:c r="A598" s="17" t="str">
        <x:v>BUS116</x:v>
      </x:c>
      <x:c r="B598" s="17" t="str">
        <x:v>查询宁德时代所在行业的其他成分股。</x:v>
      </x:c>
      <x:c r="C598" s="17" t="n">
        <x:v>1</x:v>
      </x:c>
      <x:c r="D598" s="17" t="str">
        <x:v>问题理解</x:v>
      </x:c>
      <x:c r="E598" s="17" t="str">
        <x:v>5339.68</x:v>
      </x:c>
      <x:c r="F598" s="17" t="str">
        <x:v>7508.38</x:v>
      </x:c>
      <x:c r="G598" s="18" t="n">
        <x:v>2168.7</x:v>
      </x:c>
      <x:c r="H598" s="18" t="n">
        <x:f>IFERROR(G598/1000,"")</x:f>
        <x:v>2.1687</x:v>
      </x:c>
      <x:c r="I598" s="19" t="n">
        <x:f>IFERROR(G598/J598,"")</x:f>
        <x:v>0.08553221094080304</x:v>
      </x:c>
      <x:c r="J598" s="17" t="n">
        <x:v>25355.36</x:v>
      </x:c>
      <x:c r="K598" s="17" t="str"/>
      <x:c r="L598" s="17" t="str">
        <x:v>已明确本题的对象与口径，开始获取所需证据。</x:v>
      </x:c>
      <x:c r="M598" s="17" t="str"/>
      <x:c r="N598" s="18" t="n">
        <x:v>5339.68</x:v>
      </x:c>
      <x:c r="O598" s="17" t="str">
        <x:v>public_sse_client_estimate</x:v>
      </x:c>
    </x:row>
    <x:row r="599" ht="48" customHeight="1">
      <x:c r="A599" s="17" t="str">
        <x:v>BUS116</x:v>
      </x:c>
      <x:c r="B599" s="17" t="str">
        <x:v>查询宁德时代所在行业的其他成分股。</x:v>
      </x:c>
      <x:c r="C599" s="17" t="n">
        <x:v>2</x:v>
      </x:c>
      <x:c r="D599" s="17" t="str">
        <x:v>数据口径</x:v>
      </x:c>
      <x:c r="E599" s="17" t="str">
        <x:v>7508.38</x:v>
      </x:c>
      <x:c r="F599" s="17" t="str">
        <x:v>7537.36</x:v>
      </x:c>
      <x:c r="G599" s="18" t="n">
        <x:v>28.98</x:v>
      </x:c>
      <x:c r="H599" s="18" t="n">
        <x:f>IFERROR(G599/1000,"")</x:f>
        <x:v>0.02898</x:v>
      </x:c>
      <x:c r="I599" s="19" t="n">
        <x:f>IFERROR(G599/J599,"")</x:f>
        <x:v>0.0011429536003432805</x:v>
      </x:c>
      <x:c r="J599" s="17" t="n">
        <x:v>25355.36</x:v>
      </x:c>
      <x:c r="K599" s="17" t="str"/>
      <x:c r="L599" s="17" t="str">
        <x:v>已定位股票基础信息视图，并确认了可用字段与时间口径。</x:v>
      </x:c>
      <x:c r="M599" s="17" t="str"/>
      <x:c r="N599" s="18" t="n">
        <x:v>0</x:v>
      </x:c>
      <x:c r="O599" s="17" t="str">
        <x:v>public_sse_client_estimate</x:v>
      </x:c>
    </x:row>
    <x:row r="600" ht="48" customHeight="1">
      <x:c r="A600" s="17" t="str">
        <x:v>BUS116</x:v>
      </x:c>
      <x:c r="B600" s="17" t="str">
        <x:v>查询宁德时代所在行业的其他成分股。</x:v>
      </x:c>
      <x:c r="C600" s="17" t="n">
        <x:v>3</x:v>
      </x:c>
      <x:c r="D600" s="17" t="str">
        <x:v>数据查询 1/1</x:v>
      </x:c>
      <x:c r="E600" s="17" t="str">
        <x:v>10126.66</x:v>
      </x:c>
      <x:c r="F600" s="17" t="str">
        <x:v>10650.04</x:v>
      </x:c>
      <x:c r="G600" s="18" t="n">
        <x:v>523.38</x:v>
      </x:c>
      <x:c r="H600" s="18" t="n">
        <x:f>IFERROR(G600/1000,"")</x:f>
        <x:v>0.52338</x:v>
      </x:c>
      <x:c r="I600" s="19" t="n">
        <x:f>IFERROR(G600/J600,"")</x:f>
        <x:v>0.02064178934947088</x:v>
      </x:c>
      <x:c r="J600" s="17" t="n">
        <x:v>25355.36</x:v>
      </x:c>
      <x:c r="K600" s="17" t="str"/>
      <x:c r="L600" s="17" t="str">
        <x:v>已完成：查询宁德时代的基础信息，获取其所属行业，取得 1 条记录。</x:v>
      </x:c>
      <x:c r="M600" s="17" t="str"/>
      <x:c r="N600" s="18" t="n">
        <x:v>2589.3</x:v>
      </x:c>
      <x:c r="O600" s="17" t="str">
        <x:v>public_sse_client_estimate</x:v>
      </x:c>
    </x:row>
    <x:row r="601" ht="48" customHeight="1">
      <x:c r="A601" s="17" t="str">
        <x:v>BUS116</x:v>
      </x:c>
      <x:c r="B601" s="17" t="str">
        <x:v>查询宁德时代所在行业的其他成分股。</x:v>
      </x:c>
      <x:c r="C601" s="17" t="n">
        <x:v>4</x:v>
      </x:c>
      <x:c r="D601" s="17" t="str">
        <x:v>数据口径</x:v>
      </x:c>
      <x:c r="E601" s="17" t="str">
        <x:v>10650.04</x:v>
      </x:c>
      <x:c r="F601" s="17" t="str">
        <x:v>12625.68</x:v>
      </x:c>
      <x:c r="G601" s="18" t="n">
        <x:v>1975.64</x:v>
      </x:c>
      <x:c r="H601" s="18" t="n">
        <x:f>IFERROR(G601/1000,"")</x:f>
        <x:v>1.97564</x:v>
      </x:c>
      <x:c r="I601" s="19" t="n">
        <x:f>IFERROR(G601/J601,"")</x:f>
        <x:v>0.07791804178682535</x:v>
      </x:c>
      <x:c r="J601" s="17" t="n">
        <x:v>25355.36</x:v>
      </x:c>
      <x:c r="K601" s="17" t="str"/>
      <x:c r="L601" s="17" t="str">
        <x:v>已定位行业成分关系视图，并确认了可用字段与时间口径。</x:v>
      </x:c>
      <x:c r="M601" s="17" t="str"/>
      <x:c r="N601" s="18" t="n">
        <x:v>0</x:v>
      </x:c>
      <x:c r="O601" s="17" t="str">
        <x:v>public_sse_client_estimate</x:v>
      </x:c>
    </x:row>
    <x:row r="602" ht="48" customHeight="1">
      <x:c r="A602" s="17" t="str">
        <x:v>BUS116</x:v>
      </x:c>
      <x:c r="B602" s="17" t="str">
        <x:v>查询宁德时代所在行业的其他成分股。</x:v>
      </x:c>
      <x:c r="C602" s="17" t="n">
        <x:v>5</x:v>
      </x:c>
      <x:c r="D602" s="17" t="str">
        <x:v>数据查询 1/1</x:v>
      </x:c>
      <x:c r="E602" s="17" t="str">
        <x:v>15477.33</x:v>
      </x:c>
      <x:c r="F602" s="17" t="str">
        <x:v>18738.27</x:v>
      </x:c>
      <x:c r="G602" s="18" t="n">
        <x:v>3260.94</x:v>
      </x:c>
      <x:c r="H602" s="18" t="n">
        <x:f>IFERROR(G602/1000,"")</x:f>
        <x:v>3.26094</x:v>
      </x:c>
      <x:c r="I602" s="19" t="n">
        <x:f>IFERROR(G602/J602,"")</x:f>
        <x:v>0.1286094932195796</x:v>
      </x:c>
      <x:c r="J602" s="17" t="n">
        <x:v>25355.36</x:v>
      </x:c>
      <x:c r="K602" s="17" t="str"/>
      <x:c r="L602" s="17" t="str">
        <x:v>已完成：查询锂电池行业的成分股，获取所有成分股代码和名称，取得 15 条记录。</x:v>
      </x:c>
      <x:c r="M602" s="17" t="str"/>
      <x:c r="N602" s="18" t="n">
        <x:v>2851.65</x:v>
      </x:c>
      <x:c r="O602" s="17" t="str">
        <x:v>public_sse_client_estimate</x:v>
      </x:c>
    </x:row>
    <x:row r="603" ht="48" customHeight="1">
      <x:c r="A603" s="17" t="str">
        <x:v>BUS116</x:v>
      </x:c>
      <x:c r="B603" s="17" t="str">
        <x:v>查询宁德时代所在行业的其他成分股。</x:v>
      </x:c>
      <x:c r="C603" s="17" t="n">
        <x:v>6</x:v>
      </x:c>
      <x:c r="D603" s="17" t="str">
        <x:v>回答整理</x:v>
      </x:c>
      <x:c r="E603" s="17" t="str">
        <x:v>18738.27</x:v>
      </x:c>
      <x:c r="F603" s="17" t="str">
        <x:v>22885.65</x:v>
      </x:c>
      <x:c r="G603" s="18" t="n">
        <x:v>4147.38</x:v>
      </x:c>
      <x:c r="H603" s="18" t="n">
        <x:f>IFERROR(G603/1000,"")</x:f>
        <x:v>4.14738</x:v>
      </x:c>
      <x:c r="I603" s="19" t="n">
        <x:f>IFERROR(G603/J603,"")</x:f>
        <x:v>0.16357014848142562</x:v>
      </x:c>
      <x:c r="J603" s="17" t="n">
        <x:v>25355.36</x:v>
      </x:c>
      <x:c r="K603" s="17" t="str"/>
      <x:c r="L603" s="17" t="str">
        <x:v>证据与回答已整理完成。</x:v>
      </x:c>
      <x:c r="M603" s="17" t="str"/>
      <x:c r="N603" s="18" t="n">
        <x:v>0</x:v>
      </x:c>
      <x:c r="O603" s="17" t="str">
        <x:v>public_sse_client_estimate</x:v>
      </x:c>
    </x:row>
    <x:row r="604" ht="48" customHeight="1">
      <x:c r="A604" s="17" t="str">
        <x:v>BUS117</x:v>
      </x:c>
      <x:c r="B604" s="17" t="str">
        <x:v>查询成分股数量最多的申万三级行业前20名。</x:v>
      </x:c>
      <x:c r="C604" s="17" t="n">
        <x:v>1</x:v>
      </x:c>
      <x:c r="D604" s="17" t="str">
        <x:v>问题理解</x:v>
      </x:c>
      <x:c r="E604" s="17" t="str">
        <x:v>5691.88</x:v>
      </x:c>
      <x:c r="F604" s="17" t="str">
        <x:v>8763.44</x:v>
      </x:c>
      <x:c r="G604" s="18" t="n">
        <x:v>3071.56</x:v>
      </x:c>
      <x:c r="H604" s="18" t="n">
        <x:f>IFERROR(G604/1000,"")</x:f>
        <x:v>3.07156</x:v>
      </x:c>
      <x:c r="I604" s="19" t="n">
        <x:f>IFERROR(G604/J604,"")</x:f>
        <x:v>0.09602447974599888</x:v>
      </x:c>
      <x:c r="J604" s="17" t="n">
        <x:v>31987.26</x:v>
      </x:c>
      <x:c r="K604" s="17" t="str"/>
      <x:c r="L604" s="17" t="str">
        <x:v>已明确本题的对象与口径，开始获取所需证据。</x:v>
      </x:c>
      <x:c r="M604" s="17" t="str"/>
      <x:c r="N604" s="18" t="n">
        <x:v>5691.88</x:v>
      </x:c>
      <x:c r="O604" s="17" t="str">
        <x:v>public_sse_client_estimate</x:v>
      </x:c>
    </x:row>
    <x:row r="605" ht="48" customHeight="1">
      <x:c r="A605" s="17" t="str">
        <x:v>BUS117</x:v>
      </x:c>
      <x:c r="B605" s="17" t="str">
        <x:v>查询成分股数量最多的申万三级行业前20名。</x:v>
      </x:c>
      <x:c r="C605" s="17" t="n">
        <x:v>2</x:v>
      </x:c>
      <x:c r="D605" s="17" t="str">
        <x:v>数据口径</x:v>
      </x:c>
      <x:c r="E605" s="17" t="str">
        <x:v>8763.44</x:v>
      </x:c>
      <x:c r="F605" s="17" t="str">
        <x:v>9341.25</x:v>
      </x:c>
      <x:c r="G605" s="18" t="n">
        <x:v>577.81</x:v>
      </x:c>
      <x:c r="H605" s="18" t="n">
        <x:f>IFERROR(G605/1000,"")</x:f>
        <x:v>0.5778099999999999</x:v>
      </x:c>
      <x:c r="I605" s="19" t="n">
        <x:f>IFERROR(G605/J605,"")</x:f>
        <x:v>0.018063754132113845</x:v>
      </x:c>
      <x:c r="J605" s="17" t="n">
        <x:v>31987.26</x:v>
      </x:c>
      <x:c r="K605" s="17" t="str"/>
      <x:c r="L605" s="17" t="str">
        <x:v>已定位行业成分关系视图，并确认了可用字段与时间口径。</x:v>
      </x:c>
      <x:c r="M605" s="17" t="str"/>
      <x:c r="N605" s="18" t="n">
        <x:v>0</x:v>
      </x:c>
      <x:c r="O605" s="17" t="str">
        <x:v>public_sse_client_estimate</x:v>
      </x:c>
    </x:row>
    <x:row r="606" ht="48" customHeight="1">
      <x:c r="A606" s="17" t="str">
        <x:v>BUS117</x:v>
      </x:c>
      <x:c r="B606" s="17" t="str">
        <x:v>查询成分股数量最多的申万三级行业前20名。</x:v>
      </x:c>
      <x:c r="C606" s="17" t="n">
        <x:v>3</x:v>
      </x:c>
      <x:c r="D606" s="17" t="str">
        <x:v>数据查询 1/1</x:v>
      </x:c>
      <x:c r="E606" s="17" t="str">
        <x:v>15620.57</x:v>
      </x:c>
      <x:c r="F606" s="17" t="str">
        <x:v>18162.01</x:v>
      </x:c>
      <x:c r="G606" s="18" t="n">
        <x:v>2541.44</x:v>
      </x:c>
      <x:c r="H606" s="18" t="n">
        <x:f>IFERROR(G606/1000,"")</x:f>
        <x:v>2.54144</x:v>
      </x:c>
      <x:c r="I606" s="19" t="n">
        <x:f>IFERROR(G606/J606,"")</x:f>
        <x:v>0.07945163168086294</x:v>
      </x:c>
      <x:c r="J606" s="17" t="n">
        <x:v>31987.26</x:v>
      </x:c>
      <x:c r="K606" s="17" t="str"/>
      <x:c r="L606" s="17" t="str">
        <x:v>已完成：统计申万三级行业的成分股数量，按数量降序取前20名，取得 20 条记录。</x:v>
      </x:c>
      <x:c r="M606" s="17" t="str"/>
      <x:c r="N606" s="18" t="n">
        <x:v>6279.32</x:v>
      </x:c>
      <x:c r="O606" s="17" t="str">
        <x:v>public_sse_client_estimate</x:v>
      </x:c>
    </x:row>
    <x:row r="607" ht="48" customHeight="1">
      <x:c r="A607" s="17" t="str">
        <x:v>BUS117</x:v>
      </x:c>
      <x:c r="B607" s="17" t="str">
        <x:v>查询成分股数量最多的申万三级行业前20名。</x:v>
      </x:c>
      <x:c r="C607" s="17" t="n">
        <x:v>4</x:v>
      </x:c>
      <x:c r="D607" s="17" t="str">
        <x:v>回答整理</x:v>
      </x:c>
      <x:c r="E607" s="17" t="str">
        <x:v>18162.01</x:v>
      </x:c>
      <x:c r="F607" s="17" t="str">
        <x:v>25266.63</x:v>
      </x:c>
      <x:c r="G607" s="18" t="n">
        <x:v>7104.62</x:v>
      </x:c>
      <x:c r="H607" s="18" t="n">
        <x:f>IFERROR(G607/1000,"")</x:f>
        <x:v>7.10462</x:v>
      </x:c>
      <x:c r="I607" s="19" t="n">
        <x:f>IFERROR(G607/J607,"")</x:f>
        <x:v>0.2221078016685393</x:v>
      </x:c>
      <x:c r="J607" s="17" t="n">
        <x:v>31987.26</x:v>
      </x:c>
      <x:c r="K607" s="17" t="str"/>
      <x:c r="L607" s="17" t="str">
        <x:v>证据与回答已整理完成。</x:v>
      </x:c>
      <x:c r="M607" s="17" t="str"/>
      <x:c r="N607" s="18" t="n">
        <x:v>0</x:v>
      </x:c>
      <x:c r="O607" s="17" t="str">
        <x:v>public_sse_client_estimate</x:v>
      </x:c>
    </x:row>
    <x:row r="608" ht="48" customHeight="1">
      <x:c r="A608" s="17" t="str">
        <x:v>BUS120</x:v>
      </x:c>
      <x:c r="B608" s="17" t="str">
        <x:v>筛选半导体行业中今天涨幅最高的前10只股票。</x:v>
      </x:c>
      <x:c r="C608" s="17" t="n">
        <x:v>1</x:v>
      </x:c>
      <x:c r="D608" s="17" t="str">
        <x:v>问题理解</x:v>
      </x:c>
      <x:c r="E608" s="17" t="str">
        <x:v>5412.79</x:v>
      </x:c>
      <x:c r="F608" s="17" t="str">
        <x:v>12738.23</x:v>
      </x:c>
      <x:c r="G608" s="18" t="n">
        <x:v>7325.44</x:v>
      </x:c>
      <x:c r="H608" s="18" t="n">
        <x:f>IFERROR(G608/1000,"")</x:f>
        <x:v>7.3254399999999995</x:v>
      </x:c>
      <x:c r="I608" s="19" t="n">
        <x:f>IFERROR(G608/J608,"")</x:f>
        <x:v>0.1401598395864146</x:v>
      </x:c>
      <x:c r="J608" s="17" t="n">
        <x:v>52264.9</x:v>
      </x:c>
      <x:c r="K608" s="17" t="str"/>
      <x:c r="L608" s="17" t="str">
        <x:v>已明确本题的对象与口径，开始获取所需证据。</x:v>
      </x:c>
      <x:c r="M608" s="17" t="str"/>
      <x:c r="N608" s="18" t="n">
        <x:v>5412.79</x:v>
      </x:c>
      <x:c r="O608" s="17" t="str">
        <x:v>public_sse_client_estimate</x:v>
      </x:c>
    </x:row>
    <x:row r="609" ht="48" customHeight="1">
      <x:c r="A609" s="17" t="str">
        <x:v>BUS120</x:v>
      </x:c>
      <x:c r="B609" s="17" t="str">
        <x:v>筛选半导体行业中今天涨幅最高的前10只股票。</x:v>
      </x:c>
      <x:c r="C609" s="17" t="n">
        <x:v>2</x:v>
      </x:c>
      <x:c r="D609" s="17" t="str">
        <x:v>数据口径</x:v>
      </x:c>
      <x:c r="E609" s="17" t="str">
        <x:v>12738.23</x:v>
      </x:c>
      <x:c r="F609" s="17" t="str">
        <x:v>12771.7</x:v>
      </x:c>
      <x:c r="G609" s="18" t="n">
        <x:v>33.47</x:v>
      </x:c>
      <x:c r="H609" s="18" t="n">
        <x:f>IFERROR(G609/1000,"")</x:f>
        <x:v>0.03347</x:v>
      </x:c>
      <x:c r="I609" s="19" t="n">
        <x:f>IFERROR(G609/J609,"")</x:f>
        <x:v>0.0006403915438468264</x:v>
      </x:c>
      <x:c r="J609" s="17" t="n">
        <x:v>52264.9</x:v>
      </x:c>
      <x:c r="K609" s="17" t="str"/>
      <x:c r="L609" s="17" t="str">
        <x:v>已定位行业成分关系视图，并确认了可用字段与时间口径。</x:v>
      </x:c>
      <x:c r="M609" s="17" t="str"/>
      <x:c r="N609" s="18" t="n">
        <x:v>0</x:v>
      </x:c>
      <x:c r="O609" s="17" t="str">
        <x:v>public_sse_client_estimate</x:v>
      </x:c>
    </x:row>
    <x:row r="610" ht="48" customHeight="1">
      <x:c r="A610" s="17" t="str">
        <x:v>BUS120</x:v>
      </x:c>
      <x:c r="B610" s="17" t="str">
        <x:v>筛选半导体行业中今天涨幅最高的前10只股票。</x:v>
      </x:c>
      <x:c r="C610" s="17" t="n">
        <x:v>3</x:v>
      </x:c>
      <x:c r="D610" s="17" t="str">
        <x:v>数据口径</x:v>
      </x:c>
      <x:c r="E610" s="17" t="str">
        <x:v>12771.7</x:v>
      </x:c>
      <x:c r="F610" s="17" t="str">
        <x:v>13119.56</x:v>
      </x:c>
      <x:c r="G610" s="18" t="n">
        <x:v>347.86</x:v>
      </x:c>
      <x:c r="H610" s="18" t="n">
        <x:f>IFERROR(G610/1000,"")</x:f>
        <x:v>0.34786</x:v>
      </x:c>
      <x:c r="I610" s="19" t="n">
        <x:f>IFERROR(G610/J610,"")</x:f>
        <x:v>0.006655709663655723</x:v>
      </x:c>
      <x:c r="J610" s="17" t="n">
        <x:v>52264.9</x:v>
      </x:c>
      <x:c r="K610" s="17" t="str"/>
      <x:c r="L610" s="17" t="str">
        <x:v>已定位个股行情视图，并确认了可用字段与时间口径。</x:v>
      </x:c>
      <x:c r="M610" s="17" t="str"/>
      <x:c r="N610" s="18" t="n">
        <x:v>0</x:v>
      </x:c>
      <x:c r="O610" s="17" t="str">
        <x:v>public_sse_client_estimate</x:v>
      </x:c>
    </x:row>
    <x:row r="611" ht="48" customHeight="1">
      <x:c r="A611" s="17" t="str">
        <x:v>BUS120</x:v>
      </x:c>
      <x:c r="B611" s="17" t="str">
        <x:v>筛选半导体行业中今天涨幅最高的前10只股票。</x:v>
      </x:c>
      <x:c r="C611" s="17" t="n">
        <x:v>4</x:v>
      </x:c>
      <x:c r="D611" s="17" t="str">
        <x:v>数据口径</x:v>
      </x:c>
      <x:c r="E611" s="17" t="str">
        <x:v>13119.56</x:v>
      </x:c>
      <x:c r="F611" s="17" t="str">
        <x:v>16435.47</x:v>
      </x:c>
      <x:c r="G611" s="18" t="n">
        <x:v>3315.91</x:v>
      </x:c>
      <x:c r="H611" s="18" t="n">
        <x:f>IFERROR(G611/1000,"")</x:f>
        <x:v>3.3159099999999997</x:v>
      </x:c>
      <x:c r="I611" s="19" t="n">
        <x:f>IFERROR(G611/J611,"")</x:f>
        <x:v>0.06344430009432717</x:v>
      </x:c>
      <x:c r="J611" s="17" t="n">
        <x:v>52264.9</x:v>
      </x:c>
      <x:c r="K611" s="17" t="str"/>
      <x:c r="L611" s="17" t="str">
        <x:v>已定位行业基础信息视图，并确认了可用字段与时间口径。</x:v>
      </x:c>
      <x:c r="M611" s="17" t="str"/>
      <x:c r="N611" s="18" t="n">
        <x:v>0</x:v>
      </x:c>
      <x:c r="O611" s="17" t="str">
        <x:v>public_sse_client_estimate</x:v>
      </x:c>
    </x:row>
    <x:row r="612" ht="48" customHeight="1">
      <x:c r="A612" s="17" t="str">
        <x:v>BUS120</x:v>
      </x:c>
      <x:c r="B612" s="17" t="str">
        <x:v>筛选半导体行业中今天涨幅最高的前10只股票。</x:v>
      </x:c>
      <x:c r="C612" s="17" t="n">
        <x:v>5</x:v>
      </x:c>
      <x:c r="D612" s="17" t="str">
        <x:v>数据查询 1/1</x:v>
      </x:c>
      <x:c r="E612" s="17" t="str">
        <x:v>18648.69</x:v>
      </x:c>
      <x:c r="F612" s="17" t="str">
        <x:v>19206.14</x:v>
      </x:c>
      <x:c r="G612" s="18" t="n">
        <x:v>557.45</x:v>
      </x:c>
      <x:c r="H612" s="18" t="n">
        <x:f>IFERROR(G612/1000,"")</x:f>
        <x:v>0.55745</x:v>
      </x:c>
      <x:c r="I612" s="19" t="n">
        <x:f>IFERROR(G612/J612,"")</x:f>
        <x:v>0.010665857965862367</x:v>
      </x:c>
      <x:c r="J612" s="17" t="n">
        <x:v>52264.9</x:v>
      </x:c>
      <x:c r="K612" s="17" t="str"/>
      <x:c r="L612" s="17" t="str">
        <x:v>已完成：查询半导体行业的基本信息，确认行业代码，取得 10 条记录。</x:v>
      </x:c>
      <x:c r="M612" s="17" t="str"/>
      <x:c r="N612" s="18" t="n">
        <x:v>2213.22</x:v>
      </x:c>
      <x:c r="O612" s="17" t="str">
        <x:v>public_sse_client_estimate</x:v>
      </x:c>
    </x:row>
    <x:row r="613" ht="48" customHeight="1">
      <x:c r="A613" s="17" t="str">
        <x:v>BUS120</x:v>
      </x:c>
      <x:c r="B613" s="17" t="str">
        <x:v>筛选半导体行业中今天涨幅最高的前10只股票。</x:v>
      </x:c>
      <x:c r="C613" s="17" t="n">
        <x:v>6</x:v>
      </x:c>
      <x:c r="D613" s="17" t="str">
        <x:v>数据查询 1/2</x:v>
      </x:c>
      <x:c r="E613" s="17" t="str">
        <x:v>25511.53</x:v>
      </x:c>
      <x:c r="F613" s="17" t="str">
        <x:v>26112.68</x:v>
      </x:c>
      <x:c r="G613" s="18" t="n">
        <x:v>601.15</x:v>
      </x:c>
      <x:c r="H613" s="18" t="n">
        <x:f>IFERROR(G613/1000,"")</x:f>
        <x:v>0.60115</x:v>
      </x:c>
      <x:c r="I613" s="19" t="n">
        <x:f>IFERROR(G613/J613,"")</x:f>
        <x:v>0.011501983166522848</x:v>
      </x:c>
      <x:c r="J613" s="17" t="n">
        <x:v>52264.9</x:v>
      </x:c>
      <x:c r="K613" s="17" t="str"/>
      <x:c r="L613" s="17" t="str">
        <x:v>已完成：查询申万行业分类中名称为'半导体'的行业信息，当前条件下没有匹配记录。</x:v>
      </x:c>
      <x:c r="M613" s="17" t="str"/>
      <x:c r="N613" s="18" t="n">
        <x:v>6305.39</x:v>
      </x:c>
      <x:c r="O613" s="17" t="str">
        <x:v>public_sse_client_estimate</x:v>
      </x:c>
    </x:row>
    <x:row r="614" ht="48" customHeight="1">
      <x:c r="A614" s="17" t="str">
        <x:v>BUS120</x:v>
      </x:c>
      <x:c r="B614" s="17" t="str">
        <x:v>筛选半导体行业中今天涨幅最高的前10只股票。</x:v>
      </x:c>
      <x:c r="C614" s="17" t="n">
        <x:v>7</x:v>
      </x:c>
      <x:c r="D614" s="17" t="str">
        <x:v>数据查询 2/2</x:v>
      </x:c>
      <x:c r="E614" s="17" t="str">
        <x:v>26115.28</x:v>
      </x:c>
      <x:c r="F614" s="17" t="str">
        <x:v>26499.45</x:v>
      </x:c>
      <x:c r="G614" s="18" t="n">
        <x:v>384.17</x:v>
      </x:c>
      <x:c r="H614" s="18" t="n">
        <x:f>IFERROR(G614/1000,"")</x:f>
        <x:v>0.38417</x:v>
      </x:c>
      <x:c r="I614" s="19" t="n">
        <x:f>IFERROR(G614/J614,"")</x:f>
        <x:v>0.007350439778895588</x:v>
      </x:c>
      <x:c r="J614" s="17" t="n">
        <x:v>52264.9</x:v>
      </x:c>
      <x:c r="K614" s="17" t="str"/>
      <x:c r="L614" s="17" t="str">
        <x:v>第 2 步的数据源查询未完成。</x:v>
      </x:c>
      <x:c r="M614" s="17" t="str"/>
      <x:c r="N614" s="18" t="n">
        <x:v>2.6</x:v>
      </x:c>
      <x:c r="O614" s="17" t="str">
        <x:v>public_sse_client_estimate</x:v>
      </x:c>
    </x:row>
    <x:row r="615" ht="48" customHeight="1">
      <x:c r="A615" s="17" t="str">
        <x:v>BUS120</x:v>
      </x:c>
      <x:c r="B615" s="17" t="str">
        <x:v>筛选半导体行业中今天涨幅最高的前10只股票。</x:v>
      </x:c>
      <x:c r="C615" s="17" t="n">
        <x:v>8</x:v>
      </x:c>
      <x:c r="D615" s="17" t="str">
        <x:v>数据查询 1/1</x:v>
      </x:c>
      <x:c r="E615" s="17" t="str">
        <x:v>29360.12</x:v>
      </x:c>
      <x:c r="F615" s="17" t="str">
        <x:v>29904.2</x:v>
      </x:c>
      <x:c r="G615" s="18" t="n">
        <x:v>544.08</x:v>
      </x:c>
      <x:c r="H615" s="18" t="n">
        <x:f>IFERROR(G615/1000,"")</x:f>
        <x:v>0.54408</x:v>
      </x:c>
      <x:c r="I615" s="19" t="n">
        <x:f>IFERROR(G615/J615,"")</x:f>
        <x:v>0.01041004574771979</x:v>
      </x:c>
      <x:c r="J615" s="17" t="n">
        <x:v>52264.9</x:v>
      </x:c>
      <x:c r="K615" s="17" t="str"/>
      <x:c r="L615" s="17" t="str">
        <x:v>已完成：查询申万电子行业及其下级分类信息，取得 23 条记录。</x:v>
      </x:c>
      <x:c r="M615" s="17" t="str"/>
      <x:c r="N615" s="18" t="n">
        <x:v>2860.67</x:v>
      </x:c>
      <x:c r="O615" s="17" t="str">
        <x:v>public_sse_client_estimate</x:v>
      </x:c>
    </x:row>
    <x:row r="616" ht="48" customHeight="1">
      <x:c r="A616" s="17" t="str">
        <x:v>BUS120</x:v>
      </x:c>
      <x:c r="B616" s="17" t="str">
        <x:v>筛选半导体行业中今天涨幅最高的前10只股票。</x:v>
      </x:c>
      <x:c r="C616" s="17" t="n">
        <x:v>9</x:v>
      </x:c>
      <x:c r="D616" s="17" t="str">
        <x:v>数据查询 1/2</x:v>
      </x:c>
      <x:c r="E616" s="17" t="str">
        <x:v>34776.37</x:v>
      </x:c>
      <x:c r="F616" s="17" t="str">
        <x:v>35892.3</x:v>
      </x:c>
      <x:c r="G616" s="18" t="n">
        <x:v>1115.93</x:v>
      </x:c>
      <x:c r="H616" s="18" t="n">
        <x:f>IFERROR(G616/1000,"")</x:f>
        <x:v>1.11593</x:v>
      </x:c>
      <x:c r="I616" s="19" t="n">
        <x:f>IFERROR(G616/J616,"")</x:f>
        <x:v>0.021351423230504603</x:v>
      </x:c>
      <x:c r="J616" s="17" t="n">
        <x:v>52264.9</x:v>
      </x:c>
      <x:c r="K616" s="17" t="str"/>
      <x:c r="L616" s="17" t="str">
        <x:v>已完成：获取半导体行业（申万二级，行业代码270100）的所有成分股，取得 74 条记录。</x:v>
      </x:c>
      <x:c r="M616" s="17" t="str"/>
      <x:c r="N616" s="18" t="n">
        <x:v>4872.17</x:v>
      </x:c>
      <x:c r="O616" s="17" t="str">
        <x:v>public_sse_client_estimate</x:v>
      </x:c>
    </x:row>
    <x:row r="617" ht="48" customHeight="1">
      <x:c r="A617" s="17" t="str">
        <x:v>BUS120</x:v>
      </x:c>
      <x:c r="B617" s="17" t="str">
        <x:v>筛选半导体行业中今天涨幅最高的前10只股票。</x:v>
      </x:c>
      <x:c r="C617" s="17" t="n">
        <x:v>10</x:v>
      </x:c>
      <x:c r="D617" s="17" t="str">
        <x:v>数据查询 2/2</x:v>
      </x:c>
      <x:c r="E617" s="17" t="str">
        <x:v>35899.68</x:v>
      </x:c>
      <x:c r="F617" s="17" t="str">
        <x:v>36840.51</x:v>
      </x:c>
      <x:c r="G617" s="18" t="n">
        <x:v>940.83</x:v>
      </x:c>
      <x:c r="H617" s="18" t="n">
        <x:f>IFERROR(G617/1000,"")</x:f>
        <x:v>0.94083</x:v>
      </x:c>
      <x:c r="I617" s="19" t="n">
        <x:f>IFERROR(G617/J617,"")</x:f>
        <x:v>0.018001182437926793</x:v>
      </x:c>
      <x:c r="J617" s="17" t="n">
        <x:v>52264.9</x:v>
      </x:c>
      <x:c r="K617" s="17" t="str"/>
      <x:c r="L617" s="17" t="str">
        <x:v>已完成：查询半导体成分股最近一个交易日的行情，按涨幅降序取前10名，取得 10 条记录。</x:v>
      </x:c>
      <x:c r="M617" s="17" t="str"/>
      <x:c r="N617" s="18" t="n">
        <x:v>7.38</x:v>
      </x:c>
      <x:c r="O617" s="17" t="str">
        <x:v>public_sse_client_estimate</x:v>
      </x:c>
    </x:row>
    <x:row r="618" ht="48" customHeight="1">
      <x:c r="A618" s="17" t="str">
        <x:v>BUS120</x:v>
      </x:c>
      <x:c r="B618" s="17" t="str">
        <x:v>筛选半导体行业中今天涨幅最高的前10只股票。</x:v>
      </x:c>
      <x:c r="C618" s="17" t="n">
        <x:v>11</x:v>
      </x:c>
      <x:c r="D618" s="17" t="str">
        <x:v>回答整理</x:v>
      </x:c>
      <x:c r="E618" s="17" t="str">
        <x:v>36840.51</x:v>
      </x:c>
      <x:c r="F618" s="17" t="str">
        <x:v>48569.64</x:v>
      </x:c>
      <x:c r="G618" s="18" t="n">
        <x:v>11729.13</x:v>
      </x:c>
      <x:c r="H618" s="18" t="n">
        <x:f>IFERROR(G618/1000,"")</x:f>
        <x:v>11.72913</x:v>
      </x:c>
      <x:c r="I618" s="19" t="n">
        <x:f>IFERROR(G618/J618,"")</x:f>
        <x:v>0.22441696052226254</x:v>
      </x:c>
      <x:c r="J618" s="17" t="n">
        <x:v>52264.9</x:v>
      </x:c>
      <x:c r="K618" s="17" t="str"/>
      <x:c r="L618" s="17" t="str">
        <x:v>证据与回答已整理完成。</x:v>
      </x:c>
      <x:c r="M618" s="17" t="str"/>
      <x:c r="N618" s="18" t="n">
        <x:v>0</x:v>
      </x:c>
      <x:c r="O618" s="17" t="str">
        <x:v>public_sse_client_estimate</x:v>
      </x:c>
    </x:row>
    <x:row r="619" ht="48" customHeight="1">
      <x:c r="A619" s="17" t="str">
        <x:v>BUS121</x:v>
      </x:c>
      <x:c r="B619" s="17" t="str">
        <x:v>统计白酒行业成分股最新PE_TTM均值和最高市值股票。</x:v>
      </x:c>
      <x:c r="C619" s="17" t="n">
        <x:v>1</x:v>
      </x:c>
      <x:c r="D619" s="17" t="str">
        <x:v>问题理解</x:v>
      </x:c>
      <x:c r="E619" s="17" t="str">
        <x:v>5314.99</x:v>
      </x:c>
      <x:c r="F619" s="17" t="str">
        <x:v>7926.91</x:v>
      </x:c>
      <x:c r="G619" s="18" t="n">
        <x:v>2611.92</x:v>
      </x:c>
      <x:c r="H619" s="18" t="n">
        <x:f>IFERROR(G619/1000,"")</x:f>
        <x:v>2.61192</x:v>
      </x:c>
      <x:c r="I619" s="19" t="n">
        <x:f>IFERROR(G619/J619,"")</x:f>
        <x:v>0.03421416100954253</x:v>
      </x:c>
      <x:c r="J619" s="17" t="n">
        <x:v>76340.32</x:v>
      </x:c>
      <x:c r="K619" s="17" t="str"/>
      <x:c r="L619" s="17" t="str">
        <x:v>已明确本题的对象与口径，开始获取所需证据。</x:v>
      </x:c>
      <x:c r="M619" s="17" t="str"/>
      <x:c r="N619" s="18" t="n">
        <x:v>5314.99</x:v>
      </x:c>
      <x:c r="O619" s="17" t="str">
        <x:v>public_sse_client_estimate</x:v>
      </x:c>
    </x:row>
    <x:row r="620" ht="48" customHeight="1">
      <x:c r="A620" s="17" t="str">
        <x:v>BUS121</x:v>
      </x:c>
      <x:c r="B620" s="17" t="str">
        <x:v>统计白酒行业成分股最新PE_TTM均值和最高市值股票。</x:v>
      </x:c>
      <x:c r="C620" s="17" t="n">
        <x:v>2</x:v>
      </x:c>
      <x:c r="D620" s="17" t="str">
        <x:v>数据口径</x:v>
      </x:c>
      <x:c r="E620" s="17" t="str">
        <x:v>7926.91</x:v>
      </x:c>
      <x:c r="F620" s="17" t="str">
        <x:v>7951.32</x:v>
      </x:c>
      <x:c r="G620" s="18" t="n">
        <x:v>24.41</x:v>
      </x:c>
      <x:c r="H620" s="18" t="n">
        <x:f>IFERROR(G620/1000,"")</x:f>
        <x:v>0.02441</x:v>
      </x:c>
      <x:c r="I620" s="19" t="n">
        <x:f>IFERROR(G620/J620,"")</x:f>
        <x:v>0.00031975239296874833</x:v>
      </x:c>
      <x:c r="J620" s="17" t="n">
        <x:v>76340.32</x:v>
      </x:c>
      <x:c r="K620" s="17" t="str"/>
      <x:c r="L620" s="17" t="str">
        <x:v>已定位行业成分关系视图，并确认了可用字段与时间口径。</x:v>
      </x:c>
      <x:c r="M620" s="17" t="str"/>
      <x:c r="N620" s="18" t="n">
        <x:v>0</x:v>
      </x:c>
      <x:c r="O620" s="17" t="str">
        <x:v>public_sse_client_estimate</x:v>
      </x:c>
    </x:row>
    <x:row r="621" ht="48" customHeight="1">
      <x:c r="A621" s="17" t="str">
        <x:v>BUS121</x:v>
      </x:c>
      <x:c r="B621" s="17" t="str">
        <x:v>统计白酒行业成分股最新PE_TTM均值和最高市值股票。</x:v>
      </x:c>
      <x:c r="C621" s="17" t="n">
        <x:v>3</x:v>
      </x:c>
      <x:c r="D621" s="17" t="str">
        <x:v>数据口径</x:v>
      </x:c>
      <x:c r="E621" s="17" t="str">
        <x:v>7951.32</x:v>
      </x:c>
      <x:c r="F621" s="17" t="str">
        <x:v>10657.51</x:v>
      </x:c>
      <x:c r="G621" s="18" t="n">
        <x:v>2706.19</x:v>
      </x:c>
      <x:c r="H621" s="18" t="n">
        <x:f>IFERROR(G621/1000,"")</x:f>
        <x:v>2.70619</x:v>
      </x:c>
      <x:c r="I621" s="19" t="n">
        <x:f>IFERROR(G621/J621,"")</x:f>
        <x:v>0.03544902615027026</x:v>
      </x:c>
      <x:c r="J621" s="17" t="n">
        <x:v>76340.32</x:v>
      </x:c>
      <x:c r="K621" s="17" t="str"/>
      <x:c r="L621" s="17" t="str">
        <x:v>已定位个股估值视图，并确认了可用字段与时间口径。</x:v>
      </x:c>
      <x:c r="M621" s="17" t="str"/>
      <x:c r="N621" s="18" t="n">
        <x:v>0</x:v>
      </x:c>
      <x:c r="O621" s="17" t="str">
        <x:v>public_sse_client_estimate</x:v>
      </x:c>
    </x:row>
    <x:row r="622" ht="48" customHeight="1">
      <x:c r="A622" s="17" t="str">
        <x:v>BUS121</x:v>
      </x:c>
      <x:c r="B622" s="17" t="str">
        <x:v>统计白酒行业成分股最新PE_TTM均值和最高市值股票。</x:v>
      </x:c>
      <x:c r="C622" s="17" t="n">
        <x:v>4</x:v>
      </x:c>
      <x:c r="D622" s="17" t="str">
        <x:v>数据查询 1/3</x:v>
      </x:c>
      <x:c r="E622" s="17" t="str">
        <x:v>21336.99</x:v>
      </x:c>
      <x:c r="F622" s="17" t="str">
        <x:v>21832.05</x:v>
      </x:c>
      <x:c r="G622" s="18" t="n">
        <x:v>495.06</x:v>
      </x:c>
      <x:c r="H622" s="18" t="n">
        <x:f>IFERROR(G622/1000,"")</x:f>
        <x:v>0.49506</x:v>
      </x:c>
      <x:c r="I622" s="19" t="n">
        <x:f>IFERROR(G622/J622,"")</x:f>
        <x:v>0.006484908630196991</x:v>
      </x:c>
      <x:c r="J622" s="17" t="n">
        <x:v>76340.32</x:v>
      </x:c>
      <x:c r="K622" s="17" t="str"/>
      <x:c r="L622" s="17" t="str">
        <x:v>已完成：获取白酒行业成分股列表，当前条件下没有匹配记录。</x:v>
      </x:c>
      <x:c r="M622" s="17" t="str"/>
      <x:c r="N622" s="18" t="n">
        <x:v>10679.48</x:v>
      </x:c>
      <x:c r="O622" s="17" t="str">
        <x:v>public_sse_client_estimate</x:v>
      </x:c>
    </x:row>
    <x:row r="623" ht="48" customHeight="1">
      <x:c r="A623" s="17" t="str">
        <x:v>BUS121</x:v>
      </x:c>
      <x:c r="B623" s="17" t="str">
        <x:v>统计白酒行业成分股最新PE_TTM均值和最高市值股票。</x:v>
      </x:c>
      <x:c r="C623" s="17" t="n">
        <x:v>5</x:v>
      </x:c>
      <x:c r="D623" s="17" t="str">
        <x:v>数据查询 2/3</x:v>
      </x:c>
      <x:c r="E623" s="17" t="str">
        <x:v>21838.2</x:v>
      </x:c>
      <x:c r="F623" s="17" t="str">
        <x:v>22306.04</x:v>
      </x:c>
      <x:c r="G623" s="18" t="n">
        <x:v>467.84</x:v>
      </x:c>
      <x:c r="H623" s="18" t="n">
        <x:f>IFERROR(G623/1000,"")</x:f>
        <x:v>0.46784</x:v>
      </x:c>
      <x:c r="I623" s="19" t="n">
        <x:f>IFERROR(G623/J623,"")</x:f>
        <x:v>0.006128347379209308</x:v>
      </x:c>
      <x:c r="J623" s="17" t="n">
        <x:v>76340.32</x:v>
      </x:c>
      <x:c r="K623" s="17" t="str"/>
      <x:c r="L623" s="17" t="str">
        <x:v>已完成：计算白酒行业成分股最新PE_TTM均值，当前条件下没有匹配记录。</x:v>
      </x:c>
      <x:c r="M623" s="17" t="str"/>
      <x:c r="N623" s="18" t="n">
        <x:v>6.15</x:v>
      </x:c>
      <x:c r="O623" s="17" t="str">
        <x:v>public_sse_client_estimate</x:v>
      </x:c>
    </x:row>
    <x:row r="624" ht="48" customHeight="1">
      <x:c r="A624" s="17" t="str">
        <x:v>BUS121</x:v>
      </x:c>
      <x:c r="B624" s="17" t="str">
        <x:v>统计白酒行业成分股最新PE_TTM均值和最高市值股票。</x:v>
      </x:c>
      <x:c r="C624" s="17" t="n">
        <x:v>6</x:v>
      </x:c>
      <x:c r="D624" s="17" t="str">
        <x:v>数据查询 3/3</x:v>
      </x:c>
      <x:c r="E624" s="17" t="str">
        <x:v>22330.61</x:v>
      </x:c>
      <x:c r="F624" s="17" t="str">
        <x:v>22358.42</x:v>
      </x:c>
      <x:c r="G624" s="18" t="n">
        <x:v>27.81</x:v>
      </x:c>
      <x:c r="H624" s="18" t="n">
        <x:f>IFERROR(G624/1000,"")</x:f>
        <x:v>0.027809999999999998</x:v>
      </x:c>
      <x:c r="I624" s="19" t="n">
        <x:f>IFERROR(G624/J624,"")</x:f>
        <x:v>0.00036428980124788576</x:v>
      </x:c>
      <x:c r="J624" s="17" t="n">
        <x:v>76340.32</x:v>
      </x:c>
      <x:c r="K624" s="17" t="str"/>
      <x:c r="L624" s="17" t="str">
        <x:v>已完成：找出白酒行业市值最高的股票，当前条件下没有匹配记录。</x:v>
      </x:c>
      <x:c r="M624" s="17" t="str"/>
      <x:c r="N624" s="18" t="n">
        <x:v>24.57</x:v>
      </x:c>
      <x:c r="O624" s="17" t="str">
        <x:v>public_sse_client_estimate</x:v>
      </x:c>
    </x:row>
    <x:row r="625" ht="48" customHeight="1">
      <x:c r="A625" s="17" t="str">
        <x:v>BUS121</x:v>
      </x:c>
      <x:c r="B625" s="17" t="str">
        <x:v>统计白酒行业成分股最新PE_TTM均值和最高市值股票。</x:v>
      </x:c>
      <x:c r="C625" s="17" t="n">
        <x:v>7</x:v>
      </x:c>
      <x:c r="D625" s="17" t="str">
        <x:v>数据口径</x:v>
      </x:c>
      <x:c r="E625" s="17" t="str">
        <x:v>22358.42</x:v>
      </x:c>
      <x:c r="F625" s="17" t="str">
        <x:v>24856.62</x:v>
      </x:c>
      <x:c r="G625" s="18" t="n">
        <x:v>2498.2</x:v>
      </x:c>
      <x:c r="H625" s="18" t="n">
        <x:f>IFERROR(G625/1000,"")</x:f>
        <x:v>2.4981999999999998</x:v>
      </x:c>
      <x:c r="I625" s="19" t="n">
        <x:f>IFERROR(G625/J625,"")</x:f>
        <x:v>0.03272451569498267</x:v>
      </x:c>
      <x:c r="J625" s="17" t="n">
        <x:v>76340.32</x:v>
      </x:c>
      <x:c r="K625" s="17" t="str"/>
      <x:c r="L625" s="17" t="str">
        <x:v>已定位行业基础信息视图，并确认了可用字段与时间口径。</x:v>
      </x:c>
      <x:c r="M625" s="17" t="str"/>
      <x:c r="N625" s="18" t="n">
        <x:v>0</x:v>
      </x:c>
      <x:c r="O625" s="17" t="str">
        <x:v>public_sse_client_estimate</x:v>
      </x:c>
    </x:row>
    <x:row r="626" ht="48" customHeight="1">
      <x:c r="A626" s="17" t="str">
        <x:v>BUS121</x:v>
      </x:c>
      <x:c r="B626" s="17" t="str">
        <x:v>统计白酒行业成分股最新PE_TTM均值和最高市值股票。</x:v>
      </x:c>
      <x:c r="C626" s="17" t="n">
        <x:v>8</x:v>
      </x:c>
      <x:c r="D626" s="17" t="str">
        <x:v>数据查询 1/1</x:v>
      </x:c>
      <x:c r="E626" s="17" t="str">
        <x:v>27190.66</x:v>
      </x:c>
      <x:c r="F626" s="17" t="str">
        <x:v>27751.46</x:v>
      </x:c>
      <x:c r="G626" s="18" t="n">
        <x:v>560.8</x:v>
      </x:c>
      <x:c r="H626" s="18" t="n">
        <x:f>IFERROR(G626/1000,"")</x:f>
        <x:v>0.5608</x:v>
      </x:c>
      <x:c r="I626" s="19" t="n">
        <x:f>IFERROR(G626/J626,"")</x:f>
        <x:v>0.007346052518511842</x:v>
      </x:c>
      <x:c r="J626" s="17" t="n">
        <x:v>76340.32</x:v>
      </x:c>
      <x:c r="K626" s="17" t="str"/>
      <x:c r="L626" s="17" t="str">
        <x:v>已完成：查询包含白酒的行业信息，确认准确行业名称，取得 10 条记录。</x:v>
      </x:c>
      <x:c r="M626" s="17" t="str"/>
      <x:c r="N626" s="18" t="n">
        <x:v>2334.04</x:v>
      </x:c>
      <x:c r="O626" s="17" t="str">
        <x:v>public_sse_client_estimate</x:v>
      </x:c>
    </x:row>
    <x:row r="627" ht="48" customHeight="1">
      <x:c r="A627" s="17" t="str">
        <x:v>BUS121</x:v>
      </x:c>
      <x:c r="B627" s="17" t="str">
        <x:v>统计白酒行业成分股最新PE_TTM均值和最高市值股票。</x:v>
      </x:c>
      <x:c r="C627" s="17" t="n">
        <x:v>9</x:v>
      </x:c>
      <x:c r="D627" s="17" t="str">
        <x:v>数据查询 1/1</x:v>
      </x:c>
      <x:c r="E627" s="17" t="str">
        <x:v>33788.41</x:v>
      </x:c>
      <x:c r="F627" s="17" t="str">
        <x:v>34367.35</x:v>
      </x:c>
      <x:c r="G627" s="18" t="n">
        <x:v>578.94</x:v>
      </x:c>
      <x:c r="H627" s="18" t="n">
        <x:f>IFERROR(G627/1000,"")</x:f>
        <x:v>0.57894</x:v>
      </x:c>
      <x:c r="I627" s="19" t="n">
        <x:f>IFERROR(G627/J627,"")</x:f>
        <x:v>0.00758367269091877</x:v>
      </x:c>
      <x:c r="J627" s="17" t="n">
        <x:v>76340.32</x:v>
      </x:c>
      <x:c r="K627" s="17" t="str"/>
      <x:c r="L627" s="17" t="str">
        <x:v>已完成：查询三级行业名称为白酒的行业信息，取得 10 条记录。</x:v>
      </x:c>
      <x:c r="M627" s="17" t="str"/>
      <x:c r="N627" s="18" t="n">
        <x:v>6036.95</x:v>
      </x:c>
      <x:c r="O627" s="17" t="str">
        <x:v>public_sse_client_estimate</x:v>
      </x:c>
    </x:row>
    <x:row r="628" ht="48" customHeight="1">
      <x:c r="A628" s="17" t="str">
        <x:v>BUS121</x:v>
      </x:c>
      <x:c r="B628" s="17" t="str">
        <x:v>统计白酒行业成分股最新PE_TTM均值和最高市值股票。</x:v>
      </x:c>
      <x:c r="C628" s="17" t="n">
        <x:v>10</x:v>
      </x:c>
      <x:c r="D628" s="17" t="str">
        <x:v>数据查询 1/1</x:v>
      </x:c>
      <x:c r="E628" s="17" t="str">
        <x:v>41373.94</x:v>
      </x:c>
      <x:c r="F628" s="17" t="str">
        <x:v>41839.91</x:v>
      </x:c>
      <x:c r="G628" s="18" t="n">
        <x:v>465.97</x:v>
      </x:c>
      <x:c r="H628" s="18" t="n">
        <x:f>IFERROR(G628/1000,"")</x:f>
        <x:v>0.46597000000000005</x:v>
      </x:c>
      <x:c r="I628" s="19" t="n">
        <x:f>IFERROR(G628/J628,"")</x:f>
        <x:v>0.006103851804655783</x:v>
      </x:c>
      <x:c r="J628" s="17" t="n">
        <x:v>76340.32</x:v>
      </x:c>
      <x:c r="K628" s="17" t="str"/>
      <x:c r="L628" s="17" t="str">
        <x:v>已完成：查询食品饮料一级行业下的所有子行业，寻找白酒行业，取得 20 条记录。</x:v>
      </x:c>
      <x:c r="M628" s="17" t="str"/>
      <x:c r="N628" s="18" t="n">
        <x:v>7006.59</x:v>
      </x:c>
      <x:c r="O628" s="17" t="str">
        <x:v>public_sse_client_estimate</x:v>
      </x:c>
    </x:row>
    <x:row r="629" ht="48" customHeight="1">
      <x:c r="A629" s="17" t="str">
        <x:v>BUS121</x:v>
      </x:c>
      <x:c r="B629" s="17" t="str">
        <x:v>统计白酒行业成分股最新PE_TTM均值和最高市值股票。</x:v>
      </x:c>
      <x:c r="C629" s="17" t="n">
        <x:v>11</x:v>
      </x:c>
      <x:c r="D629" s="17" t="str">
        <x:v>数据查询 1/3</x:v>
      </x:c>
      <x:c r="E629" s="17" t="str">
        <x:v>48539.72</x:v>
      </x:c>
      <x:c r="F629" s="17" t="str">
        <x:v>51039.91</x:v>
      </x:c>
      <x:c r="G629" s="18" t="n">
        <x:v>2500.19</x:v>
      </x:c>
      <x:c r="H629" s="18" t="n">
        <x:f>IFERROR(G629/1000,"")</x:f>
        <x:v>2.50019</x:v>
      </x:c>
      <x:c r="I629" s="19" t="n">
        <x:f>IFERROR(G629/J629,"")</x:f>
        <x:v>0.0327505831780637</x:v>
      </x:c>
      <x:c r="J629" s="17" t="n">
        <x:v>76340.32</x:v>
      </x:c>
      <x:c r="K629" s="17" t="str"/>
      <x:c r="L629" s="17" t="str">
        <x:v>已完成：获取白酒Ⅲ行业成分股列表，取得 19 条记录。</x:v>
      </x:c>
      <x:c r="M629" s="17" t="str"/>
      <x:c r="N629" s="18" t="n">
        <x:v>6699.81</x:v>
      </x:c>
      <x:c r="O629" s="17" t="str">
        <x:v>public_sse_client_estimate</x:v>
      </x:c>
    </x:row>
    <x:row r="630" ht="48" customHeight="1">
      <x:c r="A630" s="17" t="str">
        <x:v>BUS121</x:v>
      </x:c>
      <x:c r="B630" s="17" t="str">
        <x:v>统计白酒行业成分股最新PE_TTM均值和最高市值股票。</x:v>
      </x:c>
      <x:c r="C630" s="17" t="n">
        <x:v>12</x:v>
      </x:c>
      <x:c r="D630" s="17" t="str">
        <x:v>数据查询 2/3</x:v>
      </x:c>
      <x:c r="E630" s="17" t="str">
        <x:v>51042.61</x:v>
      </x:c>
      <x:c r="F630" s="17" t="str">
        <x:v>51044.59</x:v>
      </x:c>
      <x:c r="G630" s="18" t="n">
        <x:v>1.98</x:v>
      </x:c>
      <x:c r="H630" s="18" t="n">
        <x:f>IFERROR(G630/1000,"")</x:f>
        <x:v>0.00198</x:v>
      </x:c>
      <x:c r="I630" s="19" t="n">
        <x:f>IFERROR(G630/J630,"")</x:f>
        <x:v>0.000025936490703732964</x:v>
      </x:c>
      <x:c r="J630" s="17" t="n">
        <x:v>76340.32</x:v>
      </x:c>
      <x:c r="K630" s="17" t="str"/>
      <x:c r="L630" s="17" t="str">
        <x:v>第 2 步的数据源查询未完成。</x:v>
      </x:c>
      <x:c r="M630" s="17" t="str"/>
      <x:c r="N630" s="18" t="n">
        <x:v>2.7</x:v>
      </x:c>
      <x:c r="O630" s="17" t="str">
        <x:v>public_sse_client_estimate</x:v>
      </x:c>
    </x:row>
    <x:row r="631" ht="48" customHeight="1">
      <x:c r="A631" s="17" t="str">
        <x:v>BUS121</x:v>
      </x:c>
      <x:c r="B631" s="17" t="str">
        <x:v>统计白酒行业成分股最新PE_TTM均值和最高市值股票。</x:v>
      </x:c>
      <x:c r="C631" s="17" t="n">
        <x:v>13</x:v>
      </x:c>
      <x:c r="D631" s="17" t="str">
        <x:v>数据查询 1/1</x:v>
      </x:c>
      <x:c r="E631" s="17" t="str">
        <x:v>55448.98</x:v>
      </x:c>
      <x:c r="F631" s="17" t="str">
        <x:v>55894.86</x:v>
      </x:c>
      <x:c r="G631" s="18" t="n">
        <x:v>445.88</x:v>
      </x:c>
      <x:c r="H631" s="18" t="n">
        <x:f>IFERROR(G631/1000,"")</x:f>
        <x:v>0.44588</x:v>
      </x:c>
      <x:c r="I631" s="19" t="n">
        <x:f>IFERROR(G631/J631,"")</x:f>
        <x:v>0.005840688118676997</x:v>
      </x:c>
      <x:c r="J631" s="17" t="n">
        <x:v>76340.32</x:v>
      </x:c>
      <x:c r="K631" s="17" t="str"/>
      <x:c r="L631" s="17" t="str">
        <x:v>已完成：查询白酒Ⅲ行业所有成分股的最新PE_TTM和市值，取得 19 条记录。</x:v>
      </x:c>
      <x:c r="M631" s="17" t="str"/>
      <x:c r="N631" s="18" t="n">
        <x:v>4404.39</x:v>
      </x:c>
      <x:c r="O631" s="17" t="str">
        <x:v>public_sse_client_estimate</x:v>
      </x:c>
    </x:row>
    <x:row r="632" ht="48" customHeight="1">
      <x:c r="A632" s="17" t="str">
        <x:v>BUS121</x:v>
      </x:c>
      <x:c r="B632" s="17" t="str">
        <x:v>统计白酒行业成分股最新PE_TTM均值和最高市值股票。</x:v>
      </x:c>
      <x:c r="C632" s="17" t="n">
        <x:v>14</x:v>
      </x:c>
      <x:c r="D632" s="17" t="str">
        <x:v>回答整理</x:v>
      </x:c>
      <x:c r="E632" s="17" t="str">
        <x:v>55894.86</x:v>
      </x:c>
      <x:c r="F632" s="17" t="str">
        <x:v>71262.44</x:v>
      </x:c>
      <x:c r="G632" s="18" t="n">
        <x:v>15367.58</x:v>
      </x:c>
      <x:c r="H632" s="18" t="n">
        <x:f>IFERROR(G632/1000,"")</x:f>
        <x:v>15.36758</x:v>
      </x:c>
      <x:c r="I632" s="19" t="n">
        <x:f>IFERROR(G632/J632,"")</x:f>
        <x:v>0.20130358374185486</x:v>
      </x:c>
      <x:c r="J632" s="17" t="n">
        <x:v>76340.32</x:v>
      </x:c>
      <x:c r="K632" s="17" t="str"/>
      <x:c r="L632" s="17" t="str">
        <x:v>证据与回答已整理完成。</x:v>
      </x:c>
      <x:c r="M632" s="17" t="str"/>
      <x:c r="N632" s="18" t="n">
        <x:v>0</x:v>
      </x:c>
      <x:c r="O632" s="17" t="str">
        <x:v>public_sse_client_estimate</x:v>
      </x:c>
    </x:row>
    <x:row r="633" ht="48" customHeight="1">
      <x:c r="A633" s="17" t="str">
        <x:v>BUS122</x:v>
      </x:c>
      <x:c r="B633" s="17" t="str">
        <x:v>查询电子行业成分股中近5日主力净流入最高的前10只股票。</x:v>
      </x:c>
      <x:c r="C633" s="17" t="n">
        <x:v>1</x:v>
      </x:c>
      <x:c r="D633" s="17" t="str">
        <x:v>问题理解</x:v>
      </x:c>
      <x:c r="E633" s="17" t="str">
        <x:v>5239.86</x:v>
      </x:c>
      <x:c r="F633" s="17" t="str">
        <x:v>10598.3</x:v>
      </x:c>
      <x:c r="G633" s="18" t="n">
        <x:v>5358.44</x:v>
      </x:c>
      <x:c r="H633" s="18" t="n">
        <x:f>IFERROR(G633/1000,"")</x:f>
        <x:v>5.35844</x:v>
      </x:c>
      <x:c r="I633" s="19" t="n">
        <x:f>IFERROR(G633/J633,"")</x:f>
        <x:v>0.16983848918913694</x:v>
      </x:c>
      <x:c r="J633" s="17" t="n">
        <x:v>31550.21</x:v>
      </x:c>
      <x:c r="K633" s="17" t="str"/>
      <x:c r="L633" s="17" t="str">
        <x:v>已明确本题的对象与口径，开始获取所需证据。</x:v>
      </x:c>
      <x:c r="M633" s="17" t="str"/>
      <x:c r="N633" s="18" t="n">
        <x:v>5239.86</x:v>
      </x:c>
      <x:c r="O633" s="17" t="str">
        <x:v>public_sse_client_estimate</x:v>
      </x:c>
    </x:row>
    <x:row r="634" ht="48" customHeight="1">
      <x:c r="A634" s="17" t="str">
        <x:v>BUS122</x:v>
      </x:c>
      <x:c r="B634" s="17" t="str">
        <x:v>查询电子行业成分股中近5日主力净流入最高的前10只股票。</x:v>
      </x:c>
      <x:c r="C634" s="17" t="n">
        <x:v>2</x:v>
      </x:c>
      <x:c r="D634" s="17" t="str">
        <x:v>数据口径</x:v>
      </x:c>
      <x:c r="E634" s="17" t="str">
        <x:v>10598.3</x:v>
      </x:c>
      <x:c r="F634" s="17" t="str">
        <x:v>10798.74</x:v>
      </x:c>
      <x:c r="G634" s="18" t="n">
        <x:v>200.44</x:v>
      </x:c>
      <x:c r="H634" s="18" t="n">
        <x:f>IFERROR(G634/1000,"")</x:f>
        <x:v>0.20044</x:v>
      </x:c>
      <x:c r="I634" s="19" t="n">
        <x:f>IFERROR(G634/J634,"")</x:f>
        <x:v>0.006353048046272909</x:v>
      </x:c>
      <x:c r="J634" s="17" t="n">
        <x:v>31550.21</x:v>
      </x:c>
      <x:c r="K634" s="17" t="str"/>
      <x:c r="L634" s="17" t="str">
        <x:v>已定位行业成分关系视图，并确认了可用字段与时间口径。</x:v>
      </x:c>
      <x:c r="M634" s="17" t="str"/>
      <x:c r="N634" s="18" t="n">
        <x:v>0</x:v>
      </x:c>
      <x:c r="O634" s="17" t="str">
        <x:v>public_sse_client_estimate</x:v>
      </x:c>
    </x:row>
    <x:row r="635" ht="48" customHeight="1">
      <x:c r="A635" s="17" t="str">
        <x:v>BUS122</x:v>
      </x:c>
      <x:c r="B635" s="17" t="str">
        <x:v>查询电子行业成分股中近5日主力净流入最高的前10只股票。</x:v>
      </x:c>
      <x:c r="C635" s="17" t="n">
        <x:v>3</x:v>
      </x:c>
      <x:c r="D635" s="17" t="str">
        <x:v>数据口径</x:v>
      </x:c>
      <x:c r="E635" s="17" t="str">
        <x:v>10798.74</x:v>
      </x:c>
      <x:c r="F635" s="17" t="str">
        <x:v>11077.88</x:v>
      </x:c>
      <x:c r="G635" s="18" t="n">
        <x:v>279.14</x:v>
      </x:c>
      <x:c r="H635" s="18" t="n">
        <x:f>IFERROR(G635/1000,"")</x:f>
        <x:v>0.27914</x:v>
      </x:c>
      <x:c r="I635" s="19" t="n">
        <x:f>IFERROR(G635/J635,"")</x:f>
        <x:v>0.008847484691861005</x:v>
      </x:c>
      <x:c r="J635" s="17" t="n">
        <x:v>31550.21</x:v>
      </x:c>
      <x:c r="K635" s="17" t="str"/>
      <x:c r="L635" s="17" t="str">
        <x:v>已定位个股资金流视图，并确认了可用字段与时间口径。</x:v>
      </x:c>
      <x:c r="M635" s="17" t="str"/>
      <x:c r="N635" s="18" t="n">
        <x:v>0</x:v>
      </x:c>
      <x:c r="O635" s="17" t="str">
        <x:v>public_sse_client_estimate</x:v>
      </x:c>
    </x:row>
    <x:row r="636" ht="48" customHeight="1">
      <x:c r="A636" s="17" t="str">
        <x:v>BUS122</x:v>
      </x:c>
      <x:c r="B636" s="17" t="str">
        <x:v>查询电子行业成分股中近5日主力净流入最高的前10只股票。</x:v>
      </x:c>
      <x:c r="C636" s="17" t="n">
        <x:v>4</x:v>
      </x:c>
      <x:c r="D636" s="17" t="str">
        <x:v>数据查询 1/2</x:v>
      </x:c>
      <x:c r="E636" s="17" t="str">
        <x:v>18990.99</x:v>
      </x:c>
      <x:c r="F636" s="17" t="str">
        <x:v>19524.85</x:v>
      </x:c>
      <x:c r="G636" s="18" t="n">
        <x:v>533.86</x:v>
      </x:c>
      <x:c r="H636" s="18" t="n">
        <x:f>IFERROR(G636/1000,"")</x:f>
        <x:v>0.53386</x:v>
      </x:c>
      <x:c r="I636" s="19" t="n">
        <x:f>IFERROR(G636/J636,"")</x:f>
        <x:v>0.01692096502685719</x:v>
      </x:c>
      <x:c r="J636" s="17" t="n">
        <x:v>31550.21</x:v>
      </x:c>
      <x:c r="K636" s="17" t="str"/>
      <x:c r="L636" s="17" t="str">
        <x:v>已完成：获取电子行业（申万一级）的全部成分股，取得 100 条记录。</x:v>
      </x:c>
      <x:c r="M636" s="17" t="str"/>
      <x:c r="N636" s="18" t="n">
        <x:v>7913.11</x:v>
      </x:c>
      <x:c r="O636" s="17" t="str">
        <x:v>public_sse_client_estimate</x:v>
      </x:c>
    </x:row>
    <x:row r="637" ht="48" customHeight="1">
      <x:c r="A637" s="17" t="str">
        <x:v>BUS122</x:v>
      </x:c>
      <x:c r="B637" s="17" t="str">
        <x:v>查询电子行业成分股中近5日主力净流入最高的前10只股票。</x:v>
      </x:c>
      <x:c r="C637" s="17" t="n">
        <x:v>5</x:v>
      </x:c>
      <x:c r="D637" s="17" t="str">
        <x:v>数据查询 2/2</x:v>
      </x:c>
      <x:c r="E637" s="17" t="str">
        <x:v>19526.6</x:v>
      </x:c>
      <x:c r="F637" s="17" t="str">
        <x:v>20225.53</x:v>
      </x:c>
      <x:c r="G637" s="18" t="n">
        <x:v>698.93</x:v>
      </x:c>
      <x:c r="H637" s="18" t="n">
        <x:f>IFERROR(G637/1000,"")</x:f>
        <x:v>0.6989299999999999</x:v>
      </x:c>
      <x:c r="I637" s="19" t="n">
        <x:f>IFERROR(G637/J637,"")</x:f>
        <x:v>0.022152942880570365</x:v>
      </x:c>
      <x:c r="J637" s="17" t="n">
        <x:v>31550.21</x:v>
      </x:c>
      <x:c r="K637" s="17" t="str"/>
      <x:c r="L637" s="17" t="str">
        <x:v>已完成：计算电子行业各成分股近5日主力净流入总和，取前10，取得 10 条记录。</x:v>
      </x:c>
      <x:c r="M637" s="17" t="str"/>
      <x:c r="N637" s="18" t="n">
        <x:v>1.75</x:v>
      </x:c>
      <x:c r="O637" s="17" t="str">
        <x:v>public_sse_client_estimate</x:v>
      </x:c>
    </x:row>
    <x:row r="638" ht="48" customHeight="1">
      <x:c r="A638" s="17" t="str">
        <x:v>BUS122</x:v>
      </x:c>
      <x:c r="B638" s="17" t="str">
        <x:v>查询电子行业成分股中近5日主力净流入最高的前10只股票。</x:v>
      </x:c>
      <x:c r="C638" s="17" t="n">
        <x:v>6</x:v>
      </x:c>
      <x:c r="D638" s="17" t="str">
        <x:v>回答整理</x:v>
      </x:c>
      <x:c r="E638" s="17" t="str">
        <x:v>20225.53</x:v>
      </x:c>
      <x:c r="F638" s="17" t="str">
        <x:v>27554.33</x:v>
      </x:c>
      <x:c r="G638" s="18" t="n">
        <x:v>7328.8</x:v>
      </x:c>
      <x:c r="H638" s="18" t="n">
        <x:f>IFERROR(G638/1000,"")</x:f>
        <x:v>7.3288</x:v>
      </x:c>
      <x:c r="I638" s="19" t="n">
        <x:f>IFERROR(G638/J638,"")</x:f>
        <x:v>0.23229005448775145</x:v>
      </x:c>
      <x:c r="J638" s="17" t="n">
        <x:v>31550.21</x:v>
      </x:c>
      <x:c r="K638" s="17" t="str"/>
      <x:c r="L638" s="17" t="str">
        <x:v>证据与回答已整理完成。</x:v>
      </x:c>
      <x:c r="M638" s="17" t="str"/>
      <x:c r="N638" s="18" t="n">
        <x:v>0</x:v>
      </x:c>
      <x:c r="O638" s="17" t="str">
        <x:v>public_sse_client_estimate</x:v>
      </x:c>
    </x:row>
    <x:row r="639" ht="48" customHeight="1">
      <x:c r="A639" s="17" t="str">
        <x:v>BUS123</x:v>
      </x:c>
      <x:c r="B639" s="17" t="str">
        <x:v>查询半导体行业层级信息、成分股列表和今天平均涨跌幅。</x:v>
      </x:c>
      <x:c r="C639" s="17" t="n">
        <x:v>1</x:v>
      </x:c>
      <x:c r="D639" s="17" t="str">
        <x:v>问题理解</x:v>
      </x:c>
      <x:c r="E639" s="17" t="str">
        <x:v>6814.9</x:v>
      </x:c>
      <x:c r="F639" s="17" t="str">
        <x:v>10487.88</x:v>
      </x:c>
      <x:c r="G639" s="18" t="n">
        <x:v>3672.98</x:v>
      </x:c>
      <x:c r="H639" s="18" t="n">
        <x:f>IFERROR(G639/1000,"")</x:f>
        <x:v>3.67298</x:v>
      </x:c>
      <x:c r="I639" s="19" t="n">
        <x:f>IFERROR(G639/J639,"")</x:f>
        <x:v>0.05600875162476586</x:v>
      </x:c>
      <x:c r="J639" s="17" t="n">
        <x:v>65578.68</x:v>
      </x:c>
      <x:c r="K639" s="17" t="str"/>
      <x:c r="L639" s="17" t="str">
        <x:v>已明确本题的对象与口径，开始获取所需证据。</x:v>
      </x:c>
      <x:c r="M639" s="17" t="str"/>
      <x:c r="N639" s="18" t="n">
        <x:v>6814.9</x:v>
      </x:c>
      <x:c r="O639" s="17" t="str">
        <x:v>public_sse_client_estimate</x:v>
      </x:c>
    </x:row>
    <x:row r="640" ht="48" customHeight="1">
      <x:c r="A640" s="17" t="str">
        <x:v>BUS123</x:v>
      </x:c>
      <x:c r="B640" s="17" t="str">
        <x:v>查询半导体行业层级信息、成分股列表和今天平均涨跌幅。</x:v>
      </x:c>
      <x:c r="C640" s="17" t="n">
        <x:v>2</x:v>
      </x:c>
      <x:c r="D640" s="17" t="str">
        <x:v>数据口径</x:v>
      </x:c>
      <x:c r="E640" s="17" t="str">
        <x:v>10487.88</x:v>
      </x:c>
      <x:c r="F640" s="17" t="str">
        <x:v>10510.98</x:v>
      </x:c>
      <x:c r="G640" s="18" t="n">
        <x:v>23.1</x:v>
      </x:c>
      <x:c r="H640" s="18" t="n">
        <x:f>IFERROR(G640/1000,"")</x:f>
        <x:v>0.023100000000000002</x:v>
      </x:c>
      <x:c r="I640" s="19" t="n">
        <x:f>IFERROR(G640/J640,"")</x:f>
        <x:v>0.0003522486271452857</x:v>
      </x:c>
      <x:c r="J640" s="17" t="n">
        <x:v>65578.68</x:v>
      </x:c>
      <x:c r="K640" s="17" t="str"/>
      <x:c r="L640" s="17" t="str">
        <x:v>已定位行业基础信息视图，并确认了可用字段与时间口径。</x:v>
      </x:c>
      <x:c r="M640" s="17" t="str"/>
      <x:c r="N640" s="18" t="n">
        <x:v>0</x:v>
      </x:c>
      <x:c r="O640" s="17" t="str">
        <x:v>public_sse_client_estimate</x:v>
      </x:c>
    </x:row>
    <x:row r="641" ht="48" customHeight="1">
      <x:c r="A641" s="17" t="str">
        <x:v>BUS123</x:v>
      </x:c>
      <x:c r="B641" s="17" t="str">
        <x:v>查询半导体行业层级信息、成分股列表和今天平均涨跌幅。</x:v>
      </x:c>
      <x:c r="C641" s="17" t="n">
        <x:v>3</x:v>
      </x:c>
      <x:c r="D641" s="17" t="str">
        <x:v>数据口径</x:v>
      </x:c>
      <x:c r="E641" s="17" t="str">
        <x:v>10510.98</x:v>
      </x:c>
      <x:c r="F641" s="17" t="str">
        <x:v>10872.08</x:v>
      </x:c>
      <x:c r="G641" s="18" t="n">
        <x:v>361.1</x:v>
      </x:c>
      <x:c r="H641" s="18" t="n">
        <x:f>IFERROR(G641/1000,"")</x:f>
        <x:v>0.36110000000000003</x:v>
      </x:c>
      <x:c r="I641" s="19" t="n">
        <x:f>IFERROR(G641/J641,"")</x:f>
        <x:v>0.00550636273862176</x:v>
      </x:c>
      <x:c r="J641" s="17" t="n">
        <x:v>65578.68</x:v>
      </x:c>
      <x:c r="K641" s="17" t="str"/>
      <x:c r="L641" s="17" t="str">
        <x:v>已定位行业成分关系视图，并确认了可用字段与时间口径。</x:v>
      </x:c>
      <x:c r="M641" s="17" t="str"/>
      <x:c r="N641" s="18" t="n">
        <x:v>0</x:v>
      </x:c>
      <x:c r="O641" s="17" t="str">
        <x:v>public_sse_client_estimate</x:v>
      </x:c>
    </x:row>
    <x:row r="642" ht="48" customHeight="1">
      <x:c r="A642" s="17" t="str">
        <x:v>BUS123</x:v>
      </x:c>
      <x:c r="B642" s="17" t="str">
        <x:v>查询半导体行业层级信息、成分股列表和今天平均涨跌幅。</x:v>
      </x:c>
      <x:c r="C642" s="17" t="n">
        <x:v>4</x:v>
      </x:c>
      <x:c r="D642" s="17" t="str">
        <x:v>数据查询 1/1</x:v>
      </x:c>
      <x:c r="E642" s="17" t="str">
        <x:v>16171.95</x:v>
      </x:c>
      <x:c r="F642" s="17" t="str">
        <x:v>16648</x:v>
      </x:c>
      <x:c r="G642" s="18" t="n">
        <x:v>476.05</x:v>
      </x:c>
      <x:c r="H642" s="18" t="n">
        <x:f>IFERROR(G642/1000,"")</x:f>
        <x:v>0.47605000000000003</x:v>
      </x:c>
      <x:c r="I642" s="19" t="n">
        <x:f>IFERROR(G642/J642,"")</x:f>
        <x:v>0.0072592190022733</x:v>
      </x:c>
      <x:c r="J642" s="17" t="n">
        <x:v>65578.68</x:v>
      </x:c>
      <x:c r="K642" s="17" t="str"/>
      <x:c r="L642" s="17" t="str">
        <x:v>第 1 步的数据源查询未完成。</x:v>
      </x:c>
      <x:c r="M642" s="17" t="str"/>
      <x:c r="N642" s="18" t="n">
        <x:v>5299.87</x:v>
      </x:c>
      <x:c r="O642" s="17" t="str">
        <x:v>public_sse_client_estimate</x:v>
      </x:c>
    </x:row>
    <x:row r="643" ht="48" customHeight="1">
      <x:c r="A643" s="17" t="str">
        <x:v>BUS123</x:v>
      </x:c>
      <x:c r="B643" s="17" t="str">
        <x:v>查询半导体行业层级信息、成分股列表和今天平均涨跌幅。</x:v>
      </x:c>
      <x:c r="C643" s="17" t="n">
        <x:v>5</x:v>
      </x:c>
      <x:c r="D643" s="17" t="str">
        <x:v>数据查询 1/1</x:v>
      </x:c>
      <x:c r="E643" s="17" t="str">
        <x:v>19012.56</x:v>
      </x:c>
      <x:c r="F643" s="17" t="str">
        <x:v>19390.94</x:v>
      </x:c>
      <x:c r="G643" s="18" t="n">
        <x:v>378.38</x:v>
      </x:c>
      <x:c r="H643" s="18" t="n">
        <x:f>IFERROR(G643/1000,"")</x:f>
        <x:v>0.37838</x:v>
      </x:c>
      <x:c r="I643" s="19" t="n">
        <x:f>IFERROR(G643/J643,"")</x:f>
        <x:v>0.0057698630103564155</x:v>
      </x:c>
      <x:c r="J643" s="17" t="n">
        <x:v>65578.68</x:v>
      </x:c>
      <x:c r="K643" s="17" t="str"/>
      <x:c r="L643" s="17" t="str">
        <x:v>第 1 步的数据源查询未完成。</x:v>
      </x:c>
      <x:c r="M643" s="17" t="str"/>
      <x:c r="N643" s="18" t="n">
        <x:v>2364.56</x:v>
      </x:c>
      <x:c r="O643" s="17" t="str">
        <x:v>public_sse_client_estimate</x:v>
      </x:c>
    </x:row>
    <x:row r="644" ht="48" customHeight="1">
      <x:c r="A644" s="17" t="str">
        <x:v>BUS123</x:v>
      </x:c>
      <x:c r="B644" s="17" t="str">
        <x:v>查询半导体行业层级信息、成分股列表和今天平均涨跌幅。</x:v>
      </x:c>
      <x:c r="C644" s="17" t="n">
        <x:v>6</x:v>
      </x:c>
      <x:c r="D644" s="17" t="str">
        <x:v>数据查询 1/1</x:v>
      </x:c>
      <x:c r="E644" s="17" t="str">
        <x:v>21835.57</x:v>
      </x:c>
      <x:c r="F644" s="17" t="str">
        <x:v>22438.47</x:v>
      </x:c>
      <x:c r="G644" s="18" t="n">
        <x:v>602.9</x:v>
      </x:c>
      <x:c r="H644" s="18" t="n">
        <x:f>IFERROR(G644/1000,"")</x:f>
        <x:v>0.6029</x:v>
      </x:c>
      <x:c r="I644" s="19" t="n">
        <x:f>IFERROR(G644/J644,"")</x:f>
        <x:v>0.009193536679908776</x:v>
      </x:c>
      <x:c r="J644" s="17" t="n">
        <x:v>65578.68</x:v>
      </x:c>
      <x:c r="K644" s="17" t="str"/>
      <x:c r="L644" s="17" t="str">
        <x:v>已完成：查询所有行业的基本信息，查看有哪些行业，取得 10 条记录。</x:v>
      </x:c>
      <x:c r="M644" s="17" t="str"/>
      <x:c r="N644" s="18" t="n">
        <x:v>2444.63</x:v>
      </x:c>
      <x:c r="O644" s="17" t="str">
        <x:v>public_sse_client_estimate</x:v>
      </x:c>
    </x:row>
    <x:row r="645" ht="48" customHeight="1">
      <x:c r="A645" s="17" t="str">
        <x:v>BUS123</x:v>
      </x:c>
      <x:c r="B645" s="17" t="str">
        <x:v>查询半导体行业层级信息、成分股列表和今天平均涨跌幅。</x:v>
      </x:c>
      <x:c r="C645" s="17" t="n">
        <x:v>7</x:v>
      </x:c>
      <x:c r="D645" s="17" t="str">
        <x:v>数据查询 1/1</x:v>
      </x:c>
      <x:c r="E645" s="17" t="str">
        <x:v>24775.54</x:v>
      </x:c>
      <x:c r="F645" s="17" t="str">
        <x:v>25322.65</x:v>
      </x:c>
      <x:c r="G645" s="18" t="n">
        <x:v>547.11</x:v>
      </x:c>
      <x:c r="H645" s="18" t="n">
        <x:f>IFERROR(G645/1000,"")</x:f>
        <x:v>0.54711</x:v>
      </x:c>
      <x:c r="I645" s="19" t="n">
        <x:f>IFERROR(G645/J645,"")</x:f>
        <x:v>0.008342802874348798</x:v>
      </x:c>
      <x:c r="J645" s="17" t="n">
        <x:v>65578.68</x:v>
      </x:c>
      <x:c r="K645" s="17" t="str"/>
      <x:c r="L645" s="17" t="str">
        <x:v>已完成：查询包含'半导体'关键词的行业信息，取得 10 条记录。</x:v>
      </x:c>
      <x:c r="M645" s="17" t="str"/>
      <x:c r="N645" s="18" t="n">
        <x:v>2337.07</x:v>
      </x:c>
      <x:c r="O645" s="17" t="str">
        <x:v>public_sse_client_estimate</x:v>
      </x:c>
    </x:row>
    <x:row r="646" ht="48" customHeight="1">
      <x:c r="A646" s="17" t="str">
        <x:v>BUS123</x:v>
      </x:c>
      <x:c r="B646" s="17" t="str">
        <x:v>查询半导体行业层级信息、成分股列表和今天平均涨跌幅。</x:v>
      </x:c>
      <x:c r="C646" s="17" t="n">
        <x:v>8</x:v>
      </x:c>
      <x:c r="D646" s="17" t="str">
        <x:v>数据查询 1/1</x:v>
      </x:c>
      <x:c r="E646" s="17" t="str">
        <x:v>30176.55</x:v>
      </x:c>
      <x:c r="F646" s="17" t="str">
        <x:v>30758.31</x:v>
      </x:c>
      <x:c r="G646" s="18" t="n">
        <x:v>581.76</x:v>
      </x:c>
      <x:c r="H646" s="18" t="n">
        <x:f>IFERROR(G646/1000,"")</x:f>
        <x:v>0.5817599999999999</x:v>
      </x:c>
      <x:c r="I646" s="19" t="n">
        <x:f>IFERROR(G646/J646,"")</x:f>
        <x:v>0.008871175815066726</x:v>
      </x:c>
      <x:c r="J646" s="17" t="n">
        <x:v>65578.68</x:v>
      </x:c>
      <x:c r="K646" s="17" t="str"/>
      <x:c r="L646" s="17" t="str">
        <x:v>已完成：查询所有行业代码和名称，筛选半导体相关行业，取得 500 条记录。</x:v>
      </x:c>
      <x:c r="M646" s="17" t="str"/>
      <x:c r="N646" s="18" t="n">
        <x:v>4853.9</x:v>
      </x:c>
      <x:c r="O646" s="17" t="str">
        <x:v>public_sse_client_estimate</x:v>
      </x:c>
    </x:row>
    <x:row r="647" ht="48" customHeight="1">
      <x:c r="A647" s="17" t="str">
        <x:v>BUS123</x:v>
      </x:c>
      <x:c r="B647" s="17" t="str">
        <x:v>查询半导体行业层级信息、成分股列表和今天平均涨跌幅。</x:v>
      </x:c>
      <x:c r="C647" s="17" t="n">
        <x:v>9</x:v>
      </x:c>
      <x:c r="D647" s="17" t="str">
        <x:v>数据查询 1/2</x:v>
      </x:c>
      <x:c r="E647" s="17" t="str">
        <x:v>40814.3</x:v>
      </x:c>
      <x:c r="F647" s="17" t="str">
        <x:v>41907.41</x:v>
      </x:c>
      <x:c r="G647" s="18" t="n">
        <x:v>1093.11</x:v>
      </x:c>
      <x:c r="H647" s="18" t="n">
        <x:f>IFERROR(G647/1000,"")</x:f>
        <x:v>1.0931099999999998</x:v>
      </x:c>
      <x:c r="I647" s="19" t="n">
        <x:f>IFERROR(G647/J647,"")</x:f>
        <x:v>0.01666867951596464</x:v>
      </x:c>
      <x:c r="J647" s="17" t="n">
        <x:v>65578.68</x:v>
      </x:c>
      <x:c r="K647" s="17" t="str"/>
      <x:c r="L647" s="17" t="str">
        <x:v>已完成：查询半导体行业（代码270100）的成分股列表，取得 74 条记录。</x:v>
      </x:c>
      <x:c r="M647" s="17" t="str"/>
      <x:c r="N647" s="18" t="n">
        <x:v>10055.99</x:v>
      </x:c>
      <x:c r="O647" s="17" t="str">
        <x:v>public_sse_client_estimate</x:v>
      </x:c>
    </x:row>
    <x:row r="648" ht="48" customHeight="1">
      <x:c r="A648" s="17" t="str">
        <x:v>BUS123</x:v>
      </x:c>
      <x:c r="B648" s="17" t="str">
        <x:v>查询半导体行业层级信息、成分股列表和今天平均涨跌幅。</x:v>
      </x:c>
      <x:c r="C648" s="17" t="n">
        <x:v>10</x:v>
      </x:c>
      <x:c r="D648" s="17" t="str">
        <x:v>数据查询 2/2</x:v>
      </x:c>
      <x:c r="E648" s="17" t="str">
        <x:v>41917.34</x:v>
      </x:c>
      <x:c r="F648" s="17" t="str">
        <x:v>43888.12</x:v>
      </x:c>
      <x:c r="G648" s="18" t="n">
        <x:v>1970.78</x:v>
      </x:c>
      <x:c r="H648" s="18" t="n">
        <x:f>IFERROR(G648/1000,"")</x:f>
        <x:v>1.97078</x:v>
      </x:c>
      <x:c r="I648" s="19" t="n">
        <x:f>IFERROR(G648/J648,"")</x:f>
        <x:v>0.03005214499590416</x:v>
      </x:c>
      <x:c r="J648" s="17" t="n">
        <x:v>65578.68</x:v>
      </x:c>
      <x:c r="K648" s="17" t="str"/>
      <x:c r="L648" s="17" t="str">
        <x:v>已完成：计算半导体行业成分股上一个交易日的平均涨跌幅，取得 7 条记录。</x:v>
      </x:c>
      <x:c r="M648" s="17" t="str"/>
      <x:c r="N648" s="18" t="n">
        <x:v>9.93</x:v>
      </x:c>
      <x:c r="O648" s="17" t="str">
        <x:v>public_sse_client_estimate</x:v>
      </x:c>
    </x:row>
    <x:row r="649" ht="48" customHeight="1">
      <x:c r="A649" s="17" t="str">
        <x:v>BUS123</x:v>
      </x:c>
      <x:c r="B649" s="17" t="str">
        <x:v>查询半导体行业层级信息、成分股列表和今天平均涨跌幅。</x:v>
      </x:c>
      <x:c r="C649" s="17" t="n">
        <x:v>11</x:v>
      </x:c>
      <x:c r="D649" s="17" t="str">
        <x:v>回答整理</x:v>
      </x:c>
      <x:c r="E649" s="17" t="str">
        <x:v>43888.12</x:v>
      </x:c>
      <x:c r="F649" s="17" t="str">
        <x:v>60230.38</x:v>
      </x:c>
      <x:c r="G649" s="18" t="n">
        <x:v>16342.26</x:v>
      </x:c>
      <x:c r="H649" s="18" t="n">
        <x:f>IFERROR(G649/1000,"")</x:f>
        <x:v>16.34226</x:v>
      </x:c>
      <x:c r="I649" s="19" t="n">
        <x:f>IFERROR(G649/J649,"")</x:f>
        <x:v>0.24920080733555483</x:v>
      </x:c>
      <x:c r="J649" s="17" t="n">
        <x:v>65578.68</x:v>
      </x:c>
      <x:c r="K649" s="17" t="str"/>
      <x:c r="L649" s="17" t="str">
        <x:v>证据与回答已整理完成。</x:v>
      </x:c>
      <x:c r="M649" s="17" t="str"/>
      <x:c r="N649" s="18" t="n">
        <x:v>0</x:v>
      </x:c>
      <x:c r="O649" s="17" t="str">
        <x:v>public_sse_client_estimate</x:v>
      </x:c>
    </x:row>
    <x:row r="650" ht="48" customHeight="1">
      <x:c r="A650" s="17" t="str">
        <x:v>BUS124</x:v>
      </x:c>
      <x:c r="B650" s="17" t="str">
        <x:v>查询宁德时代所属行业，并列出该行业成分股的融资余额前10名。</x:v>
      </x:c>
      <x:c r="C650" s="17" t="n">
        <x:v>1</x:v>
      </x:c>
      <x:c r="D650" s="17" t="str">
        <x:v>问题理解</x:v>
      </x:c>
      <x:c r="E650" s="17" t="str">
        <x:v>6075.26</x:v>
      </x:c>
      <x:c r="F650" s="17" t="str">
        <x:v>9026.4</x:v>
      </x:c>
      <x:c r="G650" s="18" t="n">
        <x:v>2951.14</x:v>
      </x:c>
      <x:c r="H650" s="18" t="n">
        <x:f>IFERROR(G650/1000,"")</x:f>
        <x:v>2.9511399999999997</x:v>
      </x:c>
      <x:c r="I650" s="19" t="n">
        <x:f>IFERROR(G650/J650,"")</x:f>
        <x:v>0.07063841072791212</x:v>
      </x:c>
      <x:c r="J650" s="17" t="n">
        <x:v>41778.12</x:v>
      </x:c>
      <x:c r="K650" s="17" t="str"/>
      <x:c r="L650" s="17" t="str">
        <x:v>已明确本题的对象与口径，开始获取所需证据。</x:v>
      </x:c>
      <x:c r="M650" s="17" t="str"/>
      <x:c r="N650" s="18" t="n">
        <x:v>6075.26</x:v>
      </x:c>
      <x:c r="O650" s="17" t="str">
        <x:v>public_sse_client_estimate</x:v>
      </x:c>
    </x:row>
    <x:row r="651" ht="48" customHeight="1">
      <x:c r="A651" s="17" t="str">
        <x:v>BUS124</x:v>
      </x:c>
      <x:c r="B651" s="17" t="str">
        <x:v>查询宁德时代所属行业，并列出该行业成分股的融资余额前10名。</x:v>
      </x:c>
      <x:c r="C651" s="17" t="n">
        <x:v>2</x:v>
      </x:c>
      <x:c r="D651" s="17" t="str">
        <x:v>数据口径</x:v>
      </x:c>
      <x:c r="E651" s="17" t="str">
        <x:v>9026.4</x:v>
      </x:c>
      <x:c r="F651" s="17" t="str">
        <x:v>9053.18</x:v>
      </x:c>
      <x:c r="G651" s="18" t="n">
        <x:v>26.78</x:v>
      </x:c>
      <x:c r="H651" s="18" t="n">
        <x:f>IFERROR(G651/1000,"")</x:f>
        <x:v>0.02678</x:v>
      </x:c>
      <x:c r="I651" s="19" t="n">
        <x:f>IFERROR(G651/J651,"")</x:f>
        <x:v>0.0006410053875090597</x:v>
      </x:c>
      <x:c r="J651" s="17" t="n">
        <x:v>41778.12</x:v>
      </x:c>
      <x:c r="K651" s="17" t="str"/>
      <x:c r="L651" s="17" t="str">
        <x:v>已定位股票基础信息视图，并确认了可用字段与时间口径。</x:v>
      </x:c>
      <x:c r="M651" s="17" t="str"/>
      <x:c r="N651" s="18" t="n">
        <x:v>0</x:v>
      </x:c>
      <x:c r="O651" s="17" t="str">
        <x:v>public_sse_client_estimate</x:v>
      </x:c>
    </x:row>
    <x:row r="652" ht="48" customHeight="1">
      <x:c r="A652" s="17" t="str">
        <x:v>BUS124</x:v>
      </x:c>
      <x:c r="B652" s="17" t="str">
        <x:v>查询宁德时代所属行业，并列出该行业成分股的融资余额前10名。</x:v>
      </x:c>
      <x:c r="C652" s="17" t="n">
        <x:v>3</x:v>
      </x:c>
      <x:c r="D652" s="17" t="str">
        <x:v>数据口径</x:v>
      </x:c>
      <x:c r="E652" s="17" t="str">
        <x:v>9053.18</x:v>
      </x:c>
      <x:c r="F652" s="17" t="str">
        <x:v>9552.31</x:v>
      </x:c>
      <x:c r="G652" s="18" t="n">
        <x:v>499.13</x:v>
      </x:c>
      <x:c r="H652" s="18" t="n">
        <x:f>IFERROR(G652/1000,"")</x:f>
        <x:v>0.49913</x:v>
      </x:c>
      <x:c r="I652" s="19" t="n">
        <x:f>IFERROR(G652/J652,"")</x:f>
        <x:v>0.011947162773241113</x:v>
      </x:c>
      <x:c r="J652" s="17" t="n">
        <x:v>41778.12</x:v>
      </x:c>
      <x:c r="K652" s="17" t="str"/>
      <x:c r="L652" s="17" t="str">
        <x:v>已定位行业成分关系视图，并确认了可用字段与时间口径。</x:v>
      </x:c>
      <x:c r="M652" s="17" t="str"/>
      <x:c r="N652" s="18" t="n">
        <x:v>0</x:v>
      </x:c>
      <x:c r="O652" s="17" t="str">
        <x:v>public_sse_client_estimate</x:v>
      </x:c>
    </x:row>
    <x:row r="653" ht="48" customHeight="1">
      <x:c r="A653" s="17" t="str">
        <x:v>BUS124</x:v>
      </x:c>
      <x:c r="B653" s="17" t="str">
        <x:v>查询宁德时代所属行业，并列出该行业成分股的融资余额前10名。</x:v>
      </x:c>
      <x:c r="C653" s="17" t="n">
        <x:v>4</x:v>
      </x:c>
      <x:c r="D653" s="17" t="str">
        <x:v>数据口径</x:v>
      </x:c>
      <x:c r="E653" s="17" t="str">
        <x:v>9552.31</x:v>
      </x:c>
      <x:c r="F653" s="17" t="str">
        <x:v>9903.46</x:v>
      </x:c>
      <x:c r="G653" s="18" t="n">
        <x:v>351.15</x:v>
      </x:c>
      <x:c r="H653" s="18" t="n">
        <x:f>IFERROR(G653/1000,"")</x:f>
        <x:v>0.35114999999999996</x:v>
      </x:c>
      <x:c r="I653" s="19" t="n">
        <x:f>IFERROR(G653/J653,"")</x:f>
        <x:v>0.008405117319783656</x:v>
      </x:c>
      <x:c r="J653" s="17" t="n">
        <x:v>41778.12</x:v>
      </x:c>
      <x:c r="K653" s="17" t="str"/>
      <x:c r="L653" s="17" t="str">
        <x:v>已定位融资融券视图，并确认了可用字段与时间口径。</x:v>
      </x:c>
      <x:c r="M653" s="17" t="str"/>
      <x:c r="N653" s="18" t="n">
        <x:v>0</x:v>
      </x:c>
      <x:c r="O653" s="17" t="str">
        <x:v>public_sse_client_estimate</x:v>
      </x:c>
    </x:row>
    <x:row r="654" ht="48" customHeight="1">
      <x:c r="A654" s="17" t="str">
        <x:v>BUS124</x:v>
      </x:c>
      <x:c r="B654" s="17" t="str">
        <x:v>查询宁德时代所属行业，并列出该行业成分股的融资余额前10名。</x:v>
      </x:c>
      <x:c r="C654" s="17" t="n">
        <x:v>5</x:v>
      </x:c>
      <x:c r="D654" s="17" t="str">
        <x:v>数据查询 1/1</x:v>
      </x:c>
      <x:c r="E654" s="17" t="str">
        <x:v>13426.04</x:v>
      </x:c>
      <x:c r="F654" s="17" t="str">
        <x:v>13948.05</x:v>
      </x:c>
      <x:c r="G654" s="18" t="n">
        <x:v>522.01</x:v>
      </x:c>
      <x:c r="H654" s="18" t="n">
        <x:f>IFERROR(G654/1000,"")</x:f>
        <x:v>0.52201</x:v>
      </x:c>
      <x:c r="I654" s="19" t="n">
        <x:f>IFERROR(G654/J654,"")</x:f>
        <x:v>0.012494817861598367</x:v>
      </x:c>
      <x:c r="J654" s="17" t="n">
        <x:v>41778.12</x:v>
      </x:c>
      <x:c r="K654" s="17" t="str"/>
      <x:c r="L654" s="17" t="str">
        <x:v>已完成：查询宁德时代（300750.SZ）的所属行业，取得 1 条记录。</x:v>
      </x:c>
      <x:c r="M654" s="17" t="str"/>
      <x:c r="N654" s="18" t="n">
        <x:v>3522.58</x:v>
      </x:c>
      <x:c r="O654" s="17" t="str">
        <x:v>public_sse_client_estimate</x:v>
      </x:c>
    </x:row>
    <x:row r="655" ht="48" customHeight="1">
      <x:c r="A655" s="17" t="str">
        <x:v>BUS124</x:v>
      </x:c>
      <x:c r="B655" s="17" t="str">
        <x:v>查询宁德时代所属行业，并列出该行业成分股的融资余额前10名。</x:v>
      </x:c>
      <x:c r="C655" s="17" t="n">
        <x:v>6</x:v>
      </x:c>
      <x:c r="D655" s="17" t="str">
        <x:v>数据查询 1/2</x:v>
      </x:c>
      <x:c r="E655" s="17" t="str">
        <x:v>17956.11</x:v>
      </x:c>
      <x:c r="F655" s="17" t="str">
        <x:v>18399.61</x:v>
      </x:c>
      <x:c r="G655" s="18" t="n">
        <x:v>443.5</x:v>
      </x:c>
      <x:c r="H655" s="18" t="n">
        <x:f>IFERROR(G655/1000,"")</x:f>
        <x:v>0.4435</x:v>
      </x:c>
      <x:c r="I655" s="19" t="n">
        <x:f>IFERROR(G655/J655,"")</x:f>
        <x:v>0.010615604531750112</x:v>
      </x:c>
      <x:c r="J655" s="17" t="n">
        <x:v>41778.12</x:v>
      </x:c>
      <x:c r="K655" s="17" t="str"/>
      <x:c r="L655" s="17" t="str">
        <x:v>已完成：获取锂电池行业的全部成分股，取得 15 条记录。</x:v>
      </x:c>
      <x:c r="M655" s="17" t="str"/>
      <x:c r="N655" s="18" t="n">
        <x:v>4008.06</x:v>
      </x:c>
      <x:c r="O655" s="17" t="str">
        <x:v>public_sse_client_estimate</x:v>
      </x:c>
    </x:row>
    <x:row r="656" ht="48" customHeight="1">
      <x:c r="A656" s="17" t="str">
        <x:v>BUS124</x:v>
      </x:c>
      <x:c r="B656" s="17" t="str">
        <x:v>查询宁德时代所属行业，并列出该行业成分股的融资余额前10名。</x:v>
      </x:c>
      <x:c r="C656" s="17" t="n">
        <x:v>7</x:v>
      </x:c>
      <x:c r="D656" s="17" t="str">
        <x:v>数据查询 2/2</x:v>
      </x:c>
      <x:c r="E656" s="17" t="str">
        <x:v>18401.83</x:v>
      </x:c>
      <x:c r="F656" s="17" t="str">
        <x:v>19306.49</x:v>
      </x:c>
      <x:c r="G656" s="18" t="n">
        <x:v>904.66</x:v>
      </x:c>
      <x:c r="H656" s="18" t="n">
        <x:f>IFERROR(G656/1000,"")</x:f>
        <x:v>0.90466</x:v>
      </x:c>
      <x:c r="I656" s="19" t="n">
        <x:f>IFERROR(G656/J656,"")</x:f>
        <x:v>0.021653918366838908</x:v>
      </x:c>
      <x:c r="J656" s="17" t="n">
        <x:v>41778.12</x:v>
      </x:c>
      <x:c r="K656" s="17" t="str"/>
      <x:c r="L656" s="17" t="str">
        <x:v>已完成：查询锂电池行业成分股的最新融资余额，取前10名，当前条件下没有匹配记录。</x:v>
      </x:c>
      <x:c r="M656" s="17" t="str"/>
      <x:c r="N656" s="18" t="n">
        <x:v>2.22</x:v>
      </x:c>
      <x:c r="O656" s="17" t="str">
        <x:v>public_sse_client_estimate</x:v>
      </x:c>
    </x:row>
    <x:row r="657" ht="48" customHeight="1">
      <x:c r="A657" s="17" t="str">
        <x:v>BUS124</x:v>
      </x:c>
      <x:c r="B657" s="17" t="str">
        <x:v>查询宁德时代所属行业，并列出该行业成分股的融资余额前10名。</x:v>
      </x:c>
      <x:c r="C657" s="17" t="n">
        <x:v>8</x:v>
      </x:c>
      <x:c r="D657" s="17" t="str">
        <x:v>数据查询 1/1</x:v>
      </x:c>
      <x:c r="E657" s="17" t="str">
        <x:v>23040.94</x:v>
      </x:c>
      <x:c r="F657" s="17" t="str">
        <x:v>23975.2</x:v>
      </x:c>
      <x:c r="G657" s="18" t="n">
        <x:v>934.26</x:v>
      </x:c>
      <x:c r="H657" s="18" t="n">
        <x:f>IFERROR(G657/1000,"")</x:f>
        <x:v>0.93426</x:v>
      </x:c>
      <x:c r="I657" s="19" t="n">
        <x:f>IFERROR(G657/J657,"")</x:f>
        <x:v>0.022362423201426965</x:v>
      </x:c>
      <x:c r="J657" s="17" t="n">
        <x:v>41778.12</x:v>
      </x:c>
      <x:c r="K657" s="17" t="str"/>
      <x:c r="L657" s="17" t="str">
        <x:v>已完成：查询锂电池行业成分股的最新融资余额，取前10名，当前条件下没有匹配记录。</x:v>
      </x:c>
      <x:c r="M657" s="17" t="str"/>
      <x:c r="N657" s="18" t="n">
        <x:v>3734.45</x:v>
      </x:c>
      <x:c r="O657" s="17" t="str">
        <x:v>public_sse_client_estimate</x:v>
      </x:c>
    </x:row>
    <x:row r="658" ht="48" customHeight="1">
      <x:c r="A658" s="17" t="str">
        <x:v>BUS124</x:v>
      </x:c>
      <x:c r="B658" s="17" t="str">
        <x:v>查询宁德时代所属行业，并列出该行业成分股的融资余额前10名。</x:v>
      </x:c>
      <x:c r="C658" s="17" t="n">
        <x:v>9</x:v>
      </x:c>
      <x:c r="D658" s="17" t="str">
        <x:v>数据查询 1/1</x:v>
      </x:c>
      <x:c r="E658" s="17" t="str">
        <x:v>30867.16</x:v>
      </x:c>
      <x:c r="F658" s="17" t="str">
        <x:v>31363.59</x:v>
      </x:c>
      <x:c r="G658" s="18" t="n">
        <x:v>496.43</x:v>
      </x:c>
      <x:c r="H658" s="18" t="n">
        <x:f>IFERROR(G658/1000,"")</x:f>
        <x:v>0.49643</x:v>
      </x:c>
      <x:c r="I658" s="19" t="n">
        <x:f>IFERROR(G658/J658,"")</x:f>
        <x:v>0.011882535643059093</x:v>
      </x:c>
      <x:c r="J658" s="17" t="n">
        <x:v>41778.12</x:v>
      </x:c>
      <x:c r="K658" s="17" t="str"/>
      <x:c r="L658" s="17" t="str">
        <x:v>已完成：查询锂电池行业成分股是否有融资余额数据，取得 13 条记录。</x:v>
      </x:c>
      <x:c r="M658" s="17" t="str"/>
      <x:c r="N658" s="18" t="n">
        <x:v>6891.96</x:v>
      </x:c>
      <x:c r="O658" s="17" t="str">
        <x:v>public_sse_client_estimate</x:v>
      </x:c>
    </x:row>
    <x:row r="659" ht="48" customHeight="1">
      <x:c r="A659" s="17" t="str">
        <x:v>BUS124</x:v>
      </x:c>
      <x:c r="B659" s="17" t="str">
        <x:v>查询宁德时代所属行业，并列出该行业成分股的融资余额前10名。</x:v>
      </x:c>
      <x:c r="C659" s="17" t="n">
        <x:v>10</x:v>
      </x:c>
      <x:c r="D659" s="17" t="str">
        <x:v>回答整理</x:v>
      </x:c>
      <x:c r="E659" s="17" t="str">
        <x:v>31363.59</x:v>
      </x:c>
      <x:c r="F659" s="17" t="str">
        <x:v>38432.63</x:v>
      </x:c>
      <x:c r="G659" s="18" t="n">
        <x:v>7069.04</x:v>
      </x:c>
      <x:c r="H659" s="18" t="n">
        <x:f>IFERROR(G659/1000,"")</x:f>
        <x:v>7.06904</x:v>
      </x:c>
      <x:c r="I659" s="19" t="n">
        <x:f>IFERROR(G659/J659,"")</x:f>
        <x:v>0.16920435864514727</x:v>
      </x:c>
      <x:c r="J659" s="17" t="n">
        <x:v>41778.12</x:v>
      </x:c>
      <x:c r="K659" s="17" t="str"/>
      <x:c r="L659" s="17" t="str">
        <x:v>证据与回答已整理完成。</x:v>
      </x:c>
      <x:c r="M659" s="17" t="str"/>
      <x:c r="N659" s="18" t="n">
        <x:v>0</x:v>
      </x:c>
      <x:c r="O659" s="17" t="str">
        <x:v>public_sse_client_estimate</x:v>
      </x:c>
    </x:row>
    <x:row r="660" ht="48" customHeight="1">
      <x:c r="A660" s="17" t="str">
        <x:v>BUS125</x:v>
      </x:c>
      <x:c r="B660" s="17" t="str">
        <x:v>查询银行行业成分股，并返回每只股票最新PB和今天涨跌幅。</x:v>
      </x:c>
      <x:c r="C660" s="17" t="n">
        <x:v>1</x:v>
      </x:c>
      <x:c r="D660" s="17" t="str">
        <x:v>问题理解</x:v>
      </x:c>
      <x:c r="E660" s="17" t="str">
        <x:v>5794.64</x:v>
      </x:c>
      <x:c r="F660" s="17" t="str">
        <x:v>9767.91</x:v>
      </x:c>
      <x:c r="G660" s="18" t="n">
        <x:v>3973.27</x:v>
      </x:c>
      <x:c r="H660" s="18" t="n">
        <x:f>IFERROR(G660/1000,"")</x:f>
        <x:v>3.97327</x:v>
      </x:c>
      <x:c r="I660" s="19" t="n">
        <x:f>IFERROR(G660/J660,"")</x:f>
        <x:v>0.09174157924716983</x:v>
      </x:c>
      <x:c r="J660" s="17" t="n">
        <x:v>43309.37</x:v>
      </x:c>
      <x:c r="K660" s="17" t="str"/>
      <x:c r="L660" s="17" t="str">
        <x:v>已明确本题的对象与口径，开始获取所需证据。</x:v>
      </x:c>
      <x:c r="M660" s="17" t="str"/>
      <x:c r="N660" s="18" t="n">
        <x:v>5794.64</x:v>
      </x:c>
      <x:c r="O660" s="17" t="str">
        <x:v>public_sse_client_estimate</x:v>
      </x:c>
    </x:row>
    <x:row r="661" ht="48" customHeight="1">
      <x:c r="A661" s="17" t="str">
        <x:v>BUS125</x:v>
      </x:c>
      <x:c r="B661" s="17" t="str">
        <x:v>查询银行行业成分股，并返回每只股票最新PB和今天涨跌幅。</x:v>
      </x:c>
      <x:c r="C661" s="17" t="n">
        <x:v>2</x:v>
      </x:c>
      <x:c r="D661" s="17" t="str">
        <x:v>数据口径</x:v>
      </x:c>
      <x:c r="E661" s="17" t="str">
        <x:v>9767.91</x:v>
      </x:c>
      <x:c r="F661" s="17" t="str">
        <x:v>9840.33</x:v>
      </x:c>
      <x:c r="G661" s="18" t="n">
        <x:v>72.42</x:v>
      </x:c>
      <x:c r="H661" s="18" t="n">
        <x:f>IFERROR(G661/1000,"")</x:f>
        <x:v>0.07242</x:v>
      </x:c>
      <x:c r="I661" s="19" t="n">
        <x:f>IFERROR(G661/J661,"")</x:f>
        <x:v>0.0016721554712063463</x:v>
      </x:c>
      <x:c r="J661" s="17" t="n">
        <x:v>43309.37</x:v>
      </x:c>
      <x:c r="K661" s="17" t="str"/>
      <x:c r="L661" s="17" t="str">
        <x:v>已定位行业成分关系视图，并确认了可用字段与时间口径。</x:v>
      </x:c>
      <x:c r="M661" s="17" t="str"/>
      <x:c r="N661" s="18" t="n">
        <x:v>0</x:v>
      </x:c>
      <x:c r="O661" s="17" t="str">
        <x:v>public_sse_client_estimate</x:v>
      </x:c>
    </x:row>
    <x:row r="662" ht="48" customHeight="1">
      <x:c r="A662" s="17" t="str">
        <x:v>BUS125</x:v>
      </x:c>
      <x:c r="B662" s="17" t="str">
        <x:v>查询银行行业成分股，并返回每只股票最新PB和今天涨跌幅。</x:v>
      </x:c>
      <x:c r="C662" s="17" t="n">
        <x:v>3</x:v>
      </x:c>
      <x:c r="D662" s="17" t="str">
        <x:v>数据口径</x:v>
      </x:c>
      <x:c r="E662" s="17" t="str">
        <x:v>9840.33</x:v>
      </x:c>
      <x:c r="F662" s="17" t="str">
        <x:v>10111.27</x:v>
      </x:c>
      <x:c r="G662" s="18" t="n">
        <x:v>270.94</x:v>
      </x:c>
      <x:c r="H662" s="18" t="n">
        <x:f>IFERROR(G662/1000,"")</x:f>
        <x:v>0.27094</x:v>
      </x:c>
      <x:c r="I662" s="19" t="n">
        <x:f>IFERROR(G662/J662,"")</x:f>
        <x:v>0.006255921062809272</x:v>
      </x:c>
      <x:c r="J662" s="17" t="n">
        <x:v>43309.37</x:v>
      </x:c>
      <x:c r="K662" s="17" t="str"/>
      <x:c r="L662" s="17" t="str">
        <x:v>已定位个股行情视图，并确认了可用字段与时间口径。</x:v>
      </x:c>
      <x:c r="M662" s="17" t="str"/>
      <x:c r="N662" s="18" t="n">
        <x:v>0</x:v>
      </x:c>
      <x:c r="O662" s="17" t="str">
        <x:v>public_sse_client_estimate</x:v>
      </x:c>
    </x:row>
    <x:row r="663" ht="48" customHeight="1">
      <x:c r="A663" s="17" t="str">
        <x:v>BUS125</x:v>
      </x:c>
      <x:c r="B663" s="17" t="str">
        <x:v>查询银行行业成分股，并返回每只股票最新PB和今天涨跌幅。</x:v>
      </x:c>
      <x:c r="C663" s="17" t="n">
        <x:v>4</x:v>
      </x:c>
      <x:c r="D663" s="17" t="str">
        <x:v>数据口径</x:v>
      </x:c>
      <x:c r="E663" s="17" t="str">
        <x:v>10111.27</x:v>
      </x:c>
      <x:c r="F663" s="17" t="str">
        <x:v>10583.97</x:v>
      </x:c>
      <x:c r="G663" s="18" t="n">
        <x:v>472.7</x:v>
      </x:c>
      <x:c r="H663" s="18" t="n">
        <x:f>IFERROR(G663/1000,"")</x:f>
        <x:v>0.4727</x:v>
      </x:c>
      <x:c r="I663" s="19" t="n">
        <x:f>IFERROR(G663/J663,"")</x:f>
        <x:v>0.010914497255443798</x:v>
      </x:c>
      <x:c r="J663" s="17" t="n">
        <x:v>43309.37</x:v>
      </x:c>
      <x:c r="K663" s="17" t="str"/>
      <x:c r="L663" s="17" t="str">
        <x:v>已定位个股估值视图，并确认了可用字段与时间口径。</x:v>
      </x:c>
      <x:c r="M663" s="17" t="str"/>
      <x:c r="N663" s="18" t="n">
        <x:v>0</x:v>
      </x:c>
      <x:c r="O663" s="17" t="str">
        <x:v>public_sse_client_estimate</x:v>
      </x:c>
    </x:row>
    <x:row r="664" ht="48" customHeight="1">
      <x:c r="A664" s="17" t="str">
        <x:v>BUS125</x:v>
      </x:c>
      <x:c r="B664" s="17" t="str">
        <x:v>查询银行行业成分股，并返回每只股票最新PB和今天涨跌幅。</x:v>
      </x:c>
      <x:c r="C664" s="17" t="n">
        <x:v>5</x:v>
      </x:c>
      <x:c r="D664" s="17" t="str">
        <x:v>数据查询 1/3</x:v>
      </x:c>
      <x:c r="E664" s="17" t="str">
        <x:v>21084.58</x:v>
      </x:c>
      <x:c r="F664" s="17" t="str">
        <x:v>21646.72</x:v>
      </x:c>
      <x:c r="G664" s="18" t="n">
        <x:v>562.14</x:v>
      </x:c>
      <x:c r="H664" s="18" t="n">
        <x:f>IFERROR(G664/1000,"")</x:f>
        <x:v>0.56214</x:v>
      </x:c>
      <x:c r="I664" s="19" t="n">
        <x:f>IFERROR(G664/J664,"")</x:f>
        <x:v>0.012979639278982815</x:v>
      </x:c>
      <x:c r="J664" s="17" t="n">
        <x:v>43309.37</x:v>
      </x:c>
      <x:c r="K664" s="17" t="str"/>
      <x:c r="L664" s="17" t="str">
        <x:v>已完成：获取银行行业的所有成分股，取得 40 条记录。</x:v>
      </x:c>
      <x:c r="M664" s="17" t="str"/>
      <x:c r="N664" s="18" t="n">
        <x:v>10500.61</x:v>
      </x:c>
      <x:c r="O664" s="17" t="str">
        <x:v>public_sse_client_estimate</x:v>
      </x:c>
    </x:row>
    <x:row r="665" ht="48" customHeight="1">
      <x:c r="A665" s="17" t="str">
        <x:v>BUS125</x:v>
      </x:c>
      <x:c r="B665" s="17" t="str">
        <x:v>查询银行行业成分股，并返回每只股票最新PB和今天涨跌幅。</x:v>
      </x:c>
      <x:c r="C665" s="17" t="n">
        <x:v>6</x:v>
      </x:c>
      <x:c r="D665" s="17" t="str">
        <x:v>数据查询 2/3</x:v>
      </x:c>
      <x:c r="E665" s="17" t="str">
        <x:v>21649.71</x:v>
      </x:c>
      <x:c r="F665" s="17" t="str">
        <x:v>22240.59</x:v>
      </x:c>
      <x:c r="G665" s="18" t="n">
        <x:v>590.88</x:v>
      </x:c>
      <x:c r="H665" s="18" t="n">
        <x:f>IFERROR(G665/1000,"")</x:f>
        <x:v>0.59088</x:v>
      </x:c>
      <x:c r="I665" s="19" t="n">
        <x:f>IFERROR(G665/J665,"")</x:f>
        <x:v>0.01364323701776313</x:v>
      </x:c>
      <x:c r="J665" s="17" t="n">
        <x:v>43309.37</x:v>
      </x:c>
      <x:c r="K665" s="17" t="str"/>
      <x:c r="L665" s="17" t="str">
        <x:v>已完成：获取银行成分股的最新PB估值，取得 40 条记录。</x:v>
      </x:c>
      <x:c r="M665" s="17" t="str"/>
      <x:c r="N665" s="18" t="n">
        <x:v>2.99</x:v>
      </x:c>
      <x:c r="O665" s="17" t="str">
        <x:v>public_sse_client_estimate</x:v>
      </x:c>
    </x:row>
    <x:row r="666" ht="48" customHeight="1">
      <x:c r="A666" s="17" t="str">
        <x:v>BUS125</x:v>
      </x:c>
      <x:c r="B666" s="17" t="str">
        <x:v>查询银行行业成分股，并返回每只股票最新PB和今天涨跌幅。</x:v>
      </x:c>
      <x:c r="C666" s="17" t="n">
        <x:v>7</x:v>
      </x:c>
      <x:c r="D666" s="17" t="str">
        <x:v>数据查询 3/3</x:v>
      </x:c>
      <x:c r="E666" s="17" t="str">
        <x:v>22245.78</x:v>
      </x:c>
      <x:c r="F666" s="17" t="str">
        <x:v>23244.4</x:v>
      </x:c>
      <x:c r="G666" s="18" t="n">
        <x:v>998.62</x:v>
      </x:c>
      <x:c r="H666" s="18" t="n">
        <x:f>IFERROR(G666/1000,"")</x:f>
        <x:v>0.99862</x:v>
      </x:c>
      <x:c r="I666" s="19" t="n">
        <x:f>IFERROR(G666/J666,"")</x:f>
        <x:v>0.023057827901906677</x:v>
      </x:c>
      <x:c r="J666" s="17" t="n">
        <x:v>43309.37</x:v>
      </x:c>
      <x:c r="K666" s="17" t="str"/>
      <x:c r="L666" s="17" t="str">
        <x:v>已完成：获取银行成分股上一个交易日（今天）的涨跌幅，取得 40 条记录。</x:v>
      </x:c>
      <x:c r="M666" s="17" t="str"/>
      <x:c r="N666" s="18" t="n">
        <x:v>5.19</x:v>
      </x:c>
      <x:c r="O666" s="17" t="str">
        <x:v>public_sse_client_estimate</x:v>
      </x:c>
    </x:row>
    <x:row r="667" ht="48" customHeight="1">
      <x:c r="A667" s="17" t="str">
        <x:v>BUS125</x:v>
      </x:c>
      <x:c r="B667" s="17" t="str">
        <x:v>查询银行行业成分股，并返回每只股票最新PB和今天涨跌幅。</x:v>
      </x:c>
      <x:c r="C667" s="17" t="n">
        <x:v>8</x:v>
      </x:c>
      <x:c r="D667" s="17" t="str">
        <x:v>回答整理</x:v>
      </x:c>
      <x:c r="E667" s="17" t="str">
        <x:v>23244.4</x:v>
      </x:c>
      <x:c r="F667" s="17" t="str">
        <x:v>39706.91</x:v>
      </x:c>
      <x:c r="G667" s="18" t="n">
        <x:v>16462.51</x:v>
      </x:c>
      <x:c r="H667" s="18" t="n">
        <x:f>IFERROR(G667/1000,"")</x:f>
        <x:v>16.462509999999998</x:v>
      </x:c>
      <x:c r="I667" s="19" t="n">
        <x:f>IFERROR(G667/J667,"")</x:f>
        <x:v>0.3801142801199832</x:v>
      </x:c>
      <x:c r="J667" s="17" t="n">
        <x:v>43309.37</x:v>
      </x:c>
      <x:c r="K667" s="17" t="str"/>
      <x:c r="L667" s="17" t="str">
        <x:v>证据与回答已整理完成。</x:v>
      </x:c>
      <x:c r="M667" s="17" t="str"/>
      <x:c r="N667" s="18" t="n">
        <x:v>0</x:v>
      </x:c>
      <x:c r="O667" s="17" t="str">
        <x:v>public_sse_client_estimate</x:v>
      </x:c>
    </x:row>
    <x:row r="668" ht="48" customHeight="1">
      <x:c r="A668" s="17" t="str">
        <x:v>BUS128</x:v>
      </x:c>
      <x:c r="B668" s="17" t="str">
        <x:v>查询名称包含人工智能的板块代码和名称。</x:v>
      </x:c>
      <x:c r="C668" s="17" t="n">
        <x:v>1</x:v>
      </x:c>
      <x:c r="D668" s="17" t="str">
        <x:v>问题理解</x:v>
      </x:c>
      <x:c r="E668" s="17" t="str">
        <x:v>5549.26</x:v>
      </x:c>
      <x:c r="F668" s="17" t="str">
        <x:v>7727.05</x:v>
      </x:c>
      <x:c r="G668" s="18" t="n">
        <x:v>2177.79</x:v>
      </x:c>
      <x:c r="H668" s="18" t="n">
        <x:f>IFERROR(G668/1000,"")</x:f>
        <x:v>2.17779</x:v>
      </x:c>
      <x:c r="I668" s="19" t="n">
        <x:f>IFERROR(G668/J668,"")</x:f>
        <x:v>0.13175482527492405</x:v>
      </x:c>
      <x:c r="J668" s="17" t="n">
        <x:v>16529.11</x:v>
      </x:c>
      <x:c r="K668" s="17" t="str"/>
      <x:c r="L668" s="17" t="str">
        <x:v>已明确本题的对象与口径，开始获取所需证据。</x:v>
      </x:c>
      <x:c r="M668" s="17" t="str"/>
      <x:c r="N668" s="18" t="n">
        <x:v>5549.26</x:v>
      </x:c>
      <x:c r="O668" s="17" t="str">
        <x:v>public_sse_client_estimate</x:v>
      </x:c>
    </x:row>
    <x:row r="669" ht="48" customHeight="1">
      <x:c r="A669" s="17" t="str">
        <x:v>BUS128</x:v>
      </x:c>
      <x:c r="B669" s="17" t="str">
        <x:v>查询名称包含人工智能的板块代码和名称。</x:v>
      </x:c>
      <x:c r="C669" s="17" t="n">
        <x:v>2</x:v>
      </x:c>
      <x:c r="D669" s="17" t="str">
        <x:v>数据口径</x:v>
      </x:c>
      <x:c r="E669" s="17" t="str">
        <x:v>7727.05</x:v>
      </x:c>
      <x:c r="F669" s="17" t="str">
        <x:v>7760.95</x:v>
      </x:c>
      <x:c r="G669" s="18" t="n">
        <x:v>33.9</x:v>
      </x:c>
      <x:c r="H669" s="18" t="n">
        <x:f>IFERROR(G669/1000,"")</x:f>
        <x:v>0.0339</x:v>
      </x:c>
      <x:c r="I669" s="19" t="n">
        <x:f>IFERROR(G669/J669,"")</x:f>
        <x:v>0.0020509271219079548</x:v>
      </x:c>
      <x:c r="J669" s="17" t="n">
        <x:v>16529.11</x:v>
      </x:c>
      <x:c r="K669" s="17" t="str"/>
      <x:c r="L669" s="17" t="str">
        <x:v>已定位板块基础信息视图，并确认了可用字段与时间口径。</x:v>
      </x:c>
      <x:c r="M669" s="17" t="str"/>
      <x:c r="N669" s="18" t="n">
        <x:v>0</x:v>
      </x:c>
      <x:c r="O669" s="17" t="str">
        <x:v>public_sse_client_estimate</x:v>
      </x:c>
    </x:row>
    <x:row r="670" ht="48" customHeight="1">
      <x:c r="A670" s="17" t="str">
        <x:v>BUS128</x:v>
      </x:c>
      <x:c r="B670" s="17" t="str">
        <x:v>查询名称包含人工智能的板块代码和名称。</x:v>
      </x:c>
      <x:c r="C670" s="17" t="n">
        <x:v>3</x:v>
      </x:c>
      <x:c r="D670" s="17" t="str">
        <x:v>数据查询 1/1</x:v>
      </x:c>
      <x:c r="E670" s="17" t="str">
        <x:v>12166.41</x:v>
      </x:c>
      <x:c r="F670" s="17" t="str">
        <x:v>12826.22</x:v>
      </x:c>
      <x:c r="G670" s="18" t="n">
        <x:v>659.81</x:v>
      </x:c>
      <x:c r="H670" s="18" t="n">
        <x:f>IFERROR(G670/1000,"")</x:f>
        <x:v>0.6598099999999999</x:v>
      </x:c>
      <x:c r="I670" s="19" t="n">
        <x:f>IFERROR(G670/J670,"")</x:f>
        <x:v>0.039918059714043885</x:v>
      </x:c>
      <x:c r="J670" s="17" t="n">
        <x:v>16529.11</x:v>
      </x:c>
      <x:c r="K670" s="17" t="str"/>
      <x:c r="L670" s="17" t="str">
        <x:v>已完成：查询名称包含人工智能的板块代码和名称，取得 1 条记录。</x:v>
      </x:c>
      <x:c r="M670" s="17" t="str"/>
      <x:c r="N670" s="18" t="n">
        <x:v>4405.46</x:v>
      </x:c>
      <x:c r="O670" s="17" t="str">
        <x:v>public_sse_client_estimate</x:v>
      </x:c>
    </x:row>
    <x:row r="671" ht="48" customHeight="1">
      <x:c r="A671" s="17" t="str">
        <x:v>BUS128</x:v>
      </x:c>
      <x:c r="B671" s="17" t="str">
        <x:v>查询名称包含人工智能的板块代码和名称。</x:v>
      </x:c>
      <x:c r="C671" s="17" t="n">
        <x:v>4</x:v>
      </x:c>
      <x:c r="D671" s="17" t="str">
        <x:v>回答整理</x:v>
      </x:c>
      <x:c r="E671" s="17" t="str">
        <x:v>12826.22</x:v>
      </x:c>
      <x:c r="F671" s="17" t="str">
        <x:v>14230.69</x:v>
      </x:c>
      <x:c r="G671" s="18" t="n">
        <x:v>1404.47</x:v>
      </x:c>
      <x:c r="H671" s="18" t="n">
        <x:f>IFERROR(G671/1000,"")</x:f>
        <x:v>1.40447</x:v>
      </x:c>
      <x:c r="I671" s="19" t="n">
        <x:f>IFERROR(G671/J671,"")</x:f>
        <x:v>0.08496948716537067</x:v>
      </x:c>
      <x:c r="J671" s="17" t="n">
        <x:v>16529.11</x:v>
      </x:c>
      <x:c r="K671" s="17" t="str"/>
      <x:c r="L671" s="17" t="str">
        <x:v>证据与回答已整理完成。</x:v>
      </x:c>
      <x:c r="M671" s="17" t="str"/>
      <x:c r="N671" s="18" t="n">
        <x:v>0</x:v>
      </x:c>
      <x:c r="O671" s="17" t="str">
        <x:v>public_sse_client_estimate</x:v>
      </x:c>
    </x:row>
    <x:row r="672" ht="48" customHeight="1">
      <x:c r="A672" s="17" t="str">
        <x:v>BUS129</x:v>
      </x:c>
      <x:c r="B672" s="17" t="str">
        <x:v>查询名称包含新能源车的板块列表。</x:v>
      </x:c>
      <x:c r="C672" s="17" t="n">
        <x:v>1</x:v>
      </x:c>
      <x:c r="D672" s="17" t="str">
        <x:v>问题理解</x:v>
      </x:c>
      <x:c r="E672" s="17" t="str">
        <x:v>5935.67</x:v>
      </x:c>
      <x:c r="F672" s="17" t="str">
        <x:v>7957.05</x:v>
      </x:c>
      <x:c r="G672" s="18" t="n">
        <x:v>2021.38</x:v>
      </x:c>
      <x:c r="H672" s="18" t="n">
        <x:f>IFERROR(G672/1000,"")</x:f>
        <x:v>2.02138</x:v>
      </x:c>
      <x:c r="I672" s="19" t="n">
        <x:f>IFERROR(G672/J672,"")</x:f>
        <x:v>0.12224494103289349</x:v>
      </x:c>
      <x:c r="J672" s="17" t="n">
        <x:v>16535.49</x:v>
      </x:c>
      <x:c r="K672" s="17" t="str"/>
      <x:c r="L672" s="17" t="str">
        <x:v>已明确本题的对象与口径，开始获取所需证据。</x:v>
      </x:c>
      <x:c r="M672" s="17" t="str"/>
      <x:c r="N672" s="18" t="n">
        <x:v>5935.67</x:v>
      </x:c>
      <x:c r="O672" s="17" t="str">
        <x:v>public_sse_client_estimate</x:v>
      </x:c>
    </x:row>
    <x:row r="673" ht="48" customHeight="1">
      <x:c r="A673" s="17" t="str">
        <x:v>BUS129</x:v>
      </x:c>
      <x:c r="B673" s="17" t="str">
        <x:v>查询名称包含新能源车的板块列表。</x:v>
      </x:c>
      <x:c r="C673" s="17" t="n">
        <x:v>2</x:v>
      </x:c>
      <x:c r="D673" s="17" t="str">
        <x:v>数据口径</x:v>
      </x:c>
      <x:c r="E673" s="17" t="str">
        <x:v>7957.05</x:v>
      </x:c>
      <x:c r="F673" s="17" t="str">
        <x:v>7970.47</x:v>
      </x:c>
      <x:c r="G673" s="18" t="n">
        <x:v>13.42</x:v>
      </x:c>
      <x:c r="H673" s="18" t="n">
        <x:f>IFERROR(G673/1000,"")</x:f>
        <x:v>0.01342</x:v>
      </x:c>
      <x:c r="I673" s="19" t="n">
        <x:f>IFERROR(G673/J673,"")</x:f>
        <x:v>0.000811587682010028</x:v>
      </x:c>
      <x:c r="J673" s="17" t="n">
        <x:v>16535.49</x:v>
      </x:c>
      <x:c r="K673" s="17" t="str"/>
      <x:c r="L673" s="17" t="str">
        <x:v>已定位板块基础信息视图，并确认了可用字段与时间口径。</x:v>
      </x:c>
      <x:c r="M673" s="17" t="str"/>
      <x:c r="N673" s="18" t="n">
        <x:v>0</x:v>
      </x:c>
      <x:c r="O673" s="17" t="str">
        <x:v>public_sse_client_estimate</x:v>
      </x:c>
    </x:row>
    <x:row r="674" ht="48" customHeight="1">
      <x:c r="A674" s="17" t="str">
        <x:v>BUS129</x:v>
      </x:c>
      <x:c r="B674" s="17" t="str">
        <x:v>查询名称包含新能源车的板块列表。</x:v>
      </x:c>
      <x:c r="C674" s="17" t="n">
        <x:v>3</x:v>
      </x:c>
      <x:c r="D674" s="17" t="str">
        <x:v>数据查询 1/1</x:v>
      </x:c>
      <x:c r="E674" s="17" t="str">
        <x:v>10602.57</x:v>
      </x:c>
      <x:c r="F674" s="17" t="str">
        <x:v>11205.1</x:v>
      </x:c>
      <x:c r="G674" s="18" t="n">
        <x:v>602.53</x:v>
      </x:c>
      <x:c r="H674" s="18" t="n">
        <x:f>IFERROR(G674/1000,"")</x:f>
        <x:v>0.60253</x:v>
      </x:c>
      <x:c r="I674" s="19" t="n">
        <x:f>IFERROR(G674/J674,"")</x:f>
        <x:v>0.036438593594746806</x:v>
      </x:c>
      <x:c r="J674" s="17" t="n">
        <x:v>16535.49</x:v>
      </x:c>
      <x:c r="K674" s="17" t="str"/>
      <x:c r="L674" s="17" t="str">
        <x:v>已完成：查询名称包含新能源车的板块列表，当前条件下没有匹配记录。</x:v>
      </x:c>
      <x:c r="M674" s="17" t="str"/>
      <x:c r="N674" s="18" t="n">
        <x:v>2632.1</x:v>
      </x:c>
      <x:c r="O674" s="17" t="str">
        <x:v>public_sse_client_estimate</x:v>
      </x:c>
    </x:row>
    <x:row r="675" ht="48" customHeight="1">
      <x:c r="A675" s="17" t="str">
        <x:v>BUS129</x:v>
      </x:c>
      <x:c r="B675" s="17" t="str">
        <x:v>查询名称包含新能源车的板块列表。</x:v>
      </x:c>
      <x:c r="C675" s="17" t="n">
        <x:v>4</x:v>
      </x:c>
      <x:c r="D675" s="17" t="str">
        <x:v>回答整理</x:v>
      </x:c>
      <x:c r="E675" s="17" t="str">
        <x:v>11205.1</x:v>
      </x:c>
      <x:c r="F675" s="17" t="str">
        <x:v>14629.05</x:v>
      </x:c>
      <x:c r="G675" s="18" t="n">
        <x:v>3423.95</x:v>
      </x:c>
      <x:c r="H675" s="18" t="n">
        <x:f>IFERROR(G675/1000,"")</x:f>
        <x:v>3.4239499999999996</x:v>
      </x:c>
      <x:c r="I675" s="19" t="n">
        <x:f>IFERROR(G675/J675,"")</x:f>
        <x:v>0.2070667394797493</x:v>
      </x:c>
      <x:c r="J675" s="17" t="n">
        <x:v>16535.49</x:v>
      </x:c>
      <x:c r="K675" s="17" t="str"/>
      <x:c r="L675" s="17" t="str">
        <x:v>证据与回答已整理完成。</x:v>
      </x:c>
      <x:c r="M675" s="17" t="str"/>
      <x:c r="N675" s="18" t="n">
        <x:v>0</x:v>
      </x:c>
      <x:c r="O675" s="17" t="str">
        <x:v>public_sse_client_estimate</x:v>
      </x:c>
    </x:row>
    <x:row r="676" ht="48" customHeight="1">
      <x:c r="A676" s="17" t="str">
        <x:v>BUS131</x:v>
      </x:c>
      <x:c r="B676" s="17" t="str">
        <x:v>查询名称包含半导体的板块代码。</x:v>
      </x:c>
      <x:c r="C676" s="17" t="n">
        <x:v>1</x:v>
      </x:c>
      <x:c r="D676" s="17" t="str">
        <x:v>问题理解</x:v>
      </x:c>
      <x:c r="E676" s="17" t="str">
        <x:v>6176.98</x:v>
      </x:c>
      <x:c r="F676" s="17" t="str">
        <x:v>8692.95</x:v>
      </x:c>
      <x:c r="G676" s="18" t="n">
        <x:v>2515.97</x:v>
      </x:c>
      <x:c r="H676" s="18" t="n">
        <x:f>IFERROR(G676/1000,"")</x:f>
        <x:v>2.51597</x:v>
      </x:c>
      <x:c r="I676" s="19" t="n">
        <x:f>IFERROR(G676/J676,"")</x:f>
        <x:v>0.10916673030462913</x:v>
      </x:c>
      <x:c r="J676" s="17" t="n">
        <x:v>23047.04</x:v>
      </x:c>
      <x:c r="K676" s="17" t="str"/>
      <x:c r="L676" s="17" t="str">
        <x:v>已明确本题的对象与口径，开始获取所需证据。</x:v>
      </x:c>
      <x:c r="M676" s="17" t="str"/>
      <x:c r="N676" s="18" t="n">
        <x:v>6176.98</x:v>
      </x:c>
      <x:c r="O676" s="17" t="str">
        <x:v>public_sse_client_estimate</x:v>
      </x:c>
    </x:row>
    <x:row r="677" ht="48" customHeight="1">
      <x:c r="A677" s="17" t="str">
        <x:v>BUS131</x:v>
      </x:c>
      <x:c r="B677" s="17" t="str">
        <x:v>查询名称包含半导体的板块代码。</x:v>
      </x:c>
      <x:c r="C677" s="17" t="n">
        <x:v>2</x:v>
      </x:c>
      <x:c r="D677" s="17" t="str">
        <x:v>数据口径</x:v>
      </x:c>
      <x:c r="E677" s="17" t="str">
        <x:v>8692.95</x:v>
      </x:c>
      <x:c r="F677" s="17" t="str">
        <x:v>8723.52</x:v>
      </x:c>
      <x:c r="G677" s="18" t="n">
        <x:v>30.57</x:v>
      </x:c>
      <x:c r="H677" s="18" t="n">
        <x:f>IFERROR(G677/1000,"")</x:f>
        <x:v>0.03057</x:v>
      </x:c>
      <x:c r="I677" s="19" t="n">
        <x:f>IFERROR(G677/J677,"")</x:f>
        <x:v>0.0013264176223931575</x:v>
      </x:c>
      <x:c r="J677" s="17" t="n">
        <x:v>23047.04</x:v>
      </x:c>
      <x:c r="K677" s="17" t="str"/>
      <x:c r="L677" s="17" t="str">
        <x:v>已确认该金融主体可查询的数据范围。</x:v>
      </x:c>
      <x:c r="M677" s="17" t="str"/>
      <x:c r="N677" s="18" t="n">
        <x:v>0</x:v>
      </x:c>
      <x:c r="O677" s="17" t="str">
        <x:v>public_sse_client_estimate</x:v>
      </x:c>
    </x:row>
    <x:row r="678" ht="48" customHeight="1">
      <x:c r="A678" s="17" t="str">
        <x:v>BUS131</x:v>
      </x:c>
      <x:c r="B678" s="17" t="str">
        <x:v>查询名称包含半导体的板块代码。</x:v>
      </x:c>
      <x:c r="C678" s="17" t="n">
        <x:v>3</x:v>
      </x:c>
      <x:c r="D678" s="17" t="str">
        <x:v>数据口径</x:v>
      </x:c>
      <x:c r="E678" s="17" t="str">
        <x:v>8723.52</x:v>
      </x:c>
      <x:c r="F678" s="17" t="str">
        <x:v>11236.29</x:v>
      </x:c>
      <x:c r="G678" s="18" t="n">
        <x:v>2512.77</x:v>
      </x:c>
      <x:c r="H678" s="18" t="n">
        <x:f>IFERROR(G678/1000,"")</x:f>
        <x:v>2.51277</x:v>
      </x:c>
      <x:c r="I678" s="19" t="n">
        <x:f>IFERROR(G678/J678,"")</x:f>
        <x:v>0.10902788384104857</x:v>
      </x:c>
      <x:c r="J678" s="17" t="n">
        <x:v>23047.04</x:v>
      </x:c>
      <x:c r="K678" s="17" t="str"/>
      <x:c r="L678" s="17" t="str">
        <x:v>已定位板块基础信息视图，并确认了可用字段与时间口径。</x:v>
      </x:c>
      <x:c r="M678" s="17" t="str"/>
      <x:c r="N678" s="18" t="n">
        <x:v>0</x:v>
      </x:c>
      <x:c r="O678" s="17" t="str">
        <x:v>public_sse_client_estimate</x:v>
      </x:c>
    </x:row>
    <x:row r="679" ht="48" customHeight="1">
      <x:c r="A679" s="17" t="str">
        <x:v>BUS131</x:v>
      </x:c>
      <x:c r="B679" s="17" t="str">
        <x:v>查询名称包含半导体的板块代码。</x:v>
      </x:c>
      <x:c r="C679" s="17" t="n">
        <x:v>4</x:v>
      </x:c>
      <x:c r="D679" s="17" t="str">
        <x:v>数据查询 1/1</x:v>
      </x:c>
      <x:c r="E679" s="17" t="str">
        <x:v>13740.8</x:v>
      </x:c>
      <x:c r="F679" s="17" t="str">
        <x:v>14313.82</x:v>
      </x:c>
      <x:c r="G679" s="18" t="n">
        <x:v>573.02</x:v>
      </x:c>
      <x:c r="H679" s="18" t="n">
        <x:f>IFERROR(G679/1000,"")</x:f>
        <x:v>0.57302</x:v>
      </x:c>
      <x:c r="I679" s="19" t="n">
        <x:f>IFERROR(G679/J679,"")</x:f>
        <x:v>0.02486306267529366</x:v>
      </x:c>
      <x:c r="J679" s="17" t="n">
        <x:v>23047.04</x:v>
      </x:c>
      <x:c r="K679" s="17" t="str"/>
      <x:c r="L679" s="17" t="str">
        <x:v>已完成：查询名称包含半导体的板块代码和名称，取得 7 条记录。</x:v>
      </x:c>
      <x:c r="M679" s="17" t="str"/>
      <x:c r="N679" s="18" t="n">
        <x:v>2504.51</x:v>
      </x:c>
      <x:c r="O679" s="17" t="str">
        <x:v>public_sse_client_estimate</x:v>
      </x:c>
    </x:row>
    <x:row r="680" ht="48" customHeight="1">
      <x:c r="A680" s="17" t="str">
        <x:v>BUS131</x:v>
      </x:c>
      <x:c r="B680" s="17" t="str">
        <x:v>查询名称包含半导体的板块代码。</x:v>
      </x:c>
      <x:c r="C680" s="17" t="n">
        <x:v>5</x:v>
      </x:c>
      <x:c r="D680" s="17" t="str">
        <x:v>回答整理</x:v>
      </x:c>
      <x:c r="E680" s="17" t="str">
        <x:v>14313.82</x:v>
      </x:c>
      <x:c r="F680" s="17" t="str">
        <x:v>18939.21</x:v>
      </x:c>
      <x:c r="G680" s="18" t="n">
        <x:v>4625.39</x:v>
      </x:c>
      <x:c r="H680" s="18" t="n">
        <x:f>IFERROR(G680/1000,"")</x:f>
        <x:v>4.62539</x:v>
      </x:c>
      <x:c r="I680" s="19" t="n">
        <x:f>IFERROR(G680/J680,"")</x:f>
        <x:v>0.20069345130654523</x:v>
      </x:c>
      <x:c r="J680" s="17" t="n">
        <x:v>23047.04</x:v>
      </x:c>
      <x:c r="K680" s="17" t="str"/>
      <x:c r="L680" s="17" t="str">
        <x:v>证据与回答已整理完成。</x:v>
      </x:c>
      <x:c r="M680" s="17" t="str"/>
      <x:c r="N680" s="18" t="n">
        <x:v>0</x:v>
      </x:c>
      <x:c r="O680" s="17" t="str">
        <x:v>public_sse_client_estimate</x:v>
      </x:c>
    </x:row>
    <x:row r="681" ht="48" customHeight="1">
      <x:c r="A681" s="17" t="str">
        <x:v>BUS132</x:v>
      </x:c>
      <x:c r="B681" s="17" t="str">
        <x:v>列出名称包含消费的板块。</x:v>
      </x:c>
      <x:c r="C681" s="17" t="n">
        <x:v>1</x:v>
      </x:c>
      <x:c r="D681" s="17" t="str">
        <x:v>问题理解</x:v>
      </x:c>
      <x:c r="E681" s="17" t="str">
        <x:v>5347.05</x:v>
      </x:c>
      <x:c r="F681" s="17" t="str">
        <x:v>8036.31</x:v>
      </x:c>
      <x:c r="G681" s="18" t="n">
        <x:v>2689.26</x:v>
      </x:c>
      <x:c r="H681" s="18" t="n">
        <x:f>IFERROR(G681/1000,"")</x:f>
        <x:v>2.6892600000000004</x:v>
      </x:c>
      <x:c r="I681" s="19" t="n">
        <x:f>IFERROR(G681/J681,"")</x:f>
        <x:v>0.16036040333689128</x:v>
      </x:c>
      <x:c r="J681" s="17" t="n">
        <x:v>16770.1</x:v>
      </x:c>
      <x:c r="K681" s="17" t="str"/>
      <x:c r="L681" s="17" t="str">
        <x:v>已明确本题的对象与口径，开始获取所需证据。</x:v>
      </x:c>
      <x:c r="M681" s="17" t="str"/>
      <x:c r="N681" s="18" t="n">
        <x:v>5347.05</x:v>
      </x:c>
      <x:c r="O681" s="17" t="str">
        <x:v>public_sse_client_estimate</x:v>
      </x:c>
    </x:row>
    <x:row r="682" ht="48" customHeight="1">
      <x:c r="A682" s="17" t="str">
        <x:v>BUS132</x:v>
      </x:c>
      <x:c r="B682" s="17" t="str">
        <x:v>列出名称包含消费的板块。</x:v>
      </x:c>
      <x:c r="C682" s="17" t="n">
        <x:v>2</x:v>
      </x:c>
      <x:c r="D682" s="17" t="str">
        <x:v>数据口径</x:v>
      </x:c>
      <x:c r="E682" s="17" t="str">
        <x:v>8036.31</x:v>
      </x:c>
      <x:c r="F682" s="17" t="str">
        <x:v>8063.66</x:v>
      </x:c>
      <x:c r="G682" s="18" t="n">
        <x:v>27.35</x:v>
      </x:c>
      <x:c r="H682" s="18" t="n">
        <x:f>IFERROR(G682/1000,"")</x:f>
        <x:v>0.027350000000000003</x:v>
      </x:c>
      <x:c r="I682" s="19" t="n">
        <x:f>IFERROR(G682/J682,"")</x:f>
        <x:v>0.0016308787663758715</x:v>
      </x:c>
      <x:c r="J682" s="17" t="n">
        <x:v>16770.1</x:v>
      </x:c>
      <x:c r="K682" s="17" t="str"/>
      <x:c r="L682" s="17" t="str">
        <x:v>已定位板块基础信息视图，并确认了可用字段与时间口径。</x:v>
      </x:c>
      <x:c r="M682" s="17" t="str"/>
      <x:c r="N682" s="18" t="n">
        <x:v>0</x:v>
      </x:c>
      <x:c r="O682" s="17" t="str">
        <x:v>public_sse_client_estimate</x:v>
      </x:c>
    </x:row>
    <x:row r="683" ht="48" customHeight="1">
      <x:c r="A683" s="17" t="str">
        <x:v>BUS132</x:v>
      </x:c>
      <x:c r="B683" s="17" t="str">
        <x:v>列出名称包含消费的板块。</x:v>
      </x:c>
      <x:c r="C683" s="17" t="n">
        <x:v>3</x:v>
      </x:c>
      <x:c r="D683" s="17" t="str">
        <x:v>数据查询 1/1</x:v>
      </x:c>
      <x:c r="E683" s="17" t="str">
        <x:v>10876.18</x:v>
      </x:c>
      <x:c r="F683" s="17" t="str">
        <x:v>11349.46</x:v>
      </x:c>
      <x:c r="G683" s="18" t="n">
        <x:v>473.28</x:v>
      </x:c>
      <x:c r="H683" s="18" t="n">
        <x:f>IFERROR(G683/1000,"")</x:f>
        <x:v>0.47328</x:v>
      </x:c>
      <x:c r="I683" s="19" t="n">
        <x:f>IFERROR(G683/J683,"")</x:f>
        <x:v>0.02822165640037925</x:v>
      </x:c>
      <x:c r="J683" s="17" t="n">
        <x:v>16770.1</x:v>
      </x:c>
      <x:c r="K683" s="17" t="str"/>
      <x:c r="L683" s="17" t="str">
        <x:v>已完成：找出名称中包含'消费'的板块及其代码，取得 1 条记录。</x:v>
      </x:c>
      <x:c r="M683" s="17" t="str"/>
      <x:c r="N683" s="18" t="n">
        <x:v>2812.52</x:v>
      </x:c>
      <x:c r="O683" s="17" t="str">
        <x:v>public_sse_client_estimate</x:v>
      </x:c>
    </x:row>
    <x:row r="684" ht="48" customHeight="1">
      <x:c r="A684" s="17" t="str">
        <x:v>BUS132</x:v>
      </x:c>
      <x:c r="B684" s="17" t="str">
        <x:v>列出名称包含消费的板块。</x:v>
      </x:c>
      <x:c r="C684" s="17" t="n">
        <x:v>4</x:v>
      </x:c>
      <x:c r="D684" s="17" t="str">
        <x:v>回答整理</x:v>
      </x:c>
      <x:c r="E684" s="17" t="str">
        <x:v>11349.46</x:v>
      </x:c>
      <x:c r="F684" s="17" t="str">
        <x:v>12684.68</x:v>
      </x:c>
      <x:c r="G684" s="18" t="n">
        <x:v>1335.22</x:v>
      </x:c>
      <x:c r="H684" s="18" t="n">
        <x:f>IFERROR(G684/1000,"")</x:f>
        <x:v>1.33522</x:v>
      </x:c>
      <x:c r="I684" s="19" t="n">
        <x:f>IFERROR(G684/J684,"")</x:f>
        <x:v>0.07961908396491375</x:v>
      </x:c>
      <x:c r="J684" s="17" t="n">
        <x:v>16770.1</x:v>
      </x:c>
      <x:c r="K684" s="17" t="str"/>
      <x:c r="L684" s="17" t="str">
        <x:v>证据与回答已整理完成。</x:v>
      </x:c>
      <x:c r="M684" s="17" t="str"/>
      <x:c r="N684" s="18" t="n">
        <x:v>0</x:v>
      </x:c>
      <x:c r="O684" s="17" t="str">
        <x:v>public_sse_client_estimate</x:v>
      </x:c>
    </x:row>
    <x:row r="685" ht="48" customHeight="1">
      <x:c r="A685" s="17" t="str">
        <x:v>BUS133</x:v>
      </x:c>
      <x:c r="B685" s="17" t="str">
        <x:v>人工智能板块当前涨跌幅、成交额和成交量是多少？</x:v>
      </x:c>
      <x:c r="C685" s="17" t="n">
        <x:v>1</x:v>
      </x:c>
      <x:c r="D685" s="17" t="str">
        <x:v>问题理解</x:v>
      </x:c>
      <x:c r="E685" s="17" t="str">
        <x:v>5987.81</x:v>
      </x:c>
      <x:c r="F685" s="17" t="str">
        <x:v>9841.43</x:v>
      </x:c>
      <x:c r="G685" s="18" t="n">
        <x:v>3853.62</x:v>
      </x:c>
      <x:c r="H685" s="18" t="n">
        <x:f>IFERROR(G685/1000,"")</x:f>
        <x:v>3.85362</x:v>
      </x:c>
      <x:c r="I685" s="19" t="n">
        <x:f>IFERROR(G685/J685,"")</x:f>
        <x:v>0.14598676746075792</x:v>
      </x:c>
      <x:c r="J685" s="17" t="n">
        <x:v>26397.05</x:v>
      </x:c>
      <x:c r="K685" s="17" t="str"/>
      <x:c r="L685" s="17" t="str">
        <x:v>已明确本题的对象与口径，开始获取所需证据。</x:v>
      </x:c>
      <x:c r="M685" s="17" t="str"/>
      <x:c r="N685" s="18" t="n">
        <x:v>5987.81</x:v>
      </x:c>
      <x:c r="O685" s="17" t="str">
        <x:v>public_sse_client_estimate</x:v>
      </x:c>
    </x:row>
    <x:row r="686" ht="48" customHeight="1">
      <x:c r="A686" s="17" t="str">
        <x:v>BUS133</x:v>
      </x:c>
      <x:c r="B686" s="17" t="str">
        <x:v>人工智能板块当前涨跌幅、成交额和成交量是多少？</x:v>
      </x:c>
      <x:c r="C686" s="17" t="n">
        <x:v>2</x:v>
      </x:c>
      <x:c r="D686" s="17" t="str">
        <x:v>数据口径</x:v>
      </x:c>
      <x:c r="E686" s="17" t="str">
        <x:v>9841.43</x:v>
      </x:c>
      <x:c r="F686" s="17" t="str">
        <x:v>9885.27</x:v>
      </x:c>
      <x:c r="G686" s="18" t="n">
        <x:v>43.84</x:v>
      </x:c>
      <x:c r="H686" s="18" t="n">
        <x:f>IFERROR(G686/1000,"")</x:f>
        <x:v>0.043840000000000004</x:v>
      </x:c>
      <x:c r="I686" s="19" t="n">
        <x:f>IFERROR(G686/J686,"")</x:f>
        <x:v>0.0016607916414902424</x:v>
      </x:c>
      <x:c r="J686" s="17" t="n">
        <x:v>26397.05</x:v>
      </x:c>
      <x:c r="K686" s="17" t="str"/>
      <x:c r="L686" s="17" t="str">
        <x:v>已定位板块行情视图，并确认了可用字段与时间口径。</x:v>
      </x:c>
      <x:c r="M686" s="17" t="str"/>
      <x:c r="N686" s="18" t="n">
        <x:v>0</x:v>
      </x:c>
      <x:c r="O686" s="17" t="str">
        <x:v>public_sse_client_estimate</x:v>
      </x:c>
    </x:row>
    <x:row r="687" ht="48" customHeight="1">
      <x:c r="A687" s="17" t="str">
        <x:v>BUS133</x:v>
      </x:c>
      <x:c r="B687" s="17" t="str">
        <x:v>人工智能板块当前涨跌幅、成交额和成交量是多少？</x:v>
      </x:c>
      <x:c r="C687" s="17" t="n">
        <x:v>3</x:v>
      </x:c>
      <x:c r="D687" s="17" t="str">
        <x:v>数据口径</x:v>
      </x:c>
      <x:c r="E687" s="17" t="str">
        <x:v>9885.27</x:v>
      </x:c>
      <x:c r="F687" s="17" t="str">
        <x:v>11945</x:v>
      </x:c>
      <x:c r="G687" s="18" t="n">
        <x:v>2059.73</x:v>
      </x:c>
      <x:c r="H687" s="18" t="n">
        <x:f>IFERROR(G687/1000,"")</x:f>
        <x:v>2.05973</x:v>
      </x:c>
      <x:c r="I687" s="19" t="n">
        <x:f>IFERROR(G687/J687,"")</x:f>
        <x:v>0.07802879488427684</x:v>
      </x:c>
      <x:c r="J687" s="17" t="n">
        <x:v>26397.05</x:v>
      </x:c>
      <x:c r="K687" s="17" t="str"/>
      <x:c r="L687" s="17" t="str">
        <x:v>已定位板块基础信息视图，并确认了可用字段与时间口径。</x:v>
      </x:c>
      <x:c r="M687" s="17" t="str"/>
      <x:c r="N687" s="18" t="n">
        <x:v>0</x:v>
      </x:c>
      <x:c r="O687" s="17" t="str">
        <x:v>public_sse_client_estimate</x:v>
      </x:c>
    </x:row>
    <x:row r="688" ht="48" customHeight="1">
      <x:c r="A688" s="17" t="str">
        <x:v>BUS133</x:v>
      </x:c>
      <x:c r="B688" s="17" t="str">
        <x:v>人工智能板块当前涨跌幅、成交额和成交量是多少？</x:v>
      </x:c>
      <x:c r="C688" s="17" t="n">
        <x:v>4</x:v>
      </x:c>
      <x:c r="D688" s="17" t="str">
        <x:v>数据查询 1/1</x:v>
      </x:c>
      <x:c r="E688" s="17" t="str">
        <x:v>14133.56</x:v>
      </x:c>
      <x:c r="F688" s="17" t="str">
        <x:v>14724.69</x:v>
      </x:c>
      <x:c r="G688" s="18" t="n">
        <x:v>591.13</x:v>
      </x:c>
      <x:c r="H688" s="18" t="n">
        <x:f>IFERROR(G688/1000,"")</x:f>
        <x:v>0.59113</x:v>
      </x:c>
      <x:c r="I688" s="19" t="n">
        <x:f>IFERROR(G688/J688,"")</x:f>
        <x:v>0.0223937902151945</x:v>
      </x:c>
      <x:c r="J688" s="17" t="n">
        <x:v>26397.05</x:v>
      </x:c>
      <x:c r="K688" s="17" t="str"/>
      <x:c r="L688" s="17" t="str">
        <x:v>已完成：查询人工智能板块的代码和名称，取得 1 条记录。</x:v>
      </x:c>
      <x:c r="M688" s="17" t="str"/>
      <x:c r="N688" s="18" t="n">
        <x:v>2188.56</x:v>
      </x:c>
      <x:c r="O688" s="17" t="str">
        <x:v>public_sse_client_estimate</x:v>
      </x:c>
    </x:row>
    <x:row r="689" ht="48" customHeight="1">
      <x:c r="A689" s="17" t="str">
        <x:v>BUS133</x:v>
      </x:c>
      <x:c r="B689" s="17" t="str">
        <x:v>人工智能板块当前涨跌幅、成交额和成交量是多少？</x:v>
      </x:c>
      <x:c r="C689" s="17" t="n">
        <x:v>5</x:v>
      </x:c>
      <x:c r="D689" s="17" t="str">
        <x:v>数据查询 1/1</x:v>
      </x:c>
      <x:c r="E689" s="17" t="str">
        <x:v>18888.14</x:v>
      </x:c>
      <x:c r="F689" s="17" t="str">
        <x:v>19457.95</x:v>
      </x:c>
      <x:c r="G689" s="18" t="n">
        <x:v>569.81</x:v>
      </x:c>
      <x:c r="H689" s="18" t="n">
        <x:f>IFERROR(G689/1000,"")</x:f>
        <x:v>0.5698099999999999</x:v>
      </x:c>
      <x:c r="I689" s="19" t="n">
        <x:f>IFERROR(G689/J689,"")</x:f>
        <x:v>0.021586124207061016</x:v>
      </x:c>
      <x:c r="J689" s="17" t="n">
        <x:v>26397.05</x:v>
      </x:c>
      <x:c r="K689" s="17" t="str"/>
      <x:c r="L689" s="17" t="str">
        <x:v>已完成：查询人工智能板块当前行情，包括涨跌幅、成交额和成交量，取得 1 条记录。</x:v>
      </x:c>
      <x:c r="M689" s="17" t="str"/>
      <x:c r="N689" s="18" t="n">
        <x:v>4163.45</x:v>
      </x:c>
      <x:c r="O689" s="17" t="str">
        <x:v>public_sse_client_estimate</x:v>
      </x:c>
    </x:row>
    <x:row r="690" ht="48" customHeight="1">
      <x:c r="A690" s="17" t="str">
        <x:v>BUS133</x:v>
      </x:c>
      <x:c r="B690" s="17" t="str">
        <x:v>人工智能板块当前涨跌幅、成交额和成交量是多少？</x:v>
      </x:c>
      <x:c r="C690" s="17" t="n">
        <x:v>6</x:v>
      </x:c>
      <x:c r="D690" s="17" t="str">
        <x:v>回答整理</x:v>
      </x:c>
      <x:c r="E690" s="17" t="str">
        <x:v>19457.95</x:v>
      </x:c>
      <x:c r="F690" s="17" t="str">
        <x:v>23560.6</x:v>
      </x:c>
      <x:c r="G690" s="18" t="n">
        <x:v>4102.65</x:v>
      </x:c>
      <x:c r="H690" s="18" t="n">
        <x:f>IFERROR(G690/1000,"")</x:f>
        <x:v>4.10265</x:v>
      </x:c>
      <x:c r="I690" s="19" t="n">
        <x:f>IFERROR(G690/J690,"")</x:f>
        <x:v>0.15542077618521766</x:v>
      </x:c>
      <x:c r="J690" s="17" t="n">
        <x:v>26397.05</x:v>
      </x:c>
      <x:c r="K690" s="17" t="str"/>
      <x:c r="L690" s="17" t="str">
        <x:v>证据与回答已整理完成。</x:v>
      </x:c>
      <x:c r="M690" s="17" t="str"/>
      <x:c r="N690" s="18" t="n">
        <x:v>0</x:v>
      </x:c>
      <x:c r="O690" s="17" t="str">
        <x:v>public_sse_client_estimate</x:v>
      </x:c>
    </x:row>
    <x:row r="691" ht="48" customHeight="1">
      <x:c r="A691" s="17" t="str">
        <x:v>BUS134</x:v>
      </x:c>
      <x:c r="B691" s="17" t="str">
        <x:v>今天涨幅最高的板块前20名。</x:v>
      </x:c>
      <x:c r="C691" s="17" t="n">
        <x:v>1</x:v>
      </x:c>
      <x:c r="D691" s="17" t="str">
        <x:v>问题理解</x:v>
      </x:c>
      <x:c r="E691" s="17" t="str">
        <x:v>5380.32</x:v>
      </x:c>
      <x:c r="F691" s="17" t="str">
        <x:v>8683.73</x:v>
      </x:c>
      <x:c r="G691" s="18" t="n">
        <x:v>3303.41</x:v>
      </x:c>
      <x:c r="H691" s="18" t="n">
        <x:f>IFERROR(G691/1000,"")</x:f>
        <x:v>3.30341</x:v>
      </x:c>
      <x:c r="I691" s="19" t="n">
        <x:f>IFERROR(G691/J691,"")</x:f>
        <x:v>0.08842139355484564</x:v>
      </x:c>
      <x:c r="J691" s="17" t="n">
        <x:v>37359.85</x:v>
      </x:c>
      <x:c r="K691" s="17" t="str"/>
      <x:c r="L691" s="17" t="str">
        <x:v>已明确本题的对象与口径，开始获取所需证据。</x:v>
      </x:c>
      <x:c r="M691" s="17" t="str"/>
      <x:c r="N691" s="18" t="n">
        <x:v>5380.32</x:v>
      </x:c>
      <x:c r="O691" s="17" t="str">
        <x:v>public_sse_client_estimate</x:v>
      </x:c>
    </x:row>
    <x:row r="692" ht="48" customHeight="1">
      <x:c r="A692" s="17" t="str">
        <x:v>BUS134</x:v>
      </x:c>
      <x:c r="B692" s="17" t="str">
        <x:v>今天涨幅最高的板块前20名。</x:v>
      </x:c>
      <x:c r="C692" s="17" t="n">
        <x:v>2</x:v>
      </x:c>
      <x:c r="D692" s="17" t="str">
        <x:v>数据口径</x:v>
      </x:c>
      <x:c r="E692" s="17" t="str">
        <x:v>8683.73</x:v>
      </x:c>
      <x:c r="F692" s="17" t="str">
        <x:v>8700.57</x:v>
      </x:c>
      <x:c r="G692" s="18" t="n">
        <x:v>16.84</x:v>
      </x:c>
      <x:c r="H692" s="18" t="n">
        <x:f>IFERROR(G692/1000,"")</x:f>
        <x:v>0.01684</x:v>
      </x:c>
      <x:c r="I692" s="19" t="n">
        <x:f>IFERROR(G692/J692,"")</x:f>
        <x:v>0.00045075127442963504</x:v>
      </x:c>
      <x:c r="J692" s="17" t="n">
        <x:v>37359.85</x:v>
      </x:c>
      <x:c r="K692" s="17" t="str"/>
      <x:c r="L692" s="17" t="str">
        <x:v>已定位板块行情视图，并确认了可用字段与时间口径。</x:v>
      </x:c>
      <x:c r="M692" s="17" t="str"/>
      <x:c r="N692" s="18" t="n">
        <x:v>0</x:v>
      </x:c>
      <x:c r="O692" s="17" t="str">
        <x:v>public_sse_client_estimate</x:v>
      </x:c>
    </x:row>
    <x:row r="693" ht="48" customHeight="1">
      <x:c r="A693" s="17" t="str">
        <x:v>BUS134</x:v>
      </x:c>
      <x:c r="B693" s="17" t="str">
        <x:v>今天涨幅最高的板块前20名。</x:v>
      </x:c>
      <x:c r="C693" s="17" t="n">
        <x:v>3</x:v>
      </x:c>
      <x:c r="D693" s="17" t="str">
        <x:v>数据查询 1/1</x:v>
      </x:c>
      <x:c r="E693" s="17" t="str">
        <x:v>11553.92</x:v>
      </x:c>
      <x:c r="F693" s="17" t="str">
        <x:v>12576.87</x:v>
      </x:c>
      <x:c r="G693" s="18" t="n">
        <x:v>1022.95</x:v>
      </x:c>
      <x:c r="H693" s="18" t="n">
        <x:f>IFERROR(G693/1000,"")</x:f>
        <x:v>1.02295</x:v>
      </x:c>
      <x:c r="I693" s="19" t="n">
        <x:f>IFERROR(G693/J693,"")</x:f>
        <x:v>0.027380998585379762</x:v>
      </x:c>
      <x:c r="J693" s="17" t="n">
        <x:v>37359.85</x:v>
      </x:c>
      <x:c r="K693" s="17" t="str"/>
      <x:c r="L693" s="17" t="str">
        <x:v>已完成：查询今天涨幅最高的板块前20名，当前条件下没有匹配记录。</x:v>
      </x:c>
      <x:c r="M693" s="17" t="str"/>
      <x:c r="N693" s="18" t="n">
        <x:v>2853.35</x:v>
      </x:c>
      <x:c r="O693" s="17" t="str">
        <x:v>public_sse_client_estimate</x:v>
      </x:c>
    </x:row>
    <x:row r="694" ht="48" customHeight="1">
      <x:c r="A694" s="17" t="str">
        <x:v>BUS134</x:v>
      </x:c>
      <x:c r="B694" s="17" t="str">
        <x:v>今天涨幅最高的板块前20名。</x:v>
      </x:c>
      <x:c r="C694" s="17" t="n">
        <x:v>4</x:v>
      </x:c>
      <x:c r="D694" s="17" t="str">
        <x:v>数据查询 1/1</x:v>
      </x:c>
      <x:c r="E694" s="17" t="str">
        <x:v>16273.23</x:v>
      </x:c>
      <x:c r="F694" s="17" t="str">
        <x:v>16773.3</x:v>
      </x:c>
      <x:c r="G694" s="18" t="n">
        <x:v>500.07</x:v>
      </x:c>
      <x:c r="H694" s="18" t="n">
        <x:f>IFERROR(G694/1000,"")</x:f>
        <x:v>0.50007</x:v>
      </x:c>
      <x:c r="I694" s="19" t="n">
        <x:f>IFERROR(G694/J694,"")</x:f>
        <x:v>0.013385225047745107</x:v>
      </x:c>
      <x:c r="J694" s="17" t="n">
        <x:v>37359.85</x:v>
      </x:c>
      <x:c r="K694" s="17" t="str"/>
      <x:c r="L694" s="17" t="str">
        <x:v>已完成：查看板块行情数据是否有记录，确认数据范围，取得 5 条记录。</x:v>
      </x:c>
      <x:c r="M694" s="17" t="str"/>
      <x:c r="N694" s="18" t="n">
        <x:v>3696.36</x:v>
      </x:c>
      <x:c r="O694" s="17" t="str">
        <x:v>public_sse_client_estimate</x:v>
      </x:c>
    </x:row>
    <x:row r="695" ht="48" customHeight="1">
      <x:c r="A695" s="17" t="str">
        <x:v>BUS134</x:v>
      </x:c>
      <x:c r="B695" s="17" t="str">
        <x:v>今天涨幅最高的板块前20名。</x:v>
      </x:c>
      <x:c r="C695" s="17" t="n">
        <x:v>5</x:v>
      </x:c>
      <x:c r="D695" s="17" t="str">
        <x:v>数据查询 1/1</x:v>
      </x:c>
      <x:c r="E695" s="17" t="str">
        <x:v>19338.73</x:v>
      </x:c>
      <x:c r="F695" s="17" t="str">
        <x:v>19904.24</x:v>
      </x:c>
      <x:c r="G695" s="18" t="n">
        <x:v>565.51</x:v>
      </x:c>
      <x:c r="H695" s="18" t="n">
        <x:f>IFERROR(G695/1000,"")</x:f>
        <x:v>0.56551</x:v>
      </x:c>
      <x:c r="I695" s="19" t="n">
        <x:f>IFERROR(G695/J695,"")</x:f>
        <x:v>0.015136838076170006</x:v>
      </x:c>
      <x:c r="J695" s="17" t="n">
        <x:v>37359.85</x:v>
      </x:c>
      <x:c r="K695" s="17" t="str"/>
      <x:c r="L695" s="17" t="str">
        <x:v>已完成：查询板块行情数据最新的交易日，取得 3 条记录。</x:v>
      </x:c>
      <x:c r="M695" s="17" t="str"/>
      <x:c r="N695" s="18" t="n">
        <x:v>2565.43</x:v>
      </x:c>
      <x:c r="O695" s="17" t="str">
        <x:v>public_sse_client_estimate</x:v>
      </x:c>
    </x:row>
    <x:row r="696" ht="48" customHeight="1">
      <x:c r="A696" s="17" t="str">
        <x:v>BUS134</x:v>
      </x:c>
      <x:c r="B696" s="17" t="str">
        <x:v>今天涨幅最高的板块前20名。</x:v>
      </x:c>
      <x:c r="C696" s="17" t="n">
        <x:v>6</x:v>
      </x:c>
      <x:c r="D696" s="17" t="str">
        <x:v>数据查询 1/1</x:v>
      </x:c>
      <x:c r="E696" s="17" t="str">
        <x:v>22359.53</x:v>
      </x:c>
      <x:c r="F696" s="17" t="str">
        <x:v>23383.83</x:v>
      </x:c>
      <x:c r="G696" s="18" t="n">
        <x:v>1024.3</x:v>
      </x:c>
      <x:c r="H696" s="18" t="n">
        <x:f>IFERROR(G696/1000,"")</x:f>
        <x:v>1.0243</x:v>
      </x:c>
      <x:c r="I696" s="19" t="n">
        <x:f>IFERROR(G696/J696,"")</x:f>
        <x:v>0.02741713363410185</x:v>
      </x:c>
      <x:c r="J696" s="17" t="n">
        <x:v>37359.85</x:v>
      </x:c>
      <x:c r="K696" s="17" t="str"/>
      <x:c r="L696" s="17" t="str">
        <x:v>已完成：查询最新交易日（2026-07-27）涨幅最高的板块前20名，取得 20 条记录。</x:v>
      </x:c>
      <x:c r="M696" s="17" t="str"/>
      <x:c r="N696" s="18" t="n">
        <x:v>2455.29</x:v>
      </x:c>
      <x:c r="O696" s="17" t="str">
        <x:v>public_sse_client_estimate</x:v>
      </x:c>
    </x:row>
    <x:row r="697" ht="48" customHeight="1">
      <x:c r="A697" s="17" t="str">
        <x:v>BUS134</x:v>
      </x:c>
      <x:c r="B697" s="17" t="str">
        <x:v>今天涨幅最高的板块前20名。</x:v>
      </x:c>
      <x:c r="C697" s="17" t="n">
        <x:v>7</x:v>
      </x:c>
      <x:c r="D697" s="17" t="str">
        <x:v>回答整理</x:v>
      </x:c>
      <x:c r="E697" s="17" t="str">
        <x:v>23383.83</x:v>
      </x:c>
      <x:c r="F697" s="17" t="str">
        <x:v>33869.85</x:v>
      </x:c>
      <x:c r="G697" s="18" t="n">
        <x:v>10486.02</x:v>
      </x:c>
      <x:c r="H697" s="18" t="n">
        <x:f>IFERROR(G697/1000,"")</x:f>
        <x:v>10.48602</x:v>
      </x:c>
      <x:c r="I697" s="19" t="n">
        <x:f>IFERROR(G697/J697,"")</x:f>
        <x:v>0.28067618044505</x:v>
      </x:c>
      <x:c r="J697" s="17" t="n">
        <x:v>37359.85</x:v>
      </x:c>
      <x:c r="K697" s="17" t="str"/>
      <x:c r="L697" s="17" t="str">
        <x:v>证据与回答已整理完成。</x:v>
      </x:c>
      <x:c r="M697" s="17" t="str"/>
      <x:c r="N697" s="18" t="n">
        <x:v>0</x:v>
      </x:c>
      <x:c r="O697" s="17" t="str">
        <x:v>public_sse_client_estimate</x:v>
      </x:c>
    </x:row>
    <x:row r="698" ht="48" customHeight="1">
      <x:c r="A698" s="17" t="str">
        <x:v>BUS135</x:v>
      </x:c>
      <x:c r="B698" s="17" t="str">
        <x:v>筛选今天成交额超过100亿元且上涨的板块。</x:v>
      </x:c>
      <x:c r="C698" s="17" t="n">
        <x:v>1</x:v>
      </x:c>
      <x:c r="D698" s="17" t="str">
        <x:v>问题理解</x:v>
      </x:c>
      <x:c r="E698" s="17" t="str">
        <x:v>5575.7</x:v>
      </x:c>
      <x:c r="F698" s="17" t="str">
        <x:v>9481.03</x:v>
      </x:c>
      <x:c r="G698" s="18" t="n">
        <x:v>3905.33</x:v>
      </x:c>
      <x:c r="H698" s="18" t="n">
        <x:f>IFERROR(G698/1000,"")</x:f>
        <x:v>3.9053299999999997</x:v>
      </x:c>
      <x:c r="I698" s="19" t="n">
        <x:f>IFERROR(G698/J698,"")</x:f>
        <x:v>0.12777394070285106</x:v>
      </x:c>
      <x:c r="J698" s="17" t="n">
        <x:v>30564.37</x:v>
      </x:c>
      <x:c r="K698" s="17" t="str"/>
      <x:c r="L698" s="17" t="str">
        <x:v>已明确本题的对象与口径，开始获取所需证据。</x:v>
      </x:c>
      <x:c r="M698" s="17" t="str"/>
      <x:c r="N698" s="18" t="n">
        <x:v>5575.7</x:v>
      </x:c>
      <x:c r="O698" s="17" t="str">
        <x:v>public_sse_client_estimate</x:v>
      </x:c>
    </x:row>
    <x:row r="699" ht="48" customHeight="1">
      <x:c r="A699" s="17" t="str">
        <x:v>BUS135</x:v>
      </x:c>
      <x:c r="B699" s="17" t="str">
        <x:v>筛选今天成交额超过100亿元且上涨的板块。</x:v>
      </x:c>
      <x:c r="C699" s="17" t="n">
        <x:v>2</x:v>
      </x:c>
      <x:c r="D699" s="17" t="str">
        <x:v>数据口径</x:v>
      </x:c>
      <x:c r="E699" s="17" t="str">
        <x:v>9481.03</x:v>
      </x:c>
      <x:c r="F699" s="17" t="str">
        <x:v>9594.26</x:v>
      </x:c>
      <x:c r="G699" s="18" t="n">
        <x:v>113.23</x:v>
      </x:c>
      <x:c r="H699" s="18" t="n">
        <x:f>IFERROR(G699/1000,"")</x:f>
        <x:v>0.11323</x:v>
      </x:c>
      <x:c r="I699" s="19" t="n">
        <x:f>IFERROR(G699/J699,"")</x:f>
        <x:v>0.0037046404031884188</x:v>
      </x:c>
      <x:c r="J699" s="17" t="n">
        <x:v>30564.37</x:v>
      </x:c>
      <x:c r="K699" s="17" t="str"/>
      <x:c r="L699" s="17" t="str">
        <x:v>已定位板块行情视图，并确认了可用字段与时间口径。</x:v>
      </x:c>
      <x:c r="M699" s="17" t="str"/>
      <x:c r="N699" s="18" t="n">
        <x:v>0</x:v>
      </x:c>
      <x:c r="O699" s="17" t="str">
        <x:v>public_sse_client_estimate</x:v>
      </x:c>
    </x:row>
    <x:row r="700" ht="48" customHeight="1">
      <x:c r="A700" s="17" t="str">
        <x:v>BUS135</x:v>
      </x:c>
      <x:c r="B700" s="17" t="str">
        <x:v>筛选今天成交额超过100亿元且上涨的板块。</x:v>
      </x:c>
      <x:c r="C700" s="17" t="n">
        <x:v>3</x:v>
      </x:c>
      <x:c r="D700" s="17" t="str">
        <x:v>数据查询 1/1</x:v>
      </x:c>
      <x:c r="E700" s="17" t="str">
        <x:v>21674.49</x:v>
      </x:c>
      <x:c r="F700" s="17" t="str">
        <x:v>22683.56</x:v>
      </x:c>
      <x:c r="G700" s="18" t="n">
        <x:v>1009.07</x:v>
      </x:c>
      <x:c r="H700" s="18" t="n">
        <x:f>IFERROR(G700/1000,"")</x:f>
        <x:v>1.0090700000000001</x:v>
      </x:c>
      <x:c r="I700" s="19" t="n">
        <x:f>IFERROR(G700/J700,"")</x:f>
        <x:v>0.0330145852834526</x:v>
      </x:c>
      <x:c r="J700" s="17" t="n">
        <x:v>30564.37</x:v>
      </x:c>
      <x:c r="K700" s="17" t="str"/>
      <x:c r="L700" s="17" t="str">
        <x:v>已完成：查询最近交易日成交额超过100亿元且上涨的板块行情，当前条件下没有匹配记录。</x:v>
      </x:c>
      <x:c r="M700" s="17" t="str"/>
      <x:c r="N700" s="18" t="n">
        <x:v>12080.23</x:v>
      </x:c>
      <x:c r="O700" s="17" t="str">
        <x:v>public_sse_client_estimate</x:v>
      </x:c>
    </x:row>
    <x:row r="701" ht="48" customHeight="1">
      <x:c r="A701" s="17" t="str">
        <x:v>BUS135</x:v>
      </x:c>
      <x:c r="B701" s="17" t="str">
        <x:v>筛选今天成交额超过100亿元且上涨的板块。</x:v>
      </x:c>
      <x:c r="C701" s="17" t="n">
        <x:v>4</x:v>
      </x:c>
      <x:c r="D701" s="17" t="str">
        <x:v>回答整理</x:v>
      </x:c>
      <x:c r="E701" s="17" t="str">
        <x:v>22683.56</x:v>
      </x:c>
      <x:c r="F701" s="17" t="str">
        <x:v>27285.82</x:v>
      </x:c>
      <x:c r="G701" s="18" t="n">
        <x:v>4602.26</x:v>
      </x:c>
      <x:c r="H701" s="18" t="n">
        <x:f>IFERROR(G701/1000,"")</x:f>
        <x:v>4.60226</x:v>
      </x:c>
      <x:c r="I701" s="19" t="n">
        <x:f>IFERROR(G701/J701,"")</x:f>
        <x:v>0.15057598111788334</x:v>
      </x:c>
      <x:c r="J701" s="17" t="n">
        <x:v>30564.37</x:v>
      </x:c>
      <x:c r="K701" s="17" t="str"/>
      <x:c r="L701" s="17" t="str">
        <x:v>证据与回答已整理完成。</x:v>
      </x:c>
      <x:c r="M701" s="17" t="str"/>
      <x:c r="N701" s="18" t="n">
        <x:v>0</x:v>
      </x:c>
      <x:c r="O701" s="17" t="str">
        <x:v>public_sse_client_estimate</x:v>
      </x:c>
    </x:row>
    <x:row r="702" ht="48" customHeight="1">
      <x:c r="A702" s="17" t="str">
        <x:v>BUS136</x:v>
      </x:c>
      <x:c r="B702" s="17" t="str">
        <x:v>查询半导体板块最近10个交易日涨跌幅。</x:v>
      </x:c>
      <x:c r="C702" s="17" t="n">
        <x:v>1</x:v>
      </x:c>
      <x:c r="D702" s="17" t="str">
        <x:v>问题理解</x:v>
      </x:c>
      <x:c r="E702" s="17" t="str">
        <x:v>5431.7</x:v>
      </x:c>
      <x:c r="F702" s="17" t="str">
        <x:v>8671.68</x:v>
      </x:c>
      <x:c r="G702" s="18" t="n">
        <x:v>3239.98</x:v>
      </x:c>
      <x:c r="H702" s="18" t="n">
        <x:f>IFERROR(G702/1000,"")</x:f>
        <x:v>3.23998</x:v>
      </x:c>
      <x:c r="I702" s="19" t="n">
        <x:f>IFERROR(G702/J702,"")</x:f>
        <x:v>0.13549071569230536</x:v>
      </x:c>
      <x:c r="J702" s="17" t="n">
        <x:v>23912.93</x:v>
      </x:c>
      <x:c r="K702" s="17" t="str"/>
      <x:c r="L702" s="17" t="str">
        <x:v>已明确本题的对象与口径，开始获取所需证据。</x:v>
      </x:c>
      <x:c r="M702" s="17" t="str"/>
      <x:c r="N702" s="18" t="n">
        <x:v>5431.7</x:v>
      </x:c>
      <x:c r="O702" s="17" t="str">
        <x:v>public_sse_client_estimate</x:v>
      </x:c>
    </x:row>
    <x:row r="703" ht="48" customHeight="1">
      <x:c r="A703" s="17" t="str">
        <x:v>BUS136</x:v>
      </x:c>
      <x:c r="B703" s="17" t="str">
        <x:v>查询半导体板块最近10个交易日涨跌幅。</x:v>
      </x:c>
      <x:c r="C703" s="17" t="n">
        <x:v>2</x:v>
      </x:c>
      <x:c r="D703" s="17" t="str">
        <x:v>数据口径</x:v>
      </x:c>
      <x:c r="E703" s="17" t="str">
        <x:v>8671.68</x:v>
      </x:c>
      <x:c r="F703" s="17" t="str">
        <x:v>8697.83</x:v>
      </x:c>
      <x:c r="G703" s="18" t="n">
        <x:v>26.15</x:v>
      </x:c>
      <x:c r="H703" s="18" t="n">
        <x:f>IFERROR(G703/1000,"")</x:f>
        <x:v>0.02615</x:v>
      </x:c>
      <x:c r="I703" s="19" t="n">
        <x:f>IFERROR(G703/J703,"")</x:f>
        <x:v>0.0010935506439403284</x:v>
      </x:c>
      <x:c r="J703" s="17" t="n">
        <x:v>23912.93</x:v>
      </x:c>
      <x:c r="K703" s="17" t="str"/>
      <x:c r="L703" s="17" t="str">
        <x:v>已定位板块行情视图，并确认了可用字段与时间口径。</x:v>
      </x:c>
      <x:c r="M703" s="17" t="str"/>
      <x:c r="N703" s="18" t="n">
        <x:v>0</x:v>
      </x:c>
      <x:c r="O703" s="17" t="str">
        <x:v>public_sse_client_estimate</x:v>
      </x:c>
    </x:row>
    <x:row r="704" ht="48" customHeight="1">
      <x:c r="A704" s="17" t="str">
        <x:v>BUS136</x:v>
      </x:c>
      <x:c r="B704" s="17" t="str">
        <x:v>查询半导体板块最近10个交易日涨跌幅。</x:v>
      </x:c>
      <x:c r="C704" s="17" t="n">
        <x:v>3</x:v>
      </x:c>
      <x:c r="D704" s="17" t="str">
        <x:v>数据口径</x:v>
      </x:c>
      <x:c r="E704" s="17" t="str">
        <x:v>8697.83</x:v>
      </x:c>
      <x:c r="F704" s="17" t="str">
        <x:v>11934.26</x:v>
      </x:c>
      <x:c r="G704" s="18" t="n">
        <x:v>3236.43</x:v>
      </x:c>
      <x:c r="H704" s="18" t="n">
        <x:f>IFERROR(G704/1000,"")</x:f>
        <x:v>3.23643</x:v>
      </x:c>
      <x:c r="I704" s="19" t="n">
        <x:f>IFERROR(G704/J704,"")</x:f>
        <x:v>0.1353422604423632</x:v>
      </x:c>
      <x:c r="J704" s="17" t="n">
        <x:v>23912.93</x:v>
      </x:c>
      <x:c r="K704" s="17" t="str"/>
      <x:c r="L704" s="17" t="str">
        <x:v>已定位板块基础信息视图，并确认了可用字段与时间口径。</x:v>
      </x:c>
      <x:c r="M704" s="17" t="str"/>
      <x:c r="N704" s="18" t="n">
        <x:v>0</x:v>
      </x:c>
      <x:c r="O704" s="17" t="str">
        <x:v>public_sse_client_estimate</x:v>
      </x:c>
    </x:row>
    <x:row r="705" ht="48" customHeight="1">
      <x:c r="A705" s="17" t="str">
        <x:v>BUS136</x:v>
      </x:c>
      <x:c r="B705" s="17" t="str">
        <x:v>查询半导体板块最近10个交易日涨跌幅。</x:v>
      </x:c>
      <x:c r="C705" s="17" t="n">
        <x:v>4</x:v>
      </x:c>
      <x:c r="D705" s="17" t="str">
        <x:v>数据查询 1/1</x:v>
      </x:c>
      <x:c r="E705" s="17" t="str">
        <x:v>14762.24</x:v>
      </x:c>
      <x:c r="F705" s="17" t="str">
        <x:v>15317.76</x:v>
      </x:c>
      <x:c r="G705" s="18" t="n">
        <x:v>555.52</x:v>
      </x:c>
      <x:c r="H705" s="18" t="n">
        <x:f>IFERROR(G705/1000,"")</x:f>
        <x:v>0.55552</x:v>
      </x:c>
      <x:c r="I705" s="19" t="n">
        <x:f>IFERROR(G705/J705,"")</x:f>
        <x:v>0.023230946605037526</x:v>
      </x:c>
      <x:c r="J705" s="17" t="n">
        <x:v>23912.93</x:v>
      </x:c>
      <x:c r="K705" s="17" t="str"/>
      <x:c r="L705" s="17" t="str">
        <x:v>已完成：查询半导体板块的基础信息，获取板块代码，取得 7 条记录。</x:v>
      </x:c>
      <x:c r="M705" s="17" t="str"/>
      <x:c r="N705" s="18" t="n">
        <x:v>2827.98</x:v>
      </x:c>
      <x:c r="O705" s="17" t="str">
        <x:v>public_sse_client_estimate</x:v>
      </x:c>
    </x:row>
    <x:row r="706" ht="48" customHeight="1">
      <x:c r="A706" s="17" t="str">
        <x:v>BUS136</x:v>
      </x:c>
      <x:c r="B706" s="17" t="str">
        <x:v>查询半导体板块最近10个交易日涨跌幅。</x:v>
      </x:c>
      <x:c r="C706" s="17" t="n">
        <x:v>5</x:v>
      </x:c>
      <x:c r="D706" s="17" t="str">
        <x:v>数据查询 1/1</x:v>
      </x:c>
      <x:c r="E706" s="17" t="str">
        <x:v>19662.3</x:v>
      </x:c>
      <x:c r="F706" s="17" t="str">
        <x:v>20481.4</x:v>
      </x:c>
      <x:c r="G706" s="18" t="n">
        <x:v>819.1</x:v>
      </x:c>
      <x:c r="H706" s="18" t="n">
        <x:f>IFERROR(G706/1000,"")</x:f>
        <x:v>0.8191</x:v>
      </x:c>
      <x:c r="I706" s="19" t="n">
        <x:f>IFERROR(G706/J706,"")</x:f>
        <x:v>0.03425343527539285</x:v>
      </x:c>
      <x:c r="J706" s="17" t="n">
        <x:v>23912.93</x:v>
      </x:c>
      <x:c r="K706" s="17" t="str"/>
      <x:c r="L706" s="17" t="str">
        <x:v>已完成：查询半导体板块（883720）最近10个交易日的累计涨跌幅，取得 1 条记录。</x:v>
      </x:c>
      <x:c r="M706" s="17" t="str"/>
      <x:c r="N706" s="18" t="n">
        <x:v>4344.54</x:v>
      </x:c>
      <x:c r="O706" s="17" t="str">
        <x:v>public_sse_client_estimate</x:v>
      </x:c>
    </x:row>
    <x:row r="707" ht="48" customHeight="1">
      <x:c r="A707" s="17" t="str">
        <x:v>BUS136</x:v>
      </x:c>
      <x:c r="B707" s="17" t="str">
        <x:v>查询半导体板块最近10个交易日涨跌幅。</x:v>
      </x:c>
      <x:c r="C707" s="17" t="n">
        <x:v>6</x:v>
      </x:c>
      <x:c r="D707" s="17" t="str">
        <x:v>回答整理</x:v>
      </x:c>
      <x:c r="E707" s="17" t="str">
        <x:v>20481.4</x:v>
      </x:c>
      <x:c r="F707" s="17" t="str">
        <x:v>21783.66</x:v>
      </x:c>
      <x:c r="G707" s="18" t="n">
        <x:v>1302.26</x:v>
      </x:c>
      <x:c r="H707" s="18" t="n">
        <x:f>IFERROR(G707/1000,"")</x:f>
        <x:v>1.30226</x:v>
      </x:c>
      <x:c r="I707" s="19" t="n">
        <x:f>IFERROR(G707/J707,"")</x:f>
        <x:v>0.0544584038844257</x:v>
      </x:c>
      <x:c r="J707" s="17" t="n">
        <x:v>23912.93</x:v>
      </x:c>
      <x:c r="K707" s="17" t="str"/>
      <x:c r="L707" s="17" t="str">
        <x:v>证据与回答已整理完成。</x:v>
      </x:c>
      <x:c r="M707" s="17" t="str"/>
      <x:c r="N707" s="18" t="n">
        <x:v>0</x:v>
      </x:c>
      <x:c r="O707" s="17" t="str">
        <x:v>public_sse_client_estimate</x:v>
      </x:c>
    </x:row>
    <x:row r="708" ht="48" customHeight="1">
      <x:c r="A708" s="17" t="str">
        <x:v>BUS137</x:v>
      </x:c>
      <x:c r="B708" s="17" t="str">
        <x:v>过去20个交易日累计涨幅最高的板块前10名。</x:v>
      </x:c>
      <x:c r="C708" s="17" t="n">
        <x:v>1</x:v>
      </x:c>
      <x:c r="D708" s="17" t="str">
        <x:v>问题理解</x:v>
      </x:c>
      <x:c r="E708" s="17" t="str">
        <x:v>5496.09</x:v>
      </x:c>
      <x:c r="F708" s="17" t="str">
        <x:v>8641.47</x:v>
      </x:c>
      <x:c r="G708" s="18" t="n">
        <x:v>3145.38</x:v>
      </x:c>
      <x:c r="H708" s="18" t="n">
        <x:f>IFERROR(G708/1000,"")</x:f>
        <x:v>3.1453800000000003</x:v>
      </x:c>
      <x:c r="I708" s="19" t="n">
        <x:f>IFERROR(G708/J708,"")</x:f>
        <x:v>0.1305318915832249</x:v>
      </x:c>
      <x:c r="J708" s="17" t="n">
        <x:v>24096.64</x:v>
      </x:c>
      <x:c r="K708" s="17" t="str"/>
      <x:c r="L708" s="17" t="str">
        <x:v>已明确本题的对象与口径，开始获取所需证据。</x:v>
      </x:c>
      <x:c r="M708" s="17" t="str"/>
      <x:c r="N708" s="18" t="n">
        <x:v>5496.09</x:v>
      </x:c>
      <x:c r="O708" s="17" t="str">
        <x:v>public_sse_client_estimate</x:v>
      </x:c>
    </x:row>
    <x:row r="709" ht="48" customHeight="1">
      <x:c r="A709" s="17" t="str">
        <x:v>BUS137</x:v>
      </x:c>
      <x:c r="B709" s="17" t="str">
        <x:v>过去20个交易日累计涨幅最高的板块前10名。</x:v>
      </x:c>
      <x:c r="C709" s="17" t="n">
        <x:v>2</x:v>
      </x:c>
      <x:c r="D709" s="17" t="str">
        <x:v>数据口径</x:v>
      </x:c>
      <x:c r="E709" s="17" t="str">
        <x:v>8641.47</x:v>
      </x:c>
      <x:c r="F709" s="17" t="str">
        <x:v>8657.49</x:v>
      </x:c>
      <x:c r="G709" s="18" t="n">
        <x:v>16.02</x:v>
      </x:c>
      <x:c r="H709" s="18" t="n">
        <x:f>IFERROR(G709/1000,"")</x:f>
        <x:v>0.01602</x:v>
      </x:c>
      <x:c r="I709" s="19" t="n">
        <x:f>IFERROR(G709/J709,"")</x:f>
        <x:v>0.0006648229794693368</x:v>
      </x:c>
      <x:c r="J709" s="17" t="n">
        <x:v>24096.64</x:v>
      </x:c>
      <x:c r="K709" s="17" t="str"/>
      <x:c r="L709" s="17" t="str">
        <x:v>已定位板块行情视图，并确认了可用字段与时间口径。</x:v>
      </x:c>
      <x:c r="M709" s="17" t="str"/>
      <x:c r="N709" s="18" t="n">
        <x:v>0</x:v>
      </x:c>
      <x:c r="O709" s="17" t="str">
        <x:v>public_sse_client_estimate</x:v>
      </x:c>
    </x:row>
    <x:row r="710" ht="48" customHeight="1">
      <x:c r="A710" s="17" t="str">
        <x:v>BUS137</x:v>
      </x:c>
      <x:c r="B710" s="17" t="str">
        <x:v>过去20个交易日累计涨幅最高的板块前10名。</x:v>
      </x:c>
      <x:c r="C710" s="17" t="n">
        <x:v>3</x:v>
      </x:c>
      <x:c r="D710" s="17" t="str">
        <x:v>数据查询 1/1</x:v>
      </x:c>
      <x:c r="E710" s="17" t="str">
        <x:v>12100.12</x:v>
      </x:c>
      <x:c r="F710" s="17" t="str">
        <x:v>13025.66</x:v>
      </x:c>
      <x:c r="G710" s="18" t="n">
        <x:v>925.54</x:v>
      </x:c>
      <x:c r="H710" s="18" t="n">
        <x:f>IFERROR(G710/1000,"")</x:f>
        <x:v>0.9255399999999999</x:v>
      </x:c>
      <x:c r="I710" s="19" t="n">
        <x:f>IFERROR(G710/J710,"")</x:f>
        <x:v>0.03840950439563358</x:v>
      </x:c>
      <x:c r="J710" s="17" t="n">
        <x:v>24096.64</x:v>
      </x:c>
      <x:c r="K710" s="17" t="str"/>
      <x:c r="L710" s="17" t="str">
        <x:v>已完成：查询过去20个交易日累计涨幅最高的板块前10名，取得 10 条记录。</x:v>
      </x:c>
      <x:c r="M710" s="17" t="str"/>
      <x:c r="N710" s="18" t="n">
        <x:v>3442.63</x:v>
      </x:c>
      <x:c r="O710" s="17" t="str">
        <x:v>public_sse_client_estimate</x:v>
      </x:c>
    </x:row>
    <x:row r="711" ht="48" customHeight="1">
      <x:c r="A711" s="17" t="str">
        <x:v>BUS137</x:v>
      </x:c>
      <x:c r="B711" s="17" t="str">
        <x:v>过去20个交易日累计涨幅最高的板块前10名。</x:v>
      </x:c>
      <x:c r="C711" s="17" t="n">
        <x:v>4</x:v>
      </x:c>
      <x:c r="D711" s="17" t="str">
        <x:v>回答整理</x:v>
      </x:c>
      <x:c r="E711" s="17" t="str">
        <x:v>13025.66</x:v>
      </x:c>
      <x:c r="F711" s="17" t="str">
        <x:v>21191.71</x:v>
      </x:c>
      <x:c r="G711" s="18" t="n">
        <x:v>8166.05</x:v>
      </x:c>
      <x:c r="H711" s="18" t="n">
        <x:f>IFERROR(G711/1000,"")</x:f>
        <x:v>8.16605</x:v>
      </x:c>
      <x:c r="I711" s="19" t="n">
        <x:f>IFERROR(G711/J711,"")</x:f>
        <x:v>0.33888749634803855</x:v>
      </x:c>
      <x:c r="J711" s="17" t="n">
        <x:v>24096.64</x:v>
      </x:c>
      <x:c r="K711" s="17" t="str"/>
      <x:c r="L711" s="17" t="str">
        <x:v>证据与回答已整理完成。</x:v>
      </x:c>
      <x:c r="M711" s="17" t="str"/>
      <x:c r="N711" s="18" t="n">
        <x:v>0</x:v>
      </x:c>
      <x:c r="O711" s="17" t="str">
        <x:v>public_sse_client_estimate</x:v>
      </x:c>
    </x:row>
    <x:row r="712" ht="48" customHeight="1">
      <x:c r="A712" s="17" t="str">
        <x:v>BUS138</x:v>
      </x:c>
      <x:c r="B712" s="17" t="str">
        <x:v>查询证券板块当前开盘价、最高价、最低价和最新价。</x:v>
      </x:c>
      <x:c r="C712" s="17" t="n">
        <x:v>1</x:v>
      </x:c>
      <x:c r="D712" s="17" t="str">
        <x:v>问题理解</x:v>
      </x:c>
      <x:c r="E712" s="17" t="str">
        <x:v>5552.68</x:v>
      </x:c>
      <x:c r="F712" s="17" t="str">
        <x:v>7693.9</x:v>
      </x:c>
      <x:c r="G712" s="18" t="n">
        <x:v>2141.22</x:v>
      </x:c>
      <x:c r="H712" s="18" t="n">
        <x:f>IFERROR(G712/1000,"")</x:f>
        <x:v>2.1412199999999997</x:v>
      </x:c>
      <x:c r="I712" s="19" t="n">
        <x:f>IFERROR(G712/J712,"")</x:f>
        <x:v>0.09177311354052238</x:v>
      </x:c>
      <x:c r="J712" s="17" t="n">
        <x:v>23331.67</x:v>
      </x:c>
      <x:c r="K712" s="17" t="str"/>
      <x:c r="L712" s="17" t="str">
        <x:v>已明确本题的对象与口径，开始获取所需证据。</x:v>
      </x:c>
      <x:c r="M712" s="17" t="str"/>
      <x:c r="N712" s="18" t="n">
        <x:v>5552.68</x:v>
      </x:c>
      <x:c r="O712" s="17" t="str">
        <x:v>public_sse_client_estimate</x:v>
      </x:c>
    </x:row>
    <x:row r="713" ht="48" customHeight="1">
      <x:c r="A713" s="17" t="str">
        <x:v>BUS138</x:v>
      </x:c>
      <x:c r="B713" s="17" t="str">
        <x:v>查询证券板块当前开盘价、最高价、最低价和最新价。</x:v>
      </x:c>
      <x:c r="C713" s="17" t="n">
        <x:v>2</x:v>
      </x:c>
      <x:c r="D713" s="17" t="str">
        <x:v>数据口径</x:v>
      </x:c>
      <x:c r="E713" s="17" t="str">
        <x:v>7693.9</x:v>
      </x:c>
      <x:c r="F713" s="17" t="str">
        <x:v>7716.89</x:v>
      </x:c>
      <x:c r="G713" s="18" t="n">
        <x:v>22.99</x:v>
      </x:c>
      <x:c r="H713" s="18" t="n">
        <x:f>IFERROR(G713/1000,"")</x:f>
        <x:v>0.02299</x:v>
      </x:c>
      <x:c r="I713" s="19" t="n">
        <x:f>IFERROR(G713/J713,"")</x:f>
        <x:v>0.0009853559560888698</x:v>
      </x:c>
      <x:c r="J713" s="17" t="n">
        <x:v>23331.67</x:v>
      </x:c>
      <x:c r="K713" s="17" t="str"/>
      <x:c r="L713" s="17" t="str">
        <x:v>已定位板块行情视图，并确认了可用字段与时间口径。</x:v>
      </x:c>
      <x:c r="M713" s="17" t="str"/>
      <x:c r="N713" s="18" t="n">
        <x:v>0</x:v>
      </x:c>
      <x:c r="O713" s="17" t="str">
        <x:v>public_sse_client_estimate</x:v>
      </x:c>
    </x:row>
    <x:row r="714" ht="48" customHeight="1">
      <x:c r="A714" s="17" t="str">
        <x:v>BUS138</x:v>
      </x:c>
      <x:c r="B714" s="17" t="str">
        <x:v>查询证券板块当前开盘价、最高价、最低价和最新价。</x:v>
      </x:c>
      <x:c r="C714" s="17" t="n">
        <x:v>3</x:v>
      </x:c>
      <x:c r="D714" s="17" t="str">
        <x:v>数据口径</x:v>
      </x:c>
      <x:c r="E714" s="17" t="str">
        <x:v>7716.89</x:v>
      </x:c>
      <x:c r="F714" s="17" t="str">
        <x:v>11138.23</x:v>
      </x:c>
      <x:c r="G714" s="18" t="n">
        <x:v>3421.34</x:v>
      </x:c>
      <x:c r="H714" s="18" t="n">
        <x:f>IFERROR(G714/1000,"")</x:f>
        <x:v>3.4213400000000003</x:v>
      </x:c>
      <x:c r="I714" s="19" t="n">
        <x:f>IFERROR(G714/J714,"")</x:f>
        <x:v>0.14663931043084358</x:v>
      </x:c>
      <x:c r="J714" s="17" t="n">
        <x:v>23331.67</x:v>
      </x:c>
      <x:c r="K714" s="17" t="str"/>
      <x:c r="L714" s="17" t="str">
        <x:v>已定位板块基础信息视图，并确认了可用字段与时间口径。</x:v>
      </x:c>
      <x:c r="M714" s="17" t="str"/>
      <x:c r="N714" s="18" t="n">
        <x:v>0</x:v>
      </x:c>
      <x:c r="O714" s="17" t="str">
        <x:v>public_sse_client_estimate</x:v>
      </x:c>
    </x:row>
    <x:row r="715" ht="48" customHeight="1">
      <x:c r="A715" s="17" t="str">
        <x:v>BUS138</x:v>
      </x:c>
      <x:c r="B715" s="17" t="str">
        <x:v>查询证券板块当前开盘价、最高价、最低价和最新价。</x:v>
      </x:c>
      <x:c r="C715" s="17" t="n">
        <x:v>4</x:v>
      </x:c>
      <x:c r="D715" s="17" t="str">
        <x:v>数据查询 1/2</x:v>
      </x:c>
      <x:c r="E715" s="17" t="str">
        <x:v>15628.97</x:v>
      </x:c>
      <x:c r="F715" s="17" t="str">
        <x:v>16349.12</x:v>
      </x:c>
      <x:c r="G715" s="18" t="n">
        <x:v>720.15</x:v>
      </x:c>
      <x:c r="H715" s="18" t="n">
        <x:f>IFERROR(G715/1000,"")</x:f>
        <x:v>0.72015</x:v>
      </x:c>
      <x:c r="I715" s="19" t="n">
        <x:f>IFERROR(G715/J715,"")</x:f>
        <x:v>0.030865771717155266</x:v>
      </x:c>
      <x:c r="J715" s="17" t="n">
        <x:v>23331.67</x:v>
      </x:c>
      <x:c r="K715" s="17" t="str"/>
      <x:c r="L715" s="17" t="str">
        <x:v>已完成：查询证券板块的代码和名称，取得 1 条记录。</x:v>
      </x:c>
      <x:c r="M715" s="17" t="str"/>
      <x:c r="N715" s="18" t="n">
        <x:v>4490.74</x:v>
      </x:c>
      <x:c r="O715" s="17" t="str">
        <x:v>public_sse_client_estimate</x:v>
      </x:c>
    </x:row>
    <x:row r="716" ht="48" customHeight="1">
      <x:c r="A716" s="17" t="str">
        <x:v>BUS138</x:v>
      </x:c>
      <x:c r="B716" s="17" t="str">
        <x:v>查询证券板块当前开盘价、最高价、最低价和最新价。</x:v>
      </x:c>
      <x:c r="C716" s="17" t="n">
        <x:v>5</x:v>
      </x:c>
      <x:c r="D716" s="17" t="str">
        <x:v>数据查询 2/2</x:v>
      </x:c>
      <x:c r="E716" s="17" t="str">
        <x:v>16393.12</x:v>
      </x:c>
      <x:c r="F716" s="17" t="str">
        <x:v>16898.84</x:v>
      </x:c>
      <x:c r="G716" s="18" t="n">
        <x:v>505.72</x:v>
      </x:c>
      <x:c r="H716" s="18" t="n">
        <x:f>IFERROR(G716/1000,"")</x:f>
        <x:v>0.5057200000000001</x:v>
      </x:c>
      <x:c r="I716" s="19" t="n">
        <x:f>IFERROR(G716/J716,"")</x:f>
        <x:v>0.021675259422064518</x:v>
      </x:c>
      <x:c r="J716" s="17" t="n">
        <x:v>23331.67</x:v>
      </x:c>
      <x:c r="K716" s="17" t="str"/>
      <x:c r="L716" s="17" t="str">
        <x:v>已完成：查询证券板块的当前开盘价、最高价、最低价和最新价，取得 1 条记录。</x:v>
      </x:c>
      <x:c r="M716" s="17" t="str"/>
      <x:c r="N716" s="18" t="n">
        <x:v>44</x:v>
      </x:c>
      <x:c r="O716" s="17" t="str">
        <x:v>public_sse_client_estimate</x:v>
      </x:c>
    </x:row>
    <x:row r="717" ht="48" customHeight="1">
      <x:c r="A717" s="17" t="str">
        <x:v>BUS138</x:v>
      </x:c>
      <x:c r="B717" s="17" t="str">
        <x:v>查询证券板块当前开盘价、最高价、最低价和最新价。</x:v>
      </x:c>
      <x:c r="C717" s="17" t="n">
        <x:v>6</x:v>
      </x:c>
      <x:c r="D717" s="17" t="str">
        <x:v>回答整理</x:v>
      </x:c>
      <x:c r="E717" s="17" t="str">
        <x:v>16898.84</x:v>
      </x:c>
      <x:c r="F717" s="17" t="str">
        <x:v>20720.03</x:v>
      </x:c>
      <x:c r="G717" s="18" t="n">
        <x:v>3821.19</x:v>
      </x:c>
      <x:c r="H717" s="18" t="n">
        <x:f>IFERROR(G717/1000,"")</x:f>
        <x:v>3.82119</x:v>
      </x:c>
      <x:c r="I717" s="19" t="n">
        <x:f>IFERROR(G717/J717,"")</x:f>
        <x:v>0.16377696067191078</x:v>
      </x:c>
      <x:c r="J717" s="17" t="n">
        <x:v>23331.67</x:v>
      </x:c>
      <x:c r="K717" s="17" t="str"/>
      <x:c r="L717" s="17" t="str">
        <x:v>证据与回答已整理完成。</x:v>
      </x:c>
      <x:c r="M717" s="17" t="str"/>
      <x:c r="N717" s="18" t="n">
        <x:v>0</x:v>
      </x:c>
      <x:c r="O717" s="17" t="str">
        <x:v>public_sse_client_estimate</x:v>
      </x:c>
    </x:row>
    <x:row r="718" ht="48" customHeight="1">
      <x:c r="A718" s="17" t="str">
        <x:v>BUS139</x:v>
      </x:c>
      <x:c r="B718" s="17" t="str">
        <x:v>今天主力净流入最高的板块前20名。</x:v>
      </x:c>
      <x:c r="C718" s="17" t="n">
        <x:v>1</x:v>
      </x:c>
      <x:c r="D718" s="17" t="str">
        <x:v>问题理解</x:v>
      </x:c>
      <x:c r="E718" s="17" t="str">
        <x:v>7401.71</x:v>
      </x:c>
      <x:c r="F718" s="17" t="str">
        <x:v>11359.3</x:v>
      </x:c>
      <x:c r="G718" s="18" t="n">
        <x:v>3957.59</x:v>
      </x:c>
      <x:c r="H718" s="18" t="n">
        <x:f>IFERROR(G718/1000,"")</x:f>
        <x:v>3.95759</x:v>
      </x:c>
      <x:c r="I718" s="19" t="n">
        <x:f>IFERROR(G718/J718,"")</x:f>
        <x:v>0.1711448737059558</x:v>
      </x:c>
      <x:c r="J718" s="17" t="n">
        <x:v>23124.21</x:v>
      </x:c>
      <x:c r="K718" s="17" t="str"/>
      <x:c r="L718" s="17" t="str">
        <x:v>已明确本题的对象与口径，开始获取所需证据。</x:v>
      </x:c>
      <x:c r="M718" s="17" t="str"/>
      <x:c r="N718" s="18" t="n">
        <x:v>7401.71</x:v>
      </x:c>
      <x:c r="O718" s="17" t="str">
        <x:v>public_sse_client_estimate</x:v>
      </x:c>
    </x:row>
    <x:row r="719" ht="48" customHeight="1">
      <x:c r="A719" s="17" t="str">
        <x:v>BUS139</x:v>
      </x:c>
      <x:c r="B719" s="17" t="str">
        <x:v>今天主力净流入最高的板块前20名。</x:v>
      </x:c>
      <x:c r="C719" s="17" t="n">
        <x:v>2</x:v>
      </x:c>
      <x:c r="D719" s="17" t="str">
        <x:v>数据口径</x:v>
      </x:c>
      <x:c r="E719" s="17" t="str">
        <x:v>11359.3</x:v>
      </x:c>
      <x:c r="F719" s="17" t="str">
        <x:v>11620.56</x:v>
      </x:c>
      <x:c r="G719" s="18" t="n">
        <x:v>261.26</x:v>
      </x:c>
      <x:c r="H719" s="18" t="n">
        <x:f>IFERROR(G719/1000,"")</x:f>
        <x:v>0.26126</x:v>
      </x:c>
      <x:c r="I719" s="19" t="n">
        <x:f>IFERROR(G719/J719,"")</x:f>
        <x:v>0.011298115697790325</x:v>
      </x:c>
      <x:c r="J719" s="17" t="n">
        <x:v>23124.21</x:v>
      </x:c>
      <x:c r="K719" s="17" t="str"/>
      <x:c r="L719" s="17" t="str">
        <x:v>已定位板块资金流视图，并确认了可用字段与时间口径。</x:v>
      </x:c>
      <x:c r="M719" s="17" t="str"/>
      <x:c r="N719" s="18" t="n">
        <x:v>0</x:v>
      </x:c>
      <x:c r="O719" s="17" t="str">
        <x:v>public_sse_client_estimate</x:v>
      </x:c>
    </x:row>
    <x:row r="720" ht="48" customHeight="1">
      <x:c r="A720" s="17" t="str">
        <x:v>BUS139</x:v>
      </x:c>
      <x:c r="B720" s="17" t="str">
        <x:v>今天主力净流入最高的板块前20名。</x:v>
      </x:c>
      <x:c r="C720" s="17" t="n">
        <x:v>3</x:v>
      </x:c>
      <x:c r="D720" s="17" t="str">
        <x:v>数据查询 1/1</x:v>
      </x:c>
      <x:c r="E720" s="17" t="str">
        <x:v>16300.14</x:v>
      </x:c>
      <x:c r="F720" s="17" t="str">
        <x:v>17257.53</x:v>
      </x:c>
      <x:c r="G720" s="18" t="n">
        <x:v>957.39</x:v>
      </x:c>
      <x:c r="H720" s="18" t="n">
        <x:f>IFERROR(G720/1000,"")</x:f>
        <x:v>0.95739</x:v>
      </x:c>
      <x:c r="I720" s="19" t="n">
        <x:f>IFERROR(G720/J720,"")</x:f>
        <x:v>0.04140206303263982</x:v>
      </x:c>
      <x:c r="J720" s="17" t="n">
        <x:v>23124.21</x:v>
      </x:c>
      <x:c r="K720" s="17" t="str"/>
      <x:c r="L720" s="17" t="str">
        <x:v>已完成：获取所有板块最近交易日的主力净流入，按主力净流入降序取前20名，当前条件下没有匹配记录。</x:v>
      </x:c>
      <x:c r="M720" s="17" t="str"/>
      <x:c r="N720" s="18" t="n">
        <x:v>4679.58</x:v>
      </x:c>
      <x:c r="O720" s="17" t="str">
        <x:v>public_sse_client_estimate</x:v>
      </x:c>
    </x:row>
    <x:row r="721" ht="48" customHeight="1">
      <x:c r="A721" s="17" t="str">
        <x:v>BUS139</x:v>
      </x:c>
      <x:c r="B721" s="17" t="str">
        <x:v>今天主力净流入最高的板块前20名。</x:v>
      </x:c>
      <x:c r="C721" s="17" t="n">
        <x:v>4</x:v>
      </x:c>
      <x:c r="D721" s="17" t="str">
        <x:v>回答整理</x:v>
      </x:c>
      <x:c r="E721" s="17" t="str">
        <x:v>17257.53</x:v>
      </x:c>
      <x:c r="F721" s="17" t="str">
        <x:v>20772.04</x:v>
      </x:c>
      <x:c r="G721" s="18" t="n">
        <x:v>3514.51</x:v>
      </x:c>
      <x:c r="H721" s="18" t="n">
        <x:f>IFERROR(G721/1000,"")</x:f>
        <x:v>3.51451</x:v>
      </x:c>
      <x:c r="I721" s="19" t="n">
        <x:f>IFERROR(G721/J721,"")</x:f>
        <x:v>0.1519840029129644</x:v>
      </x:c>
      <x:c r="J721" s="17" t="n">
        <x:v>23124.21</x:v>
      </x:c>
      <x:c r="K721" s="17" t="str"/>
      <x:c r="L721" s="17" t="str">
        <x:v>证据与回答已整理完成。</x:v>
      </x:c>
      <x:c r="M721" s="17" t="str"/>
      <x:c r="N721" s="18" t="n">
        <x:v>0</x:v>
      </x:c>
      <x:c r="O721" s="17" t="str">
        <x:v>public_sse_client_estimate</x:v>
      </x:c>
    </x:row>
    <x:row r="722" ht="48" customHeight="1">
      <x:c r="A722" s="17" t="str">
        <x:v>BUS140</x:v>
      </x:c>
      <x:c r="B722" s="17" t="str">
        <x:v>查询人工智能板块最新主力净额和主力净占比。</x:v>
      </x:c>
      <x:c r="C722" s="17" t="n">
        <x:v>1</x:v>
      </x:c>
      <x:c r="D722" s="17" t="str">
        <x:v>问题理解</x:v>
      </x:c>
      <x:c r="E722" s="17" t="str">
        <x:v>5528.13</x:v>
      </x:c>
      <x:c r="F722" s="17" t="str">
        <x:v>8183.91</x:v>
      </x:c>
      <x:c r="G722" s="18" t="n">
        <x:v>2655.78</x:v>
      </x:c>
      <x:c r="H722" s="18" t="n">
        <x:f>IFERROR(G722/1000,"")</x:f>
        <x:v>2.65578</x:v>
      </x:c>
      <x:c r="I722" s="19" t="n">
        <x:f>IFERROR(G722/J722,"")</x:f>
        <x:v>0.08989476769789066</x:v>
      </x:c>
      <x:c r="J722" s="17" t="n">
        <x:v>29543.21</x:v>
      </x:c>
      <x:c r="K722" s="17" t="str"/>
      <x:c r="L722" s="17" t="str">
        <x:v>已明确本题的对象与口径，开始获取所需证据。</x:v>
      </x:c>
      <x:c r="M722" s="17" t="str"/>
      <x:c r="N722" s="18" t="n">
        <x:v>5528.13</x:v>
      </x:c>
      <x:c r="O722" s="17" t="str">
        <x:v>public_sse_client_estimate</x:v>
      </x:c>
    </x:row>
    <x:row r="723" ht="48" customHeight="1">
      <x:c r="A723" s="17" t="str">
        <x:v>BUS140</x:v>
      </x:c>
      <x:c r="B723" s="17" t="str">
        <x:v>查询人工智能板块最新主力净额和主力净占比。</x:v>
      </x:c>
      <x:c r="C723" s="17" t="n">
        <x:v>2</x:v>
      </x:c>
      <x:c r="D723" s="17" t="str">
        <x:v>数据口径</x:v>
      </x:c>
      <x:c r="E723" s="17" t="str">
        <x:v>8183.91</x:v>
      </x:c>
      <x:c r="F723" s="17" t="str">
        <x:v>8232.13</x:v>
      </x:c>
      <x:c r="G723" s="18" t="n">
        <x:v>48.22</x:v>
      </x:c>
      <x:c r="H723" s="18" t="n">
        <x:f>IFERROR(G723/1000,"")</x:f>
        <x:v>0.04822</x:v>
      </x:c>
      <x:c r="I723" s="19" t="n">
        <x:f>IFERROR(G723/J723,"")</x:f>
        <x:v>0.001632185534341055</x:v>
      </x:c>
      <x:c r="J723" s="17" t="n">
        <x:v>29543.21</x:v>
      </x:c>
      <x:c r="K723" s="17" t="str"/>
      <x:c r="L723" s="17" t="str">
        <x:v>已定位板块资金流视图，并确认了可用字段与时间口径。</x:v>
      </x:c>
      <x:c r="M723" s="17" t="str"/>
      <x:c r="N723" s="18" t="n">
        <x:v>0</x:v>
      </x:c>
      <x:c r="O723" s="17" t="str">
        <x:v>public_sse_client_estimate</x:v>
      </x:c>
    </x:row>
    <x:row r="724" ht="48" customHeight="1">
      <x:c r="A724" s="17" t="str">
        <x:v>BUS140</x:v>
      </x:c>
      <x:c r="B724" s="17" t="str">
        <x:v>查询人工智能板块最新主力净额和主力净占比。</x:v>
      </x:c>
      <x:c r="C724" s="17" t="n">
        <x:v>3</x:v>
      </x:c>
      <x:c r="D724" s="17" t="str">
        <x:v>数据口径</x:v>
      </x:c>
      <x:c r="E724" s="17" t="str">
        <x:v>8232.13</x:v>
      </x:c>
      <x:c r="F724" s="17" t="str">
        <x:v>11274.59</x:v>
      </x:c>
      <x:c r="G724" s="18" t="n">
        <x:v>3042.46</x:v>
      </x:c>
      <x:c r="H724" s="18" t="n">
        <x:f>IFERROR(G724/1000,"")</x:f>
        <x:v>3.04246</x:v>
      </x:c>
      <x:c r="I724" s="19" t="n">
        <x:f>IFERROR(G724/J724,"")</x:f>
        <x:v>0.10298339279990225</x:v>
      </x:c>
      <x:c r="J724" s="17" t="n">
        <x:v>29543.21</x:v>
      </x:c>
      <x:c r="K724" s="17" t="str"/>
      <x:c r="L724" s="17" t="str">
        <x:v>已定位板块基础信息视图，并确认了可用字段与时间口径。</x:v>
      </x:c>
      <x:c r="M724" s="17" t="str"/>
      <x:c r="N724" s="18" t="n">
        <x:v>0</x:v>
      </x:c>
      <x:c r="O724" s="17" t="str">
        <x:v>public_sse_client_estimate</x:v>
      </x:c>
    </x:row>
    <x:row r="725" ht="48" customHeight="1">
      <x:c r="A725" s="17" t="str">
        <x:v>BUS140</x:v>
      </x:c>
      <x:c r="B725" s="17" t="str">
        <x:v>查询人工智能板块最新主力净额和主力净占比。</x:v>
      </x:c>
      <x:c r="C725" s="17" t="n">
        <x:v>4</x:v>
      </x:c>
      <x:c r="D725" s="17" t="str">
        <x:v>数据查询 1/2</x:v>
      </x:c>
      <x:c r="E725" s="17" t="str">
        <x:v>14095.84</x:v>
      </x:c>
      <x:c r="F725" s="17" t="str">
        <x:v>14732.7</x:v>
      </x:c>
      <x:c r="G725" s="18" t="n">
        <x:v>636.86</x:v>
      </x:c>
      <x:c r="H725" s="18" t="n">
        <x:f>IFERROR(G725/1000,"")</x:f>
        <x:v>0.63686</x:v>
      </x:c>
      <x:c r="I725" s="19" t="n">
        <x:f>IFERROR(G725/J725,"")</x:f>
        <x:v>0.021556899199511495</x:v>
      </x:c>
      <x:c r="J725" s="17" t="n">
        <x:v>29543.21</x:v>
      </x:c>
      <x:c r="K725" s="17" t="str"/>
      <x:c r="L725" s="17" t="str">
        <x:v>已完成：查询人工智能板块的代码，取得 1 条记录。</x:v>
      </x:c>
      <x:c r="M725" s="17" t="str"/>
      <x:c r="N725" s="18" t="n">
        <x:v>2821.25</x:v>
      </x:c>
      <x:c r="O725" s="17" t="str">
        <x:v>public_sse_client_estimate</x:v>
      </x:c>
    </x:row>
    <x:row r="726" ht="48" customHeight="1">
      <x:c r="A726" s="17" t="str">
        <x:v>BUS140</x:v>
      </x:c>
      <x:c r="B726" s="17" t="str">
        <x:v>查询人工智能板块最新主力净额和主力净占比。</x:v>
      </x:c>
      <x:c r="C726" s="17" t="n">
        <x:v>5</x:v>
      </x:c>
      <x:c r="D726" s="17" t="str">
        <x:v>数据查询 2/2</x:v>
      </x:c>
      <x:c r="E726" s="17" t="str">
        <x:v>14758.76</x:v>
      </x:c>
      <x:c r="F726" s="17" t="str">
        <x:v>15723.31</x:v>
      </x:c>
      <x:c r="G726" s="18" t="n">
        <x:v>964.55</x:v>
      </x:c>
      <x:c r="H726" s="18" t="n">
        <x:f>IFERROR(G726/1000,"")</x:f>
        <x:v>0.9645499999999999</x:v>
      </x:c>
      <x:c r="I726" s="19" t="n">
        <x:f>IFERROR(G726/J726,"")</x:f>
        <x:v>0.03264878799561727</x:v>
      </x:c>
      <x:c r="J726" s="17" t="n">
        <x:v>29543.21</x:v>
      </x:c>
      <x:c r="K726" s="17" t="str"/>
      <x:c r="L726" s="17" t="str">
        <x:v>已完成：查询人工智能板块最新交易日的主力净流入和主力净流入占比，当前条件下没有匹配记录。</x:v>
      </x:c>
      <x:c r="M726" s="17" t="str"/>
      <x:c r="N726" s="18" t="n">
        <x:v>26.06</x:v>
      </x:c>
      <x:c r="O726" s="17" t="str">
        <x:v>public_sse_client_estimate</x:v>
      </x:c>
    </x:row>
    <x:row r="727" ht="48" customHeight="1">
      <x:c r="A727" s="17" t="str">
        <x:v>BUS140</x:v>
      </x:c>
      <x:c r="B727" s="17" t="str">
        <x:v>查询人工智能板块最新主力净额和主力净占比。</x:v>
      </x:c>
      <x:c r="C727" s="17" t="n">
        <x:v>6</x:v>
      </x:c>
      <x:c r="D727" s="17" t="str">
        <x:v>数据查询 1/2</x:v>
      </x:c>
      <x:c r="E727" s="17" t="str">
        <x:v>19989.87</x:v>
      </x:c>
      <x:c r="F727" s="17" t="str">
        <x:v>20616.28</x:v>
      </x:c>
      <x:c r="G727" s="18" t="n">
        <x:v>626.41</x:v>
      </x:c>
      <x:c r="H727" s="18" t="n">
        <x:f>IFERROR(G727/1000,"")</x:f>
        <x:v>0.62641</x:v>
      </x:c>
      <x:c r="I727" s="19" t="n">
        <x:f>IFERROR(G727/J727,"")</x:f>
        <x:v>0.021203180020045214</x:v>
      </x:c>
      <x:c r="J727" s="17" t="n">
        <x:v>29543.21</x:v>
      </x:c>
      <x:c r="K727" s="17" t="str"/>
      <x:c r="L727" s="17" t="str">
        <x:v>已完成：查询人工智能板块实时主力资金数据，取得 1 条记录。</x:v>
      </x:c>
      <x:c r="M727" s="17" t="str"/>
      <x:c r="N727" s="18" t="n">
        <x:v>4266.56</x:v>
      </x:c>
      <x:c r="O727" s="17" t="str">
        <x:v>public_sse_client_estimate</x:v>
      </x:c>
    </x:row>
    <x:row r="728" ht="48" customHeight="1">
      <x:c r="A728" s="17" t="str">
        <x:v>BUS140</x:v>
      </x:c>
      <x:c r="B728" s="17" t="str">
        <x:v>查询人工智能板块最新主力净额和主力净占比。</x:v>
      </x:c>
      <x:c r="C728" s="17" t="n">
        <x:v>7</x:v>
      </x:c>
      <x:c r="D728" s="17" t="str">
        <x:v>数据查询 2/2</x:v>
      </x:c>
      <x:c r="E728" s="17" t="str">
        <x:v>20620.62</x:v>
      </x:c>
      <x:c r="F728" s="17" t="str">
        <x:v>21079.2</x:v>
      </x:c>
      <x:c r="G728" s="18" t="n">
        <x:v>458.58</x:v>
      </x:c>
      <x:c r="H728" s="18" t="n">
        <x:f>IFERROR(G728/1000,"")</x:f>
        <x:v>0.45858</x:v>
      </x:c>
      <x:c r="I728" s="19" t="n">
        <x:f>IFERROR(G728/J728,"")</x:f>
        <x:v>0.015522348451640834</x:v>
      </x:c>
      <x:c r="J728" s="17" t="n">
        <x:v>29543.21</x:v>
      </x:c>
      <x:c r="K728" s="17" t="str"/>
      <x:c r="L728" s="17" t="str">
        <x:v>已完成：查询人工智能板块近5日主力净额合计，取得 1 条记录。</x:v>
      </x:c>
      <x:c r="M728" s="17" t="str"/>
      <x:c r="N728" s="18" t="n">
        <x:v>4.34</x:v>
      </x:c>
      <x:c r="O728" s="17" t="str">
        <x:v>public_sse_client_estimate</x:v>
      </x:c>
    </x:row>
    <x:row r="729" ht="48" customHeight="1">
      <x:c r="A729" s="17" t="str">
        <x:v>BUS140</x:v>
      </x:c>
      <x:c r="B729" s="17" t="str">
        <x:v>查询人工智能板块最新主力净额和主力净占比。</x:v>
      </x:c>
      <x:c r="C729" s="17" t="n">
        <x:v>8</x:v>
      </x:c>
      <x:c r="D729" s="17" t="str">
        <x:v>回答整理</x:v>
      </x:c>
      <x:c r="E729" s="17" t="str">
        <x:v>21079.2</x:v>
      </x:c>
      <x:c r="F729" s="17" t="str">
        <x:v>25265.82</x:v>
      </x:c>
      <x:c r="G729" s="18" t="n">
        <x:v>4186.62</x:v>
      </x:c>
      <x:c r="H729" s="18" t="n">
        <x:f>IFERROR(G729/1000,"")</x:f>
        <x:v>4.18662</x:v>
      </x:c>
      <x:c r="I729" s="19" t="n">
        <x:f>IFERROR(G729/J729,"")</x:f>
        <x:v>0.14171175034804953</x:v>
      </x:c>
      <x:c r="J729" s="17" t="n">
        <x:v>29543.21</x:v>
      </x:c>
      <x:c r="K729" s="17" t="str"/>
      <x:c r="L729" s="17" t="str">
        <x:v>证据与回答已整理完成。</x:v>
      </x:c>
      <x:c r="M729" s="17" t="str"/>
      <x:c r="N729" s="18" t="n">
        <x:v>0</x:v>
      </x:c>
      <x:c r="O729" s="17" t="str">
        <x:v>public_sse_client_estimate</x:v>
      </x:c>
    </x:row>
    <x:row r="730" ht="48" customHeight="1">
      <x:c r="A730" s="17" t="str">
        <x:v>BUS141</x:v>
      </x:c>
      <x:c r="B730" s="17" t="str">
        <x:v>近5日主力净流入合计最高的板块前10名。</x:v>
      </x:c>
      <x:c r="C730" s="17" t="n">
        <x:v>1</x:v>
      </x:c>
      <x:c r="D730" s="17" t="str">
        <x:v>问题理解</x:v>
      </x:c>
      <x:c r="E730" s="17" t="str">
        <x:v>5716.3</x:v>
      </x:c>
      <x:c r="F730" s="17" t="str">
        <x:v>9507.58</x:v>
      </x:c>
      <x:c r="G730" s="18" t="n">
        <x:v>3791.28</x:v>
      </x:c>
      <x:c r="H730" s="18" t="n">
        <x:f>IFERROR(G730/1000,"")</x:f>
        <x:v>3.79128</x:v>
      </x:c>
      <x:c r="I730" s="19" t="n">
        <x:f>IFERROR(G730/J730,"")</x:f>
        <x:v>0.1516920961891326</x:v>
      </x:c>
      <x:c r="J730" s="17" t="n">
        <x:v>24993.26</x:v>
      </x:c>
      <x:c r="K730" s="17" t="str"/>
      <x:c r="L730" s="17" t="str">
        <x:v>已明确本题的对象与口径，开始获取所需证据。</x:v>
      </x:c>
      <x:c r="M730" s="17" t="str"/>
      <x:c r="N730" s="18" t="n">
        <x:v>5716.3</x:v>
      </x:c>
      <x:c r="O730" s="17" t="str">
        <x:v>public_sse_client_estimate</x:v>
      </x:c>
    </x:row>
    <x:row r="731" ht="48" customHeight="1">
      <x:c r="A731" s="17" t="str">
        <x:v>BUS141</x:v>
      </x:c>
      <x:c r="B731" s="17" t="str">
        <x:v>近5日主力净流入合计最高的板块前10名。</x:v>
      </x:c>
      <x:c r="C731" s="17" t="n">
        <x:v>2</x:v>
      </x:c>
      <x:c r="D731" s="17" t="str">
        <x:v>数据口径</x:v>
      </x:c>
      <x:c r="E731" s="17" t="str">
        <x:v>9507.58</x:v>
      </x:c>
      <x:c r="F731" s="17" t="str">
        <x:v>9534.42</x:v>
      </x:c>
      <x:c r="G731" s="18" t="n">
        <x:v>26.84</x:v>
      </x:c>
      <x:c r="H731" s="18" t="n">
        <x:f>IFERROR(G731/1000,"")</x:f>
        <x:v>0.02684</x:v>
      </x:c>
      <x:c r="I731" s="19" t="n">
        <x:f>IFERROR(G731/J731,"")</x:f>
        <x:v>0.0010738895206147579</x:v>
      </x:c>
      <x:c r="J731" s="17" t="n">
        <x:v>24993.26</x:v>
      </x:c>
      <x:c r="K731" s="17" t="str"/>
      <x:c r="L731" s="17" t="str">
        <x:v>已定位板块资金流视图，并确认了可用字段与时间口径。</x:v>
      </x:c>
      <x:c r="M731" s="17" t="str"/>
      <x:c r="N731" s="18" t="n">
        <x:v>0</x:v>
      </x:c>
      <x:c r="O731" s="17" t="str">
        <x:v>public_sse_client_estimate</x:v>
      </x:c>
    </x:row>
    <x:row r="732" ht="48" customHeight="1">
      <x:c r="A732" s="17" t="str">
        <x:v>BUS141</x:v>
      </x:c>
      <x:c r="B732" s="17" t="str">
        <x:v>近5日主力净流入合计最高的板块前10名。</x:v>
      </x:c>
      <x:c r="C732" s="17" t="n">
        <x:v>3</x:v>
      </x:c>
      <x:c r="D732" s="17" t="str">
        <x:v>数据查询 1/1</x:v>
      </x:c>
      <x:c r="E732" s="17" t="str">
        <x:v>14022.85</x:v>
      </x:c>
      <x:c r="F732" s="17" t="str">
        <x:v>14719.51</x:v>
      </x:c>
      <x:c r="G732" s="18" t="n">
        <x:v>696.66</x:v>
      </x:c>
      <x:c r="H732" s="18" t="n">
        <x:f>IFERROR(G732/1000,"")</x:f>
        <x:v>0.69666</x:v>
      </x:c>
      <x:c r="I732" s="19" t="n">
        <x:f>IFERROR(G732/J732,"")</x:f>
        <x:v>0.027873914807432083</x:v>
      </x:c>
      <x:c r="J732" s="17" t="n">
        <x:v>24993.26</x:v>
      </x:c>
      <x:c r="K732" s="17" t="str"/>
      <x:c r="L732" s="17" t="str">
        <x:v>已完成：查询近5日主力净流入合计最高的板块前10名，取得 10 条记录。</x:v>
      </x:c>
      <x:c r="M732" s="17" t="str"/>
      <x:c r="N732" s="18" t="n">
        <x:v>4488.43</x:v>
      </x:c>
      <x:c r="O732" s="17" t="str">
        <x:v>public_sse_client_estimate</x:v>
      </x:c>
    </x:row>
    <x:row r="733" ht="48" customHeight="1">
      <x:c r="A733" s="17" t="str">
        <x:v>BUS141</x:v>
      </x:c>
      <x:c r="B733" s="17" t="str">
        <x:v>近5日主力净流入合计最高的板块前10名。</x:v>
      </x:c>
      <x:c r="C733" s="17" t="n">
        <x:v>4</x:v>
      </x:c>
      <x:c r="D733" s="17" t="str">
        <x:v>回答整理</x:v>
      </x:c>
      <x:c r="E733" s="17" t="str">
        <x:v>14719.51</x:v>
      </x:c>
      <x:c r="F733" s="17" t="str">
        <x:v>22546.49</x:v>
      </x:c>
      <x:c r="G733" s="18" t="n">
        <x:v>7826.98</x:v>
      </x:c>
      <x:c r="H733" s="18" t="n">
        <x:f>IFERROR(G733/1000,"")</x:f>
        <x:v>7.82698</x:v>
      </x:c>
      <x:c r="I733" s="19" t="n">
        <x:f>IFERROR(G733/J733,"")</x:f>
        <x:v>0.3131636289143553</x:v>
      </x:c>
      <x:c r="J733" s="17" t="n">
        <x:v>24993.26</x:v>
      </x:c>
      <x:c r="K733" s="17" t="str"/>
      <x:c r="L733" s="17" t="str">
        <x:v>证据与回答已整理完成。</x:v>
      </x:c>
      <x:c r="M733" s="17" t="str"/>
      <x:c r="N733" s="18" t="n">
        <x:v>0</x:v>
      </x:c>
      <x:c r="O733" s="17" t="str">
        <x:v>public_sse_client_estimate</x:v>
      </x:c>
    </x:row>
    <x:row r="734" ht="48" customHeight="1">
      <x:c r="A734" s="17" t="str">
        <x:v>BUS142</x:v>
      </x:c>
      <x:c r="B734" s="17" t="str">
        <x:v>筛选大单净额为正且主力净占比超过5%的板块。</x:v>
      </x:c>
      <x:c r="C734" s="17" t="n">
        <x:v>1</x:v>
      </x:c>
      <x:c r="D734" s="17" t="str">
        <x:v>问题理解</x:v>
      </x:c>
      <x:c r="E734" s="17" t="str">
        <x:v>5429.36</x:v>
      </x:c>
      <x:c r="F734" s="17" t="str">
        <x:v>8310.72</x:v>
      </x:c>
      <x:c r="G734" s="18" t="n">
        <x:v>2881.36</x:v>
      </x:c>
      <x:c r="H734" s="18" t="n">
        <x:f>IFERROR(G734/1000,"")</x:f>
        <x:v>2.88136</x:v>
      </x:c>
      <x:c r="I734" s="19" t="n">
        <x:f>IFERROR(G734/J734,"")</x:f>
        <x:v>0.12196640649570928</x:v>
      </x:c>
      <x:c r="J734" s="17" t="n">
        <x:v>23624.21</x:v>
      </x:c>
      <x:c r="K734" s="17" t="str"/>
      <x:c r="L734" s="17" t="str">
        <x:v>已明确本题的对象与口径，开始获取所需证据。</x:v>
      </x:c>
      <x:c r="M734" s="17" t="str"/>
      <x:c r="N734" s="18" t="n">
        <x:v>5429.36</x:v>
      </x:c>
      <x:c r="O734" s="17" t="str">
        <x:v>public_sse_client_estimate</x:v>
      </x:c>
    </x:row>
    <x:row r="735" ht="48" customHeight="1">
      <x:c r="A735" s="17" t="str">
        <x:v>BUS142</x:v>
      </x:c>
      <x:c r="B735" s="17" t="str">
        <x:v>筛选大单净额为正且主力净占比超过5%的板块。</x:v>
      </x:c>
      <x:c r="C735" s="17" t="n">
        <x:v>2</x:v>
      </x:c>
      <x:c r="D735" s="17" t="str">
        <x:v>数据口径</x:v>
      </x:c>
      <x:c r="E735" s="17" t="str">
        <x:v>8310.72</x:v>
      </x:c>
      <x:c r="F735" s="17" t="str">
        <x:v>8327.63</x:v>
      </x:c>
      <x:c r="G735" s="18" t="n">
        <x:v>16.91</x:v>
      </x:c>
      <x:c r="H735" s="18" t="n">
        <x:f>IFERROR(G735/1000,"")</x:f>
        <x:v>0.01691</x:v>
      </x:c>
      <x:c r="I735" s="19" t="n">
        <x:f>IFERROR(G735/J735,"")</x:f>
        <x:v>0.000715791131216663</x:v>
      </x:c>
      <x:c r="J735" s="17" t="n">
        <x:v>23624.21</x:v>
      </x:c>
      <x:c r="K735" s="17" t="str"/>
      <x:c r="L735" s="17" t="str">
        <x:v>已定位板块资金流视图，并确认了可用字段与时间口径。</x:v>
      </x:c>
      <x:c r="M735" s="17" t="str"/>
      <x:c r="N735" s="18" t="n">
        <x:v>0</x:v>
      </x:c>
      <x:c r="O735" s="17" t="str">
        <x:v>public_sse_client_estimate</x:v>
      </x:c>
    </x:row>
    <x:row r="736" ht="48" customHeight="1">
      <x:c r="A736" s="17" t="str">
        <x:v>BUS142</x:v>
      </x:c>
      <x:c r="B736" s="17" t="str">
        <x:v>筛选大单净额为正且主力净占比超过5%的板块。</x:v>
      </x:c>
      <x:c r="C736" s="17" t="n">
        <x:v>3</x:v>
      </x:c>
      <x:c r="D736" s="17" t="str">
        <x:v>数据查询 1/1</x:v>
      </x:c>
      <x:c r="E736" s="17" t="str">
        <x:v>14834.69</x:v>
      </x:c>
      <x:c r="F736" s="17" t="str">
        <x:v>15854.6</x:v>
      </x:c>
      <x:c r="G736" s="18" t="n">
        <x:v>1019.91</x:v>
      </x:c>
      <x:c r="H736" s="18" t="n">
        <x:f>IFERROR(G736/1000,"")</x:f>
        <x:v>1.0199099999999999</x:v>
      </x:c>
      <x:c r="I736" s="19" t="n">
        <x:f>IFERROR(G736/J736,"")</x:f>
        <x:v>0.043172237293860834</x:v>
      </x:c>
      <x:c r="J736" s="17" t="n">
        <x:v>23624.21</x:v>
      </x:c>
      <x:c r="K736" s="17" t="str"/>
      <x:c r="L736" s="17" t="str">
        <x:v>已完成：查询所有板块上一交易日的大单净额和主力净占比，筛选大单净额为正且主力净占比超过5%的板块，当前条件下没有匹配记录。</x:v>
      </x:c>
      <x:c r="M736" s="17" t="str"/>
      <x:c r="N736" s="18" t="n">
        <x:v>6507.06</x:v>
      </x:c>
      <x:c r="O736" s="17" t="str">
        <x:v>public_sse_client_estimate</x:v>
      </x:c>
    </x:row>
    <x:row r="737" ht="48" customHeight="1">
      <x:c r="A737" s="17" t="str">
        <x:v>BUS142</x:v>
      </x:c>
      <x:c r="B737" s="17" t="str">
        <x:v>筛选大单净额为正且主力净占比超过5%的板块。</x:v>
      </x:c>
      <x:c r="C737" s="17" t="n">
        <x:v>4</x:v>
      </x:c>
      <x:c r="D737" s="17" t="str">
        <x:v>回答整理</x:v>
      </x:c>
      <x:c r="E737" s="17" t="str">
        <x:v>15854.6</x:v>
      </x:c>
      <x:c r="F737" s="17" t="str">
        <x:v>20509.89</x:v>
      </x:c>
      <x:c r="G737" s="18" t="n">
        <x:v>4655.29</x:v>
      </x:c>
      <x:c r="H737" s="18" t="n">
        <x:f>IFERROR(G737/1000,"")</x:f>
        <x:v>4.65529</x:v>
      </x:c>
      <x:c r="I737" s="19" t="n">
        <x:f>IFERROR(G737/J737,"")</x:f>
        <x:v>0.19705590155184025</x:v>
      </x:c>
      <x:c r="J737" s="17" t="n">
        <x:v>23624.21</x:v>
      </x:c>
      <x:c r="K737" s="17" t="str"/>
      <x:c r="L737" s="17" t="str">
        <x:v>证据与回答已整理完成。</x:v>
      </x:c>
      <x:c r="M737" s="17" t="str"/>
      <x:c r="N737" s="18" t="n">
        <x:v>0</x:v>
      </x:c>
      <x:c r="O737" s="17" t="str">
        <x:v>public_sse_client_estimate</x:v>
      </x:c>
    </x:row>
    <x:row r="738" ht="48" customHeight="1">
      <x:c r="A738" s="17" t="str">
        <x:v>BUS143</x:v>
      </x:c>
      <x:c r="B738" s="17" t="str">
        <x:v>查询半导体板块最近10日主力净流入。</x:v>
      </x:c>
      <x:c r="C738" s="17" t="n">
        <x:v>1</x:v>
      </x:c>
      <x:c r="D738" s="17" t="str">
        <x:v>问题理解</x:v>
      </x:c>
      <x:c r="E738" s="17" t="str">
        <x:v>7235.38</x:v>
      </x:c>
      <x:c r="F738" s="17" t="str">
        <x:v>13465.43</x:v>
      </x:c>
      <x:c r="G738" s="18" t="n">
        <x:v>6230.05</x:v>
      </x:c>
      <x:c r="H738" s="18" t="n">
        <x:f>IFERROR(G738/1000,"")</x:f>
        <x:v>6.23005</x:v>
      </x:c>
      <x:c r="I738" s="19" t="n">
        <x:f>IFERROR(G738/J738,"")</x:f>
        <x:v>0.18158874007281564</x:v>
      </x:c>
      <x:c r="J738" s="17" t="n">
        <x:v>34308.57</x:v>
      </x:c>
      <x:c r="K738" s="17" t="str"/>
      <x:c r="L738" s="17" t="str">
        <x:v>已明确本题的对象与口径，开始获取所需证据。</x:v>
      </x:c>
      <x:c r="M738" s="17" t="str"/>
      <x:c r="N738" s="18" t="n">
        <x:v>7235.38</x:v>
      </x:c>
      <x:c r="O738" s="17" t="str">
        <x:v>public_sse_client_estimate</x:v>
      </x:c>
    </x:row>
    <x:row r="739" ht="48" customHeight="1">
      <x:c r="A739" s="17" t="str">
        <x:v>BUS143</x:v>
      </x:c>
      <x:c r="B739" s="17" t="str">
        <x:v>查询半导体板块最近10日主力净流入。</x:v>
      </x:c>
      <x:c r="C739" s="17" t="n">
        <x:v>2</x:v>
      </x:c>
      <x:c r="D739" s="17" t="str">
        <x:v>数据口径</x:v>
      </x:c>
      <x:c r="E739" s="17" t="str">
        <x:v>13465.43</x:v>
      </x:c>
      <x:c r="F739" s="17" t="str">
        <x:v>13676.51</x:v>
      </x:c>
      <x:c r="G739" s="18" t="n">
        <x:v>211.08</x:v>
      </x:c>
      <x:c r="H739" s="18" t="n">
        <x:f>IFERROR(G739/1000,"")</x:f>
        <x:v>0.21108000000000002</x:v>
      </x:c>
      <x:c r="I739" s="19" t="n">
        <x:f>IFERROR(G739/J739,"")</x:f>
        <x:v>0.006152398657245114</x:v>
      </x:c>
      <x:c r="J739" s="17" t="n">
        <x:v>34308.57</x:v>
      </x:c>
      <x:c r="K739" s="17" t="str"/>
      <x:c r="L739" s="17" t="str">
        <x:v>已定位板块资金流视图，并确认了可用字段与时间口径。</x:v>
      </x:c>
      <x:c r="M739" s="17" t="str"/>
      <x:c r="N739" s="18" t="n">
        <x:v>0</x:v>
      </x:c>
      <x:c r="O739" s="17" t="str">
        <x:v>public_sse_client_estimate</x:v>
      </x:c>
    </x:row>
    <x:row r="740" ht="48" customHeight="1">
      <x:c r="A740" s="17" t="str">
        <x:v>BUS143</x:v>
      </x:c>
      <x:c r="B740" s="17" t="str">
        <x:v>查询半导体板块最近10日主力净流入。</x:v>
      </x:c>
      <x:c r="C740" s="17" t="n">
        <x:v>3</x:v>
      </x:c>
      <x:c r="D740" s="17" t="str">
        <x:v>数据口径</x:v>
      </x:c>
      <x:c r="E740" s="17" t="str">
        <x:v>13676.51</x:v>
      </x:c>
      <x:c r="F740" s="17" t="str">
        <x:v>14317.42</x:v>
      </x:c>
      <x:c r="G740" s="18" t="n">
        <x:v>640.91</x:v>
      </x:c>
      <x:c r="H740" s="18" t="n">
        <x:f>IFERROR(G740/1000,"")</x:f>
        <x:v>0.64091</x:v>
      </x:c>
      <x:c r="I740" s="19" t="n">
        <x:f>IFERROR(G740/J740,"")</x:f>
        <x:v>0.018680755274848238</x:v>
      </x:c>
      <x:c r="J740" s="17" t="n">
        <x:v>34308.57</x:v>
      </x:c>
      <x:c r="K740" s="17" t="str"/>
      <x:c r="L740" s="17" t="str">
        <x:v>已定位板块成分关系视图，并确认了可用字段与时间口径。</x:v>
      </x:c>
      <x:c r="M740" s="17" t="str"/>
      <x:c r="N740" s="18" t="n">
        <x:v>0</x:v>
      </x:c>
      <x:c r="O740" s="17" t="str">
        <x:v>public_sse_client_estimate</x:v>
      </x:c>
    </x:row>
    <x:row r="741" ht="48" customHeight="1">
      <x:c r="A741" s="17" t="str">
        <x:v>BUS143</x:v>
      </x:c>
      <x:c r="B741" s="17" t="str">
        <x:v>查询半导体板块最近10日主力净流入。</x:v>
      </x:c>
      <x:c r="C741" s="17" t="n">
        <x:v>4</x:v>
      </x:c>
      <x:c r="D741" s="17" t="str">
        <x:v>数据口径</x:v>
      </x:c>
      <x:c r="E741" s="17" t="str">
        <x:v>14317.42</x:v>
      </x:c>
      <x:c r="F741" s="17" t="str">
        <x:v>18973.85</x:v>
      </x:c>
      <x:c r="G741" s="18" t="n">
        <x:v>4656.43</x:v>
      </x:c>
      <x:c r="H741" s="18" t="n">
        <x:f>IFERROR(G741/1000,"")</x:f>
        <x:v>4.65643</x:v>
      </x:c>
      <x:c r="I741" s="19" t="n">
        <x:f>IFERROR(G741/J741,"")</x:f>
        <x:v>0.13572206594445646</x:v>
      </x:c>
      <x:c r="J741" s="17" t="n">
        <x:v>34308.57</x:v>
      </x:c>
      <x:c r="K741" s="17" t="str"/>
      <x:c r="L741" s="17" t="str">
        <x:v>已定位板块基础信息视图，并确认了可用字段与时间口径。</x:v>
      </x:c>
      <x:c r="M741" s="17" t="str"/>
      <x:c r="N741" s="18" t="n">
        <x:v>0</x:v>
      </x:c>
      <x:c r="O741" s="17" t="str">
        <x:v>public_sse_client_estimate</x:v>
      </x:c>
    </x:row>
    <x:row r="742" ht="48" customHeight="1">
      <x:c r="A742" s="17" t="str">
        <x:v>BUS143</x:v>
      </x:c>
      <x:c r="B742" s="17" t="str">
        <x:v>查询半导体板块最近10日主力净流入。</x:v>
      </x:c>
      <x:c r="C742" s="17" t="n">
        <x:v>5</x:v>
      </x:c>
      <x:c r="D742" s="17" t="str">
        <x:v>数据查询 1/1</x:v>
      </x:c>
      <x:c r="E742" s="17" t="str">
        <x:v>21496.67</x:v>
      </x:c>
      <x:c r="F742" s="17" t="str">
        <x:v>22138.33</x:v>
      </x:c>
      <x:c r="G742" s="18" t="n">
        <x:v>641.66</x:v>
      </x:c>
      <x:c r="H742" s="18" t="n">
        <x:f>IFERROR(G742/1000,"")</x:f>
        <x:v>0.64166</x:v>
      </x:c>
      <x:c r="I742" s="19" t="n">
        <x:f>IFERROR(G742/J742,"")</x:f>
        <x:v>0.018702615702140893</x:v>
      </x:c>
      <x:c r="J742" s="17" t="n">
        <x:v>34308.57</x:v>
      </x:c>
      <x:c r="K742" s="17" t="str"/>
      <x:c r="L742" s="17" t="str">
        <x:v>已完成：查询半导体板块的代码和名称，取得 7 条记录。</x:v>
      </x:c>
      <x:c r="M742" s="17" t="str"/>
      <x:c r="N742" s="18" t="n">
        <x:v>2522.82</x:v>
      </x:c>
      <x:c r="O742" s="17" t="str">
        <x:v>public_sse_client_estimate</x:v>
      </x:c>
    </x:row>
    <x:row r="743" ht="48" customHeight="1">
      <x:c r="A743" s="17" t="str">
        <x:v>BUS143</x:v>
      </x:c>
      <x:c r="B743" s="17" t="str">
        <x:v>查询半导体板块最近10日主力净流入。</x:v>
      </x:c>
      <x:c r="C743" s="17" t="n">
        <x:v>6</x:v>
      </x:c>
      <x:c r="D743" s="17" t="str">
        <x:v>数据查询 1/1</x:v>
      </x:c>
      <x:c r="E743" s="17" t="str">
        <x:v>25198.3</x:v>
      </x:c>
      <x:c r="F743" s="17" t="str">
        <x:v>25204.55</x:v>
      </x:c>
      <x:c r="G743" s="18" t="n">
        <x:v>6.25</x:v>
      </x:c>
      <x:c r="H743" s="18" t="n">
        <x:f>IFERROR(G743/1000,"")</x:f>
        <x:v>0.00625</x:v>
      </x:c>
      <x:c r="I743" s="19" t="n">
        <x:f>IFERROR(G743/J743,"")</x:f>
        <x:v>0.00018217022743880027</x:v>
      </x:c>
      <x:c r="J743" s="17" t="n">
        <x:v>34308.57</x:v>
      </x:c>
      <x:c r="K743" s="17" t="str"/>
      <x:c r="L743" s="17" t="str">
        <x:v>第 1 步的数据请求与目录口径不一致，正在修正。</x:v>
      </x:c>
      <x:c r="M743" s="17" t="str"/>
      <x:c r="N743" s="18" t="n">
        <x:v>3059.97</x:v>
      </x:c>
      <x:c r="O743" s="17" t="str">
        <x:v>public_sse_client_estimate</x:v>
      </x:c>
    </x:row>
    <x:row r="744" ht="48" customHeight="1">
      <x:c r="A744" s="17" t="str">
        <x:v>BUS143</x:v>
      </x:c>
      <x:c r="B744" s="17" t="str">
        <x:v>查询半导体板块最近10日主力净流入。</x:v>
      </x:c>
      <x:c r="C744" s="17" t="n">
        <x:v>7</x:v>
      </x:c>
      <x:c r="D744" s="17" t="str">
        <x:v>数据查询 1/1</x:v>
      </x:c>
      <x:c r="E744" s="17" t="str">
        <x:v>27762.28</x:v>
      </x:c>
      <x:c r="F744" s="17" t="str">
        <x:v>28258.47</x:v>
      </x:c>
      <x:c r="G744" s="18" t="n">
        <x:v>496.19</x:v>
      </x:c>
      <x:c r="H744" s="18" t="n">
        <x:f>IFERROR(G744/1000,"")</x:f>
        <x:v>0.49619</x:v>
      </x:c>
      <x:c r="I744" s="19" t="n">
        <x:f>IFERROR(G744/J744,"")</x:f>
        <x:v>0.01446256722445733</x:v>
      </x:c>
      <x:c r="J744" s="17" t="n">
        <x:v>34308.57</x:v>
      </x:c>
      <x:c r="K744" s="17" t="str"/>
      <x:c r="L744" s="17" t="str">
        <x:v>已完成：查询半导体板块最近10日主力净流入（合计），取得 1 条记录。</x:v>
      </x:c>
      <x:c r="M744" s="17" t="str"/>
      <x:c r="N744" s="18" t="n">
        <x:v>2557.73</x:v>
      </x:c>
      <x:c r="O744" s="17" t="str">
        <x:v>public_sse_client_estimate</x:v>
      </x:c>
    </x:row>
    <x:row r="745" ht="48" customHeight="1">
      <x:c r="A745" s="17" t="str">
        <x:v>BUS143</x:v>
      </x:c>
      <x:c r="B745" s="17" t="str">
        <x:v>查询半导体板块最近10日主力净流入。</x:v>
      </x:c>
      <x:c r="C745" s="17" t="n">
        <x:v>8</x:v>
      </x:c>
      <x:c r="D745" s="17" t="str">
        <x:v>回答整理</x:v>
      </x:c>
      <x:c r="E745" s="17" t="str">
        <x:v>28258.47</x:v>
      </x:c>
      <x:c r="F745" s="17" t="str">
        <x:v>30091.47</x:v>
      </x:c>
      <x:c r="G745" s="18" t="n">
        <x:v>1833</x:v>
      </x:c>
      <x:c r="H745" s="18" t="n">
        <x:f>IFERROR(G745/1000,"")</x:f>
        <x:v>1.833</x:v>
      </x:c>
      <x:c r="I745" s="19" t="n">
        <x:f>IFERROR(G745/J745,"")</x:f>
        <x:v>0.05342688430325135</x:v>
      </x:c>
      <x:c r="J745" s="17" t="n">
        <x:v>34308.57</x:v>
      </x:c>
      <x:c r="K745" s="17" t="str"/>
      <x:c r="L745" s="17" t="str">
        <x:v>证据与回答已整理完成。</x:v>
      </x:c>
      <x:c r="M745" s="17" t="str"/>
      <x:c r="N745" s="18" t="n">
        <x:v>0</x:v>
      </x:c>
      <x:c r="O745" s="17" t="str">
        <x:v>public_sse_client_estimate</x:v>
      </x:c>
    </x:row>
    <x:row r="746" ht="48" customHeight="1">
      <x:c r="A746" s="17" t="str">
        <x:v>BUS144</x:v>
      </x:c>
      <x:c r="B746" s="17" t="str">
        <x:v>今天超大单买入额最高的板块前10名。</x:v>
      </x:c>
      <x:c r="C746" s="17" t="n">
        <x:v>1</x:v>
      </x:c>
      <x:c r="D746" s="17" t="str">
        <x:v>问题理解</x:v>
      </x:c>
      <x:c r="E746" s="17" t="str">
        <x:v>5977.54</x:v>
      </x:c>
      <x:c r="F746" s="17" t="str">
        <x:v>9357.52</x:v>
      </x:c>
      <x:c r="G746" s="18" t="n">
        <x:v>3379.98</x:v>
      </x:c>
      <x:c r="H746" s="18" t="n">
        <x:f>IFERROR(G746/1000,"")</x:f>
        <x:v>3.37998</x:v>
      </x:c>
      <x:c r="I746" s="19" t="n">
        <x:f>IFERROR(G746/J746,"")</x:f>
        <x:v>0.12149670447225545</x:v>
      </x:c>
      <x:c r="J746" s="17" t="n">
        <x:v>27819.52</x:v>
      </x:c>
      <x:c r="K746" s="17" t="str"/>
      <x:c r="L746" s="17" t="str">
        <x:v>已明确本题的对象与口径，开始获取所需证据。</x:v>
      </x:c>
      <x:c r="M746" s="17" t="str"/>
      <x:c r="N746" s="18" t="n">
        <x:v>5977.54</x:v>
      </x:c>
      <x:c r="O746" s="17" t="str">
        <x:v>public_sse_client_estimate</x:v>
      </x:c>
    </x:row>
    <x:row r="747" ht="48" customHeight="1">
      <x:c r="A747" s="17" t="str">
        <x:v>BUS144</x:v>
      </x:c>
      <x:c r="B747" s="17" t="str">
        <x:v>今天超大单买入额最高的板块前10名。</x:v>
      </x:c>
      <x:c r="C747" s="17" t="n">
        <x:v>2</x:v>
      </x:c>
      <x:c r="D747" s="17" t="str">
        <x:v>数据口径</x:v>
      </x:c>
      <x:c r="E747" s="17" t="str">
        <x:v>9357.52</x:v>
      </x:c>
      <x:c r="F747" s="17" t="str">
        <x:v>9373.78</x:v>
      </x:c>
      <x:c r="G747" s="18" t="n">
        <x:v>16.26</x:v>
      </x:c>
      <x:c r="H747" s="18" t="n">
        <x:f>IFERROR(G747/1000,"")</x:f>
        <x:v>0.01626</x:v>
      </x:c>
      <x:c r="I747" s="19" t="n">
        <x:f>IFERROR(G747/J747,"")</x:f>
        <x:v>0.0005844816876782921</x:v>
      </x:c>
      <x:c r="J747" s="17" t="n">
        <x:v>27819.52</x:v>
      </x:c>
      <x:c r="K747" s="17" t="str"/>
      <x:c r="L747" s="17" t="str">
        <x:v>已定位板块资金流视图，并确认了可用字段与时间口径。</x:v>
      </x:c>
      <x:c r="M747" s="17" t="str"/>
      <x:c r="N747" s="18" t="n">
        <x:v>0</x:v>
      </x:c>
      <x:c r="O747" s="17" t="str">
        <x:v>public_sse_client_estimate</x:v>
      </x:c>
    </x:row>
    <x:row r="748" ht="48" customHeight="1">
      <x:c r="A748" s="17" t="str">
        <x:v>BUS144</x:v>
      </x:c>
      <x:c r="B748" s="17" t="str">
        <x:v>今天超大单买入额最高的板块前10名。</x:v>
      </x:c>
      <x:c r="C748" s="17" t="n">
        <x:v>3</x:v>
      </x:c>
      <x:c r="D748" s="17" t="str">
        <x:v>数据查询 1/1</x:v>
      </x:c>
      <x:c r="E748" s="17" t="str">
        <x:v>18860.71</x:v>
      </x:c>
      <x:c r="F748" s="17" t="str">
        <x:v>19929.09</x:v>
      </x:c>
      <x:c r="G748" s="18" t="n">
        <x:v>1068.38</x:v>
      </x:c>
      <x:c r="H748" s="18" t="n">
        <x:f>IFERROR(G748/1000,"")</x:f>
        <x:v>1.06838</x:v>
      </x:c>
      <x:c r="I748" s="19" t="n">
        <x:f>IFERROR(G748/J748,"")</x:f>
        <x:v>0.038403969586822496</x:v>
      </x:c>
      <x:c r="J748" s="17" t="n">
        <x:v>27819.52</x:v>
      </x:c>
      <x:c r="K748" s="17" t="str"/>
      <x:c r="L748" s="17" t="str">
        <x:v>已完成：查询今日超大单买入额最高的板块前10名，当前条件下没有匹配记录。</x:v>
      </x:c>
      <x:c r="M748" s="17" t="str"/>
      <x:c r="N748" s="18" t="n">
        <x:v>9486.93</x:v>
      </x:c>
      <x:c r="O748" s="17" t="str">
        <x:v>public_sse_client_estimate</x:v>
      </x:c>
    </x:row>
    <x:row r="749" ht="48" customHeight="1">
      <x:c r="A749" s="17" t="str">
        <x:v>BUS144</x:v>
      </x:c>
      <x:c r="B749" s="17" t="str">
        <x:v>今天超大单买入额最高的板块前10名。</x:v>
      </x:c>
      <x:c r="C749" s="17" t="n">
        <x:v>4</x:v>
      </x:c>
      <x:c r="D749" s="17" t="str">
        <x:v>回答整理</x:v>
      </x:c>
      <x:c r="E749" s="17" t="str">
        <x:v>19929.09</x:v>
      </x:c>
      <x:c r="F749" s="17" t="str">
        <x:v>24706.91</x:v>
      </x:c>
      <x:c r="G749" s="18" t="n">
        <x:v>4777.82</x:v>
      </x:c>
      <x:c r="H749" s="18" t="n">
        <x:f>IFERROR(G749/1000,"")</x:f>
        <x:v>4.777819999999999</x:v>
      </x:c>
      <x:c r="I749" s="19" t="n">
        <x:f>IFERROR(G749/J749,"")</x:f>
        <x:v>0.1717434377012975</x:v>
      </x:c>
      <x:c r="J749" s="17" t="n">
        <x:v>27819.52</x:v>
      </x:c>
      <x:c r="K749" s="17" t="str"/>
      <x:c r="L749" s="17" t="str">
        <x:v>证据与回答已整理完成。</x:v>
      </x:c>
      <x:c r="M749" s="17" t="str"/>
      <x:c r="N749" s="18" t="n">
        <x:v>0</x:v>
      </x:c>
      <x:c r="O749" s="17" t="str">
        <x:v>public_sse_client_estimate</x:v>
      </x:c>
    </x:row>
    <x:row r="750" ht="48" customHeight="1">
      <x:c r="A750" s="17" t="str">
        <x:v>BUS145</x:v>
      </x:c>
      <x:c r="B750" s="17" t="str">
        <x:v>查询人工智能板块最新PE_TTM和PB。</x:v>
      </x:c>
      <x:c r="C750" s="17" t="n">
        <x:v>1</x:v>
      </x:c>
      <x:c r="D750" s="17" t="str">
        <x:v>问题理解</x:v>
      </x:c>
      <x:c r="E750" s="17" t="str">
        <x:v>6018.79</x:v>
      </x:c>
      <x:c r="F750" s="17" t="str">
        <x:v>8380.95</x:v>
      </x:c>
      <x:c r="G750" s="18" t="n">
        <x:v>2362.16</x:v>
      </x:c>
      <x:c r="H750" s="18" t="n">
        <x:f>IFERROR(G750/1000,"")</x:f>
        <x:v>2.36216</x:v>
      </x:c>
      <x:c r="I750" s="19" t="n">
        <x:f>IFERROR(G750/J750,"")</x:f>
        <x:v>0.10362136982383366</x:v>
      </x:c>
      <x:c r="J750" s="17" t="n">
        <x:v>22796.07</x:v>
      </x:c>
      <x:c r="K750" s="17" t="str"/>
      <x:c r="L750" s="17" t="str">
        <x:v>已明确本题的对象与口径，开始获取所需证据。</x:v>
      </x:c>
      <x:c r="M750" s="17" t="str"/>
      <x:c r="N750" s="18" t="n">
        <x:v>6018.79</x:v>
      </x:c>
      <x:c r="O750" s="17" t="str">
        <x:v>public_sse_client_estimate</x:v>
      </x:c>
    </x:row>
    <x:row r="751" ht="48" customHeight="1">
      <x:c r="A751" s="17" t="str">
        <x:v>BUS145</x:v>
      </x:c>
      <x:c r="B751" s="17" t="str">
        <x:v>查询人工智能板块最新PE_TTM和PB。</x:v>
      </x:c>
      <x:c r="C751" s="17" t="n">
        <x:v>2</x:v>
      </x:c>
      <x:c r="D751" s="17" t="str">
        <x:v>数据口径</x:v>
      </x:c>
      <x:c r="E751" s="17" t="str">
        <x:v>8380.95</x:v>
      </x:c>
      <x:c r="F751" s="17" t="str">
        <x:v>8407.15</x:v>
      </x:c>
      <x:c r="G751" s="18" t="n">
        <x:v>26.2</x:v>
      </x:c>
      <x:c r="H751" s="18" t="n">
        <x:f>IFERROR(G751/1000,"")</x:f>
        <x:v>0.026199999999999998</x:v>
      </x:c>
      <x:c r="I751" s="19" t="n">
        <x:f>IFERROR(G751/J751,"")</x:f>
        <x:v>0.0011493209136487121</x:v>
      </x:c>
      <x:c r="J751" s="17" t="n">
        <x:v>22796.07</x:v>
      </x:c>
      <x:c r="K751" s="17" t="str"/>
      <x:c r="L751" s="17" t="str">
        <x:v>已定位板块估值视图，并确认了可用字段与时间口径。</x:v>
      </x:c>
      <x:c r="M751" s="17" t="str"/>
      <x:c r="N751" s="18" t="n">
        <x:v>0</x:v>
      </x:c>
      <x:c r="O751" s="17" t="str">
        <x:v>public_sse_client_estimate</x:v>
      </x:c>
    </x:row>
    <x:row r="752" ht="48" customHeight="1">
      <x:c r="A752" s="17" t="str">
        <x:v>BUS145</x:v>
      </x:c>
      <x:c r="B752" s="17" t="str">
        <x:v>查询人工智能板块最新PE_TTM和PB。</x:v>
      </x:c>
      <x:c r="C752" s="17" t="n">
        <x:v>3</x:v>
      </x:c>
      <x:c r="D752" s="17" t="str">
        <x:v>数据查询 1/2</x:v>
      </x:c>
      <x:c r="E752" s="17" t="str">
        <x:v>11795.6</x:v>
      </x:c>
      <x:c r="F752" s="17" t="str">
        <x:v>11811.98</x:v>
      </x:c>
      <x:c r="G752" s="18" t="n">
        <x:v>16.38</x:v>
      </x:c>
      <x:c r="H752" s="18" t="n">
        <x:f>IFERROR(G752/1000,"")</x:f>
        <x:v>0.01638</x:v>
      </x:c>
      <x:c r="I752" s="19" t="n">
        <x:f>IFERROR(G752/J752,"")</x:f>
        <x:v>0.0007185449070826682</x:v>
      </x:c>
      <x:c r="J752" s="17" t="n">
        <x:v>22796.07</x:v>
      </x:c>
      <x:c r="K752" s="17" t="str"/>
      <x:c r="L752" s="17" t="str">
        <x:v>第 1 步的数据请求与目录口径不一致，正在修正。</x:v>
      </x:c>
      <x:c r="M752" s="17" t="str"/>
      <x:c r="N752" s="18" t="n">
        <x:v>3388.45</x:v>
      </x:c>
      <x:c r="O752" s="17" t="str">
        <x:v>public_sse_client_estimate</x:v>
      </x:c>
    </x:row>
    <x:row r="753" ht="48" customHeight="1">
      <x:c r="A753" s="17" t="str">
        <x:v>BUS145</x:v>
      </x:c>
      <x:c r="B753" s="17" t="str">
        <x:v>查询人工智能板块最新PE_TTM和PB。</x:v>
      </x:c>
      <x:c r="C753" s="17" t="n">
        <x:v>4</x:v>
      </x:c>
      <x:c r="D753" s="17" t="str">
        <x:v>数据查询 1/2</x:v>
      </x:c>
      <x:c r="E753" s="17" t="str">
        <x:v>14384.56</x:v>
      </x:c>
      <x:c r="F753" s="17" t="str">
        <x:v>14995.58</x:v>
      </x:c>
      <x:c r="G753" s="18" t="n">
        <x:v>611.02</x:v>
      </x:c>
      <x:c r="H753" s="18" t="n">
        <x:f>IFERROR(G753/1000,"")</x:f>
        <x:v>0.61102</x:v>
      </x:c>
      <x:c r="I753" s="19" t="n">
        <x:f>IFERROR(G753/J753,"")</x:f>
        <x:v>0.026803742925863974</x:v>
      </x:c>
      <x:c r="J753" s="17" t="n">
        <x:v>22796.07</x:v>
      </x:c>
      <x:c r="K753" s="17" t="str"/>
      <x:c r="L753" s="17" t="str">
        <x:v>已完成：找到人工智能板块的基本信息，确认板块代码，取得 1 条记录。</x:v>
      </x:c>
      <x:c r="M753" s="17" t="str"/>
      <x:c r="N753" s="18" t="n">
        <x:v>2572.58</x:v>
      </x:c>
      <x:c r="O753" s="17" t="str">
        <x:v>public_sse_client_estimate</x:v>
      </x:c>
    </x:row>
    <x:row r="754" ht="48" customHeight="1">
      <x:c r="A754" s="17" t="str">
        <x:v>BUS145</x:v>
      </x:c>
      <x:c r="B754" s="17" t="str">
        <x:v>查询人工智能板块最新PE_TTM和PB。</x:v>
      </x:c>
      <x:c r="C754" s="17" t="n">
        <x:v>5</x:v>
      </x:c>
      <x:c r="D754" s="17" t="str">
        <x:v>数据查询 2/2</x:v>
      </x:c>
      <x:c r="E754" s="17" t="str">
        <x:v>14998.67</x:v>
      </x:c>
      <x:c r="F754" s="17" t="str">
        <x:v>15594.57</x:v>
      </x:c>
      <x:c r="G754" s="18" t="n">
        <x:v>595.9</x:v>
      </x:c>
      <x:c r="H754" s="18" t="n">
        <x:f>IFERROR(G754/1000,"")</x:f>
        <x:v>0.5959</x:v>
      </x:c>
      <x:c r="I754" s="19" t="n">
        <x:f>IFERROR(G754/J754,"")</x:f>
        <x:v>0.02614047070394151</x:v>
      </x:c>
      <x:c r="J754" s="17" t="n">
        <x:v>22796.07</x:v>
      </x:c>
      <x:c r="K754" s="17" t="str"/>
      <x:c r="L754" s="17" t="str">
        <x:v>已完成：查询人工智能板块最新的PE_TTM和PB估值数据，取得 1 条记录。</x:v>
      </x:c>
      <x:c r="M754" s="17" t="str"/>
      <x:c r="N754" s="18" t="n">
        <x:v>3.09</x:v>
      </x:c>
      <x:c r="O754" s="17" t="str">
        <x:v>public_sse_client_estimate</x:v>
      </x:c>
    </x:row>
    <x:row r="755" ht="48" customHeight="1">
      <x:c r="A755" s="17" t="str">
        <x:v>BUS145</x:v>
      </x:c>
      <x:c r="B755" s="17" t="str">
        <x:v>查询人工智能板块最新PE_TTM和PB。</x:v>
      </x:c>
      <x:c r="C755" s="17" t="n">
        <x:v>6</x:v>
      </x:c>
      <x:c r="D755" s="17" t="str">
        <x:v>回答整理</x:v>
      </x:c>
      <x:c r="E755" s="17" t="str">
        <x:v>15594.57</x:v>
      </x:c>
      <x:c r="F755" s="17" t="str">
        <x:v>18586.93</x:v>
      </x:c>
      <x:c r="G755" s="18" t="n">
        <x:v>2992.36</x:v>
      </x:c>
      <x:c r="H755" s="18" t="n">
        <x:f>IFERROR(G755/1000,"")</x:f>
        <x:v>2.99236</x:v>
      </x:c>
      <x:c r="I755" s="19" t="n">
        <x:f>IFERROR(G755/J755,"")</x:f>
        <x:v>0.1312664858460252</x:v>
      </x:c>
      <x:c r="J755" s="17" t="n">
        <x:v>22796.07</x:v>
      </x:c>
      <x:c r="K755" s="17" t="str"/>
      <x:c r="L755" s="17" t="str">
        <x:v>证据与回答已整理完成。</x:v>
      </x:c>
      <x:c r="M755" s="17" t="str"/>
      <x:c r="N755" s="18" t="n">
        <x:v>0</x:v>
      </x:c>
      <x:c r="O755" s="17" t="str">
        <x:v>public_sse_client_estimate</x:v>
      </x:c>
    </x:row>
    <x:row r="756" ht="48" customHeight="1">
      <x:c r="A756" s="17" t="str">
        <x:v>BUS146</x:v>
      </x:c>
      <x:c r="B756" s="17" t="str">
        <x:v>当前PE_TTM最低的板块前20名。</x:v>
      </x:c>
      <x:c r="C756" s="17" t="n">
        <x:v>1</x:v>
      </x:c>
      <x:c r="D756" s="17" t="str">
        <x:v>问题理解</x:v>
      </x:c>
      <x:c r="E756" s="17" t="str">
        <x:v>5686.54</x:v>
      </x:c>
      <x:c r="F756" s="17" t="str">
        <x:v>8092.95</x:v>
      </x:c>
      <x:c r="G756" s="18" t="n">
        <x:v>2406.41</x:v>
      </x:c>
      <x:c r="H756" s="18" t="n">
        <x:f>IFERROR(G756/1000,"")</x:f>
        <x:v>2.4064099999999997</x:v>
      </x:c>
      <x:c r="I756" s="19" t="n">
        <x:f>IFERROR(G756/J756,"")</x:f>
        <x:v>0.06524353708297748</x:v>
      </x:c>
      <x:c r="J756" s="17" t="n">
        <x:v>36883.5</x:v>
      </x:c>
      <x:c r="K756" s="17" t="str"/>
      <x:c r="L756" s="17" t="str">
        <x:v>已明确本题的对象与口径，开始获取所需证据。</x:v>
      </x:c>
      <x:c r="M756" s="17" t="str"/>
      <x:c r="N756" s="18" t="n">
        <x:v>5686.54</x:v>
      </x:c>
      <x:c r="O756" s="17" t="str">
        <x:v>public_sse_client_estimate</x:v>
      </x:c>
    </x:row>
    <x:row r="757" ht="48" customHeight="1">
      <x:c r="A757" s="17" t="str">
        <x:v>BUS146</x:v>
      </x:c>
      <x:c r="B757" s="17" t="str">
        <x:v>当前PE_TTM最低的板块前20名。</x:v>
      </x:c>
      <x:c r="C757" s="17" t="n">
        <x:v>2</x:v>
      </x:c>
      <x:c r="D757" s="17" t="str">
        <x:v>数据口径</x:v>
      </x:c>
      <x:c r="E757" s="17" t="str">
        <x:v>8092.95</x:v>
      </x:c>
      <x:c r="F757" s="17" t="str">
        <x:v>8119.76</x:v>
      </x:c>
      <x:c r="G757" s="18" t="n">
        <x:v>26.81</x:v>
      </x:c>
      <x:c r="H757" s="18" t="n">
        <x:f>IFERROR(G757/1000,"")</x:f>
        <x:v>0.026809999999999997</x:v>
      </x:c>
      <x:c r="I757" s="19" t="n">
        <x:f>IFERROR(G757/J757,"")</x:f>
        <x:v>0.0007268832946981712</x:v>
      </x:c>
      <x:c r="J757" s="17" t="n">
        <x:v>36883.5</x:v>
      </x:c>
      <x:c r="K757" s="17" t="str"/>
      <x:c r="L757" s="17" t="str">
        <x:v>已定位板块估值视图，并确认了可用字段与时间口径。</x:v>
      </x:c>
      <x:c r="M757" s="17" t="str"/>
      <x:c r="N757" s="18" t="n">
        <x:v>0</x:v>
      </x:c>
      <x:c r="O757" s="17" t="str">
        <x:v>public_sse_client_estimate</x:v>
      </x:c>
    </x:row>
    <x:row r="758" ht="48" customHeight="1">
      <x:c r="A758" s="17" t="str">
        <x:v>BUS146</x:v>
      </x:c>
      <x:c r="B758" s="17" t="str">
        <x:v>当前PE_TTM最低的板块前20名。</x:v>
      </x:c>
      <x:c r="C758" s="17" t="n">
        <x:v>3</x:v>
      </x:c>
      <x:c r="D758" s="17" t="str">
        <x:v>数据查询 1/1</x:v>
      </x:c>
      <x:c r="E758" s="17" t="str">
        <x:v>12123.27</x:v>
      </x:c>
      <x:c r="F758" s="17" t="str">
        <x:v>13409.47</x:v>
      </x:c>
      <x:c r="G758" s="18" t="n">
        <x:v>1286.2</x:v>
      </x:c>
      <x:c r="H758" s="18" t="n">
        <x:f>IFERROR(G758/1000,"")</x:f>
        <x:v>1.2862</x:v>
      </x:c>
      <x:c r="I758" s="19" t="n">
        <x:f>IFERROR(G758/J758,"")</x:f>
        <x:v>0.03487196171729907</x:v>
      </x:c>
      <x:c r="J758" s="17" t="n">
        <x:v>36883.5</x:v>
      </x:c>
      <x:c r="K758" s="17" t="str"/>
      <x:c r="L758" s="17" t="str">
        <x:v>已完成：查询PE_TTM最低的板块前20名，当前条件下没有匹配记录。</x:v>
      </x:c>
      <x:c r="M758" s="17" t="str"/>
      <x:c r="N758" s="18" t="n">
        <x:v>4003.51</x:v>
      </x:c>
      <x:c r="O758" s="17" t="str">
        <x:v>public_sse_client_estimate</x:v>
      </x:c>
    </x:row>
    <x:row r="759" ht="48" customHeight="1">
      <x:c r="A759" s="17" t="str">
        <x:v>BUS146</x:v>
      </x:c>
      <x:c r="B759" s="17" t="str">
        <x:v>当前PE_TTM最低的板块前20名。</x:v>
      </x:c>
      <x:c r="C759" s="17" t="n">
        <x:v>4</x:v>
      </x:c>
      <x:c r="D759" s="17" t="str">
        <x:v>数据查询 1/1</x:v>
      </x:c>
      <x:c r="E759" s="17" t="str">
        <x:v>18542.73</x:v>
      </x:c>
      <x:c r="F759" s="17" t="str">
        <x:v>22312.59</x:v>
      </x:c>
      <x:c r="G759" s="18" t="n">
        <x:v>3769.86</x:v>
      </x:c>
      <x:c r="H759" s="18" t="n">
        <x:f>IFERROR(G759/1000,"")</x:f>
        <x:v>3.76986</x:v>
      </x:c>
      <x:c r="I759" s="19" t="n">
        <x:f>IFERROR(G759/J759,"")</x:f>
        <x:v>0.10220993127008011</x:v>
      </x:c>
      <x:c r="J759" s="17" t="n">
        <x:v>36883.5</x:v>
      </x:c>
      <x:c r="K759" s="17" t="str"/>
      <x:c r="L759" s="17" t="str">
        <x:v>已完成：查询PE_TTM最低的板块前20名，不限定交易日，取得 20 条记录。</x:v>
      </x:c>
      <x:c r="M759" s="17" t="str"/>
      <x:c r="N759" s="18" t="n">
        <x:v>5133.26</x:v>
      </x:c>
      <x:c r="O759" s="17" t="str">
        <x:v>public_sse_client_estimate</x:v>
      </x:c>
    </x:row>
    <x:row r="760" ht="48" customHeight="1">
      <x:c r="A760" s="17" t="str">
        <x:v>BUS146</x:v>
      </x:c>
      <x:c r="B760" s="17" t="str">
        <x:v>当前PE_TTM最低的板块前20名。</x:v>
      </x:c>
      <x:c r="C760" s="17" t="n">
        <x:v>5</x:v>
      </x:c>
      <x:c r="D760" s="17" t="str">
        <x:v>回答整理</x:v>
      </x:c>
      <x:c r="E760" s="17" t="str">
        <x:v>22312.59</x:v>
      </x:c>
      <x:c r="F760" s="17" t="str">
        <x:v>33636.52</x:v>
      </x:c>
      <x:c r="G760" s="18" t="n">
        <x:v>11323.93</x:v>
      </x:c>
      <x:c r="H760" s="18" t="n">
        <x:f>IFERROR(G760/1000,"")</x:f>
        <x:v>11.32393</x:v>
      </x:c>
      <x:c r="I760" s="19" t="n">
        <x:f>IFERROR(G760/J760,"")</x:f>
        <x:v>0.30701885667032686</x:v>
      </x:c>
      <x:c r="J760" s="17" t="n">
        <x:v>36883.5</x:v>
      </x:c>
      <x:c r="K760" s="17" t="str"/>
      <x:c r="L760" s="17" t="str">
        <x:v>证据与回答已整理完成。</x:v>
      </x:c>
      <x:c r="M760" s="17" t="str"/>
      <x:c r="N760" s="18" t="n">
        <x:v>0</x:v>
      </x:c>
      <x:c r="O760" s="17" t="str">
        <x:v>public_sse_client_estimate</x:v>
      </x:c>
    </x:row>
    <x:row r="761" ht="48" customHeight="1">
      <x:c r="A761" s="17" t="str">
        <x:v>BUS147</x:v>
      </x:c>
      <x:c r="B761" s="17" t="str">
        <x:v>筛选PB低于2的板块。</x:v>
      </x:c>
      <x:c r="C761" s="17" t="n">
        <x:v>1</x:v>
      </x:c>
      <x:c r="D761" s="17" t="str">
        <x:v>问题理解</x:v>
      </x:c>
      <x:c r="E761" s="17" t="str">
        <x:v>5694.81</x:v>
      </x:c>
      <x:c r="F761" s="17" t="str">
        <x:v>13391.88</x:v>
      </x:c>
      <x:c r="G761" s="18" t="n">
        <x:v>7697.07</x:v>
      </x:c>
      <x:c r="H761" s="18" t="n">
        <x:f>IFERROR(G761/1000,"")</x:f>
        <x:v>7.69707</x:v>
      </x:c>
      <x:c r="I761" s="19" t="n">
        <x:f>IFERROR(G761/J761,"")</x:f>
        <x:v>0.32688251956733155</x:v>
      </x:c>
      <x:c r="J761" s="17" t="n">
        <x:v>23546.9</x:v>
      </x:c>
      <x:c r="K761" s="17" t="str"/>
      <x:c r="L761" s="17" t="str">
        <x:v>已明确本题的对象与口径，开始获取所需证据。</x:v>
      </x:c>
      <x:c r="M761" s="17" t="str"/>
      <x:c r="N761" s="18" t="n">
        <x:v>5694.81</x:v>
      </x:c>
      <x:c r="O761" s="17" t="str">
        <x:v>public_sse_client_estimate</x:v>
      </x:c>
    </x:row>
    <x:row r="762" ht="48" customHeight="1">
      <x:c r="A762" s="17" t="str">
        <x:v>BUS147</x:v>
      </x:c>
      <x:c r="B762" s="17" t="str">
        <x:v>筛选PB低于2的板块。</x:v>
      </x:c>
      <x:c r="C762" s="17" t="n">
        <x:v>2</x:v>
      </x:c>
      <x:c r="D762" s="17" t="str">
        <x:v>数据口径</x:v>
      </x:c>
      <x:c r="E762" s="17" t="str">
        <x:v>13391.88</x:v>
      </x:c>
      <x:c r="F762" s="17" t="str">
        <x:v>13544</x:v>
      </x:c>
      <x:c r="G762" s="18" t="n">
        <x:v>152.12</x:v>
      </x:c>
      <x:c r="H762" s="18" t="n">
        <x:f>IFERROR(G762/1000,"")</x:f>
        <x:v>0.15212</x:v>
      </x:c>
      <x:c r="I762" s="19" t="n">
        <x:f>IFERROR(G762/J762,"")</x:f>
        <x:v>0.006460298383226666</x:v>
      </x:c>
      <x:c r="J762" s="17" t="n">
        <x:v>23546.9</x:v>
      </x:c>
      <x:c r="K762" s="17" t="str"/>
      <x:c r="L762" s="17" t="str">
        <x:v>已定位板块估值视图，并确认了可用字段与时间口径。</x:v>
      </x:c>
      <x:c r="M762" s="17" t="str"/>
      <x:c r="N762" s="18" t="n">
        <x:v>0</x:v>
      </x:c>
      <x:c r="O762" s="17" t="str">
        <x:v>public_sse_client_estimate</x:v>
      </x:c>
    </x:row>
    <x:row r="763" ht="48" customHeight="1">
      <x:c r="A763" s="17" t="str">
        <x:v>BUS147</x:v>
      </x:c>
      <x:c r="B763" s="17" t="str">
        <x:v>筛选PB低于2的板块。</x:v>
      </x:c>
      <x:c r="C763" s="17" t="n">
        <x:v>3</x:v>
      </x:c>
      <x:c r="D763" s="17" t="str">
        <x:v>数据口径</x:v>
      </x:c>
      <x:c r="E763" s="17" t="str">
        <x:v>13544</x:v>
      </x:c>
      <x:c r="F763" s="17" t="str">
        <x:v>13888.24</x:v>
      </x:c>
      <x:c r="G763" s="18" t="n">
        <x:v>344.24</x:v>
      </x:c>
      <x:c r="H763" s="18" t="n">
        <x:f>IFERROR(G763/1000,"")</x:f>
        <x:v>0.34424</x:v>
      </x:c>
      <x:c r="I763" s="19" t="n">
        <x:f>IFERROR(G763/J763,"")</x:f>
        <x:v>0.01461933417987081</x:v>
      </x:c>
      <x:c r="J763" s="17" t="n">
        <x:v>23546.9</x:v>
      </x:c>
      <x:c r="K763" s="17" t="str"/>
      <x:c r="L763" s="17" t="str">
        <x:v>已定位板块行情视图，并确认了可用字段与时间口径。</x:v>
      </x:c>
      <x:c r="M763" s="17" t="str"/>
      <x:c r="N763" s="18" t="n">
        <x:v>0</x:v>
      </x:c>
      <x:c r="O763" s="17" t="str">
        <x:v>public_sse_client_estimate</x:v>
      </x:c>
    </x:row>
    <x:row r="764" ht="48" customHeight="1">
      <x:c r="A764" s="17" t="str">
        <x:v>BUS147</x:v>
      </x:c>
      <x:c r="B764" s="17" t="str">
        <x:v>筛选PB低于2的板块。</x:v>
      </x:c>
      <x:c r="C764" s="17" t="n">
        <x:v>4</x:v>
      </x:c>
      <x:c r="D764" s="17" t="str">
        <x:v>数据查询 1/1</x:v>
      </x:c>
      <x:c r="E764" s="17" t="str">
        <x:v>17161.39</x:v>
      </x:c>
      <x:c r="F764" s="17" t="str">
        <x:v>21805.12</x:v>
      </x:c>
      <x:c r="G764" s="18" t="n">
        <x:v>4643.73</x:v>
      </x:c>
      <x:c r="H764" s="18" t="n">
        <x:f>IFERROR(G764/1000,"")</x:f>
        <x:v>4.64373</x:v>
      </x:c>
      <x:c r="I764" s="19" t="n">
        <x:f>IFERROR(G764/J764,"")</x:f>
        <x:v>0.19721194722022853</x:v>
      </x:c>
      <x:c r="J764" s="17" t="n">
        <x:v>23546.9</x:v>
      </x:c>
      <x:c r="K764" s="17" t="str"/>
      <x:c r="L764" s="17" t="str">
        <x:v>已完成：查询所有板块的估值数据，筛选出PB（市净率）低于2的板块，当前条件下没有匹配记录。</x:v>
      </x:c>
      <x:c r="M764" s="17" t="str"/>
      <x:c r="N764" s="18" t="n">
        <x:v>3273.15</x:v>
      </x:c>
      <x:c r="O764" s="17" t="str">
        <x:v>public_sse_client_estimate</x:v>
      </x:c>
    </x:row>
    <x:row r="765" ht="48" customHeight="1">
      <x:c r="A765" s="17" t="str">
        <x:v>BUS147</x:v>
      </x:c>
      <x:c r="B765" s="17" t="str">
        <x:v>筛选PB低于2的板块。</x:v>
      </x:c>
      <x:c r="C765" s="17" t="n">
        <x:v>5</x:v>
      </x:c>
      <x:c r="D765" s="17" t="str">
        <x:v>回答整理</x:v>
      </x:c>
      <x:c r="E765" s="17" t="str">
        <x:v>21805.12</x:v>
      </x:c>
      <x:c r="F765" s="17" t="str">
        <x:v>21811.09</x:v>
      </x:c>
      <x:c r="G765" s="18" t="n">
        <x:v>5.97</x:v>
      </x:c>
      <x:c r="H765" s="18" t="n">
        <x:f>IFERROR(G765/1000,"")</x:f>
        <x:v>0.00597</x:v>
      </x:c>
      <x:c r="I765" s="19" t="n">
        <x:f>IFERROR(G765/J765,"")</x:f>
        <x:v>0.0002535365589525585</x:v>
      </x:c>
      <x:c r="J765" s="17" t="n">
        <x:v>23546.9</x:v>
      </x:c>
      <x:c r="K765" s="17" t="str"/>
      <x:c r="L765" s="17" t="str">
        <x:v>证据与回答已整理完成。</x:v>
      </x:c>
      <x:c r="M765" s="17" t="str"/>
      <x:c r="N765" s="18" t="n">
        <x:v>0</x:v>
      </x:c>
      <x:c r="O765" s="17" t="str">
        <x:v>public_sse_client_estimate</x:v>
      </x:c>
    </x:row>
    <x:row r="766" ht="48" customHeight="1">
      <x:c r="A766" s="17" t="str">
        <x:v>BUS148</x:v>
      </x:c>
      <x:c r="B766" s="17" t="str">
        <x:v>查询半导体板块最近估值PE和PS。</x:v>
      </x:c>
      <x:c r="C766" s="17" t="n">
        <x:v>1</x:v>
      </x:c>
      <x:c r="D766" s="17" t="str">
        <x:v>问题理解</x:v>
      </x:c>
      <x:c r="E766" s="17" t="str">
        <x:v>6693.71</x:v>
      </x:c>
      <x:c r="F766" s="17" t="str">
        <x:v>9370.33</x:v>
      </x:c>
      <x:c r="G766" s="18" t="n">
        <x:v>2676.62</x:v>
      </x:c>
      <x:c r="H766" s="18" t="n">
        <x:f>IFERROR(G766/1000,"")</x:f>
        <x:v>2.6766199999999998</x:v>
      </x:c>
      <x:c r="I766" s="19" t="n">
        <x:f>IFERROR(G766/J766,"")</x:f>
        <x:v>0.10157719368818927</x:v>
      </x:c>
      <x:c r="J766" s="17" t="n">
        <x:v>26350.6</x:v>
      </x:c>
      <x:c r="K766" s="17" t="str"/>
      <x:c r="L766" s="17" t="str">
        <x:v>已明确本题的对象与口径，开始获取所需证据。</x:v>
      </x:c>
      <x:c r="M766" s="17" t="str"/>
      <x:c r="N766" s="18" t="n">
        <x:v>6693.71</x:v>
      </x:c>
      <x:c r="O766" s="17" t="str">
        <x:v>public_sse_client_estimate</x:v>
      </x:c>
    </x:row>
    <x:row r="767" ht="48" customHeight="1">
      <x:c r="A767" s="17" t="str">
        <x:v>BUS148</x:v>
      </x:c>
      <x:c r="B767" s="17" t="str">
        <x:v>查询半导体板块最近估值PE和PS。</x:v>
      </x:c>
      <x:c r="C767" s="17" t="n">
        <x:v>2</x:v>
      </x:c>
      <x:c r="D767" s="17" t="str">
        <x:v>数据口径</x:v>
      </x:c>
      <x:c r="E767" s="17" t="str">
        <x:v>9370.33</x:v>
      </x:c>
      <x:c r="F767" s="17" t="str">
        <x:v>9386.25</x:v>
      </x:c>
      <x:c r="G767" s="18" t="n">
        <x:v>15.92</x:v>
      </x:c>
      <x:c r="H767" s="18" t="n">
        <x:f>IFERROR(G767/1000,"")</x:f>
        <x:v>0.01592</x:v>
      </x:c>
      <x:c r="I767" s="19" t="n">
        <x:f>IFERROR(G767/J767,"")</x:f>
        <x:v>0.0006041608160724994</x:v>
      </x:c>
      <x:c r="J767" s="17" t="n">
        <x:v>26350.6</x:v>
      </x:c>
      <x:c r="K767" s="17" t="str"/>
      <x:c r="L767" s="17" t="str">
        <x:v>已定位板块估值视图，并确认了可用字段与时间口径。</x:v>
      </x:c>
      <x:c r="M767" s="17" t="str"/>
      <x:c r="N767" s="18" t="n">
        <x:v>0</x:v>
      </x:c>
      <x:c r="O767" s="17" t="str">
        <x:v>public_sse_client_estimate</x:v>
      </x:c>
    </x:row>
    <x:row r="768" ht="48" customHeight="1">
      <x:c r="A768" s="17" t="str">
        <x:v>BUS148</x:v>
      </x:c>
      <x:c r="B768" s="17" t="str">
        <x:v>查询半导体板块最近估值PE和PS。</x:v>
      </x:c>
      <x:c r="C768" s="17" t="n">
        <x:v>3</x:v>
      </x:c>
      <x:c r="D768" s="17" t="str">
        <x:v>数据查询 1/1</x:v>
      </x:c>
      <x:c r="E768" s="17" t="str">
        <x:v>12094.34</x:v>
      </x:c>
      <x:c r="F768" s="17" t="str">
        <x:v>12107.43</x:v>
      </x:c>
      <x:c r="G768" s="18" t="n">
        <x:v>13.09</x:v>
      </x:c>
      <x:c r="H768" s="18" t="n">
        <x:f>IFERROR(G768/1000,"")</x:f>
        <x:v>0.01309</x:v>
      </x:c>
      <x:c r="I768" s="19" t="n">
        <x:f>IFERROR(G768/J768,"")</x:f>
        <x:v>0.0004967628820596115</x:v>
      </x:c>
      <x:c r="J768" s="17" t="n">
        <x:v>26350.6</x:v>
      </x:c>
      <x:c r="K768" s="17" t="str"/>
      <x:c r="L768" s="17" t="str">
        <x:v>第 1 步的数据请求与目录口径不一致，正在修正。</x:v>
      </x:c>
      <x:c r="M768" s="17" t="str"/>
      <x:c r="N768" s="18" t="n">
        <x:v>2708.09</x:v>
      </x:c>
      <x:c r="O768" s="17" t="str">
        <x:v>public_sse_client_estimate</x:v>
      </x:c>
    </x:row>
    <x:row r="769" ht="48" customHeight="1">
      <x:c r="A769" s="17" t="str">
        <x:v>BUS148</x:v>
      </x:c>
      <x:c r="B769" s="17" t="str">
        <x:v>查询半导体板块最近估值PE和PS。</x:v>
      </x:c>
      <x:c r="C769" s="17" t="n">
        <x:v>4</x:v>
      </x:c>
      <x:c r="D769" s="17" t="str">
        <x:v>数据查询 1/1</x:v>
      </x:c>
      <x:c r="E769" s="17" t="str">
        <x:v>15421.51</x:v>
      </x:c>
      <x:c r="F769" s="17" t="str">
        <x:v>16118.07</x:v>
      </x:c>
      <x:c r="G769" s="18" t="n">
        <x:v>696.56</x:v>
      </x:c>
      <x:c r="H769" s="18" t="n">
        <x:f>IFERROR(G769/1000,"")</x:f>
        <x:v>0.69656</x:v>
      </x:c>
      <x:c r="I769" s="19" t="n">
        <x:f>IFERROR(G769/J769,"")</x:f>
        <x:v>0.026434312691172118</x:v>
      </x:c>
      <x:c r="J769" s="17" t="n">
        <x:v>26350.6</x:v>
      </x:c>
      <x:c r="K769" s="17" t="str"/>
      <x:c r="L769" s="17" t="str">
        <x:v>已完成：查询半导体板块的基本信息，获取板块代码，取得 7 条记录。</x:v>
      </x:c>
      <x:c r="M769" s="17" t="str"/>
      <x:c r="N769" s="18" t="n">
        <x:v>3314.08</x:v>
      </x:c>
      <x:c r="O769" s="17" t="str">
        <x:v>public_sse_client_estimate</x:v>
      </x:c>
    </x:row>
    <x:row r="770" ht="48" customHeight="1">
      <x:c r="A770" s="17" t="str">
        <x:v>BUS148</x:v>
      </x:c>
      <x:c r="B770" s="17" t="str">
        <x:v>查询半导体板块最近估值PE和PS。</x:v>
      </x:c>
      <x:c r="C770" s="17" t="n">
        <x:v>5</x:v>
      </x:c>
      <x:c r="D770" s="17" t="str">
        <x:v>数据查询 1/1</x:v>
      </x:c>
      <x:c r="E770" s="17" t="str">
        <x:v>19113.67</x:v>
      </x:c>
      <x:c r="F770" s="17" t="str">
        <x:v>19632.31</x:v>
      </x:c>
      <x:c r="G770" s="18" t="n">
        <x:v>518.64</x:v>
      </x:c>
      <x:c r="H770" s="18" t="n">
        <x:f>IFERROR(G770/1000,"")</x:f>
        <x:v>0.51864</x:v>
      </x:c>
      <x:c r="I770" s="19" t="n">
        <x:f>IFERROR(G770/J770,"")</x:f>
        <x:v>0.019682284274361875</x:v>
      </x:c>
      <x:c r="J770" s="17" t="n">
        <x:v>26350.6</x:v>
      </x:c>
      <x:c r="K770" s="17" t="str"/>
      <x:c r="L770" s="17" t="str">
        <x:v>已完成：查询半导体板块（883720）的最新估值：PE和PS，取得 1 条记录。</x:v>
      </x:c>
      <x:c r="M770" s="17" t="str"/>
      <x:c r="N770" s="18" t="n">
        <x:v>2995.6</x:v>
      </x:c>
      <x:c r="O770" s="17" t="str">
        <x:v>public_sse_client_estimate</x:v>
      </x:c>
    </x:row>
    <x:row r="771" ht="48" customHeight="1">
      <x:c r="A771" s="17" t="str">
        <x:v>BUS148</x:v>
      </x:c>
      <x:c r="B771" s="17" t="str">
        <x:v>查询半导体板块最近估值PE和PS。</x:v>
      </x:c>
      <x:c r="C771" s="17" t="n">
        <x:v>6</x:v>
      </x:c>
      <x:c r="D771" s="17" t="str">
        <x:v>回答整理</x:v>
      </x:c>
      <x:c r="E771" s="17" t="str">
        <x:v>19632.31</x:v>
      </x:c>
      <x:c r="F771" s="17" t="str">
        <x:v>22959.13</x:v>
      </x:c>
      <x:c r="G771" s="18" t="n">
        <x:v>3326.82</x:v>
      </x:c>
      <x:c r="H771" s="18" t="n">
        <x:f>IFERROR(G771/1000,"")</x:f>
        <x:v>3.32682</x:v>
      </x:c>
      <x:c r="I771" s="19" t="n">
        <x:f>IFERROR(G771/J771,"")</x:f>
        <x:v>0.12625215365115028</x:v>
      </x:c>
      <x:c r="J771" s="17" t="n">
        <x:v>26350.6</x:v>
      </x:c>
      <x:c r="K771" s="17" t="str"/>
      <x:c r="L771" s="17" t="str">
        <x:v>证据与回答已整理完成。</x:v>
      </x:c>
      <x:c r="M771" s="17" t="str"/>
      <x:c r="N771" s="18" t="n">
        <x:v>0</x:v>
      </x:c>
      <x:c r="O771" s="17" t="str">
        <x:v>public_sse_client_estimate</x:v>
      </x:c>
    </x:row>
    <x:row r="772" ht="48" customHeight="1">
      <x:c r="A772" s="17" t="str">
        <x:v>BUS149</x:v>
      </x:c>
      <x:c r="B772" s="17" t="str">
        <x:v>筛选PS_TTM低于3的板块。</x:v>
      </x:c>
      <x:c r="C772" s="17" t="n">
        <x:v>1</x:v>
      </x:c>
      <x:c r="D772" s="17" t="str">
        <x:v>问题理解</x:v>
      </x:c>
      <x:c r="E772" s="17" t="str">
        <x:v>5644</x:v>
      </x:c>
      <x:c r="F772" s="17" t="str">
        <x:v>8167.95</x:v>
      </x:c>
      <x:c r="G772" s="18" t="n">
        <x:v>2523.95</x:v>
      </x:c>
      <x:c r="H772" s="18" t="n">
        <x:f>IFERROR(G772/1000,"")</x:f>
        <x:v>2.5239499999999997</x:v>
      </x:c>
      <x:c r="I772" s="19" t="n">
        <x:f>IFERROR(G772/J772,"")</x:f>
        <x:v>0.0744925317101274</x:v>
      </x:c>
      <x:c r="J772" s="17" t="n">
        <x:v>33881.92</x:v>
      </x:c>
      <x:c r="K772" s="17" t="str"/>
      <x:c r="L772" s="17" t="str">
        <x:v>已明确本题的对象与口径，开始获取所需证据。</x:v>
      </x:c>
      <x:c r="M772" s="17" t="str"/>
      <x:c r="N772" s="18" t="n">
        <x:v>5644</x:v>
      </x:c>
      <x:c r="O772" s="17" t="str">
        <x:v>public_sse_client_estimate</x:v>
      </x:c>
    </x:row>
    <x:row r="773" ht="48" customHeight="1">
      <x:c r="A773" s="17" t="str">
        <x:v>BUS149</x:v>
      </x:c>
      <x:c r="B773" s="17" t="str">
        <x:v>筛选PS_TTM低于3的板块。</x:v>
      </x:c>
      <x:c r="C773" s="17" t="n">
        <x:v>2</x:v>
      </x:c>
      <x:c r="D773" s="17" t="str">
        <x:v>数据口径</x:v>
      </x:c>
      <x:c r="E773" s="17" t="str">
        <x:v>8167.95</x:v>
      </x:c>
      <x:c r="F773" s="17" t="str">
        <x:v>8190.67</x:v>
      </x:c>
      <x:c r="G773" s="18" t="n">
        <x:v>22.72</x:v>
      </x:c>
      <x:c r="H773" s="18" t="n">
        <x:f>IFERROR(G773/1000,"")</x:f>
        <x:v>0.022719999999999997</x:v>
      </x:c>
      <x:c r="I773" s="19" t="n">
        <x:f>IFERROR(G773/J773,"")</x:f>
        <x:v>0.0006705641238749162</x:v>
      </x:c>
      <x:c r="J773" s="17" t="n">
        <x:v>33881.92</x:v>
      </x:c>
      <x:c r="K773" s="17" t="str"/>
      <x:c r="L773" s="17" t="str">
        <x:v>已定位板块估值视图，并确认了可用字段与时间口径。</x:v>
      </x:c>
      <x:c r="M773" s="17" t="str"/>
      <x:c r="N773" s="18" t="n">
        <x:v>0</x:v>
      </x:c>
      <x:c r="O773" s="17" t="str">
        <x:v>public_sse_client_estimate</x:v>
      </x:c>
    </x:row>
    <x:row r="774" ht="48" customHeight="1">
      <x:c r="A774" s="17" t="str">
        <x:v>BUS149</x:v>
      </x:c>
      <x:c r="B774" s="17" t="str">
        <x:v>筛选PS_TTM低于3的板块。</x:v>
      </x:c>
      <x:c r="C774" s="17" t="n">
        <x:v>3</x:v>
      </x:c>
      <x:c r="D774" s="17" t="str">
        <x:v>数据口径</x:v>
      </x:c>
      <x:c r="E774" s="17" t="str">
        <x:v>8190.67</x:v>
      </x:c>
      <x:c r="F774" s="17" t="str">
        <x:v>11409.52</x:v>
      </x:c>
      <x:c r="G774" s="18" t="n">
        <x:v>3218.85</x:v>
      </x:c>
      <x:c r="H774" s="18" t="n">
        <x:f>IFERROR(G774/1000,"")</x:f>
        <x:v>3.2188499999999998</x:v>
      </x:c>
      <x:c r="I774" s="19" t="n">
        <x:f>IFERROR(G774/J774,"")</x:f>
        <x:v>0.09500199516438265</x:v>
      </x:c>
      <x:c r="J774" s="17" t="n">
        <x:v>33881.92</x:v>
      </x:c>
      <x:c r="K774" s="17" t="str"/>
      <x:c r="L774" s="17" t="str">
        <x:v>已定位板块行情视图，并确认了可用字段与时间口径。</x:v>
      </x:c>
      <x:c r="M774" s="17" t="str"/>
      <x:c r="N774" s="18" t="n">
        <x:v>0</x:v>
      </x:c>
      <x:c r="O774" s="17" t="str">
        <x:v>public_sse_client_estimate</x:v>
      </x:c>
    </x:row>
    <x:row r="775" ht="48" customHeight="1">
      <x:c r="A775" s="17" t="str">
        <x:v>BUS149</x:v>
      </x:c>
      <x:c r="B775" s="17" t="str">
        <x:v>筛选PS_TTM低于3的板块。</x:v>
      </x:c>
      <x:c r="C775" s="17" t="n">
        <x:v>4</x:v>
      </x:c>
      <x:c r="D775" s="17" t="str">
        <x:v>数据查询 1/1</x:v>
      </x:c>
      <x:c r="E775" s="17" t="str">
        <x:v>15827.64</x:v>
      </x:c>
      <x:c r="F775" s="17" t="str">
        <x:v>16511.22</x:v>
      </x:c>
      <x:c r="G775" s="18" t="n">
        <x:v>683.58</x:v>
      </x:c>
      <x:c r="H775" s="18" t="n">
        <x:f>IFERROR(G775/1000,"")</x:f>
        <x:v>0.6835800000000001</x:v>
      </x:c>
      <x:c r="I775" s="19" t="n">
        <x:f>IFERROR(G775/J775,"")</x:f>
        <x:v>0.020175361962958417</x:v>
      </x:c>
      <x:c r="J775" s="17" t="n">
        <x:v>33881.92</x:v>
      </x:c>
      <x:c r="K775" s="17" t="str"/>
      <x:c r="L775" s="17" t="str">
        <x:v>已完成：查询所有板块的最新估值数据，筛选PS（市销率）低于3的板块，取得 50 条记录。</x:v>
      </x:c>
      <x:c r="M775" s="17" t="str"/>
      <x:c r="N775" s="18" t="n">
        <x:v>4418.12</x:v>
      </x:c>
      <x:c r="O775" s="17" t="str">
        <x:v>public_sse_client_estimate</x:v>
      </x:c>
    </x:row>
    <x:row r="776" ht="48" customHeight="1">
      <x:c r="A776" s="17" t="str">
        <x:v>BUS149</x:v>
      </x:c>
      <x:c r="B776" s="17" t="str">
        <x:v>筛选PS_TTM低于3的板块。</x:v>
      </x:c>
      <x:c r="C776" s="17" t="n">
        <x:v>5</x:v>
      </x:c>
      <x:c r="D776" s="17" t="str">
        <x:v>回答整理</x:v>
      </x:c>
      <x:c r="E776" s="17" t="str">
        <x:v>16511.22</x:v>
      </x:c>
      <x:c r="F776" s="17" t="str">
        <x:v>31068.4</x:v>
      </x:c>
      <x:c r="G776" s="18" t="n">
        <x:v>14557.18</x:v>
      </x:c>
      <x:c r="H776" s="18" t="n">
        <x:f>IFERROR(G776/1000,"")</x:f>
        <x:v>14.55718</x:v>
      </x:c>
      <x:c r="I776" s="19" t="n">
        <x:f>IFERROR(G776/J776,"")</x:f>
        <x:v>0.42964448295728225</x:v>
      </x:c>
      <x:c r="J776" s="17" t="n">
        <x:v>33881.92</x:v>
      </x:c>
      <x:c r="K776" s="17" t="str"/>
      <x:c r="L776" s="17" t="str">
        <x:v>证据与回答已整理完成。</x:v>
      </x:c>
      <x:c r="M776" s="17" t="str"/>
      <x:c r="N776" s="18" t="n">
        <x:v>0</x:v>
      </x:c>
      <x:c r="O776" s="17" t="str">
        <x:v>public_sse_client_estimate</x:v>
      </x:c>
    </x:row>
    <x:row r="777" ht="48" customHeight="1">
      <x:c r="A777" s="17" t="str">
        <x:v>BUS150</x:v>
      </x:c>
      <x:c r="B777" s="17" t="str">
        <x:v>查询证券板块最新PE、PB和PS。</x:v>
      </x:c>
      <x:c r="C777" s="17" t="n">
        <x:v>1</x:v>
      </x:c>
      <x:c r="D777" s="17" t="str">
        <x:v>问题理解</x:v>
      </x:c>
      <x:c r="E777" s="17" t="str">
        <x:v>7399.07</x:v>
      </x:c>
      <x:c r="F777" s="17" t="str">
        <x:v>11042.29</x:v>
      </x:c>
      <x:c r="G777" s="18" t="n">
        <x:v>3643.22</x:v>
      </x:c>
      <x:c r="H777" s="18" t="n">
        <x:f>IFERROR(G777/1000,"")</x:f>
        <x:v>3.64322</x:v>
      </x:c>
      <x:c r="I777" s="19" t="n">
        <x:f>IFERROR(G777/J777,"")</x:f>
        <x:v>0.11622473309483658</x:v>
      </x:c>
      <x:c r="J777" s="17" t="n">
        <x:v>31346.34</x:v>
      </x:c>
      <x:c r="K777" s="17" t="str"/>
      <x:c r="L777" s="17" t="str">
        <x:v>已明确本题的对象与口径，开始获取所需证据。</x:v>
      </x:c>
      <x:c r="M777" s="17" t="str"/>
      <x:c r="N777" s="18" t="n">
        <x:v>7399.07</x:v>
      </x:c>
      <x:c r="O777" s="17" t="str">
        <x:v>public_sse_client_estimate</x:v>
      </x:c>
    </x:row>
    <x:row r="778" ht="48" customHeight="1">
      <x:c r="A778" s="17" t="str">
        <x:v>BUS150</x:v>
      </x:c>
      <x:c r="B778" s="17" t="str">
        <x:v>查询证券板块最新PE、PB和PS。</x:v>
      </x:c>
      <x:c r="C778" s="17" t="n">
        <x:v>2</x:v>
      </x:c>
      <x:c r="D778" s="17" t="str">
        <x:v>数据口径</x:v>
      </x:c>
      <x:c r="E778" s="17" t="str">
        <x:v>11042.29</x:v>
      </x:c>
      <x:c r="F778" s="17" t="str">
        <x:v>15346.4</x:v>
      </x:c>
      <x:c r="G778" s="18" t="n">
        <x:v>4304.11</x:v>
      </x:c>
      <x:c r="H778" s="18" t="n">
        <x:f>IFERROR(G778/1000,"")</x:f>
        <x:v>4.30411</x:v>
      </x:c>
      <x:c r="I778" s="19" t="n">
        <x:f>IFERROR(G778/J778,"")</x:f>
        <x:v>0.137308215249372</x:v>
      </x:c>
      <x:c r="J778" s="17" t="n">
        <x:v>31346.34</x:v>
      </x:c>
      <x:c r="K778" s="17" t="str"/>
      <x:c r="L778" s="17" t="str">
        <x:v>暂时无法确认本题所需的数据口径。</x:v>
      </x:c>
      <x:c r="M778" s="17" t="str"/>
      <x:c r="N778" s="18" t="n">
        <x:v>0</x:v>
      </x:c>
      <x:c r="O778" s="17" t="str">
        <x:v>public_sse_client_estimate</x:v>
      </x:c>
    </x:row>
    <x:row r="779" ht="48" customHeight="1">
      <x:c r="A779" s="17" t="str">
        <x:v>BUS150</x:v>
      </x:c>
      <x:c r="B779" s="17" t="str">
        <x:v>查询证券板块最新PE、PB和PS。</x:v>
      </x:c>
      <x:c r="C779" s="17" t="n">
        <x:v>3</x:v>
      </x:c>
      <x:c r="D779" s="17" t="str">
        <x:v>数据口径</x:v>
      </x:c>
      <x:c r="E779" s="17" t="str">
        <x:v>15346.4</x:v>
      </x:c>
      <x:c r="F779" s="17" t="str">
        <x:v>15357.66</x:v>
      </x:c>
      <x:c r="G779" s="18" t="n">
        <x:v>11.26</x:v>
      </x:c>
      <x:c r="H779" s="18" t="n">
        <x:f>IFERROR(G779/1000,"")</x:f>
        <x:v>0.01126</x:v>
      </x:c>
      <x:c r="I779" s="19" t="n">
        <x:f>IFERROR(G779/J779,"")</x:f>
        <x:v>0.00035921259068841846</x:v>
      </x:c>
      <x:c r="J779" s="17" t="n">
        <x:v>31346.34</x:v>
      </x:c>
      <x:c r="K779" s="17" t="str"/>
      <x:c r="L779" s="17" t="str">
        <x:v>已定位板块估值视图，并确认了可用字段与时间口径。</x:v>
      </x:c>
      <x:c r="M779" s="17" t="str"/>
      <x:c r="N779" s="18" t="n">
        <x:v>0</x:v>
      </x:c>
      <x:c r="O779" s="17" t="str">
        <x:v>public_sse_client_estimate</x:v>
      </x:c>
    </x:row>
    <x:row r="780" ht="48" customHeight="1">
      <x:c r="A780" s="17" t="str">
        <x:v>BUS150</x:v>
      </x:c>
      <x:c r="B780" s="17" t="str">
        <x:v>查询证券板块最新PE、PB和PS。</x:v>
      </x:c>
      <x:c r="C780" s="17" t="n">
        <x:v>4</x:v>
      </x:c>
      <x:c r="D780" s="17" t="str">
        <x:v>数据口径</x:v>
      </x:c>
      <x:c r="E780" s="17" t="str">
        <x:v>15357.66</x:v>
      </x:c>
      <x:c r="F780" s="17" t="str">
        <x:v>17918.63</x:v>
      </x:c>
      <x:c r="G780" s="18" t="n">
        <x:v>2560.97</x:v>
      </x:c>
      <x:c r="H780" s="18" t="n">
        <x:f>IFERROR(G780/1000,"")</x:f>
        <x:v>2.5609699999999997</x:v>
      </x:c>
      <x:c r="I780" s="19" t="n">
        <x:f>IFERROR(G780/J780,"")</x:f>
        <x:v>0.08169917125890933</x:v>
      </x:c>
      <x:c r="J780" s="17" t="n">
        <x:v>31346.34</x:v>
      </x:c>
      <x:c r="K780" s="17" t="str"/>
      <x:c r="L780" s="17" t="str">
        <x:v>已定位板块基础信息视图，并确认了可用字段与时间口径。</x:v>
      </x:c>
      <x:c r="M780" s="17" t="str"/>
      <x:c r="N780" s="18" t="n">
        <x:v>0</x:v>
      </x:c>
      <x:c r="O780" s="17" t="str">
        <x:v>public_sse_client_estimate</x:v>
      </x:c>
    </x:row>
    <x:row r="781" ht="48" customHeight="1">
      <x:c r="A781" s="17" t="str">
        <x:v>BUS150</x:v>
      </x:c>
      <x:c r="B781" s="17" t="str">
        <x:v>查询证券板块最新PE、PB和PS。</x:v>
      </x:c>
      <x:c r="C781" s="17" t="n">
        <x:v>5</x:v>
      </x:c>
      <x:c r="D781" s="17" t="str">
        <x:v>数据查询 1/1</x:v>
      </x:c>
      <x:c r="E781" s="17" t="str">
        <x:v>20677.24</x:v>
      </x:c>
      <x:c r="F781" s="17" t="str">
        <x:v>21270.41</x:v>
      </x:c>
      <x:c r="G781" s="18" t="n">
        <x:v>593.17</x:v>
      </x:c>
      <x:c r="H781" s="18" t="n">
        <x:f>IFERROR(G781/1000,"")</x:f>
        <x:v>0.59317</x:v>
      </x:c>
      <x:c r="I781" s="19" t="n">
        <x:f>IFERROR(G781/J781,"")</x:f>
        <x:v>0.018923102346238826</x:v>
      </x:c>
      <x:c r="J781" s="17" t="n">
        <x:v>31346.34</x:v>
      </x:c>
      <x:c r="K781" s="17" t="str"/>
      <x:c r="L781" s="17" t="str">
        <x:v>已完成：查找证券板块的代码和名称，取得 1 条记录。</x:v>
      </x:c>
      <x:c r="M781" s="17" t="str"/>
      <x:c r="N781" s="18" t="n">
        <x:v>2758.61</x:v>
      </x:c>
      <x:c r="O781" s="17" t="str">
        <x:v>public_sse_client_estimate</x:v>
      </x:c>
    </x:row>
    <x:row r="782" ht="48" customHeight="1">
      <x:c r="A782" s="17" t="str">
        <x:v>BUS150</x:v>
      </x:c>
      <x:c r="B782" s="17" t="str">
        <x:v>查询证券板块最新PE、PB和PS。</x:v>
      </x:c>
      <x:c r="C782" s="17" t="n">
        <x:v>6</x:v>
      </x:c>
      <x:c r="D782" s="17" t="str">
        <x:v>数据查询 1/1</x:v>
      </x:c>
      <x:c r="E782" s="17" t="str">
        <x:v>24160.63</x:v>
      </x:c>
      <x:c r="F782" s="17" t="str">
        <x:v>24764.99</x:v>
      </x:c>
      <x:c r="G782" s="18" t="n">
        <x:v>604.36</x:v>
      </x:c>
      <x:c r="H782" s="18" t="n">
        <x:f>IFERROR(G782/1000,"")</x:f>
        <x:v>0.60436</x:v>
      </x:c>
      <x:c r="I782" s="19" t="n">
        <x:f>IFERROR(G782/J782,"")</x:f>
        <x:v>0.019280081821354583</x:v>
      </x:c>
      <x:c r="J782" s="17" t="n">
        <x:v>31346.34</x:v>
      </x:c>
      <x:c r="K782" s="17" t="str"/>
      <x:c r="L782" s="17" t="str">
        <x:v>已完成：查询证券板块（884162）的最新PE、PB、PS估值数据，取得 1 条记录。</x:v>
      </x:c>
      <x:c r="M782" s="17" t="str"/>
      <x:c r="N782" s="18" t="n">
        <x:v>2890.22</x:v>
      </x:c>
      <x:c r="O782" s="17" t="str">
        <x:v>public_sse_client_estimate</x:v>
      </x:c>
    </x:row>
    <x:row r="783" ht="48" customHeight="1">
      <x:c r="A783" s="17" t="str">
        <x:v>BUS150</x:v>
      </x:c>
      <x:c r="B783" s="17" t="str">
        <x:v>查询证券板块最新PE、PB和PS。</x:v>
      </x:c>
      <x:c r="C783" s="17" t="n">
        <x:v>7</x:v>
      </x:c>
      <x:c r="D783" s="17" t="str">
        <x:v>回答整理</x:v>
      </x:c>
      <x:c r="E783" s="17" t="str">
        <x:v>24764.99</x:v>
      </x:c>
      <x:c r="F783" s="17" t="str">
        <x:v>28605.66</x:v>
      </x:c>
      <x:c r="G783" s="18" t="n">
        <x:v>3840.67</x:v>
      </x:c>
      <x:c r="H783" s="18" t="n">
        <x:f>IFERROR(G783/1000,"")</x:f>
        <x:v>3.8406700000000003</x:v>
      </x:c>
      <x:c r="I783" s="19" t="n">
        <x:f>IFERROR(G783/J783,"")</x:f>
        <x:v>0.12252371409229913</x:v>
      </x:c>
      <x:c r="J783" s="17" t="n">
        <x:v>31346.34</x:v>
      </x:c>
      <x:c r="K783" s="17" t="str"/>
      <x:c r="L783" s="17" t="str">
        <x:v>证据与回答已整理完成。</x:v>
      </x:c>
      <x:c r="M783" s="17" t="str"/>
      <x:c r="N783" s="18" t="n">
        <x:v>0</x:v>
      </x:c>
      <x:c r="O783" s="17" t="str">
        <x:v>public_sse_client_estimate</x:v>
      </x:c>
    </x:row>
    <x:row r="784" ht="48" customHeight="1">
      <x:c r="A784" s="17" t="str">
        <x:v>BUS151</x:v>
      </x:c>
      <x:c r="B784" s="17" t="str">
        <x:v>查询人工智能板块当前成分股。</x:v>
      </x:c>
      <x:c r="C784" s="17" t="n">
        <x:v>1</x:v>
      </x:c>
      <x:c r="D784" s="17" t="str">
        <x:v>问题理解</x:v>
      </x:c>
      <x:c r="E784" s="17" t="str">
        <x:v>6365.32</x:v>
      </x:c>
      <x:c r="F784" s="17" t="str">
        <x:v>9957.69</x:v>
      </x:c>
      <x:c r="G784" s="18" t="n">
        <x:v>3592.37</x:v>
      </x:c>
      <x:c r="H784" s="18" t="n">
        <x:f>IFERROR(G784/1000,"")</x:f>
        <x:v>3.59237</x:v>
      </x:c>
      <x:c r="I784" s="19" t="n">
        <x:f>IFERROR(G784/J784,"")</x:f>
        <x:v>0.09720268026642481</x:v>
      </x:c>
      <x:c r="J784" s="17" t="n">
        <x:v>36957.52</x:v>
      </x:c>
      <x:c r="K784" s="17" t="str"/>
      <x:c r="L784" s="17" t="str">
        <x:v>已明确本题的对象与口径，开始获取所需证据。</x:v>
      </x:c>
      <x:c r="M784" s="17" t="str"/>
      <x:c r="N784" s="18" t="n">
        <x:v>6365.32</x:v>
      </x:c>
      <x:c r="O784" s="17" t="str">
        <x:v>public_sse_client_estimate</x:v>
      </x:c>
    </x:row>
    <x:row r="785" ht="48" customHeight="1">
      <x:c r="A785" s="17" t="str">
        <x:v>BUS151</x:v>
      </x:c>
      <x:c r="B785" s="17" t="str">
        <x:v>查询人工智能板块当前成分股。</x:v>
      </x:c>
      <x:c r="C785" s="17" t="n">
        <x:v>2</x:v>
      </x:c>
      <x:c r="D785" s="17" t="str">
        <x:v>数据口径</x:v>
      </x:c>
      <x:c r="E785" s="17" t="str">
        <x:v>9957.69</x:v>
      </x:c>
      <x:c r="F785" s="17" t="str">
        <x:v>10030.31</x:v>
      </x:c>
      <x:c r="G785" s="18" t="n">
        <x:v>72.62</x:v>
      </x:c>
      <x:c r="H785" s="18" t="n">
        <x:f>IFERROR(G785/1000,"")</x:f>
        <x:v>0.07262</x:v>
      </x:c>
      <x:c r="I785" s="19" t="n">
        <x:f>IFERROR(G785/J785,"")</x:f>
        <x:v>0.0019649586877041538</x:v>
      </x:c>
      <x:c r="J785" s="17" t="n">
        <x:v>36957.52</x:v>
      </x:c>
      <x:c r="K785" s="17" t="str"/>
      <x:c r="L785" s="17" t="str">
        <x:v>已定位板块成分关系视图，并确认了可用字段与时间口径。</x:v>
      </x:c>
      <x:c r="M785" s="17" t="str"/>
      <x:c r="N785" s="18" t="n">
        <x:v>0</x:v>
      </x:c>
      <x:c r="O785" s="17" t="str">
        <x:v>public_sse_client_estimate</x:v>
      </x:c>
    </x:row>
    <x:row r="786" ht="48" customHeight="1">
      <x:c r="A786" s="17" t="str">
        <x:v>BUS151</x:v>
      </x:c>
      <x:c r="B786" s="17" t="str">
        <x:v>查询人工智能板块当前成分股。</x:v>
      </x:c>
      <x:c r="C786" s="17" t="n">
        <x:v>3</x:v>
      </x:c>
      <x:c r="D786" s="17" t="str">
        <x:v>数据查询 1/1</x:v>
      </x:c>
      <x:c r="E786" s="17" t="str">
        <x:v>12586.85</x:v>
      </x:c>
      <x:c r="F786" s="17" t="str">
        <x:v>13102.57</x:v>
      </x:c>
      <x:c r="G786" s="18" t="n">
        <x:v>515.72</x:v>
      </x:c>
      <x:c r="H786" s="18" t="n">
        <x:f>IFERROR(G786/1000,"")</x:f>
        <x:v>0.5157200000000001</x:v>
      </x:c>
      <x:c r="I786" s="19" t="n">
        <x:f>IFERROR(G786/J786,"")</x:f>
        <x:v>0.013954399537631315</x:v>
      </x:c>
      <x:c r="J786" s="17" t="n">
        <x:v>36957.52</x:v>
      </x:c>
      <x:c r="K786" s="17" t="str"/>
      <x:c r="L786" s="17" t="str">
        <x:v>已完成：查询人工智能板块的所有成分股，取得 100 条记录。</x:v>
      </x:c>
      <x:c r="M786" s="17" t="str"/>
      <x:c r="N786" s="18" t="n">
        <x:v>2556.54</x:v>
      </x:c>
      <x:c r="O786" s="17" t="str">
        <x:v>public_sse_client_estimate</x:v>
      </x:c>
    </x:row>
    <x:row r="787" ht="48" customHeight="1">
      <x:c r="A787" s="17" t="str">
        <x:v>BUS151</x:v>
      </x:c>
      <x:c r="B787" s="17" t="str">
        <x:v>查询人工智能板块当前成分股。</x:v>
      </x:c>
      <x:c r="C787" s="17" t="n">
        <x:v>4</x:v>
      </x:c>
      <x:c r="D787" s="17" t="str">
        <x:v>回答整理</x:v>
      </x:c>
      <x:c r="E787" s="17" t="str">
        <x:v>13102.57</x:v>
      </x:c>
      <x:c r="F787" s="17" t="str">
        <x:v>34082.7</x:v>
      </x:c>
      <x:c r="G787" s="18" t="n">
        <x:v>20980.13</x:v>
      </x:c>
      <x:c r="H787" s="18" t="n">
        <x:f>IFERROR(G787/1000,"")</x:f>
        <x:v>20.980130000000003</x:v>
      </x:c>
      <x:c r="I787" s="19" t="n">
        <x:f>IFERROR(G787/J787,"")</x:f>
        <x:v>0.5676823011933702</x:v>
      </x:c>
      <x:c r="J787" s="17" t="n">
        <x:v>36957.52</x:v>
      </x:c>
      <x:c r="K787" s="17" t="str"/>
      <x:c r="L787" s="17" t="str">
        <x:v>证据与回答已整理完成。</x:v>
      </x:c>
      <x:c r="M787" s="17" t="str"/>
      <x:c r="N787" s="18" t="n">
        <x:v>0</x:v>
      </x:c>
      <x:c r="O787" s="17" t="str">
        <x:v>public_sse_client_estimate</x:v>
      </x:c>
    </x:row>
    <x:row r="788" ht="48" customHeight="1">
      <x:c r="A788" s="17" t="str">
        <x:v>BUS152</x:v>
      </x:c>
      <x:c r="B788" s="17" t="str">
        <x:v>查询半导体板块权重最高的前20只成分股。</x:v>
      </x:c>
      <x:c r="C788" s="17" t="n">
        <x:v>1</x:v>
      </x:c>
      <x:c r="D788" s="17" t="str">
        <x:v>问题理解</x:v>
      </x:c>
      <x:c r="E788" s="17" t="str">
        <x:v>5536.52</x:v>
      </x:c>
      <x:c r="F788" s="17" t="str">
        <x:v>7842.48</x:v>
      </x:c>
      <x:c r="G788" s="18" t="n">
        <x:v>2305.96</x:v>
      </x:c>
      <x:c r="H788" s="18" t="n">
        <x:f>IFERROR(G788/1000,"")</x:f>
        <x:v>2.3059600000000002</x:v>
      </x:c>
      <x:c r="I788" s="19" t="n">
        <x:f>IFERROR(G788/J788,"")</x:f>
        <x:v>0.04934001767370406</x:v>
      </x:c>
      <x:c r="J788" s="17" t="n">
        <x:v>46736.1</x:v>
      </x:c>
      <x:c r="K788" s="17" t="str"/>
      <x:c r="L788" s="17" t="str">
        <x:v>已明确本题的对象与口径，开始获取所需证据。</x:v>
      </x:c>
      <x:c r="M788" s="17" t="str"/>
      <x:c r="N788" s="18" t="n">
        <x:v>5536.52</x:v>
      </x:c>
      <x:c r="O788" s="17" t="str">
        <x:v>public_sse_client_estimate</x:v>
      </x:c>
    </x:row>
    <x:row r="789" ht="48" customHeight="1">
      <x:c r="A789" s="17" t="str">
        <x:v>BUS152</x:v>
      </x:c>
      <x:c r="B789" s="17" t="str">
        <x:v>查询半导体板块权重最高的前20只成分股。</x:v>
      </x:c>
      <x:c r="C789" s="17" t="n">
        <x:v>2</x:v>
      </x:c>
      <x:c r="D789" s="17" t="str">
        <x:v>数据口径</x:v>
      </x:c>
      <x:c r="E789" s="17" t="str">
        <x:v>7842.48</x:v>
      </x:c>
      <x:c r="F789" s="17" t="str">
        <x:v>7884.59</x:v>
      </x:c>
      <x:c r="G789" s="18" t="n">
        <x:v>42.11</x:v>
      </x:c>
      <x:c r="H789" s="18" t="n">
        <x:f>IFERROR(G789/1000,"")</x:f>
        <x:v>0.04211</x:v>
      </x:c>
      <x:c r="I789" s="19" t="n">
        <x:f>IFERROR(G789/J789,"")</x:f>
        <x:v>0.0009010165589341002</x:v>
      </x:c>
      <x:c r="J789" s="17" t="n">
        <x:v>46736.1</x:v>
      </x:c>
      <x:c r="K789" s="17" t="str"/>
      <x:c r="L789" s="17" t="str">
        <x:v>已定位板块成分关系视图，并确认了可用字段与时间口径。</x:v>
      </x:c>
      <x:c r="M789" s="17" t="str"/>
      <x:c r="N789" s="18" t="n">
        <x:v>0</x:v>
      </x:c>
      <x:c r="O789" s="17" t="str">
        <x:v>public_sse_client_estimate</x:v>
      </x:c>
    </x:row>
    <x:row r="790" ht="48" customHeight="1">
      <x:c r="A790" s="17" t="str">
        <x:v>BUS152</x:v>
      </x:c>
      <x:c r="B790" s="17" t="str">
        <x:v>查询半导体板块权重最高的前20只成分股。</x:v>
      </x:c>
      <x:c r="C790" s="17" t="n">
        <x:v>3</x:v>
      </x:c>
      <x:c r="D790" s="17" t="str">
        <x:v>数据查询 1/1</x:v>
      </x:c>
      <x:c r="E790" s="17" t="str">
        <x:v>10893.29</x:v>
      </x:c>
      <x:c r="F790" s="17" t="str">
        <x:v>11468.05</x:v>
      </x:c>
      <x:c r="G790" s="18" t="n">
        <x:v>574.76</x:v>
      </x:c>
      <x:c r="H790" s="18" t="n">
        <x:f>IFERROR(G790/1000,"")</x:f>
        <x:v>0.5747599999999999</x:v>
      </x:c>
      <x:c r="I790" s="19" t="n">
        <x:f>IFERROR(G790/J790,"")</x:f>
        <x:v>0.01229798806490058</x:v>
      </x:c>
      <x:c r="J790" s="17" t="n">
        <x:v>46736.1</x:v>
      </x:c>
      <x:c r="K790" s="17" t="str"/>
      <x:c r="L790" s="17" t="str">
        <x:v>已完成：查询半导体板块权重最高的前20只成分股，取得 20 条记录。</x:v>
      </x:c>
      <x:c r="M790" s="17" t="str"/>
      <x:c r="N790" s="18" t="n">
        <x:v>3008.7</x:v>
      </x:c>
      <x:c r="O790" s="17" t="str">
        <x:v>public_sse_client_estimate</x:v>
      </x:c>
    </x:row>
    <x:row r="791" ht="48" customHeight="1">
      <x:c r="A791" s="17" t="str">
        <x:v>BUS152</x:v>
      </x:c>
      <x:c r="B791" s="17" t="str">
        <x:v>查询半导体板块权重最高的前20只成分股。</x:v>
      </x:c>
      <x:c r="C791" s="17" t="n">
        <x:v>4</x:v>
      </x:c>
      <x:c r="D791" s="17" t="str">
        <x:v>数据口径</x:v>
      </x:c>
      <x:c r="E791" s="17" t="str">
        <x:v>11468.05</x:v>
      </x:c>
      <x:c r="F791" s="17" t="str">
        <x:v>18758.37</x:v>
      </x:c>
      <x:c r="G791" s="18" t="n">
        <x:v>7290.32</x:v>
      </x:c>
      <x:c r="H791" s="18" t="n">
        <x:f>IFERROR(G791/1000,"")</x:f>
        <x:v>7.2903199999999995</x:v>
      </x:c>
      <x:c r="I791" s="19" t="n">
        <x:f>IFERROR(G791/J791,"")</x:f>
        <x:v>0.15598905342978983</x:v>
      </x:c>
      <x:c r="J791" s="17" t="n">
        <x:v>46736.1</x:v>
      </x:c>
      <x:c r="K791" s="17" t="str"/>
      <x:c r="L791" s="17" t="str">
        <x:v>暂时无法确认本题所需的数据口径。</x:v>
      </x:c>
      <x:c r="M791" s="17" t="str"/>
      <x:c r="N791" s="18" t="n">
        <x:v>0</x:v>
      </x:c>
      <x:c r="O791" s="17" t="str">
        <x:v>public_sse_client_estimate</x:v>
      </x:c>
    </x:row>
    <x:row r="792" ht="48" customHeight="1">
      <x:c r="A792" s="17" t="str">
        <x:v>BUS152</x:v>
      </x:c>
      <x:c r="B792" s="17" t="str">
        <x:v>查询半导体板块权重最高的前20只成分股。</x:v>
      </x:c>
      <x:c r="C792" s="17" t="n">
        <x:v>5</x:v>
      </x:c>
      <x:c r="D792" s="17" t="str">
        <x:v>数据查询 1/1</x:v>
      </x:c>
      <x:c r="E792" s="17" t="str">
        <x:v>22369.52</x:v>
      </x:c>
      <x:c r="F792" s="17" t="str">
        <x:v>23225.49</x:v>
      </x:c>
      <x:c r="G792" s="18" t="n">
        <x:v>855.97</x:v>
      </x:c>
      <x:c r="H792" s="18" t="n">
        <x:f>IFERROR(G792/1000,"")</x:f>
        <x:v>0.85597</x:v>
      </x:c>
      <x:c r="I792" s="19" t="n">
        <x:f>IFERROR(G792/J792,"")</x:f>
        <x:v>0.01831496423535554</x:v>
      </x:c>
      <x:c r="J792" s="17" t="n">
        <x:v>46736.1</x:v>
      </x:c>
      <x:c r="K792" s="17" t="str"/>
      <x:c r="L792" s="17" t="str">
        <x:v>已完成：查询名称为半导体的所有板块，确认板块名称和代码，取得 5 条记录。</x:v>
      </x:c>
      <x:c r="M792" s="17" t="str"/>
      <x:c r="N792" s="18" t="n">
        <x:v>3611.15</x:v>
      </x:c>
      <x:c r="O792" s="17" t="str">
        <x:v>public_sse_client_estimate</x:v>
      </x:c>
    </x:row>
    <x:row r="793" ht="48" customHeight="1">
      <x:c r="A793" s="17" t="str">
        <x:v>BUS152</x:v>
      </x:c>
      <x:c r="B793" s="17" t="str">
        <x:v>查询半导体板块权重最高的前20只成分股。</x:v>
      </x:c>
      <x:c r="C793" s="17" t="n">
        <x:v>6</x:v>
      </x:c>
      <x:c r="D793" s="17" t="str">
        <x:v>数据口径</x:v>
      </x:c>
      <x:c r="E793" s="17" t="str">
        <x:v>23225.49</x:v>
      </x:c>
      <x:c r="F793" s="17" t="str">
        <x:v>25952.58</x:v>
      </x:c>
      <x:c r="G793" s="18" t="n">
        <x:v>2727.09</x:v>
      </x:c>
      <x:c r="H793" s="18" t="n">
        <x:f>IFERROR(G793/1000,"")</x:f>
        <x:v>2.72709</x:v>
      </x:c>
      <x:c r="I793" s="19" t="n">
        <x:f>IFERROR(G793/J793,"")</x:f>
        <x:v>0.058350825165129315</x:v>
      </x:c>
      <x:c r="J793" s="17" t="n">
        <x:v>46736.1</x:v>
      </x:c>
      <x:c r="K793" s="17" t="str"/>
      <x:c r="L793" s="17" t="str">
        <x:v>已定位行业成分关系视图，并确认了可用字段与时间口径。</x:v>
      </x:c>
      <x:c r="M793" s="17" t="str"/>
      <x:c r="N793" s="18" t="n">
        <x:v>0</x:v>
      </x:c>
      <x:c r="O793" s="17" t="str">
        <x:v>public_sse_client_estimate</x:v>
      </x:c>
    </x:row>
    <x:row r="794" ht="48" customHeight="1">
      <x:c r="A794" s="17" t="str">
        <x:v>BUS152</x:v>
      </x:c>
      <x:c r="B794" s="17" t="str">
        <x:v>查询半导体板块权重最高的前20只成分股。</x:v>
      </x:c>
      <x:c r="C794" s="17" t="n">
        <x:v>7</x:v>
      </x:c>
      <x:c r="D794" s="17" t="str">
        <x:v>数据查询 1/1</x:v>
      </x:c>
      <x:c r="E794" s="17" t="str">
        <x:v>30244.35</x:v>
      </x:c>
      <x:c r="F794" s="17" t="str">
        <x:v>30772.91</x:v>
      </x:c>
      <x:c r="G794" s="18" t="n">
        <x:v>528.56</x:v>
      </x:c>
      <x:c r="H794" s="18" t="n">
        <x:f>IFERROR(G794/1000,"")</x:f>
        <x:v>0.5285599999999999</x:v>
      </x:c>
      <x:c r="I794" s="19" t="n">
        <x:f>IFERROR(G794/J794,"")</x:f>
        <x:v>0.011309458855146235</x:v>
      </x:c>
      <x:c r="J794" s="17" t="n">
        <x:v>46736.1</x:v>
      </x:c>
      <x:c r="K794" s="17" t="str"/>
      <x:c r="L794" s="17" t="str">
        <x:v>已完成：查询申万行业中与半导体相关的行业名称，取得 5 条记录。</x:v>
      </x:c>
      <x:c r="M794" s="17" t="str"/>
      <x:c r="N794" s="18" t="n">
        <x:v>4291.77</x:v>
      </x:c>
      <x:c r="O794" s="17" t="str">
        <x:v>public_sse_client_estimate</x:v>
      </x:c>
    </x:row>
    <x:row r="795" ht="48" customHeight="1">
      <x:c r="A795" s="17" t="str">
        <x:v>BUS152</x:v>
      </x:c>
      <x:c r="B795" s="17" t="str">
        <x:v>查询半导体板块权重最高的前20只成分股。</x:v>
      </x:c>
      <x:c r="C795" s="17" t="n">
        <x:v>8</x:v>
      </x:c>
      <x:c r="D795" s="17" t="str">
        <x:v>数据口径</x:v>
      </x:c>
      <x:c r="E795" s="17" t="str">
        <x:v>30772.91</x:v>
      </x:c>
      <x:c r="F795" s="17" t="str">
        <x:v>34710.97</x:v>
      </x:c>
      <x:c r="G795" s="18" t="n">
        <x:v>3938.06</x:v>
      </x:c>
      <x:c r="H795" s="18" t="n">
        <x:f>IFERROR(G795/1000,"")</x:f>
        <x:v>3.93806</x:v>
      </x:c>
      <x:c r="I795" s="19" t="n">
        <x:f>IFERROR(G795/J795,"")</x:f>
        <x:v>0.08426163073084832</x:v>
      </x:c>
      <x:c r="J795" s="17" t="n">
        <x:v>46736.1</x:v>
      </x:c>
      <x:c r="K795" s="17" t="str"/>
      <x:c r="L795" s="17" t="str">
        <x:v>已定位热点事件/概念基础信息视图，并确认了可用字段与时间口径。</x:v>
      </x:c>
      <x:c r="M795" s="17" t="str"/>
      <x:c r="N795" s="18" t="n">
        <x:v>0</x:v>
      </x:c>
      <x:c r="O795" s="17" t="str">
        <x:v>public_sse_client_estimate</x:v>
      </x:c>
    </x:row>
    <x:row r="796" ht="48" customHeight="1">
      <x:c r="A796" s="17" t="str">
        <x:v>BUS152</x:v>
      </x:c>
      <x:c r="B796" s="17" t="str">
        <x:v>查询半导体板块权重最高的前20只成分股。</x:v>
      </x:c>
      <x:c r="C796" s="17" t="n">
        <x:v>9</x:v>
      </x:c>
      <x:c r="D796" s="17" t="str">
        <x:v>回答整理</x:v>
      </x:c>
      <x:c r="E796" s="17" t="str">
        <x:v>34710.97</x:v>
      </x:c>
      <x:c r="F796" s="17" t="str">
        <x:v>42921.39</x:v>
      </x:c>
      <x:c r="G796" s="18" t="n">
        <x:v>8210.42</x:v>
      </x:c>
      <x:c r="H796" s="18" t="n">
        <x:f>IFERROR(G796/1000,"")</x:f>
        <x:v>8.210420000000001</x:v>
      </x:c>
      <x:c r="I796" s="19" t="n">
        <x:f>IFERROR(G796/J796,"")</x:f>
        <x:v>0.17567619035392343</x:v>
      </x:c>
      <x:c r="J796" s="17" t="n">
        <x:v>46736.1</x:v>
      </x:c>
      <x:c r="K796" s="17" t="str"/>
      <x:c r="L796" s="17" t="str">
        <x:v>证据与回答已整理完成。</x:v>
      </x:c>
      <x:c r="M796" s="17" t="str"/>
      <x:c r="N796" s="18" t="n">
        <x:v>0</x:v>
      </x:c>
      <x:c r="O796" s="17" t="str">
        <x:v>public_sse_client_estimate</x:v>
      </x:c>
    </x:row>
    <x:row r="797" ht="48" customHeight="1">
      <x:c r="A797" s="17" t="str">
        <x:v>BUS153</x:v>
      </x:c>
      <x:c r="B797" s="17" t="str">
        <x:v>筛选证券板块成分股中权重超过2%的股票。</x:v>
      </x:c>
      <x:c r="C797" s="17" t="n">
        <x:v>1</x:v>
      </x:c>
      <x:c r="D797" s="17" t="str">
        <x:v>问题理解</x:v>
      </x:c>
      <x:c r="E797" s="17" t="str">
        <x:v>5562.23</x:v>
      </x:c>
      <x:c r="F797" s="17" t="str">
        <x:v>8450.76</x:v>
      </x:c>
      <x:c r="G797" s="18" t="n">
        <x:v>2888.53</x:v>
      </x:c>
      <x:c r="H797" s="18" t="n">
        <x:f>IFERROR(G797/1000,"")</x:f>
        <x:v>2.8885300000000003</x:v>
      </x:c>
      <x:c r="I797" s="19" t="n">
        <x:f>IFERROR(G797/J797,"")</x:f>
        <x:v>0.09370020656974844</x:v>
      </x:c>
      <x:c r="J797" s="17" t="n">
        <x:v>30827.36</x:v>
      </x:c>
      <x:c r="K797" s="17" t="str"/>
      <x:c r="L797" s="17" t="str">
        <x:v>已明确本题的对象与口径，开始获取所需证据。</x:v>
      </x:c>
      <x:c r="M797" s="17" t="str"/>
      <x:c r="N797" s="18" t="n">
        <x:v>5562.23</x:v>
      </x:c>
      <x:c r="O797" s="17" t="str">
        <x:v>public_sse_client_estimate</x:v>
      </x:c>
    </x:row>
    <x:row r="798" ht="48" customHeight="1">
      <x:c r="A798" s="17" t="str">
        <x:v>BUS153</x:v>
      </x:c>
      <x:c r="B798" s="17" t="str">
        <x:v>筛选证券板块成分股中权重超过2%的股票。</x:v>
      </x:c>
      <x:c r="C798" s="17" t="n">
        <x:v>2</x:v>
      </x:c>
      <x:c r="D798" s="17" t="str">
        <x:v>数据口径</x:v>
      </x:c>
      <x:c r="E798" s="17" t="str">
        <x:v>8450.76</x:v>
      </x:c>
      <x:c r="F798" s="17" t="str">
        <x:v>8504.76</x:v>
      </x:c>
      <x:c r="G798" s="18" t="n">
        <x:v>54</x:v>
      </x:c>
      <x:c r="H798" s="18" t="n">
        <x:f>IFERROR(G798/1000,"")</x:f>
        <x:v>0.054</x:v>
      </x:c>
      <x:c r="I798" s="19" t="n">
        <x:f>IFERROR(G798/J798,"")</x:f>
        <x:v>0.001751690705918379</x:v>
      </x:c>
      <x:c r="J798" s="17" t="n">
        <x:v>30827.36</x:v>
      </x:c>
      <x:c r="K798" s="17" t="str"/>
      <x:c r="L798" s="17" t="str">
        <x:v>已定位板块成分关系视图，并确认了可用字段与时间口径。</x:v>
      </x:c>
      <x:c r="M798" s="17" t="str"/>
      <x:c r="N798" s="18" t="n">
        <x:v>0</x:v>
      </x:c>
      <x:c r="O798" s="17" t="str">
        <x:v>public_sse_client_estimate</x:v>
      </x:c>
    </x:row>
    <x:row r="799" ht="48" customHeight="1">
      <x:c r="A799" s="17" t="str">
        <x:v>BUS153</x:v>
      </x:c>
      <x:c r="B799" s="17" t="str">
        <x:v>筛选证券板块成分股中权重超过2%的股票。</x:v>
      </x:c>
      <x:c r="C799" s="17" t="n">
        <x:v>3</x:v>
      </x:c>
      <x:c r="D799" s="17" t="str">
        <x:v>数据查询 1/1</x:v>
      </x:c>
      <x:c r="E799" s="17" t="str">
        <x:v>11608.4</x:v>
      </x:c>
      <x:c r="F799" s="17" t="str">
        <x:v>12113.34</x:v>
      </x:c>
      <x:c r="G799" s="18" t="n">
        <x:v>504.94</x:v>
      </x:c>
      <x:c r="H799" s="18" t="n">
        <x:f>IFERROR(G799/1000,"")</x:f>
        <x:v>0.5049399999999999</x:v>
      </x:c>
      <x:c r="I799" s="19" t="n">
        <x:f>IFERROR(G799/J799,"")</x:f>
        <x:v>0.016379605649007895</x:v>
      </x:c>
      <x:c r="J799" s="17" t="n">
        <x:v>30827.36</x:v>
      </x:c>
      <x:c r="K799" s="17" t="str"/>
      <x:c r="L799" s="17" t="str">
        <x:v>已完成：查询证券板块的成分股，并筛选出权重超过2%的股票，取得 59 条记录。</x:v>
      </x:c>
      <x:c r="M799" s="17" t="str"/>
      <x:c r="N799" s="18" t="n">
        <x:v>3103.64</x:v>
      </x:c>
      <x:c r="O799" s="17" t="str">
        <x:v>public_sse_client_estimate</x:v>
      </x:c>
    </x:row>
    <x:row r="800" ht="48" customHeight="1">
      <x:c r="A800" s="17" t="str">
        <x:v>BUS153</x:v>
      </x:c>
      <x:c r="B800" s="17" t="str">
        <x:v>筛选证券板块成分股中权重超过2%的股票。</x:v>
      </x:c>
      <x:c r="C800" s="17" t="n">
        <x:v>4</x:v>
      </x:c>
      <x:c r="D800" s="17" t="str">
        <x:v>回答整理</x:v>
      </x:c>
      <x:c r="E800" s="17" t="str">
        <x:v>12113.34</x:v>
      </x:c>
      <x:c r="F800" s="17" t="str">
        <x:v>26295.07</x:v>
      </x:c>
      <x:c r="G800" s="18" t="n">
        <x:v>14181.73</x:v>
      </x:c>
      <x:c r="H800" s="18" t="n">
        <x:f>IFERROR(G800/1000,"")</x:f>
        <x:v>14.18173</x:v>
      </x:c>
      <x:c r="I800" s="19" t="n">
        <x:f>IFERROR(G800/J800,"")</x:f>
        <x:v>0.4600371228674787</x:v>
      </x:c>
      <x:c r="J800" s="17" t="n">
        <x:v>30827.36</x:v>
      </x:c>
      <x:c r="K800" s="17" t="str"/>
      <x:c r="L800" s="17" t="str">
        <x:v>证据与回答已整理完成。</x:v>
      </x:c>
      <x:c r="M800" s="17" t="str"/>
      <x:c r="N800" s="18" t="n">
        <x:v>0</x:v>
      </x:c>
      <x:c r="O800" s="17" t="str">
        <x:v>public_sse_client_estimate</x:v>
      </x:c>
    </x:row>
    <x:row r="801" ht="48" customHeight="1">
      <x:c r="A801" s="17" t="str">
        <x:v>BUS154</x:v>
      </x:c>
      <x:c r="B801" s="17" t="str">
        <x:v>查询白酒板块成分股数量。</x:v>
      </x:c>
      <x:c r="C801" s="17" t="n">
        <x:v>1</x:v>
      </x:c>
      <x:c r="D801" s="17" t="str">
        <x:v>问题理解</x:v>
      </x:c>
      <x:c r="E801" s="17" t="str">
        <x:v>6336.29</x:v>
      </x:c>
      <x:c r="F801" s="17" t="str">
        <x:v>9868.46</x:v>
      </x:c>
      <x:c r="G801" s="18" t="n">
        <x:v>3532.17</x:v>
      </x:c>
      <x:c r="H801" s="18" t="n">
        <x:f>IFERROR(G801/1000,"")</x:f>
        <x:v>3.5321700000000003</x:v>
      </x:c>
      <x:c r="I801" s="19" t="n">
        <x:f>IFERROR(G801/J801,"")</x:f>
        <x:v>0.1208972388700828</x:v>
      </x:c>
      <x:c r="J801" s="17" t="n">
        <x:v>29216.3</x:v>
      </x:c>
      <x:c r="K801" s="17" t="str"/>
      <x:c r="L801" s="17" t="str">
        <x:v>已明确本题的对象与口径，开始获取所需证据。</x:v>
      </x:c>
      <x:c r="M801" s="17" t="str"/>
      <x:c r="N801" s="18" t="n">
        <x:v>6336.29</x:v>
      </x:c>
      <x:c r="O801" s="17" t="str">
        <x:v>public_sse_client_estimate</x:v>
      </x:c>
    </x:row>
    <x:row r="802" ht="48" customHeight="1">
      <x:c r="A802" s="17" t="str">
        <x:v>BUS154</x:v>
      </x:c>
      <x:c r="B802" s="17" t="str">
        <x:v>查询白酒板块成分股数量。</x:v>
      </x:c>
      <x:c r="C802" s="17" t="n">
        <x:v>2</x:v>
      </x:c>
      <x:c r="D802" s="17" t="str">
        <x:v>数据口径</x:v>
      </x:c>
      <x:c r="E802" s="17" t="str">
        <x:v>9868.46</x:v>
      </x:c>
      <x:c r="F802" s="17" t="str">
        <x:v>9953.66</x:v>
      </x:c>
      <x:c r="G802" s="18" t="n">
        <x:v>85.2</x:v>
      </x:c>
      <x:c r="H802" s="18" t="n">
        <x:f>IFERROR(G802/1000,"")</x:f>
        <x:v>0.0852</x:v>
      </x:c>
      <x:c r="I802" s="19" t="n">
        <x:f>IFERROR(G802/J802,"")</x:f>
        <x:v>0.002916180351379196</x:v>
      </x:c>
      <x:c r="J802" s="17" t="n">
        <x:v>29216.3</x:v>
      </x:c>
      <x:c r="K802" s="17" t="str"/>
      <x:c r="L802" s="17" t="str">
        <x:v>已定位板块成分关系视图，并确认了可用字段与时间口径。</x:v>
      </x:c>
      <x:c r="M802" s="17" t="str"/>
      <x:c r="N802" s="18" t="n">
        <x:v>0</x:v>
      </x:c>
      <x:c r="O802" s="17" t="str">
        <x:v>public_sse_client_estimate</x:v>
      </x:c>
    </x:row>
    <x:row r="803" ht="48" customHeight="1">
      <x:c r="A803" s="17" t="str">
        <x:v>BUS154</x:v>
      </x:c>
      <x:c r="B803" s="17" t="str">
        <x:v>查询白酒板块成分股数量。</x:v>
      </x:c>
      <x:c r="C803" s="17" t="n">
        <x:v>3</x:v>
      </x:c>
      <x:c r="D803" s="17" t="str">
        <x:v>数据口径</x:v>
      </x:c>
      <x:c r="E803" s="17" t="str">
        <x:v>9953.66</x:v>
      </x:c>
      <x:c r="F803" s="17" t="str">
        <x:v>13615.27</x:v>
      </x:c>
      <x:c r="G803" s="18" t="n">
        <x:v>3661.61</x:v>
      </x:c>
      <x:c r="H803" s="18" t="n">
        <x:f>IFERROR(G803/1000,"")</x:f>
        <x:v>3.66161</x:v>
      </x:c>
      <x:c r="I803" s="19" t="n">
        <x:f>IFERROR(G803/J803,"")</x:f>
        <x:v>0.12532764244616876</x:v>
      </x:c>
      <x:c r="J803" s="17" t="n">
        <x:v>29216.3</x:v>
      </x:c>
      <x:c r="K803" s="17" t="str"/>
      <x:c r="L803" s="17" t="str">
        <x:v>已定位板块基础信息视图，并确认了可用字段与时间口径。</x:v>
      </x:c>
      <x:c r="M803" s="17" t="str"/>
      <x:c r="N803" s="18" t="n">
        <x:v>0</x:v>
      </x:c>
      <x:c r="O803" s="17" t="str">
        <x:v>public_sse_client_estimate</x:v>
      </x:c>
    </x:row>
    <x:row r="804" ht="48" customHeight="1">
      <x:c r="A804" s="17" t="str">
        <x:v>BUS154</x:v>
      </x:c>
      <x:c r="B804" s="17" t="str">
        <x:v>查询白酒板块成分股数量。</x:v>
      </x:c>
      <x:c r="C804" s="17" t="n">
        <x:v>4</x:v>
      </x:c>
      <x:c r="D804" s="17" t="str">
        <x:v>数据查询 1/1</x:v>
      </x:c>
      <x:c r="E804" s="17" t="str">
        <x:v>16520.02</x:v>
      </x:c>
      <x:c r="F804" s="17" t="str">
        <x:v>17292.98</x:v>
      </x:c>
      <x:c r="G804" s="18" t="n">
        <x:v>772.96</x:v>
      </x:c>
      <x:c r="H804" s="18" t="n">
        <x:f>IFERROR(G804/1000,"")</x:f>
        <x:v>0.7729600000000001</x:v>
      </x:c>
      <x:c r="I804" s="19" t="n">
        <x:f>IFERROR(G804/J804,"")</x:f>
        <x:v>0.026456464370916238</x:v>
      </x:c>
      <x:c r="J804" s="17" t="n">
        <x:v>29216.3</x:v>
      </x:c>
      <x:c r="K804" s="17" t="str"/>
      <x:c r="L804" s="17" t="str">
        <x:v>已完成：查询白酒板块的成分股，获取成分股数量，取得 100 条记录。</x:v>
      </x:c>
      <x:c r="M804" s="17" t="str"/>
      <x:c r="N804" s="18" t="n">
        <x:v>2904.75</x:v>
      </x:c>
      <x:c r="O804" s="17" t="str">
        <x:v>public_sse_client_estimate</x:v>
      </x:c>
    </x:row>
    <x:row r="805" ht="48" customHeight="1">
      <x:c r="A805" s="17" t="str">
        <x:v>BUS154</x:v>
      </x:c>
      <x:c r="B805" s="17" t="str">
        <x:v>查询白酒板块成分股数量。</x:v>
      </x:c>
      <x:c r="C805" s="17" t="n">
        <x:v>5</x:v>
      </x:c>
      <x:c r="D805" s="17" t="str">
        <x:v>数据查询 1/2</x:v>
      </x:c>
      <x:c r="E805" s="17" t="str">
        <x:v>23250.1</x:v>
      </x:c>
      <x:c r="F805" s="17" t="str">
        <x:v>23730.59</x:v>
      </x:c>
      <x:c r="G805" s="18" t="n">
        <x:v>480.49</x:v>
      </x:c>
      <x:c r="H805" s="18" t="n">
        <x:f>IFERROR(G805/1000,"")</x:f>
        <x:v>0.48049000000000003</x:v>
      </x:c>
      <x:c r="I805" s="19" t="n">
        <x:f>IFERROR(G805/J805,"")</x:f>
        <x:v>0.016445956537959976</x:v>
      </x:c>
      <x:c r="J805" s="17" t="n">
        <x:v>29216.3</x:v>
      </x:c>
      <x:c r="K805" s="17" t="str"/>
      <x:c r="L805" s="17" t="str">
        <x:v>已完成：查询白酒概念板块的成分股，获得成分股数量，取得 48 条记录。</x:v>
      </x:c>
      <x:c r="M805" s="17" t="str"/>
      <x:c r="N805" s="18" t="n">
        <x:v>5957.12</x:v>
      </x:c>
      <x:c r="O805" s="17" t="str">
        <x:v>public_sse_client_estimate</x:v>
      </x:c>
    </x:row>
    <x:row r="806" ht="48" customHeight="1">
      <x:c r="A806" s="17" t="str">
        <x:v>BUS154</x:v>
      </x:c>
      <x:c r="B806" s="17" t="str">
        <x:v>查询白酒板块成分股数量。</x:v>
      </x:c>
      <x:c r="C806" s="17" t="n">
        <x:v>6</x:v>
      </x:c>
      <x:c r="D806" s="17" t="str">
        <x:v>数据查询 2/2</x:v>
      </x:c>
      <x:c r="E806" s="17" t="str">
        <x:v>23735.57</x:v>
      </x:c>
      <x:c r="F806" s="17" t="str">
        <x:v>24286.35</x:v>
      </x:c>
      <x:c r="G806" s="18" t="n">
        <x:v>550.78</x:v>
      </x:c>
      <x:c r="H806" s="18" t="n">
        <x:f>IFERROR(G806/1000,"")</x:f>
        <x:v>0.5507799999999999</x:v>
      </x:c>
      <x:c r="I806" s="19" t="n">
        <x:f>IFERROR(G806/J806,"")</x:f>
        <x:v>0.01885180532784781</x:v>
      </x:c>
      <x:c r="J806" s="17" t="n">
        <x:v>29216.3</x:v>
      </x:c>
      <x:c r="K806" s="17" t="str"/>
      <x:c r="L806" s="17" t="str">
        <x:v>已完成：如果白酒概念不存在，再尝试白酒行业板块，当前条件下没有匹配记录。</x:v>
      </x:c>
      <x:c r="M806" s="17" t="str"/>
      <x:c r="N806" s="18" t="n">
        <x:v>4.98</x:v>
      </x:c>
      <x:c r="O806" s="17" t="str">
        <x:v>public_sse_client_estimate</x:v>
      </x:c>
    </x:row>
    <x:row r="807" ht="48" customHeight="1">
      <x:c r="A807" s="17" t="str">
        <x:v>BUS154</x:v>
      </x:c>
      <x:c r="B807" s="17" t="str">
        <x:v>查询白酒板块成分股数量。</x:v>
      </x:c>
      <x:c r="C807" s="17" t="n">
        <x:v>7</x:v>
      </x:c>
      <x:c r="D807" s="17" t="str">
        <x:v>回答整理</x:v>
      </x:c>
      <x:c r="E807" s="17" t="str">
        <x:v>24286.35</x:v>
      </x:c>
      <x:c r="F807" s="17" t="str">
        <x:v>26224.28</x:v>
      </x:c>
      <x:c r="G807" s="18" t="n">
        <x:v>1937.93</x:v>
      </x:c>
      <x:c r="H807" s="18" t="n">
        <x:f>IFERROR(G807/1000,"")</x:f>
        <x:v>1.9379300000000002</x:v>
      </x:c>
      <x:c r="I807" s="19" t="n">
        <x:f>IFERROR(G807/J807,"")</x:f>
        <x:v>0.06633043883037894</x:v>
      </x:c>
      <x:c r="J807" s="17" t="n">
        <x:v>29216.3</x:v>
      </x:c>
      <x:c r="K807" s="17" t="str"/>
      <x:c r="L807" s="17" t="str">
        <x:v>证据与回答已整理完成。</x:v>
      </x:c>
      <x:c r="M807" s="17" t="str"/>
      <x:c r="N807" s="18" t="n">
        <x:v>0</x:v>
      </x:c>
      <x:c r="O807" s="17" t="str">
        <x:v>public_sse_client_estimate</x:v>
      </x:c>
    </x:row>
    <x:row r="808" ht="48" customHeight="1">
      <x:c r="A808" s="17" t="str">
        <x:v>BUS155</x:v>
      </x:c>
      <x:c r="B808" s="17" t="str">
        <x:v>查询宁德时代是否属于新能源车板块成分股。</x:v>
      </x:c>
      <x:c r="C808" s="17" t="n">
        <x:v>1</x:v>
      </x:c>
      <x:c r="D808" s="17" t="str">
        <x:v>问题理解</x:v>
      </x:c>
      <x:c r="E808" s="17" t="str">
        <x:v>5331.75</x:v>
      </x:c>
      <x:c r="F808" s="17" t="str">
        <x:v>7557.29</x:v>
      </x:c>
      <x:c r="G808" s="18" t="n">
        <x:v>2225.54</x:v>
      </x:c>
      <x:c r="H808" s="18" t="n">
        <x:f>IFERROR(G808/1000,"")</x:f>
        <x:v>2.22554</x:v>
      </x:c>
      <x:c r="I808" s="19" t="n">
        <x:f>IFERROR(G808/J808,"")</x:f>
        <x:v>0.05743354228908875</x:v>
      </x:c>
      <x:c r="J808" s="17" t="n">
        <x:v>38749.83</x:v>
      </x:c>
      <x:c r="K808" s="17" t="str"/>
      <x:c r="L808" s="17" t="str">
        <x:v>已明确本题的对象与口径，开始获取所需证据。</x:v>
      </x:c>
      <x:c r="M808" s="17" t="str"/>
      <x:c r="N808" s="18" t="n">
        <x:v>5331.75</x:v>
      </x:c>
      <x:c r="O808" s="17" t="str">
        <x:v>public_sse_client_estimate</x:v>
      </x:c>
    </x:row>
    <x:row r="809" ht="48" customHeight="1">
      <x:c r="A809" s="17" t="str">
        <x:v>BUS155</x:v>
      </x:c>
      <x:c r="B809" s="17" t="str">
        <x:v>查询宁德时代是否属于新能源车板块成分股。</x:v>
      </x:c>
      <x:c r="C809" s="17" t="n">
        <x:v>2</x:v>
      </x:c>
      <x:c r="D809" s="17" t="str">
        <x:v>数据口径</x:v>
      </x:c>
      <x:c r="E809" s="17" t="str">
        <x:v>7557.29</x:v>
      </x:c>
      <x:c r="F809" s="17" t="str">
        <x:v>7597.68</x:v>
      </x:c>
      <x:c r="G809" s="18" t="n">
        <x:v>40.39</x:v>
      </x:c>
      <x:c r="H809" s="18" t="n">
        <x:f>IFERROR(G809/1000,"")</x:f>
        <x:v>0.04039</x:v>
      </x:c>
      <x:c r="I809" s="19" t="n">
        <x:f>IFERROR(G809/J809,"")</x:f>
        <x:v>0.0010423271534352537</x:v>
      </x:c>
      <x:c r="J809" s="17" t="n">
        <x:v>38749.83</x:v>
      </x:c>
      <x:c r="K809" s="17" t="str"/>
      <x:c r="L809" s="17" t="str">
        <x:v>已定位板块成分关系视图，并确认了可用字段与时间口径。</x:v>
      </x:c>
      <x:c r="M809" s="17" t="str"/>
      <x:c r="N809" s="18" t="n">
        <x:v>0</x:v>
      </x:c>
      <x:c r="O809" s="17" t="str">
        <x:v>public_sse_client_estimate</x:v>
      </x:c>
    </x:row>
    <x:row r="810" ht="48" customHeight="1">
      <x:c r="A810" s="17" t="str">
        <x:v>BUS155</x:v>
      </x:c>
      <x:c r="B810" s="17" t="str">
        <x:v>查询宁德时代是否属于新能源车板块成分股。</x:v>
      </x:c>
      <x:c r="C810" s="17" t="n">
        <x:v>3</x:v>
      </x:c>
      <x:c r="D810" s="17" t="str">
        <x:v>数据查询 1/1</x:v>
      </x:c>
      <x:c r="E810" s="17" t="str">
        <x:v>10072.19</x:v>
      </x:c>
      <x:c r="F810" s="17" t="str">
        <x:v>10620.72</x:v>
      </x:c>
      <x:c r="G810" s="18" t="n">
        <x:v>548.53</x:v>
      </x:c>
      <x:c r="H810" s="18" t="n">
        <x:f>IFERROR(G810/1000,"")</x:f>
        <x:v>0.54853</x:v>
      </x:c>
      <x:c r="I810" s="19" t="n">
        <x:f>IFERROR(G810/J810,"")</x:f>
        <x:v>0.014155675005541959</x:v>
      </x:c>
      <x:c r="J810" s="17" t="n">
        <x:v>38749.83</x:v>
      </x:c>
      <x:c r="K810" s="17" t="str"/>
      <x:c r="L810" s="17" t="str">
        <x:v>已完成：查询新能源车板块的成分股列表，看是否包含宁德时代，当前条件下没有匹配记录。</x:v>
      </x:c>
      <x:c r="M810" s="17" t="str"/>
      <x:c r="N810" s="18" t="n">
        <x:v>2474.51</x:v>
      </x:c>
      <x:c r="O810" s="17" t="str">
        <x:v>public_sse_client_estimate</x:v>
      </x:c>
    </x:row>
    <x:row r="811" ht="48" customHeight="1">
      <x:c r="A811" s="17" t="str">
        <x:v>BUS155</x:v>
      </x:c>
      <x:c r="B811" s="17" t="str">
        <x:v>查询宁德时代是否属于新能源车板块成分股。</x:v>
      </x:c>
      <x:c r="C811" s="17" t="n">
        <x:v>4</x:v>
      </x:c>
      <x:c r="D811" s="17" t="str">
        <x:v>数据查询 1/2</x:v>
      </x:c>
      <x:c r="E811" s="17" t="str">
        <x:v>16662.48</x:v>
      </x:c>
      <x:c r="F811" s="17" t="str">
        <x:v>17190.39</x:v>
      </x:c>
      <x:c r="G811" s="18" t="n">
        <x:v>527.91</x:v>
      </x:c>
      <x:c r="H811" s="18" t="n">
        <x:f>IFERROR(G811/1000,"")</x:f>
        <x:v>0.52791</x:v>
      </x:c>
      <x:c r="I811" s="19" t="n">
        <x:f>IFERROR(G811/J811,"")</x:f>
        <x:v>0.013623543638772091</x:v>
      </x:c>
      <x:c r="J811" s="17" t="n">
        <x:v>38749.83</x:v>
      </x:c>
      <x:c r="K811" s="17" t="str"/>
      <x:c r="L811" s="17" t="str">
        <x:v>已完成：查询名称为新能源汽车的板块成分股，当前条件下没有匹配记录。</x:v>
      </x:c>
      <x:c r="M811" s="17" t="str"/>
      <x:c r="N811" s="18" t="n">
        <x:v>6041.76</x:v>
      </x:c>
      <x:c r="O811" s="17" t="str">
        <x:v>public_sse_client_estimate</x:v>
      </x:c>
    </x:row>
    <x:row r="812" ht="48" customHeight="1">
      <x:c r="A812" s="17" t="str">
        <x:v>BUS155</x:v>
      </x:c>
      <x:c r="B812" s="17" t="str">
        <x:v>查询宁德时代是否属于新能源车板块成分股。</x:v>
      </x:c>
      <x:c r="C812" s="17" t="n">
        <x:v>5</x:v>
      </x:c>
      <x:c r="D812" s="17" t="str">
        <x:v>数据查询 2/2</x:v>
      </x:c>
      <x:c r="E812" s="17" t="str">
        <x:v>17193.49</x:v>
      </x:c>
      <x:c r="F812" s="17" t="str">
        <x:v>17705.1</x:v>
      </x:c>
      <x:c r="G812" s="18" t="n">
        <x:v>511.61</x:v>
      </x:c>
      <x:c r="H812" s="18" t="n">
        <x:f>IFERROR(G812/1000,"")</x:f>
        <x:v>0.51161</x:v>
      </x:c>
      <x:c r="I812" s="19" t="n">
        <x:f>IFERROR(G812/J812,"")</x:f>
        <x:v>0.013202896632062644</x:v>
      </x:c>
      <x:c r="J812" s="17" t="n">
        <x:v>38749.83</x:v>
      </x:c>
      <x:c r="K812" s="17" t="str"/>
      <x:c r="L812" s="17" t="str">
        <x:v>已完成：查询所有板块名称以便找到正确名称，取得 100 条记录。</x:v>
      </x:c>
      <x:c r="M812" s="17" t="str"/>
      <x:c r="N812" s="18" t="n">
        <x:v>3.1</x:v>
      </x:c>
      <x:c r="O812" s="17" t="str">
        <x:v>public_sse_client_estimate</x:v>
      </x:c>
    </x:row>
    <x:row r="813" ht="48" customHeight="1">
      <x:c r="A813" s="17" t="str">
        <x:v>BUS155</x:v>
      </x:c>
      <x:c r="B813" s="17" t="str">
        <x:v>查询宁德时代是否属于新能源车板块成分股。</x:v>
      </x:c>
      <x:c r="C813" s="17" t="n">
        <x:v>6</x:v>
      </x:c>
      <x:c r="D813" s="17" t="str">
        <x:v>数据查询 1/5</x:v>
      </x:c>
      <x:c r="E813" s="17" t="str">
        <x:v>27626.76</x:v>
      </x:c>
      <x:c r="F813" s="17" t="str">
        <x:v>28064.68</x:v>
      </x:c>
      <x:c r="G813" s="18" t="n">
        <x:v>437.92</x:v>
      </x:c>
      <x:c r="H813" s="18" t="n">
        <x:f>IFERROR(G813/1000,"")</x:f>
        <x:v>0.43792000000000003</x:v>
      </x:c>
      <x:c r="I813" s="19" t="n">
        <x:f>IFERROR(G813/J813,"")</x:f>
        <x:v>0.011301210869828332</x:v>
      </x:c>
      <x:c r="J813" s="17" t="n">
        <x:v>38749.83</x:v>
      </x:c>
      <x:c r="K813" s="17" t="str"/>
      <x:c r="L813" s="17" t="str">
        <x:v>已完成：查询宁德时代是否属于锂电池板块成分股，取得 1 条记录。</x:v>
      </x:c>
      <x:c r="M813" s="17" t="str"/>
      <x:c r="N813" s="18" t="n">
        <x:v>9921.66</x:v>
      </x:c>
      <x:c r="O813" s="17" t="str">
        <x:v>public_sse_client_estimate</x:v>
      </x:c>
    </x:row>
    <x:row r="814" ht="48" customHeight="1">
      <x:c r="A814" s="17" t="str">
        <x:v>BUS155</x:v>
      </x:c>
      <x:c r="B814" s="17" t="str">
        <x:v>查询宁德时代是否属于新能源车板块成分股。</x:v>
      </x:c>
      <x:c r="C814" s="17" t="n">
        <x:v>7</x:v>
      </x:c>
      <x:c r="D814" s="17" t="str">
        <x:v>数据查询 2/5</x:v>
      </x:c>
      <x:c r="E814" s="17" t="str">
        <x:v>28066.83</x:v>
      </x:c>
      <x:c r="F814" s="17" t="str">
        <x:v>28547.53</x:v>
      </x:c>
      <x:c r="G814" s="18" t="n">
        <x:v>480.7</x:v>
      </x:c>
      <x:c r="H814" s="18" t="n">
        <x:f>IFERROR(G814/1000,"")</x:f>
        <x:v>0.4807</x:v>
      </x:c>
      <x:c r="I814" s="19" t="n">
        <x:f>IFERROR(G814/J814,"")</x:f>
        <x:v>0.012405215713204418</x:v>
      </x:c>
      <x:c r="J814" s="17" t="n">
        <x:v>38749.83</x:v>
      </x:c>
      <x:c r="K814" s="17" t="str"/>
      <x:c r="L814" s="17" t="str">
        <x:v>已完成：查询宁德时代是否属于汽车电子板块成分股，当前条件下没有匹配记录。</x:v>
      </x:c>
      <x:c r="M814" s="17" t="str"/>
      <x:c r="N814" s="18" t="n">
        <x:v>2.15</x:v>
      </x:c>
      <x:c r="O814" s="17" t="str">
        <x:v>public_sse_client_estimate</x:v>
      </x:c>
    </x:row>
    <x:row r="815" ht="48" customHeight="1">
      <x:c r="A815" s="17" t="str">
        <x:v>BUS155</x:v>
      </x:c>
      <x:c r="B815" s="17" t="str">
        <x:v>查询宁德时代是否属于新能源车板块成分股。</x:v>
      </x:c>
      <x:c r="C815" s="17" t="n">
        <x:v>8</x:v>
      </x:c>
      <x:c r="D815" s="17" t="str">
        <x:v>数据查询 3/5</x:v>
      </x:c>
      <x:c r="E815" s="17" t="str">
        <x:v>28555.49</x:v>
      </x:c>
      <x:c r="F815" s="17" t="str">
        <x:v>29100.97</x:v>
      </x:c>
      <x:c r="G815" s="18" t="n">
        <x:v>545.48</x:v>
      </x:c>
      <x:c r="H815" s="18" t="n">
        <x:f>IFERROR(G815/1000,"")</x:f>
        <x:v>0.54548</x:v>
      </x:c>
      <x:c r="I815" s="19" t="n">
        <x:f>IFERROR(G815/J815,"")</x:f>
        <x:v>0.014076964982814117</x:v>
      </x:c>
      <x:c r="J815" s="17" t="n">
        <x:v>38749.83</x:v>
      </x:c>
      <x:c r="K815" s="17" t="str"/>
      <x:c r="L815" s="17" t="str">
        <x:v>已完成：查询宁德时代是否属于无人驾驶板块成分股，当前条件下没有匹配记录。</x:v>
      </x:c>
      <x:c r="M815" s="17" t="str"/>
      <x:c r="N815" s="18" t="n">
        <x:v>7.96</x:v>
      </x:c>
      <x:c r="O815" s="17" t="str">
        <x:v>public_sse_client_estimate</x:v>
      </x:c>
    </x:row>
    <x:row r="816" ht="48" customHeight="1">
      <x:c r="A816" s="17" t="str">
        <x:v>BUS155</x:v>
      </x:c>
      <x:c r="B816" s="17" t="str">
        <x:v>查询宁德时代是否属于新能源车板块成分股。</x:v>
      </x:c>
      <x:c r="C816" s="17" t="n">
        <x:v>9</x:v>
      </x:c>
      <x:c r="D816" s="17" t="str">
        <x:v>数据查询 4/5</x:v>
      </x:c>
      <x:c r="E816" s="17" t="str">
        <x:v>29104.5</x:v>
      </x:c>
      <x:c r="F816" s="17" t="str">
        <x:v>29771.27</x:v>
      </x:c>
      <x:c r="G816" s="18" t="n">
        <x:v>666.77</x:v>
      </x:c>
      <x:c r="H816" s="18" t="n">
        <x:f>IFERROR(G816/1000,"")</x:f>
        <x:v>0.66677</x:v>
      </x:c>
      <x:c r="I816" s="19" t="n">
        <x:f>IFERROR(G816/J816,"")</x:f>
        <x:v>0.017207043230899333</x:v>
      </x:c>
      <x:c r="J816" s="17" t="n">
        <x:v>38749.83</x:v>
      </x:c>
      <x:c r="K816" s="17" t="str"/>
      <x:c r="L816" s="17" t="str">
        <x:v>已完成：查询宁德时代是否属于车联网(车路协同)板块成分股，当前条件下没有匹配记录。</x:v>
      </x:c>
      <x:c r="M816" s="17" t="str"/>
      <x:c r="N816" s="18" t="n">
        <x:v>3.53</x:v>
      </x:c>
      <x:c r="O816" s="17" t="str">
        <x:v>public_sse_client_estimate</x:v>
      </x:c>
    </x:row>
    <x:row r="817" ht="48" customHeight="1">
      <x:c r="A817" s="17" t="str">
        <x:v>BUS155</x:v>
      </x:c>
      <x:c r="B817" s="17" t="str">
        <x:v>查询宁德时代是否属于新能源车板块成分股。</x:v>
      </x:c>
      <x:c r="C817" s="17" t="n">
        <x:v>10</x:v>
      </x:c>
      <x:c r="D817" s="17" t="str">
        <x:v>数据查询 5/5</x:v>
      </x:c>
      <x:c r="E817" s="17" t="str">
        <x:v>29776.16</x:v>
      </x:c>
      <x:c r="F817" s="17" t="str">
        <x:v>30170.29</x:v>
      </x:c>
      <x:c r="G817" s="18" t="n">
        <x:v>394.13</x:v>
      </x:c>
      <x:c r="H817" s="18" t="n">
        <x:f>IFERROR(G817/1000,"")</x:f>
        <x:v>0.39413</x:v>
      </x:c>
      <x:c r="I817" s="19" t="n">
        <x:f>IFERROR(G817/J817,"")</x:f>
        <x:v>0.010171141395975155</x:v>
      </x:c>
      <x:c r="J817" s="17" t="n">
        <x:v>38749.83</x:v>
      </x:c>
      <x:c r="K817" s="17" t="str"/>
      <x:c r="L817" s="17" t="str">
        <x:v>已完成：查询宁德时代是否属于充电桩板块成分股，取得 1 条记录。</x:v>
      </x:c>
      <x:c r="M817" s="17" t="str"/>
      <x:c r="N817" s="18" t="n">
        <x:v>4.89</x:v>
      </x:c>
      <x:c r="O817" s="17" t="str">
        <x:v>public_sse_client_estimate</x:v>
      </x:c>
    </x:row>
    <x:row r="818" ht="48" customHeight="1">
      <x:c r="A818" s="17" t="str">
        <x:v>BUS155</x:v>
      </x:c>
      <x:c r="B818" s="17" t="str">
        <x:v>查询宁德时代是否属于新能源车板块成分股。</x:v>
      </x:c>
      <x:c r="C818" s="17" t="n">
        <x:v>11</x:v>
      </x:c>
      <x:c r="D818" s="17" t="str">
        <x:v>回答整理</x:v>
      </x:c>
      <x:c r="E818" s="17" t="str">
        <x:v>30170.29</x:v>
      </x:c>
      <x:c r="F818" s="17" t="str">
        <x:v>34853.47</x:v>
      </x:c>
      <x:c r="G818" s="18" t="n">
        <x:v>4683.18</x:v>
      </x:c>
      <x:c r="H818" s="18" t="n">
        <x:f>IFERROR(G818/1000,"")</x:f>
        <x:v>4.68318</x:v>
      </x:c>
      <x:c r="I818" s="19" t="n">
        <x:f>IFERROR(G818/J818,"")</x:f>
        <x:v>0.12085678827494212</x:v>
      </x:c>
      <x:c r="J818" s="17" t="n">
        <x:v>38749.83</x:v>
      </x:c>
      <x:c r="K818" s="17" t="str"/>
      <x:c r="L818" s="17" t="str">
        <x:v>证据与回答已整理完成。</x:v>
      </x:c>
      <x:c r="M818" s="17" t="str"/>
      <x:c r="N818" s="18" t="n">
        <x:v>0</x:v>
      </x:c>
      <x:c r="O818" s="17" t="str">
        <x:v>public_sse_client_estimate</x:v>
      </x:c>
    </x:row>
    <x:row r="819" ht="48" customHeight="1">
      <x:c r="A819" s="17" t="str">
        <x:v>BUS156</x:v>
      </x:c>
      <x:c r="B819" s="17" t="str">
        <x:v>查询机器人板块成分股代码、名称和权重。</x:v>
      </x:c>
      <x:c r="C819" s="17" t="n">
        <x:v>1</x:v>
      </x:c>
      <x:c r="D819" s="17" t="str">
        <x:v>问题理解</x:v>
      </x:c>
      <x:c r="E819" s="17" t="str">
        <x:v>5577.06</x:v>
      </x:c>
      <x:c r="F819" s="17" t="str">
        <x:v>8127.72</x:v>
      </x:c>
      <x:c r="G819" s="18" t="n">
        <x:v>2550.66</x:v>
      </x:c>
      <x:c r="H819" s="18" t="n">
        <x:f>IFERROR(G819/1000,"")</x:f>
        <x:v>2.5506599999999997</x:v>
      </x:c>
      <x:c r="I819" s="19" t="n">
        <x:f>IFERROR(G819/J819,"")</x:f>
        <x:v>0.04866704916065338</x:v>
      </x:c>
      <x:c r="J819" s="17" t="n">
        <x:v>52410.41</x:v>
      </x:c>
      <x:c r="K819" s="17" t="str"/>
      <x:c r="L819" s="17" t="str">
        <x:v>已明确本题的对象与口径，开始获取所需证据。</x:v>
      </x:c>
      <x:c r="M819" s="17" t="str"/>
      <x:c r="N819" s="18" t="n">
        <x:v>5577.06</x:v>
      </x:c>
      <x:c r="O819" s="17" t="str">
        <x:v>public_sse_client_estimate</x:v>
      </x:c>
    </x:row>
    <x:row r="820" ht="48" customHeight="1">
      <x:c r="A820" s="17" t="str">
        <x:v>BUS156</x:v>
      </x:c>
      <x:c r="B820" s="17" t="str">
        <x:v>查询机器人板块成分股代码、名称和权重。</x:v>
      </x:c>
      <x:c r="C820" s="17" t="n">
        <x:v>2</x:v>
      </x:c>
      <x:c r="D820" s="17" t="str">
        <x:v>数据口径</x:v>
      </x:c>
      <x:c r="E820" s="17" t="str">
        <x:v>8127.72</x:v>
      </x:c>
      <x:c r="F820" s="17" t="str">
        <x:v>8157.86</x:v>
      </x:c>
      <x:c r="G820" s="18" t="n">
        <x:v>30.14</x:v>
      </x:c>
      <x:c r="H820" s="18" t="n">
        <x:f>IFERROR(G820/1000,"")</x:f>
        <x:v>0.03014</x:v>
      </x:c>
      <x:c r="I820" s="19" t="n">
        <x:f>IFERROR(G820/J820,"")</x:f>
        <x:v>0.0005750765926082242</x:v>
      </x:c>
      <x:c r="J820" s="17" t="n">
        <x:v>52410.41</x:v>
      </x:c>
      <x:c r="K820" s="17" t="str"/>
      <x:c r="L820" s="17" t="str">
        <x:v>已定位板块成分关系视图，并确认了可用字段与时间口径。</x:v>
      </x:c>
      <x:c r="M820" s="17" t="str"/>
      <x:c r="N820" s="18" t="n">
        <x:v>0</x:v>
      </x:c>
      <x:c r="O820" s="17" t="str">
        <x:v>public_sse_client_estimate</x:v>
      </x:c>
    </x:row>
    <x:row r="821" ht="48" customHeight="1">
      <x:c r="A821" s="17" t="str">
        <x:v>BUS156</x:v>
      </x:c>
      <x:c r="B821" s="17" t="str">
        <x:v>查询机器人板块成分股代码、名称和权重。</x:v>
      </x:c>
      <x:c r="C821" s="17" t="n">
        <x:v>3</x:v>
      </x:c>
      <x:c r="D821" s="17" t="str">
        <x:v>数据查询 1/1</x:v>
      </x:c>
      <x:c r="E821" s="17" t="str">
        <x:v>10786.89</x:v>
      </x:c>
      <x:c r="F821" s="17" t="str">
        <x:v>11279.42</x:v>
      </x:c>
      <x:c r="G821" s="18" t="n">
        <x:v>492.53</x:v>
      </x:c>
      <x:c r="H821" s="18" t="n">
        <x:f>IFERROR(G821/1000,"")</x:f>
        <x:v>0.49252999999999997</x:v>
      </x:c>
      <x:c r="I821" s="19" t="n">
        <x:f>IFERROR(G821/J821,"")</x:f>
        <x:v>0.009397560522804533</x:v>
      </x:c>
      <x:c r="J821" s="17" t="n">
        <x:v>52410.41</x:v>
      </x:c>
      <x:c r="K821" s="17" t="str"/>
      <x:c r="L821" s="17" t="str">
        <x:v>已完成：查询机器人板块的所有成分股代码、名称和权重，当前条件下没有匹配记录。</x:v>
      </x:c>
      <x:c r="M821" s="17" t="str"/>
      <x:c r="N821" s="18" t="n">
        <x:v>2629.03</x:v>
      </x:c>
      <x:c r="O821" s="17" t="str">
        <x:v>public_sse_client_estimate</x:v>
      </x:c>
    </x:row>
    <x:row r="822" ht="48" customHeight="1">
      <x:c r="A822" s="17" t="str">
        <x:v>BUS156</x:v>
      </x:c>
      <x:c r="B822" s="17" t="str">
        <x:v>查询机器人板块成分股代码、名称和权重。</x:v>
      </x:c>
      <x:c r="C822" s="17" t="n">
        <x:v>4</x:v>
      </x:c>
      <x:c r="D822" s="17" t="str">
        <x:v>数据查询 1/1</x:v>
      </x:c>
      <x:c r="E822" s="17" t="str">
        <x:v>14364.09</x:v>
      </x:c>
      <x:c r="F822" s="17" t="str">
        <x:v>16574.39</x:v>
      </x:c>
      <x:c r="G822" s="18" t="n">
        <x:v>2210.3</x:v>
      </x:c>
      <x:c r="H822" s="18" t="n">
        <x:f>IFERROR(G822/1000,"")</x:f>
        <x:v>2.2103</x:v>
      </x:c>
      <x:c r="I822" s="19" t="n">
        <x:f>IFERROR(G822/J822,"")</x:f>
        <x:v>0.0421729194639004</x:v>
      </x:c>
      <x:c r="J822" s="17" t="n">
        <x:v>52410.41</x:v>
      </x:c>
      <x:c r="K822" s="17" t="str"/>
      <x:c r="L822" s="17" t="str">
        <x:v>已完成：查询板块名为机器人的基本信息，当前条件下没有匹配记录。</x:v>
      </x:c>
      <x:c r="M822" s="17" t="str"/>
      <x:c r="N822" s="18" t="n">
        <x:v>3084.67</x:v>
      </x:c>
      <x:c r="O822" s="17" t="str">
        <x:v>public_sse_client_estimate</x:v>
      </x:c>
    </x:row>
    <x:row r="823" ht="48" customHeight="1">
      <x:c r="A823" s="17" t="str">
        <x:v>BUS156</x:v>
      </x:c>
      <x:c r="B823" s="17" t="str">
        <x:v>查询机器人板块成分股代码、名称和权重。</x:v>
      </x:c>
      <x:c r="C823" s="17" t="n">
        <x:v>5</x:v>
      </x:c>
      <x:c r="D823" s="17" t="str">
        <x:v>数据口径</x:v>
      </x:c>
      <x:c r="E823" s="17" t="str">
        <x:v>16574.39</x:v>
      </x:c>
      <x:c r="F823" s="17" t="str">
        <x:v>18191.44</x:v>
      </x:c>
      <x:c r="G823" s="18" t="n">
        <x:v>1617.05</x:v>
      </x:c>
      <x:c r="H823" s="18" t="n">
        <x:f>IFERROR(G823/1000,"")</x:f>
        <x:v>1.6170499999999999</x:v>
      </x:c>
      <x:c r="I823" s="19" t="n">
        <x:f>IFERROR(G823/J823,"")</x:f>
        <x:v>0.030853603320409054</x:v>
      </x:c>
      <x:c r="J823" s="17" t="n">
        <x:v>52410.41</x:v>
      </x:c>
      <x:c r="K823" s="17" t="str"/>
      <x:c r="L823" s="17" t="str">
        <x:v>已定位热点事件/概念基础信息视图，并确认了可用字段与时间口径。</x:v>
      </x:c>
      <x:c r="M823" s="17" t="str"/>
      <x:c r="N823" s="18" t="n">
        <x:v>0</x:v>
      </x:c>
      <x:c r="O823" s="17" t="str">
        <x:v>public_sse_client_estimate</x:v>
      </x:c>
    </x:row>
    <x:row r="824" ht="48" customHeight="1">
      <x:c r="A824" s="17" t="str">
        <x:v>BUS156</x:v>
      </x:c>
      <x:c r="B824" s="17" t="str">
        <x:v>查询机器人板块成分股代码、名称和权重。</x:v>
      </x:c>
      <x:c r="C824" s="17" t="n">
        <x:v>6</x:v>
      </x:c>
      <x:c r="D824" s="17" t="str">
        <x:v>数据口径</x:v>
      </x:c>
      <x:c r="E824" s="17" t="str">
        <x:v>18191.44</x:v>
      </x:c>
      <x:c r="F824" s="17" t="str">
        <x:v>20235.12</x:v>
      </x:c>
      <x:c r="G824" s="18" t="n">
        <x:v>2043.68</x:v>
      </x:c>
      <x:c r="H824" s="18" t="n">
        <x:f>IFERROR(G824/1000,"")</x:f>
        <x:v>2.04368</x:v>
      </x:c>
      <x:c r="I824" s="19" t="n">
        <x:f>IFERROR(G824/J824,"")</x:f>
        <x:v>0.03899378005247431</x:v>
      </x:c>
      <x:c r="J824" s="17" t="n">
        <x:v>52410.41</x:v>
      </x:c>
      <x:c r="K824" s="17" t="str"/>
      <x:c r="L824" s="17" t="str">
        <x:v>已定位热点事件/概念状态视图，并确认了可用字段与时间口径。</x:v>
      </x:c>
      <x:c r="M824" s="17" t="str"/>
      <x:c r="N824" s="18" t="n">
        <x:v>0</x:v>
      </x:c>
      <x:c r="O824" s="17" t="str">
        <x:v>public_sse_client_estimate</x:v>
      </x:c>
    </x:row>
    <x:row r="825" ht="48" customHeight="1">
      <x:c r="A825" s="17" t="str">
        <x:v>BUS156</x:v>
      </x:c>
      <x:c r="B825" s="17" t="str">
        <x:v>查询机器人板块成分股代码、名称和权重。</x:v>
      </x:c>
      <x:c r="C825" s="17" t="n">
        <x:v>7</x:v>
      </x:c>
      <x:c r="D825" s="17" t="str">
        <x:v>数据口径</x:v>
      </x:c>
      <x:c r="E825" s="17" t="str">
        <x:v>20235.12</x:v>
      </x:c>
      <x:c r="F825" s="17" t="str">
        <x:v>20666.5</x:v>
      </x:c>
      <x:c r="G825" s="18" t="n">
        <x:v>431.38</x:v>
      </x:c>
      <x:c r="H825" s="18" t="n">
        <x:f>IFERROR(G825/1000,"")</x:f>
        <x:v>0.43138</x:v>
      </x:c>
      <x:c r="I825" s="19" t="n">
        <x:f>IFERROR(G825/J825,"")</x:f>
        <x:v>0.008230807581928857</x:v>
      </x:c>
      <x:c r="J825" s="17" t="n">
        <x:v>52410.41</x:v>
      </x:c>
      <x:c r="K825" s="17" t="str"/>
      <x:c r="L825" s="17" t="str">
        <x:v>已定位热点事件/概念成分股视图，并确认了可用字段与时间口径。</x:v>
      </x:c>
      <x:c r="M825" s="17" t="str"/>
      <x:c r="N825" s="18" t="n">
        <x:v>0</x:v>
      </x:c>
      <x:c r="O825" s="17" t="str">
        <x:v>public_sse_client_estimate</x:v>
      </x:c>
    </x:row>
    <x:row r="826" ht="48" customHeight="1">
      <x:c r="A826" s="17" t="str">
        <x:v>BUS156</x:v>
      </x:c>
      <x:c r="B826" s="17" t="str">
        <x:v>查询机器人板块成分股代码、名称和权重。</x:v>
      </x:c>
      <x:c r="C826" s="17" t="n">
        <x:v>8</x:v>
      </x:c>
      <x:c r="D826" s="17" t="str">
        <x:v>数据查询 1/1</x:v>
      </x:c>
      <x:c r="E826" s="17" t="str">
        <x:v>23116.51</x:v>
      </x:c>
      <x:c r="F826" s="17" t="str">
        <x:v>24253.32</x:v>
      </x:c>
      <x:c r="G826" s="18" t="n">
        <x:v>1136.81</x:v>
      </x:c>
      <x:c r="H826" s="18" t="n">
        <x:f>IFERROR(G826/1000,"")</x:f>
        <x:v>1.1368099999999999</x:v>
      </x:c>
      <x:c r="I826" s="19" t="n">
        <x:f>IFERROR(G826/J826,"")</x:f>
        <x:v>0.021690538196514775</x:v>
      </x:c>
      <x:c r="J826" s="17" t="n">
        <x:v>52410.41</x:v>
      </x:c>
      <x:c r="K826" s="17" t="str"/>
      <x:c r="L826" s="17" t="str">
        <x:v>已完成：查询机器人概念的成分股，取得 100 条记录。</x:v>
      </x:c>
      <x:c r="M826" s="17" t="str"/>
      <x:c r="N826" s="18" t="n">
        <x:v>2450.01</x:v>
      </x:c>
      <x:c r="O826" s="17" t="str">
        <x:v>public_sse_client_estimate</x:v>
      </x:c>
    </x:row>
    <x:row r="827" ht="48" customHeight="1">
      <x:c r="A827" s="17" t="str">
        <x:v>BUS156</x:v>
      </x:c>
      <x:c r="B827" s="17" t="str">
        <x:v>查询机器人板块成分股代码、名称和权重。</x:v>
      </x:c>
      <x:c r="C827" s="17" t="n">
        <x:v>9</x:v>
      </x:c>
      <x:c r="D827" s="17" t="str">
        <x:v>数据查询 1/1</x:v>
      </x:c>
      <x:c r="E827" s="17" t="str">
        <x:v>29892.35</x:v>
      </x:c>
      <x:c r="F827" s="17" t="str">
        <x:v>30030.73</x:v>
      </x:c>
      <x:c r="G827" s="18" t="n">
        <x:v>138.38</x:v>
      </x:c>
      <x:c r="H827" s="18" t="n">
        <x:f>IFERROR(G827/1000,"")</x:f>
        <x:v>0.13838</x:v>
      </x:c>
      <x:c r="I827" s="19" t="n">
        <x:f>IFERROR(G827/J827,"")</x:f>
        <x:v>0.0026403151587633066</x:v>
      </x:c>
      <x:c r="J827" s="17" t="n">
        <x:v>52410.41</x:v>
      </x:c>
      <x:c r="K827" s="17" t="str"/>
      <x:c r="L827" s="17" t="str">
        <x:v>已完成：查询机器人热点概念的基础信息，取得 1 条记录。</x:v>
      </x:c>
      <x:c r="M827" s="17" t="str"/>
      <x:c r="N827" s="18" t="n">
        <x:v>5639.03</x:v>
      </x:c>
      <x:c r="O827" s="17" t="str">
        <x:v>public_sse_client_estimate</x:v>
      </x:c>
    </x:row>
    <x:row r="828" ht="48" customHeight="1">
      <x:c r="A828" s="17" t="str">
        <x:v>BUS156</x:v>
      </x:c>
      <x:c r="B828" s="17" t="str">
        <x:v>查询机器人板块成分股代码、名称和权重。</x:v>
      </x:c>
      <x:c r="C828" s="17" t="n">
        <x:v>10</x:v>
      </x:c>
      <x:c r="D828" s="17" t="str">
        <x:v>数据查询 1/1</x:v>
      </x:c>
      <x:c r="E828" s="17" t="str">
        <x:v>33077.51</x:v>
      </x:c>
      <x:c r="F828" s="17" t="str">
        <x:v>33343.82</x:v>
      </x:c>
      <x:c r="G828" s="18" t="n">
        <x:v>266.31</x:v>
      </x:c>
      <x:c r="H828" s="18" t="n">
        <x:f>IFERROR(G828/1000,"")</x:f>
        <x:v>0.26631</x:v>
      </x:c>
      <x:c r="I828" s="19" t="n">
        <x:f>IFERROR(G828/J828,"")</x:f>
        <x:v>0.005081242447826682</x:v>
      </x:c>
      <x:c r="J828" s="17" t="n">
        <x:v>52410.41</x:v>
      </x:c>
      <x:c r="K828" s="17" t="str"/>
      <x:c r="L828" s="17" t="str">
        <x:v>已完成：查询机器人热点概念的所有成分股代码和名称，取得 100 条记录。</x:v>
      </x:c>
      <x:c r="M828" s="17" t="str"/>
      <x:c r="N828" s="18" t="n">
        <x:v>3046.78</x:v>
      </x:c>
      <x:c r="O828" s="17" t="str">
        <x:v>public_sse_client_estimate</x:v>
      </x:c>
    </x:row>
    <x:row r="829" ht="48" customHeight="1">
      <x:c r="A829" s="17" t="str">
        <x:v>BUS156</x:v>
      </x:c>
      <x:c r="B829" s="17" t="str">
        <x:v>查询机器人板块成分股代码、名称和权重。</x:v>
      </x:c>
      <x:c r="C829" s="17" t="n">
        <x:v>11</x:v>
      </x:c>
      <x:c r="D829" s="17" t="str">
        <x:v>回答整理</x:v>
      </x:c>
      <x:c r="E829" s="17" t="str">
        <x:v>33343.82</x:v>
      </x:c>
      <x:c r="F829" s="17" t="str">
        <x:v>49058.36</x:v>
      </x:c>
      <x:c r="G829" s="18" t="n">
        <x:v>15714.54</x:v>
      </x:c>
      <x:c r="H829" s="18" t="n">
        <x:f>IFERROR(G829/1000,"")</x:f>
        <x:v>15.714540000000001</x:v>
      </x:c>
      <x:c r="I829" s="19" t="n">
        <x:f>IFERROR(G829/J829,"")</x:f>
        <x:v>0.2998362348243412</x:v>
      </x:c>
      <x:c r="J829" s="17" t="n">
        <x:v>52410.41</x:v>
      </x:c>
      <x:c r="K829" s="17" t="str"/>
      <x:c r="L829" s="17" t="str">
        <x:v>证据与回答已整理完成。</x:v>
      </x:c>
      <x:c r="M829" s="17" t="str"/>
      <x:c r="N829" s="18" t="n">
        <x:v>0</x:v>
      </x:c>
      <x:c r="O829" s="17" t="str">
        <x:v>public_sse_client_estimate</x:v>
      </x:c>
    </x:row>
    <x:row r="830" ht="48" customHeight="1">
      <x:c r="A830" s="17" t="str">
        <x:v>BUS157</x:v>
      </x:c>
      <x:c r="B830" s="17" t="str">
        <x:v>计算人工智能板块成分股今天平均涨跌幅和涨停家数。</x:v>
      </x:c>
      <x:c r="C830" s="17" t="n">
        <x:v>1</x:v>
      </x:c>
      <x:c r="D830" s="17" t="str">
        <x:v>问题理解</x:v>
      </x:c>
      <x:c r="E830" s="17" t="str">
        <x:v>5393.61</x:v>
      </x:c>
      <x:c r="F830" s="17" t="str">
        <x:v>9771.73</x:v>
      </x:c>
      <x:c r="G830" s="18" t="n">
        <x:v>4378.12</x:v>
      </x:c>
      <x:c r="H830" s="18" t="n">
        <x:f>IFERROR(G830/1000,"")</x:f>
        <x:v>4.37812</x:v>
      </x:c>
      <x:c r="I830" s="19" t="n">
        <x:f>IFERROR(G830/J830,"")</x:f>
        <x:v>0.05187101366546933</x:v>
      </x:c>
      <x:c r="J830" s="17" t="n">
        <x:v>84403.98</x:v>
      </x:c>
      <x:c r="K830" s="17" t="str"/>
      <x:c r="L830" s="17" t="str">
        <x:v>已明确本题的对象与口径，开始获取所需证据。</x:v>
      </x:c>
      <x:c r="M830" s="17" t="str"/>
      <x:c r="N830" s="18" t="n">
        <x:v>5393.61</x:v>
      </x:c>
      <x:c r="O830" s="17" t="str">
        <x:v>public_sse_client_estimate</x:v>
      </x:c>
    </x:row>
    <x:row r="831" ht="48" customHeight="1">
      <x:c r="A831" s="17" t="str">
        <x:v>BUS157</x:v>
      </x:c>
      <x:c r="B831" s="17" t="str">
        <x:v>计算人工智能板块成分股今天平均涨跌幅和涨停家数。</x:v>
      </x:c>
      <x:c r="C831" s="17" t="n">
        <x:v>2</x:v>
      </x:c>
      <x:c r="D831" s="17" t="str">
        <x:v>数据口径</x:v>
      </x:c>
      <x:c r="E831" s="17" t="str">
        <x:v>9771.73</x:v>
      </x:c>
      <x:c r="F831" s="17" t="str">
        <x:v>9794.53</x:v>
      </x:c>
      <x:c r="G831" s="18" t="n">
        <x:v>22.8</x:v>
      </x:c>
      <x:c r="H831" s="18" t="n">
        <x:f>IFERROR(G831/1000,"")</x:f>
        <x:v>0.0228</x:v>
      </x:c>
      <x:c r="I831" s="19" t="n">
        <x:f>IFERROR(G831/J831,"")</x:f>
        <x:v>0.0002701294417632913</x:v>
      </x:c>
      <x:c r="J831" s="17" t="n">
        <x:v>84403.98</x:v>
      </x:c>
      <x:c r="K831" s="17" t="str"/>
      <x:c r="L831" s="17" t="str">
        <x:v>已定位板块成分关系视图，并确认了可用字段与时间口径。</x:v>
      </x:c>
      <x:c r="M831" s="17" t="str"/>
      <x:c r="N831" s="18" t="n">
        <x:v>0</x:v>
      </x:c>
      <x:c r="O831" s="17" t="str">
        <x:v>public_sse_client_estimate</x:v>
      </x:c>
    </x:row>
    <x:row r="832" ht="48" customHeight="1">
      <x:c r="A832" s="17" t="str">
        <x:v>BUS157</x:v>
      </x:c>
      <x:c r="B832" s="17" t="str">
        <x:v>计算人工智能板块成分股今天平均涨跌幅和涨停家数。</x:v>
      </x:c>
      <x:c r="C832" s="17" t="n">
        <x:v>3</x:v>
      </x:c>
      <x:c r="D832" s="17" t="str">
        <x:v>数据口径</x:v>
      </x:c>
      <x:c r="E832" s="17" t="str">
        <x:v>9794.53</x:v>
      </x:c>
      <x:c r="F832" s="17" t="str">
        <x:v>10270.83</x:v>
      </x:c>
      <x:c r="G832" s="18" t="n">
        <x:v>476.3</x:v>
      </x:c>
      <x:c r="H832" s="18" t="n">
        <x:f>IFERROR(G832/1000,"")</x:f>
        <x:v>0.4763</x:v>
      </x:c>
      <x:c r="I832" s="19" t="n">
        <x:f>IFERROR(G832/J832,"")</x:f>
        <x:v>0.005643098820695422</x:v>
      </x:c>
      <x:c r="J832" s="17" t="n">
        <x:v>84403.98</x:v>
      </x:c>
      <x:c r="K832" s="17" t="str"/>
      <x:c r="L832" s="17" t="str">
        <x:v>已定位板块基础信息视图，并确认了可用字段与时间口径。</x:v>
      </x:c>
      <x:c r="M832" s="17" t="str"/>
      <x:c r="N832" s="18" t="n">
        <x:v>0</x:v>
      </x:c>
      <x:c r="O832" s="17" t="str">
        <x:v>public_sse_client_estimate</x:v>
      </x:c>
    </x:row>
    <x:row r="833" ht="48" customHeight="1">
      <x:c r="A833" s="17" t="str">
        <x:v>BUS157</x:v>
      </x:c>
      <x:c r="B833" s="17" t="str">
        <x:v>计算人工智能板块成分股今天平均涨跌幅和涨停家数。</x:v>
      </x:c>
      <x:c r="C833" s="17" t="n">
        <x:v>4</x:v>
      </x:c>
      <x:c r="D833" s="17" t="str">
        <x:v>数据查询 1/1</x:v>
      </x:c>
      <x:c r="E833" s="17" t="str">
        <x:v>13509.03</x:v>
      </x:c>
      <x:c r="F833" s="17" t="str">
        <x:v>13989.7</x:v>
      </x:c>
      <x:c r="G833" s="18" t="n">
        <x:v>480.67</x:v>
      </x:c>
      <x:c r="H833" s="18" t="n">
        <x:f>IFERROR(G833/1000,"")</x:f>
        <x:v>0.48067000000000004</x:v>
      </x:c>
      <x:c r="I833" s="19" t="n">
        <x:f>IFERROR(G833/J833,"")</x:f>
        <x:v>0.00569487363036672</x:v>
      </x:c>
      <x:c r="J833" s="17" t="n">
        <x:v>84403.98</x:v>
      </x:c>
      <x:c r="K833" s="17" t="str"/>
      <x:c r="L833" s="17" t="str">
        <x:v>已完成：查询人工智能板块代码和名称，取得 1 条记录。</x:v>
      </x:c>
      <x:c r="M833" s="17" t="str"/>
      <x:c r="N833" s="18" t="n">
        <x:v>3238.2</x:v>
      </x:c>
      <x:c r="O833" s="17" t="str">
        <x:v>public_sse_client_estimate</x:v>
      </x:c>
    </x:row>
    <x:row r="834" ht="48" customHeight="1">
      <x:c r="A834" s="17" t="str">
        <x:v>BUS157</x:v>
      </x:c>
      <x:c r="B834" s="17" t="str">
        <x:v>计算人工智能板块成分股今天平均涨跌幅和涨停家数。</x:v>
      </x:c>
      <x:c r="C834" s="17" t="n">
        <x:v>5</x:v>
      </x:c>
      <x:c r="D834" s="17" t="str">
        <x:v>数据口径</x:v>
      </x:c>
      <x:c r="E834" s="17" t="str">
        <x:v>13989.7</x:v>
      </x:c>
      <x:c r="F834" s="17" t="str">
        <x:v>17722.63</x:v>
      </x:c>
      <x:c r="G834" s="18" t="n">
        <x:v>3732.93</x:v>
      </x:c>
      <x:c r="H834" s="18" t="n">
        <x:f>IFERROR(G834/1000,"")</x:f>
        <x:v>3.7329299999999996</x:v>
      </x:c>
      <x:c r="I834" s="19" t="n">
        <x:f>IFERROR(G834/J834,"")</x:f>
        <x:v>0.044226942852694864</x:v>
      </x:c>
      <x:c r="J834" s="17" t="n">
        <x:v>84403.98</x:v>
      </x:c>
      <x:c r="K834" s="17" t="str"/>
      <x:c r="L834" s="17" t="str">
        <x:v>已定位个股行情视图，并确认了可用字段与时间口径。</x:v>
      </x:c>
      <x:c r="M834" s="17" t="str"/>
      <x:c r="N834" s="18" t="n">
        <x:v>0</x:v>
      </x:c>
      <x:c r="O834" s="17" t="str">
        <x:v>public_sse_client_estimate</x:v>
      </x:c>
    </x:row>
    <x:row r="835" ht="48" customHeight="1">
      <x:c r="A835" s="17" t="str">
        <x:v>BUS157</x:v>
      </x:c>
      <x:c r="B835" s="17" t="str">
        <x:v>计算人工智能板块成分股今天平均涨跌幅和涨停家数。</x:v>
      </x:c>
      <x:c r="C835" s="17" t="n">
        <x:v>6</x:v>
      </x:c>
      <x:c r="D835" s="17" t="str">
        <x:v>数据查询 1/2</x:v>
      </x:c>
      <x:c r="E835" s="17" t="str">
        <x:v>35607.79</x:v>
      </x:c>
      <x:c r="F835" s="17" t="str">
        <x:v>36130.42</x:v>
      </x:c>
      <x:c r="G835" s="18" t="n">
        <x:v>522.63</x:v>
      </x:c>
      <x:c r="H835" s="18" t="n">
        <x:f>IFERROR(G835/1000,"")</x:f>
        <x:v>0.52263</x:v>
      </x:c>
      <x:c r="I835" s="19" t="n">
        <x:f>IFERROR(G835/J835,"")</x:f>
        <x:v>0.006192006585471444</x:v>
      </x:c>
      <x:c r="J835" s="17" t="n">
        <x:v>84403.98</x:v>
      </x:c>
      <x:c r="K835" s="17" t="str"/>
      <x:c r="L835" s="17" t="str">
        <x:v>已完成：获取人工智能板块全部成分股，取得 100 条记录。</x:v>
      </x:c>
      <x:c r="M835" s="17" t="str"/>
      <x:c r="N835" s="18" t="n">
        <x:v>17885.16</x:v>
      </x:c>
      <x:c r="O835" s="17" t="str">
        <x:v>public_sse_client_estimate</x:v>
      </x:c>
    </x:row>
    <x:row r="836" ht="48" customHeight="1">
      <x:c r="A836" s="17" t="str">
        <x:v>BUS157</x:v>
      </x:c>
      <x:c r="B836" s="17" t="str">
        <x:v>计算人工智能板块成分股今天平均涨跌幅和涨停家数。</x:v>
      </x:c>
      <x:c r="C836" s="17" t="n">
        <x:v>7</x:v>
      </x:c>
      <x:c r="D836" s="17" t="str">
        <x:v>数据查询 2/2</x:v>
      </x:c>
      <x:c r="E836" s="17" t="str">
        <x:v>40486.85</x:v>
      </x:c>
      <x:c r="F836" s="17" t="str">
        <x:v>40490.28</x:v>
      </x:c>
      <x:c r="G836" s="18" t="n">
        <x:v>3.43</x:v>
      </x:c>
      <x:c r="H836" s="18" t="n">
        <x:f>IFERROR(G836/1000,"")</x:f>
        <x:v>0.0034300000000000003</x:v>
      </x:c>
      <x:c r="I836" s="19" t="n">
        <x:f>IFERROR(G836/J836,"")</x:f>
        <x:v>0.00004063789408982847</x:v>
      </x:c>
      <x:c r="J836" s="17" t="n">
        <x:v>84403.98</x:v>
      </x:c>
      <x:c r="K836" s="17" t="str"/>
      <x:c r="L836" s="17" t="str">
        <x:v>已完成：查询人工智能板块成分股上一个交易日的涨跌幅和是否涨跌停，取得 100 条记录。</x:v>
      </x:c>
      <x:c r="M836" s="17" t="str"/>
      <x:c r="N836" s="18" t="n">
        <x:v>4356.43</x:v>
      </x:c>
      <x:c r="O836" s="17" t="str">
        <x:v>public_sse_client_estimate</x:v>
      </x:c>
    </x:row>
    <x:row r="837" ht="48" customHeight="1">
      <x:c r="A837" s="17" t="str">
        <x:v>BUS157</x:v>
      </x:c>
      <x:c r="B837" s="17" t="str">
        <x:v>计算人工智能板块成分股今天平均涨跌幅和涨停家数。</x:v>
      </x:c>
      <x:c r="C837" s="17" t="n">
        <x:v>8</x:v>
      </x:c>
      <x:c r="D837" s="17" t="str">
        <x:v>回答整理</x:v>
      </x:c>
      <x:c r="E837" s="17" t="str">
        <x:v>40490.28</x:v>
      </x:c>
      <x:c r="F837" s="17" t="str">
        <x:v>80952.26</x:v>
      </x:c>
      <x:c r="G837" s="18" t="n">
        <x:v>40461.98</x:v>
      </x:c>
      <x:c r="H837" s="18" t="n">
        <x:f>IFERROR(G837/1000,"")</x:f>
        <x:v>40.461980000000004</x:v>
      </x:c>
      <x:c r="I837" s="19" t="n">
        <x:f>IFERROR(G837/J837,"")</x:f>
        <x:v>0.47938473991392355</x:v>
      </x:c>
      <x:c r="J837" s="17" t="n">
        <x:v>84403.98</x:v>
      </x:c>
      <x:c r="K837" s="17" t="str"/>
      <x:c r="L837" s="17" t="str">
        <x:v>证据与回答已整理完成。</x:v>
      </x:c>
      <x:c r="M837" s="17" t="str"/>
      <x:c r="N837" s="18" t="n">
        <x:v>0</x:v>
      </x:c>
      <x:c r="O837" s="17" t="str">
        <x:v>public_sse_client_estimate</x:v>
      </x:c>
    </x:row>
    <x:row r="838" ht="48" customHeight="1">
      <x:c r="A838" s="17" t="str">
        <x:v>BUS159</x:v>
      </x:c>
      <x:c r="B838" s="17" t="str">
        <x:v>比较人工智能、半导体和机器人板块最近20个交易日累计涨幅。</x:v>
      </x:c>
      <x:c r="C838" s="17" t="n">
        <x:v>1</x:v>
      </x:c>
      <x:c r="D838" s="17" t="str">
        <x:v>问题理解</x:v>
      </x:c>
      <x:c r="E838" s="17" t="str">
        <x:v>6031.52</x:v>
      </x:c>
      <x:c r="F838" s="17" t="str">
        <x:v>10410.55</x:v>
      </x:c>
      <x:c r="G838" s="18" t="n">
        <x:v>4379.03</x:v>
      </x:c>
      <x:c r="H838" s="18" t="n">
        <x:f>IFERROR(G838/1000,"")</x:f>
        <x:v>4.379029999999999</x:v>
      </x:c>
      <x:c r="I838" s="19" t="n">
        <x:f>IFERROR(G838/J838,"")</x:f>
        <x:v>0.11869178105026464</x:v>
      </x:c>
      <x:c r="J838" s="17" t="n">
        <x:v>36894.13</x:v>
      </x:c>
      <x:c r="K838" s="17" t="str"/>
      <x:c r="L838" s="17" t="str">
        <x:v>已明确本题的对象与口径，开始获取所需证据。</x:v>
      </x:c>
      <x:c r="M838" s="17" t="str"/>
      <x:c r="N838" s="18" t="n">
        <x:v>6031.52</x:v>
      </x:c>
      <x:c r="O838" s="17" t="str">
        <x:v>public_sse_client_estimate</x:v>
      </x:c>
    </x:row>
    <x:row r="839" ht="48" customHeight="1">
      <x:c r="A839" s="17" t="str">
        <x:v>BUS159</x:v>
      </x:c>
      <x:c r="B839" s="17" t="str">
        <x:v>比较人工智能、半导体和机器人板块最近20个交易日累计涨幅。</x:v>
      </x:c>
      <x:c r="C839" s="17" t="n">
        <x:v>2</x:v>
      </x:c>
      <x:c r="D839" s="17" t="str">
        <x:v>数据口径</x:v>
      </x:c>
      <x:c r="E839" s="17" t="str">
        <x:v>10410.55</x:v>
      </x:c>
      <x:c r="F839" s="17" t="str">
        <x:v>10536.3</x:v>
      </x:c>
      <x:c r="G839" s="18" t="n">
        <x:v>125.75</x:v>
      </x:c>
      <x:c r="H839" s="18" t="n">
        <x:f>IFERROR(G839/1000,"")</x:f>
        <x:v>0.12575</x:v>
      </x:c>
      <x:c r="I839" s="19" t="n">
        <x:f>IFERROR(G839/J839,"")</x:f>
        <x:v>0.0034084012822636015</x:v>
      </x:c>
      <x:c r="J839" s="17" t="n">
        <x:v>36894.13</x:v>
      </x:c>
      <x:c r="K839" s="17" t="str"/>
      <x:c r="L839" s="17" t="str">
        <x:v>已定位板块行情视图，并确认了可用字段与时间口径。</x:v>
      </x:c>
      <x:c r="M839" s="17" t="str"/>
      <x:c r="N839" s="18" t="n">
        <x:v>0</x:v>
      </x:c>
      <x:c r="O839" s="17" t="str">
        <x:v>public_sse_client_estimate</x:v>
      </x:c>
    </x:row>
    <x:row r="840" ht="48" customHeight="1">
      <x:c r="A840" s="17" t="str">
        <x:v>BUS159</x:v>
      </x:c>
      <x:c r="B840" s="17" t="str">
        <x:v>比较人工智能、半导体和机器人板块最近20个交易日累计涨幅。</x:v>
      </x:c>
      <x:c r="C840" s="17" t="n">
        <x:v>3</x:v>
      </x:c>
      <x:c r="D840" s="17" t="str">
        <x:v>数据口径</x:v>
      </x:c>
      <x:c r="E840" s="17" t="str">
        <x:v>10536.3</x:v>
      </x:c>
      <x:c r="F840" s="17" t="str">
        <x:v>13845.59</x:v>
      </x:c>
      <x:c r="G840" s="18" t="n">
        <x:v>3309.29</x:v>
      </x:c>
      <x:c r="H840" s="18" t="n">
        <x:f>IFERROR(G840/1000,"")</x:f>
        <x:v>3.30929</x:v>
      </x:c>
      <x:c r="I840" s="19" t="n">
        <x:f>IFERROR(G840/J840,"")</x:f>
        <x:v>0.0896969246869353</x:v>
      </x:c>
      <x:c r="J840" s="17" t="n">
        <x:v>36894.13</x:v>
      </x:c>
      <x:c r="K840" s="17" t="str"/>
      <x:c r="L840" s="17" t="str">
        <x:v>已定位板块基础信息视图，并确认了可用字段与时间口径。</x:v>
      </x:c>
      <x:c r="M840" s="17" t="str"/>
      <x:c r="N840" s="18" t="n">
        <x:v>0</x:v>
      </x:c>
      <x:c r="O840" s="17" t="str">
        <x:v>public_sse_client_estimate</x:v>
      </x:c>
    </x:row>
    <x:row r="841" ht="48" customHeight="1">
      <x:c r="A841" s="17" t="str">
        <x:v>BUS159</x:v>
      </x:c>
      <x:c r="B841" s="17" t="str">
        <x:v>比较人工智能、半导体和机器人板块最近20个交易日累计涨幅。</x:v>
      </x:c>
      <x:c r="C841" s="17" t="n">
        <x:v>4</x:v>
      </x:c>
      <x:c r="D841" s="17" t="str">
        <x:v>数据查询 1/1</x:v>
      </x:c>
      <x:c r="E841" s="17" t="str">
        <x:v>16622.37</x:v>
      </x:c>
      <x:c r="F841" s="17" t="str">
        <x:v>17235.41</x:v>
      </x:c>
      <x:c r="G841" s="18" t="n">
        <x:v>613.04</x:v>
      </x:c>
      <x:c r="H841" s="18" t="n">
        <x:f>IFERROR(G841/1000,"")</x:f>
        <x:v>0.6130399999999999</x:v>
      </x:c>
      <x:c r="I841" s="19" t="n">
        <x:f>IFERROR(G841/J841,"")</x:f>
        <x:v>0.01661619341613422</x:v>
      </x:c>
      <x:c r="J841" s="17" t="n">
        <x:v>36894.13</x:v>
      </x:c>
      <x:c r="K841" s="17" t="str"/>
      <x:c r="L841" s="17" t="str">
        <x:v>已完成：查询人工智能、半导体、机器人板块的代码，取得 10 条记录。</x:v>
      </x:c>
      <x:c r="M841" s="17" t="str"/>
      <x:c r="N841" s="18" t="n">
        <x:v>2776.78</x:v>
      </x:c>
      <x:c r="O841" s="17" t="str">
        <x:v>public_sse_client_estimate</x:v>
      </x:c>
    </x:row>
    <x:row r="842" ht="48" customHeight="1">
      <x:c r="A842" s="17" t="str">
        <x:v>BUS159</x:v>
      </x:c>
      <x:c r="B842" s="17" t="str">
        <x:v>比较人工智能、半导体和机器人板块最近20个交易日累计涨幅。</x:v>
      </x:c>
      <x:c r="C842" s="17" t="n">
        <x:v>5</x:v>
      </x:c>
      <x:c r="D842" s="17" t="str">
        <x:v>数据查询 1/1</x:v>
      </x:c>
      <x:c r="E842" s="17" t="str">
        <x:v>23221.8</x:v>
      </x:c>
      <x:c r="F842" s="17" t="str">
        <x:v>25325.83</x:v>
      </x:c>
      <x:c r="G842" s="18" t="n">
        <x:v>2104.03</x:v>
      </x:c>
      <x:c r="H842" s="18" t="n">
        <x:f>IFERROR(G842/1000,"")</x:f>
        <x:v>2.1040300000000003</x:v>
      </x:c>
      <x:c r="I842" s="19" t="n">
        <x:f>IFERROR(G842/J842,"")</x:f>
        <x:v>0.057028855267762114</x:v>
      </x:c>
      <x:c r="J842" s="17" t="n">
        <x:v>36894.13</x:v>
      </x:c>
      <x:c r="K842" s="17" t="str"/>
      <x:c r="L842" s="17" t="str">
        <x:v>已完成：计算人工智能、半导体、机器人概念板块最近20个交易日的累计涨幅，取得 3 条记录。</x:v>
      </x:c>
      <x:c r="M842" s="17" t="str"/>
      <x:c r="N842" s="18" t="n">
        <x:v>5986.39</x:v>
      </x:c>
      <x:c r="O842" s="17" t="str">
        <x:v>public_sse_client_estimate</x:v>
      </x:c>
    </x:row>
    <x:row r="843" ht="48" customHeight="1">
      <x:c r="A843" s="17" t="str">
        <x:v>BUS159</x:v>
      </x:c>
      <x:c r="B843" s="17" t="str">
        <x:v>比较人工智能、半导体和机器人板块最近20个交易日累计涨幅。</x:v>
      </x:c>
      <x:c r="C843" s="17" t="n">
        <x:v>6</x:v>
      </x:c>
      <x:c r="D843" s="17" t="str">
        <x:v>回答整理</x:v>
      </x:c>
      <x:c r="E843" s="17" t="str">
        <x:v>25325.83</x:v>
      </x:c>
      <x:c r="F843" s="17" t="str">
        <x:v>28958.09</x:v>
      </x:c>
      <x:c r="G843" s="18" t="n">
        <x:v>3632.26</x:v>
      </x:c>
      <x:c r="H843" s="18" t="n">
        <x:f>IFERROR(G843/1000,"")</x:f>
        <x:v>3.63226</x:v>
      </x:c>
      <x:c r="I843" s="19" t="n">
        <x:f>IFERROR(G843/J843,"")</x:f>
        <x:v>0.09845089178142974</x:v>
      </x:c>
      <x:c r="J843" s="17" t="n">
        <x:v>36894.13</x:v>
      </x:c>
      <x:c r="K843" s="17" t="str"/>
      <x:c r="L843" s="17" t="str">
        <x:v>证据与回答已整理完成。</x:v>
      </x:c>
      <x:c r="M843" s="17" t="str"/>
      <x:c r="N843" s="18" t="n">
        <x:v>0</x:v>
      </x:c>
      <x:c r="O843" s="17" t="str">
        <x:v>public_sse_client_estimate</x:v>
      </x:c>
    </x:row>
    <x:row r="844" ht="48" customHeight="1">
      <x:c r="A844" s="17" t="str">
        <x:v>BUS160</x:v>
      </x:c>
      <x:c r="B844" s="17" t="str">
        <x:v>统计证券板块成分股最新PE_TTM均值和PB中位数。</x:v>
      </x:c>
      <x:c r="C844" s="17" t="n">
        <x:v>1</x:v>
      </x:c>
      <x:c r="D844" s="17" t="str">
        <x:v>问题理解</x:v>
      </x:c>
      <x:c r="E844" s="17" t="str">
        <x:v>6074.8</x:v>
      </x:c>
      <x:c r="F844" s="17" t="str">
        <x:v>10790.2</x:v>
      </x:c>
      <x:c r="G844" s="18" t="n">
        <x:v>4715.4</x:v>
      </x:c>
      <x:c r="H844" s="18" t="n">
        <x:f>IFERROR(G844/1000,"")</x:f>
        <x:v>4.7154</x:v>
      </x:c>
      <x:c r="I844" s="19" t="n">
        <x:f>IFERROR(G844/J844,"")</x:f>
        <x:v>0.05289514368422741</x:v>
      </x:c>
      <x:c r="J844" s="17" t="n">
        <x:v>89146.18</x:v>
      </x:c>
      <x:c r="K844" s="17" t="str"/>
      <x:c r="L844" s="17" t="str">
        <x:v>已明确本题的对象与口径，开始获取所需证据。</x:v>
      </x:c>
      <x:c r="M844" s="17" t="str"/>
      <x:c r="N844" s="18" t="n">
        <x:v>6074.8</x:v>
      </x:c>
      <x:c r="O844" s="17" t="str">
        <x:v>public_sse_client_estimate</x:v>
      </x:c>
    </x:row>
    <x:row r="845" ht="48" customHeight="1">
      <x:c r="A845" s="17" t="str">
        <x:v>BUS160</x:v>
      </x:c>
      <x:c r="B845" s="17" t="str">
        <x:v>统计证券板块成分股最新PE_TTM均值和PB中位数。</x:v>
      </x:c>
      <x:c r="C845" s="17" t="n">
        <x:v>2</x:v>
      </x:c>
      <x:c r="D845" s="17" t="str">
        <x:v>数据口径</x:v>
      </x:c>
      <x:c r="E845" s="17" t="str">
        <x:v>10790.2</x:v>
      </x:c>
      <x:c r="F845" s="17" t="str">
        <x:v>10832.38</x:v>
      </x:c>
      <x:c r="G845" s="18" t="n">
        <x:v>42.18</x:v>
      </x:c>
      <x:c r="H845" s="18" t="n">
        <x:f>IFERROR(G845/1000,"")</x:f>
        <x:v>0.04218</x:v>
      </x:c>
      <x:c r="I845" s="19" t="n">
        <x:f>IFERROR(G845/J845,"")</x:f>
        <x:v>0.00047315543975075546</x:v>
      </x:c>
      <x:c r="J845" s="17" t="n">
        <x:v>89146.18</x:v>
      </x:c>
      <x:c r="K845" s="17" t="str"/>
      <x:c r="L845" s="17" t="str">
        <x:v>已定位行业成分关系视图，并确认了可用字段与时间口径。</x:v>
      </x:c>
      <x:c r="M845" s="17" t="str"/>
      <x:c r="N845" s="18" t="n">
        <x:v>0</x:v>
      </x:c>
      <x:c r="O845" s="17" t="str">
        <x:v>public_sse_client_estimate</x:v>
      </x:c>
    </x:row>
    <x:row r="846" ht="48" customHeight="1">
      <x:c r="A846" s="17" t="str">
        <x:v>BUS160</x:v>
      </x:c>
      <x:c r="B846" s="17" t="str">
        <x:v>统计证券板块成分股最新PE_TTM均值和PB中位数。</x:v>
      </x:c>
      <x:c r="C846" s="17" t="n">
        <x:v>3</x:v>
      </x:c>
      <x:c r="D846" s="17" t="str">
        <x:v>数据口径</x:v>
      </x:c>
      <x:c r="E846" s="17" t="str">
        <x:v>10832.38</x:v>
      </x:c>
      <x:c r="F846" s="17" t="str">
        <x:v>11315.45</x:v>
      </x:c>
      <x:c r="G846" s="18" t="n">
        <x:v>483.07</x:v>
      </x:c>
      <x:c r="H846" s="18" t="n">
        <x:f>IFERROR(G846/1000,"")</x:f>
        <x:v>0.48307</x:v>
      </x:c>
      <x:c r="I846" s="19" t="n">
        <x:f>IFERROR(G846/J846,"")</x:f>
        <x:v>0.005418852495979076</x:v>
      </x:c>
      <x:c r="J846" s="17" t="n">
        <x:v>89146.18</x:v>
      </x:c>
      <x:c r="K846" s="17" t="str"/>
      <x:c r="L846" s="17" t="str">
        <x:v>已定位板块成分关系视图，并确认了可用字段与时间口径。</x:v>
      </x:c>
      <x:c r="M846" s="17" t="str"/>
      <x:c r="N846" s="18" t="n">
        <x:v>0</x:v>
      </x:c>
      <x:c r="O846" s="17" t="str">
        <x:v>public_sse_client_estimate</x:v>
      </x:c>
    </x:row>
    <x:row r="847" ht="48" customHeight="1">
      <x:c r="A847" s="17" t="str">
        <x:v>BUS160</x:v>
      </x:c>
      <x:c r="B847" s="17" t="str">
        <x:v>统计证券板块成分股最新PE_TTM均值和PB中位数。</x:v>
      </x:c>
      <x:c r="C847" s="17" t="n">
        <x:v>4</x:v>
      </x:c>
      <x:c r="D847" s="17" t="str">
        <x:v>数据口径</x:v>
      </x:c>
      <x:c r="E847" s="17" t="str">
        <x:v>11315.45</x:v>
      </x:c>
      <x:c r="F847" s="17" t="str">
        <x:v>14139.74</x:v>
      </x:c>
      <x:c r="G847" s="18" t="n">
        <x:v>2824.29</x:v>
      </x:c>
      <x:c r="H847" s="18" t="n">
        <x:f>IFERROR(G847/1000,"")</x:f>
        <x:v>2.82429</x:v>
      </x:c>
      <x:c r="I847" s="19" t="n">
        <x:f>IFERROR(G847/J847,"")</x:f>
        <x:v>0.03168155943417879</x:v>
      </x:c>
      <x:c r="J847" s="17" t="n">
        <x:v>89146.18</x:v>
      </x:c>
      <x:c r="K847" s="17" t="str"/>
      <x:c r="L847" s="17" t="str">
        <x:v>已定位行业基础信息视图，并确认了可用字段与时间口径。</x:v>
      </x:c>
      <x:c r="M847" s="17" t="str"/>
      <x:c r="N847" s="18" t="n">
        <x:v>0</x:v>
      </x:c>
      <x:c r="O847" s="17" t="str">
        <x:v>public_sse_client_estimate</x:v>
      </x:c>
    </x:row>
    <x:row r="848" ht="48" customHeight="1">
      <x:c r="A848" s="17" t="str">
        <x:v>BUS160</x:v>
      </x:c>
      <x:c r="B848" s="17" t="str">
        <x:v>统计证券板块成分股最新PE_TTM均值和PB中位数。</x:v>
      </x:c>
      <x:c r="C848" s="17" t="n">
        <x:v>5</x:v>
      </x:c>
      <x:c r="D848" s="17" t="str">
        <x:v>数据口径</x:v>
      </x:c>
      <x:c r="E848" s="17" t="str">
        <x:v>14139.74</x:v>
      </x:c>
      <x:c r="F848" s="17" t="str">
        <x:v>14700.18</x:v>
      </x:c>
      <x:c r="G848" s="18" t="n">
        <x:v>560.44</x:v>
      </x:c>
      <x:c r="H848" s="18" t="n">
        <x:f>IFERROR(G848/1000,"")</x:f>
        <x:v>0.56044</x:v>
      </x:c>
      <x:c r="I848" s="19" t="n">
        <x:f>IFERROR(G848/J848,"")</x:f>
        <x:v>0.006286752836745221</x:v>
      </x:c>
      <x:c r="J848" s="17" t="n">
        <x:v>89146.18</x:v>
      </x:c>
      <x:c r="K848" s="17" t="str"/>
      <x:c r="L848" s="17" t="str">
        <x:v>已定位个股估值视图，并确认了可用字段与时间口径。</x:v>
      </x:c>
      <x:c r="M848" s="17" t="str"/>
      <x:c r="N848" s="18" t="n">
        <x:v>0</x:v>
      </x:c>
      <x:c r="O848" s="17" t="str">
        <x:v>public_sse_client_estimate</x:v>
      </x:c>
    </x:row>
    <x:row r="849" ht="48" customHeight="1">
      <x:c r="A849" s="17" t="str">
        <x:v>BUS160</x:v>
      </x:c>
      <x:c r="B849" s="17" t="str">
        <x:v>统计证券板块成分股最新PE_TTM均值和PB中位数。</x:v>
      </x:c>
      <x:c r="C849" s="17" t="n">
        <x:v>6</x:v>
      </x:c>
      <x:c r="D849" s="17" t="str">
        <x:v>数据查询 1/1</x:v>
      </x:c>
      <x:c r="E849" s="17" t="str">
        <x:v>18613.79</x:v>
      </x:c>
      <x:c r="F849" s="17" t="str">
        <x:v>19163.27</x:v>
      </x:c>
      <x:c r="G849" s="18" t="n">
        <x:v>549.48</x:v>
      </x:c>
      <x:c r="H849" s="18" t="n">
        <x:f>IFERROR(G849/1000,"")</x:f>
        <x:v>0.54948</x:v>
      </x:c>
      <x:c r="I849" s="19" t="n">
        <x:f>IFERROR(G849/J849,"")</x:f>
        <x:v>0.00616380870161795</x:v>
      </x:c>
      <x:c r="J849" s="17" t="n">
        <x:v>89146.18</x:v>
      </x:c>
      <x:c r="K849" s="17" t="str"/>
      <x:c r="L849" s="17" t="str">
        <x:v>已完成：找到证券行业的行业代码和名称，取得 10 条记录。</x:v>
      </x:c>
      <x:c r="M849" s="17" t="str"/>
      <x:c r="N849" s="18" t="n">
        <x:v>3913.61</x:v>
      </x:c>
      <x:c r="O849" s="17" t="str">
        <x:v>public_sse_client_estimate</x:v>
      </x:c>
    </x:row>
    <x:row r="850" ht="48" customHeight="1">
      <x:c r="A850" s="17" t="str">
        <x:v>BUS160</x:v>
      </x:c>
      <x:c r="B850" s="17" t="str">
        <x:v>统计证券板块成分股最新PE_TTM均值和PB中位数。</x:v>
      </x:c>
      <x:c r="C850" s="17" t="n">
        <x:v>7</x:v>
      </x:c>
      <x:c r="D850" s="17" t="str">
        <x:v>数据查询 1/1</x:v>
      </x:c>
      <x:c r="E850" s="17" t="str">
        <x:v>25902.8</x:v>
      </x:c>
      <x:c r="F850" s="17" t="str">
        <x:v>26558.29</x:v>
      </x:c>
      <x:c r="G850" s="18" t="n">
        <x:v>655.49</x:v>
      </x:c>
      <x:c r="H850" s="18" t="n">
        <x:f>IFERROR(G850/1000,"")</x:f>
        <x:v>0.65549</x:v>
      </x:c>
      <x:c r="I850" s="19" t="n">
        <x:f>IFERROR(G850/J850,"")</x:f>
        <x:v>0.00735297911811813</x:v>
      </x:c>
      <x:c r="J850" s="17" t="n">
        <x:v>89146.18</x:v>
      </x:c>
      <x:c r="K850" s="17" t="str"/>
      <x:c r="L850" s="17" t="str">
        <x:v>已完成：查找非银金融一级行业下的二级行业信息，取得 20 条记录。</x:v>
      </x:c>
      <x:c r="M850" s="17" t="str"/>
      <x:c r="N850" s="18" t="n">
        <x:v>6739.53</x:v>
      </x:c>
      <x:c r="O850" s="17" t="str">
        <x:v>public_sse_client_estimate</x:v>
      </x:c>
    </x:row>
    <x:row r="851" ht="48" customHeight="1">
      <x:c r="A851" s="17" t="str">
        <x:v>BUS160</x:v>
      </x:c>
      <x:c r="B851" s="17" t="str">
        <x:v>统计证券板块成分股最新PE_TTM均值和PB中位数。</x:v>
      </x:c>
      <x:c r="C851" s="17" t="n">
        <x:v>8</x:v>
      </x:c>
      <x:c r="D851" s="17" t="str">
        <x:v>数据口径</x:v>
      </x:c>
      <x:c r="E851" s="17" t="str">
        <x:v>26558.29</x:v>
      </x:c>
      <x:c r="F851" s="17" t="str">
        <x:v>32068.4</x:v>
      </x:c>
      <x:c r="G851" s="18" t="n">
        <x:v>5510.11</x:v>
      </x:c>
      <x:c r="H851" s="18" t="n">
        <x:f>IFERROR(G851/1000,"")</x:f>
        <x:v>5.51011</x:v>
      </x:c>
      <x:c r="I851" s="19" t="n">
        <x:f>IFERROR(G851/J851,"")</x:f>
        <x:v>0.06180982740931804</x:v>
      </x:c>
      <x:c r="J851" s="17" t="n">
        <x:v>89146.18</x:v>
      </x:c>
      <x:c r="K851" s="17" t="str"/>
      <x:c r="L851" s="17" t="str">
        <x:v>已定位板块基础信息视图，并确认了可用字段与时间口径。</x:v>
      </x:c>
      <x:c r="M851" s="17" t="str"/>
      <x:c r="N851" s="18" t="n">
        <x:v>0</x:v>
      </x:c>
      <x:c r="O851" s="17" t="str">
        <x:v>public_sse_client_estimate</x:v>
      </x:c>
    </x:row>
    <x:row r="852" ht="48" customHeight="1">
      <x:c r="A852" s="17" t="str">
        <x:v>BUS160</x:v>
      </x:c>
      <x:c r="B852" s="17" t="str">
        <x:v>统计证券板块成分股最新PE_TTM均值和PB中位数。</x:v>
      </x:c>
      <x:c r="C852" s="17" t="n">
        <x:v>9</x:v>
      </x:c>
      <x:c r="D852" s="17" t="str">
        <x:v>数据查询 1/1</x:v>
      </x:c>
      <x:c r="E852" s="17" t="str">
        <x:v>34049.79</x:v>
      </x:c>
      <x:c r="F852" s="17" t="str">
        <x:v>34563.58</x:v>
      </x:c>
      <x:c r="G852" s="18" t="n">
        <x:v>513.79</x:v>
      </x:c>
      <x:c r="H852" s="18" t="n">
        <x:f>IFERROR(G852/1000,"")</x:f>
        <x:v>0.51379</x:v>
      </x:c>
      <x:c r="I852" s="19" t="n">
        <x:f>IFERROR(G852/J852,"")</x:f>
        <x:v>0.005763455035313908</x:v>
      </x:c>
      <x:c r="J852" s="17" t="n">
        <x:v>89146.18</x:v>
      </x:c>
      <x:c r="K852" s="17" t="str"/>
      <x:c r="L852" s="17" t="str">
        <x:v>已完成：查询证券板块的基础信息，取得 1 条记录。</x:v>
      </x:c>
      <x:c r="M852" s="17" t="str"/>
      <x:c r="N852" s="18" t="n">
        <x:v>1981.39</x:v>
      </x:c>
      <x:c r="O852" s="17" t="str">
        <x:v>public_sse_client_estimate</x:v>
      </x:c>
    </x:row>
    <x:row r="853" ht="48" customHeight="1">
      <x:c r="A853" s="17" t="str">
        <x:v>BUS160</x:v>
      </x:c>
      <x:c r="B853" s="17" t="str">
        <x:v>统计证券板块成分股最新PE_TTM均值和PB中位数。</x:v>
      </x:c>
      <x:c r="C853" s="17" t="n">
        <x:v>10</x:v>
      </x:c>
      <x:c r="D853" s="17" t="str">
        <x:v>数据查询 1/2</x:v>
      </x:c>
      <x:c r="E853" s="17" t="str">
        <x:v>39820.44</x:v>
      </x:c>
      <x:c r="F853" s="17" t="str">
        <x:v>40368.83</x:v>
      </x:c>
      <x:c r="G853" s="18" t="n">
        <x:v>548.39</x:v>
      </x:c>
      <x:c r="H853" s="18" t="n">
        <x:f>IFERROR(G853/1000,"")</x:f>
        <x:v>0.5483899999999999</x:v>
      </x:c>
      <x:c r="I853" s="19" t="n">
        <x:f>IFERROR(G853/J853,"")</x:f>
        <x:v>0.006151581593288686</x:v>
      </x:c>
      <x:c r="J853" s="17" t="n">
        <x:v>89146.18</x:v>
      </x:c>
      <x:c r="K853" s="17" t="str"/>
      <x:c r="L853" s="17" t="str">
        <x:v>第 1 步的数据源查询未完成。</x:v>
      </x:c>
      <x:c r="M853" s="17" t="str"/>
      <x:c r="N853" s="18" t="n">
        <x:v>5256.86</x:v>
      </x:c>
      <x:c r="O853" s="17" t="str">
        <x:v>public_sse_client_estimate</x:v>
      </x:c>
    </x:row>
    <x:row r="854" ht="48" customHeight="1">
      <x:c r="A854" s="17" t="str">
        <x:v>BUS160</x:v>
      </x:c>
      <x:c r="B854" s="17" t="str">
        <x:v>统计证券板块成分股最新PE_TTM均值和PB中位数。</x:v>
      </x:c>
      <x:c r="C854" s="17" t="n">
        <x:v>11</x:v>
      </x:c>
      <x:c r="D854" s="17" t="str">
        <x:v>数据口径</x:v>
      </x:c>
      <x:c r="E854" s="17" t="str">
        <x:v>40368.83</x:v>
      </x:c>
      <x:c r="F854" s="17" t="str">
        <x:v>44828.98</x:v>
      </x:c>
      <x:c r="G854" s="18" t="n">
        <x:v>4460.15</x:v>
      </x:c>
      <x:c r="H854" s="18" t="n">
        <x:f>IFERROR(G854/1000,"")</x:f>
        <x:v>4.46015</x:v>
      </x:c>
      <x:c r="I854" s="19" t="n">
        <x:f>IFERROR(G854/J854,"")</x:f>
        <x:v>0.05003186900437012</x:v>
      </x:c>
      <x:c r="J854" s="17" t="n">
        <x:v>89146.18</x:v>
      </x:c>
      <x:c r="K854" s="17" t="str"/>
      <x:c r="L854" s="17" t="str">
        <x:v>已定位个股行情视图，并确认了可用字段与时间口径。</x:v>
      </x:c>
      <x:c r="M854" s="17" t="str"/>
      <x:c r="N854" s="18" t="n">
        <x:v>0</x:v>
      </x:c>
      <x:c r="O854" s="17" t="str">
        <x:v>public_sse_client_estimate</x:v>
      </x:c>
    </x:row>
    <x:row r="855" ht="48" customHeight="1">
      <x:c r="A855" s="17" t="str">
        <x:v>BUS160</x:v>
      </x:c>
      <x:c r="B855" s="17" t="str">
        <x:v>统计证券板块成分股最新PE_TTM均值和PB中位数。</x:v>
      </x:c>
      <x:c r="C855" s="17" t="n">
        <x:v>12</x:v>
      </x:c>
      <x:c r="D855" s="17" t="str">
        <x:v>数据查询 1/1</x:v>
      </x:c>
      <x:c r="E855" s="17" t="str">
        <x:v>48901.59</x:v>
      </x:c>
      <x:c r="F855" s="17" t="str">
        <x:v>51681.4</x:v>
      </x:c>
      <x:c r="G855" s="18" t="n">
        <x:v>2779.81</x:v>
      </x:c>
      <x:c r="H855" s="18" t="n">
        <x:f>IFERROR(G855/1000,"")</x:f>
        <x:v>2.77981</x:v>
      </x:c>
      <x:c r="I855" s="19" t="n">
        <x:f>IFERROR(G855/J855,"")</x:f>
        <x:v>0.031182603674100227</x:v>
      </x:c>
      <x:c r="J855" s="17" t="n">
        <x:v>89146.18</x:v>
      </x:c>
      <x:c r="K855" s="17" t="str"/>
      <x:c r="L855" s="17" t="str">
        <x:v>已完成：获取证券板块(884162)的所有成分股，取得 59 条记录。</x:v>
      </x:c>
      <x:c r="M855" s="17" t="str"/>
      <x:c r="N855" s="18" t="n">
        <x:v>4072.61</x:v>
      </x:c>
      <x:c r="O855" s="17" t="str">
        <x:v>public_sse_client_estimate</x:v>
      </x:c>
    </x:row>
    <x:row r="856" ht="48" customHeight="1">
      <x:c r="A856" s="17" t="str">
        <x:v>BUS160</x:v>
      </x:c>
      <x:c r="B856" s="17" t="str">
        <x:v>统计证券板块成分股最新PE_TTM均值和PB中位数。</x:v>
      </x:c>
      <x:c r="C856" s="17" t="n">
        <x:v>13</x:v>
      </x:c>
      <x:c r="D856" s="17" t="str">
        <x:v>数据查询 1/1</x:v>
      </x:c>
      <x:c r="E856" s="17" t="str">
        <x:v>52026.58</x:v>
      </x:c>
      <x:c r="F856" s="17" t="str">
        <x:v>52552.76</x:v>
      </x:c>
      <x:c r="G856" s="18" t="n">
        <x:v>526.18</x:v>
      </x:c>
      <x:c r="H856" s="18" t="n">
        <x:f>IFERROR(G856/1000,"")</x:f>
        <x:v>0.52618</x:v>
      </x:c>
      <x:c r="I856" s="19" t="n">
        <x:f>IFERROR(G856/J856,"")</x:f>
        <x:v>0.005902440239166726</x:v>
      </x:c>
      <x:c r="J856" s="17" t="n">
        <x:v>89146.18</x:v>
      </x:c>
      <x:c r="K856" s="17" t="str"/>
      <x:c r="L856" s="17" t="str">
        <x:v>已完成：查询证券板块成分股的最新PE_TTM和PB，取得 59 条记录。</x:v>
      </x:c>
      <x:c r="M856" s="17" t="str"/>
      <x:c r="N856" s="18" t="n">
        <x:v>345.18</x:v>
      </x:c>
      <x:c r="O856" s="17" t="str">
        <x:v>public_sse_client_estimate</x:v>
      </x:c>
    </x:row>
    <x:row r="857" ht="48" customHeight="1">
      <x:c r="A857" s="17" t="str">
        <x:v>BUS160</x:v>
      </x:c>
      <x:c r="B857" s="17" t="str">
        <x:v>统计证券板块成分股最新PE_TTM均值和PB中位数。</x:v>
      </x:c>
      <x:c r="C857" s="17" t="n">
        <x:v>14</x:v>
      </x:c>
      <x:c r="D857" s="17" t="str">
        <x:v>回答整理</x:v>
      </x:c>
      <x:c r="E857" s="17" t="str">
        <x:v>52552.76</x:v>
      </x:c>
      <x:c r="F857" s="17" t="str">
        <x:v>85642.2</x:v>
      </x:c>
      <x:c r="G857" s="18" t="n">
        <x:v>33089.44</x:v>
      </x:c>
      <x:c r="H857" s="18" t="n">
        <x:f>IFERROR(G857/1000,"")</x:f>
        <x:v>33.08944</x:v>
      </x:c>
      <x:c r="I857" s="19" t="n">
        <x:f>IFERROR(G857/J857,"")</x:f>
        <x:v>0.3711818049859232</x:v>
      </x:c>
      <x:c r="J857" s="17" t="n">
        <x:v>89146.18</x:v>
      </x:c>
      <x:c r="K857" s="17" t="str"/>
      <x:c r="L857" s="17" t="str">
        <x:v>证据与回答已整理完成。</x:v>
      </x:c>
      <x:c r="M857" s="17" t="str"/>
      <x:c r="N857" s="18" t="n">
        <x:v>0</x:v>
      </x:c>
      <x:c r="O857" s="17" t="str">
        <x:v>public_sse_client_estimate</x:v>
      </x:c>
    </x:row>
    <x:row r="858" ht="48" customHeight="1">
      <x:c r="A858" s="17" t="str">
        <x:v>BUS161</x:v>
      </x:c>
      <x:c r="B858" s="17" t="str">
        <x:v>同时查询人工智能板块当前涨跌幅、主力净流入和前十大成分股。</x:v>
      </x:c>
      <x:c r="C858" s="17" t="n">
        <x:v>1</x:v>
      </x:c>
      <x:c r="D858" s="17" t="str">
        <x:v>问题理解</x:v>
      </x:c>
      <x:c r="E858" s="17" t="str">
        <x:v>5878.48</x:v>
      </x:c>
      <x:c r="F858" s="17" t="str">
        <x:v>9548.83</x:v>
      </x:c>
      <x:c r="G858" s="18" t="n">
        <x:v>3670.35</x:v>
      </x:c>
      <x:c r="H858" s="18" t="n">
        <x:f>IFERROR(G858/1000,"")</x:f>
        <x:v>3.67035</x:v>
      </x:c>
      <x:c r="I858" s="19" t="n">
        <x:f>IFERROR(G858/J858,"")</x:f>
        <x:v>0.08521824936150453</x:v>
      </x:c>
      <x:c r="J858" s="17" t="n">
        <x:v>43070</x:v>
      </x:c>
      <x:c r="K858" s="17" t="str"/>
      <x:c r="L858" s="17" t="str">
        <x:v>已明确本题的对象与口径，开始获取所需证据。</x:v>
      </x:c>
      <x:c r="M858" s="17" t="str"/>
      <x:c r="N858" s="18" t="n">
        <x:v>5878.48</x:v>
      </x:c>
      <x:c r="O858" s="17" t="str">
        <x:v>public_sse_client_estimate</x:v>
      </x:c>
    </x:row>
    <x:row r="859" ht="48" customHeight="1">
      <x:c r="A859" s="17" t="str">
        <x:v>BUS161</x:v>
      </x:c>
      <x:c r="B859" s="17" t="str">
        <x:v>同时查询人工智能板块当前涨跌幅、主力净流入和前十大成分股。</x:v>
      </x:c>
      <x:c r="C859" s="17" t="n">
        <x:v>2</x:v>
      </x:c>
      <x:c r="D859" s="17" t="str">
        <x:v>数据口径</x:v>
      </x:c>
      <x:c r="E859" s="17" t="str">
        <x:v>9548.83</x:v>
      </x:c>
      <x:c r="F859" s="17" t="str">
        <x:v>9564.19</x:v>
      </x:c>
      <x:c r="G859" s="18" t="n">
        <x:v>15.36</x:v>
      </x:c>
      <x:c r="H859" s="18" t="n">
        <x:f>IFERROR(G859/1000,"")</x:f>
        <x:v>0.015359999999999999</x:v>
      </x:c>
      <x:c r="I859" s="19" t="n">
        <x:f>IFERROR(G859/J859,"")</x:f>
        <x:v>0.0003566287439052705</x:v>
      </x:c>
      <x:c r="J859" s="17" t="n">
        <x:v>43070</x:v>
      </x:c>
      <x:c r="K859" s="17" t="str"/>
      <x:c r="L859" s="17" t="str">
        <x:v>已定位板块行情视图，并确认了可用字段与时间口径。</x:v>
      </x:c>
      <x:c r="M859" s="17" t="str"/>
      <x:c r="N859" s="18" t="n">
        <x:v>0</x:v>
      </x:c>
      <x:c r="O859" s="17" t="str">
        <x:v>public_sse_client_estimate</x:v>
      </x:c>
    </x:row>
    <x:row r="860" ht="48" customHeight="1">
      <x:c r="A860" s="17" t="str">
        <x:v>BUS161</x:v>
      </x:c>
      <x:c r="B860" s="17" t="str">
        <x:v>同时查询人工智能板块当前涨跌幅、主力净流入和前十大成分股。</x:v>
      </x:c>
      <x:c r="C860" s="17" t="n">
        <x:v>3</x:v>
      </x:c>
      <x:c r="D860" s="17" t="str">
        <x:v>数据口径</x:v>
      </x:c>
      <x:c r="E860" s="17" t="str">
        <x:v>9564.19</x:v>
      </x:c>
      <x:c r="F860" s="17" t="str">
        <x:v>10160.27</x:v>
      </x:c>
      <x:c r="G860" s="18" t="n">
        <x:v>596.08</x:v>
      </x:c>
      <x:c r="H860" s="18" t="n">
        <x:f>IFERROR(G860/1000,"")</x:f>
        <x:v>0.59608</x:v>
      </x:c>
      <x:c r="I860" s="19" t="n">
        <x:f>IFERROR(G860/J860,"")</x:f>
        <x:v>0.013839795681448806</x:v>
      </x:c>
      <x:c r="J860" s="17" t="n">
        <x:v>43070</x:v>
      </x:c>
      <x:c r="K860" s="17" t="str"/>
      <x:c r="L860" s="17" t="str">
        <x:v>已定位板块资金流视图，并确认了可用字段与时间口径。</x:v>
      </x:c>
      <x:c r="M860" s="17" t="str"/>
      <x:c r="N860" s="18" t="n">
        <x:v>0</x:v>
      </x:c>
      <x:c r="O860" s="17" t="str">
        <x:v>public_sse_client_estimate</x:v>
      </x:c>
    </x:row>
    <x:row r="861" ht="48" customHeight="1">
      <x:c r="A861" s="17" t="str">
        <x:v>BUS161</x:v>
      </x:c>
      <x:c r="B861" s="17" t="str">
        <x:v>同时查询人工智能板块当前涨跌幅、主力净流入和前十大成分股。</x:v>
      </x:c>
      <x:c r="C861" s="17" t="n">
        <x:v>4</x:v>
      </x:c>
      <x:c r="D861" s="17" t="str">
        <x:v>数据口径</x:v>
      </x:c>
      <x:c r="E861" s="17" t="str">
        <x:v>10160.27</x:v>
      </x:c>
      <x:c r="F861" s="17" t="str">
        <x:v>10561.99</x:v>
      </x:c>
      <x:c r="G861" s="18" t="n">
        <x:v>401.72</x:v>
      </x:c>
      <x:c r="H861" s="18" t="n">
        <x:f>IFERROR(G861/1000,"")</x:f>
        <x:v>0.40172</x:v>
      </x:c>
      <x:c r="I861" s="19" t="n">
        <x:f>IFERROR(G861/J861,"")</x:f>
        <x:v>0.009327141862084979</x:v>
      </x:c>
      <x:c r="J861" s="17" t="n">
        <x:v>43070</x:v>
      </x:c>
      <x:c r="K861" s="17" t="str"/>
      <x:c r="L861" s="17" t="str">
        <x:v>已定位板块成分关系视图，并确认了可用字段与时间口径。</x:v>
      </x:c>
      <x:c r="M861" s="17" t="str"/>
      <x:c r="N861" s="18" t="n">
        <x:v>0</x:v>
      </x:c>
      <x:c r="O861" s="17" t="str">
        <x:v>public_sse_client_estimate</x:v>
      </x:c>
    </x:row>
    <x:row r="862" ht="48" customHeight="1">
      <x:c r="A862" s="17" t="str">
        <x:v>BUS161</x:v>
      </x:c>
      <x:c r="B862" s="17" t="str">
        <x:v>同时查询人工智能板块当前涨跌幅、主力净流入和前十大成分股。</x:v>
      </x:c>
      <x:c r="C862" s="17" t="n">
        <x:v>5</x:v>
      </x:c>
      <x:c r="D862" s="17" t="str">
        <x:v>数据口径</x:v>
      </x:c>
      <x:c r="E862" s="17" t="str">
        <x:v>10561.99</x:v>
      </x:c>
      <x:c r="F862" s="17" t="str">
        <x:v>15165.46</x:v>
      </x:c>
      <x:c r="G862" s="18" t="n">
        <x:v>4603.47</x:v>
      </x:c>
      <x:c r="H862" s="18" t="n">
        <x:f>IFERROR(G862/1000,"")</x:f>
        <x:v>4.603470000000001</x:v>
      </x:c>
      <x:c r="I862" s="19" t="n">
        <x:f>IFERROR(G862/J862,"")</x:f>
        <x:v>0.10688344555374972</x:v>
      </x:c>
      <x:c r="J862" s="17" t="n">
        <x:v>43070</x:v>
      </x:c>
      <x:c r="K862" s="17" t="str"/>
      <x:c r="L862" s="17" t="str">
        <x:v>已定位板块基础信息视图，并确认了可用字段与时间口径。</x:v>
      </x:c>
      <x:c r="M862" s="17" t="str"/>
      <x:c r="N862" s="18" t="n">
        <x:v>0</x:v>
      </x:c>
      <x:c r="O862" s="17" t="str">
        <x:v>public_sse_client_estimate</x:v>
      </x:c>
    </x:row>
    <x:row r="863" ht="48" customHeight="1">
      <x:c r="A863" s="17" t="str">
        <x:v>BUS161</x:v>
      </x:c>
      <x:c r="B863" s="17" t="str">
        <x:v>同时查询人工智能板块当前涨跌幅、主力净流入和前十大成分股。</x:v>
      </x:c>
      <x:c r="C863" s="17" t="n">
        <x:v>6</x:v>
      </x:c>
      <x:c r="D863" s="17" t="str">
        <x:v>数据查询 1/1</x:v>
      </x:c>
      <x:c r="E863" s="17" t="str">
        <x:v>17058.91</x:v>
      </x:c>
      <x:c r="F863" s="17" t="str">
        <x:v>17597.62</x:v>
      </x:c>
      <x:c r="G863" s="18" t="n">
        <x:v>538.71</x:v>
      </x:c>
      <x:c r="H863" s="18" t="n">
        <x:f>IFERROR(G863/1000,"")</x:f>
        <x:v>0.53871</x:v>
      </x:c>
      <x:c r="I863" s="19" t="n">
        <x:f>IFERROR(G863/J863,"")</x:f>
        <x:v>0.012507778035755748</x:v>
      </x:c>
      <x:c r="J863" s="17" t="n">
        <x:v>43070</x:v>
      </x:c>
      <x:c r="K863" s="17" t="str"/>
      <x:c r="L863" s="17" t="str">
        <x:v>已完成：查找人工智能板块的代码和名称，取得 1 条记录。</x:v>
      </x:c>
      <x:c r="M863" s="17" t="str"/>
      <x:c r="N863" s="18" t="n">
        <x:v>1893.45</x:v>
      </x:c>
      <x:c r="O863" s="17" t="str">
        <x:v>public_sse_client_estimate</x:v>
      </x:c>
    </x:row>
    <x:row r="864" ht="48" customHeight="1">
      <x:c r="A864" s="17" t="str">
        <x:v>BUS161</x:v>
      </x:c>
      <x:c r="B864" s="17" t="str">
        <x:v>同时查询人工智能板块当前涨跌幅、主力净流入和前十大成分股。</x:v>
      </x:c>
      <x:c r="C864" s="17" t="n">
        <x:v>7</x:v>
      </x:c>
      <x:c r="D864" s="17" t="str">
        <x:v>数据查询 1/3</x:v>
      </x:c>
      <x:c r="E864" s="17" t="str">
        <x:v>22080.36</x:v>
      </x:c>
      <x:c r="F864" s="17" t="str">
        <x:v>23092.41</x:v>
      </x:c>
      <x:c r="G864" s="18" t="n">
        <x:v>1012.05</x:v>
      </x:c>
      <x:c r="H864" s="18" t="n">
        <x:f>IFERROR(G864/1000,"")</x:f>
        <x:v>1.01205</x:v>
      </x:c>
      <x:c r="I864" s="19" t="n">
        <x:f>IFERROR(G864/J864,"")</x:f>
        <x:v>0.023497794288367773</x:v>
      </x:c>
      <x:c r="J864" s="17" t="n">
        <x:v>43070</x:v>
      </x:c>
      <x:c r="K864" s="17" t="str"/>
      <x:c r="L864" s="17" t="str">
        <x:v>已完成：查询人工智能板块的涨跌幅，当前条件下没有匹配记录。</x:v>
      </x:c>
      <x:c r="M864" s="17" t="str"/>
      <x:c r="N864" s="18" t="n">
        <x:v>4482.74</x:v>
      </x:c>
      <x:c r="O864" s="17" t="str">
        <x:v>public_sse_client_estimate</x:v>
      </x:c>
    </x:row>
    <x:row r="865" ht="48" customHeight="1">
      <x:c r="A865" s="17" t="str">
        <x:v>BUS161</x:v>
      </x:c>
      <x:c r="B865" s="17" t="str">
        <x:v>同时查询人工智能板块当前涨跌幅、主力净流入和前十大成分股。</x:v>
      </x:c>
      <x:c r="C865" s="17" t="n">
        <x:v>8</x:v>
      </x:c>
      <x:c r="D865" s="17" t="str">
        <x:v>数据查询 2/3</x:v>
      </x:c>
      <x:c r="E865" s="17" t="str">
        <x:v>23111.19</x:v>
      </x:c>
      <x:c r="F865" s="17" t="str">
        <x:v>24120.2</x:v>
      </x:c>
      <x:c r="G865" s="18" t="n">
        <x:v>1009.01</x:v>
      </x:c>
      <x:c r="H865" s="18" t="n">
        <x:f>IFERROR(G865/1000,"")</x:f>
        <x:v>1.00901</x:v>
      </x:c>
      <x:c r="I865" s="19" t="n">
        <x:f>IFERROR(G865/J865,"")</x:f>
        <x:v>0.023427211516136522</x:v>
      </x:c>
      <x:c r="J865" s="17" t="n">
        <x:v>43070</x:v>
      </x:c>
      <x:c r="K865" s="17" t="str"/>
      <x:c r="L865" s="17" t="str">
        <x:v>已完成：查询人工智能板块的主力净流入，当前条件下没有匹配记录。</x:v>
      </x:c>
      <x:c r="M865" s="17" t="str"/>
      <x:c r="N865" s="18" t="n">
        <x:v>18.78</x:v>
      </x:c>
      <x:c r="O865" s="17" t="str">
        <x:v>public_sse_client_estimate</x:v>
      </x:c>
    </x:row>
    <x:row r="866" ht="48" customHeight="1">
      <x:c r="A866" s="17" t="str">
        <x:v>BUS161</x:v>
      </x:c>
      <x:c r="B866" s="17" t="str">
        <x:v>同时查询人工智能板块当前涨跌幅、主力净流入和前十大成分股。</x:v>
      </x:c>
      <x:c r="C866" s="17" t="n">
        <x:v>9</x:v>
      </x:c>
      <x:c r="D866" s="17" t="str">
        <x:v>数据查询 3/3</x:v>
      </x:c>
      <x:c r="E866" s="17" t="str">
        <x:v>24127.85</x:v>
      </x:c>
      <x:c r="F866" s="17" t="str">
        <x:v>24631.68</x:v>
      </x:c>
      <x:c r="G866" s="18" t="n">
        <x:v>503.83</x:v>
      </x:c>
      <x:c r="H866" s="18" t="n">
        <x:f>IFERROR(G866/1000,"")</x:f>
        <x:v>0.50383</x:v>
      </x:c>
      <x:c r="I866" s="19" t="n">
        <x:f>IFERROR(G866/J866,"")</x:f>
        <x:v>0.011697933596470861</x:v>
      </x:c>
      <x:c r="J866" s="17" t="n">
        <x:v>43070</x:v>
      </x:c>
      <x:c r="K866" s="17" t="str"/>
      <x:c r="L866" s="17" t="str">
        <x:v>已完成：查询人工智能板块的前十大成分股，取得 10 条记录。</x:v>
      </x:c>
      <x:c r="M866" s="17" t="str"/>
      <x:c r="N866" s="18" t="n">
        <x:v>7.65</x:v>
      </x:c>
      <x:c r="O866" s="17" t="str">
        <x:v>public_sse_client_estimate</x:v>
      </x:c>
    </x:row>
    <x:row r="867" ht="48" customHeight="1">
      <x:c r="A867" s="17" t="str">
        <x:v>BUS161</x:v>
      </x:c>
      <x:c r="B867" s="17" t="str">
        <x:v>同时查询人工智能板块当前涨跌幅、主力净流入和前十大成分股。</x:v>
      </x:c>
      <x:c r="C867" s="17" t="n">
        <x:v>10</x:v>
      </x:c>
      <x:c r="D867" s="17" t="str">
        <x:v>数据查询 1/2</x:v>
      </x:c>
      <x:c r="E867" s="17" t="str">
        <x:v>29983.21</x:v>
      </x:c>
      <x:c r="F867" s="17" t="str">
        <x:v>30518.75</x:v>
      </x:c>
      <x:c r="G867" s="18" t="n">
        <x:v>535.54</x:v>
      </x:c>
      <x:c r="H867" s="18" t="n">
        <x:f>IFERROR(G867/1000,"")</x:f>
        <x:v>0.53554</x:v>
      </x:c>
      <x:c r="I867" s="19" t="n">
        <x:f>IFERROR(G867/J867,"")</x:f>
        <x:v>0.01243417692129092</x:v>
      </x:c>
      <x:c r="J867" s="17" t="n">
        <x:v>43070</x:v>
      </x:c>
      <x:c r="K867" s="17" t="str"/>
      <x:c r="L867" s="17" t="str">
        <x:v>已完成：查询人工智能板块的实时涨跌幅，取得 1 条记录。</x:v>
      </x:c>
      <x:c r="M867" s="17" t="str"/>
      <x:c r="N867" s="18" t="n">
        <x:v>5351.53</x:v>
      </x:c>
      <x:c r="O867" s="17" t="str">
        <x:v>public_sse_client_estimate</x:v>
      </x:c>
    </x:row>
    <x:row r="868" ht="48" customHeight="1">
      <x:c r="A868" s="17" t="str">
        <x:v>BUS161</x:v>
      </x:c>
      <x:c r="B868" s="17" t="str">
        <x:v>同时查询人工智能板块当前涨跌幅、主力净流入和前十大成分股。</x:v>
      </x:c>
      <x:c r="C868" s="17" t="n">
        <x:v>11</x:v>
      </x:c>
      <x:c r="D868" s="17" t="str">
        <x:v>数据查询 2/2</x:v>
      </x:c>
      <x:c r="E868" s="17" t="str">
        <x:v>30523.33</x:v>
      </x:c>
      <x:c r="F868" s="17" t="str">
        <x:v>30955.63</x:v>
      </x:c>
      <x:c r="G868" s="18" t="n">
        <x:v>432.3</x:v>
      </x:c>
      <x:c r="H868" s="18" t="n">
        <x:f>IFERROR(G868/1000,"")</x:f>
        <x:v>0.4323</x:v>
      </x:c>
      <x:c r="I868" s="19" t="n">
        <x:f>IFERROR(G868/J868,"")</x:f>
        <x:v>0.010037148827490133</x:v>
      </x:c>
      <x:c r="J868" s="17" t="n">
        <x:v>43070</x:v>
      </x:c>
      <x:c r="K868" s="17" t="str"/>
      <x:c r="L868" s="17" t="str">
        <x:v>已完成：查询人工智能板块的实时主力净流入，取得 1 条记录。</x:v>
      </x:c>
      <x:c r="M868" s="17" t="str"/>
      <x:c r="N868" s="18" t="n">
        <x:v>4.58</x:v>
      </x:c>
      <x:c r="O868" s="17" t="str">
        <x:v>public_sse_client_estimate</x:v>
      </x:c>
    </x:row>
    <x:row r="869" ht="48" customHeight="1">
      <x:c r="A869" s="17" t="str">
        <x:v>BUS161</x:v>
      </x:c>
      <x:c r="B869" s="17" t="str">
        <x:v>同时查询人工智能板块当前涨跌幅、主力净流入和前十大成分股。</x:v>
      </x:c>
      <x:c r="C869" s="17" t="n">
        <x:v>12</x:v>
      </x:c>
      <x:c r="D869" s="17" t="str">
        <x:v>回答整理</x:v>
      </x:c>
      <x:c r="E869" s="17" t="str">
        <x:v>30955.63</x:v>
      </x:c>
      <x:c r="F869" s="17" t="str">
        <x:v>39924.21</x:v>
      </x:c>
      <x:c r="G869" s="18" t="n">
        <x:v>8968.58</x:v>
      </x:c>
      <x:c r="H869" s="18" t="n">
        <x:f>IFERROR(G869/1000,"")</x:f>
        <x:v>8.96858</x:v>
      </x:c>
      <x:c r="I869" s="19" t="n">
        <x:f>IFERROR(G869/J869,"")</x:f>
        <x:v>0.20823264453215695</x:v>
      </x:c>
      <x:c r="J869" s="17" t="n">
        <x:v>43070</x:v>
      </x:c>
      <x:c r="K869" s="17" t="str"/>
      <x:c r="L869" s="17" t="str">
        <x:v>证据与回答已整理完成。</x:v>
      </x:c>
      <x:c r="M869" s="17" t="str"/>
      <x:c r="N869" s="18" t="n">
        <x:v>0</x:v>
      </x:c>
      <x:c r="O869" s="17" t="str">
        <x:v>public_sse_client_estimate</x:v>
      </x:c>
    </x:row>
    <x:row r="870" ht="48" customHeight="1">
      <x:c r="A870" s="17" t="str">
        <x:v>BUS162</x:v>
      </x:c>
      <x:c r="B870" s="17" t="str">
        <x:v>查询半导体板块估值，并列出其成分股今天涨幅前10名。</x:v>
      </x:c>
      <x:c r="C870" s="17" t="n">
        <x:v>1</x:v>
      </x:c>
      <x:c r="D870" s="17" t="str">
        <x:v>问题理解</x:v>
      </x:c>
      <x:c r="E870" s="17" t="str">
        <x:v>6453.79</x:v>
      </x:c>
      <x:c r="F870" s="17" t="str">
        <x:v>10530.05</x:v>
      </x:c>
      <x:c r="G870" s="18" t="n">
        <x:v>4076.26</x:v>
      </x:c>
      <x:c r="H870" s="18" t="n">
        <x:f>IFERROR(G870/1000,"")</x:f>
        <x:v>4.07626</x:v>
      </x:c>
      <x:c r="I870" s="19" t="n">
        <x:f>IFERROR(G870/J870,"")</x:f>
        <x:v>0.08411227488350183</x:v>
      </x:c>
      <x:c r="J870" s="17" t="n">
        <x:v>48462.13</x:v>
      </x:c>
      <x:c r="K870" s="17" t="str"/>
      <x:c r="L870" s="17" t="str">
        <x:v>已明确本题的对象与口径，开始获取所需证据。</x:v>
      </x:c>
      <x:c r="M870" s="17" t="str"/>
      <x:c r="N870" s="18" t="n">
        <x:v>6453.79</x:v>
      </x:c>
      <x:c r="O870" s="17" t="str">
        <x:v>public_sse_client_estimate</x:v>
      </x:c>
    </x:row>
    <x:row r="871" ht="48" customHeight="1">
      <x:c r="A871" s="17" t="str">
        <x:v>BUS162</x:v>
      </x:c>
      <x:c r="B871" s="17" t="str">
        <x:v>查询半导体板块估值，并列出其成分股今天涨幅前10名。</x:v>
      </x:c>
      <x:c r="C871" s="17" t="n">
        <x:v>2</x:v>
      </x:c>
      <x:c r="D871" s="17" t="str">
        <x:v>数据口径</x:v>
      </x:c>
      <x:c r="E871" s="17" t="str">
        <x:v>10530.05</x:v>
      </x:c>
      <x:c r="F871" s="17" t="str">
        <x:v>10576.86</x:v>
      </x:c>
      <x:c r="G871" s="18" t="n">
        <x:v>46.81</x:v>
      </x:c>
      <x:c r="H871" s="18" t="n">
        <x:f>IFERROR(G871/1000,"")</x:f>
        <x:v>0.046810000000000004</x:v>
      </x:c>
      <x:c r="I871" s="19" t="n">
        <x:f>IFERROR(G871/J871,"")</x:f>
        <x:v>0.0009659088446999751</x:v>
      </x:c>
      <x:c r="J871" s="17" t="n">
        <x:v>48462.13</x:v>
      </x:c>
      <x:c r="K871" s="17" t="str"/>
      <x:c r="L871" s="17" t="str">
        <x:v>已定位板块基础信息视图，并确认了可用字段与时间口径。</x:v>
      </x:c>
      <x:c r="M871" s="17" t="str"/>
      <x:c r="N871" s="18" t="n">
        <x:v>0</x:v>
      </x:c>
      <x:c r="O871" s="17" t="str">
        <x:v>public_sse_client_estimate</x:v>
      </x:c>
    </x:row>
    <x:row r="872" ht="48" customHeight="1">
      <x:c r="A872" s="17" t="str">
        <x:v>BUS162</x:v>
      </x:c>
      <x:c r="B872" s="17" t="str">
        <x:v>查询半导体板块估值，并列出其成分股今天涨幅前10名。</x:v>
      </x:c>
      <x:c r="C872" s="17" t="n">
        <x:v>3</x:v>
      </x:c>
      <x:c r="D872" s="17" t="str">
        <x:v>数据口径</x:v>
      </x:c>
      <x:c r="E872" s="17" t="str">
        <x:v>10576.86</x:v>
      </x:c>
      <x:c r="F872" s="17" t="str">
        <x:v>11045.96</x:v>
      </x:c>
      <x:c r="G872" s="18" t="n">
        <x:v>469.1</x:v>
      </x:c>
      <x:c r="H872" s="18" t="n">
        <x:f>IFERROR(G872/1000,"")</x:f>
        <x:v>0.4691</x:v>
      </x:c>
      <x:c r="I872" s="19" t="n">
        <x:f>IFERROR(G872/J872,"")</x:f>
        <x:v>0.009679723115760699</x:v>
      </x:c>
      <x:c r="J872" s="17" t="n">
        <x:v>48462.13</x:v>
      </x:c>
      <x:c r="K872" s="17" t="str"/>
      <x:c r="L872" s="17" t="str">
        <x:v>已定位板块行情视图，并确认了可用字段与时间口径。</x:v>
      </x:c>
      <x:c r="M872" s="17" t="str"/>
      <x:c r="N872" s="18" t="n">
        <x:v>0</x:v>
      </x:c>
      <x:c r="O872" s="17" t="str">
        <x:v>public_sse_client_estimate</x:v>
      </x:c>
    </x:row>
    <x:row r="873" ht="48" customHeight="1">
      <x:c r="A873" s="17" t="str">
        <x:v>BUS162</x:v>
      </x:c>
      <x:c r="B873" s="17" t="str">
        <x:v>查询半导体板块估值，并列出其成分股今天涨幅前10名。</x:v>
      </x:c>
      <x:c r="C873" s="17" t="n">
        <x:v>4</x:v>
      </x:c>
      <x:c r="D873" s="17" t="str">
        <x:v>数据口径</x:v>
      </x:c>
      <x:c r="E873" s="17" t="str">
        <x:v>11045.96</x:v>
      </x:c>
      <x:c r="F873" s="17" t="str">
        <x:v>11536.03</x:v>
      </x:c>
      <x:c r="G873" s="18" t="n">
        <x:v>490.07</x:v>
      </x:c>
      <x:c r="H873" s="18" t="n">
        <x:f>IFERROR(G873/1000,"")</x:f>
        <x:v>0.49007</x:v>
      </x:c>
      <x:c r="I873" s="19" t="n">
        <x:f>IFERROR(G873/J873,"")</x:f>
        <x:v>0.010112432119677777</x:v>
      </x:c>
      <x:c r="J873" s="17" t="n">
        <x:v>48462.13</x:v>
      </x:c>
      <x:c r="K873" s="17" t="str"/>
      <x:c r="L873" s="17" t="str">
        <x:v>已定位板块估值视图，并确认了可用字段与时间口径。</x:v>
      </x:c>
      <x:c r="M873" s="17" t="str"/>
      <x:c r="N873" s="18" t="n">
        <x:v>0</x:v>
      </x:c>
      <x:c r="O873" s="17" t="str">
        <x:v>public_sse_client_estimate</x:v>
      </x:c>
    </x:row>
    <x:row r="874" ht="48" customHeight="1">
      <x:c r="A874" s="17" t="str">
        <x:v>BUS162</x:v>
      </x:c>
      <x:c r="B874" s="17" t="str">
        <x:v>查询半导体板块估值，并列出其成分股今天涨幅前10名。</x:v>
      </x:c>
      <x:c r="C874" s="17" t="n">
        <x:v>5</x:v>
      </x:c>
      <x:c r="D874" s="17" t="str">
        <x:v>数据口径</x:v>
      </x:c>
      <x:c r="E874" s="17" t="str">
        <x:v>11536.03</x:v>
      </x:c>
      <x:c r="F874" s="17" t="str">
        <x:v>11979.97</x:v>
      </x:c>
      <x:c r="G874" s="18" t="n">
        <x:v>443.94</x:v>
      </x:c>
      <x:c r="H874" s="18" t="n">
        <x:f>IFERROR(G874/1000,"")</x:f>
        <x:v>0.44394</x:v>
      </x:c>
      <x:c r="I874" s="19" t="n">
        <x:f>IFERROR(G874/J874,"")</x:f>
        <x:v>0.009160554849735247</x:v>
      </x:c>
      <x:c r="J874" s="17" t="n">
        <x:v>48462.13</x:v>
      </x:c>
      <x:c r="K874" s="17" t="str"/>
      <x:c r="L874" s="17" t="str">
        <x:v>已定位板块成分关系视图，并确认了可用字段与时间口径。</x:v>
      </x:c>
      <x:c r="M874" s="17" t="str"/>
      <x:c r="N874" s="18" t="n">
        <x:v>0</x:v>
      </x:c>
      <x:c r="O874" s="17" t="str">
        <x:v>public_sse_client_estimate</x:v>
      </x:c>
    </x:row>
    <x:row r="875" ht="48" customHeight="1">
      <x:c r="A875" s="17" t="str">
        <x:v>BUS162</x:v>
      </x:c>
      <x:c r="B875" s="17" t="str">
        <x:v>查询半导体板块估值，并列出其成分股今天涨幅前10名。</x:v>
      </x:c>
      <x:c r="C875" s="17" t="n">
        <x:v>6</x:v>
      </x:c>
      <x:c r="D875" s="17" t="str">
        <x:v>数据查询 1/1</x:v>
      </x:c>
      <x:c r="E875" s="17" t="str">
        <x:v>15032.96</x:v>
      </x:c>
      <x:c r="F875" s="17" t="str">
        <x:v>15588.25</x:v>
      </x:c>
      <x:c r="G875" s="18" t="n">
        <x:v>555.29</x:v>
      </x:c>
      <x:c r="H875" s="18" t="n">
        <x:f>IFERROR(G875/1000,"")</x:f>
        <x:v>0.55529</x:v>
      </x:c>
      <x:c r="I875" s="19" t="n">
        <x:f>IFERROR(G875/J875,"")</x:f>
        <x:v>0.011458225216266804</x:v>
      </x:c>
      <x:c r="J875" s="17" t="n">
        <x:v>48462.13</x:v>
      </x:c>
      <x:c r="K875" s="17" t="str"/>
      <x:c r="L875" s="17" t="str">
        <x:v>已完成：查询半导体板块的基本信息，获取板块代码，取得 1 条记录。</x:v>
      </x:c>
      <x:c r="M875" s="17" t="str"/>
      <x:c r="N875" s="18" t="n">
        <x:v>3052.99</x:v>
      </x:c>
      <x:c r="O875" s="17" t="str">
        <x:v>public_sse_client_estimate</x:v>
      </x:c>
    </x:row>
    <x:row r="876" ht="48" customHeight="1">
      <x:c r="A876" s="17" t="str">
        <x:v>BUS162</x:v>
      </x:c>
      <x:c r="B876" s="17" t="str">
        <x:v>查询半导体板块估值，并列出其成分股今天涨幅前10名。</x:v>
      </x:c>
      <x:c r="C876" s="17" t="n">
        <x:v>7</x:v>
      </x:c>
      <x:c r="D876" s="17" t="str">
        <x:v>数据查询 1/3</x:v>
      </x:c>
      <x:c r="E876" s="17" t="str">
        <x:v>23032.66</x:v>
      </x:c>
      <x:c r="F876" s="17" t="str">
        <x:v>23583.95</x:v>
      </x:c>
      <x:c r="G876" s="18" t="n">
        <x:v>551.29</x:v>
      </x:c>
      <x:c r="H876" s="18" t="n">
        <x:f>IFERROR(G876/1000,"")</x:f>
        <x:v>0.55129</x:v>
      </x:c>
      <x:c r="I876" s="19" t="n">
        <x:f>IFERROR(G876/J876,"")</x:f>
        <x:v>0.011375686541223012</x:v>
      </x:c>
      <x:c r="J876" s="17" t="n">
        <x:v>48462.13</x:v>
      </x:c>
      <x:c r="K876" s="17" t="str"/>
      <x:c r="L876" s="17" t="str">
        <x:v>已完成：查询半导体板块最新估值指标，取得 1 条记录。</x:v>
      </x:c>
      <x:c r="M876" s="17" t="str"/>
      <x:c r="N876" s="18" t="n">
        <x:v>7444.41</x:v>
      </x:c>
      <x:c r="O876" s="17" t="str">
        <x:v>public_sse_client_estimate</x:v>
      </x:c>
    </x:row>
    <x:row r="877" ht="48" customHeight="1">
      <x:c r="A877" s="17" t="str">
        <x:v>BUS162</x:v>
      </x:c>
      <x:c r="B877" s="17" t="str">
        <x:v>查询半导体板块估值，并列出其成分股今天涨幅前10名。</x:v>
      </x:c>
      <x:c r="C877" s="17" t="n">
        <x:v>8</x:v>
      </x:c>
      <x:c r="D877" s="17" t="str">
        <x:v>数据查询 2/3</x:v>
      </x:c>
      <x:c r="E877" s="17" t="str">
        <x:v>23588.15</x:v>
      </x:c>
      <x:c r="F877" s="17" t="str">
        <x:v>24178.33</x:v>
      </x:c>
      <x:c r="G877" s="18" t="n">
        <x:v>590.18</x:v>
      </x:c>
      <x:c r="H877" s="18" t="n">
        <x:f>IFERROR(G877/1000,"")</x:f>
        <x:v>0.5901799999999999</x:v>
      </x:c>
      <x:c r="I877" s="19" t="n">
        <x:f>IFERROR(G877/J877,"")</x:f>
        <x:v>0.01217816880933628</x:v>
      </x:c>
      <x:c r="J877" s="17" t="n">
        <x:v>48462.13</x:v>
      </x:c>
      <x:c r="K877" s="17" t="str"/>
      <x:c r="L877" s="17" t="str">
        <x:v>已完成：获取半导体板块全部成分股，取得 100 条记录。</x:v>
      </x:c>
      <x:c r="M877" s="17" t="str"/>
      <x:c r="N877" s="18" t="n">
        <x:v>4.2</x:v>
      </x:c>
      <x:c r="O877" s="17" t="str">
        <x:v>public_sse_client_estimate</x:v>
      </x:c>
    </x:row>
    <x:row r="878" ht="48" customHeight="1">
      <x:c r="A878" s="17" t="str">
        <x:v>BUS162</x:v>
      </x:c>
      <x:c r="B878" s="17" t="str">
        <x:v>查询半导体板块估值，并列出其成分股今天涨幅前10名。</x:v>
      </x:c>
      <x:c r="C878" s="17" t="n">
        <x:v>9</x:v>
      </x:c>
      <x:c r="D878" s="17" t="str">
        <x:v>数据查询 3/3</x:v>
      </x:c>
      <x:c r="E878" s="17" t="str">
        <x:v>24186.1</x:v>
      </x:c>
      <x:c r="F878" s="17" t="str">
        <x:v>24190.47</x:v>
      </x:c>
      <x:c r="G878" s="18" t="n">
        <x:v>4.37</x:v>
      </x:c>
      <x:c r="H878" s="18" t="n">
        <x:f>IFERROR(G878/1000,"")</x:f>
        <x:v>0.00437</x:v>
      </x:c>
      <x:c r="I878" s="19" t="n">
        <x:f>IFERROR(G878/J878,"")</x:f>
        <x:v>0.00009017350248534269</x:v>
      </x:c>
      <x:c r="J878" s="17" t="n">
        <x:v>48462.13</x:v>
      </x:c>
      <x:c r="K878" s="17" t="str"/>
      <x:c r="L878" s="17" t="str">
        <x:v>第 3 步的数据请求与目录口径不一致，正在修正。</x:v>
      </x:c>
      <x:c r="M878" s="17" t="str"/>
      <x:c r="N878" s="18" t="n">
        <x:v>7.77</x:v>
      </x:c>
      <x:c r="O878" s="17" t="str">
        <x:v>public_sse_client_estimate</x:v>
      </x:c>
    </x:row>
    <x:row r="879" ht="48" customHeight="1">
      <x:c r="A879" s="17" t="str">
        <x:v>BUS162</x:v>
      </x:c>
      <x:c r="B879" s="17" t="str">
        <x:v>查询半导体板块估值，并列出其成分股今天涨幅前10名。</x:v>
      </x:c>
      <x:c r="C879" s="17" t="n">
        <x:v>10</x:v>
      </x:c>
      <x:c r="D879" s="17" t="str">
        <x:v>数据查询 1/1</x:v>
      </x:c>
      <x:c r="E879" s="17" t="str">
        <x:v>24190.47</x:v>
      </x:c>
      <x:c r="F879" s="17" t="str">
        <x:v>29518.96</x:v>
      </x:c>
      <x:c r="G879" s="18" t="n">
        <x:v>5328.49</x:v>
      </x:c>
      <x:c r="H879" s="18" t="n">
        <x:f>IFERROR(G879/1000,"")</x:f>
        <x:v>5.3284899999999995</x:v>
      </x:c>
      <x:c r="I879" s="19" t="n">
        <x:f>IFERROR(G879/J879,"")</x:f>
        <x:v>0.10995162614602372</x:v>
      </x:c>
      <x:c r="J879" s="17" t="n">
        <x:v>48462.13</x:v>
      </x:c>
      <x:c r="K879" s="17" t="str"/>
      <x:c r="L879" s="17" t="str">
        <x:v>当前查询未完成，已保留此前取得的有效结果。</x:v>
      </x:c>
      <x:c r="M879" s="17" t="str"/>
      <x:c r="N879" s="18" t="n">
        <x:v>0</x:v>
      </x:c>
      <x:c r="O879" s="17" t="str">
        <x:v>public_sse_client_estimate</x:v>
      </x:c>
    </x:row>
    <x:row r="880" ht="48" customHeight="1">
      <x:c r="A880" s="17" t="str">
        <x:v>BUS162</x:v>
      </x:c>
      <x:c r="B880" s="17" t="str">
        <x:v>查询半导体板块估值，并列出其成分股今天涨幅前10名。</x:v>
      </x:c>
      <x:c r="C880" s="17" t="n">
        <x:v>11</x:v>
      </x:c>
      <x:c r="D880" s="17" t="str">
        <x:v>数据查询 1/1</x:v>
      </x:c>
      <x:c r="E880" s="17" t="str">
        <x:v>32245.83</x:v>
      </x:c>
      <x:c r="F880" s="17" t="str">
        <x:v>32687.05</x:v>
      </x:c>
      <x:c r="G880" s="18" t="n">
        <x:v>441.22</x:v>
      </x:c>
      <x:c r="H880" s="18" t="n">
        <x:f>IFERROR(G880/1000,"")</x:f>
        <x:v>0.44122</x:v>
      </x:c>
      <x:c r="I880" s="19" t="n">
        <x:f>IFERROR(G880/J880,"")</x:f>
        <x:v>0.00910442855070547</x:v>
      </x:c>
      <x:c r="J880" s="17" t="n">
        <x:v>48462.13</x:v>
      </x:c>
      <x:c r="K880" s="17" t="str"/>
      <x:c r="L880" s="17" t="str">
        <x:v>已完成：获取半导体板块成分股最新交易日行情，按涨幅降序取前10名，取得 10 条记录。</x:v>
      </x:c>
      <x:c r="M880" s="17" t="str"/>
      <x:c r="N880" s="18" t="n">
        <x:v>2726.87</x:v>
      </x:c>
      <x:c r="O880" s="17" t="str">
        <x:v>public_sse_client_estimate</x:v>
      </x:c>
    </x:row>
    <x:row r="881" ht="48" customHeight="1">
      <x:c r="A881" s="17" t="str">
        <x:v>BUS162</x:v>
      </x:c>
      <x:c r="B881" s="17" t="str">
        <x:v>查询半导体板块估值，并列出其成分股今天涨幅前10名。</x:v>
      </x:c>
      <x:c r="C881" s="17" t="n">
        <x:v>12</x:v>
      </x:c>
      <x:c r="D881" s="17" t="str">
        <x:v>回答整理</x:v>
      </x:c>
      <x:c r="E881" s="17" t="str">
        <x:v>32687.05</x:v>
      </x:c>
      <x:c r="F881" s="17" t="str">
        <x:v>45324.01</x:v>
      </x:c>
      <x:c r="G881" s="18" t="n">
        <x:v>12636.96</x:v>
      </x:c>
      <x:c r="H881" s="18" t="n">
        <x:f>IFERROR(G881/1000,"")</x:f>
        <x:v>12.636959999999998</x:v>
      </x:c>
      <x:c r="I881" s="19" t="n">
        <x:f>IFERROR(G881/J881,"")</x:f>
        <x:v>0.2607594837453492</x:v>
      </x:c>
      <x:c r="J881" s="17" t="n">
        <x:v>48462.13</x:v>
      </x:c>
      <x:c r="K881" s="17" t="str"/>
      <x:c r="L881" s="17" t="str">
        <x:v>证据与回答已整理完成。</x:v>
      </x:c>
      <x:c r="M881" s="17" t="str"/>
      <x:c r="N881" s="18" t="n">
        <x:v>0</x:v>
      </x:c>
      <x:c r="O881" s="17" t="str">
        <x:v>public_sse_client_estimate</x:v>
      </x:c>
    </x:row>
    <x:row r="882" ht="48" customHeight="1">
      <x:c r="A882" s="17" t="str">
        <x:v>BUS163</x:v>
      </x:c>
      <x:c r="B882" s="17" t="str">
        <x:v>查询新能源车板块资金流，并返回宁德时代当前行情和融资余额。</x:v>
      </x:c>
      <x:c r="C882" s="17" t="n">
        <x:v>1</x:v>
      </x:c>
      <x:c r="D882" s="17" t="str">
        <x:v>问题理解</x:v>
      </x:c>
      <x:c r="E882" s="17" t="str">
        <x:v>5550.02</x:v>
      </x:c>
      <x:c r="F882" s="17" t="str">
        <x:v>12230.91</x:v>
      </x:c>
      <x:c r="G882" s="18" t="n">
        <x:v>6680.89</x:v>
      </x:c>
      <x:c r="H882" s="18" t="n">
        <x:f>IFERROR(G882/1000,"")</x:f>
        <x:v>6.680890000000001</x:v>
      </x:c>
      <x:c r="I882" s="19" t="n">
        <x:f>IFERROR(G882/J882,"")</x:f>
        <x:v>0.16715802410507935</x:v>
      </x:c>
      <x:c r="J882" s="17" t="n">
        <x:v>39967.51</x:v>
      </x:c>
      <x:c r="K882" s="17" t="str"/>
      <x:c r="L882" s="17" t="str">
        <x:v>已明确本题的对象与口径，开始获取所需证据。</x:v>
      </x:c>
      <x:c r="M882" s="17" t="str"/>
      <x:c r="N882" s="18" t="n">
        <x:v>5550.02</x:v>
      </x:c>
      <x:c r="O882" s="17" t="str">
        <x:v>public_sse_client_estimate</x:v>
      </x:c>
    </x:row>
    <x:row r="883" ht="48" customHeight="1">
      <x:c r="A883" s="17" t="str">
        <x:v>BUS163</x:v>
      </x:c>
      <x:c r="B883" s="17" t="str">
        <x:v>查询新能源车板块资金流，并返回宁德时代当前行情和融资余额。</x:v>
      </x:c>
      <x:c r="C883" s="17" t="n">
        <x:v>2</x:v>
      </x:c>
      <x:c r="D883" s="17" t="str">
        <x:v>数据口径</x:v>
      </x:c>
      <x:c r="E883" s="17" t="str">
        <x:v>12230.91</x:v>
      </x:c>
      <x:c r="F883" s="17" t="str">
        <x:v>12376.06</x:v>
      </x:c>
      <x:c r="G883" s="18" t="n">
        <x:v>145.15</x:v>
      </x:c>
      <x:c r="H883" s="18" t="n">
        <x:f>IFERROR(G883/1000,"")</x:f>
        <x:v>0.14515</x:v>
      </x:c>
      <x:c r="I883" s="19" t="n">
        <x:f>IFERROR(G883/J883,"")</x:f>
        <x:v>0.003631699848201702</x:v>
      </x:c>
      <x:c r="J883" s="17" t="n">
        <x:v>39967.51</x:v>
      </x:c>
      <x:c r="K883" s="17" t="str"/>
      <x:c r="L883" s="17" t="str">
        <x:v>已定位板块资金流视图，并确认了可用字段与时间口径。</x:v>
      </x:c>
      <x:c r="M883" s="17" t="str"/>
      <x:c r="N883" s="18" t="n">
        <x:v>0</x:v>
      </x:c>
      <x:c r="O883" s="17" t="str">
        <x:v>public_sse_client_estimate</x:v>
      </x:c>
    </x:row>
    <x:row r="884" ht="48" customHeight="1">
      <x:c r="A884" s="17" t="str">
        <x:v>BUS163</x:v>
      </x:c>
      <x:c r="B884" s="17" t="str">
        <x:v>查询新能源车板块资金流，并返回宁德时代当前行情和融资余额。</x:v>
      </x:c>
      <x:c r="C884" s="17" t="n">
        <x:v>3</x:v>
      </x:c>
      <x:c r="D884" s="17" t="str">
        <x:v>数据口径</x:v>
      </x:c>
      <x:c r="E884" s="17" t="str">
        <x:v>12376.06</x:v>
      </x:c>
      <x:c r="F884" s="17" t="str">
        <x:v>12487.78</x:v>
      </x:c>
      <x:c r="G884" s="18" t="n">
        <x:v>111.72</x:v>
      </x:c>
      <x:c r="H884" s="18" t="n">
        <x:f>IFERROR(G884/1000,"")</x:f>
        <x:v>0.11172</x:v>
      </x:c>
      <x:c r="I884" s="19" t="n">
        <x:f>IFERROR(G884/J884,"")</x:f>
        <x:v>0.0027952704584298595</x:v>
      </x:c>
      <x:c r="J884" s="17" t="n">
        <x:v>39967.51</x:v>
      </x:c>
      <x:c r="K884" s="17" t="str"/>
      <x:c r="L884" s="17" t="str">
        <x:v>已定位个股行情视图，并确认了可用字段与时间口径。</x:v>
      </x:c>
      <x:c r="M884" s="17" t="str"/>
      <x:c r="N884" s="18" t="n">
        <x:v>0</x:v>
      </x:c>
      <x:c r="O884" s="17" t="str">
        <x:v>public_sse_client_estimate</x:v>
      </x:c>
    </x:row>
    <x:row r="885" ht="48" customHeight="1">
      <x:c r="A885" s="17" t="str">
        <x:v>BUS163</x:v>
      </x:c>
      <x:c r="B885" s="17" t="str">
        <x:v>查询新能源车板块资金流，并返回宁德时代当前行情和融资余额。</x:v>
      </x:c>
      <x:c r="C885" s="17" t="n">
        <x:v>4</x:v>
      </x:c>
      <x:c r="D885" s="17" t="str">
        <x:v>数据口径</x:v>
      </x:c>
      <x:c r="E885" s="17" t="str">
        <x:v>12487.78</x:v>
      </x:c>
      <x:c r="F885" s="17" t="str">
        <x:v>12499.45</x:v>
      </x:c>
      <x:c r="G885" s="18" t="n">
        <x:v>11.67</x:v>
      </x:c>
      <x:c r="H885" s="18" t="n">
        <x:f>IFERROR(G885/1000,"")</x:f>
        <x:v>0.01167</x:v>
      </x:c>
      <x:c r="I885" s="19" t="n">
        <x:f>IFERROR(G885/J885,"")</x:f>
        <x:v>0.00029198716657605135</x:v>
      </x:c>
      <x:c r="J885" s="17" t="n">
        <x:v>39967.51</x:v>
      </x:c>
      <x:c r="K885" s="17" t="str"/>
      <x:c r="L885" s="17" t="str">
        <x:v>已定位融资融券视图，并确认了可用字段与时间口径。</x:v>
      </x:c>
      <x:c r="M885" s="17" t="str"/>
      <x:c r="N885" s="18" t="n">
        <x:v>0</x:v>
      </x:c>
      <x:c r="O885" s="17" t="str">
        <x:v>public_sse_client_estimate</x:v>
      </x:c>
    </x:row>
    <x:row r="886" ht="48" customHeight="1">
      <x:c r="A886" s="17" t="str">
        <x:v>BUS163</x:v>
      </x:c>
      <x:c r="B886" s="17" t="str">
        <x:v>查询新能源车板块资金流，并返回宁德时代当前行情和融资余额。</x:v>
      </x:c>
      <x:c r="C886" s="17" t="n">
        <x:v>5</x:v>
      </x:c>
      <x:c r="D886" s="17" t="str">
        <x:v>数据口径</x:v>
      </x:c>
      <x:c r="E886" s="17" t="str">
        <x:v>12499.45</x:v>
      </x:c>
      <x:c r="F886" s="17" t="str">
        <x:v>15921.75</x:v>
      </x:c>
      <x:c r="G886" s="18" t="n">
        <x:v>3422.3</x:v>
      </x:c>
      <x:c r="H886" s="18" t="n">
        <x:f>IFERROR(G886/1000,"")</x:f>
        <x:v>3.4223000000000003</x:v>
      </x:c>
      <x:c r="I886" s="19" t="n">
        <x:f>IFERROR(G886/J886,"")</x:f>
        <x:v>0.08562705057182697</x:v>
      </x:c>
      <x:c r="J886" s="17" t="n">
        <x:v>39967.51</x:v>
      </x:c>
      <x:c r="K886" s="17" t="str"/>
      <x:c r="L886" s="17" t="str">
        <x:v>已定位板块基础信息视图，并确认了可用字段与时间口径。</x:v>
      </x:c>
      <x:c r="M886" s="17" t="str"/>
      <x:c r="N886" s="18" t="n">
        <x:v>0</x:v>
      </x:c>
      <x:c r="O886" s="17" t="str">
        <x:v>public_sse_client_estimate</x:v>
      </x:c>
    </x:row>
    <x:row r="887" ht="48" customHeight="1">
      <x:c r="A887" s="17" t="str">
        <x:v>BUS163</x:v>
      </x:c>
      <x:c r="B887" s="17" t="str">
        <x:v>查询新能源车板块资金流，并返回宁德时代当前行情和融资余额。</x:v>
      </x:c>
      <x:c r="C887" s="17" t="n">
        <x:v>6</x:v>
      </x:c>
      <x:c r="D887" s="17" t="str">
        <x:v>数据查询 1/3</x:v>
      </x:c>
      <x:c r="E887" s="17" t="str">
        <x:v>18940.37</x:v>
      </x:c>
      <x:c r="F887" s="17" t="str">
        <x:v>19455.07</x:v>
      </x:c>
      <x:c r="G887" s="18" t="n">
        <x:v>514.7</x:v>
      </x:c>
      <x:c r="H887" s="18" t="n">
        <x:f>IFERROR(G887/1000,"")</x:f>
        <x:v>0.5147</x:v>
      </x:c>
      <x:c r="I887" s="19" t="n">
        <x:f>IFERROR(G887/J887,"")</x:f>
        <x:v>0.012877960123109997</x:v>
      </x:c>
      <x:c r="J887" s="17" t="n">
        <x:v>39967.51</x:v>
      </x:c>
      <x:c r="K887" s="17" t="str"/>
      <x:c r="L887" s="17" t="str">
        <x:v>已完成：查询新能源车板块代码，当前条件下没有匹配记录。</x:v>
      </x:c>
      <x:c r="M887" s="17" t="str"/>
      <x:c r="N887" s="18" t="n">
        <x:v>3018.62</x:v>
      </x:c>
      <x:c r="O887" s="17" t="str">
        <x:v>public_sse_client_estimate</x:v>
      </x:c>
    </x:row>
    <x:row r="888" ht="48" customHeight="1">
      <x:c r="A888" s="17" t="str">
        <x:v>BUS163</x:v>
      </x:c>
      <x:c r="B888" s="17" t="str">
        <x:v>查询新能源车板块资金流，并返回宁德时代当前行情和融资余额。</x:v>
      </x:c>
      <x:c r="C888" s="17" t="n">
        <x:v>7</x:v>
      </x:c>
      <x:c r="D888" s="17" t="str">
        <x:v>数据查询 2/3</x:v>
      </x:c>
      <x:c r="E888" s="17" t="str">
        <x:v>19462.33</x:v>
      </x:c>
      <x:c r="F888" s="17" t="str">
        <x:v>20790.01</x:v>
      </x:c>
      <x:c r="G888" s="18" t="n">
        <x:v>1327.68</x:v>
      </x:c>
      <x:c r="H888" s="18" t="n">
        <x:f>IFERROR(G888/1000,"")</x:f>
        <x:v>1.32768</x:v>
      </x:c>
      <x:c r="I888" s="19" t="n">
        <x:f>IFERROR(G888/J888,"")</x:f>
        <x:v>0.03321898211822553</x:v>
      </x:c>
      <x:c r="J888" s="17" t="n">
        <x:v>39967.51</x:v>
      </x:c>
      <x:c r="K888" s="17" t="str"/>
      <x:c r="L888" s="17" t="str">
        <x:v>已完成：查询宁德时代（300750.SZ）最新行情，取得 1 条记录。</x:v>
      </x:c>
      <x:c r="M888" s="17" t="str"/>
      <x:c r="N888" s="18" t="n">
        <x:v>7.26</x:v>
      </x:c>
      <x:c r="O888" s="17" t="str">
        <x:v>public_sse_client_estimate</x:v>
      </x:c>
    </x:row>
    <x:row r="889" ht="48" customHeight="1">
      <x:c r="A889" s="17" t="str">
        <x:v>BUS163</x:v>
      </x:c>
      <x:c r="B889" s="17" t="str">
        <x:v>查询新能源车板块资金流，并返回宁德时代当前行情和融资余额。</x:v>
      </x:c>
      <x:c r="C889" s="17" t="n">
        <x:v>8</x:v>
      </x:c>
      <x:c r="D889" s="17" t="str">
        <x:v>数据查询 3/3</x:v>
      </x:c>
      <x:c r="E889" s="17" t="str">
        <x:v>20794.82</x:v>
      </x:c>
      <x:c r="F889" s="17" t="str">
        <x:v>21261.78</x:v>
      </x:c>
      <x:c r="G889" s="18" t="n">
        <x:v>466.96</x:v>
      </x:c>
      <x:c r="H889" s="18" t="n">
        <x:f>IFERROR(G889/1000,"")</x:f>
        <x:v>0.46696</x:v>
      </x:c>
      <x:c r="I889" s="19" t="n">
        <x:f>IFERROR(G889/J889,"")</x:f>
        <x:v>0.0116834899146832</x:v>
      </x:c>
      <x:c r="J889" s="17" t="n">
        <x:v>39967.51</x:v>
      </x:c>
      <x:c r="K889" s="17" t="str"/>
      <x:c r="L889" s="17" t="str">
        <x:v>已完成：查询宁德时代最新融资余额，取得 1 条记录。</x:v>
      </x:c>
      <x:c r="M889" s="17" t="str"/>
      <x:c r="N889" s="18" t="n">
        <x:v>4.81</x:v>
      </x:c>
      <x:c r="O889" s="17" t="str">
        <x:v>public_sse_client_estimate</x:v>
      </x:c>
    </x:row>
    <x:row r="890" ht="48" customHeight="1">
      <x:c r="A890" s="17" t="str">
        <x:v>BUS163</x:v>
      </x:c>
      <x:c r="B890" s="17" t="str">
        <x:v>查询新能源车板块资金流，并返回宁德时代当前行情和融资余额。</x:v>
      </x:c>
      <x:c r="C890" s="17" t="n">
        <x:v>9</x:v>
      </x:c>
      <x:c r="D890" s="17" t="str">
        <x:v>数据查询 1/1</x:v>
      </x:c>
      <x:c r="E890" s="17" t="str">
        <x:v>25783.86</x:v>
      </x:c>
      <x:c r="F890" s="17" t="str">
        <x:v>26302.74</x:v>
      </x:c>
      <x:c r="G890" s="18" t="n">
        <x:v>518.88</x:v>
      </x:c>
      <x:c r="H890" s="18" t="n">
        <x:f>IFERROR(G890/1000,"")</x:f>
        <x:v>0.51888</x:v>
      </x:c>
      <x:c r="I890" s="19" t="n">
        <x:f>IFERROR(G890/J890,"")</x:f>
        <x:v>0.012982545072234923</x:v>
      </x:c>
      <x:c r="J890" s="17" t="n">
        <x:v>39967.51</x:v>
      </x:c>
      <x:c r="K890" s="17" t="str"/>
      <x:c r="L890" s="17" t="str">
        <x:v>已完成：搜索新能源车相关板块，当前条件下没有匹配记录。</x:v>
      </x:c>
      <x:c r="M890" s="17" t="str"/>
      <x:c r="N890" s="18" t="n">
        <x:v>4522.08</x:v>
      </x:c>
      <x:c r="O890" s="17" t="str">
        <x:v>public_sse_client_estimate</x:v>
      </x:c>
    </x:row>
    <x:row r="891" ht="48" customHeight="1">
      <x:c r="A891" s="17" t="str">
        <x:v>BUS163</x:v>
      </x:c>
      <x:c r="B891" s="17" t="str">
        <x:v>查询新能源车板块资金流，并返回宁德时代当前行情和融资余额。</x:v>
      </x:c>
      <x:c r="C891" s="17" t="n">
        <x:v>10</x:v>
      </x:c>
      <x:c r="D891" s="17" t="str">
        <x:v>回答整理</x:v>
      </x:c>
      <x:c r="E891" s="17" t="str">
        <x:v>26302.74</x:v>
      </x:c>
      <x:c r="F891" s="17" t="str">
        <x:v>35694.74</x:v>
      </x:c>
      <x:c r="G891" s="18" t="n">
        <x:v>9392</x:v>
      </x:c>
      <x:c r="H891" s="18" t="n">
        <x:f>IFERROR(G891/1000,"")</x:f>
        <x:v>9.392</x:v>
      </x:c>
      <x:c r="I891" s="19" t="n">
        <x:f>IFERROR(G891/J891,"")</x:f>
        <x:v>0.23499087133524205</x:v>
      </x:c>
      <x:c r="J891" s="17" t="n">
        <x:v>39967.51</x:v>
      </x:c>
      <x:c r="K891" s="17" t="str"/>
      <x:c r="L891" s="17" t="str">
        <x:v>证据与回答已整理完成。</x:v>
      </x:c>
      <x:c r="M891" s="17" t="str"/>
      <x:c r="N891" s="18" t="n">
        <x:v>0</x:v>
      </x:c>
      <x:c r="O891" s="17" t="str">
        <x:v>public_sse_client_estimate</x:v>
      </x:c>
    </x:row>
    <x:row r="892" ht="48" customHeight="1">
      <x:c r="A892" s="17" t="str">
        <x:v>BUS164</x:v>
      </x:c>
      <x:c r="B892" s="17" t="str">
        <x:v>查询证券板块行情，并对比银行行业成分股今天平均涨跌幅。</x:v>
      </x:c>
      <x:c r="C892" s="17" t="n">
        <x:v>1</x:v>
      </x:c>
      <x:c r="D892" s="17" t="str">
        <x:v>问题理解</x:v>
      </x:c>
      <x:c r="E892" s="17" t="str">
        <x:v>6523.48</x:v>
      </x:c>
      <x:c r="F892" s="17" t="str">
        <x:v>10840.24</x:v>
      </x:c>
      <x:c r="G892" s="18" t="n">
        <x:v>4316.76</x:v>
      </x:c>
      <x:c r="H892" s="18" t="n">
        <x:f>IFERROR(G892/1000,"")</x:f>
        <x:v>4.31676</x:v>
      </x:c>
      <x:c r="I892" s="19" t="n">
        <x:f>IFERROR(G892/J892,"")</x:f>
        <x:v>0.09800790191490436</x:v>
      </x:c>
      <x:c r="J892" s="17" t="n">
        <x:v>44045.02</x:v>
      </x:c>
      <x:c r="K892" s="17" t="str"/>
      <x:c r="L892" s="17" t="str">
        <x:v>已明确本题的对象与口径，开始获取所需证据。</x:v>
      </x:c>
      <x:c r="M892" s="17" t="str"/>
      <x:c r="N892" s="18" t="n">
        <x:v>6523.48</x:v>
      </x:c>
      <x:c r="O892" s="17" t="str">
        <x:v>public_sse_client_estimate</x:v>
      </x:c>
    </x:row>
    <x:row r="893" ht="48" customHeight="1">
      <x:c r="A893" s="17" t="str">
        <x:v>BUS164</x:v>
      </x:c>
      <x:c r="B893" s="17" t="str">
        <x:v>查询证券板块行情，并对比银行行业成分股今天平均涨跌幅。</x:v>
      </x:c>
      <x:c r="C893" s="17" t="n">
        <x:v>2</x:v>
      </x:c>
      <x:c r="D893" s="17" t="str">
        <x:v>数据口径</x:v>
      </x:c>
      <x:c r="E893" s="17" t="str">
        <x:v>10840.24</x:v>
      </x:c>
      <x:c r="F893" s="17" t="str">
        <x:v>10905.64</x:v>
      </x:c>
      <x:c r="G893" s="18" t="n">
        <x:v>65.4</x:v>
      </x:c>
      <x:c r="H893" s="18" t="n">
        <x:f>IFERROR(G893/1000,"")</x:f>
        <x:v>0.0654</x:v>
      </x:c>
      <x:c r="I893" s="19" t="n">
        <x:f>IFERROR(G893/J893,"")</x:f>
        <x:v>0.0014848443706008082</x:v>
      </x:c>
      <x:c r="J893" s="17" t="n">
        <x:v>44045.02</x:v>
      </x:c>
      <x:c r="K893" s="17" t="str"/>
      <x:c r="L893" s="17" t="str">
        <x:v>已定位板块行情视图，并确认了可用字段与时间口径。</x:v>
      </x:c>
      <x:c r="M893" s="17" t="str"/>
      <x:c r="N893" s="18" t="n">
        <x:v>0</x:v>
      </x:c>
      <x:c r="O893" s="17" t="str">
        <x:v>public_sse_client_estimate</x:v>
      </x:c>
    </x:row>
    <x:row r="894" ht="48" customHeight="1">
      <x:c r="A894" s="17" t="str">
        <x:v>BUS164</x:v>
      </x:c>
      <x:c r="B894" s="17" t="str">
        <x:v>查询证券板块行情，并对比银行行业成分股今天平均涨跌幅。</x:v>
      </x:c>
      <x:c r="C894" s="17" t="n">
        <x:v>3</x:v>
      </x:c>
      <x:c r="D894" s="17" t="str">
        <x:v>数据口径</x:v>
      </x:c>
      <x:c r="E894" s="17" t="str">
        <x:v>10905.64</x:v>
      </x:c>
      <x:c r="F894" s="17" t="str">
        <x:v>11308.02</x:v>
      </x:c>
      <x:c r="G894" s="18" t="n">
        <x:v>402.38</x:v>
      </x:c>
      <x:c r="H894" s="18" t="n">
        <x:f>IFERROR(G894/1000,"")</x:f>
        <x:v>0.40238</x:v>
      </x:c>
      <x:c r="I894" s="19" t="n">
        <x:f>IFERROR(G894/J894,"")</x:f>
        <x:v>0.009135652566396837</x:v>
      </x:c>
      <x:c r="J894" s="17" t="n">
        <x:v>44045.02</x:v>
      </x:c>
      <x:c r="K894" s="17" t="str"/>
      <x:c r="L894" s="17" t="str">
        <x:v>已定位行业成分关系视图，并确认了可用字段与时间口径。</x:v>
      </x:c>
      <x:c r="M894" s="17" t="str"/>
      <x:c r="N894" s="18" t="n">
        <x:v>0</x:v>
      </x:c>
      <x:c r="O894" s="17" t="str">
        <x:v>public_sse_client_estimate</x:v>
      </x:c>
    </x:row>
    <x:row r="895" ht="48" customHeight="1">
      <x:c r="A895" s="17" t="str">
        <x:v>BUS164</x:v>
      </x:c>
      <x:c r="B895" s="17" t="str">
        <x:v>查询证券板块行情，并对比银行行业成分股今天平均涨跌幅。</x:v>
      </x:c>
      <x:c r="C895" s="17" t="n">
        <x:v>4</x:v>
      </x:c>
      <x:c r="D895" s="17" t="str">
        <x:v>数据口径</x:v>
      </x:c>
      <x:c r="E895" s="17" t="str">
        <x:v>11308.02</x:v>
      </x:c>
      <x:c r="F895" s="17" t="str">
        <x:v>14130.57</x:v>
      </x:c>
      <x:c r="G895" s="18" t="n">
        <x:v>2822.55</x:v>
      </x:c>
      <x:c r="H895" s="18" t="n">
        <x:f>IFERROR(G895/1000,"")</x:f>
        <x:v>2.82255</x:v>
      </x:c>
      <x:c r="I895" s="19" t="n">
        <x:f>IFERROR(G895/J895,"")</x:f>
        <x:v>0.0640832947743014</x:v>
      </x:c>
      <x:c r="J895" s="17" t="n">
        <x:v>44045.02</x:v>
      </x:c>
      <x:c r="K895" s="17" t="str"/>
      <x:c r="L895" s="17" t="str">
        <x:v>已定位板块基础信息视图，并确认了可用字段与时间口径。</x:v>
      </x:c>
      <x:c r="M895" s="17" t="str"/>
      <x:c r="N895" s="18" t="n">
        <x:v>0</x:v>
      </x:c>
      <x:c r="O895" s="17" t="str">
        <x:v>public_sse_client_estimate</x:v>
      </x:c>
    </x:row>
    <x:row r="896" ht="48" customHeight="1">
      <x:c r="A896" s="17" t="str">
        <x:v>BUS164</x:v>
      </x:c>
      <x:c r="B896" s="17" t="str">
        <x:v>查询证券板块行情，并对比银行行业成分股今天平均涨跌幅。</x:v>
      </x:c>
      <x:c r="C896" s="17" t="n">
        <x:v>5</x:v>
      </x:c>
      <x:c r="D896" s="17" t="str">
        <x:v>数据查询 1/3</x:v>
      </x:c>
      <x:c r="E896" s="17" t="str">
        <x:v>20128.21</x:v>
      </x:c>
      <x:c r="F896" s="17" t="str">
        <x:v>20670.7</x:v>
      </x:c>
      <x:c r="G896" s="18" t="n">
        <x:v>542.49</x:v>
      </x:c>
      <x:c r="H896" s="18" t="n">
        <x:f>IFERROR(G896/1000,"")</x:f>
        <x:v>0.54249</x:v>
      </x:c>
      <x:c r="I896" s="19" t="n">
        <x:f>IFERROR(G896/J896,"")</x:f>
        <x:v>0.012316715942006612</x:v>
      </x:c>
      <x:c r="J896" s="17" t="n">
        <x:v>44045.02</x:v>
      </x:c>
      <x:c r="K896" s="17" t="str"/>
      <x:c r="L896" s="17" t="str">
        <x:v>已完成：查询证券板块的代码，取得 1 条记录。</x:v>
      </x:c>
      <x:c r="M896" s="17" t="str"/>
      <x:c r="N896" s="18" t="n">
        <x:v>5997.64</x:v>
      </x:c>
      <x:c r="O896" s="17" t="str">
        <x:v>public_sse_client_estimate</x:v>
      </x:c>
    </x:row>
    <x:row r="897" ht="48" customHeight="1">
      <x:c r="A897" s="17" t="str">
        <x:v>BUS164</x:v>
      </x:c>
      <x:c r="B897" s="17" t="str">
        <x:v>查询证券板块行情，并对比银行行业成分股今天平均涨跌幅。</x:v>
      </x:c>
      <x:c r="C897" s="17" t="n">
        <x:v>6</x:v>
      </x:c>
      <x:c r="D897" s="17" t="str">
        <x:v>数据查询 2/3</x:v>
      </x:c>
      <x:c r="E897" s="17" t="str">
        <x:v>20673.32</x:v>
      </x:c>
      <x:c r="F897" s="17" t="str">
        <x:v>21191.35</x:v>
      </x:c>
      <x:c r="G897" s="18" t="n">
        <x:v>518.03</x:v>
      </x:c>
      <x:c r="H897" s="18" t="n">
        <x:f>IFERROR(G897/1000,"")</x:f>
        <x:v>0.51803</x:v>
      </x:c>
      <x:c r="I897" s="19" t="n">
        <x:f>IFERROR(G897/J897,"")</x:f>
        <x:v>0.011761375065784964</x:v>
      </x:c>
      <x:c r="J897" s="17" t="n">
        <x:v>44045.02</x:v>
      </x:c>
      <x:c r="K897" s="17" t="str"/>
      <x:c r="L897" s="17" t="str">
        <x:v>已完成：查询证券板块今日行情（涨跌幅、成交额等），取得 1 条记录。</x:v>
      </x:c>
      <x:c r="M897" s="17" t="str"/>
      <x:c r="N897" s="18" t="n">
        <x:v>2.62</x:v>
      </x:c>
      <x:c r="O897" s="17" t="str">
        <x:v>public_sse_client_estimate</x:v>
      </x:c>
    </x:row>
    <x:row r="898" ht="48" customHeight="1">
      <x:c r="A898" s="17" t="str">
        <x:v>BUS164</x:v>
      </x:c>
      <x:c r="B898" s="17" t="str">
        <x:v>查询证券板块行情，并对比银行行业成分股今天平均涨跌幅。</x:v>
      </x:c>
      <x:c r="C898" s="17" t="n">
        <x:v>7</x:v>
      </x:c>
      <x:c r="D898" s="17" t="str">
        <x:v>数据查询 3/3</x:v>
      </x:c>
      <x:c r="E898" s="17" t="str">
        <x:v>21194.87</x:v>
      </x:c>
      <x:c r="F898" s="17" t="str">
        <x:v>22168.3</x:v>
      </x:c>
      <x:c r="G898" s="18" t="n">
        <x:v>973.43</x:v>
      </x:c>
      <x:c r="H898" s="18" t="n">
        <x:f>IFERROR(G898/1000,"")</x:f>
        <x:v>0.9734299999999999</x:v>
      </x:c>
      <x:c r="I898" s="19" t="n">
        <x:f>IFERROR(G898/J898,"")</x:f>
        <x:v>0.022100795958317196</x:v>
      </x:c>
      <x:c r="J898" s="17" t="n">
        <x:v>44045.02</x:v>
      </x:c>
      <x:c r="K898" s="17" t="str"/>
      <x:c r="L898" s="17" t="str">
        <x:v>已完成：查询银行行业成分股今日平均涨跌幅，取得 4 条记录。</x:v>
      </x:c>
      <x:c r="M898" s="17" t="str"/>
      <x:c r="N898" s="18" t="n">
        <x:v>3.52</x:v>
      </x:c>
      <x:c r="O898" s="17" t="str">
        <x:v>public_sse_client_estimate</x:v>
      </x:c>
    </x:row>
    <x:row r="899" ht="48" customHeight="1">
      <x:c r="A899" s="17" t="str">
        <x:v>BUS164</x:v>
      </x:c>
      <x:c r="B899" s="17" t="str">
        <x:v>查询证券板块行情，并对比银行行业成分股今天平均涨跌幅。</x:v>
      </x:c>
      <x:c r="C899" s="17" t="n">
        <x:v>8</x:v>
      </x:c>
      <x:c r="D899" s="17" t="str">
        <x:v>数据查询 1/1</x:v>
      </x:c>
      <x:c r="E899" s="17" t="str">
        <x:v>34049.26</x:v>
      </x:c>
      <x:c r="F899" s="17" t="str">
        <x:v>36458.33</x:v>
      </x:c>
      <x:c r="G899" s="18" t="n">
        <x:v>2409.07</x:v>
      </x:c>
      <x:c r="H899" s="18" t="n">
        <x:f>IFERROR(G899/1000,"")</x:f>
        <x:v>2.4090700000000003</x:v>
      </x:c>
      <x:c r="I899" s="19" t="n">
        <x:f>IFERROR(G899/J899,"")</x:f>
        <x:v>0.05469562733766497</x:v>
      </x:c>
      <x:c r="J899" s="17" t="n">
        <x:v>44045.02</x:v>
      </x:c>
      <x:c r="K899" s="17" t="str"/>
      <x:c r="L899" s="17" t="str">
        <x:v>已完成：按申万一级行业查询银行行业成分股今日平均涨跌幅，取得 1 条记录。</x:v>
      </x:c>
      <x:c r="M899" s="17" t="str"/>
      <x:c r="N899" s="18" t="n">
        <x:v>11880.96</x:v>
      </x:c>
      <x:c r="O899" s="17" t="str">
        <x:v>public_sse_client_estimate</x:v>
      </x:c>
    </x:row>
    <x:row r="900" ht="48" customHeight="1">
      <x:c r="A900" s="17" t="str">
        <x:v>BUS164</x:v>
      </x:c>
      <x:c r="B900" s="17" t="str">
        <x:v>查询证券板块行情，并对比银行行业成分股今天平均涨跌幅。</x:v>
      </x:c>
      <x:c r="C900" s="17" t="n">
        <x:v>9</x:v>
      </x:c>
      <x:c r="D900" s="17" t="str">
        <x:v>回答整理</x:v>
      </x:c>
      <x:c r="E900" s="17" t="str">
        <x:v>36458.33</x:v>
      </x:c>
      <x:c r="F900" s="17" t="str">
        <x:v>40791.65</x:v>
      </x:c>
      <x:c r="G900" s="18" t="n">
        <x:v>4333.32</x:v>
      </x:c>
      <x:c r="H900" s="18" t="n">
        <x:f>IFERROR(G900/1000,"")</x:f>
        <x:v>4.33332</x:v>
      </x:c>
      <x:c r="I900" s="19" t="n">
        <x:f>IFERROR(G900/J900,"")</x:f>
        <x:v>0.09838388085645097</x:v>
      </x:c>
      <x:c r="J900" s="17" t="n">
        <x:v>44045.02</x:v>
      </x:c>
      <x:c r="K900" s="17" t="str"/>
      <x:c r="L900" s="17" t="str">
        <x:v>证据与回答已整理完成。</x:v>
      </x:c>
      <x:c r="M900" s="17" t="str"/>
      <x:c r="N900" s="18" t="n">
        <x:v>0</x:v>
      </x:c>
      <x:c r="O900" s="17" t="str">
        <x:v>public_sse_client_estimate</x:v>
      </x:c>
    </x:row>
    <x:row r="901" ht="48" customHeight="1">
      <x:c r="A901" s="17" t="str">
        <x:v>BUS165</x:v>
      </x:c>
      <x:c r="B901" s="17" t="str">
        <x:v>查询沪深300ETF的基金代码、简称和全称。</x:v>
      </x:c>
      <x:c r="C901" s="17" t="n">
        <x:v>1</x:v>
      </x:c>
      <x:c r="D901" s="17" t="str">
        <x:v>问题理解</x:v>
      </x:c>
      <x:c r="E901" s="17" t="str">
        <x:v>6682.84</x:v>
      </x:c>
      <x:c r="F901" s="17" t="str">
        <x:v>10484.07</x:v>
      </x:c>
      <x:c r="G901" s="18" t="n">
        <x:v>3801.23</x:v>
      </x:c>
      <x:c r="H901" s="18" t="n">
        <x:f>IFERROR(G901/1000,"")</x:f>
        <x:v>3.80123</x:v>
      </x:c>
      <x:c r="I901" s="19" t="n">
        <x:f>IFERROR(G901/J901,"")</x:f>
        <x:v>0.1452892403411052</x:v>
      </x:c>
      <x:c r="J901" s="17" t="n">
        <x:v>26163.19</x:v>
      </x:c>
      <x:c r="K901" s="17" t="str"/>
      <x:c r="L901" s="17" t="str">
        <x:v>已明确本题的对象与口径，开始获取所需证据。</x:v>
      </x:c>
      <x:c r="M901" s="17" t="str"/>
      <x:c r="N901" s="18" t="n">
        <x:v>6682.84</x:v>
      </x:c>
      <x:c r="O901" s="17" t="str">
        <x:v>public_sse_client_estimate</x:v>
      </x:c>
    </x:row>
    <x:row r="902" ht="48" customHeight="1">
      <x:c r="A902" s="17" t="str">
        <x:v>BUS165</x:v>
      </x:c>
      <x:c r="B902" s="17" t="str">
        <x:v>查询沪深300ETF的基金代码、简称和全称。</x:v>
      </x:c>
      <x:c r="C902" s="17" t="n">
        <x:v>2</x:v>
      </x:c>
      <x:c r="D902" s="17" t="str">
        <x:v>数据口径</x:v>
      </x:c>
      <x:c r="E902" s="17" t="str">
        <x:v>10484.07</x:v>
      </x:c>
      <x:c r="F902" s="17" t="str">
        <x:v>10498.85</x:v>
      </x:c>
      <x:c r="G902" s="18" t="n">
        <x:v>14.78</x:v>
      </x:c>
      <x:c r="H902" s="18" t="n">
        <x:f>IFERROR(G902/1000,"")</x:f>
        <x:v>0.01478</x:v>
      </x:c>
      <x:c r="I902" s="19" t="n">
        <x:f>IFERROR(G902/J902,"")</x:f>
        <x:v>0.0005649158225736235</x:v>
      </x:c>
      <x:c r="J902" s="17" t="n">
        <x:v>26163.19</x:v>
      </x:c>
      <x:c r="K902" s="17" t="str"/>
      <x:c r="L902" s="17" t="str">
        <x:v>已定位基金基础信息视图，并确认了可用字段与时间口径。</x:v>
      </x:c>
      <x:c r="M902" s="17" t="str"/>
      <x:c r="N902" s="18" t="n">
        <x:v>0</x:v>
      </x:c>
      <x:c r="O902" s="17" t="str">
        <x:v>public_sse_client_estimate</x:v>
      </x:c>
    </x:row>
    <x:row r="903" ht="48" customHeight="1">
      <x:c r="A903" s="17" t="str">
        <x:v>BUS165</x:v>
      </x:c>
      <x:c r="B903" s="17" t="str">
        <x:v>查询沪深300ETF的基金代码、简称和全称。</x:v>
      </x:c>
      <x:c r="C903" s="17" t="n">
        <x:v>3</x:v>
      </x:c>
      <x:c r="D903" s="17" t="str">
        <x:v>数据查询 1/1</x:v>
      </x:c>
      <x:c r="E903" s="17" t="str">
        <x:v>13989.12</x:v>
      </x:c>
      <x:c r="F903" s="17" t="str">
        <x:v>16660.45</x:v>
      </x:c>
      <x:c r="G903" s="18" t="n">
        <x:v>2671.33</x:v>
      </x:c>
      <x:c r="H903" s="18" t="n">
        <x:f>IFERROR(G903/1000,"")</x:f>
        <x:v>2.6713299999999998</x:v>
      </x:c>
      <x:c r="I903" s="19" t="n">
        <x:f>IFERROR(G903/J903,"")</x:f>
        <x:v>0.10210261057615681</x:v>
      </x:c>
      <x:c r="J903" s="17" t="n">
        <x:v>26163.19</x:v>
      </x:c>
      <x:c r="K903" s="17" t="str"/>
      <x:c r="L903" s="17" t="str">
        <x:v>已完成：查询名称中包含沪深300ETF的基金代码、简称和全称，取得 10 条记录。</x:v>
      </x:c>
      <x:c r="M903" s="17" t="str"/>
      <x:c r="N903" s="18" t="n">
        <x:v>3490.27</x:v>
      </x:c>
      <x:c r="O903" s="17" t="str">
        <x:v>public_sse_client_estimate</x:v>
      </x:c>
    </x:row>
    <x:row r="904" ht="48" customHeight="1">
      <x:c r="A904" s="17" t="str">
        <x:v>BUS165</x:v>
      </x:c>
      <x:c r="B904" s="17" t="str">
        <x:v>查询沪深300ETF的基金代码、简称和全称。</x:v>
      </x:c>
      <x:c r="C904" s="17" t="n">
        <x:v>4</x:v>
      </x:c>
      <x:c r="D904" s="17" t="str">
        <x:v>回答整理</x:v>
      </x:c>
      <x:c r="E904" s="17" t="str">
        <x:v>16660.45</x:v>
      </x:c>
      <x:c r="F904" s="17" t="str">
        <x:v>23899.86</x:v>
      </x:c>
      <x:c r="G904" s="18" t="n">
        <x:v>7239.41</x:v>
      </x:c>
      <x:c r="H904" s="18" t="n">
        <x:f>IFERROR(G904/1000,"")</x:f>
        <x:v>7.2394099999999995</x:v>
      </x:c>
      <x:c r="I904" s="19" t="n">
        <x:f>IFERROR(G904/J904,"")</x:f>
        <x:v>0.27670211468861405</x:v>
      </x:c>
      <x:c r="J904" s="17" t="n">
        <x:v>26163.19</x:v>
      </x:c>
      <x:c r="K904" s="17" t="str"/>
      <x:c r="L904" s="17" t="str">
        <x:v>证据与回答已整理完成。</x:v>
      </x:c>
      <x:c r="M904" s="17" t="str"/>
      <x:c r="N904" s="18" t="n">
        <x:v>0</x:v>
      </x:c>
      <x:c r="O904" s="17" t="str">
        <x:v>public_sse_client_estimate</x:v>
      </x:c>
    </x:row>
    <x:row r="905" ht="48" customHeight="1">
      <x:c r="A905" s="17" t="str">
        <x:v>BUS166</x:v>
      </x:c>
      <x:c r="B905" s="17" t="str">
        <x:v>查询名称包含红利的基金代码和名称。</x:v>
      </x:c>
      <x:c r="C905" s="17" t="n">
        <x:v>1</x:v>
      </x:c>
      <x:c r="D905" s="17" t="str">
        <x:v>问题理解</x:v>
      </x:c>
      <x:c r="E905" s="17" t="str">
        <x:v>5418.83</x:v>
      </x:c>
      <x:c r="F905" s="17" t="str">
        <x:v>7920.37</x:v>
      </x:c>
      <x:c r="G905" s="18" t="n">
        <x:v>2501.54</x:v>
      </x:c>
      <x:c r="H905" s="18" t="n">
        <x:f>IFERROR(G905/1000,"")</x:f>
        <x:v>2.50154</x:v>
      </x:c>
      <x:c r="I905" s="19" t="n">
        <x:f>IFERROR(G905/J905,"")</x:f>
        <x:v>0.08789231176800033</x:v>
      </x:c>
      <x:c r="J905" s="17" t="n">
        <x:v>28461.42</x:v>
      </x:c>
      <x:c r="K905" s="17" t="str"/>
      <x:c r="L905" s="17" t="str">
        <x:v>已明确本题的对象与口径，开始获取所需证据。</x:v>
      </x:c>
      <x:c r="M905" s="17" t="str"/>
      <x:c r="N905" s="18" t="n">
        <x:v>5418.83</x:v>
      </x:c>
      <x:c r="O905" s="17" t="str">
        <x:v>public_sse_client_estimate</x:v>
      </x:c>
    </x:row>
    <x:row r="906" ht="48" customHeight="1">
      <x:c r="A906" s="17" t="str">
        <x:v>BUS166</x:v>
      </x:c>
      <x:c r="B906" s="17" t="str">
        <x:v>查询名称包含红利的基金代码和名称。</x:v>
      </x:c>
      <x:c r="C906" s="17" t="n">
        <x:v>2</x:v>
      </x:c>
      <x:c r="D906" s="17" t="str">
        <x:v>数据口径</x:v>
      </x:c>
      <x:c r="E906" s="17" t="str">
        <x:v>7920.37</x:v>
      </x:c>
      <x:c r="F906" s="17" t="str">
        <x:v>7928.42</x:v>
      </x:c>
      <x:c r="G906" s="18" t="n">
        <x:v>8.05</x:v>
      </x:c>
      <x:c r="H906" s="18" t="n">
        <x:f>IFERROR(G906/1000,"")</x:f>
        <x:v>0.00805</x:v>
      </x:c>
      <x:c r="I906" s="19" t="n">
        <x:f>IFERROR(G906/J906,"")</x:f>
        <x:v>0.00028283901505968436</x:v>
      </x:c>
      <x:c r="J906" s="17" t="n">
        <x:v>28461.42</x:v>
      </x:c>
      <x:c r="K906" s="17" t="str"/>
      <x:c r="L906" s="17" t="str">
        <x:v>已定位基金基础信息视图，并确认了可用字段与时间口径。</x:v>
      </x:c>
      <x:c r="M906" s="17" t="str"/>
      <x:c r="N906" s="18" t="n">
        <x:v>0</x:v>
      </x:c>
      <x:c r="O906" s="17" t="str">
        <x:v>public_sse_client_estimate</x:v>
      </x:c>
    </x:row>
    <x:row r="907" ht="48" customHeight="1">
      <x:c r="A907" s="17" t="str">
        <x:v>BUS166</x:v>
      </x:c>
      <x:c r="B907" s="17" t="str">
        <x:v>查询名称包含红利的基金代码和名称。</x:v>
      </x:c>
      <x:c r="C907" s="17" t="n">
        <x:v>3</x:v>
      </x:c>
      <x:c r="D907" s="17" t="str">
        <x:v>数据查询 1/1</x:v>
      </x:c>
      <x:c r="E907" s="17" t="str">
        <x:v>12082.06</x:v>
      </x:c>
      <x:c r="F907" s="17" t="str">
        <x:v>13206.78</x:v>
      </x:c>
      <x:c r="G907" s="18" t="n">
        <x:v>1124.72</x:v>
      </x:c>
      <x:c r="H907" s="18" t="n">
        <x:f>IFERROR(G907/1000,"")</x:f>
        <x:v>1.12472</x:v>
      </x:c>
      <x:c r="I907" s="19" t="n">
        <x:f>IFERROR(G907/J907,"")</x:f>
        <x:v>0.03951735366682337</x:v>
      </x:c>
      <x:c r="J907" s="17" t="n">
        <x:v>28461.42</x:v>
      </x:c>
      <x:c r="K907" s="17" t="str"/>
      <x:c r="L907" s="17" t="str">
        <x:v>已完成：查询名称包含红利的基金代码和简称，取得 50 条记录。</x:v>
      </x:c>
      <x:c r="M907" s="17" t="str"/>
      <x:c r="N907" s="18" t="n">
        <x:v>4153.64</x:v>
      </x:c>
      <x:c r="O907" s="17" t="str">
        <x:v>public_sse_client_estimate</x:v>
      </x:c>
    </x:row>
    <x:row r="908" ht="48" customHeight="1">
      <x:c r="A908" s="17" t="str">
        <x:v>BUS166</x:v>
      </x:c>
      <x:c r="B908" s="17" t="str">
        <x:v>查询名称包含红利的基金代码和名称。</x:v>
      </x:c>
      <x:c r="C908" s="17" t="n">
        <x:v>4</x:v>
      </x:c>
      <x:c r="D908" s="17" t="str">
        <x:v>回答整理</x:v>
      </x:c>
      <x:c r="E908" s="17" t="str">
        <x:v>13206.78</x:v>
      </x:c>
      <x:c r="F908" s="17" t="str">
        <x:v>26187.81</x:v>
      </x:c>
      <x:c r="G908" s="18" t="n">
        <x:v>12981.03</x:v>
      </x:c>
      <x:c r="H908" s="18" t="n">
        <x:f>IFERROR(G908/1000,"")</x:f>
        <x:v>12.98103</x:v>
      </x:c>
      <x:c r="I908" s="19" t="n">
        <x:f>IFERROR(G908/J908,"")</x:f>
        <x:v>0.4560921415726974</x:v>
      </x:c>
      <x:c r="J908" s="17" t="n">
        <x:v>28461.42</x:v>
      </x:c>
      <x:c r="K908" s="17" t="str"/>
      <x:c r="L908" s="17" t="str">
        <x:v>证据与回答已整理完成。</x:v>
      </x:c>
      <x:c r="M908" s="17" t="str"/>
      <x:c r="N908" s="18" t="n">
        <x:v>0</x:v>
      </x:c>
      <x:c r="O908" s="17" t="str">
        <x:v>public_sse_client_estimate</x:v>
      </x:c>
    </x:row>
    <x:row r="909" ht="48" customHeight="1">
      <x:c r="A909" s="17" t="str">
        <x:v>BUS167</x:v>
      </x:c>
      <x:c r="B909" s="17" t="str">
        <x:v>查询名称包含半导体的基金列表。</x:v>
      </x:c>
      <x:c r="C909" s="17" t="n">
        <x:v>1</x:v>
      </x:c>
      <x:c r="D909" s="17" t="str">
        <x:v>问题理解</x:v>
      </x:c>
      <x:c r="E909" s="17" t="str">
        <x:v>5839.78</x:v>
      </x:c>
      <x:c r="F909" s="17" t="str">
        <x:v>8168.74</x:v>
      </x:c>
      <x:c r="G909" s="18" t="n">
        <x:v>2328.96</x:v>
      </x:c>
      <x:c r="H909" s="18" t="n">
        <x:f>IFERROR(G909/1000,"")</x:f>
        <x:v>2.32896</x:v>
      </x:c>
      <x:c r="I909" s="19" t="n">
        <x:f>IFERROR(G909/J909,"")</x:f>
        <x:v>0.09973568945995344</x:v>
      </x:c>
      <x:c r="J909" s="17" t="n">
        <x:v>23351.32</x:v>
      </x:c>
      <x:c r="K909" s="17" t="str"/>
      <x:c r="L909" s="17" t="str">
        <x:v>已明确本题的对象与口径，开始获取所需证据。</x:v>
      </x:c>
      <x:c r="M909" s="17" t="str"/>
      <x:c r="N909" s="18" t="n">
        <x:v>5839.78</x:v>
      </x:c>
      <x:c r="O909" s="17" t="str">
        <x:v>public_sse_client_estimate</x:v>
      </x:c>
    </x:row>
    <x:row r="910" ht="48" customHeight="1">
      <x:c r="A910" s="17" t="str">
        <x:v>BUS167</x:v>
      </x:c>
      <x:c r="B910" s="17" t="str">
        <x:v>查询名称包含半导体的基金列表。</x:v>
      </x:c>
      <x:c r="C910" s="17" t="n">
        <x:v>2</x:v>
      </x:c>
      <x:c r="D910" s="17" t="str">
        <x:v>数据口径</x:v>
      </x:c>
      <x:c r="E910" s="17" t="str">
        <x:v>8168.74</x:v>
      </x:c>
      <x:c r="F910" s="17" t="str">
        <x:v>8178.96</x:v>
      </x:c>
      <x:c r="G910" s="18" t="n">
        <x:v>10.22</x:v>
      </x:c>
      <x:c r="H910" s="18" t="n">
        <x:f>IFERROR(G910/1000,"")</x:f>
        <x:v>0.01022</x:v>
      </x:c>
      <x:c r="I910" s="19" t="n">
        <x:f>IFERROR(G910/J910,"")</x:f>
        <x:v>0.00043766262463963495</x:v>
      </x:c>
      <x:c r="J910" s="17" t="n">
        <x:v>23351.32</x:v>
      </x:c>
      <x:c r="K910" s="17" t="str"/>
      <x:c r="L910" s="17" t="str">
        <x:v>已定位基金基础信息视图，并确认了可用字段与时间口径。</x:v>
      </x:c>
      <x:c r="M910" s="17" t="str"/>
      <x:c r="N910" s="18" t="n">
        <x:v>0</x:v>
      </x:c>
      <x:c r="O910" s="17" t="str">
        <x:v>public_sse_client_estimate</x:v>
      </x:c>
    </x:row>
    <x:row r="911" ht="48" customHeight="1">
      <x:c r="A911" s="17" t="str">
        <x:v>BUS167</x:v>
      </x:c>
      <x:c r="B911" s="17" t="str">
        <x:v>查询名称包含半导体的基金列表。</x:v>
      </x:c>
      <x:c r="C911" s="17" t="n">
        <x:v>3</x:v>
      </x:c>
      <x:c r="D911" s="17" t="str">
        <x:v>数据查询 1/1</x:v>
      </x:c>
      <x:c r="E911" s="17" t="str">
        <x:v>10385.11</x:v>
      </x:c>
      <x:c r="F911" s="17" t="str">
        <x:v>10911.26</x:v>
      </x:c>
      <x:c r="G911" s="18" t="n">
        <x:v>526.15</x:v>
      </x:c>
      <x:c r="H911" s="18" t="n">
        <x:f>IFERROR(G911/1000,"")</x:f>
        <x:v>0.52615</x:v>
      </x:c>
      <x:c r="I911" s="19" t="n">
        <x:f>IFERROR(G911/J911,"")</x:f>
        <x:v>0.0225319168252587</x:v>
      </x:c>
      <x:c r="J911" s="17" t="n">
        <x:v>23351.32</x:v>
      </x:c>
      <x:c r="K911" s="17" t="str"/>
      <x:c r="L911" s="17" t="str">
        <x:v>已完成：查询名称包含半导体的基金列表，获取基金代码和名称，取得 18 条记录。</x:v>
      </x:c>
      <x:c r="M911" s="17" t="str"/>
      <x:c r="N911" s="18" t="n">
        <x:v>2206.15</x:v>
      </x:c>
      <x:c r="O911" s="17" t="str">
        <x:v>public_sse_client_estimate</x:v>
      </x:c>
    </x:row>
    <x:row r="912" ht="48" customHeight="1">
      <x:c r="A912" s="17" t="str">
        <x:v>BUS167</x:v>
      </x:c>
      <x:c r="B912" s="17" t="str">
        <x:v>查询名称包含半导体的基金列表。</x:v>
      </x:c>
      <x:c r="C912" s="17" t="n">
        <x:v>4</x:v>
      </x:c>
      <x:c r="D912" s="17" t="str">
        <x:v>回答整理</x:v>
      </x:c>
      <x:c r="E912" s="17" t="str">
        <x:v>10911.26</x:v>
      </x:c>
      <x:c r="F912" s="17" t="str">
        <x:v>19582.52</x:v>
      </x:c>
      <x:c r="G912" s="18" t="n">
        <x:v>8671.26</x:v>
      </x:c>
      <x:c r="H912" s="18" t="n">
        <x:f>IFERROR(G912/1000,"")</x:f>
        <x:v>8.67126</x:v>
      </x:c>
      <x:c r="I912" s="19" t="n">
        <x:f>IFERROR(G912/J912,"")</x:f>
        <x:v>0.3713391791127868</x:v>
      </x:c>
      <x:c r="J912" s="17" t="n">
        <x:v>23351.32</x:v>
      </x:c>
      <x:c r="K912" s="17" t="str"/>
      <x:c r="L912" s="17" t="str">
        <x:v>证据与回答已整理完成。</x:v>
      </x:c>
      <x:c r="M912" s="17" t="str"/>
      <x:c r="N912" s="18" t="n">
        <x:v>0</x:v>
      </x:c>
      <x:c r="O912" s="17" t="str">
        <x:v>public_sse_client_estimate</x:v>
      </x:c>
    </x:row>
    <x:row r="913" ht="48" customHeight="1">
      <x:c r="A913" s="17" t="str">
        <x:v>BUS168</x:v>
      </x:c>
      <x:c r="B913" s="17" t="str">
        <x:v>查询名称包含债券的基金代码和名称。</x:v>
      </x:c>
      <x:c r="C913" s="17" t="n">
        <x:v>1</x:v>
      </x:c>
      <x:c r="D913" s="17" t="str">
        <x:v>问题理解</x:v>
      </x:c>
      <x:c r="E913" s="17" t="str">
        <x:v>6624.89</x:v>
      </x:c>
      <x:c r="F913" s="17" t="str">
        <x:v>10559.17</x:v>
      </x:c>
      <x:c r="G913" s="18" t="n">
        <x:v>3934.28</x:v>
      </x:c>
      <x:c r="H913" s="18" t="n">
        <x:f>IFERROR(G913/1000,"")</x:f>
        <x:v>3.93428</x:v>
      </x:c>
      <x:c r="I913" s="19" t="n">
        <x:f>IFERROR(G913/J913,"")</x:f>
        <x:v>0.08812678063794857</x:v>
      </x:c>
      <x:c r="J913" s="17" t="n">
        <x:v>44643.41</x:v>
      </x:c>
      <x:c r="K913" s="17" t="str"/>
      <x:c r="L913" s="17" t="str">
        <x:v>已明确本题的对象与口径，开始获取所需证据。</x:v>
      </x:c>
      <x:c r="M913" s="17" t="str"/>
      <x:c r="N913" s="18" t="n">
        <x:v>6624.89</x:v>
      </x:c>
      <x:c r="O913" s="17" t="str">
        <x:v>public_sse_client_estimate</x:v>
      </x:c>
    </x:row>
    <x:row r="914" ht="48" customHeight="1">
      <x:c r="A914" s="17" t="str">
        <x:v>BUS168</x:v>
      </x:c>
      <x:c r="B914" s="17" t="str">
        <x:v>查询名称包含债券的基金代码和名称。</x:v>
      </x:c>
      <x:c r="C914" s="17" t="n">
        <x:v>2</x:v>
      </x:c>
      <x:c r="D914" s="17" t="str">
        <x:v>数据口径</x:v>
      </x:c>
      <x:c r="E914" s="17" t="str">
        <x:v>10559.17</x:v>
      </x:c>
      <x:c r="F914" s="17" t="str">
        <x:v>10613.78</x:v>
      </x:c>
      <x:c r="G914" s="18" t="n">
        <x:v>54.61</x:v>
      </x:c>
      <x:c r="H914" s="18" t="n">
        <x:f>IFERROR(G914/1000,"")</x:f>
        <x:v>0.05461</x:v>
      </x:c>
      <x:c r="I914" s="19" t="n">
        <x:f>IFERROR(G914/J914,"")</x:f>
        <x:v>0.0012232488512862257</x:v>
      </x:c>
      <x:c r="J914" s="17" t="n">
        <x:v>44643.41</x:v>
      </x:c>
      <x:c r="K914" s="17" t="str"/>
      <x:c r="L914" s="17" t="str">
        <x:v>暂时无法确认本题所需的数据口径。</x:v>
      </x:c>
      <x:c r="M914" s="17" t="str"/>
      <x:c r="N914" s="18" t="n">
        <x:v>0</x:v>
      </x:c>
      <x:c r="O914" s="17" t="str">
        <x:v>public_sse_client_estimate</x:v>
      </x:c>
    </x:row>
    <x:row r="915" ht="48" customHeight="1">
      <x:c r="A915" s="17" t="str">
        <x:v>BUS168</x:v>
      </x:c>
      <x:c r="B915" s="17" t="str">
        <x:v>查询名称包含债券的基金代码和名称。</x:v>
      </x:c>
      <x:c r="C915" s="17" t="n">
        <x:v>3</x:v>
      </x:c>
      <x:c r="D915" s="17" t="str">
        <x:v>数据口径</x:v>
      </x:c>
      <x:c r="E915" s="17" t="str">
        <x:v>10613.78</x:v>
      </x:c>
      <x:c r="F915" s="17" t="str">
        <x:v>13948.64</x:v>
      </x:c>
      <x:c r="G915" s="18" t="n">
        <x:v>3334.86</x:v>
      </x:c>
      <x:c r="H915" s="18" t="n">
        <x:f>IFERROR(G915/1000,"")</x:f>
        <x:v>3.33486</x:v>
      </x:c>
      <x:c r="I915" s="19" t="n">
        <x:f>IFERROR(G915/J915,"")</x:f>
        <x:v>0.07469993891595646</x:v>
      </x:c>
      <x:c r="J915" s="17" t="n">
        <x:v>44643.41</x:v>
      </x:c>
      <x:c r="K915" s="17" t="str"/>
      <x:c r="L915" s="17" t="str">
        <x:v>已定位基金基础信息视图，并确认了可用字段与时间口径。</x:v>
      </x:c>
      <x:c r="M915" s="17" t="str"/>
      <x:c r="N915" s="18" t="n">
        <x:v>0</x:v>
      </x:c>
      <x:c r="O915" s="17" t="str">
        <x:v>public_sse_client_estimate</x:v>
      </x:c>
    </x:row>
    <x:row r="916" ht="48" customHeight="1">
      <x:c r="A916" s="17" t="str">
        <x:v>BUS168</x:v>
      </x:c>
      <x:c r="B916" s="17" t="str">
        <x:v>查询名称包含债券的基金代码和名称。</x:v>
      </x:c>
      <x:c r="C916" s="17" t="n">
        <x:v>4</x:v>
      </x:c>
      <x:c r="D916" s="17" t="str">
        <x:v>数据查询 1/1</x:v>
      </x:c>
      <x:c r="E916" s="17" t="str">
        <x:v>17134.22</x:v>
      </x:c>
      <x:c r="F916" s="17" t="str">
        <x:v>17672.59</x:v>
      </x:c>
      <x:c r="G916" s="18" t="n">
        <x:v>538.37</x:v>
      </x:c>
      <x:c r="H916" s="18" t="n">
        <x:f>IFERROR(G916/1000,"")</x:f>
        <x:v>0.53837</x:v>
      </x:c>
      <x:c r="I916" s="19" t="n">
        <x:f>IFERROR(G916/J916,"")</x:f>
        <x:v>0.01205933865715007</x:v>
      </x:c>
      <x:c r="J916" s="17" t="n">
        <x:v>44643.41</x:v>
      </x:c>
      <x:c r="K916" s="17" t="str"/>
      <x:c r="L916" s="17" t="str">
        <x:v>已完成：查询名称中包含'债券'的基金代码和名称，取得 93 条记录。</x:v>
      </x:c>
      <x:c r="M916" s="17" t="str"/>
      <x:c r="N916" s="18" t="n">
        <x:v>3185.58</x:v>
      </x:c>
      <x:c r="O916" s="17" t="str">
        <x:v>public_sse_client_estimate</x:v>
      </x:c>
    </x:row>
    <x:row r="917" ht="48" customHeight="1">
      <x:c r="A917" s="17" t="str">
        <x:v>BUS168</x:v>
      </x:c>
      <x:c r="B917" s="17" t="str">
        <x:v>查询名称包含债券的基金代码和名称。</x:v>
      </x:c>
      <x:c r="C917" s="17" t="n">
        <x:v>5</x:v>
      </x:c>
      <x:c r="D917" s="17" t="str">
        <x:v>回答整理</x:v>
      </x:c>
      <x:c r="E917" s="17" t="str">
        <x:v>17672.59</x:v>
      </x:c>
      <x:c r="F917" s="17" t="str">
        <x:v>40688.93</x:v>
      </x:c>
      <x:c r="G917" s="18" t="n">
        <x:v>23016.34</x:v>
      </x:c>
      <x:c r="H917" s="18" t="n">
        <x:f>IFERROR(G917/1000,"")</x:f>
        <x:v>23.01634</x:v>
      </x:c>
      <x:c r="I917" s="19" t="n">
        <x:f>IFERROR(G917/J917,"")</x:f>
        <x:v>0.5155596313095259</x:v>
      </x:c>
      <x:c r="J917" s="17" t="n">
        <x:v>44643.41</x:v>
      </x:c>
      <x:c r="K917" s="17" t="str"/>
      <x:c r="L917" s="17" t="str">
        <x:v>证据与回答已整理完成。</x:v>
      </x:c>
      <x:c r="M917" s="17" t="str"/>
      <x:c r="N917" s="18" t="n">
        <x:v>0</x:v>
      </x:c>
      <x:c r="O917" s="17" t="str">
        <x:v>public_sse_client_estimate</x:v>
      </x:c>
    </x:row>
    <x:row r="918" ht="48" customHeight="1">
      <x:c r="A918" s="17" t="str">
        <x:v>BUS169</x:v>
      </x:c>
      <x:c r="B918" s="17" t="str">
        <x:v>查询科创50ETF基金代码和全称。</x:v>
      </x:c>
      <x:c r="C918" s="17" t="n">
        <x:v>1</x:v>
      </x:c>
      <x:c r="D918" s="17" t="str">
        <x:v>问题理解</x:v>
      </x:c>
      <x:c r="E918" s="17" t="str">
        <x:v>6840.51</x:v>
      </x:c>
      <x:c r="F918" s="17" t="str">
        <x:v>9556.11</x:v>
      </x:c>
      <x:c r="G918" s="18" t="n">
        <x:v>2715.6</x:v>
      </x:c>
      <x:c r="H918" s="18" t="n">
        <x:f>IFERROR(G918/1000,"")</x:f>
        <x:v>2.7156</x:v>
      </x:c>
      <x:c r="I918" s="19" t="n">
        <x:f>IFERROR(G918/J918,"")</x:f>
        <x:v>0.06791222427539412</x:v>
      </x:c>
      <x:c r="J918" s="17" t="n">
        <x:v>39986.91</x:v>
      </x:c>
      <x:c r="K918" s="17" t="str"/>
      <x:c r="L918" s="17" t="str">
        <x:v>已明确本题的对象与口径，开始获取所需证据。</x:v>
      </x:c>
      <x:c r="M918" s="17" t="str"/>
      <x:c r="N918" s="18" t="n">
        <x:v>6840.51</x:v>
      </x:c>
      <x:c r="O918" s="17" t="str">
        <x:v>public_sse_client_estimate</x:v>
      </x:c>
    </x:row>
    <x:row r="919" ht="48" customHeight="1">
      <x:c r="A919" s="17" t="str">
        <x:v>BUS169</x:v>
      </x:c>
      <x:c r="B919" s="17" t="str">
        <x:v>查询科创50ETF基金代码和全称。</x:v>
      </x:c>
      <x:c r="C919" s="17" t="n">
        <x:v>2</x:v>
      </x:c>
      <x:c r="D919" s="17" t="str">
        <x:v>数据口径</x:v>
      </x:c>
      <x:c r="E919" s="17" t="str">
        <x:v>9556.11</x:v>
      </x:c>
      <x:c r="F919" s="17" t="str">
        <x:v>9569.69</x:v>
      </x:c>
      <x:c r="G919" s="18" t="n">
        <x:v>13.58</x:v>
      </x:c>
      <x:c r="H919" s="18" t="n">
        <x:f>IFERROR(G919/1000,"")</x:f>
        <x:v>0.01358</x:v>
      </x:c>
      <x:c r="I919" s="19" t="n">
        <x:f>IFERROR(G919/J919,"")</x:f>
        <x:v>0.00033961113774482696</x:v>
      </x:c>
      <x:c r="J919" s="17" t="n">
        <x:v>39986.91</x:v>
      </x:c>
      <x:c r="K919" s="17" t="str"/>
      <x:c r="L919" s="17" t="str">
        <x:v>已定位基金基础信息视图，并确认了可用字段与时间口径。</x:v>
      </x:c>
      <x:c r="M919" s="17" t="str"/>
      <x:c r="N919" s="18" t="n">
        <x:v>0</x:v>
      </x:c>
      <x:c r="O919" s="17" t="str">
        <x:v>public_sse_client_estimate</x:v>
      </x:c>
    </x:row>
    <x:row r="920" ht="48" customHeight="1">
      <x:c r="A920" s="17" t="str">
        <x:v>BUS169</x:v>
      </x:c>
      <x:c r="B920" s="17" t="str">
        <x:v>查询科创50ETF基金代码和全称。</x:v>
      </x:c>
      <x:c r="C920" s="17" t="n">
        <x:v>3</x:v>
      </x:c>
      <x:c r="D920" s="17" t="str">
        <x:v>数据查询 1/1</x:v>
      </x:c>
      <x:c r="E920" s="17" t="str">
        <x:v>13062.55</x:v>
      </x:c>
      <x:c r="F920" s="17" t="str">
        <x:v>13639.75</x:v>
      </x:c>
      <x:c r="G920" s="18" t="n">
        <x:v>577.2</x:v>
      </x:c>
      <x:c r="H920" s="18" t="n">
        <x:f>IFERROR(G920/1000,"")</x:f>
        <x:v>0.5772</x:v>
      </x:c>
      <x:c r="I920" s="19" t="n">
        <x:f>IFERROR(G920/J920,"")</x:f>
        <x:v>0.014434723763351557</x:v>
      </x:c>
      <x:c r="J920" s="17" t="n">
        <x:v>39986.91</x:v>
      </x:c>
      <x:c r="K920" s="17" t="str"/>
      <x:c r="L920" s="17" t="str">
        <x:v>已完成：查询科创50ETF基金的代码和全称，取得 4 条记录。</x:v>
      </x:c>
      <x:c r="M920" s="17" t="str"/>
      <x:c r="N920" s="18" t="n">
        <x:v>3492.86</x:v>
      </x:c>
      <x:c r="O920" s="17" t="str">
        <x:v>public_sse_client_estimate</x:v>
      </x:c>
    </x:row>
    <x:row r="921" ht="48" customHeight="1">
      <x:c r="A921" s="17" t="str">
        <x:v>BUS169</x:v>
      </x:c>
      <x:c r="B921" s="17" t="str">
        <x:v>查询科创50ETF基金代码和全称。</x:v>
      </x:c>
      <x:c r="C921" s="17" t="n">
        <x:v>4</x:v>
      </x:c>
      <x:c r="D921" s="17" t="str">
        <x:v>数据查询 1/1</x:v>
      </x:c>
      <x:c r="E921" s="17" t="str">
        <x:v>21718.56</x:v>
      </x:c>
      <x:c r="F921" s="17" t="str">
        <x:v>22196.48</x:v>
      </x:c>
      <x:c r="G921" s="18" t="n">
        <x:v>477.92</x:v>
      </x:c>
      <x:c r="H921" s="18" t="n">
        <x:f>IFERROR(G921/1000,"")</x:f>
        <x:v>0.47792</x:v>
      </x:c>
      <x:c r="I921" s="19" t="n">
        <x:f>IFERROR(G921/J921,"")</x:f>
        <x:v>0.011951911262960803</x:v>
      </x:c>
      <x:c r="J921" s="17" t="n">
        <x:v>39986.91</x:v>
      </x:c>
      <x:c r="K921" s="17" t="str"/>
      <x:c r="L921" s="17" t="str">
        <x:v>已完成：补查名称包含'科创50'的ETF基金，覆盖更全的结果，取得 4 条记录。</x:v>
      </x:c>
      <x:c r="M921" s="17" t="str"/>
      <x:c r="N921" s="18" t="n">
        <x:v>8078.81</x:v>
      </x:c>
      <x:c r="O921" s="17" t="str">
        <x:v>public_sse_client_estimate</x:v>
      </x:c>
    </x:row>
    <x:row r="922" ht="48" customHeight="1">
      <x:c r="A922" s="17" t="str">
        <x:v>BUS169</x:v>
      </x:c>
      <x:c r="B922" s="17" t="str">
        <x:v>查询科创50ETF基金代码和全称。</x:v>
      </x:c>
      <x:c r="C922" s="17" t="n">
        <x:v>5</x:v>
      </x:c>
      <x:c r="D922" s="17" t="str">
        <x:v>数据查询 1/2</x:v>
      </x:c>
      <x:c r="E922" s="17" t="str">
        <x:v>25330.06</x:v>
      </x:c>
      <x:c r="F922" s="17" t="str">
        <x:v>25789.5</x:v>
      </x:c>
      <x:c r="G922" s="18" t="n">
        <x:v>459.44</x:v>
      </x:c>
      <x:c r="H922" s="18" t="n">
        <x:f>IFERROR(G922/1000,"")</x:f>
        <x:v>0.45944</x:v>
      </x:c>
      <x:c r="I922" s="19" t="n">
        <x:f>IFERROR(G922/J922,"")</x:f>
        <x:v>0.011489760023967843</x:v>
      </x:c>
      <x:c r="J922" s="17" t="n">
        <x:v>39986.91</x:v>
      </x:c>
      <x:c r="K922" s="17" t="str"/>
      <x:c r="L922" s="17" t="str">
        <x:v>已完成：查询简称精确为'科创50ETF'的基金，当前条件下没有匹配记录。</x:v>
      </x:c>
      <x:c r="M922" s="17" t="str"/>
      <x:c r="N922" s="18" t="n">
        <x:v>3133.58</x:v>
      </x:c>
      <x:c r="O922" s="17" t="str">
        <x:v>public_sse_client_estimate</x:v>
      </x:c>
    </x:row>
    <x:row r="923" ht="48" customHeight="1">
      <x:c r="A923" s="17" t="str">
        <x:v>BUS169</x:v>
      </x:c>
      <x:c r="B923" s="17" t="str">
        <x:v>查询科创50ETF基金代码和全称。</x:v>
      </x:c>
      <x:c r="C923" s="17" t="n">
        <x:v>6</x:v>
      </x:c>
      <x:c r="D923" s="17" t="str">
        <x:v>数据查询 2/2</x:v>
      </x:c>
      <x:c r="E923" s="17" t="str">
        <x:v>25791.42</x:v>
      </x:c>
      <x:c r="F923" s="17" t="str">
        <x:v>26371.91</x:v>
      </x:c>
      <x:c r="G923" s="18" t="n">
        <x:v>580.49</x:v>
      </x:c>
      <x:c r="H923" s="18" t="n">
        <x:f>IFERROR(G923/1000,"")</x:f>
        <x:v>0.5804900000000001</x:v>
      </x:c>
      <x:c r="I923" s="19" t="n">
        <x:f>IFERROR(G923/J923,"")</x:f>
        <x:v>0.014517000688475303</x:v>
      </x:c>
      <x:c r="J923" s="17" t="n">
        <x:v>39986.91</x:v>
      </x:c>
      <x:c r="K923" s="17" t="str"/>
      <x:c r="L923" s="17" t="str">
        <x:v>已完成：查询代码为588000的基金基础信息，取得 1 条记录。</x:v>
      </x:c>
      <x:c r="M923" s="17" t="str"/>
      <x:c r="N923" s="18" t="n">
        <x:v>1.92</x:v>
      </x:c>
      <x:c r="O923" s="17" t="str">
        <x:v>public_sse_client_estimate</x:v>
      </x:c>
    </x:row>
    <x:row r="924" ht="48" customHeight="1">
      <x:c r="A924" s="17" t="str">
        <x:v>BUS169</x:v>
      </x:c>
      <x:c r="B924" s="17" t="str">
        <x:v>查询科创50ETF基金代码和全称。</x:v>
      </x:c>
      <x:c r="C924" s="17" t="n">
        <x:v>7</x:v>
      </x:c>
      <x:c r="D924" s="17" t="str">
        <x:v>回答整理</x:v>
      </x:c>
      <x:c r="E924" s="17" t="str">
        <x:v>26371.91</x:v>
      </x:c>
      <x:c r="F924" s="17" t="str">
        <x:v>31501.05</x:v>
      </x:c>
      <x:c r="G924" s="18" t="n">
        <x:v>5129.14</x:v>
      </x:c>
      <x:c r="H924" s="18" t="n">
        <x:f>IFERROR(G924/1000,"")</x:f>
        <x:v>5.1291400000000005</x:v>
      </x:c>
      <x:c r="I924" s="19" t="n">
        <x:f>IFERROR(G924/J924,"")</x:f>
        <x:v>0.128270476513439</x:v>
      </x:c>
      <x:c r="J924" s="17" t="n">
        <x:v>39986.91</x:v>
      </x:c>
      <x:c r="K924" s="17" t="str"/>
      <x:c r="L924" s="17" t="str">
        <x:v>证据与回答已整理完成。</x:v>
      </x:c>
      <x:c r="M924" s="17" t="str"/>
      <x:c r="N924" s="18" t="n">
        <x:v>0</x:v>
      </x:c>
      <x:c r="O924" s="17" t="str">
        <x:v>public_sse_client_estimate</x:v>
      </x:c>
    </x:row>
    <x:row r="925" ht="48" customHeight="1">
      <x:c r="A925" s="17" t="str">
        <x:v>BUS170</x:v>
      </x:c>
      <x:c r="B925" s="17" t="str">
        <x:v>查询名称包含创业板的基金。</x:v>
      </x:c>
      <x:c r="C925" s="17" t="n">
        <x:v>1</x:v>
      </x:c>
      <x:c r="D925" s="17" t="str">
        <x:v>问题理解</x:v>
      </x:c>
      <x:c r="E925" s="17" t="str">
        <x:v>7412.24</x:v>
      </x:c>
      <x:c r="F925" s="17" t="str">
        <x:v>11654.01</x:v>
      </x:c>
      <x:c r="G925" s="18" t="n">
        <x:v>4241.77</x:v>
      </x:c>
      <x:c r="H925" s="18" t="n">
        <x:f>IFERROR(G925/1000,"")</x:f>
        <x:v>4.241770000000001</x:v>
      </x:c>
      <x:c r="I925" s="19" t="n">
        <x:f>IFERROR(G925/J925,"")</x:f>
        <x:v>0.1294442415093004</x:v>
      </x:c>
      <x:c r="J925" s="17" t="n">
        <x:v>32769.09</x:v>
      </x:c>
      <x:c r="K925" s="17" t="str"/>
      <x:c r="L925" s="17" t="str">
        <x:v>已明确本题的对象与口径，开始获取所需证据。</x:v>
      </x:c>
      <x:c r="M925" s="17" t="str"/>
      <x:c r="N925" s="18" t="n">
        <x:v>7412.24</x:v>
      </x:c>
      <x:c r="O925" s="17" t="str">
        <x:v>public_sse_client_estimate</x:v>
      </x:c>
    </x:row>
    <x:row r="926" ht="48" customHeight="1">
      <x:c r="A926" s="17" t="str">
        <x:v>BUS170</x:v>
      </x:c>
      <x:c r="B926" s="17" t="str">
        <x:v>查询名称包含创业板的基金。</x:v>
      </x:c>
      <x:c r="C926" s="17" t="n">
        <x:v>2</x:v>
      </x:c>
      <x:c r="D926" s="17" t="str">
        <x:v>数据口径</x:v>
      </x:c>
      <x:c r="E926" s="17" t="str">
        <x:v>11654.01</x:v>
      </x:c>
      <x:c r="F926" s="17" t="str">
        <x:v>11743.41</x:v>
      </x:c>
      <x:c r="G926" s="18" t="n">
        <x:v>89.4</x:v>
      </x:c>
      <x:c r="H926" s="18" t="n">
        <x:f>IFERROR(G926/1000,"")</x:f>
        <x:v>0.08940000000000001</x:v>
      </x:c>
      <x:c r="I926" s="19" t="n">
        <x:f>IFERROR(G926/J926,"")</x:f>
        <x:v>0.0027281807337341383</x:v>
      </x:c>
      <x:c r="J926" s="17" t="n">
        <x:v>32769.09</x:v>
      </x:c>
      <x:c r="K926" s="17" t="str"/>
      <x:c r="L926" s="17" t="str">
        <x:v>已定位基金基础信息视图，并确认了可用字段与时间口径。</x:v>
      </x:c>
      <x:c r="M926" s="17" t="str"/>
      <x:c r="N926" s="18" t="n">
        <x:v>0</x:v>
      </x:c>
      <x:c r="O926" s="17" t="str">
        <x:v>public_sse_client_estimate</x:v>
      </x:c>
    </x:row>
    <x:row r="927" ht="48" customHeight="1">
      <x:c r="A927" s="17" t="str">
        <x:v>BUS170</x:v>
      </x:c>
      <x:c r="B927" s="17" t="str">
        <x:v>查询名称包含创业板的基金。</x:v>
      </x:c>
      <x:c r="C927" s="17" t="n">
        <x:v>3</x:v>
      </x:c>
      <x:c r="D927" s="17" t="str">
        <x:v>数据查询 1/1</x:v>
      </x:c>
      <x:c r="E927" s="17" t="str">
        <x:v>15198.95</x:v>
      </x:c>
      <x:c r="F927" s="17" t="str">
        <x:v>15877.65</x:v>
      </x:c>
      <x:c r="G927" s="18" t="n">
        <x:v>678.7</x:v>
      </x:c>
      <x:c r="H927" s="18" t="n">
        <x:f>IFERROR(G927/1000,"")</x:f>
        <x:v>0.6787000000000001</x:v>
      </x:c>
      <x:c r="I927" s="19" t="n">
        <x:f>IFERROR(G927/J927,"")</x:f>
        <x:v>0.02071159131974675</x:v>
      </x:c>
      <x:c r="J927" s="17" t="n">
        <x:v>32769.09</x:v>
      </x:c>
      <x:c r="K927" s="17" t="str"/>
      <x:c r="L927" s="17" t="str">
        <x:v>已完成：查询名称包含'创业板'的基金代码和简称，取得 50 条记录。</x:v>
      </x:c>
      <x:c r="M927" s="17" t="str"/>
      <x:c r="N927" s="18" t="n">
        <x:v>3455.54</x:v>
      </x:c>
      <x:c r="O927" s="17" t="str">
        <x:v>public_sse_client_estimate</x:v>
      </x:c>
    </x:row>
    <x:row r="928" ht="48" customHeight="1">
      <x:c r="A928" s="17" t="str">
        <x:v>BUS170</x:v>
      </x:c>
      <x:c r="B928" s="17" t="str">
        <x:v>查询名称包含创业板的基金。</x:v>
      </x:c>
      <x:c r="C928" s="17" t="n">
        <x:v>4</x:v>
      </x:c>
      <x:c r="D928" s="17" t="str">
        <x:v>回答整理</x:v>
      </x:c>
      <x:c r="E928" s="17" t="str">
        <x:v>15877.65</x:v>
      </x:c>
      <x:c r="F928" s="17" t="str">
        <x:v>29347.71</x:v>
      </x:c>
      <x:c r="G928" s="18" t="n">
        <x:v>13470.06</x:v>
      </x:c>
      <x:c r="H928" s="18" t="n">
        <x:f>IFERROR(G928/1000,"")</x:f>
        <x:v>13.47006</x:v>
      </x:c>
      <x:c r="I928" s="19" t="n">
        <x:f>IFERROR(G928/J928,"")</x:f>
        <x:v>0.41105993483493136</x:v>
      </x:c>
      <x:c r="J928" s="17" t="n">
        <x:v>32769.09</x:v>
      </x:c>
      <x:c r="K928" s="17" t="str"/>
      <x:c r="L928" s="17" t="str">
        <x:v>证据与回答已整理完成。</x:v>
      </x:c>
      <x:c r="M928" s="17" t="str"/>
      <x:c r="N928" s="18" t="n">
        <x:v>0</x:v>
      </x:c>
      <x:c r="O928" s="17" t="str">
        <x:v>public_sse_client_estimate</x:v>
      </x:c>
    </x:row>
    <x:row r="929" ht="48" customHeight="1">
      <x:c r="A929" s="17" t="str">
        <x:v>BUS171</x:v>
      </x:c>
      <x:c r="B929" s="17" t="str">
        <x:v>沪深300ETF当前价格、涨跌幅和成交额是多少？</x:v>
      </x:c>
      <x:c r="C929" s="17" t="n">
        <x:v>1</x:v>
      </x:c>
      <x:c r="D929" s="17" t="str">
        <x:v>问题理解</x:v>
      </x:c>
      <x:c r="E929" s="17" t="str">
        <x:v>5889.51</x:v>
      </x:c>
      <x:c r="F929" s="17" t="str">
        <x:v>8964.1</x:v>
      </x:c>
      <x:c r="G929" s="18" t="n">
        <x:v>3074.59</x:v>
      </x:c>
      <x:c r="H929" s="18" t="n">
        <x:f>IFERROR(G929/1000,"")</x:f>
        <x:v>3.07459</x:v>
      </x:c>
      <x:c r="I929" s="19" t="n">
        <x:f>IFERROR(G929/J929,"")</x:f>
        <x:v>0.08743873850738237</x:v>
      </x:c>
      <x:c r="J929" s="17" t="n">
        <x:v>35162.79</x:v>
      </x:c>
      <x:c r="K929" s="17" t="str"/>
      <x:c r="L929" s="17" t="str">
        <x:v>已明确本题的对象与口径，开始获取所需证据。</x:v>
      </x:c>
      <x:c r="M929" s="17" t="str"/>
      <x:c r="N929" s="18" t="n">
        <x:v>5889.51</x:v>
      </x:c>
      <x:c r="O929" s="17" t="str">
        <x:v>public_sse_client_estimate</x:v>
      </x:c>
    </x:row>
    <x:row r="930" ht="48" customHeight="1">
      <x:c r="A930" s="17" t="str">
        <x:v>BUS171</x:v>
      </x:c>
      <x:c r="B930" s="17" t="str">
        <x:v>沪深300ETF当前价格、涨跌幅和成交额是多少？</x:v>
      </x:c>
      <x:c r="C930" s="17" t="n">
        <x:v>2</x:v>
      </x:c>
      <x:c r="D930" s="17" t="str">
        <x:v>数据口径</x:v>
      </x:c>
      <x:c r="E930" s="17" t="str">
        <x:v>8964.1</x:v>
      </x:c>
      <x:c r="F930" s="17" t="str">
        <x:v>9387.23</x:v>
      </x:c>
      <x:c r="G930" s="18" t="n">
        <x:v>423.13</x:v>
      </x:c>
      <x:c r="H930" s="18" t="n">
        <x:f>IFERROR(G930/1000,"")</x:f>
        <x:v>0.42313</x:v>
      </x:c>
      <x:c r="I930" s="19" t="n">
        <x:f>IFERROR(G930/J930,"")</x:f>
        <x:v>0.012033459233468106</x:v>
      </x:c>
      <x:c r="J930" s="17" t="n">
        <x:v>35162.79</x:v>
      </x:c>
      <x:c r="K930" s="17" t="str"/>
      <x:c r="L930" s="17" t="str">
        <x:v>已定位基金行情视图，并确认了可用字段与时间口径。</x:v>
      </x:c>
      <x:c r="M930" s="17" t="str"/>
      <x:c r="N930" s="18" t="n">
        <x:v>0</x:v>
      </x:c>
      <x:c r="O930" s="17" t="str">
        <x:v>public_sse_client_estimate</x:v>
      </x:c>
    </x:row>
    <x:row r="931" ht="48" customHeight="1">
      <x:c r="A931" s="17" t="str">
        <x:v>BUS171</x:v>
      </x:c>
      <x:c r="B931" s="17" t="str">
        <x:v>沪深300ETF当前价格、涨跌幅和成交额是多少？</x:v>
      </x:c>
      <x:c r="C931" s="17" t="n">
        <x:v>3</x:v>
      </x:c>
      <x:c r="D931" s="17" t="str">
        <x:v>数据查询 1/1</x:v>
      </x:c>
      <x:c r="E931" s="17" t="str">
        <x:v>13426.8</x:v>
      </x:c>
      <x:c r="F931" s="17" t="str">
        <x:v>13997.72</x:v>
      </x:c>
      <x:c r="G931" s="18" t="n">
        <x:v>570.92</x:v>
      </x:c>
      <x:c r="H931" s="18" t="n">
        <x:f>IFERROR(G931/1000,"")</x:f>
        <x:v>0.57092</x:v>
      </x:c>
      <x:c r="I931" s="19" t="n">
        <x:f>IFERROR(G931/J931,"")</x:f>
        <x:v>0.016236481803633896</x:v>
      </x:c>
      <x:c r="J931" s="17" t="n">
        <x:v>35162.79</x:v>
      </x:c>
      <x:c r="K931" s="17" t="str"/>
      <x:c r="L931" s="17" t="str">
        <x:v>已完成：查询沪深300ETF的行情数据：最新价、涨跌幅、成交额，取得 3 条记录。</x:v>
      </x:c>
      <x:c r="M931" s="17" t="str"/>
      <x:c r="N931" s="18" t="n">
        <x:v>4039.57</x:v>
      </x:c>
      <x:c r="O931" s="17" t="str">
        <x:v>public_sse_client_estimate</x:v>
      </x:c>
    </x:row>
    <x:row r="932" ht="48" customHeight="1">
      <x:c r="A932" s="17" t="str">
        <x:v>BUS171</x:v>
      </x:c>
      <x:c r="B932" s="17" t="str">
        <x:v>沪深300ETF当前价格、涨跌幅和成交额是多少？</x:v>
      </x:c>
      <x:c r="C932" s="17" t="n">
        <x:v>4</x:v>
      </x:c>
      <x:c r="D932" s="17" t="str">
        <x:v>数据查询 1/1</x:v>
      </x:c>
      <x:c r="E932" s="17" t="str">
        <x:v>18198.07</x:v>
      </x:c>
      <x:c r="F932" s="17" t="str">
        <x:v>18794.38</x:v>
      </x:c>
      <x:c r="G932" s="18" t="n">
        <x:v>596.31</x:v>
      </x:c>
      <x:c r="H932" s="18" t="n">
        <x:f>IFERROR(G932/1000,"")</x:f>
        <x:v>0.5963099999999999</x:v>
      </x:c>
      <x:c r="I932" s="19" t="n">
        <x:f>IFERROR(G932/J932,"")</x:f>
        <x:v>0.01695855192378079</x:v>
      </x:c>
      <x:c r="J932" s="17" t="n">
        <x:v>35162.79</x:v>
      </x:c>
      <x:c r="K932" s="17" t="str"/>
      <x:c r="L932" s="17" t="str">
        <x:v>已完成：查询沪深300ETF的行情数据：最新价、涨跌幅、成交额，取得 5 条记录。</x:v>
      </x:c>
      <x:c r="M932" s="17" t="str"/>
      <x:c r="N932" s="18" t="n">
        <x:v>4200.35</x:v>
      </x:c>
      <x:c r="O932" s="17" t="str">
        <x:v>public_sse_client_estimate</x:v>
      </x:c>
    </x:row>
    <x:row r="933" ht="48" customHeight="1">
      <x:c r="A933" s="17" t="str">
        <x:v>BUS171</x:v>
      </x:c>
      <x:c r="B933" s="17" t="str">
        <x:v>沪深300ETF当前价格、涨跌幅和成交额是多少？</x:v>
      </x:c>
      <x:c r="C933" s="17" t="n">
        <x:v>5</x:v>
      </x:c>
      <x:c r="D933" s="17" t="str">
        <x:v>数据查询 1/1</x:v>
      </x:c>
      <x:c r="E933" s="17" t="str">
        <x:v>25358.96</x:v>
      </x:c>
      <x:c r="F933" s="17" t="str">
        <x:v>25910</x:v>
      </x:c>
      <x:c r="G933" s="18" t="n">
        <x:v>551.04</x:v>
      </x:c>
      <x:c r="H933" s="18" t="n">
        <x:f>IFERROR(G933/1000,"")</x:f>
        <x:v>0.55104</x:v>
      </x:c>
      <x:c r="I933" s="19" t="n">
        <x:f>IFERROR(G933/J933,"")</x:f>
        <x:v>0.01567111142204586</x:v>
      </x:c>
      <x:c r="J933" s="17" t="n">
        <x:v>35162.79</x:v>
      </x:c>
      <x:c r="K933" s="17" t="str"/>
      <x:c r="L933" s="17" t="str">
        <x:v>已完成：查询主要沪深300ETF的实时行情：价格、涨跌幅、成交额，取得 3 条记录。</x:v>
      </x:c>
      <x:c r="M933" s="17" t="str"/>
      <x:c r="N933" s="18" t="n">
        <x:v>6564.58</x:v>
      </x:c>
      <x:c r="O933" s="17" t="str">
        <x:v>public_sse_client_estimate</x:v>
      </x:c>
    </x:row>
    <x:row r="934" ht="48" customHeight="1">
      <x:c r="A934" s="17" t="str">
        <x:v>BUS171</x:v>
      </x:c>
      <x:c r="B934" s="17" t="str">
        <x:v>沪深300ETF当前价格、涨跌幅和成交额是多少？</x:v>
      </x:c>
      <x:c r="C934" s="17" t="n">
        <x:v>6</x:v>
      </x:c>
      <x:c r="D934" s="17" t="str">
        <x:v>回答整理</x:v>
      </x:c>
      <x:c r="E934" s="17" t="str">
        <x:v>25910</x:v>
      </x:c>
      <x:c r="F934" s="17" t="str">
        <x:v>31100.23</x:v>
      </x:c>
      <x:c r="G934" s="18" t="n">
        <x:v>5190.23</x:v>
      </x:c>
      <x:c r="H934" s="18" t="n">
        <x:f>IFERROR(G934/1000,"")</x:f>
        <x:v>5.19023</x:v>
      </x:c>
      <x:c r="I934" s="19" t="n">
        <x:f>IFERROR(G934/J934,"")</x:f>
        <x:v>0.14760575028318285</x:v>
      </x:c>
      <x:c r="J934" s="17" t="n">
        <x:v>35162.79</x:v>
      </x:c>
      <x:c r="K934" s="17" t="str"/>
      <x:c r="L934" s="17" t="str">
        <x:v>证据与回答已整理完成。</x:v>
      </x:c>
      <x:c r="M934" s="17" t="str"/>
      <x:c r="N934" s="18" t="n">
        <x:v>0</x:v>
      </x:c>
      <x:c r="O934" s="17" t="str">
        <x:v>public_sse_client_estimate</x:v>
      </x:c>
    </x:row>
    <x:row r="935" ht="48" customHeight="1">
      <x:c r="A935" s="17" t="str">
        <x:v>BUS172</x:v>
      </x:c>
      <x:c r="B935" s="17" t="str">
        <x:v>今天涨幅最高的基金前20名。</x:v>
      </x:c>
      <x:c r="C935" s="17" t="n">
        <x:v>1</x:v>
      </x:c>
      <x:c r="D935" s="17" t="str">
        <x:v>问题理解</x:v>
      </x:c>
      <x:c r="E935" s="17" t="str">
        <x:v>9406.72</x:v>
      </x:c>
      <x:c r="F935" s="17" t="str">
        <x:v>13558.4</x:v>
      </x:c>
      <x:c r="G935" s="18" t="n">
        <x:v>4151.68</x:v>
      </x:c>
      <x:c r="H935" s="18" t="n">
        <x:f>IFERROR(G935/1000,"")</x:f>
        <x:v>4.151680000000001</x:v>
      </x:c>
      <x:c r="I935" s="19" t="n">
        <x:f>IFERROR(G935/J935,"")</x:f>
        <x:v>0.09530801415772855</x:v>
      </x:c>
      <x:c r="J935" s="17" t="n">
        <x:v>43560.66</x:v>
      </x:c>
      <x:c r="K935" s="17" t="str"/>
      <x:c r="L935" s="17" t="str">
        <x:v>已明确本题的对象与口径，开始获取所需证据。</x:v>
      </x:c>
      <x:c r="M935" s="17" t="str"/>
      <x:c r="N935" s="18" t="n">
        <x:v>9406.72</x:v>
      </x:c>
      <x:c r="O935" s="17" t="str">
        <x:v>public_sse_client_estimate</x:v>
      </x:c>
    </x:row>
    <x:row r="936" ht="48" customHeight="1">
      <x:c r="A936" s="17" t="str">
        <x:v>BUS172</x:v>
      </x:c>
      <x:c r="B936" s="17" t="str">
        <x:v>今天涨幅最高的基金前20名。</x:v>
      </x:c>
      <x:c r="C936" s="17" t="n">
        <x:v>2</x:v>
      </x:c>
      <x:c r="D936" s="17" t="str">
        <x:v>数据口径</x:v>
      </x:c>
      <x:c r="E936" s="17" t="str">
        <x:v>13558.4</x:v>
      </x:c>
      <x:c r="F936" s="17" t="str">
        <x:v>13793.6</x:v>
      </x:c>
      <x:c r="G936" s="18" t="n">
        <x:v>235.2</x:v>
      </x:c>
      <x:c r="H936" s="18" t="n">
        <x:f>IFERROR(G936/1000,"")</x:f>
        <x:v>0.2352</x:v>
      </x:c>
      <x:c r="I936" s="19" t="n">
        <x:f>IFERROR(G936/J936,"")</x:f>
        <x:v>0.00539936722721832</x:v>
      </x:c>
      <x:c r="J936" s="17" t="n">
        <x:v>43560.66</x:v>
      </x:c>
      <x:c r="K936" s="17" t="str"/>
      <x:c r="L936" s="17" t="str">
        <x:v>已定位基金行情视图，并确认了可用字段与时间口径。</x:v>
      </x:c>
      <x:c r="M936" s="17" t="str"/>
      <x:c r="N936" s="18" t="n">
        <x:v>0</x:v>
      </x:c>
      <x:c r="O936" s="17" t="str">
        <x:v>public_sse_client_estimate</x:v>
      </x:c>
    </x:row>
    <x:row r="937" ht="48" customHeight="1">
      <x:c r="A937" s="17" t="str">
        <x:v>BUS172</x:v>
      </x:c>
      <x:c r="B937" s="17" t="str">
        <x:v>今天涨幅最高的基金前20名。</x:v>
      </x:c>
      <x:c r="C937" s="17" t="n">
        <x:v>3</x:v>
      </x:c>
      <x:c r="D937" s="17" t="str">
        <x:v>数据查询 1/1</x:v>
      </x:c>
      <x:c r="E937" s="17" t="str">
        <x:v>22319.87</x:v>
      </x:c>
      <x:c r="F937" s="17" t="str">
        <x:v>23387.13</x:v>
      </x:c>
      <x:c r="G937" s="18" t="n">
        <x:v>1067.26</x:v>
      </x:c>
      <x:c r="H937" s="18" t="n">
        <x:f>IFERROR(G937/1000,"")</x:f>
        <x:v>1.06726</x:v>
      </x:c>
      <x:c r="I937" s="19" t="n">
        <x:f>IFERROR(G937/J937,"")</x:f>
        <x:v>0.024500547053235646</x:v>
      </x:c>
      <x:c r="J937" s="17" t="n">
        <x:v>43560.66</x:v>
      </x:c>
      <x:c r="K937" s="17" t="str"/>
      <x:c r="L937" s="17" t="str">
        <x:v>已完成：查询今天（最近一个交易日）涨幅最高的基金前20名，取得 20 条记录。</x:v>
      </x:c>
      <x:c r="M937" s="17" t="str"/>
      <x:c r="N937" s="18" t="n">
        <x:v>8526.27</x:v>
      </x:c>
      <x:c r="O937" s="17" t="str">
        <x:v>public_sse_client_estimate</x:v>
      </x:c>
    </x:row>
    <x:row r="938" ht="48" customHeight="1">
      <x:c r="A938" s="17" t="str">
        <x:v>BUS172</x:v>
      </x:c>
      <x:c r="B938" s="17" t="str">
        <x:v>今天涨幅最高的基金前20名。</x:v>
      </x:c>
      <x:c r="C938" s="17" t="n">
        <x:v>4</x:v>
      </x:c>
      <x:c r="D938" s="17" t="str">
        <x:v>回答整理</x:v>
      </x:c>
      <x:c r="E938" s="17" t="str">
        <x:v>23387.13</x:v>
      </x:c>
      <x:c r="F938" s="17" t="str">
        <x:v>34722.92</x:v>
      </x:c>
      <x:c r="G938" s="18" t="n">
        <x:v>11335.79</x:v>
      </x:c>
      <x:c r="H938" s="18" t="n">
        <x:f>IFERROR(G938/1000,"")</x:f>
        <x:v>11.335790000000001</x:v>
      </x:c>
      <x:c r="I938" s="19" t="n">
        <x:f>IFERROR(G938/J938,"")</x:f>
        <x:v>0.260229987332607</x:v>
      </x:c>
      <x:c r="J938" s="17" t="n">
        <x:v>43560.66</x:v>
      </x:c>
      <x:c r="K938" s="17" t="str"/>
      <x:c r="L938" s="17" t="str">
        <x:v>证据与回答已整理完成。</x:v>
      </x:c>
      <x:c r="M938" s="17" t="str"/>
      <x:c r="N938" s="18" t="n">
        <x:v>0</x:v>
      </x:c>
      <x:c r="O938" s="17" t="str">
        <x:v>public_sse_client_estimate</x:v>
      </x:c>
    </x:row>
    <x:row r="939" ht="48" customHeight="1">
      <x:c r="A939" s="17" t="str">
        <x:v>BUS173</x:v>
      </x:c>
      <x:c r="B939" s="17" t="str">
        <x:v>筛选今天成交额超过1亿元且上涨的基金。</x:v>
      </x:c>
      <x:c r="C939" s="17" t="n">
        <x:v>1</x:v>
      </x:c>
      <x:c r="D939" s="17" t="str">
        <x:v>问题理解</x:v>
      </x:c>
      <x:c r="E939" s="17" t="str">
        <x:v>6541.01</x:v>
      </x:c>
      <x:c r="F939" s="17" t="str">
        <x:v>9381.4</x:v>
      </x:c>
      <x:c r="G939" s="18" t="n">
        <x:v>2840.39</x:v>
      </x:c>
      <x:c r="H939" s="18" t="n">
        <x:f>IFERROR(G939/1000,"")</x:f>
        <x:v>2.8403899999999997</x:v>
      </x:c>
      <x:c r="I939" s="19" t="n">
        <x:f>IFERROR(G939/J939,"")</x:f>
        <x:v>0.09722202255651965</x:v>
      </x:c>
      <x:c r="J939" s="17" t="n">
        <x:v>29215.5</x:v>
      </x:c>
      <x:c r="K939" s="17" t="str"/>
      <x:c r="L939" s="17" t="str">
        <x:v>已明确本题的对象与口径，开始获取所需证据。</x:v>
      </x:c>
      <x:c r="M939" s="17" t="str"/>
      <x:c r="N939" s="18" t="n">
        <x:v>6541.01</x:v>
      </x:c>
      <x:c r="O939" s="17" t="str">
        <x:v>public_sse_client_estimate</x:v>
      </x:c>
    </x:row>
    <x:row r="940" ht="48" customHeight="1">
      <x:c r="A940" s="17" t="str">
        <x:v>BUS173</x:v>
      </x:c>
      <x:c r="B940" s="17" t="str">
        <x:v>筛选今天成交额超过1亿元且上涨的基金。</x:v>
      </x:c>
      <x:c r="C940" s="17" t="n">
        <x:v>2</x:v>
      </x:c>
      <x:c r="D940" s="17" t="str">
        <x:v>数据口径</x:v>
      </x:c>
      <x:c r="E940" s="17" t="str">
        <x:v>9381.4</x:v>
      </x:c>
      <x:c r="F940" s="17" t="str">
        <x:v>9410.96</x:v>
      </x:c>
      <x:c r="G940" s="18" t="n">
        <x:v>29.56</x:v>
      </x:c>
      <x:c r="H940" s="18" t="n">
        <x:f>IFERROR(G940/1000,"")</x:f>
        <x:v>0.02956</x:v>
      </x:c>
      <x:c r="I940" s="19" t="n">
        <x:f>IFERROR(G940/J940,"")</x:f>
        <x:v>0.001011791685920145</x:v>
      </x:c>
      <x:c r="J940" s="17" t="n">
        <x:v>29215.5</x:v>
      </x:c>
      <x:c r="K940" s="17" t="str"/>
      <x:c r="L940" s="17" t="str">
        <x:v>已定位基金行情视图，并确认了可用字段与时间口径。</x:v>
      </x:c>
      <x:c r="M940" s="17" t="str"/>
      <x:c r="N940" s="18" t="n">
        <x:v>0</x:v>
      </x:c>
      <x:c r="O940" s="17" t="str">
        <x:v>public_sse_client_estimate</x:v>
      </x:c>
    </x:row>
    <x:row r="941" ht="48" customHeight="1">
      <x:c r="A941" s="17" t="str">
        <x:v>BUS173</x:v>
      </x:c>
      <x:c r="B941" s="17" t="str">
        <x:v>筛选今天成交额超过1亿元且上涨的基金。</x:v>
      </x:c>
      <x:c r="C941" s="17" t="n">
        <x:v>3</x:v>
      </x:c>
      <x:c r="D941" s="17" t="str">
        <x:v>数据查询 1/1</x:v>
      </x:c>
      <x:c r="E941" s="17" t="str">
        <x:v>16287.82</x:v>
      </x:c>
      <x:c r="F941" s="17" t="str">
        <x:v>16919.73</x:v>
      </x:c>
      <x:c r="G941" s="18" t="n">
        <x:v>631.91</x:v>
      </x:c>
      <x:c r="H941" s="18" t="n">
        <x:f>IFERROR(G941/1000,"")</x:f>
        <x:v>0.63191</x:v>
      </x:c>
      <x:c r="I941" s="19" t="n">
        <x:f>IFERROR(G941/J941,"")</x:f>
        <x:v>0.021629272132943127</x:v>
      </x:c>
      <x:c r="J941" s="17" t="n">
        <x:v>29215.5</x:v>
      </x:c>
      <x:c r="K941" s="17" t="str"/>
      <x:c r="L941" s="17" t="str">
        <x:v>已完成：查询上一个交易日成交额超过1亿元且上涨的基金，取得 50 条记录。</x:v>
      </x:c>
      <x:c r="M941" s="17" t="str"/>
      <x:c r="N941" s="18" t="n">
        <x:v>6876.86</x:v>
      </x:c>
      <x:c r="O941" s="17" t="str">
        <x:v>public_sse_client_estimate</x:v>
      </x:c>
    </x:row>
    <x:row r="942" ht="48" customHeight="1">
      <x:c r="A942" s="17" t="str">
        <x:v>BUS173</x:v>
      </x:c>
      <x:c r="B942" s="17" t="str">
        <x:v>筛选今天成交额超过1亿元且上涨的基金。</x:v>
      </x:c>
      <x:c r="C942" s="17" t="n">
        <x:v>4</x:v>
      </x:c>
      <x:c r="D942" s="17" t="str">
        <x:v>回答整理</x:v>
      </x:c>
      <x:c r="E942" s="17" t="str">
        <x:v>16919.73</x:v>
      </x:c>
      <x:c r="F942" s="17" t="str">
        <x:v>25742.61</x:v>
      </x:c>
      <x:c r="G942" s="18" t="n">
        <x:v>8822.88</x:v>
      </x:c>
      <x:c r="H942" s="18" t="n">
        <x:f>IFERROR(G942/1000,"")</x:f>
        <x:v>8.82288</x:v>
      </x:c>
      <x:c r="I942" s="19" t="n">
        <x:f>IFERROR(G942/J942,"")</x:f>
        <x:v>0.30199312009036294</x:v>
      </x:c>
      <x:c r="J942" s="17" t="n">
        <x:v>29215.5</x:v>
      </x:c>
      <x:c r="K942" s="17" t="str"/>
      <x:c r="L942" s="17" t="str">
        <x:v>证据与回答已整理完成。</x:v>
      </x:c>
      <x:c r="M942" s="17" t="str"/>
      <x:c r="N942" s="18" t="n">
        <x:v>0</x:v>
      </x:c>
      <x:c r="O942" s="17" t="str">
        <x:v>public_sse_client_estimate</x:v>
      </x:c>
    </x:row>
    <x:row r="943" ht="48" customHeight="1">
      <x:c r="A943" s="17" t="str">
        <x:v>BUS174</x:v>
      </x:c>
      <x:c r="B943" s="17" t="str">
        <x:v>查询创业板ETF最近10个交易日收盘价和涨跌幅。</x:v>
      </x:c>
      <x:c r="C943" s="17" t="n">
        <x:v>1</x:v>
      </x:c>
      <x:c r="D943" s="17" t="str">
        <x:v>问题理解</x:v>
      </x:c>
      <x:c r="E943" s="17" t="str">
        <x:v>7889.19</x:v>
      </x:c>
      <x:c r="F943" s="17" t="str">
        <x:v>12356.46</x:v>
      </x:c>
      <x:c r="G943" s="18" t="n">
        <x:v>4467.27</x:v>
      </x:c>
      <x:c r="H943" s="18" t="n">
        <x:f>IFERROR(G943/1000,"")</x:f>
        <x:v>4.46727</x:v>
      </x:c>
      <x:c r="I943" s="19" t="n">
        <x:f>IFERROR(G943/J943,"")</x:f>
        <x:v>0.15459206184692956</x:v>
      </x:c>
      <x:c r="J943" s="17" t="n">
        <x:v>28897.15</x:v>
      </x:c>
      <x:c r="K943" s="17" t="str"/>
      <x:c r="L943" s="17" t="str">
        <x:v>已明确本题的对象与口径，开始获取所需证据。</x:v>
      </x:c>
      <x:c r="M943" s="17" t="str"/>
      <x:c r="N943" s="18" t="n">
        <x:v>7889.19</x:v>
      </x:c>
      <x:c r="O943" s="17" t="str">
        <x:v>public_sse_client_estimate</x:v>
      </x:c>
    </x:row>
    <x:row r="944" ht="48" customHeight="1">
      <x:c r="A944" s="17" t="str">
        <x:v>BUS174</x:v>
      </x:c>
      <x:c r="B944" s="17" t="str">
        <x:v>查询创业板ETF最近10个交易日收盘价和涨跌幅。</x:v>
      </x:c>
      <x:c r="C944" s="17" t="n">
        <x:v>2</x:v>
      </x:c>
      <x:c r="D944" s="17" t="str">
        <x:v>数据口径</x:v>
      </x:c>
      <x:c r="E944" s="17" t="str">
        <x:v>12356.46</x:v>
      </x:c>
      <x:c r="F944" s="17" t="str">
        <x:v>12435.18</x:v>
      </x:c>
      <x:c r="G944" s="18" t="n">
        <x:v>78.72</x:v>
      </x:c>
      <x:c r="H944" s="18" t="n">
        <x:f>IFERROR(G944/1000,"")</x:f>
        <x:v>0.07872</x:v>
      </x:c>
      <x:c r="I944" s="19" t="n">
        <x:f>IFERROR(G944/J944,"")</x:f>
        <x:v>0.002724144076491972</x:v>
      </x:c>
      <x:c r="J944" s="17" t="n">
        <x:v>28897.15</x:v>
      </x:c>
      <x:c r="K944" s="17" t="str"/>
      <x:c r="L944" s="17" t="str">
        <x:v>已定位基金行情视图，并确认了可用字段与时间口径。</x:v>
      </x:c>
      <x:c r="M944" s="17" t="str"/>
      <x:c r="N944" s="18" t="n">
        <x:v>0</x:v>
      </x:c>
      <x:c r="O944" s="17" t="str">
        <x:v>public_sse_client_estimate</x:v>
      </x:c>
    </x:row>
    <x:row r="945" ht="48" customHeight="1">
      <x:c r="A945" s="17" t="str">
        <x:v>BUS174</x:v>
      </x:c>
      <x:c r="B945" s="17" t="str">
        <x:v>查询创业板ETF最近10个交易日收盘价和涨跌幅。</x:v>
      </x:c>
      <x:c r="C945" s="17" t="n">
        <x:v>3</x:v>
      </x:c>
      <x:c r="D945" s="17" t="str">
        <x:v>数据查询 1/1</x:v>
      </x:c>
      <x:c r="E945" s="17" t="str">
        <x:v>18015.73</x:v>
      </x:c>
      <x:c r="F945" s="17" t="str">
        <x:v>18668.27</x:v>
      </x:c>
      <x:c r="G945" s="18" t="n">
        <x:v>652.54</x:v>
      </x:c>
      <x:c r="H945" s="18" t="n">
        <x:f>IFERROR(G945/1000,"")</x:f>
        <x:v>0.65254</x:v>
      </x:c>
      <x:c r="I945" s="19" t="n">
        <x:f>IFERROR(G945/J945,"")</x:f>
        <x:v>0.02258146564626615</x:v>
      </x:c>
      <x:c r="J945" s="17" t="n">
        <x:v>28897.15</x:v>
      </x:c>
      <x:c r="K945" s="17" t="str"/>
      <x:c r="L945" s="17" t="str">
        <x:v>已完成：获取创业板ETF最近10个交易日的收盘价和涨跌幅，取得 10 条记录。</x:v>
      </x:c>
      <x:c r="M945" s="17" t="str"/>
      <x:c r="N945" s="18" t="n">
        <x:v>5580.55</x:v>
      </x:c>
      <x:c r="O945" s="17" t="str">
        <x:v>public_sse_client_estimate</x:v>
      </x:c>
    </x:row>
    <x:row r="946" ht="48" customHeight="1">
      <x:c r="A946" s="17" t="str">
        <x:v>BUS174</x:v>
      </x:c>
      <x:c r="B946" s="17" t="str">
        <x:v>查询创业板ETF最近10个交易日收盘价和涨跌幅。</x:v>
      </x:c>
      <x:c r="C946" s="17" t="n">
        <x:v>4</x:v>
      </x:c>
      <x:c r="D946" s="17" t="str">
        <x:v>回答整理</x:v>
      </x:c>
      <x:c r="E946" s="17" t="str">
        <x:v>18668.27</x:v>
      </x:c>
      <x:c r="F946" s="17" t="str">
        <x:v>26403.5</x:v>
      </x:c>
      <x:c r="G946" s="18" t="n">
        <x:v>7735.23</x:v>
      </x:c>
      <x:c r="H946" s="18" t="n">
        <x:f>IFERROR(G946/1000,"")</x:f>
        <x:v>7.73523</x:v>
      </x:c>
      <x:c r="I946" s="19" t="n">
        <x:f>IFERROR(G946/J946,"")</x:f>
        <x:v>0.2676814149492251</x:v>
      </x:c>
      <x:c r="J946" s="17" t="n">
        <x:v>28897.15</x:v>
      </x:c>
      <x:c r="K946" s="17" t="str"/>
      <x:c r="L946" s="17" t="str">
        <x:v>证据与回答已整理完成。</x:v>
      </x:c>
      <x:c r="M946" s="17" t="str"/>
      <x:c r="N946" s="18" t="n">
        <x:v>0</x:v>
      </x:c>
      <x:c r="O946" s="17" t="str">
        <x:v>public_sse_client_estimate</x:v>
      </x:c>
    </x:row>
    <x:row r="947" ht="48" customHeight="1">
      <x:c r="A947" s="17" t="str">
        <x:v>BUS176</x:v>
      </x:c>
      <x:c r="B947" s="17" t="str">
        <x:v>过去20个交易日累计涨幅最高的基金前10名。</x:v>
      </x:c>
      <x:c r="C947" s="17" t="n">
        <x:v>1</x:v>
      </x:c>
      <x:c r="D947" s="17" t="str">
        <x:v>问题理解</x:v>
      </x:c>
      <x:c r="E947" s="17" t="str">
        <x:v>5458.94</x:v>
      </x:c>
      <x:c r="F947" s="17" t="str">
        <x:v>8854.92</x:v>
      </x:c>
      <x:c r="G947" s="18" t="n">
        <x:v>3395.98</x:v>
      </x:c>
      <x:c r="H947" s="18" t="n">
        <x:f>IFERROR(G947/1000,"")</x:f>
        <x:v>3.39598</x:v>
      </x:c>
      <x:c r="I947" s="19" t="n">
        <x:f>IFERROR(G947/J947,"")</x:f>
        <x:v>0.12104843676928516</x:v>
      </x:c>
      <x:c r="J947" s="17" t="n">
        <x:v>28054.72</x:v>
      </x:c>
      <x:c r="K947" s="17" t="str"/>
      <x:c r="L947" s="17" t="str">
        <x:v>已明确本题的对象与口径，开始获取所需证据。</x:v>
      </x:c>
      <x:c r="M947" s="17" t="str"/>
      <x:c r="N947" s="18" t="n">
        <x:v>5458.94</x:v>
      </x:c>
      <x:c r="O947" s="17" t="str">
        <x:v>public_sse_client_estimate</x:v>
      </x:c>
    </x:row>
    <x:row r="948" ht="48" customHeight="1">
      <x:c r="A948" s="17" t="str">
        <x:v>BUS176</x:v>
      </x:c>
      <x:c r="B948" s="17" t="str">
        <x:v>过去20个交易日累计涨幅最高的基金前10名。</x:v>
      </x:c>
      <x:c r="C948" s="17" t="n">
        <x:v>2</x:v>
      </x:c>
      <x:c r="D948" s="17" t="str">
        <x:v>数据口径</x:v>
      </x:c>
      <x:c r="E948" s="17" t="str">
        <x:v>8854.92</x:v>
      </x:c>
      <x:c r="F948" s="17" t="str">
        <x:v>8893.42</x:v>
      </x:c>
      <x:c r="G948" s="18" t="n">
        <x:v>38.5</x:v>
      </x:c>
      <x:c r="H948" s="18" t="n">
        <x:f>IFERROR(G948/1000,"")</x:f>
        <x:v>0.0385</x:v>
      </x:c>
      <x:c r="I948" s="19" t="n">
        <x:f>IFERROR(G948/J948,"")</x:f>
        <x:v>0.0013723180983449487</x:v>
      </x:c>
      <x:c r="J948" s="17" t="n">
        <x:v>28054.72</x:v>
      </x:c>
      <x:c r="K948" s="17" t="str"/>
      <x:c r="L948" s="17" t="str">
        <x:v>已定位基金行情视图，并确认了可用字段与时间口径。</x:v>
      </x:c>
      <x:c r="M948" s="17" t="str"/>
      <x:c r="N948" s="18" t="n">
        <x:v>0</x:v>
      </x:c>
      <x:c r="O948" s="17" t="str">
        <x:v>public_sse_client_estimate</x:v>
      </x:c>
    </x:row>
    <x:row r="949" ht="48" customHeight="1">
      <x:c r="A949" s="17" t="str">
        <x:v>BUS176</x:v>
      </x:c>
      <x:c r="B949" s="17" t="str">
        <x:v>过去20个交易日累计涨幅最高的基金前10名。</x:v>
      </x:c>
      <x:c r="C949" s="17" t="n">
        <x:v>3</x:v>
      </x:c>
      <x:c r="D949" s="17" t="str">
        <x:v>数据查询 1/1</x:v>
      </x:c>
      <x:c r="E949" s="17" t="str">
        <x:v>13750.52</x:v>
      </x:c>
      <x:c r="F949" s="17" t="str">
        <x:v>15391.93</x:v>
      </x:c>
      <x:c r="G949" s="18" t="n">
        <x:v>1641.41</x:v>
      </x:c>
      <x:c r="H949" s="18" t="n">
        <x:f>IFERROR(G949/1000,"")</x:f>
        <x:v>1.64141</x:v>
      </x:c>
      <x:c r="I949" s="19" t="n">
        <x:f>IFERROR(G949/J949,"")</x:f>
        <x:v>0.05850744544946448</x:v>
      </x:c>
      <x:c r="J949" s="17" t="n">
        <x:v>28054.72</x:v>
      </x:c>
      <x:c r="K949" s="17" t="str"/>
      <x:c r="L949" s="17" t="str">
        <x:v>已完成：查询过去20个交易日累计涨幅最高的前10只基金，取得 10 条记录。</x:v>
      </x:c>
      <x:c r="M949" s="17" t="str"/>
      <x:c r="N949" s="18" t="n">
        <x:v>4857.1</x:v>
      </x:c>
      <x:c r="O949" s="17" t="str">
        <x:v>public_sse_client_estimate</x:v>
      </x:c>
    </x:row>
    <x:row r="950" ht="48" customHeight="1">
      <x:c r="A950" s="17" t="str">
        <x:v>BUS176</x:v>
      </x:c>
      <x:c r="B950" s="17" t="str">
        <x:v>过去20个交易日累计涨幅最高的基金前10名。</x:v>
      </x:c>
      <x:c r="C950" s="17" t="n">
        <x:v>4</x:v>
      </x:c>
      <x:c r="D950" s="17" t="str">
        <x:v>回答整理</x:v>
      </x:c>
      <x:c r="E950" s="17" t="str">
        <x:v>15391.93</x:v>
      </x:c>
      <x:c r="F950" s="17" t="str">
        <x:v>24864.41</x:v>
      </x:c>
      <x:c r="G950" s="18" t="n">
        <x:v>9472.48</x:v>
      </x:c>
      <x:c r="H950" s="18" t="n">
        <x:f>IFERROR(G950/1000,"")</x:f>
        <x:v>9.47248</x:v>
      </x:c>
      <x:c r="I950" s="19" t="n">
        <x:f>IFERROR(G950/J950,"")</x:f>
        <x:v>0.33764300623923527</x:v>
      </x:c>
      <x:c r="J950" s="17" t="n">
        <x:v>28054.72</x:v>
      </x:c>
      <x:c r="K950" s="17" t="str"/>
      <x:c r="L950" s="17" t="str">
        <x:v>证据与回答已整理完成。</x:v>
      </x:c>
      <x:c r="M950" s="17" t="str"/>
      <x:c r="N950" s="18" t="n">
        <x:v>0</x:v>
      </x:c>
      <x:c r="O950" s="17" t="str">
        <x:v>public_sse_client_estimate</x:v>
      </x:c>
    </x:row>
    <x:row r="951" ht="48" customHeight="1">
      <x:c r="A951" s="17" t="str">
        <x:v>BUS177</x:v>
      </x:c>
      <x:c r="B951" s="17" t="str">
        <x:v>比较沪深300ETF和创业板ETF最近20个交易日累计涨幅。</x:v>
      </x:c>
      <x:c r="C951" s="17" t="n">
        <x:v>1</x:v>
      </x:c>
      <x:c r="D951" s="17" t="str">
        <x:v>问题理解</x:v>
      </x:c>
      <x:c r="E951" s="17" t="str">
        <x:v>6099.7</x:v>
      </x:c>
      <x:c r="F951" s="17" t="str">
        <x:v>9156.81</x:v>
      </x:c>
      <x:c r="G951" s="18" t="n">
        <x:v>3057.11</x:v>
      </x:c>
      <x:c r="H951" s="18" t="n">
        <x:f>IFERROR(G951/1000,"")</x:f>
        <x:v>3.05711</x:v>
      </x:c>
      <x:c r="I951" s="19" t="n">
        <x:f>IFERROR(G951/J951,"")</x:f>
        <x:v>0.1600594559954429</x:v>
      </x:c>
      <x:c r="J951" s="17" t="n">
        <x:v>19099.84</x:v>
      </x:c>
      <x:c r="K951" s="17" t="str"/>
      <x:c r="L951" s="17" t="str">
        <x:v>已明确本题的对象与口径，开始获取所需证据。</x:v>
      </x:c>
      <x:c r="M951" s="17" t="str"/>
      <x:c r="N951" s="18" t="n">
        <x:v>6099.7</x:v>
      </x:c>
      <x:c r="O951" s="17" t="str">
        <x:v>public_sse_client_estimate</x:v>
      </x:c>
    </x:row>
    <x:row r="952" ht="48" customHeight="1">
      <x:c r="A952" s="17" t="str">
        <x:v>BUS177</x:v>
      </x:c>
      <x:c r="B952" s="17" t="str">
        <x:v>比较沪深300ETF和创业板ETF最近20个交易日累计涨幅。</x:v>
      </x:c>
      <x:c r="C952" s="17" t="n">
        <x:v>2</x:v>
      </x:c>
      <x:c r="D952" s="17" t="str">
        <x:v>数据口径</x:v>
      </x:c>
      <x:c r="E952" s="17" t="str">
        <x:v>9156.81</x:v>
      </x:c>
      <x:c r="F952" s="17" t="str">
        <x:v>9215.54</x:v>
      </x:c>
      <x:c r="G952" s="18" t="n">
        <x:v>58.73</x:v>
      </x:c>
      <x:c r="H952" s="18" t="n">
        <x:f>IFERROR(G952/1000,"")</x:f>
        <x:v>0.05873</x:v>
      </x:c>
      <x:c r="I952" s="19" t="n">
        <x:f>IFERROR(G952/J952,"")</x:f>
        <x:v>0.0030748948682292627</x:v>
      </x:c>
      <x:c r="J952" s="17" t="n">
        <x:v>19099.84</x:v>
      </x:c>
      <x:c r="K952" s="17" t="str"/>
      <x:c r="L952" s="17" t="str">
        <x:v>已定位基金行情视图，并确认了可用字段与时间口径。</x:v>
      </x:c>
      <x:c r="M952" s="17" t="str"/>
      <x:c r="N952" s="18" t="n">
        <x:v>0</x:v>
      </x:c>
      <x:c r="O952" s="17" t="str">
        <x:v>public_sse_client_estimate</x:v>
      </x:c>
    </x:row>
    <x:row r="953" ht="48" customHeight="1">
      <x:c r="A953" s="17" t="str">
        <x:v>BUS177</x:v>
      </x:c>
      <x:c r="B953" s="17" t="str">
        <x:v>比较沪深300ETF和创业板ETF最近20个交易日累计涨幅。</x:v>
      </x:c>
      <x:c r="C953" s="17" t="n">
        <x:v>3</x:v>
      </x:c>
      <x:c r="D953" s="17" t="str">
        <x:v>数据查询 1/1</x:v>
      </x:c>
      <x:c r="E953" s="17" t="str">
        <x:v>13031.24</x:v>
      </x:c>
      <x:c r="F953" s="17" t="str">
        <x:v>13614.33</x:v>
      </x:c>
      <x:c r="G953" s="18" t="n">
        <x:v>583.09</x:v>
      </x:c>
      <x:c r="H953" s="18" t="n">
        <x:f>IFERROR(G953/1000,"")</x:f>
        <x:v>0.58309</x:v>
      </x:c>
      <x:c r="I953" s="19" t="n">
        <x:f>IFERROR(G953/J953,"")</x:f>
        <x:v>0.03052852798766901</x:v>
      </x:c>
      <x:c r="J953" s="17" t="n">
        <x:v>19099.84</x:v>
      </x:c>
      <x:c r="K953" s="17" t="str"/>
      <x:c r="L953" s="17" t="str">
        <x:v>已完成：查询沪深300ETF（510300.SH）和创业板ETF（159915.SZ）最近20个交易日的累计涨幅，取得 2 条记录。</x:v>
      </x:c>
      <x:c r="M953" s="17" t="str"/>
      <x:c r="N953" s="18" t="n">
        <x:v>3815.7</x:v>
      </x:c>
      <x:c r="O953" s="17" t="str">
        <x:v>public_sse_client_estimate</x:v>
      </x:c>
    </x:row>
    <x:row r="954" ht="48" customHeight="1">
      <x:c r="A954" s="17" t="str">
        <x:v>BUS177</x:v>
      </x:c>
      <x:c r="B954" s="17" t="str">
        <x:v>比较沪深300ETF和创业板ETF最近20个交易日累计涨幅。</x:v>
      </x:c>
      <x:c r="C954" s="17" t="n">
        <x:v>4</x:v>
      </x:c>
      <x:c r="D954" s="17" t="str">
        <x:v>回答整理</x:v>
      </x:c>
      <x:c r="E954" s="17" t="str">
        <x:v>13614.33</x:v>
      </x:c>
      <x:c r="F954" s="17" t="str">
        <x:v>16427.54</x:v>
      </x:c>
      <x:c r="G954" s="18" t="n">
        <x:v>2813.21</x:v>
      </x:c>
      <x:c r="H954" s="18" t="n">
        <x:f>IFERROR(G954/1000,"")</x:f>
        <x:v>2.81321</x:v>
      </x:c>
      <x:c r="I954" s="19" t="n">
        <x:f>IFERROR(G954/J954,"")</x:f>
        <x:v>0.1472897155159415</x:v>
      </x:c>
      <x:c r="J954" s="17" t="n">
        <x:v>19099.84</x:v>
      </x:c>
      <x:c r="K954" s="17" t="str"/>
      <x:c r="L954" s="17" t="str">
        <x:v>证据与回答已整理完成。</x:v>
      </x:c>
      <x:c r="M954" s="17" t="str"/>
      <x:c r="N954" s="18" t="n">
        <x:v>0</x:v>
      </x:c>
      <x:c r="O954" s="17" t="str">
        <x:v>public_sse_client_estimate</x:v>
      </x:c>
    </x:row>
    <x:row r="955" ht="48" customHeight="1">
      <x:c r="A955" s="17" t="str">
        <x:v>BUS178</x:v>
      </x:c>
      <x:c r="B955" s="17" t="str">
        <x:v>筛选当前成交额超过5亿元且涨幅超过2%的ETF。</x:v>
      </x:c>
      <x:c r="C955" s="17" t="n">
        <x:v>1</x:v>
      </x:c>
      <x:c r="D955" s="17" t="str">
        <x:v>问题理解</x:v>
      </x:c>
      <x:c r="E955" s="17" t="str">
        <x:v>7913.63</x:v>
      </x:c>
      <x:c r="F955" s="17" t="str">
        <x:v>10717.49</x:v>
      </x:c>
      <x:c r="G955" s="18" t="n">
        <x:v>2803.86</x:v>
      </x:c>
      <x:c r="H955" s="18" t="n">
        <x:f>IFERROR(G955/1000,"")</x:f>
        <x:v>2.8038600000000002</x:v>
      </x:c>
      <x:c r="I955" s="19" t="n">
        <x:f>IFERROR(G955/J955,"")</x:f>
        <x:v>0.08812026691339897</x:v>
      </x:c>
      <x:c r="J955" s="17" t="n">
        <x:v>31818.56</x:v>
      </x:c>
      <x:c r="K955" s="17" t="str"/>
      <x:c r="L955" s="17" t="str">
        <x:v>已明确本题的对象与口径，开始获取所需证据。</x:v>
      </x:c>
      <x:c r="M955" s="17" t="str"/>
      <x:c r="N955" s="18" t="n">
        <x:v>7913.63</x:v>
      </x:c>
      <x:c r="O955" s="17" t="str">
        <x:v>public_sse_client_estimate</x:v>
      </x:c>
    </x:row>
    <x:row r="956" ht="48" customHeight="1">
      <x:c r="A956" s="17" t="str">
        <x:v>BUS178</x:v>
      </x:c>
      <x:c r="B956" s="17" t="str">
        <x:v>筛选当前成交额超过5亿元且涨幅超过2%的ETF。</x:v>
      </x:c>
      <x:c r="C956" s="17" t="n">
        <x:v>2</x:v>
      </x:c>
      <x:c r="D956" s="17" t="str">
        <x:v>数据口径</x:v>
      </x:c>
      <x:c r="E956" s="17" t="str">
        <x:v>10717.49</x:v>
      </x:c>
      <x:c r="F956" s="17" t="str">
        <x:v>10725.75</x:v>
      </x:c>
      <x:c r="G956" s="18" t="n">
        <x:v>8.26</x:v>
      </x:c>
      <x:c r="H956" s="18" t="n">
        <x:f>IFERROR(G956/1000,"")</x:f>
        <x:v>0.00826</x:v>
      </x:c>
      <x:c r="I956" s="19" t="n">
        <x:f>IFERROR(G956/J956,"")</x:f>
        <x:v>0.0002595969145052447</x:v>
      </x:c>
      <x:c r="J956" s="17" t="n">
        <x:v>31818.56</x:v>
      </x:c>
      <x:c r="K956" s="17" t="str"/>
      <x:c r="L956" s="17" t="str">
        <x:v>已定位基金行情视图，并确认了可用字段与时间口径。</x:v>
      </x:c>
      <x:c r="M956" s="17" t="str"/>
      <x:c r="N956" s="18" t="n">
        <x:v>0</x:v>
      </x:c>
      <x:c r="O956" s="17" t="str">
        <x:v>public_sse_client_estimate</x:v>
      </x:c>
    </x:row>
    <x:row r="957" ht="48" customHeight="1">
      <x:c r="A957" s="17" t="str">
        <x:v>BUS178</x:v>
      </x:c>
      <x:c r="B957" s="17" t="str">
        <x:v>筛选当前成交额超过5亿元且涨幅超过2%的ETF。</x:v>
      </x:c>
      <x:c r="C957" s="17" t="n">
        <x:v>3</x:v>
      </x:c>
      <x:c r="D957" s="17" t="str">
        <x:v>数据查询 1/1</x:v>
      </x:c>
      <x:c r="E957" s="17" t="str">
        <x:v>17725.74</x:v>
      </x:c>
      <x:c r="F957" s="17" t="str">
        <x:v>18276.74</x:v>
      </x:c>
      <x:c r="G957" s="18" t="n">
        <x:v>551</x:v>
      </x:c>
      <x:c r="H957" s="18" t="n">
        <x:f>IFERROR(G957/1000,"")</x:f>
        <x:v>0.551</x:v>
      </x:c>
      <x:c r="I957" s="19" t="n">
        <x:f>IFERROR(G957/J957,"")</x:f>
        <x:v>0.01731693703297698</x:v>
      </x:c>
      <x:c r="J957" s="17" t="n">
        <x:v>31818.56</x:v>
      </x:c>
      <x:c r="K957" s="17" t="str"/>
      <x:c r="L957" s="17" t="str">
        <x:v>已完成：查询上个交易日成交额超过5亿元且涨幅超过2%的ETF行情，取得 50 条记录。</x:v>
      </x:c>
      <x:c r="M957" s="17" t="str"/>
      <x:c r="N957" s="18" t="n">
        <x:v>6999.99</x:v>
      </x:c>
      <x:c r="O957" s="17" t="str">
        <x:v>public_sse_client_estimate</x:v>
      </x:c>
    </x:row>
    <x:row r="958" ht="48" customHeight="1">
      <x:c r="A958" s="17" t="str">
        <x:v>BUS178</x:v>
      </x:c>
      <x:c r="B958" s="17" t="str">
        <x:v>筛选当前成交额超过5亿元且涨幅超过2%的ETF。</x:v>
      </x:c>
      <x:c r="C958" s="17" t="n">
        <x:v>4</x:v>
      </x:c>
      <x:c r="D958" s="17" t="str">
        <x:v>回答整理</x:v>
      </x:c>
      <x:c r="E958" s="17" t="str">
        <x:v>18276.74</x:v>
      </x:c>
      <x:c r="F958" s="17" t="str">
        <x:v>29218.29</x:v>
      </x:c>
      <x:c r="G958" s="18" t="n">
        <x:v>10941.55</x:v>
      </x:c>
      <x:c r="H958" s="18" t="n">
        <x:f>IFERROR(G958/1000,"")</x:f>
        <x:v>10.94155</x:v>
      </x:c>
      <x:c r="I958" s="19" t="n">
        <x:f>IFERROR(G958/J958,"")</x:f>
        <x:v>0.34387319853569737</x:v>
      </x:c>
      <x:c r="J958" s="17" t="n">
        <x:v>31818.56</x:v>
      </x:c>
      <x:c r="K958" s="17" t="str"/>
      <x:c r="L958" s="17" t="str">
        <x:v>证据与回答已整理完成。</x:v>
      </x:c>
      <x:c r="M958" s="17" t="str"/>
      <x:c r="N958" s="18" t="n">
        <x:v>0</x:v>
      </x:c>
      <x:c r="O958" s="17" t="str">
        <x:v>public_sse_client_estimate</x:v>
      </x:c>
    </x:row>
    <x:row r="959" ht="48" customHeight="1">
      <x:c r="A959" s="17" t="str">
        <x:v>BUS179</x:v>
      </x:c>
      <x:c r="B959" s="17" t="str">
        <x:v>查询近10个交易日平均成交额最高的基金前20名。</x:v>
      </x:c>
      <x:c r="C959" s="17" t="n">
        <x:v>1</x:v>
      </x:c>
      <x:c r="D959" s="17" t="str">
        <x:v>问题理解</x:v>
      </x:c>
      <x:c r="E959" s="17" t="str">
        <x:v>5452.15</x:v>
      </x:c>
      <x:c r="F959" s="17" t="str">
        <x:v>8755.35</x:v>
      </x:c>
      <x:c r="G959" s="18" t="n">
        <x:v>3303.2</x:v>
      </x:c>
      <x:c r="H959" s="18" t="n">
        <x:f>IFERROR(G959/1000,"")</x:f>
        <x:v>3.3032</x:v>
      </x:c>
      <x:c r="I959" s="19" t="n">
        <x:f>IFERROR(G959/J959,"")</x:f>
        <x:v>0.1211408185000132</x:v>
      </x:c>
      <x:c r="J959" s="17" t="n">
        <x:v>27267.44</x:v>
      </x:c>
      <x:c r="K959" s="17" t="str"/>
      <x:c r="L959" s="17" t="str">
        <x:v>已明确本题的对象与口径，开始获取所需证据。</x:v>
      </x:c>
      <x:c r="M959" s="17" t="str"/>
      <x:c r="N959" s="18" t="n">
        <x:v>5452.15</x:v>
      </x:c>
      <x:c r="O959" s="17" t="str">
        <x:v>public_sse_client_estimate</x:v>
      </x:c>
    </x:row>
    <x:row r="960" ht="48" customHeight="1">
      <x:c r="A960" s="17" t="str">
        <x:v>BUS179</x:v>
      </x:c>
      <x:c r="B960" s="17" t="str">
        <x:v>查询近10个交易日平均成交额最高的基金前20名。</x:v>
      </x:c>
      <x:c r="C960" s="17" t="n">
        <x:v>2</x:v>
      </x:c>
      <x:c r="D960" s="17" t="str">
        <x:v>数据口径</x:v>
      </x:c>
      <x:c r="E960" s="17" t="str">
        <x:v>8755.35</x:v>
      </x:c>
      <x:c r="F960" s="17" t="str">
        <x:v>8815.17</x:v>
      </x:c>
      <x:c r="G960" s="18" t="n">
        <x:v>59.82</x:v>
      </x:c>
      <x:c r="H960" s="18" t="n">
        <x:f>IFERROR(G960/1000,"")</x:f>
        <x:v>0.05982</x:v>
      </x:c>
      <x:c r="I960" s="19" t="n">
        <x:f>IFERROR(G960/J960,"")</x:f>
        <x:v>0.0021938253096000213</x:v>
      </x:c>
      <x:c r="J960" s="17" t="n">
        <x:v>27267.44</x:v>
      </x:c>
      <x:c r="K960" s="17" t="str"/>
      <x:c r="L960" s="17" t="str">
        <x:v>已定位基金行情视图，并确认了可用字段与时间口径。</x:v>
      </x:c>
      <x:c r="M960" s="17" t="str"/>
      <x:c r="N960" s="18" t="n">
        <x:v>0</x:v>
      </x:c>
      <x:c r="O960" s="17" t="str">
        <x:v>public_sse_client_estimate</x:v>
      </x:c>
    </x:row>
    <x:row r="961" ht="48" customHeight="1">
      <x:c r="A961" s="17" t="str">
        <x:v>BUS179</x:v>
      </x:c>
      <x:c r="B961" s="17" t="str">
        <x:v>查询近10个交易日平均成交额最高的基金前20名。</x:v>
      </x:c>
      <x:c r="C961" s="17" t="n">
        <x:v>3</x:v>
      </x:c>
      <x:c r="D961" s="17" t="str">
        <x:v>数据查询 1/1</x:v>
      </x:c>
      <x:c r="E961" s="17" t="str">
        <x:v>12271.77</x:v>
      </x:c>
      <x:c r="F961" s="17" t="str">
        <x:v>13390.6</x:v>
      </x:c>
      <x:c r="G961" s="18" t="n">
        <x:v>1118.83</x:v>
      </x:c>
      <x:c r="H961" s="18" t="n">
        <x:f>IFERROR(G961/1000,"")</x:f>
        <x:v>1.11883</x:v>
      </x:c>
      <x:c r="I961" s="19" t="n">
        <x:f>IFERROR(G961/J961,"")</x:f>
        <x:v>0.04103172134971233</x:v>
      </x:c>
      <x:c r="J961" s="17" t="n">
        <x:v>27267.44</x:v>
      </x:c>
      <x:c r="K961" s="17" t="str"/>
      <x:c r="L961" s="17" t="str">
        <x:v>已完成：查询近10个交易日平均成交额最高的基金前20名，取得 20 条记录。</x:v>
      </x:c>
      <x:c r="M961" s="17" t="str"/>
      <x:c r="N961" s="18" t="n">
        <x:v>3456.6</x:v>
      </x:c>
      <x:c r="O961" s="17" t="str">
        <x:v>public_sse_client_estimate</x:v>
      </x:c>
    </x:row>
    <x:row r="962" ht="48" customHeight="1">
      <x:c r="A962" s="17" t="str">
        <x:v>BUS179</x:v>
      </x:c>
      <x:c r="B962" s="17" t="str">
        <x:v>查询近10个交易日平均成交额最高的基金前20名。</x:v>
      </x:c>
      <x:c r="C962" s="17" t="n">
        <x:v>4</x:v>
      </x:c>
      <x:c r="D962" s="17" t="str">
        <x:v>回答整理</x:v>
      </x:c>
      <x:c r="E962" s="17" t="str">
        <x:v>13390.6</x:v>
      </x:c>
      <x:c r="F962" s="17" t="str">
        <x:v>24707.42</x:v>
      </x:c>
      <x:c r="G962" s="18" t="n">
        <x:v>11316.82</x:v>
      </x:c>
      <x:c r="H962" s="18" t="n">
        <x:f>IFERROR(G962/1000,"")</x:f>
        <x:v>11.31682</x:v>
      </x:c>
      <x:c r="I962" s="19" t="n">
        <x:f>IFERROR(G962/J962,"")</x:f>
        <x:v>0.4150305272515498</x:v>
      </x:c>
      <x:c r="J962" s="17" t="n">
        <x:v>27267.44</x:v>
      </x:c>
      <x:c r="K962" s="17" t="str"/>
      <x:c r="L962" s="17" t="str">
        <x:v>证据与回答已整理完成。</x:v>
      </x:c>
      <x:c r="M962" s="17" t="str"/>
      <x:c r="N962" s="18" t="n">
        <x:v>0</x:v>
      </x:c>
      <x:c r="O962" s="17" t="str">
        <x:v>public_sse_client_estimate</x:v>
      </x:c>
    </x:row>
    <x:row r="963" ht="48" customHeight="1">
      <x:c r="A963" s="17" t="str">
        <x:v>BUS181</x:v>
      </x:c>
      <x:c r="B963" s="17" t="str">
        <x:v>同时查询沪深300ETF和沪深300指数当前涨跌幅。</x:v>
      </x:c>
      <x:c r="C963" s="17" t="n">
        <x:v>1</x:v>
      </x:c>
      <x:c r="D963" s="17" t="str">
        <x:v>问题理解</x:v>
      </x:c>
      <x:c r="E963" s="17" t="str">
        <x:v>5742.94</x:v>
      </x:c>
      <x:c r="F963" s="17" t="str">
        <x:v>8918.58</x:v>
      </x:c>
      <x:c r="G963" s="18" t="n">
        <x:v>3175.64</x:v>
      </x:c>
      <x:c r="H963" s="18" t="n">
        <x:f>IFERROR(G963/1000,"")</x:f>
        <x:v>3.17564</x:v>
      </x:c>
      <x:c r="I963" s="19" t="n">
        <x:f>IFERROR(G963/J963,"")</x:f>
        <x:v>0.13879581852050313</x:v>
      </x:c>
      <x:c r="J963" s="17" t="n">
        <x:v>22879.94</x:v>
      </x:c>
      <x:c r="K963" s="17" t="str"/>
      <x:c r="L963" s="17" t="str">
        <x:v>已明确本题的对象与口径，开始获取所需证据。</x:v>
      </x:c>
      <x:c r="M963" s="17" t="str"/>
      <x:c r="N963" s="18" t="n">
        <x:v>5742.94</x:v>
      </x:c>
      <x:c r="O963" s="17" t="str">
        <x:v>public_sse_client_estimate</x:v>
      </x:c>
    </x:row>
    <x:row r="964" ht="48" customHeight="1">
      <x:c r="A964" s="17" t="str">
        <x:v>BUS181</x:v>
      </x:c>
      <x:c r="B964" s="17" t="str">
        <x:v>同时查询沪深300ETF和沪深300指数当前涨跌幅。</x:v>
      </x:c>
      <x:c r="C964" s="17" t="n">
        <x:v>2</x:v>
      </x:c>
      <x:c r="D964" s="17" t="str">
        <x:v>数据口径</x:v>
      </x:c>
      <x:c r="E964" s="17" t="str">
        <x:v>8918.58</x:v>
      </x:c>
      <x:c r="F964" s="17" t="str">
        <x:v>13040.49</x:v>
      </x:c>
      <x:c r="G964" s="18" t="n">
        <x:v>4121.91</x:v>
      </x:c>
      <x:c r="H964" s="18" t="n">
        <x:f>IFERROR(G964/1000,"")</x:f>
        <x:v>4.12191</x:v>
      </x:c>
      <x:c r="I964" s="19" t="n">
        <x:f>IFERROR(G964/J964,"")</x:f>
        <x:v>0.18015388152241657</x:v>
      </x:c>
      <x:c r="J964" s="17" t="n">
        <x:v>22879.94</x:v>
      </x:c>
      <x:c r="K964" s="17" t="str"/>
      <x:c r="L964" s="17" t="str">
        <x:v>已定位指数行情视图，并确认了可用字段与时间口径。</x:v>
      </x:c>
      <x:c r="M964" s="17" t="str"/>
      <x:c r="N964" s="18" t="n">
        <x:v>0</x:v>
      </x:c>
      <x:c r="O964" s="17" t="str">
        <x:v>public_sse_client_estimate</x:v>
      </x:c>
    </x:row>
    <x:row r="965" ht="48" customHeight="1">
      <x:c r="A965" s="17" t="str">
        <x:v>BUS181</x:v>
      </x:c>
      <x:c r="B965" s="17" t="str">
        <x:v>同时查询沪深300ETF和沪深300指数当前涨跌幅。</x:v>
      </x:c>
      <x:c r="C965" s="17" t="n">
        <x:v>3</x:v>
      </x:c>
      <x:c r="D965" s="17" t="str">
        <x:v>数据口径</x:v>
      </x:c>
      <x:c r="E965" s="17" t="str">
        <x:v>13040.49</x:v>
      </x:c>
      <x:c r="F965" s="17" t="str">
        <x:v>13043.17</x:v>
      </x:c>
      <x:c r="G965" s="18" t="n">
        <x:v>2.68</x:v>
      </x:c>
      <x:c r="H965" s="18" t="n">
        <x:f>IFERROR(G965/1000,"")</x:f>
        <x:v>0.00268</x:v>
      </x:c>
      <x:c r="I965" s="19" t="n">
        <x:f>IFERROR(G965/J965,"")</x:f>
        <x:v>0.00011713317430028227</x:v>
      </x:c>
      <x:c r="J965" s="17" t="n">
        <x:v>22879.94</x:v>
      </x:c>
      <x:c r="K965" s="17" t="str"/>
      <x:c r="L965" s="17" t="str">
        <x:v>已定位基金行情视图，并确认了可用字段与时间口径。</x:v>
      </x:c>
      <x:c r="M965" s="17" t="str"/>
      <x:c r="N965" s="18" t="n">
        <x:v>0</x:v>
      </x:c>
      <x:c r="O965" s="17" t="str">
        <x:v>public_sse_client_estimate</x:v>
      </x:c>
    </x:row>
    <x:row r="966" ht="48" customHeight="1">
      <x:c r="A966" s="17" t="str">
        <x:v>BUS181</x:v>
      </x:c>
      <x:c r="B966" s="17" t="str">
        <x:v>同时查询沪深300ETF和沪深300指数当前涨跌幅。</x:v>
      </x:c>
      <x:c r="C966" s="17" t="n">
        <x:v>4</x:v>
      </x:c>
      <x:c r="D966" s="17" t="str">
        <x:v>数据查询 1/2</x:v>
      </x:c>
      <x:c r="E966" s="17" t="str">
        <x:v>16585.61</x:v>
      </x:c>
      <x:c r="F966" s="17" t="str">
        <x:v>17179.34</x:v>
      </x:c>
      <x:c r="G966" s="18" t="n">
        <x:v>593.73</x:v>
      </x:c>
      <x:c r="H966" s="18" t="n">
        <x:f>IFERROR(G966/1000,"")</x:f>
        <x:v>0.59373</x:v>
      </x:c>
      <x:c r="I966" s="19" t="n">
        <x:f>IFERROR(G966/J966,"")</x:f>
        <x:v>0.025949805812427833</x:v>
      </x:c>
      <x:c r="J966" s="17" t="n">
        <x:v>22879.94</x:v>
      </x:c>
      <x:c r="K966" s="17" t="str"/>
      <x:c r="L966" s="17" t="str">
        <x:v>已完成：查询沪深300指数上一个交易日的涨跌幅，取得 1 条记录。</x:v>
      </x:c>
      <x:c r="M966" s="17" t="str"/>
      <x:c r="N966" s="18" t="n">
        <x:v>3542.44</x:v>
      </x:c>
      <x:c r="O966" s="17" t="str">
        <x:v>public_sse_client_estimate</x:v>
      </x:c>
    </x:row>
    <x:row r="967" ht="48" customHeight="1">
      <x:c r="A967" s="17" t="str">
        <x:v>BUS181</x:v>
      </x:c>
      <x:c r="B967" s="17" t="str">
        <x:v>同时查询沪深300ETF和沪深300指数当前涨跌幅。</x:v>
      </x:c>
      <x:c r="C967" s="17" t="n">
        <x:v>5</x:v>
      </x:c>
      <x:c r="D967" s="17" t="str">
        <x:v>数据查询 2/2</x:v>
      </x:c>
      <x:c r="E967" s="17" t="str">
        <x:v>17184.78</x:v>
      </x:c>
      <x:c r="F967" s="17" t="str">
        <x:v>17693.55</x:v>
      </x:c>
      <x:c r="G967" s="18" t="n">
        <x:v>508.77</x:v>
      </x:c>
      <x:c r="H967" s="18" t="n">
        <x:f>IFERROR(G967/1000,"")</x:f>
        <x:v>0.50877</x:v>
      </x:c>
      <x:c r="I967" s="19" t="n">
        <x:f>IFERROR(G967/J967,"")</x:f>
        <x:v>0.022236509361475598</x:v>
      </x:c>
      <x:c r="J967" s="17" t="n">
        <x:v>22879.94</x:v>
      </x:c>
      <x:c r="K967" s="17" t="str"/>
      <x:c r="L967" s="17" t="str">
        <x:v>已完成：查询沪深300ETF（510300.SH）上一个交易日的涨跌幅，取得 1 条记录。</x:v>
      </x:c>
      <x:c r="M967" s="17" t="str"/>
      <x:c r="N967" s="18" t="n">
        <x:v>5.44</x:v>
      </x:c>
      <x:c r="O967" s="17" t="str">
        <x:v>public_sse_client_estimate</x:v>
      </x:c>
    </x:row>
    <x:row r="968" ht="48" customHeight="1">
      <x:c r="A968" s="17" t="str">
        <x:v>BUS181</x:v>
      </x:c>
      <x:c r="B968" s="17" t="str">
        <x:v>同时查询沪深300ETF和沪深300指数当前涨跌幅。</x:v>
      </x:c>
      <x:c r="C968" s="17" t="n">
        <x:v>6</x:v>
      </x:c>
      <x:c r="D968" s="17" t="str">
        <x:v>回答整理</x:v>
      </x:c>
      <x:c r="E968" s="17" t="str">
        <x:v>17693.55</x:v>
      </x:c>
      <x:c r="F968" s="17" t="str">
        <x:v>20601.64</x:v>
      </x:c>
      <x:c r="G968" s="18" t="n">
        <x:v>2908.09</x:v>
      </x:c>
      <x:c r="H968" s="18" t="n">
        <x:f>IFERROR(G968/1000,"")</x:f>
        <x:v>2.90809</x:v>
      </x:c>
      <x:c r="I968" s="19" t="n">
        <x:f>IFERROR(G968/J968,"")</x:f>
        <x:v>0.12710216897421936</x:v>
      </x:c>
      <x:c r="J968" s="17" t="n">
        <x:v>22879.94</x:v>
      </x:c>
      <x:c r="K968" s="17" t="str"/>
      <x:c r="L968" s="17" t="str">
        <x:v>证据与回答已整理完成。</x:v>
      </x:c>
      <x:c r="M968" s="17" t="str"/>
      <x:c r="N968" s="18" t="n">
        <x:v>0</x:v>
      </x:c>
      <x:c r="O968" s="17" t="str">
        <x:v>public_sse_client_estimate</x:v>
      </x:c>
    </x:row>
    <x:row r="969" ht="48" customHeight="1">
      <x:c r="A969" s="17" t="str">
        <x:v>BUS182</x:v>
      </x:c>
      <x:c r="B969" s="17" t="str">
        <x:v>查询半导体ETF当前涨幅，并列出半导体板块当前涨幅。</x:v>
      </x:c>
      <x:c r="C969" s="17" t="n">
        <x:v>1</x:v>
      </x:c>
      <x:c r="D969" s="17" t="str">
        <x:v>问题理解</x:v>
      </x:c>
      <x:c r="E969" s="17" t="str">
        <x:v>5220.82</x:v>
      </x:c>
      <x:c r="F969" s="17" t="str">
        <x:v>10391.79</x:v>
      </x:c>
      <x:c r="G969" s="18" t="n">
        <x:v>5170.97</x:v>
      </x:c>
      <x:c r="H969" s="18" t="n">
        <x:f>IFERROR(G969/1000,"")</x:f>
        <x:v>5.1709700000000005</x:v>
      </x:c>
      <x:c r="I969" s="19" t="n">
        <x:f>IFERROR(G969/J969,"")</x:f>
        <x:v>0.16334514862725788</x:v>
      </x:c>
      <x:c r="J969" s="17" t="n">
        <x:v>31656.71</x:v>
      </x:c>
      <x:c r="K969" s="17" t="str"/>
      <x:c r="L969" s="17" t="str">
        <x:v>已明确本题的对象与口径，开始获取所需证据。</x:v>
      </x:c>
      <x:c r="M969" s="17" t="str"/>
      <x:c r="N969" s="18" t="n">
        <x:v>5220.82</x:v>
      </x:c>
      <x:c r="O969" s="17" t="str">
        <x:v>public_sse_client_estimate</x:v>
      </x:c>
    </x:row>
    <x:row r="970" ht="48" customHeight="1">
      <x:c r="A970" s="17" t="str">
        <x:v>BUS182</x:v>
      </x:c>
      <x:c r="B970" s="17" t="str">
        <x:v>查询半导体ETF当前涨幅，并列出半导体板块当前涨幅。</x:v>
      </x:c>
      <x:c r="C970" s="17" t="n">
        <x:v>2</x:v>
      </x:c>
      <x:c r="D970" s="17" t="str">
        <x:v>数据口径</x:v>
      </x:c>
      <x:c r="E970" s="17" t="str">
        <x:v>10391.79</x:v>
      </x:c>
      <x:c r="F970" s="17" t="str">
        <x:v>14803.89</x:v>
      </x:c>
      <x:c r="G970" s="18" t="n">
        <x:v>4412.1</x:v>
      </x:c>
      <x:c r="H970" s="18" t="n">
        <x:f>IFERROR(G970/1000,"")</x:f>
        <x:v>4.412100000000001</x:v>
      </x:c>
      <x:c r="I970" s="19" t="n">
        <x:f>IFERROR(G970/J970,"")</x:f>
        <x:v>0.13937329558251632</x:v>
      </x:c>
      <x:c r="J970" s="17" t="n">
        <x:v>31656.71</x:v>
      </x:c>
      <x:c r="K970" s="17" t="str"/>
      <x:c r="L970" s="17" t="str">
        <x:v>已定位基金行情视图，并确认了可用字段与时间口径。</x:v>
      </x:c>
      <x:c r="M970" s="17" t="str"/>
      <x:c r="N970" s="18" t="n">
        <x:v>0</x:v>
      </x:c>
      <x:c r="O970" s="17" t="str">
        <x:v>public_sse_client_estimate</x:v>
      </x:c>
    </x:row>
    <x:row r="971" ht="48" customHeight="1">
      <x:c r="A971" s="17" t="str">
        <x:v>BUS182</x:v>
      </x:c>
      <x:c r="B971" s="17" t="str">
        <x:v>查询半导体ETF当前涨幅，并列出半导体板块当前涨幅。</x:v>
      </x:c>
      <x:c r="C971" s="17" t="n">
        <x:v>3</x:v>
      </x:c>
      <x:c r="D971" s="17" t="str">
        <x:v>数据口径</x:v>
      </x:c>
      <x:c r="E971" s="17" t="str">
        <x:v>14803.89</x:v>
      </x:c>
      <x:c r="F971" s="17" t="str">
        <x:v>14806.95</x:v>
      </x:c>
      <x:c r="G971" s="18" t="n">
        <x:v>3.06</x:v>
      </x:c>
      <x:c r="H971" s="18" t="n">
        <x:f>IFERROR(G971/1000,"")</x:f>
        <x:v>0.0030600000000000002</x:v>
      </x:c>
      <x:c r="I971" s="19" t="n">
        <x:f>IFERROR(G971/J971,"")</x:f>
        <x:v>0.00009666197150619885</x:v>
      </x:c>
      <x:c r="J971" s="17" t="n">
        <x:v>31656.71</x:v>
      </x:c>
      <x:c r="K971" s="17" t="str"/>
      <x:c r="L971" s="17" t="str">
        <x:v>已定位板块行情视图，并确认了可用字段与时间口径。</x:v>
      </x:c>
      <x:c r="M971" s="17" t="str"/>
      <x:c r="N971" s="18" t="n">
        <x:v>0</x:v>
      </x:c>
      <x:c r="O971" s="17" t="str">
        <x:v>public_sse_client_estimate</x:v>
      </x:c>
    </x:row>
    <x:row r="972" ht="48" customHeight="1">
      <x:c r="A972" s="17" t="str">
        <x:v>BUS182</x:v>
      </x:c>
      <x:c r="B972" s="17" t="str">
        <x:v>查询半导体ETF当前涨幅，并列出半导体板块当前涨幅。</x:v>
      </x:c>
      <x:c r="C972" s="17" t="n">
        <x:v>4</x:v>
      </x:c>
      <x:c r="D972" s="17" t="str">
        <x:v>数据口径</x:v>
      </x:c>
      <x:c r="E972" s="17" t="str">
        <x:v>14806.95</x:v>
      </x:c>
      <x:c r="F972" s="17" t="str">
        <x:v>14810.2</x:v>
      </x:c>
      <x:c r="G972" s="18" t="n">
        <x:v>3.25</x:v>
      </x:c>
      <x:c r="H972" s="18" t="n">
        <x:f>IFERROR(G972/1000,"")</x:f>
        <x:v>0.00325</x:v>
      </x:c>
      <x:c r="I972" s="19" t="n">
        <x:f>IFERROR(G972/J972,"")</x:f>
        <x:v>0.00010266385862586479</x:v>
      </x:c>
      <x:c r="J972" s="17" t="n">
        <x:v>31656.71</x:v>
      </x:c>
      <x:c r="K972" s="17" t="str"/>
      <x:c r="L972" s="17" t="str">
        <x:v>已定位板块基础信息视图，并确认了可用字段与时间口径。</x:v>
      </x:c>
      <x:c r="M972" s="17" t="str"/>
      <x:c r="N972" s="18" t="n">
        <x:v>0</x:v>
      </x:c>
      <x:c r="O972" s="17" t="str">
        <x:v>public_sse_client_estimate</x:v>
      </x:c>
    </x:row>
    <x:row r="973" ht="48" customHeight="1">
      <x:c r="A973" s="17" t="str">
        <x:v>BUS182</x:v>
      </x:c>
      <x:c r="B973" s="17" t="str">
        <x:v>查询半导体ETF当前涨幅，并列出半导体板块当前涨幅。</x:v>
      </x:c>
      <x:c r="C973" s="17" t="n">
        <x:v>5</x:v>
      </x:c>
      <x:c r="D973" s="17" t="str">
        <x:v>数据查询 1/2</x:v>
      </x:c>
      <x:c r="E973" s="17" t="str">
        <x:v>15828.69</x:v>
      </x:c>
      <x:c r="F973" s="17" t="str">
        <x:v>16241.27</x:v>
      </x:c>
      <x:c r="G973" s="18" t="n">
        <x:v>412.58</x:v>
      </x:c>
      <x:c r="H973" s="18" t="n">
        <x:f>IFERROR(G973/1000,"")</x:f>
        <x:v>0.41258</x:v>
      </x:c>
      <x:c r="I973" s="19" t="n">
        <x:f>IFERROR(G973/J973,"")</x:f>
        <x:v>0.013032939935956705</x:v>
      </x:c>
      <x:c r="J973" s="17" t="n">
        <x:v>31656.71</x:v>
      </x:c>
      <x:c r="K973" s="17" t="str"/>
      <x:c r="L973" s="17" t="str">
        <x:v>已完成：查找半导体板块的代码和名称，取得 7 条记录。</x:v>
      </x:c>
      <x:c r="M973" s="17" t="str"/>
      <x:c r="N973" s="18" t="n">
        <x:v>1018.49</x:v>
      </x:c>
      <x:c r="O973" s="17" t="str">
        <x:v>public_sse_client_estimate</x:v>
      </x:c>
    </x:row>
    <x:row r="974" ht="48" customHeight="1">
      <x:c r="A974" s="17" t="str">
        <x:v>BUS182</x:v>
      </x:c>
      <x:c r="B974" s="17" t="str">
        <x:v>查询半导体ETF当前涨幅，并列出半导体板块当前涨幅。</x:v>
      </x:c>
      <x:c r="C974" s="17" t="n">
        <x:v>6</x:v>
      </x:c>
      <x:c r="D974" s="17" t="str">
        <x:v>数据查询 2/2</x:v>
      </x:c>
      <x:c r="E974" s="17" t="str">
        <x:v>16243.15</x:v>
      </x:c>
      <x:c r="F974" s="17" t="str">
        <x:v>17620.01</x:v>
      </x:c>
      <x:c r="G974" s="18" t="n">
        <x:v>1376.86</x:v>
      </x:c>
      <x:c r="H974" s="18" t="n">
        <x:f>IFERROR(G974/1000,"")</x:f>
        <x:v>1.37686</x:v>
      </x:c>
      <x:c r="I974" s="19" t="n">
        <x:f>IFERROR(G974/J974,"")</x:f>
        <x:v>0.04349346473464867</x:v>
      </x:c>
      <x:c r="J974" s="17" t="n">
        <x:v>31656.71</x:v>
      </x:c>
      <x:c r="K974" s="17" t="str"/>
      <x:c r="L974" s="17" t="str">
        <x:v>已完成：查询半导体ETF 512480的最新行情（含涨跌幅），取得 1 条记录。</x:v>
      </x:c>
      <x:c r="M974" s="17" t="str"/>
      <x:c r="N974" s="18" t="n">
        <x:v>1.88</x:v>
      </x:c>
      <x:c r="O974" s="17" t="str">
        <x:v>public_sse_client_estimate</x:v>
      </x:c>
    </x:row>
    <x:row r="975" ht="48" customHeight="1">
      <x:c r="A975" s="17" t="str">
        <x:v>BUS182</x:v>
      </x:c>
      <x:c r="B975" s="17" t="str">
        <x:v>查询半导体ETF当前涨幅，并列出半导体板块当前涨幅。</x:v>
      </x:c>
      <x:c r="C975" s="17" t="n">
        <x:v>7</x:v>
      </x:c>
      <x:c r="D975" s="17" t="str">
        <x:v>数据查询 1/1</x:v>
      </x:c>
      <x:c r="E975" s="17" t="str">
        <x:v>20551.79</x:v>
      </x:c>
      <x:c r="F975" s="17" t="str">
        <x:v>21113</x:v>
      </x:c>
      <x:c r="G975" s="18" t="n">
        <x:v>561.21</x:v>
      </x:c>
      <x:c r="H975" s="18" t="n">
        <x:f>IFERROR(G975/1000,"")</x:f>
        <x:v>0.56121</x:v>
      </x:c>
      <x:c r="I975" s="19" t="n">
        <x:f>IFERROR(G975/J975,"")</x:f>
        <x:v>0.017727995107514334</x:v>
      </x:c>
      <x:c r="J975" s="17" t="n">
        <x:v>31656.71</x:v>
      </x:c>
      <x:c r="K975" s="17" t="str"/>
      <x:c r="L975" s="17" t="str">
        <x:v>已完成：查询半导体板块的最新行情涨跌幅，取得 1 条记录。</x:v>
      </x:c>
      <x:c r="M975" s="17" t="str"/>
      <x:c r="N975" s="18" t="n">
        <x:v>2931.78</x:v>
      </x:c>
      <x:c r="O975" s="17" t="str">
        <x:v>public_sse_client_estimate</x:v>
      </x:c>
    </x:row>
    <x:row r="976" ht="48" customHeight="1">
      <x:c r="A976" s="17" t="str">
        <x:v>BUS182</x:v>
      </x:c>
      <x:c r="B976" s="17" t="str">
        <x:v>查询半导体ETF当前涨幅，并列出半导体板块当前涨幅。</x:v>
      </x:c>
      <x:c r="C976" s="17" t="n">
        <x:v>8</x:v>
      </x:c>
      <x:c r="D976" s="17" t="str">
        <x:v>回答整理</x:v>
      </x:c>
      <x:c r="E976" s="17" t="str">
        <x:v>21113</x:v>
      </x:c>
      <x:c r="F976" s="17" t="str">
        <x:v>24301.79</x:v>
      </x:c>
      <x:c r="G976" s="18" t="n">
        <x:v>3188.79</x:v>
      </x:c>
      <x:c r="H976" s="18" t="n">
        <x:f>IFERROR(G976/1000,"")</x:f>
        <x:v>3.18879</x:v>
      </x:c>
      <x:c r="I976" s="19" t="n">
        <x:f>IFERROR(G976/J976,"")</x:f>
        <x:v>0.10073030330694503</x:v>
      </x:c>
      <x:c r="J976" s="17" t="n">
        <x:v>31656.71</x:v>
      </x:c>
      <x:c r="K976" s="17" t="str"/>
      <x:c r="L976" s="17" t="str">
        <x:v>证据与回答已整理完成。</x:v>
      </x:c>
      <x:c r="M976" s="17" t="str"/>
      <x:c r="N976" s="18" t="n">
        <x:v>0</x:v>
      </x:c>
      <x:c r="O976" s="17" t="str">
        <x:v>public_sse_client_estimate</x:v>
      </x:c>
    </x:row>
    <x:row r="977" ht="48" customHeight="1">
      <x:c r="A977" s="17" t="str">
        <x:v>BUS183</x:v>
      </x:c>
      <x:c r="B977" s="17" t="str">
        <x:v>查询红利ETF当前表现，并列出红利指数最新估值。</x:v>
      </x:c>
      <x:c r="C977" s="17" t="n">
        <x:v>1</x:v>
      </x:c>
      <x:c r="D977" s="17" t="str">
        <x:v>问题理解</x:v>
      </x:c>
      <x:c r="E977" s="17" t="str">
        <x:v>5903.71</x:v>
      </x:c>
      <x:c r="F977" s="17" t="str">
        <x:v>11614.02</x:v>
      </x:c>
      <x:c r="G977" s="18" t="n">
        <x:v>5710.31</x:v>
      </x:c>
      <x:c r="H977" s="18" t="n">
        <x:f>IFERROR(G977/1000,"")</x:f>
        <x:v>5.710310000000001</x:v>
      </x:c>
      <x:c r="I977" s="19" t="n">
        <x:f>IFERROR(G977/J977,"")</x:f>
        <x:v>0.09637416529482988</x:v>
      </x:c>
      <x:c r="J977" s="17" t="n">
        <x:v>59251.46</x:v>
      </x:c>
      <x:c r="K977" s="17" t="str"/>
      <x:c r="L977" s="17" t="str">
        <x:v>已明确本题的对象与口径，开始获取所需证据。</x:v>
      </x:c>
      <x:c r="M977" s="17" t="str"/>
      <x:c r="N977" s="18" t="n">
        <x:v>5903.71</x:v>
      </x:c>
      <x:c r="O977" s="17" t="str">
        <x:v>public_sse_client_estimate</x:v>
      </x:c>
    </x:row>
    <x:row r="978" ht="48" customHeight="1">
      <x:c r="A978" s="17" t="str">
        <x:v>BUS183</x:v>
      </x:c>
      <x:c r="B978" s="17" t="str">
        <x:v>查询红利ETF当前表现，并列出红利指数最新估值。</x:v>
      </x:c>
      <x:c r="C978" s="17" t="n">
        <x:v>2</x:v>
      </x:c>
      <x:c r="D978" s="17" t="str">
        <x:v>数据口径</x:v>
      </x:c>
      <x:c r="E978" s="17" t="str">
        <x:v>11614.02</x:v>
      </x:c>
      <x:c r="F978" s="17" t="str">
        <x:v>12376.51</x:v>
      </x:c>
      <x:c r="G978" s="18" t="n">
        <x:v>762.49</x:v>
      </x:c>
      <x:c r="H978" s="18" t="n">
        <x:f>IFERROR(G978/1000,"")</x:f>
        <x:v>0.76249</x:v>
      </x:c>
      <x:c r="I978" s="19" t="n">
        <x:f>IFERROR(G978/J978,"")</x:f>
        <x:v>0.012868712433415143</x:v>
      </x:c>
      <x:c r="J978" s="17" t="n">
        <x:v>59251.46</x:v>
      </x:c>
      <x:c r="K978" s="17" t="str"/>
      <x:c r="L978" s="17" t="str">
        <x:v>已定位基金行情视图，并确认了可用字段与时间口径。</x:v>
      </x:c>
      <x:c r="M978" s="17" t="str"/>
      <x:c r="N978" s="18" t="n">
        <x:v>0</x:v>
      </x:c>
      <x:c r="O978" s="17" t="str">
        <x:v>public_sse_client_estimate</x:v>
      </x:c>
    </x:row>
    <x:row r="979" ht="48" customHeight="1">
      <x:c r="A979" s="17" t="str">
        <x:v>BUS183</x:v>
      </x:c>
      <x:c r="B979" s="17" t="str">
        <x:v>查询红利ETF当前表现，并列出红利指数最新估值。</x:v>
      </x:c>
      <x:c r="C979" s="17" t="n">
        <x:v>3</x:v>
      </x:c>
      <x:c r="D979" s="17" t="str">
        <x:v>数据口径</x:v>
      </x:c>
      <x:c r="E979" s="17" t="str">
        <x:v>12376.51</x:v>
      </x:c>
      <x:c r="F979" s="17" t="str">
        <x:v>12765.83</x:v>
      </x:c>
      <x:c r="G979" s="18" t="n">
        <x:v>389.32</x:v>
      </x:c>
      <x:c r="H979" s="18" t="n">
        <x:f>IFERROR(G979/1000,"")</x:f>
        <x:v>0.38932</x:v>
      </x:c>
      <x:c r="I979" s="19" t="n">
        <x:f>IFERROR(G979/J979,"")</x:f>
        <x:v>0.0065706397783278254</x:v>
      </x:c>
      <x:c r="J979" s="17" t="n">
        <x:v>59251.46</x:v>
      </x:c>
      <x:c r="K979" s="17" t="str"/>
      <x:c r="L979" s="17" t="str">
        <x:v>已定位指数行情视图，并确认了可用字段与时间口径。</x:v>
      </x:c>
      <x:c r="M979" s="17" t="str"/>
      <x:c r="N979" s="18" t="n">
        <x:v>0</x:v>
      </x:c>
      <x:c r="O979" s="17" t="str">
        <x:v>public_sse_client_estimate</x:v>
      </x:c>
    </x:row>
    <x:row r="980" ht="48" customHeight="1">
      <x:c r="A980" s="17" t="str">
        <x:v>BUS183</x:v>
      </x:c>
      <x:c r="B980" s="17" t="str">
        <x:v>查询红利ETF当前表现，并列出红利指数最新估值。</x:v>
      </x:c>
      <x:c r="C980" s="17" t="n">
        <x:v>4</x:v>
      </x:c>
      <x:c r="D980" s="17" t="str">
        <x:v>数据口径</x:v>
      </x:c>
      <x:c r="E980" s="17" t="str">
        <x:v>12765.83</x:v>
      </x:c>
      <x:c r="F980" s="17" t="str">
        <x:v>12879.4</x:v>
      </x:c>
      <x:c r="G980" s="18" t="n">
        <x:v>113.57</x:v>
      </x:c>
      <x:c r="H980" s="18" t="n">
        <x:f>IFERROR(G980/1000,"")</x:f>
        <x:v>0.11356999999999999</x:v>
      </x:c>
      <x:c r="I980" s="19" t="n">
        <x:f>IFERROR(G980/J980,"")</x:f>
        <x:v>0.001916746017735259</x:v>
      </x:c>
      <x:c r="J980" s="17" t="n">
        <x:v>59251.46</x:v>
      </x:c>
      <x:c r="K980" s="17" t="str"/>
      <x:c r="L980" s="17" t="str">
        <x:v>已定位指数估值视图，并确认了可用字段与时间口径。</x:v>
      </x:c>
      <x:c r="M980" s="17" t="str"/>
      <x:c r="N980" s="18" t="n">
        <x:v>0</x:v>
      </x:c>
      <x:c r="O980" s="17" t="str">
        <x:v>public_sse_client_estimate</x:v>
      </x:c>
    </x:row>
    <x:row r="981" ht="48" customHeight="1">
      <x:c r="A981" s="17" t="str">
        <x:v>BUS183</x:v>
      </x:c>
      <x:c r="B981" s="17" t="str">
        <x:v>查询红利ETF当前表现，并列出红利指数最新估值。</x:v>
      </x:c>
      <x:c r="C981" s="17" t="n">
        <x:v>5</x:v>
      </x:c>
      <x:c r="D981" s="17" t="str">
        <x:v>数据口径</x:v>
      </x:c>
      <x:c r="E981" s="17" t="str">
        <x:v>12879.4</x:v>
      </x:c>
      <x:c r="F981" s="17" t="str">
        <x:v>17281.77</x:v>
      </x:c>
      <x:c r="G981" s="18" t="n">
        <x:v>4402.37</x:v>
      </x:c>
      <x:c r="H981" s="18" t="n">
        <x:f>IFERROR(G981/1000,"")</x:f>
        <x:v>4.4023699999999995</x:v>
      </x:c>
      <x:c r="I981" s="19" t="n">
        <x:f>IFERROR(G981/J981,"")</x:f>
        <x:v>0.07429977252881195</x:v>
      </x:c>
      <x:c r="J981" s="17" t="n">
        <x:v>59251.46</x:v>
      </x:c>
      <x:c r="K981" s="17" t="str"/>
      <x:c r="L981" s="17" t="str">
        <x:v>已定位基金基础信息视图，并确认了可用字段与时间口径。</x:v>
      </x:c>
      <x:c r="M981" s="17" t="str"/>
      <x:c r="N981" s="18" t="n">
        <x:v>0</x:v>
      </x:c>
      <x:c r="O981" s="17" t="str">
        <x:v>public_sse_client_estimate</x:v>
      </x:c>
    </x:row>
    <x:row r="982" ht="48" customHeight="1">
      <x:c r="A982" s="17" t="str">
        <x:v>BUS183</x:v>
      </x:c>
      <x:c r="B982" s="17" t="str">
        <x:v>查询红利ETF当前表现，并列出红利指数最新估值。</x:v>
      </x:c>
      <x:c r="C982" s="17" t="n">
        <x:v>6</x:v>
      </x:c>
      <x:c r="D982" s="17" t="str">
        <x:v>数据口径</x:v>
      </x:c>
      <x:c r="E982" s="17" t="str">
        <x:v>17281.77</x:v>
      </x:c>
      <x:c r="F982" s="17" t="str">
        <x:v>25593.42</x:v>
      </x:c>
      <x:c r="G982" s="18" t="n">
        <x:v>8311.65</x:v>
      </x:c>
      <x:c r="H982" s="18" t="n">
        <x:f>IFERROR(G982/1000,"")</x:f>
        <x:v>8.31165</x:v>
      </x:c>
      <x:c r="I982" s="19" t="n">
        <x:f>IFERROR(G982/J982,"")</x:f>
        <x:v>0.140277556029843</x:v>
      </x:c>
      <x:c r="J982" s="17" t="n">
        <x:v>59251.46</x:v>
      </x:c>
      <x:c r="K982" s="17" t="str"/>
      <x:c r="L982" s="17" t="str">
        <x:v>已定位指数基础信息视图，并确认了可用字段与时间口径。</x:v>
      </x:c>
      <x:c r="M982" s="17" t="str"/>
      <x:c r="N982" s="18" t="n">
        <x:v>0</x:v>
      </x:c>
      <x:c r="O982" s="17" t="str">
        <x:v>public_sse_client_estimate</x:v>
      </x:c>
    </x:row>
    <x:row r="983" ht="48" customHeight="1">
      <x:c r="A983" s="17" t="str">
        <x:v>BUS183</x:v>
      </x:c>
      <x:c r="B983" s="17" t="str">
        <x:v>查询红利ETF当前表现，并列出红利指数最新估值。</x:v>
      </x:c>
      <x:c r="C983" s="17" t="n">
        <x:v>7</x:v>
      </x:c>
      <x:c r="D983" s="17" t="str">
        <x:v>数据查询 1/2</x:v>
      </x:c>
      <x:c r="E983" s="17" t="str">
        <x:v>25612.79</x:v>
      </x:c>
      <x:c r="F983" s="17" t="str">
        <x:v>25638.7</x:v>
      </x:c>
      <x:c r="G983" s="18" t="n">
        <x:v>25.91</x:v>
      </x:c>
      <x:c r="H983" s="18" t="n">
        <x:f>IFERROR(G983/1000,"")</x:f>
        <x:v>0.02591</x:v>
      </x:c>
      <x:c r="I983" s="19" t="n">
        <x:f>IFERROR(G983/J983,"")</x:f>
        <x:v>0.00043728880267254175</x:v>
      </x:c>
      <x:c r="J983" s="17" t="n">
        <x:v>59251.46</x:v>
      </x:c>
      <x:c r="K983" s="17" t="str"/>
      <x:c r="L983" s="17" t="str">
        <x:v>已完成：查询红利ETF基金的基础信息，获取基金代码，取得 10 条记录。</x:v>
      </x:c>
      <x:c r="M983" s="17" t="str"/>
      <x:c r="N983" s="18" t="n">
        <x:v>19.37</x:v>
      </x:c>
      <x:c r="O983" s="17" t="str">
        <x:v>public_sse_client_estimate</x:v>
      </x:c>
    </x:row>
    <x:row r="984" ht="48" customHeight="1">
      <x:c r="A984" s="17" t="str">
        <x:v>BUS183</x:v>
      </x:c>
      <x:c r="B984" s="17" t="str">
        <x:v>查询红利ETF当前表现，并列出红利指数最新估值。</x:v>
      </x:c>
      <x:c r="C984" s="17" t="n">
        <x:v>8</x:v>
      </x:c>
      <x:c r="D984" s="17" t="str">
        <x:v>数据查询 2/2</x:v>
      </x:c>
      <x:c r="E984" s="17" t="str">
        <x:v>25643.76</x:v>
      </x:c>
      <x:c r="F984" s="17" t="str">
        <x:v>28228.67</x:v>
      </x:c>
      <x:c r="G984" s="18" t="n">
        <x:v>2584.91</x:v>
      </x:c>
      <x:c r="H984" s="18" t="n">
        <x:f>IFERROR(G984/1000,"")</x:f>
        <x:v>2.58491</x:v>
      </x:c>
      <x:c r="I984" s="19" t="n">
        <x:f>IFERROR(G984/J984,"")</x:f>
        <x:v>0.043626097989821686</x:v>
      </x:c>
      <x:c r="J984" s="17" t="n">
        <x:v>59251.46</x:v>
      </x:c>
      <x:c r="K984" s="17" t="str"/>
      <x:c r="L984" s="17" t="str">
        <x:v>已完成：查询红利指数的基础信息，获取指数代码，取得 2 条记录。</x:v>
      </x:c>
      <x:c r="M984" s="17" t="str"/>
      <x:c r="N984" s="18" t="n">
        <x:v>5.06</x:v>
      </x:c>
      <x:c r="O984" s="17" t="str">
        <x:v>public_sse_client_estimate</x:v>
      </x:c>
    </x:row>
    <x:row r="985" ht="48" customHeight="1">
      <x:c r="A985" s="17" t="str">
        <x:v>BUS183</x:v>
      </x:c>
      <x:c r="B985" s="17" t="str">
        <x:v>查询红利ETF当前表现，并列出红利指数最新估值。</x:v>
      </x:c>
      <x:c r="C985" s="17" t="n">
        <x:v>9</x:v>
      </x:c>
      <x:c r="D985" s="17" t="str">
        <x:v>数据查询 1/2</x:v>
      </x:c>
      <x:c r="E985" s="17" t="str">
        <x:v>37282.08</x:v>
      </x:c>
      <x:c r="F985" s="17" t="str">
        <x:v>37748.11</x:v>
      </x:c>
      <x:c r="G985" s="18" t="n">
        <x:v>466.03</x:v>
      </x:c>
      <x:c r="H985" s="18" t="n">
        <x:f>IFERROR(G985/1000,"")</x:f>
        <x:v>0.46603</x:v>
      </x:c>
      <x:c r="I985" s="19" t="n">
        <x:f>IFERROR(G985/J985,"")</x:f>
        <x:v>0.007865291420667102</x:v>
      </x:c>
      <x:c r="J985" s="17" t="n">
        <x:v>59251.46</x:v>
      </x:c>
      <x:c r="K985" s="17" t="str"/>
      <x:c r="L985" s="17" t="str">
        <x:v>已完成：查询上证红利ETF（510880）的基金基础信息，取得 1 条记录。</x:v>
      </x:c>
      <x:c r="M985" s="17" t="str"/>
      <x:c r="N985" s="18" t="n">
        <x:v>9053.41</x:v>
      </x:c>
      <x:c r="O985" s="17" t="str">
        <x:v>public_sse_client_estimate</x:v>
      </x:c>
    </x:row>
    <x:row r="986" ht="48" customHeight="1">
      <x:c r="A986" s="17" t="str">
        <x:v>BUS183</x:v>
      </x:c>
      <x:c r="B986" s="17" t="str">
        <x:v>查询红利ETF当前表现，并列出红利指数最新估值。</x:v>
      </x:c>
      <x:c r="C986" s="17" t="n">
        <x:v>10</x:v>
      </x:c>
      <x:c r="D986" s="17" t="str">
        <x:v>数据查询 2/2</x:v>
      </x:c>
      <x:c r="E986" s="17" t="str">
        <x:v>37752.3</x:v>
      </x:c>
      <x:c r="F986" s="17" t="str">
        <x:v>38253.84</x:v>
      </x:c>
      <x:c r="G986" s="18" t="n">
        <x:v>501.54</x:v>
      </x:c>
      <x:c r="H986" s="18" t="n">
        <x:f>IFERROR(G986/1000,"")</x:f>
        <x:v>0.50154</x:v>
      </x:c>
      <x:c r="I986" s="19" t="n">
        <x:f>IFERROR(G986/J986,"")</x:f>
        <x:v>0.008464601547371154</x:v>
      </x:c>
      <x:c r="J986" s="17" t="n">
        <x:v>59251.46</x:v>
      </x:c>
      <x:c r="K986" s="17" t="str"/>
      <x:c r="L986" s="17" t="str">
        <x:v>已完成：查询中证红利ETF（515180）的基金基础信息，取得 1 条记录。</x:v>
      </x:c>
      <x:c r="M986" s="17" t="str"/>
      <x:c r="N986" s="18" t="n">
        <x:v>4.19</x:v>
      </x:c>
      <x:c r="O986" s="17" t="str">
        <x:v>public_sse_client_estimate</x:v>
      </x:c>
    </x:row>
    <x:row r="987" ht="48" customHeight="1">
      <x:c r="A987" s="17" t="str">
        <x:v>BUS183</x:v>
      </x:c>
      <x:c r="B987" s="17" t="str">
        <x:v>查询红利ETF当前表现，并列出红利指数最新估值。</x:v>
      </x:c>
      <x:c r="C987" s="17" t="n">
        <x:v>11</x:v>
      </x:c>
      <x:c r="D987" s="17" t="str">
        <x:v>数据查询 1/2</x:v>
      </x:c>
      <x:c r="E987" s="17" t="str">
        <x:v>45324.78</x:v>
      </x:c>
      <x:c r="F987" s="17" t="str">
        <x:v>45853.74</x:v>
      </x:c>
      <x:c r="G987" s="18" t="n">
        <x:v>528.96</x:v>
      </x:c>
      <x:c r="H987" s="18" t="n">
        <x:f>IFERROR(G987/1000,"")</x:f>
        <x:v>0.52896</x:v>
      </x:c>
      <x:c r="I987" s="19" t="n">
        <x:f>IFERROR(G987/J987,"")</x:f>
        <x:v>0.008927374954136152</x:v>
      </x:c>
      <x:c r="J987" s="17" t="n">
        <x:v>59251.46</x:v>
      </x:c>
      <x:c r="K987" s="17" t="str"/>
      <x:c r="L987" s="17" t="str">
        <x:v>已完成：查询华泰柏瑞上证红利ETF（510880）最新行情表现，取得 1 条记录。</x:v>
      </x:c>
      <x:c r="M987" s="17" t="str"/>
      <x:c r="N987" s="18" t="n">
        <x:v>7070.94</x:v>
      </x:c>
      <x:c r="O987" s="17" t="str">
        <x:v>public_sse_client_estimate</x:v>
      </x:c>
    </x:row>
    <x:row r="988" ht="48" customHeight="1">
      <x:c r="A988" s="17" t="str">
        <x:v>BUS183</x:v>
      </x:c>
      <x:c r="B988" s="17" t="str">
        <x:v>查询红利ETF当前表现，并列出红利指数最新估值。</x:v>
      </x:c>
      <x:c r="C988" s="17" t="n">
        <x:v>12</x:v>
      </x:c>
      <x:c r="D988" s="17" t="str">
        <x:v>数据查询 2/2</x:v>
      </x:c>
      <x:c r="E988" s="17" t="str">
        <x:v>45857.94</x:v>
      </x:c>
      <x:c r="F988" s="17" t="str">
        <x:v>46326.67</x:v>
      </x:c>
      <x:c r="G988" s="18" t="n">
        <x:v>468.73</x:v>
      </x:c>
      <x:c r="H988" s="18" t="n">
        <x:f>IFERROR(G988/1000,"")</x:f>
        <x:v>0.46873000000000004</x:v>
      </x:c>
      <x:c r="I988" s="19" t="n">
        <x:f>IFERROR(G988/J988,"")</x:f>
        <x:v>0.007910859918050964</x:v>
      </x:c>
      <x:c r="J988" s="17" t="n">
        <x:v>59251.46</x:v>
      </x:c>
      <x:c r="K988" s="17" t="str"/>
      <x:c r="L988" s="17" t="str">
        <x:v>已完成：查询上证红利指数（000015）最新估值，取得 1 条记录。</x:v>
      </x:c>
      <x:c r="M988" s="17" t="str"/>
      <x:c r="N988" s="18" t="n">
        <x:v>4.2</x:v>
      </x:c>
      <x:c r="O988" s="17" t="str">
        <x:v>public_sse_client_estimate</x:v>
      </x:c>
    </x:row>
    <x:row r="989" ht="48" customHeight="1">
      <x:c r="A989" s="17" t="str">
        <x:v>BUS183</x:v>
      </x:c>
      <x:c r="B989" s="17" t="str">
        <x:v>查询红利ETF当前表现，并列出红利指数最新估值。</x:v>
      </x:c>
      <x:c r="C989" s="17" t="n">
        <x:v>13</x:v>
      </x:c>
      <x:c r="D989" s="17" t="str">
        <x:v>回答整理</x:v>
      </x:c>
      <x:c r="E989" s="17" t="str">
        <x:v>46326.67</x:v>
      </x:c>
      <x:c r="F989" s="17" t="str">
        <x:v>54825.08</x:v>
      </x:c>
      <x:c r="G989" s="18" t="n">
        <x:v>8498.41</x:v>
      </x:c>
      <x:c r="H989" s="18" t="n">
        <x:f>IFERROR(G989/1000,"")</x:f>
        <x:v>8.49841</x:v>
      </x:c>
      <x:c r="I989" s="19" t="n">
        <x:f>IFERROR(G989/J989,"")</x:f>
        <x:v>0.14342954587110596</x:v>
      </x:c>
      <x:c r="J989" s="17" t="n">
        <x:v>59251.46</x:v>
      </x:c>
      <x:c r="K989" s="17" t="str"/>
      <x:c r="L989" s="17" t="str">
        <x:v>本轮金融问答未能完成。</x:v>
      </x:c>
      <x:c r="M989" s="17" t="str"/>
      <x:c r="N989" s="18" t="n">
        <x:v>0</x:v>
      </x:c>
      <x:c r="O989" s="17" t="str">
        <x:v>public_sse_client_estimate</x:v>
      </x:c>
    </x:row>
    <x:row r="990" ht="48" customHeight="1">
      <x:c r="A990" s="17" t="str">
        <x:v>BUS184</x:v>
      </x:c>
      <x:c r="B990" s="17" t="str">
        <x:v>同时查询创业板ETF行情和宁德时代当前涨跌幅。</x:v>
      </x:c>
      <x:c r="C990" s="17" t="n">
        <x:v>1</x:v>
      </x:c>
      <x:c r="D990" s="17" t="str">
        <x:v>问题理解</x:v>
      </x:c>
      <x:c r="E990" s="17" t="str">
        <x:v>8794.81</x:v>
      </x:c>
      <x:c r="F990" s="17" t="str">
        <x:v>15935.23</x:v>
      </x:c>
      <x:c r="G990" s="18" t="n">
        <x:v>7140.42</x:v>
      </x:c>
      <x:c r="H990" s="18" t="n">
        <x:f>IFERROR(G990/1000,"")</x:f>
        <x:v>7.14042</x:v>
      </x:c>
      <x:c r="I990" s="19" t="n">
        <x:f>IFERROR(G990/J990,"")</x:f>
        <x:v>0.1611882805405043</x:v>
      </x:c>
      <x:c r="J990" s="17" t="n">
        <x:v>44298.63</x:v>
      </x:c>
      <x:c r="K990" s="17" t="str"/>
      <x:c r="L990" s="17" t="str">
        <x:v>已明确本题的对象与口径，开始获取所需证据。</x:v>
      </x:c>
      <x:c r="M990" s="17" t="str"/>
      <x:c r="N990" s="18" t="n">
        <x:v>8794.81</x:v>
      </x:c>
      <x:c r="O990" s="17" t="str">
        <x:v>public_sse_client_estimate</x:v>
      </x:c>
    </x:row>
    <x:row r="991" ht="48" customHeight="1">
      <x:c r="A991" s="17" t="str">
        <x:v>BUS184</x:v>
      </x:c>
      <x:c r="B991" s="17" t="str">
        <x:v>同时查询创业板ETF行情和宁德时代当前涨跌幅。</x:v>
      </x:c>
      <x:c r="C991" s="17" t="n">
        <x:v>2</x:v>
      </x:c>
      <x:c r="D991" s="17" t="str">
        <x:v>数据口径</x:v>
      </x:c>
      <x:c r="E991" s="17" t="str">
        <x:v>15935.23</x:v>
      </x:c>
      <x:c r="F991" s="17" t="str">
        <x:v>15999</x:v>
      </x:c>
      <x:c r="G991" s="18" t="n">
        <x:v>63.77</x:v>
      </x:c>
      <x:c r="H991" s="18" t="n">
        <x:f>IFERROR(G991/1000,"")</x:f>
        <x:v>0.06377000000000001</x:v>
      </x:c>
      <x:c r="I991" s="19" t="n">
        <x:f>IFERROR(G991/J991,"")</x:f>
        <x:v>0.0014395479047546167</x:v>
      </x:c>
      <x:c r="J991" s="17" t="n">
        <x:v>44298.63</x:v>
      </x:c>
      <x:c r="K991" s="17" t="str"/>
      <x:c r="L991" s="17" t="str">
        <x:v>已定位基金行情视图，并确认了可用字段与时间口径。</x:v>
      </x:c>
      <x:c r="M991" s="17" t="str"/>
      <x:c r="N991" s="18" t="n">
        <x:v>0</x:v>
      </x:c>
      <x:c r="O991" s="17" t="str">
        <x:v>public_sse_client_estimate</x:v>
      </x:c>
    </x:row>
    <x:row r="992" ht="48" customHeight="1">
      <x:c r="A992" s="17" t="str">
        <x:v>BUS184</x:v>
      </x:c>
      <x:c r="B992" s="17" t="str">
        <x:v>同时查询创业板ETF行情和宁德时代当前涨跌幅。</x:v>
      </x:c>
      <x:c r="C992" s="17" t="n">
        <x:v>3</x:v>
      </x:c>
      <x:c r="D992" s="17" t="str">
        <x:v>数据口径</x:v>
      </x:c>
      <x:c r="E992" s="17" t="str">
        <x:v>15999</x:v>
      </x:c>
      <x:c r="F992" s="17" t="str">
        <x:v>16424.6</x:v>
      </x:c>
      <x:c r="G992" s="18" t="n">
        <x:v>425.6</x:v>
      </x:c>
      <x:c r="H992" s="18" t="n">
        <x:f>IFERROR(G992/1000,"")</x:f>
        <x:v>0.42560000000000003</x:v>
      </x:c>
      <x:c r="I992" s="19" t="n">
        <x:f>IFERROR(G992/J992,"")</x:f>
        <x:v>0.009607520593751997</x:v>
      </x:c>
      <x:c r="J992" s="17" t="n">
        <x:v>44298.63</x:v>
      </x:c>
      <x:c r="K992" s="17" t="str"/>
      <x:c r="L992" s="17" t="str">
        <x:v>已定位个股行情视图，并确认了可用字段与时间口径。</x:v>
      </x:c>
      <x:c r="M992" s="17" t="str"/>
      <x:c r="N992" s="18" t="n">
        <x:v>0</x:v>
      </x:c>
      <x:c r="O992" s="17" t="str">
        <x:v>public_sse_client_estimate</x:v>
      </x:c>
    </x:row>
    <x:row r="993" ht="48" customHeight="1">
      <x:c r="A993" s="17" t="str">
        <x:v>BUS184</x:v>
      </x:c>
      <x:c r="B993" s="17" t="str">
        <x:v>同时查询创业板ETF行情和宁德时代当前涨跌幅。</x:v>
      </x:c>
      <x:c r="C993" s="17" t="n">
        <x:v>4</x:v>
      </x:c>
      <x:c r="D993" s="17" t="str">
        <x:v>数据查询 1/2</x:v>
      </x:c>
      <x:c r="E993" s="17" t="str">
        <x:v>23628.64</x:v>
      </x:c>
      <x:c r="F993" s="17" t="str">
        <x:v>24122.17</x:v>
      </x:c>
      <x:c r="G993" s="18" t="n">
        <x:v>493.53</x:v>
      </x:c>
      <x:c r="H993" s="18" t="n">
        <x:f>IFERROR(G993/1000,"")</x:f>
        <x:v>0.49352999999999997</x:v>
      </x:c>
      <x:c r="I993" s="19" t="n">
        <x:f>IFERROR(G993/J993,"")</x:f>
        <x:v>0.011140976594535768</x:v>
      </x:c>
      <x:c r="J993" s="17" t="n">
        <x:v>44298.63</x:v>
      </x:c>
      <x:c r="K993" s="17" t="str"/>
      <x:c r="L993" s="17" t="str">
        <x:v>已完成：查询创业板ETF（159915）上一个交易日行情，包括涨跌幅，取得 1 条记录。</x:v>
      </x:c>
      <x:c r="M993" s="17" t="str"/>
      <x:c r="N993" s="18" t="n">
        <x:v>7204.04</x:v>
      </x:c>
      <x:c r="O993" s="17" t="str">
        <x:v>public_sse_client_estimate</x:v>
      </x:c>
    </x:row>
    <x:row r="994" ht="48" customHeight="1">
      <x:c r="A994" s="17" t="str">
        <x:v>BUS184</x:v>
      </x:c>
      <x:c r="B994" s="17" t="str">
        <x:v>同时查询创业板ETF行情和宁德时代当前涨跌幅。</x:v>
      </x:c>
      <x:c r="C994" s="17" t="n">
        <x:v>5</x:v>
      </x:c>
      <x:c r="D994" s="17" t="str">
        <x:v>数据查询 2/2</x:v>
      </x:c>
      <x:c r="E994" s="17" t="str">
        <x:v>24124.05</x:v>
      </x:c>
      <x:c r="F994" s="17" t="str">
        <x:v>24614.37</x:v>
      </x:c>
      <x:c r="G994" s="18" t="n">
        <x:v>490.32</x:v>
      </x:c>
      <x:c r="H994" s="18" t="n">
        <x:f>IFERROR(G994/1000,"")</x:f>
        <x:v>0.49032</x:v>
      </x:c>
      <x:c r="I994" s="19" t="n">
        <x:f>IFERROR(G994/J994,"")</x:f>
        <x:v>0.01106851385697481</x:v>
      </x:c>
      <x:c r="J994" s="17" t="n">
        <x:v>44298.63</x:v>
      </x:c>
      <x:c r="K994" s="17" t="str"/>
      <x:c r="L994" s="17" t="str">
        <x:v>已完成：查询宁德时代（300750.SZ）上一个交易日涨跌幅，取得 1 条记录。</x:v>
      </x:c>
      <x:c r="M994" s="17" t="str"/>
      <x:c r="N994" s="18" t="n">
        <x:v>1.88</x:v>
      </x:c>
      <x:c r="O994" s="17" t="str">
        <x:v>public_sse_client_estimate</x:v>
      </x:c>
    </x:row>
    <x:row r="995" ht="48" customHeight="1">
      <x:c r="A995" s="17" t="str">
        <x:v>BUS184</x:v>
      </x:c>
      <x:c r="B995" s="17" t="str">
        <x:v>同时查询创业板ETF行情和宁德时代当前涨跌幅。</x:v>
      </x:c>
      <x:c r="C995" s="17" t="n">
        <x:v>6</x:v>
      </x:c>
      <x:c r="D995" s="17" t="str">
        <x:v>回答整理</x:v>
      </x:c>
      <x:c r="E995" s="17" t="str">
        <x:v>24614.37</x:v>
      </x:c>
      <x:c r="F995" s="17" t="str">
        <x:v>39387.78</x:v>
      </x:c>
      <x:c r="G995" s="18" t="n">
        <x:v>14773.41</x:v>
      </x:c>
      <x:c r="H995" s="18" t="n">
        <x:f>IFERROR(G995/1000,"")</x:f>
        <x:v>14.77341</x:v>
      </x:c>
      <x:c r="I995" s="19" t="n">
        <x:f>IFERROR(G995/J995,"")</x:f>
        <x:v>0.33349586657646074</x:v>
      </x:c>
      <x:c r="J995" s="17" t="n">
        <x:v>44298.63</x:v>
      </x:c>
      <x:c r="K995" s="17" t="str"/>
      <x:c r="L995" s="17" t="str">
        <x:v>证据与回答已整理完成。</x:v>
      </x:c>
      <x:c r="M995" s="17" t="str"/>
      <x:c r="N995" s="18" t="n">
        <x:v>0</x:v>
      </x:c>
      <x:c r="O995" s="17" t="str">
        <x:v>public_sse_client_estimate</x:v>
      </x:c>
    </x:row>
    <x:row r="996" ht="48" customHeight="1">
      <x:c r="A996" s="17" t="str">
        <x:v>BUS185</x:v>
      </x:c>
      <x:c r="B996" s="17" t="str">
        <x:v>查询平安转债的债券代码、名称和发行人。</x:v>
      </x:c>
      <x:c r="C996" s="17" t="n">
        <x:v>1</x:v>
      </x:c>
      <x:c r="D996" s="17" t="str">
        <x:v>问题理解</x:v>
      </x:c>
      <x:c r="E996" s="17" t="str">
        <x:v>6760.28</x:v>
      </x:c>
      <x:c r="F996" s="17" t="str">
        <x:v>14960.77</x:v>
      </x:c>
      <x:c r="G996" s="18" t="n">
        <x:v>8200.49</x:v>
      </x:c>
      <x:c r="H996" s="18" t="n">
        <x:f>IFERROR(G996/1000,"")</x:f>
        <x:v>8.20049</x:v>
      </x:c>
      <x:c r="I996" s="19" t="n">
        <x:f>IFERROR(G996/J996,"")</x:f>
        <x:v>0.3442474235459564</x:v>
      </x:c>
      <x:c r="J996" s="17" t="n">
        <x:v>23821.5</x:v>
      </x:c>
      <x:c r="K996" s="17" t="str"/>
      <x:c r="L996" s="17" t="str">
        <x:v>已明确本题的对象与口径，开始获取所需证据。</x:v>
      </x:c>
      <x:c r="M996" s="17" t="str"/>
      <x:c r="N996" s="18" t="n">
        <x:v>6760.28</x:v>
      </x:c>
      <x:c r="O996" s="17" t="str">
        <x:v>public_sse_client_estimate</x:v>
      </x:c>
    </x:row>
    <x:row r="997" ht="48" customHeight="1">
      <x:c r="A997" s="17" t="str">
        <x:v>BUS185</x:v>
      </x:c>
      <x:c r="B997" s="17" t="str">
        <x:v>查询平安转债的债券代码、名称和发行人。</x:v>
      </x:c>
      <x:c r="C997" s="17" t="n">
        <x:v>2</x:v>
      </x:c>
      <x:c r="D997" s="17" t="str">
        <x:v>数据口径</x:v>
      </x:c>
      <x:c r="E997" s="17" t="str">
        <x:v>14960.77</x:v>
      </x:c>
      <x:c r="F997" s="17" t="str">
        <x:v>15610.65</x:v>
      </x:c>
      <x:c r="G997" s="18" t="n">
        <x:v>649.88</x:v>
      </x:c>
      <x:c r="H997" s="18" t="n">
        <x:f>IFERROR(G997/1000,"")</x:f>
        <x:v>0.64988</x:v>
      </x:c>
      <x:c r="I997" s="19" t="n">
        <x:f>IFERROR(G997/J997,"")</x:f>
        <x:v>0.027281237537518627</x:v>
      </x:c>
      <x:c r="J997" s="17" t="n">
        <x:v>23821.5</x:v>
      </x:c>
      <x:c r="K997" s="17" t="str"/>
      <x:c r="L997" s="17" t="str">
        <x:v>已定位债券基础信息视图，并确认了可用字段与时间口径。</x:v>
      </x:c>
      <x:c r="M997" s="17" t="str"/>
      <x:c r="N997" s="18" t="n">
        <x:v>0</x:v>
      </x:c>
      <x:c r="O997" s="17" t="str">
        <x:v>public_sse_client_estimate</x:v>
      </x:c>
    </x:row>
    <x:row r="998" ht="48" customHeight="1">
      <x:c r="A998" s="17" t="str">
        <x:v>BUS185</x:v>
      </x:c>
      <x:c r="B998" s="17" t="str">
        <x:v>查询平安转债的债券代码、名称和发行人。</x:v>
      </x:c>
      <x:c r="C998" s="17" t="n">
        <x:v>3</x:v>
      </x:c>
      <x:c r="D998" s="17" t="str">
        <x:v>数据查询 1/1</x:v>
      </x:c>
      <x:c r="E998" s="17" t="str">
        <x:v>19468.75</x:v>
      </x:c>
      <x:c r="F998" s="17" t="str">
        <x:v>20108.01</x:v>
      </x:c>
      <x:c r="G998" s="18" t="n">
        <x:v>639.26</x:v>
      </x:c>
      <x:c r="H998" s="18" t="n">
        <x:f>IFERROR(G998/1000,"")</x:f>
        <x:v>0.6392599999999999</x:v>
      </x:c>
      <x:c r="I998" s="19" t="n">
        <x:f>IFERROR(G998/J998,"")</x:f>
        <x:v>0.02683542178284323</x:v>
      </x:c>
      <x:c r="J998" s="17" t="n">
        <x:v>23821.5</x:v>
      </x:c>
      <x:c r="K998" s="17" t="str"/>
      <x:c r="L998" s="17" t="str">
        <x:v>已完成：查询平安转债的债券代码、名称和发行人，取得 1 条记录。</x:v>
      </x:c>
      <x:c r="M998" s="17" t="str"/>
      <x:c r="N998" s="18" t="n">
        <x:v>3858.1</x:v>
      </x:c>
      <x:c r="O998" s="17" t="str">
        <x:v>public_sse_client_estimate</x:v>
      </x:c>
    </x:row>
    <x:row r="999" ht="48" customHeight="1">
      <x:c r="A999" s="17" t="str">
        <x:v>BUS185</x:v>
      </x:c>
      <x:c r="B999" s="17" t="str">
        <x:v>查询平安转债的债券代码、名称和发行人。</x:v>
      </x:c>
      <x:c r="C999" s="17" t="n">
        <x:v>4</x:v>
      </x:c>
      <x:c r="D999" s="17" t="str">
        <x:v>回答整理</x:v>
      </x:c>
      <x:c r="E999" s="17" t="str">
        <x:v>20108.01</x:v>
      </x:c>
      <x:c r="F999" s="17" t="str">
        <x:v>21711.9</x:v>
      </x:c>
      <x:c r="G999" s="18" t="n">
        <x:v>1603.89</x:v>
      </x:c>
      <x:c r="H999" s="18" t="n">
        <x:f>IFERROR(G999/1000,"")</x:f>
        <x:v>1.60389</x:v>
      </x:c>
      <x:c r="I999" s="19" t="n">
        <x:f>IFERROR(G999/J999,"")</x:f>
        <x:v>0.06732951325483283</x:v>
      </x:c>
      <x:c r="J999" s="17" t="n">
        <x:v>23821.5</x:v>
      </x:c>
      <x:c r="K999" s="17" t="str"/>
      <x:c r="L999" s="17" t="str">
        <x:v>证据与回答已整理完成。</x:v>
      </x:c>
      <x:c r="M999" s="17" t="str"/>
      <x:c r="N999" s="18" t="n">
        <x:v>0</x:v>
      </x:c>
      <x:c r="O999" s="17" t="str">
        <x:v>public_sse_client_estimate</x:v>
      </x:c>
    </x:row>
    <x:row r="1000" ht="48" customHeight="1">
      <x:c r="A1000" s="17" t="str">
        <x:v>BUS186</x:v>
      </x:c>
      <x:c r="B1000" s="17" t="str">
        <x:v>查询名称包含转债的债券代码和名称。</x:v>
      </x:c>
      <x:c r="C1000" s="17" t="n">
        <x:v>1</x:v>
      </x:c>
      <x:c r="D1000" s="17" t="str">
        <x:v>问题理解</x:v>
      </x:c>
      <x:c r="E1000" s="17" t="str">
        <x:v>6834.04</x:v>
      </x:c>
      <x:c r="F1000" s="17" t="str">
        <x:v>9557.02</x:v>
      </x:c>
      <x:c r="G1000" s="18" t="n">
        <x:v>2722.98</x:v>
      </x:c>
      <x:c r="H1000" s="18" t="n">
        <x:f>IFERROR(G1000/1000,"")</x:f>
        <x:v>2.72298</x:v>
      </x:c>
      <x:c r="I1000" s="19" t="n">
        <x:f>IFERROR(G1000/J1000,"")</x:f>
        <x:v>0.1337905403546286</x:v>
      </x:c>
      <x:c r="J1000" s="17" t="n">
        <x:v>20352.56</x:v>
      </x:c>
      <x:c r="K1000" s="17" t="str"/>
      <x:c r="L1000" s="17" t="str">
        <x:v>已明确本题的对象与口径，开始获取所需证据。</x:v>
      </x:c>
      <x:c r="M1000" s="17" t="str"/>
      <x:c r="N1000" s="18" t="n">
        <x:v>6834.04</x:v>
      </x:c>
      <x:c r="O1000" s="17" t="str">
        <x:v>public_sse_client_estimate</x:v>
      </x:c>
    </x:row>
    <x:row r="1001" ht="48" customHeight="1">
      <x:c r="A1001" s="17" t="str">
        <x:v>BUS186</x:v>
      </x:c>
      <x:c r="B1001" s="17" t="str">
        <x:v>查询名称包含转债的债券代码和名称。</x:v>
      </x:c>
      <x:c r="C1001" s="17" t="n">
        <x:v>2</x:v>
      </x:c>
      <x:c r="D1001" s="17" t="str">
        <x:v>数据口径</x:v>
      </x:c>
      <x:c r="E1001" s="17" t="str">
        <x:v>9557.02</x:v>
      </x:c>
      <x:c r="F1001" s="17" t="str">
        <x:v>9644.27</x:v>
      </x:c>
      <x:c r="G1001" s="18" t="n">
        <x:v>87.25</x:v>
      </x:c>
      <x:c r="H1001" s="18" t="n">
        <x:f>IFERROR(G1001/1000,"")</x:f>
        <x:v>0.08725</x:v>
      </x:c>
      <x:c r="I1001" s="19" t="n">
        <x:f>IFERROR(G1001/J1001,"")</x:f>
        <x:v>0.0042869299979953375</x:v>
      </x:c>
      <x:c r="J1001" s="17" t="n">
        <x:v>20352.56</x:v>
      </x:c>
      <x:c r="K1001" s="17" t="str"/>
      <x:c r="L1001" s="17" t="str">
        <x:v>已定位债券基础信息视图，并确认了可用字段与时间口径。</x:v>
      </x:c>
      <x:c r="M1001" s="17" t="str"/>
      <x:c r="N1001" s="18" t="n">
        <x:v>0</x:v>
      </x:c>
      <x:c r="O1001" s="17" t="str">
        <x:v>public_sse_client_estimate</x:v>
      </x:c>
    </x:row>
    <x:row r="1002" ht="48" customHeight="1">
      <x:c r="A1002" s="17" t="str">
        <x:v>BUS186</x:v>
      </x:c>
      <x:c r="B1002" s="17" t="str">
        <x:v>查询名称包含转债的债券代码和名称。</x:v>
      </x:c>
      <x:c r="C1002" s="17" t="n">
        <x:v>3</x:v>
      </x:c>
      <x:c r="D1002" s="17" t="str">
        <x:v>数据查询 1/1</x:v>
      </x:c>
      <x:c r="E1002" s="17" t="str">
        <x:v>13388.63</x:v>
      </x:c>
      <x:c r="F1002" s="17" t="str">
        <x:v>13982.1</x:v>
      </x:c>
      <x:c r="G1002" s="18" t="n">
        <x:v>593.47</x:v>
      </x:c>
      <x:c r="H1002" s="18" t="n">
        <x:f>IFERROR(G1002/1000,"")</x:f>
        <x:v>0.59347</x:v>
      </x:c>
      <x:c r="I1002" s="19" t="n">
        <x:f>IFERROR(G1002/J1002,"")</x:f>
        <x:v>0.029159476743957517</x:v>
      </x:c>
      <x:c r="J1002" s="17" t="n">
        <x:v>20352.56</x:v>
      </x:c>
      <x:c r="K1002" s="17" t="str"/>
      <x:c r="L1002" s="17" t="str">
        <x:v>已完成：查询名称包含'转债'的债券代码和名称，取得 100 条记录。</x:v>
      </x:c>
      <x:c r="M1002" s="17" t="str"/>
      <x:c r="N1002" s="18" t="n">
        <x:v>3744.36</x:v>
      </x:c>
      <x:c r="O1002" s="17" t="str">
        <x:v>public_sse_client_estimate</x:v>
      </x:c>
    </x:row>
    <x:row r="1003" ht="48" customHeight="1">
      <x:c r="A1003" s="17" t="str">
        <x:v>BUS186</x:v>
      </x:c>
      <x:c r="B1003" s="17" t="str">
        <x:v>查询名称包含转债的债券代码和名称。</x:v>
      </x:c>
      <x:c r="C1003" s="17" t="n">
        <x:v>4</x:v>
      </x:c>
      <x:c r="D1003" s="17" t="str">
        <x:v>回答整理</x:v>
      </x:c>
      <x:c r="E1003" s="17" t="str">
        <x:v>13982.1</x:v>
      </x:c>
      <x:c r="F1003" s="17" t="str">
        <x:v>18468.26</x:v>
      </x:c>
      <x:c r="G1003" s="18" t="n">
        <x:v>4486.16</x:v>
      </x:c>
      <x:c r="H1003" s="18" t="n">
        <x:f>IFERROR(G1003/1000,"")</x:f>
        <x:v>4.48616</x:v>
      </x:c>
      <x:c r="I1003" s="19" t="n">
        <x:f>IFERROR(G1003/J1003,"")</x:f>
        <x:v>0.22042239403789987</x:v>
      </x:c>
      <x:c r="J1003" s="17" t="n">
        <x:v>20352.56</x:v>
      </x:c>
      <x:c r="K1003" s="17" t="str"/>
      <x:c r="L1003" s="17" t="str">
        <x:v>证据与回答已整理完成。</x:v>
      </x:c>
      <x:c r="M1003" s="17" t="str"/>
      <x:c r="N1003" s="18" t="n">
        <x:v>0</x:v>
      </x:c>
      <x:c r="O1003" s="17" t="str">
        <x:v>public_sse_client_estimate</x:v>
      </x:c>
    </x:row>
    <x:row r="1004" ht="48" customHeight="1">
      <x:c r="A1004" s="17" t="str">
        <x:v>BUS188</x:v>
      </x:c>
      <x:c r="B1004" s="17" t="str">
        <x:v>查询名称包含银行的债券列表。</x:v>
      </x:c>
      <x:c r="C1004" s="17" t="n">
        <x:v>1</x:v>
      </x:c>
      <x:c r="D1004" s="17" t="str">
        <x:v>问题理解</x:v>
      </x:c>
      <x:c r="E1004" s="17" t="str">
        <x:v>8094.62</x:v>
      </x:c>
      <x:c r="F1004" s="17" t="str">
        <x:v>10122.8</x:v>
      </x:c>
      <x:c r="G1004" s="18" t="n">
        <x:v>2028.18</x:v>
      </x:c>
      <x:c r="H1004" s="18" t="n">
        <x:f>IFERROR(G1004/1000,"")</x:f>
        <x:v>2.02818</x:v>
      </x:c>
      <x:c r="I1004" s="19" t="n">
        <x:f>IFERROR(G1004/J1004,"")</x:f>
        <x:v>0.056609998425778824</x:v>
      </x:c>
      <x:c r="J1004" s="17" t="n">
        <x:v>35827.24</x:v>
      </x:c>
      <x:c r="K1004" s="17" t="str"/>
      <x:c r="L1004" s="17" t="str">
        <x:v>已明确本题的对象与口径，开始获取所需证据。</x:v>
      </x:c>
      <x:c r="M1004" s="17" t="str"/>
      <x:c r="N1004" s="18" t="n">
        <x:v>8094.62</x:v>
      </x:c>
      <x:c r="O1004" s="17" t="str">
        <x:v>public_sse_client_estimate</x:v>
      </x:c>
    </x:row>
    <x:row r="1005" ht="48" customHeight="1">
      <x:c r="A1005" s="17" t="str">
        <x:v>BUS188</x:v>
      </x:c>
      <x:c r="B1005" s="17" t="str">
        <x:v>查询名称包含银行的债券列表。</x:v>
      </x:c>
      <x:c r="C1005" s="17" t="n">
        <x:v>2</x:v>
      </x:c>
      <x:c r="D1005" s="17" t="str">
        <x:v>数据口径</x:v>
      </x:c>
      <x:c r="E1005" s="17" t="str">
        <x:v>10122.8</x:v>
      </x:c>
      <x:c r="F1005" s="17" t="str">
        <x:v>11283.54</x:v>
      </x:c>
      <x:c r="G1005" s="18" t="n">
        <x:v>1160.74</x:v>
      </x:c>
      <x:c r="H1005" s="18" t="n">
        <x:f>IFERROR(G1005/1000,"")</x:f>
        <x:v>1.16074</x:v>
      </x:c>
      <x:c r="I1005" s="19" t="n">
        <x:f>IFERROR(G1005/J1005,"")</x:f>
        <x:v>0.032398253396019344</x:v>
      </x:c>
      <x:c r="J1005" s="17" t="n">
        <x:v>35827.24</x:v>
      </x:c>
      <x:c r="K1005" s="17" t="str"/>
      <x:c r="L1005" s="17" t="str">
        <x:v>已定位债券基础信息视图，并确认了可用字段与时间口径。</x:v>
      </x:c>
      <x:c r="M1005" s="17" t="str"/>
      <x:c r="N1005" s="18" t="n">
        <x:v>0</x:v>
      </x:c>
      <x:c r="O1005" s="17" t="str">
        <x:v>public_sse_client_estimate</x:v>
      </x:c>
    </x:row>
    <x:row r="1006" ht="48" customHeight="1">
      <x:c r="A1006" s="17" t="str">
        <x:v>BUS188</x:v>
      </x:c>
      <x:c r="B1006" s="17" t="str">
        <x:v>查询名称包含银行的债券列表。</x:v>
      </x:c>
      <x:c r="C1006" s="17" t="n">
        <x:v>3</x:v>
      </x:c>
      <x:c r="D1006" s="17" t="str">
        <x:v>数据查询 1/1</x:v>
      </x:c>
      <x:c r="E1006" s="17" t="str">
        <x:v>14573.01</x:v>
      </x:c>
      <x:c r="F1006" s="17" t="str">
        <x:v>15248.06</x:v>
      </x:c>
      <x:c r="G1006" s="18" t="n">
        <x:v>675.05</x:v>
      </x:c>
      <x:c r="H1006" s="18" t="n">
        <x:f>IFERROR(G1006/1000,"")</x:f>
        <x:v>0.6750499999999999</x:v>
      </x:c>
      <x:c r="I1006" s="19" t="n">
        <x:f>IFERROR(G1006/J1006,"")</x:f>
        <x:v>0.01884180863499393</x:v>
      </x:c>
      <x:c r="J1006" s="17" t="n">
        <x:v>35827.24</x:v>
      </x:c>
      <x:c r="K1006" s="17" t="str"/>
      <x:c r="L1006" s="17" t="str">
        <x:v>已完成：查询名称包含'银行'的债券列表，获取其代码、简称和发行主体，当前条件下没有匹配记录。</x:v>
      </x:c>
      <x:c r="M1006" s="17" t="str"/>
      <x:c r="N1006" s="18" t="n">
        <x:v>3289.47</x:v>
      </x:c>
      <x:c r="O1006" s="17" t="str">
        <x:v>public_sse_client_estimate</x:v>
      </x:c>
    </x:row>
    <x:row r="1007" ht="48" customHeight="1">
      <x:c r="A1007" s="17" t="str">
        <x:v>BUS188</x:v>
      </x:c>
      <x:c r="B1007" s="17" t="str">
        <x:v>查询名称包含银行的债券列表。</x:v>
      </x:c>
      <x:c r="C1007" s="17" t="n">
        <x:v>4</x:v>
      </x:c>
      <x:c r="D1007" s="17" t="str">
        <x:v>数据查询 1/2</x:v>
      </x:c>
      <x:c r="E1007" s="17" t="str">
        <x:v>21492.04</x:v>
      </x:c>
      <x:c r="F1007" s="17" t="str">
        <x:v>22006.57</x:v>
      </x:c>
      <x:c r="G1007" s="18" t="n">
        <x:v>514.53</x:v>
      </x:c>
      <x:c r="H1007" s="18" t="n">
        <x:f>IFERROR(G1007/1000,"")</x:f>
        <x:v>0.5145299999999999</x:v>
      </x:c>
      <x:c r="I1007" s="19" t="n">
        <x:f>IFERROR(G1007/J1007,"")</x:f>
        <x:v>0.014361418853364089</x:v>
      </x:c>
      <x:c r="J1007" s="17" t="n">
        <x:v>35827.24</x:v>
      </x:c>
      <x:c r="K1007" s="17" t="str"/>
      <x:c r="L1007" s="17" t="str">
        <x:v>已完成：查看债券数据样例，了解债券名称的命名格式，取得 10 条记录。</x:v>
      </x:c>
      <x:c r="M1007" s="17" t="str"/>
      <x:c r="N1007" s="18" t="n">
        <x:v>6243.98</x:v>
      </x:c>
      <x:c r="O1007" s="17" t="str">
        <x:v>public_sse_client_estimate</x:v>
      </x:c>
    </x:row>
    <x:row r="1008" ht="48" customHeight="1">
      <x:c r="A1008" s="17" t="str">
        <x:v>BUS188</x:v>
      </x:c>
      <x:c r="B1008" s="17" t="str">
        <x:v>查询名称包含银行的债券列表。</x:v>
      </x:c>
      <x:c r="C1008" s="17" t="n">
        <x:v>5</x:v>
      </x:c>
      <x:c r="D1008" s="17" t="str">
        <x:v>数据查询 2/2</x:v>
      </x:c>
      <x:c r="E1008" s="17" t="str">
        <x:v>22010.68</x:v>
      </x:c>
      <x:c r="F1008" s="17" t="str">
        <x:v>22525.83</x:v>
      </x:c>
      <x:c r="G1008" s="18" t="n">
        <x:v>515.15</x:v>
      </x:c>
      <x:c r="H1008" s="18" t="n">
        <x:f>IFERROR(G1008/1000,"")</x:f>
        <x:v>0.51515</x:v>
      </x:c>
      <x:c r="I1008" s="19" t="n">
        <x:f>IFERROR(G1008/J1008,"")</x:f>
        <x:v>0.014378724121645987</x:v>
      </x:c>
      <x:c r="J1008" s="17" t="n">
        <x:v>35827.24</x:v>
      </x:c>
      <x:c r="K1008" s="17" t="str"/>
      <x:c r="L1008" s="17" t="str">
        <x:v>已完成：查询发行主体包含'银行'的债券列表，取得 50 条记录。</x:v>
      </x:c>
      <x:c r="M1008" s="17" t="str"/>
      <x:c r="N1008" s="18" t="n">
        <x:v>4.11</x:v>
      </x:c>
      <x:c r="O1008" s="17" t="str">
        <x:v>public_sse_client_estimate</x:v>
      </x:c>
    </x:row>
    <x:row r="1009" ht="48" customHeight="1">
      <x:c r="A1009" s="17" t="str">
        <x:v>BUS188</x:v>
      </x:c>
      <x:c r="B1009" s="17" t="str">
        <x:v>查询名称包含银行的债券列表。</x:v>
      </x:c>
      <x:c r="C1009" s="17" t="n">
        <x:v>6</x:v>
      </x:c>
      <x:c r="D1009" s="17" t="str">
        <x:v>回答整理</x:v>
      </x:c>
      <x:c r="E1009" s="17" t="str">
        <x:v>22525.83</x:v>
      </x:c>
      <x:c r="F1009" s="17" t="str">
        <x:v>32944.01</x:v>
      </x:c>
      <x:c r="G1009" s="18" t="n">
        <x:v>10418.18</x:v>
      </x:c>
      <x:c r="H1009" s="18" t="n">
        <x:f>IFERROR(G1009/1000,"")</x:f>
        <x:v>10.41818</x:v>
      </x:c>
      <x:c r="I1009" s="19" t="n">
        <x:f>IFERROR(G1009/J1009,"")</x:f>
        <x:v>0.29078935469212813</x:v>
      </x:c>
      <x:c r="J1009" s="17" t="n">
        <x:v>35827.24</x:v>
      </x:c>
      <x:c r="K1009" s="17" t="str"/>
      <x:c r="L1009" s="17" t="str">
        <x:v>证据与回答已整理完成。</x:v>
      </x:c>
      <x:c r="M1009" s="17" t="str"/>
      <x:c r="N1009" s="18" t="n">
        <x:v>0</x:v>
      </x:c>
      <x:c r="O1009" s="17" t="str">
        <x:v>public_sse_client_estimate</x:v>
      </x:c>
    </x:row>
    <x:row r="1010" ht="48" customHeight="1">
      <x:c r="A1010" s="17" t="str">
        <x:v>BUS189</x:v>
      </x:c>
      <x:c r="B1010" s="17" t="str">
        <x:v>查询名称包含可转债的债券代码和发行人。</x:v>
      </x:c>
      <x:c r="C1010" s="17" t="n">
        <x:v>1</x:v>
      </x:c>
      <x:c r="D1010" s="17" t="str">
        <x:v>问题理解</x:v>
      </x:c>
      <x:c r="E1010" s="17" t="str">
        <x:v>6136.92</x:v>
      </x:c>
      <x:c r="F1010" s="17" t="str">
        <x:v>8898.16</x:v>
      </x:c>
      <x:c r="G1010" s="18" t="n">
        <x:v>2761.24</x:v>
      </x:c>
      <x:c r="H1010" s="18" t="n">
        <x:f>IFERROR(G1010/1000,"")</x:f>
        <x:v>2.76124</x:v>
      </x:c>
      <x:c r="I1010" s="19" t="n">
        <x:f>IFERROR(G1010/J1010,"")</x:f>
        <x:v>0.1483732749277408</x:v>
      </x:c>
      <x:c r="J1010" s="17" t="n">
        <x:v>18610.09</x:v>
      </x:c>
      <x:c r="K1010" s="17" t="str"/>
      <x:c r="L1010" s="17" t="str">
        <x:v>已明确本题的对象与口径，开始获取所需证据。</x:v>
      </x:c>
      <x:c r="M1010" s="17" t="str"/>
      <x:c r="N1010" s="18" t="n">
        <x:v>6136.92</x:v>
      </x:c>
      <x:c r="O1010" s="17" t="str">
        <x:v>public_sse_client_estimate</x:v>
      </x:c>
    </x:row>
    <x:row r="1011" ht="48" customHeight="1">
      <x:c r="A1011" s="17" t="str">
        <x:v>BUS189</x:v>
      </x:c>
      <x:c r="B1011" s="17" t="str">
        <x:v>查询名称包含可转债的债券代码和发行人。</x:v>
      </x:c>
      <x:c r="C1011" s="17" t="n">
        <x:v>2</x:v>
      </x:c>
      <x:c r="D1011" s="17" t="str">
        <x:v>数据口径</x:v>
      </x:c>
      <x:c r="E1011" s="17" t="str">
        <x:v>8898.16</x:v>
      </x:c>
      <x:c r="F1011" s="17" t="str">
        <x:v>8915.35</x:v>
      </x:c>
      <x:c r="G1011" s="18" t="n">
        <x:v>17.19</x:v>
      </x:c>
      <x:c r="H1011" s="18" t="n">
        <x:f>IFERROR(G1011/1000,"")</x:f>
        <x:v>0.01719</x:v>
      </x:c>
      <x:c r="I1011" s="19" t="n">
        <x:f>IFERROR(G1011/J1011,"")</x:f>
        <x:v>0.0009236924700525361</x:v>
      </x:c>
      <x:c r="J1011" s="17" t="n">
        <x:v>18610.09</x:v>
      </x:c>
      <x:c r="K1011" s="17" t="str"/>
      <x:c r="L1011" s="17" t="str">
        <x:v>已定位债券基础信息视图，并确认了可用字段与时间口径。</x:v>
      </x:c>
      <x:c r="M1011" s="17" t="str"/>
      <x:c r="N1011" s="18" t="n">
        <x:v>0</x:v>
      </x:c>
      <x:c r="O1011" s="17" t="str">
        <x:v>public_sse_client_estimate</x:v>
      </x:c>
    </x:row>
    <x:row r="1012" ht="48" customHeight="1">
      <x:c r="A1012" s="17" t="str">
        <x:v>BUS189</x:v>
      </x:c>
      <x:c r="B1012" s="17" t="str">
        <x:v>查询名称包含可转债的债券代码和发行人。</x:v>
      </x:c>
      <x:c r="C1012" s="17" t="n">
        <x:v>3</x:v>
      </x:c>
      <x:c r="D1012" s="17" t="str">
        <x:v>数据查询 1/1</x:v>
      </x:c>
      <x:c r="E1012" s="17" t="str">
        <x:v>13345.51</x:v>
      </x:c>
      <x:c r="F1012" s="17" t="str">
        <x:v>13837.68</x:v>
      </x:c>
      <x:c r="G1012" s="18" t="n">
        <x:v>492.17</x:v>
      </x:c>
      <x:c r="H1012" s="18" t="n">
        <x:f>IFERROR(G1012/1000,"")</x:f>
        <x:v>0.49217</x:v>
      </x:c>
      <x:c r="I1012" s="19" t="n">
        <x:f>IFERROR(G1012/J1012,"")</x:f>
        <x:v>0.026446406223720572</x:v>
      </x:c>
      <x:c r="J1012" s="17" t="n">
        <x:v>18610.09</x:v>
      </x:c>
      <x:c r="K1012" s="17" t="str"/>
      <x:c r="L1012" s="17" t="str">
        <x:v>已完成：查询名称包含"可转债"的债券代码、简称和发行人，取得 1 条记录。</x:v>
      </x:c>
      <x:c r="M1012" s="17" t="str"/>
      <x:c r="N1012" s="18" t="n">
        <x:v>4430.16</x:v>
      </x:c>
      <x:c r="O1012" s="17" t="str">
        <x:v>public_sse_client_estimate</x:v>
      </x:c>
    </x:row>
    <x:row r="1013" ht="48" customHeight="1">
      <x:c r="A1013" s="17" t="str">
        <x:v>BUS189</x:v>
      </x:c>
      <x:c r="B1013" s="17" t="str">
        <x:v>查询名称包含可转债的债券代码和发行人。</x:v>
      </x:c>
      <x:c r="C1013" s="17" t="n">
        <x:v>4</x:v>
      </x:c>
      <x:c r="D1013" s="17" t="str">
        <x:v>回答整理</x:v>
      </x:c>
      <x:c r="E1013" s="17" t="str">
        <x:v>13837.68</x:v>
      </x:c>
      <x:c r="F1013" s="17" t="str">
        <x:v>16570.41</x:v>
      </x:c>
      <x:c r="G1013" s="18" t="n">
        <x:v>2732.73</x:v>
      </x:c>
      <x:c r="H1013" s="18" t="n">
        <x:f>IFERROR(G1013/1000,"")</x:f>
        <x:v>2.73273</x:v>
      </x:c>
      <x:c r="I1013" s="19" t="n">
        <x:f>IFERROR(G1013/J1013,"")</x:f>
        <x:v>0.14684131027845648</x:v>
      </x:c>
      <x:c r="J1013" s="17" t="n">
        <x:v>18610.09</x:v>
      </x:c>
      <x:c r="K1013" s="17" t="str"/>
      <x:c r="L1013" s="17" t="str">
        <x:v>证据与回答已整理完成。</x:v>
      </x:c>
      <x:c r="M1013" s="17" t="str"/>
      <x:c r="N1013" s="18" t="n">
        <x:v>0</x:v>
      </x:c>
      <x:c r="O1013" s="17" t="str">
        <x:v>public_sse_client_estimate</x:v>
      </x:c>
    </x:row>
    <x:row r="1014" ht="48" customHeight="1">
      <x:c r="A1014" s="17" t="str">
        <x:v>BUS190</x:v>
      </x:c>
      <x:c r="B1014" s="17" t="str">
        <x:v>查询发行人包含万科的债券。</x:v>
      </x:c>
      <x:c r="C1014" s="17" t="n">
        <x:v>1</x:v>
      </x:c>
      <x:c r="D1014" s="17" t="str">
        <x:v>问题理解</x:v>
      </x:c>
      <x:c r="E1014" s="17" t="str">
        <x:v>5184.17</x:v>
      </x:c>
      <x:c r="F1014" s="17" t="str">
        <x:v>10180.26</x:v>
      </x:c>
      <x:c r="G1014" s="18" t="n">
        <x:v>4996.09</x:v>
      </x:c>
      <x:c r="H1014" s="18" t="n">
        <x:f>IFERROR(G1014/1000,"")</x:f>
        <x:v>4.996090000000001</x:v>
      </x:c>
      <x:c r="I1014" s="19" t="n">
        <x:f>IFERROR(G1014/J1014,"")</x:f>
        <x:v>0.17255058393643788</x:v>
      </x:c>
      <x:c r="J1014" s="17" t="n">
        <x:v>28954.35</x:v>
      </x:c>
      <x:c r="K1014" s="17" t="str"/>
      <x:c r="L1014" s="17" t="str">
        <x:v>已明确本题的对象与口径，开始获取所需证据。</x:v>
      </x:c>
      <x:c r="M1014" s="17" t="str"/>
      <x:c r="N1014" s="18" t="n">
        <x:v>5184.17</x:v>
      </x:c>
      <x:c r="O1014" s="17" t="str">
        <x:v>public_sse_client_estimate</x:v>
      </x:c>
    </x:row>
    <x:row r="1015" ht="48" customHeight="1">
      <x:c r="A1015" s="17" t="str">
        <x:v>BUS190</x:v>
      </x:c>
      <x:c r="B1015" s="17" t="str">
        <x:v>查询发行人包含万科的债券。</x:v>
      </x:c>
      <x:c r="C1015" s="17" t="n">
        <x:v>2</x:v>
      </x:c>
      <x:c r="D1015" s="17" t="str">
        <x:v>数据口径</x:v>
      </x:c>
      <x:c r="E1015" s="17" t="str">
        <x:v>10180.26</x:v>
      </x:c>
      <x:c r="F1015" s="17" t="str">
        <x:v>10219.08</x:v>
      </x:c>
      <x:c r="G1015" s="18" t="n">
        <x:v>38.82</x:v>
      </x:c>
      <x:c r="H1015" s="18" t="n">
        <x:f>IFERROR(G1015/1000,"")</x:f>
        <x:v>0.03882</x:v>
      </x:c>
      <x:c r="I1015" s="19" t="n">
        <x:f>IFERROR(G1015/J1015,"")</x:f>
        <x:v>0.001340731185469541</x:v>
      </x:c>
      <x:c r="J1015" s="17" t="n">
        <x:v>28954.35</x:v>
      </x:c>
      <x:c r="K1015" s="17" t="str"/>
      <x:c r="L1015" s="17" t="str">
        <x:v>已定位债券行情视图，并确认了可用字段与时间口径。</x:v>
      </x:c>
      <x:c r="M1015" s="17" t="str"/>
      <x:c r="N1015" s="18" t="n">
        <x:v>0</x:v>
      </x:c>
      <x:c r="O1015" s="17" t="str">
        <x:v>public_sse_client_estimate</x:v>
      </x:c>
    </x:row>
    <x:row r="1016" ht="48" customHeight="1">
      <x:c r="A1016" s="17" t="str">
        <x:v>BUS190</x:v>
      </x:c>
      <x:c r="B1016" s="17" t="str">
        <x:v>查询发行人包含万科的债券。</x:v>
      </x:c>
      <x:c r="C1016" s="17" t="n">
        <x:v>3</x:v>
      </x:c>
      <x:c r="D1016" s="17" t="str">
        <x:v>数据口径</x:v>
      </x:c>
      <x:c r="E1016" s="17" t="str">
        <x:v>10219.08</x:v>
      </x:c>
      <x:c r="F1016" s="17" t="str">
        <x:v>12575.94</x:v>
      </x:c>
      <x:c r="G1016" s="18" t="n">
        <x:v>2356.86</x:v>
      </x:c>
      <x:c r="H1016" s="18" t="n">
        <x:f>IFERROR(G1016/1000,"")</x:f>
        <x:v>2.35686</x:v>
      </x:c>
      <x:c r="I1016" s="19" t="n">
        <x:f>IFERROR(G1016/J1016,"")</x:f>
        <x:v>0.08139916800066312</x:v>
      </x:c>
      <x:c r="J1016" s="17" t="n">
        <x:v>28954.35</x:v>
      </x:c>
      <x:c r="K1016" s="17" t="str"/>
      <x:c r="L1016" s="17" t="str">
        <x:v>已定位债券基础信息视图，并确认了可用字段与时间口径。</x:v>
      </x:c>
      <x:c r="M1016" s="17" t="str"/>
      <x:c r="N1016" s="18" t="n">
        <x:v>0</x:v>
      </x:c>
      <x:c r="O1016" s="17" t="str">
        <x:v>public_sse_client_estimate</x:v>
      </x:c>
    </x:row>
    <x:row r="1017" ht="48" customHeight="1">
      <x:c r="A1017" s="17" t="str">
        <x:v>BUS190</x:v>
      </x:c>
      <x:c r="B1017" s="17" t="str">
        <x:v>查询发行人包含万科的债券。</x:v>
      </x:c>
      <x:c r="C1017" s="17" t="n">
        <x:v>4</x:v>
      </x:c>
      <x:c r="D1017" s="17" t="str">
        <x:v>数据查询 1/1</x:v>
      </x:c>
      <x:c r="E1017" s="17" t="str">
        <x:v>15184.06</x:v>
      </x:c>
      <x:c r="F1017" s="17" t="str">
        <x:v>15784.84</x:v>
      </x:c>
      <x:c r="G1017" s="18" t="n">
        <x:v>600.78</x:v>
      </x:c>
      <x:c r="H1017" s="18" t="n">
        <x:f>IFERROR(G1017/1000,"")</x:f>
        <x:v>0.60078</x:v>
      </x:c>
      <x:c r="I1017" s="19" t="n">
        <x:f>IFERROR(G1017/J1017,"")</x:f>
        <x:v>0.02074921384869631</x:v>
      </x:c>
      <x:c r="J1017" s="17" t="n">
        <x:v>28954.35</x:v>
      </x:c>
      <x:c r="K1017" s="17" t="str"/>
      <x:c r="L1017" s="17" t="str">
        <x:v>已完成：查询发行人包含万科的债券代码、名称和发行人，取得 35 条记录。</x:v>
      </x:c>
      <x:c r="M1017" s="17" t="str"/>
      <x:c r="N1017" s="18" t="n">
        <x:v>2608.12</x:v>
      </x:c>
      <x:c r="O1017" s="17" t="str">
        <x:v>public_sse_client_estimate</x:v>
      </x:c>
    </x:row>
    <x:row r="1018" ht="48" customHeight="1">
      <x:c r="A1018" s="17" t="str">
        <x:v>BUS190</x:v>
      </x:c>
      <x:c r="B1018" s="17" t="str">
        <x:v>查询发行人包含万科的债券。</x:v>
      </x:c>
      <x:c r="C1018" s="17" t="n">
        <x:v>5</x:v>
      </x:c>
      <x:c r="D1018" s="17" t="str">
        <x:v>回答整理</x:v>
      </x:c>
      <x:c r="E1018" s="17" t="str">
        <x:v>15784.84</x:v>
      </x:c>
      <x:c r="F1018" s="17" t="str">
        <x:v>26206.92</x:v>
      </x:c>
      <x:c r="G1018" s="18" t="n">
        <x:v>10422.08</x:v>
      </x:c>
      <x:c r="H1018" s="18" t="n">
        <x:f>IFERROR(G1018/1000,"")</x:f>
        <x:v>10.42208</x:v>
      </x:c>
      <x:c r="I1018" s="19" t="n">
        <x:f>IFERROR(G1018/J1018,"")</x:f>
        <x:v>0.35994867783251916</x:v>
      </x:c>
      <x:c r="J1018" s="17" t="n">
        <x:v>28954.35</x:v>
      </x:c>
      <x:c r="K1018" s="17" t="str"/>
      <x:c r="L1018" s="17" t="str">
        <x:v>证据与回答已整理完成。</x:v>
      </x:c>
      <x:c r="M1018" s="17" t="str"/>
      <x:c r="N1018" s="18" t="n">
        <x:v>0</x:v>
      </x:c>
      <x:c r="O1018" s="17" t="str">
        <x:v>public_sse_client_estimate</x:v>
      </x:c>
    </x:row>
    <x:row r="1019" ht="48" customHeight="1">
      <x:c r="A1019" s="17" t="str">
        <x:v>BUS191</x:v>
      </x:c>
      <x:c r="B1019" s="17" t="str">
        <x:v>平安转债当前价格、涨跌幅和成交额是多少？</x:v>
      </x:c>
      <x:c r="C1019" s="17" t="n">
        <x:v>1</x:v>
      </x:c>
      <x:c r="D1019" s="17" t="str">
        <x:v>问题理解</x:v>
      </x:c>
      <x:c r="E1019" s="17" t="str">
        <x:v>6586.54</x:v>
      </x:c>
      <x:c r="F1019" s="17" t="str">
        <x:v>9375.29</x:v>
      </x:c>
      <x:c r="G1019" s="18" t="n">
        <x:v>2788.75</x:v>
      </x:c>
      <x:c r="H1019" s="18" t="n">
        <x:f>IFERROR(G1019/1000,"")</x:f>
        <x:v>2.78875</x:v>
      </x:c>
      <x:c r="I1019" s="19" t="n">
        <x:f>IFERROR(G1019/J1019,"")</x:f>
        <x:v>0.09748150778855837</x:v>
      </x:c>
      <x:c r="J1019" s="17" t="n">
        <x:v>28607.99</x:v>
      </x:c>
      <x:c r="K1019" s="17" t="str"/>
      <x:c r="L1019" s="17" t="str">
        <x:v>已明确本题的对象与口径，开始获取所需证据。</x:v>
      </x:c>
      <x:c r="M1019" s="17" t="str"/>
      <x:c r="N1019" s="18" t="n">
        <x:v>6586.54</x:v>
      </x:c>
      <x:c r="O1019" s="17" t="str">
        <x:v>public_sse_client_estimate</x:v>
      </x:c>
    </x:row>
    <x:row r="1020" ht="48" customHeight="1">
      <x:c r="A1020" s="17" t="str">
        <x:v>BUS191</x:v>
      </x:c>
      <x:c r="B1020" s="17" t="str">
        <x:v>平安转债当前价格、涨跌幅和成交额是多少？</x:v>
      </x:c>
      <x:c r="C1020" s="17" t="n">
        <x:v>2</x:v>
      </x:c>
      <x:c r="D1020" s="17" t="str">
        <x:v>数据口径</x:v>
      </x:c>
      <x:c r="E1020" s="17" t="str">
        <x:v>9375.29</x:v>
      </x:c>
      <x:c r="F1020" s="17" t="str">
        <x:v>9389.92</x:v>
      </x:c>
      <x:c r="G1020" s="18" t="n">
        <x:v>14.63</x:v>
      </x:c>
      <x:c r="H1020" s="18" t="n">
        <x:f>IFERROR(G1020/1000,"")</x:f>
        <x:v>0.01463</x:v>
      </x:c>
      <x:c r="I1020" s="19" t="n">
        <x:f>IFERROR(G1020/J1020,"")</x:f>
        <x:v>0.0005113955926298911</x:v>
      </x:c>
      <x:c r="J1020" s="17" t="n">
        <x:v>28607.99</x:v>
      </x:c>
      <x:c r="K1020" s="17" t="str"/>
      <x:c r="L1020" s="17" t="str">
        <x:v>已定位债券行情视图，并确认了可用字段与时间口径。</x:v>
      </x:c>
      <x:c r="M1020" s="17" t="str"/>
      <x:c r="N1020" s="18" t="n">
        <x:v>0</x:v>
      </x:c>
      <x:c r="O1020" s="17" t="str">
        <x:v>public_sse_client_estimate</x:v>
      </x:c>
    </x:row>
    <x:row r="1021" ht="48" customHeight="1">
      <x:c r="A1021" s="17" t="str">
        <x:v>BUS191</x:v>
      </x:c>
      <x:c r="B1021" s="17" t="str">
        <x:v>平安转债当前价格、涨跌幅和成交额是多少？</x:v>
      </x:c>
      <x:c r="C1021" s="17" t="n">
        <x:v>3</x:v>
      </x:c>
      <x:c r="D1021" s="17" t="str">
        <x:v>数据口径</x:v>
      </x:c>
      <x:c r="E1021" s="17" t="str">
        <x:v>9389.92</x:v>
      </x:c>
      <x:c r="F1021" s="17" t="str">
        <x:v>9822.45</x:v>
      </x:c>
      <x:c r="G1021" s="18" t="n">
        <x:v>432.53</x:v>
      </x:c>
      <x:c r="H1021" s="18" t="n">
        <x:f>IFERROR(G1021/1000,"")</x:f>
        <x:v>0.43252999999999997</x:v>
      </x:c>
      <x:c r="I1021" s="19" t="n">
        <x:f>IFERROR(G1021/J1021,"")</x:f>
        <x:v>0.015119202712249268</x:v>
      </x:c>
      <x:c r="J1021" s="17" t="n">
        <x:v>28607.99</x:v>
      </x:c>
      <x:c r="K1021" s="17" t="str"/>
      <x:c r="L1021" s="17" t="str">
        <x:v>已定位债券基础信息视图，并确认了可用字段与时间口径。</x:v>
      </x:c>
      <x:c r="M1021" s="17" t="str"/>
      <x:c r="N1021" s="18" t="n">
        <x:v>0</x:v>
      </x:c>
      <x:c r="O1021" s="17" t="str">
        <x:v>public_sse_client_estimate</x:v>
      </x:c>
    </x:row>
    <x:row r="1022" ht="48" customHeight="1">
      <x:c r="A1022" s="17" t="str">
        <x:v>BUS191</x:v>
      </x:c>
      <x:c r="B1022" s="17" t="str">
        <x:v>平安转债当前价格、涨跌幅和成交额是多少？</x:v>
      </x:c>
      <x:c r="C1022" s="17" t="n">
        <x:v>4</x:v>
      </x:c>
      <x:c r="D1022" s="17" t="str">
        <x:v>数据查询 1/1</x:v>
      </x:c>
      <x:c r="E1022" s="17" t="str">
        <x:v>14241.75</x:v>
      </x:c>
      <x:c r="F1022" s="17" t="str">
        <x:v>14734.68</x:v>
      </x:c>
      <x:c r="G1022" s="18" t="n">
        <x:v>492.93</x:v>
      </x:c>
      <x:c r="H1022" s="18" t="n">
        <x:f>IFERROR(G1022/1000,"")</x:f>
        <x:v>0.49293</x:v>
      </x:c>
      <x:c r="I1022" s="19" t="n">
        <x:f>IFERROR(G1022/J1022,"")</x:f>
        <x:v>0.0172305009894089</x:v>
      </x:c>
      <x:c r="J1022" s="17" t="n">
        <x:v>28607.99</x:v>
      </x:c>
      <x:c r="K1022" s="17" t="str"/>
      <x:c r="L1022" s="17" t="str">
        <x:v>已完成：查询平安转债的债券代码和基本信息，取得 1 条记录。</x:v>
      </x:c>
      <x:c r="M1022" s="17" t="str"/>
      <x:c r="N1022" s="18" t="n">
        <x:v>4419.3</x:v>
      </x:c>
      <x:c r="O1022" s="17" t="str">
        <x:v>public_sse_client_estimate</x:v>
      </x:c>
    </x:row>
    <x:row r="1023" ht="48" customHeight="1">
      <x:c r="A1023" s="17" t="str">
        <x:v>BUS191</x:v>
      </x:c>
      <x:c r="B1023" s="17" t="str">
        <x:v>平安转债当前价格、涨跌幅和成交额是多少？</x:v>
      </x:c>
      <x:c r="C1023" s="17" t="n">
        <x:v>5</x:v>
      </x:c>
      <x:c r="D1023" s="17" t="str">
        <x:v>数据查询 1/1</x:v>
      </x:c>
      <x:c r="E1023" s="17" t="str">
        <x:v>18627.99</x:v>
      </x:c>
      <x:c r="F1023" s="17" t="str">
        <x:v>19565.65</x:v>
      </x:c>
      <x:c r="G1023" s="18" t="n">
        <x:v>937.66</x:v>
      </x:c>
      <x:c r="H1023" s="18" t="n">
        <x:f>IFERROR(G1023/1000,"")</x:f>
        <x:v>0.9376599999999999</x:v>
      </x:c>
      <x:c r="I1023" s="19" t="n">
        <x:f>IFERROR(G1023/J1023,"")</x:f>
        <x:v>0.032776157989428824</x:v>
      </x:c>
      <x:c r="J1023" s="17" t="n">
        <x:v>28607.99</x:v>
      </x:c>
      <x:c r="K1023" s="17" t="str"/>
      <x:c r="L1023" s="17" t="str">
        <x:v>已完成：查询平安转债的最新行情数据：价格、涨跌幅和成交额，当前条件下没有匹配记录。</x:v>
      </x:c>
      <x:c r="M1023" s="17" t="str"/>
      <x:c r="N1023" s="18" t="n">
        <x:v>3893.31</x:v>
      </x:c>
      <x:c r="O1023" s="17" t="str">
        <x:v>public_sse_client_estimate</x:v>
      </x:c>
    </x:row>
    <x:row r="1024" ht="48" customHeight="1">
      <x:c r="A1024" s="17" t="str">
        <x:v>BUS191</x:v>
      </x:c>
      <x:c r="B1024" s="17" t="str">
        <x:v>平安转债当前价格、涨跌幅和成交额是多少？</x:v>
      </x:c>
      <x:c r="C1024" s="17" t="n">
        <x:v>6</x:v>
      </x:c>
      <x:c r="D1024" s="17" t="str">
        <x:v>回答整理</x:v>
      </x:c>
      <x:c r="E1024" s="17" t="str">
        <x:v>19565.65</x:v>
      </x:c>
      <x:c r="F1024" s="17" t="str">
        <x:v>22473.82</x:v>
      </x:c>
      <x:c r="G1024" s="18" t="n">
        <x:v>2908.17</x:v>
      </x:c>
      <x:c r="H1024" s="18" t="n">
        <x:f>IFERROR(G1024/1000,"")</x:f>
        <x:v>2.90817</x:v>
      </x:c>
      <x:c r="I1024" s="19" t="n">
        <x:f>IFERROR(G1024/J1024,"")</x:f>
        <x:v>0.10165586607098226</x:v>
      </x:c>
      <x:c r="J1024" s="17" t="n">
        <x:v>28607.99</x:v>
      </x:c>
      <x:c r="K1024" s="17" t="str"/>
      <x:c r="L1024" s="17" t="str">
        <x:v>证据与回答已整理完成。</x:v>
      </x:c>
      <x:c r="M1024" s="17" t="str"/>
      <x:c r="N1024" s="18" t="n">
        <x:v>0</x:v>
      </x:c>
      <x:c r="O1024" s="17" t="str">
        <x:v>public_sse_client_estimate</x:v>
      </x:c>
    </x:row>
    <x:row r="1025" ht="48" customHeight="1">
      <x:c r="A1025" s="17" t="str">
        <x:v>BUS192</x:v>
      </x:c>
      <x:c r="B1025" s="17" t="str">
        <x:v>今天涨幅最高的债券前20名。</x:v>
      </x:c>
      <x:c r="C1025" s="17" t="n">
        <x:v>1</x:v>
      </x:c>
      <x:c r="D1025" s="17" t="str">
        <x:v>问题理解</x:v>
      </x:c>
      <x:c r="E1025" s="17" t="str">
        <x:v>8270.1</x:v>
      </x:c>
      <x:c r="F1025" s="17" t="str">
        <x:v>11391.73</x:v>
      </x:c>
      <x:c r="G1025" s="18" t="n">
        <x:v>3121.63</x:v>
      </x:c>
      <x:c r="H1025" s="18" t="n">
        <x:f>IFERROR(G1025/1000,"")</x:f>
        <x:v>3.12163</x:v>
      </x:c>
      <x:c r="I1025" s="19" t="n">
        <x:f>IFERROR(G1025/J1025,"")</x:f>
        <x:v>0.09872721050870464</x:v>
      </x:c>
      <x:c r="J1025" s="17" t="n">
        <x:v>31618.74</x:v>
      </x:c>
      <x:c r="K1025" s="17" t="str"/>
      <x:c r="L1025" s="17" t="str">
        <x:v>已明确本题的对象与口径，开始获取所需证据。</x:v>
      </x:c>
      <x:c r="M1025" s="17" t="str"/>
      <x:c r="N1025" s="18" t="n">
        <x:v>8270.1</x:v>
      </x:c>
      <x:c r="O1025" s="17" t="str">
        <x:v>public_sse_client_estimate</x:v>
      </x:c>
    </x:row>
    <x:row r="1026" ht="48" customHeight="1">
      <x:c r="A1026" s="17" t="str">
        <x:v>BUS192</x:v>
      </x:c>
      <x:c r="B1026" s="17" t="str">
        <x:v>今天涨幅最高的债券前20名。</x:v>
      </x:c>
      <x:c r="C1026" s="17" t="n">
        <x:v>2</x:v>
      </x:c>
      <x:c r="D1026" s="17" t="str">
        <x:v>数据口径</x:v>
      </x:c>
      <x:c r="E1026" s="17" t="str">
        <x:v>11391.73</x:v>
      </x:c>
      <x:c r="F1026" s="17" t="str">
        <x:v>11436.76</x:v>
      </x:c>
      <x:c r="G1026" s="18" t="n">
        <x:v>45.03</x:v>
      </x:c>
      <x:c r="H1026" s="18" t="n">
        <x:f>IFERROR(G1026/1000,"")</x:f>
        <x:v>0.04503</x:v>
      </x:c>
      <x:c r="I1026" s="19" t="n">
        <x:f>IFERROR(G1026/J1026,"")</x:f>
        <x:v>0.001424155421753049</x:v>
      </x:c>
      <x:c r="J1026" s="17" t="n">
        <x:v>31618.74</x:v>
      </x:c>
      <x:c r="K1026" s="17" t="str"/>
      <x:c r="L1026" s="17" t="str">
        <x:v>已定位债券行情视图，并确认了可用字段与时间口径。</x:v>
      </x:c>
      <x:c r="M1026" s="17" t="str"/>
      <x:c r="N1026" s="18" t="n">
        <x:v>0</x:v>
      </x:c>
      <x:c r="O1026" s="17" t="str">
        <x:v>public_sse_client_estimate</x:v>
      </x:c>
    </x:row>
    <x:row r="1027" ht="48" customHeight="1">
      <x:c r="A1027" s="17" t="str">
        <x:v>BUS192</x:v>
      </x:c>
      <x:c r="B1027" s="17" t="str">
        <x:v>今天涨幅最高的债券前20名。</x:v>
      </x:c>
      <x:c r="C1027" s="17" t="n">
        <x:v>3</x:v>
      </x:c>
      <x:c r="D1027" s="17" t="str">
        <x:v>数据查询 1/1</x:v>
      </x:c>
      <x:c r="E1027" s="17" t="str">
        <x:v>14429.85</x:v>
      </x:c>
      <x:c r="F1027" s="17" t="str">
        <x:v>15576</x:v>
      </x:c>
      <x:c r="G1027" s="18" t="n">
        <x:v>1146.15</x:v>
      </x:c>
      <x:c r="H1027" s="18" t="n">
        <x:f>IFERROR(G1027/1000,"")</x:f>
        <x:v>1.14615</x:v>
      </x:c>
      <x:c r="I1027" s="19" t="n">
        <x:f>IFERROR(G1027/J1027,"")</x:f>
        <x:v>0.0362490725436877</x:v>
      </x:c>
      <x:c r="J1027" s="17" t="n">
        <x:v>31618.74</x:v>
      </x:c>
      <x:c r="K1027" s="17" t="str"/>
      <x:c r="L1027" s="17" t="str">
        <x:v>已完成：查询今天涨幅最高的债券前20名，按涨跌幅降序排列，取得 20 条记录。</x:v>
      </x:c>
      <x:c r="M1027" s="17" t="str"/>
      <x:c r="N1027" s="18" t="n">
        <x:v>2993.09</x:v>
      </x:c>
      <x:c r="O1027" s="17" t="str">
        <x:v>public_sse_client_estimate</x:v>
      </x:c>
    </x:row>
    <x:row r="1028" ht="48" customHeight="1">
      <x:c r="A1028" s="17" t="str">
        <x:v>BUS192</x:v>
      </x:c>
      <x:c r="B1028" s="17" t="str">
        <x:v>今天涨幅最高的债券前20名。</x:v>
      </x:c>
      <x:c r="C1028" s="17" t="n">
        <x:v>4</x:v>
      </x:c>
      <x:c r="D1028" s="17" t="str">
        <x:v>回答整理</x:v>
      </x:c>
      <x:c r="E1028" s="17" t="str">
        <x:v>15576</x:v>
      </x:c>
      <x:c r="F1028" s="17" t="str">
        <x:v>28953.19</x:v>
      </x:c>
      <x:c r="G1028" s="18" t="n">
        <x:v>13377.19</x:v>
      </x:c>
      <x:c r="H1028" s="18" t="n">
        <x:f>IFERROR(G1028/1000,"")</x:f>
        <x:v>13.37719</x:v>
      </x:c>
      <x:c r="I1028" s="19" t="n">
        <x:f>IFERROR(G1028/J1028,"")</x:f>
        <x:v>0.42307789620965286</x:v>
      </x:c>
      <x:c r="J1028" s="17" t="n">
        <x:v>31618.74</x:v>
      </x:c>
      <x:c r="K1028" s="17" t="str"/>
      <x:c r="L1028" s="17" t="str">
        <x:v>证据与回答已整理完成。</x:v>
      </x:c>
      <x:c r="M1028" s="17" t="str"/>
      <x:c r="N1028" s="18" t="n">
        <x:v>0</x:v>
      </x:c>
      <x:c r="O1028" s="17" t="str">
        <x:v>public_sse_client_estimate</x:v>
      </x:c>
    </x:row>
    <x:row r="1029" ht="48" customHeight="1">
      <x:c r="A1029" s="17" t="str">
        <x:v>BUS193</x:v>
      </x:c>
      <x:c r="B1029" s="17" t="str">
        <x:v>筛选今天成交额超过5000万元且上涨的债券。</x:v>
      </x:c>
      <x:c r="C1029" s="17" t="n">
        <x:v>1</x:v>
      </x:c>
      <x:c r="D1029" s="17" t="str">
        <x:v>问题理解</x:v>
      </x:c>
      <x:c r="E1029" s="17" t="str">
        <x:v>5275</x:v>
      </x:c>
      <x:c r="F1029" s="17" t="str">
        <x:v>7852.4</x:v>
      </x:c>
      <x:c r="G1029" s="18" t="n">
        <x:v>2577.4</x:v>
      </x:c>
      <x:c r="H1029" s="18" t="n">
        <x:f>IFERROR(G1029/1000,"")</x:f>
        <x:v>2.5774</x:v>
      </x:c>
      <x:c r="I1029" s="19" t="n">
        <x:f>IFERROR(G1029/J1029,"")</x:f>
        <x:v>0.08208468474436358</x:v>
      </x:c>
      <x:c r="J1029" s="17" t="n">
        <x:v>31399.28</x:v>
      </x:c>
      <x:c r="K1029" s="17" t="str"/>
      <x:c r="L1029" s="17" t="str">
        <x:v>已明确本题的对象与口径，开始获取所需证据。</x:v>
      </x:c>
      <x:c r="M1029" s="17" t="str"/>
      <x:c r="N1029" s="18" t="n">
        <x:v>5275</x:v>
      </x:c>
      <x:c r="O1029" s="17" t="str">
        <x:v>public_sse_client_estimate</x:v>
      </x:c>
    </x:row>
    <x:row r="1030" ht="48" customHeight="1">
      <x:c r="A1030" s="17" t="str">
        <x:v>BUS193</x:v>
      </x:c>
      <x:c r="B1030" s="17" t="str">
        <x:v>筛选今天成交额超过5000万元且上涨的债券。</x:v>
      </x:c>
      <x:c r="C1030" s="17" t="n">
        <x:v>2</x:v>
      </x:c>
      <x:c r="D1030" s="17" t="str">
        <x:v>数据口径</x:v>
      </x:c>
      <x:c r="E1030" s="17" t="str">
        <x:v>7852.4</x:v>
      </x:c>
      <x:c r="F1030" s="17" t="str">
        <x:v>7876.65</x:v>
      </x:c>
      <x:c r="G1030" s="18" t="n">
        <x:v>24.25</x:v>
      </x:c>
      <x:c r="H1030" s="18" t="n">
        <x:f>IFERROR(G1030/1000,"")</x:f>
        <x:v>0.02425</x:v>
      </x:c>
      <x:c r="I1030" s="19" t="n">
        <x:f>IFERROR(G1030/J1030,"")</x:f>
        <x:v>0.0007723107026657936</x:v>
      </x:c>
      <x:c r="J1030" s="17" t="n">
        <x:v>31399.28</x:v>
      </x:c>
      <x:c r="K1030" s="17" t="str"/>
      <x:c r="L1030" s="17" t="str">
        <x:v>已定位债券行情视图，并确认了可用字段与时间口径。</x:v>
      </x:c>
      <x:c r="M1030" s="17" t="str"/>
      <x:c r="N1030" s="18" t="n">
        <x:v>0</x:v>
      </x:c>
      <x:c r="O1030" s="17" t="str">
        <x:v>public_sse_client_estimate</x:v>
      </x:c>
    </x:row>
    <x:row r="1031" ht="48" customHeight="1">
      <x:c r="A1031" s="17" t="str">
        <x:v>BUS193</x:v>
      </x:c>
      <x:c r="B1031" s="17" t="str">
        <x:v>筛选今天成交额超过5000万元且上涨的债券。</x:v>
      </x:c>
      <x:c r="C1031" s="17" t="n">
        <x:v>3</x:v>
      </x:c>
      <x:c r="D1031" s="17" t="str">
        <x:v>数据查询 1/1</x:v>
      </x:c>
      <x:c r="E1031" s="17" t="str">
        <x:v>13775.09</x:v>
      </x:c>
      <x:c r="F1031" s="17" t="str">
        <x:v>14372.31</x:v>
      </x:c>
      <x:c r="G1031" s="18" t="n">
        <x:v>597.22</x:v>
      </x:c>
      <x:c r="H1031" s="18" t="n">
        <x:f>IFERROR(G1031/1000,"")</x:f>
        <x:v>0.59722</x:v>
      </x:c>
      <x:c r="I1031" s="19" t="n">
        <x:f>IFERROR(G1031/J1031,"")</x:f>
        <x:v>0.01902018135447692</x:v>
      </x:c>
      <x:c r="J1031" s="17" t="n">
        <x:v>31399.28</x:v>
      </x:c>
      <x:c r="K1031" s="17" t="str"/>
      <x:c r="L1031" s="17" t="str">
        <x:v>已完成：查询今天成交额超过5000万元且上涨的债券行情，取得 20 条记录。</x:v>
      </x:c>
      <x:c r="M1031" s="17" t="str"/>
      <x:c r="N1031" s="18" t="n">
        <x:v>5898.44</x:v>
      </x:c>
      <x:c r="O1031" s="17" t="str">
        <x:v>public_sse_client_estimate</x:v>
      </x:c>
    </x:row>
    <x:row r="1032" ht="48" customHeight="1">
      <x:c r="A1032" s="17" t="str">
        <x:v>BUS193</x:v>
      </x:c>
      <x:c r="B1032" s="17" t="str">
        <x:v>筛选今天成交额超过5000万元且上涨的债券。</x:v>
      </x:c>
      <x:c r="C1032" s="17" t="n">
        <x:v>4</x:v>
      </x:c>
      <x:c r="D1032" s="17" t="str">
        <x:v>回答整理</x:v>
      </x:c>
      <x:c r="E1032" s="17" t="str">
        <x:v>14372.31</x:v>
      </x:c>
      <x:c r="F1032" s="17" t="str">
        <x:v>28763.5</x:v>
      </x:c>
      <x:c r="G1032" s="18" t="n">
        <x:v>14391.19</x:v>
      </x:c>
      <x:c r="H1032" s="18" t="n">
        <x:f>IFERROR(G1032/1000,"")</x:f>
        <x:v>14.39119</x:v>
      </x:c>
      <x:c r="I1032" s="19" t="n">
        <x:f>IFERROR(G1032/J1032,"")</x:f>
        <x:v>0.458328662313276</x:v>
      </x:c>
      <x:c r="J1032" s="17" t="n">
        <x:v>31399.28</x:v>
      </x:c>
      <x:c r="K1032" s="17" t="str"/>
      <x:c r="L1032" s="17" t="str">
        <x:v>证据与回答已整理完成。</x:v>
      </x:c>
      <x:c r="M1032" s="17" t="str"/>
      <x:c r="N1032" s="18" t="n">
        <x:v>0</x:v>
      </x:c>
      <x:c r="O1032" s="17" t="str">
        <x:v>public_sse_client_estimate</x:v>
      </x:c>
    </x:row>
    <x:row r="1033" ht="48" customHeight="1">
      <x:c r="A1033" s="17" t="str">
        <x:v>BUS194</x:v>
      </x:c>
      <x:c r="B1033" s="17" t="str">
        <x:v>查询平安转债最近10个交易日收盘价和涨跌幅。</x:v>
      </x:c>
      <x:c r="C1033" s="17" t="n">
        <x:v>1</x:v>
      </x:c>
      <x:c r="D1033" s="17" t="str">
        <x:v>问题理解</x:v>
      </x:c>
      <x:c r="E1033" s="17" t="str">
        <x:v>5083.78</x:v>
      </x:c>
      <x:c r="F1033" s="17" t="str">
        <x:v>9603.37</x:v>
      </x:c>
      <x:c r="G1033" s="18" t="n">
        <x:v>4519.59</x:v>
      </x:c>
      <x:c r="H1033" s="18" t="n">
        <x:f>IFERROR(G1033/1000,"")</x:f>
        <x:v>4.51959</x:v>
      </x:c>
      <x:c r="I1033" s="19" t="n">
        <x:f>IFERROR(G1033/J1033,"")</x:f>
        <x:v>0.04622861016827104</x:v>
      </x:c>
      <x:c r="J1033" s="17" t="n">
        <x:v>97766.08</x:v>
      </x:c>
      <x:c r="K1033" s="17" t="str"/>
      <x:c r="L1033" s="17" t="str">
        <x:v>已明确本题的对象与口径，开始获取所需证据。</x:v>
      </x:c>
      <x:c r="M1033" s="17" t="str"/>
      <x:c r="N1033" s="18" t="n">
        <x:v>5083.78</x:v>
      </x:c>
      <x:c r="O1033" s="17" t="str">
        <x:v>public_sse_client_estimate</x:v>
      </x:c>
    </x:row>
    <x:row r="1034" ht="48" customHeight="1">
      <x:c r="A1034" s="17" t="str">
        <x:v>BUS194</x:v>
      </x:c>
      <x:c r="B1034" s="17" t="str">
        <x:v>查询平安转债最近10个交易日收盘价和涨跌幅。</x:v>
      </x:c>
      <x:c r="C1034" s="17" t="n">
        <x:v>2</x:v>
      </x:c>
      <x:c r="D1034" s="17" t="str">
        <x:v>数据口径</x:v>
      </x:c>
      <x:c r="E1034" s="17" t="str">
        <x:v>9603.37</x:v>
      </x:c>
      <x:c r="F1034" s="17" t="str">
        <x:v>9632.85</x:v>
      </x:c>
      <x:c r="G1034" s="18" t="n">
        <x:v>29.48</x:v>
      </x:c>
      <x:c r="H1034" s="18" t="n">
        <x:f>IFERROR(G1034/1000,"")</x:f>
        <x:v>0.02948</x:v>
      </x:c>
      <x:c r="I1034" s="19" t="n">
        <x:f>IFERROR(G1034/J1034,"")</x:f>
        <x:v>0.0003015360746794798</x:v>
      </x:c>
      <x:c r="J1034" s="17" t="n">
        <x:v>97766.08</x:v>
      </x:c>
      <x:c r="K1034" s="17" t="str"/>
      <x:c r="L1034" s="17" t="str">
        <x:v>已定位债券基础信息视图，并确认了可用字段与时间口径。</x:v>
      </x:c>
      <x:c r="M1034" s="17" t="str"/>
      <x:c r="N1034" s="18" t="n">
        <x:v>0</x:v>
      </x:c>
      <x:c r="O1034" s="17" t="str">
        <x:v>public_sse_client_estimate</x:v>
      </x:c>
    </x:row>
    <x:row r="1035" ht="48" customHeight="1">
      <x:c r="A1035" s="17" t="str">
        <x:v>BUS194</x:v>
      </x:c>
      <x:c r="B1035" s="17" t="str">
        <x:v>查询平安转债最近10个交易日收盘价和涨跌幅。</x:v>
      </x:c>
      <x:c r="C1035" s="17" t="n">
        <x:v>3</x:v>
      </x:c>
      <x:c r="D1035" s="17" t="str">
        <x:v>数据查询 1/1</x:v>
      </x:c>
      <x:c r="E1035" s="17" t="str">
        <x:v>12304.46</x:v>
      </x:c>
      <x:c r="F1035" s="17" t="str">
        <x:v>12756.61</x:v>
      </x:c>
      <x:c r="G1035" s="18" t="n">
        <x:v>452.15</x:v>
      </x:c>
      <x:c r="H1035" s="18" t="n">
        <x:f>IFERROR(G1035/1000,"")</x:f>
        <x:v>0.45215</x:v>
      </x:c>
      <x:c r="I1035" s="19" t="n">
        <x:f>IFERROR(G1035/J1035,"")</x:f>
        <x:v>0.004624814659644735</x:v>
      </x:c>
      <x:c r="J1035" s="17" t="n">
        <x:v>97766.08</x:v>
      </x:c>
      <x:c r="K1035" s="17" t="str"/>
      <x:c r="L1035" s="17" t="str">
        <x:v>已完成：查询平安转债的债券基础信息，获取债券代码，取得 1 条记录。</x:v>
      </x:c>
      <x:c r="M1035" s="17" t="str"/>
      <x:c r="N1035" s="18" t="n">
        <x:v>2671.61</x:v>
      </x:c>
      <x:c r="O1035" s="17" t="str">
        <x:v>public_sse_client_estimate</x:v>
      </x:c>
    </x:row>
    <x:row r="1036" ht="48" customHeight="1">
      <x:c r="A1036" s="17" t="str">
        <x:v>BUS194</x:v>
      </x:c>
      <x:c r="B1036" s="17" t="str">
        <x:v>查询平安转债最近10个交易日收盘价和涨跌幅。</x:v>
      </x:c>
      <x:c r="C1036" s="17" t="n">
        <x:v>4</x:v>
      </x:c>
      <x:c r="D1036" s="17" t="str">
        <x:v>数据口径</x:v>
      </x:c>
      <x:c r="E1036" s="17" t="str">
        <x:v>12756.61</x:v>
      </x:c>
      <x:c r="F1036" s="17" t="str">
        <x:v>16264.33</x:v>
      </x:c>
      <x:c r="G1036" s="18" t="n">
        <x:v>3507.72</x:v>
      </x:c>
      <x:c r="H1036" s="18" t="n">
        <x:f>IFERROR(G1036/1000,"")</x:f>
        <x:v>3.50772</x:v>
      </x:c>
      <x:c r="I1036" s="19" t="n">
        <x:f>IFERROR(G1036/J1036,"")</x:f>
        <x:v>0.03587870148828714</x:v>
      </x:c>
      <x:c r="J1036" s="17" t="n">
        <x:v>97766.08</x:v>
      </x:c>
      <x:c r="K1036" s="17" t="str"/>
      <x:c r="L1036" s="17" t="str">
        <x:v>已定位债券行情视图，并确认了可用字段与时间口径。</x:v>
      </x:c>
      <x:c r="M1036" s="17" t="str"/>
      <x:c r="N1036" s="18" t="n">
        <x:v>0</x:v>
      </x:c>
      <x:c r="O1036" s="17" t="str">
        <x:v>public_sse_client_estimate</x:v>
      </x:c>
    </x:row>
    <x:row r="1037" ht="48" customHeight="1">
      <x:c r="A1037" s="17" t="str">
        <x:v>BUS194</x:v>
      </x:c>
      <x:c r="B1037" s="17" t="str">
        <x:v>查询平安转债最近10个交易日收盘价和涨跌幅。</x:v>
      </x:c>
      <x:c r="C1037" s="17" t="n">
        <x:v>5</x:v>
      </x:c>
      <x:c r="D1037" s="17" t="str">
        <x:v>数据查询 1/1</x:v>
      </x:c>
      <x:c r="E1037" s="17" t="str">
        <x:v>19943.54</x:v>
      </x:c>
      <x:c r="F1037" s="17" t="str">
        <x:v>92454.51</x:v>
      </x:c>
      <x:c r="G1037" s="18" t="n">
        <x:v>72510.97</x:v>
      </x:c>
      <x:c r="H1037" s="18" t="n">
        <x:f>IFERROR(G1037/1000,"")</x:f>
        <x:v>72.51097</x:v>
      </x:c>
      <x:c r="I1037" s="19" t="n">
        <x:f>IFERROR(G1037/J1037,"")</x:f>
        <x:v>0.7416781975916391</x:v>
      </x:c>
      <x:c r="J1037" s="17" t="n">
        <x:v>97766.08</x:v>
      </x:c>
      <x:c r="K1037" s="17" t="str"/>
      <x:c r="L1037" s="17" t="str">
        <x:v>已完成：查询平安转债最近10个交易日的收盘价和涨跌幅，当前条件下没有匹配记录。</x:v>
      </x:c>
      <x:c r="M1037" s="17" t="str"/>
      <x:c r="N1037" s="18" t="n">
        <x:v>3679.21</x:v>
      </x:c>
      <x:c r="O1037" s="17" t="str">
        <x:v>public_sse_client_estimate</x:v>
      </x:c>
    </x:row>
    <x:row r="1038" ht="48" customHeight="1">
      <x:c r="A1038" s="17" t="str">
        <x:v>BUS194</x:v>
      </x:c>
      <x:c r="B1038" s="17" t="str">
        <x:v>查询平安转债最近10个交易日收盘价和涨跌幅。</x:v>
      </x:c>
      <x:c r="C1038" s="17" t="n">
        <x:v>6</x:v>
      </x:c>
      <x:c r="D1038" s="17" t="str">
        <x:v>回答整理</x:v>
      </x:c>
      <x:c r="E1038" s="17" t="str">
        <x:v>92454.51</x:v>
      </x:c>
      <x:c r="F1038" s="17" t="str">
        <x:v>95603.81</x:v>
      </x:c>
      <x:c r="G1038" s="18" t="n">
        <x:v>3149.3</x:v>
      </x:c>
      <x:c r="H1038" s="18" t="n">
        <x:f>IFERROR(G1038/1000,"")</x:f>
        <x:v>3.1493</x:v>
      </x:c>
      <x:c r="I1038" s="19" t="n">
        <x:f>IFERROR(G1038/J1038,"")</x:f>
        <x:v>0.03221260379878175</x:v>
      </x:c>
      <x:c r="J1038" s="17" t="n">
        <x:v>97766.08</x:v>
      </x:c>
      <x:c r="K1038" s="17" t="str"/>
      <x:c r="L1038" s="17" t="str">
        <x:v>证据与回答已整理完成。</x:v>
      </x:c>
      <x:c r="M1038" s="17" t="str"/>
      <x:c r="N1038" s="18" t="n">
        <x:v>0</x:v>
      </x:c>
      <x:c r="O1038" s="17" t="str">
        <x:v>public_sse_client_estimate</x:v>
      </x:c>
    </x:row>
    <x:row r="1039" ht="48" customHeight="1">
      <x:c r="A1039" s="17" t="str">
        <x:v>BUS195</x:v>
      </x:c>
      <x:c r="B1039" s="17" t="str">
        <x:v>过去20个交易日跌幅最大的债券前10名。</x:v>
      </x:c>
      <x:c r="C1039" s="17" t="n">
        <x:v>1</x:v>
      </x:c>
      <x:c r="D1039" s="17" t="str">
        <x:v>问题理解</x:v>
      </x:c>
      <x:c r="E1039" s="17" t="str">
        <x:v>4900.85</x:v>
      </x:c>
      <x:c r="F1039" s="17" t="str">
        <x:v>7829.95</x:v>
      </x:c>
      <x:c r="G1039" s="18" t="n">
        <x:v>2929.1</x:v>
      </x:c>
      <x:c r="H1039" s="18" t="n">
        <x:f>IFERROR(G1039/1000,"")</x:f>
        <x:v>2.9291</x:v>
      </x:c>
      <x:c r="I1039" s="19" t="n">
        <x:f>IFERROR(G1039/J1039,"")</x:f>
        <x:v>0.08434365655997898</x:v>
      </x:c>
      <x:c r="J1039" s="17" t="n">
        <x:v>34728.16</x:v>
      </x:c>
      <x:c r="K1039" s="17" t="str"/>
      <x:c r="L1039" s="17" t="str">
        <x:v>已明确本题的对象与口径，开始获取所需证据。</x:v>
      </x:c>
      <x:c r="M1039" s="17" t="str"/>
      <x:c r="N1039" s="18" t="n">
        <x:v>4900.85</x:v>
      </x:c>
      <x:c r="O1039" s="17" t="str">
        <x:v>public_sse_client_estimate</x:v>
      </x:c>
    </x:row>
    <x:row r="1040" ht="48" customHeight="1">
      <x:c r="A1040" s="17" t="str">
        <x:v>BUS195</x:v>
      </x:c>
      <x:c r="B1040" s="17" t="str">
        <x:v>过去20个交易日跌幅最大的债券前10名。</x:v>
      </x:c>
      <x:c r="C1040" s="17" t="n">
        <x:v>2</x:v>
      </x:c>
      <x:c r="D1040" s="17" t="str">
        <x:v>数据口径</x:v>
      </x:c>
      <x:c r="E1040" s="17" t="str">
        <x:v>7829.95</x:v>
      </x:c>
      <x:c r="F1040" s="17" t="str">
        <x:v>7839.38</x:v>
      </x:c>
      <x:c r="G1040" s="18" t="n">
        <x:v>9.43</x:v>
      </x:c>
      <x:c r="H1040" s="18" t="n">
        <x:f>IFERROR(G1040/1000,"")</x:f>
        <x:v>0.00943</x:v>
      </x:c>
      <x:c r="I1040" s="19" t="n">
        <x:f>IFERROR(G1040/J1040,"")</x:f>
        <x:v>0.00027153756490410085</x:v>
      </x:c>
      <x:c r="J1040" s="17" t="n">
        <x:v>34728.16</x:v>
      </x:c>
      <x:c r="K1040" s="17" t="str"/>
      <x:c r="L1040" s="17" t="str">
        <x:v>已定位债券行情视图，并确认了可用字段与时间口径。</x:v>
      </x:c>
      <x:c r="M1040" s="17" t="str"/>
      <x:c r="N1040" s="18" t="n">
        <x:v>0</x:v>
      </x:c>
      <x:c r="O1040" s="17" t="str">
        <x:v>public_sse_client_estimate</x:v>
      </x:c>
    </x:row>
    <x:row r="1041" ht="48" customHeight="1">
      <x:c r="A1041" s="17" t="str">
        <x:v>BUS195</x:v>
      </x:c>
      <x:c r="B1041" s="17" t="str">
        <x:v>过去20个交易日跌幅最大的债券前10名。</x:v>
      </x:c>
      <x:c r="C1041" s="17" t="n">
        <x:v>3</x:v>
      </x:c>
      <x:c r="D1041" s="17" t="str">
        <x:v>数据查询 1/1</x:v>
      </x:c>
      <x:c r="E1041" s="17" t="str">
        <x:v>12717.91</x:v>
      </x:c>
      <x:c r="F1041" s="17" t="str">
        <x:v>24620.01</x:v>
      </x:c>
      <x:c r="G1041" s="18" t="n">
        <x:v>11902.1</x:v>
      </x:c>
      <x:c r="H1041" s="18" t="n">
        <x:f>IFERROR(G1041/1000,"")</x:f>
        <x:v>11.9021</x:v>
      </x:c>
      <x:c r="I1041" s="19" t="n">
        <x:f>IFERROR(G1041/J1041,"")</x:f>
        <x:v>0.3427218718181441</x:v>
      </x:c>
      <x:c r="J1041" s="17" t="n">
        <x:v>34728.16</x:v>
      </x:c>
      <x:c r="K1041" s="17" t="str"/>
      <x:c r="L1041" s="17" t="str">
        <x:v>已完成：查询过去20个交易日跌幅最大的前10只债券，取得 10 条记录。</x:v>
      </x:c>
      <x:c r="M1041" s="17" t="str"/>
      <x:c r="N1041" s="18" t="n">
        <x:v>4878.53</x:v>
      </x:c>
      <x:c r="O1041" s="17" t="str">
        <x:v>public_sse_client_estimate</x:v>
      </x:c>
    </x:row>
    <x:row r="1042" ht="48" customHeight="1">
      <x:c r="A1042" s="17" t="str">
        <x:v>BUS195</x:v>
      </x:c>
      <x:c r="B1042" s="17" t="str">
        <x:v>过去20个交易日跌幅最大的债券前10名。</x:v>
      </x:c>
      <x:c r="C1042" s="17" t="n">
        <x:v>4</x:v>
      </x:c>
      <x:c r="D1042" s="17" t="str">
        <x:v>回答整理</x:v>
      </x:c>
      <x:c r="E1042" s="17" t="str">
        <x:v>24620.01</x:v>
      </x:c>
      <x:c r="F1042" s="17" t="str">
        <x:v>32706.24</x:v>
      </x:c>
      <x:c r="G1042" s="18" t="n">
        <x:v>8086.23</x:v>
      </x:c>
      <x:c r="H1042" s="18" t="n">
        <x:f>IFERROR(G1042/1000,"")</x:f>
        <x:v>8.086229999999999</x:v>
      </x:c>
      <x:c r="I1042" s="19" t="n">
        <x:f>IFERROR(G1042/J1042,"")</x:f>
        <x:v>0.23284360588064554</x:v>
      </x:c>
      <x:c r="J1042" s="17" t="n">
        <x:v>34728.16</x:v>
      </x:c>
      <x:c r="K1042" s="17" t="str"/>
      <x:c r="L1042" s="17" t="str">
        <x:v>证据与回答已整理完成。</x:v>
      </x:c>
      <x:c r="M1042" s="17" t="str"/>
      <x:c r="N1042" s="18" t="n">
        <x:v>0</x:v>
      </x:c>
      <x:c r="O1042" s="17" t="str">
        <x:v>public_sse_client_estimate</x:v>
      </x:c>
    </x:row>
    <x:row r="1043" ht="48" customHeight="1">
      <x:c r="A1043" s="17" t="str">
        <x:v>BUS196</x:v>
      </x:c>
      <x:c r="B1043" s="17" t="str">
        <x:v>查询当前换手率最高的债券前20名。</x:v>
      </x:c>
      <x:c r="C1043" s="17" t="n">
        <x:v>1</x:v>
      </x:c>
      <x:c r="D1043" s="17" t="str">
        <x:v>问题理解</x:v>
      </x:c>
      <x:c r="E1043" s="17" t="str">
        <x:v>5040.41</x:v>
      </x:c>
      <x:c r="F1043" s="17" t="str">
        <x:v>8475.76</x:v>
      </x:c>
      <x:c r="G1043" s="18" t="n">
        <x:v>3435.35</x:v>
      </x:c>
      <x:c r="H1043" s="18" t="n">
        <x:f>IFERROR(G1043/1000,"")</x:f>
        <x:v>3.43535</x:v>
      </x:c>
      <x:c r="I1043" s="19" t="n">
        <x:f>IFERROR(G1043/J1043,"")</x:f>
        <x:v>0.1528087478654548</x:v>
      </x:c>
      <x:c r="J1043" s="17" t="n">
        <x:v>22481.37</x:v>
      </x:c>
      <x:c r="K1043" s="17" t="str"/>
      <x:c r="L1043" s="17" t="str">
        <x:v>已明确本题的对象与口径，开始获取所需证据。</x:v>
      </x:c>
      <x:c r="M1043" s="17" t="str"/>
      <x:c r="N1043" s="18" t="n">
        <x:v>5040.41</x:v>
      </x:c>
      <x:c r="O1043" s="17" t="str">
        <x:v>public_sse_client_estimate</x:v>
      </x:c>
    </x:row>
    <x:row r="1044" ht="48" customHeight="1">
      <x:c r="A1044" s="17" t="str">
        <x:v>BUS196</x:v>
      </x:c>
      <x:c r="B1044" s="17" t="str">
        <x:v>查询当前换手率最高的债券前20名。</x:v>
      </x:c>
      <x:c r="C1044" s="17" t="n">
        <x:v>2</x:v>
      </x:c>
      <x:c r="D1044" s="17" t="str">
        <x:v>数据口径</x:v>
      </x:c>
      <x:c r="E1044" s="17" t="str">
        <x:v>8475.76</x:v>
      </x:c>
      <x:c r="F1044" s="17" t="str">
        <x:v>8584.55</x:v>
      </x:c>
      <x:c r="G1044" s="18" t="n">
        <x:v>108.79</x:v>
      </x:c>
      <x:c r="H1044" s="18" t="n">
        <x:f>IFERROR(G1044/1000,"")</x:f>
        <x:v>0.10879000000000001</x:v>
      </x:c>
      <x:c r="I1044" s="19" t="n">
        <x:f>IFERROR(G1044/J1044,"")</x:f>
        <x:v>0.004839117900732918</x:v>
      </x:c>
      <x:c r="J1044" s="17" t="n">
        <x:v>22481.37</x:v>
      </x:c>
      <x:c r="K1044" s="17" t="str"/>
      <x:c r="L1044" s="17" t="str">
        <x:v>已定位债券行情视图，并确认了可用字段与时间口径。</x:v>
      </x:c>
      <x:c r="M1044" s="17" t="str"/>
      <x:c r="N1044" s="18" t="n">
        <x:v>0</x:v>
      </x:c>
      <x:c r="O1044" s="17" t="str">
        <x:v>public_sse_client_estimate</x:v>
      </x:c>
    </x:row>
    <x:row r="1045" ht="48" customHeight="1">
      <x:c r="A1045" s="17" t="str">
        <x:v>BUS196</x:v>
      </x:c>
      <x:c r="B1045" s="17" t="str">
        <x:v>查询当前换手率最高的债券前20名。</x:v>
      </x:c>
      <x:c r="C1045" s="17" t="n">
        <x:v>3</x:v>
      </x:c>
      <x:c r="D1045" s="17" t="str">
        <x:v>数据查询 1/1</x:v>
      </x:c>
      <x:c r="E1045" s="17" t="str">
        <x:v>13577.42</x:v>
      </x:c>
      <x:c r="F1045" s="17" t="str">
        <x:v>14122.52</x:v>
      </x:c>
      <x:c r="G1045" s="18" t="n">
        <x:v>545.1</x:v>
      </x:c>
      <x:c r="H1045" s="18" t="n">
        <x:f>IFERROR(G1045/1000,"")</x:f>
        <x:v>0.5451</x:v>
      </x:c>
      <x:c r="I1045" s="19" t="n">
        <x:f>IFERROR(G1045/J1045,"")</x:f>
        <x:v>0.024246742969845702</x:v>
      </x:c>
      <x:c r="J1045" s="17" t="n">
        <x:v>22481.37</x:v>
      </x:c>
      <x:c r="K1045" s="17" t="str"/>
      <x:c r="L1045" s="17" t="str">
        <x:v>已完成：查询当前换手率最高的债券前20名，当前条件下没有匹配记录。</x:v>
      </x:c>
      <x:c r="M1045" s="17" t="str"/>
      <x:c r="N1045" s="18" t="n">
        <x:v>4992.87</x:v>
      </x:c>
      <x:c r="O1045" s="17" t="str">
        <x:v>public_sse_client_estimate</x:v>
      </x:c>
    </x:row>
    <x:row r="1046" ht="48" customHeight="1">
      <x:c r="A1046" s="17" t="str">
        <x:v>BUS196</x:v>
      </x:c>
      <x:c r="B1046" s="17" t="str">
        <x:v>查询当前换手率最高的债券前20名。</x:v>
      </x:c>
      <x:c r="C1046" s="17" t="n">
        <x:v>4</x:v>
      </x:c>
      <x:c r="D1046" s="17" t="str">
        <x:v>数据查询 1/1</x:v>
      </x:c>
      <x:c r="E1046" s="17" t="str">
        <x:v>17251.68</x:v>
      </x:c>
      <x:c r="F1046" s="17" t="str">
        <x:v>17791.75</x:v>
      </x:c>
      <x:c r="G1046" s="18" t="n">
        <x:v>540.07</x:v>
      </x:c>
      <x:c r="H1046" s="18" t="n">
        <x:f>IFERROR(G1046/1000,"")</x:f>
        <x:v>0.54007</x:v>
      </x:c>
      <x:c r="I1046" s="19" t="n">
        <x:f>IFERROR(G1046/J1046,"")</x:f>
        <x:v>0.024023002156897025</x:v>
      </x:c>
      <x:c r="J1046" s="17" t="n">
        <x:v>22481.37</x:v>
      </x:c>
      <x:c r="K1046" s="17" t="str"/>
      <x:c r="L1046" s="17" t="str">
        <x:v>已完成：查询上一个交易日换手率最高的债券前20名，当前条件下没有匹配记录。</x:v>
      </x:c>
      <x:c r="M1046" s="17" t="str"/>
      <x:c r="N1046" s="18" t="n">
        <x:v>3129.16</x:v>
      </x:c>
      <x:c r="O1046" s="17" t="str">
        <x:v>public_sse_client_estimate</x:v>
      </x:c>
    </x:row>
    <x:row r="1047" ht="48" customHeight="1">
      <x:c r="A1047" s="17" t="str">
        <x:v>BUS196</x:v>
      </x:c>
      <x:c r="B1047" s="17" t="str">
        <x:v>查询当前换手率最高的债券前20名。</x:v>
      </x:c>
      <x:c r="C1047" s="17" t="n">
        <x:v>5</x:v>
      </x:c>
      <x:c r="D1047" s="17" t="str">
        <x:v>回答整理</x:v>
      </x:c>
      <x:c r="E1047" s="17" t="str">
        <x:v>17791.75</x:v>
      </x:c>
      <x:c r="F1047" s="17" t="str">
        <x:v>20067.67</x:v>
      </x:c>
      <x:c r="G1047" s="18" t="n">
        <x:v>2275.92</x:v>
      </x:c>
      <x:c r="H1047" s="18" t="n">
        <x:f>IFERROR(G1047/1000,"")</x:f>
        <x:v>2.27592</x:v>
      </x:c>
      <x:c r="I1047" s="19" t="n">
        <x:f>IFERROR(G1047/J1047,"")</x:f>
        <x:v>0.10123582326166067</x:v>
      </x:c>
      <x:c r="J1047" s="17" t="n">
        <x:v>22481.37</x:v>
      </x:c>
      <x:c r="K1047" s="17" t="str"/>
      <x:c r="L1047" s="17" t="str">
        <x:v>证据与回答已整理完成。</x:v>
      </x:c>
      <x:c r="M1047" s="17" t="str"/>
      <x:c r="N1047" s="18" t="n">
        <x:v>0</x:v>
      </x:c>
      <x:c r="O1047" s="17" t="str">
        <x:v>public_sse_client_estimate</x:v>
      </x:c>
    </x:row>
    <x:row r="1048" ht="48" customHeight="1">
      <x:c r="A1048" s="17" t="str">
        <x:v>BUS197</x:v>
      </x:c>
      <x:c r="B1048" s="17" t="str">
        <x:v>比较平安转债最近20个交易日累计涨幅和当前成交额。</x:v>
      </x:c>
      <x:c r="C1048" s="17" t="n">
        <x:v>1</x:v>
      </x:c>
      <x:c r="D1048" s="17" t="str">
        <x:v>问题理解</x:v>
      </x:c>
      <x:c r="E1048" s="17" t="str">
        <x:v>6984.18</x:v>
      </x:c>
      <x:c r="F1048" s="17" t="str">
        <x:v>10968.38</x:v>
      </x:c>
      <x:c r="G1048" s="18" t="n">
        <x:v>3984.2</x:v>
      </x:c>
      <x:c r="H1048" s="18" t="n">
        <x:f>IFERROR(G1048/1000,"")</x:f>
        <x:v>3.9842</x:v>
      </x:c>
      <x:c r="I1048" s="19" t="n">
        <x:f>IFERROR(G1048/J1048,"")</x:f>
        <x:v>0.1080306624653236</x:v>
      </x:c>
      <x:c r="J1048" s="17" t="n">
        <x:v>36880.27</x:v>
      </x:c>
      <x:c r="K1048" s="17" t="str"/>
      <x:c r="L1048" s="17" t="str">
        <x:v>已明确本题的对象与口径，开始获取所需证据。</x:v>
      </x:c>
      <x:c r="M1048" s="17" t="str"/>
      <x:c r="N1048" s="18" t="n">
        <x:v>6984.18</x:v>
      </x:c>
      <x:c r="O1048" s="17" t="str">
        <x:v>public_sse_client_estimate</x:v>
      </x:c>
    </x:row>
    <x:row r="1049" ht="48" customHeight="1">
      <x:c r="A1049" s="17" t="str">
        <x:v>BUS197</x:v>
      </x:c>
      <x:c r="B1049" s="17" t="str">
        <x:v>比较平安转债最近20个交易日累计涨幅和当前成交额。</x:v>
      </x:c>
      <x:c r="C1049" s="17" t="n">
        <x:v>2</x:v>
      </x:c>
      <x:c r="D1049" s="17" t="str">
        <x:v>数据口径</x:v>
      </x:c>
      <x:c r="E1049" s="17" t="str">
        <x:v>10968.38</x:v>
      </x:c>
      <x:c r="F1049" s="17" t="str">
        <x:v>10983.11</x:v>
      </x:c>
      <x:c r="G1049" s="18" t="n">
        <x:v>14.73</x:v>
      </x:c>
      <x:c r="H1049" s="18" t="n">
        <x:f>IFERROR(G1049/1000,"")</x:f>
        <x:v>0.01473</x:v>
      </x:c>
      <x:c r="I1049" s="19" t="n">
        <x:f>IFERROR(G1049/J1049,"")</x:f>
        <x:v>0.0003994005466879717</x:v>
      </x:c>
      <x:c r="J1049" s="17" t="n">
        <x:v>36880.27</x:v>
      </x:c>
      <x:c r="K1049" s="17" t="str"/>
      <x:c r="L1049" s="17" t="str">
        <x:v>已定位债券基础信息视图，并确认了可用字段与时间口径。</x:v>
      </x:c>
      <x:c r="M1049" s="17" t="str"/>
      <x:c r="N1049" s="18" t="n">
        <x:v>0</x:v>
      </x:c>
      <x:c r="O1049" s="17" t="str">
        <x:v>public_sse_client_estimate</x:v>
      </x:c>
    </x:row>
    <x:row r="1050" ht="48" customHeight="1">
      <x:c r="A1050" s="17" t="str">
        <x:v>BUS197</x:v>
      </x:c>
      <x:c r="B1050" s="17" t="str">
        <x:v>比较平安转债最近20个交易日累计涨幅和当前成交额。</x:v>
      </x:c>
      <x:c r="C1050" s="17" t="n">
        <x:v>3</x:v>
      </x:c>
      <x:c r="D1050" s="17" t="str">
        <x:v>数据口径</x:v>
      </x:c>
      <x:c r="E1050" s="17" t="str">
        <x:v>10983.11</x:v>
      </x:c>
      <x:c r="F1050" s="17" t="str">
        <x:v>11433.9</x:v>
      </x:c>
      <x:c r="G1050" s="18" t="n">
        <x:v>450.79</x:v>
      </x:c>
      <x:c r="H1050" s="18" t="n">
        <x:f>IFERROR(G1050/1000,"")</x:f>
        <x:v>0.45079</x:v>
      </x:c>
      <x:c r="I1050" s="19" t="n">
        <x:f>IFERROR(G1050/J1050,"")</x:f>
        <x:v>0.012223066696637527</x:v>
      </x:c>
      <x:c r="J1050" s="17" t="n">
        <x:v>36880.27</x:v>
      </x:c>
      <x:c r="K1050" s="17" t="str"/>
      <x:c r="L1050" s="17" t="str">
        <x:v>已定位债券行情视图，并确认了可用字段与时间口径。</x:v>
      </x:c>
      <x:c r="M1050" s="17" t="str"/>
      <x:c r="N1050" s="18" t="n">
        <x:v>0</x:v>
      </x:c>
      <x:c r="O1050" s="17" t="str">
        <x:v>public_sse_client_estimate</x:v>
      </x:c>
    </x:row>
    <x:row r="1051" ht="48" customHeight="1">
      <x:c r="A1051" s="17" t="str">
        <x:v>BUS197</x:v>
      </x:c>
      <x:c r="B1051" s="17" t="str">
        <x:v>比较平安转债最近20个交易日累计涨幅和当前成交额。</x:v>
      </x:c>
      <x:c r="C1051" s="17" t="n">
        <x:v>4</x:v>
      </x:c>
      <x:c r="D1051" s="17" t="str">
        <x:v>数据查询 1/1</x:v>
      </x:c>
      <x:c r="E1051" s="17" t="str">
        <x:v>17039.14</x:v>
      </x:c>
      <x:c r="F1051" s="17" t="str">
        <x:v>17529.63</x:v>
      </x:c>
      <x:c r="G1051" s="18" t="n">
        <x:v>490.49</x:v>
      </x:c>
      <x:c r="H1051" s="18" t="n">
        <x:f>IFERROR(G1051/1000,"")</x:f>
        <x:v>0.49049</x:v>
      </x:c>
      <x:c r="I1051" s="19" t="n">
        <x:f>IFERROR(G1051/J1051,"")</x:f>
        <x:v>0.013299523024099338</x:v>
      </x:c>
      <x:c r="J1051" s="17" t="n">
        <x:v>36880.27</x:v>
      </x:c>
      <x:c r="K1051" s="17" t="str"/>
      <x:c r="L1051" s="17" t="str">
        <x:v>已完成：查询名称含有平安的债券，找到平安转债的代码，取得 20 条记录。</x:v>
      </x:c>
      <x:c r="M1051" s="17" t="str"/>
      <x:c r="N1051" s="18" t="n">
        <x:v>5605.24</x:v>
      </x:c>
      <x:c r="O1051" s="17" t="str">
        <x:v>public_sse_client_estimate</x:v>
      </x:c>
    </x:row>
    <x:row r="1052" ht="48" customHeight="1">
      <x:c r="A1052" s="17" t="str">
        <x:v>BUS197</x:v>
      </x:c>
      <x:c r="B1052" s="17" t="str">
        <x:v>比较平安转债最近20个交易日累计涨幅和当前成交额。</x:v>
      </x:c>
      <x:c r="C1052" s="17" t="n">
        <x:v>5</x:v>
      </x:c>
      <x:c r="D1052" s="17" t="str">
        <x:v>数据查询 1/2</x:v>
      </x:c>
      <x:c r="E1052" s="17" t="str">
        <x:v>24160.85</x:v>
      </x:c>
      <x:c r="F1052" s="17" t="str">
        <x:v>26675.59</x:v>
      </x:c>
      <x:c r="G1052" s="18" t="n">
        <x:v>2514.74</x:v>
      </x:c>
      <x:c r="H1052" s="18" t="n">
        <x:f>IFERROR(G1052/1000,"")</x:f>
        <x:v>2.5147399999999998</x:v>
      </x:c>
      <x:c r="I1052" s="19" t="n">
        <x:f>IFERROR(G1052/J1052,"")</x:f>
        <x:v>0.06818659407862253</x:v>
      </x:c>
      <x:c r="J1052" s="17" t="n">
        <x:v>36880.27</x:v>
      </x:c>
      <x:c r="K1052" s="17" t="str"/>
      <x:c r="L1052" s="17" t="str">
        <x:v>已完成：计算平安转债最近20个交易日的累计涨跌幅，当前条件下没有匹配记录。</x:v>
      </x:c>
      <x:c r="M1052" s="17" t="str"/>
      <x:c r="N1052" s="18" t="n">
        <x:v>6631.22</x:v>
      </x:c>
      <x:c r="O1052" s="17" t="str">
        <x:v>public_sse_client_estimate</x:v>
      </x:c>
    </x:row>
    <x:row r="1053" ht="48" customHeight="1">
      <x:c r="A1053" s="17" t="str">
        <x:v>BUS197</x:v>
      </x:c>
      <x:c r="B1053" s="17" t="str">
        <x:v>比较平安转债最近20个交易日累计涨幅和当前成交额。</x:v>
      </x:c>
      <x:c r="C1053" s="17" t="n">
        <x:v>6</x:v>
      </x:c>
      <x:c r="D1053" s="17" t="str">
        <x:v>数据查询 2/2</x:v>
      </x:c>
      <x:c r="E1053" s="17" t="str">
        <x:v>26677.25</x:v>
      </x:c>
      <x:c r="F1053" s="17" t="str">
        <x:v>26680.25</x:v>
      </x:c>
      <x:c r="G1053" s="18" t="n">
        <x:v>3</x:v>
      </x:c>
      <x:c r="H1053" s="18" t="n">
        <x:f>IFERROR(G1053/1000,"")</x:f>
        <x:v>0.003</x:v>
      </x:c>
      <x:c r="I1053" s="19" t="n">
        <x:f>IFERROR(G1053/J1053,"")</x:f>
        <x:v>0.00008134430686109403</x:v>
      </x:c>
      <x:c r="J1053" s="17" t="n">
        <x:v>36880.27</x:v>
      </x:c>
      <x:c r="K1053" s="17" t="str"/>
      <x:c r="L1053" s="17" t="str">
        <x:v>已完成：查询平安转债最新交易日（上一个交易日）的成交额，当前条件下没有匹配记录。</x:v>
      </x:c>
      <x:c r="M1053" s="17" t="str"/>
      <x:c r="N1053" s="18" t="n">
        <x:v>1.66</x:v>
      </x:c>
      <x:c r="O1053" s="17" t="str">
        <x:v>public_sse_client_estimate</x:v>
      </x:c>
    </x:row>
    <x:row r="1054" ht="48" customHeight="1">
      <x:c r="A1054" s="17" t="str">
        <x:v>BUS197</x:v>
      </x:c>
      <x:c r="B1054" s="17" t="str">
        <x:v>比较平安转债最近20个交易日累计涨幅和当前成交额。</x:v>
      </x:c>
      <x:c r="C1054" s="17" t="n">
        <x:v>7</x:v>
      </x:c>
      <x:c r="D1054" s="17" t="str">
        <x:v>回答整理</x:v>
      </x:c>
      <x:c r="E1054" s="17" t="str">
        <x:v>26680.25</x:v>
      </x:c>
      <x:c r="F1054" s="17" t="str">
        <x:v>34069.44</x:v>
      </x:c>
      <x:c r="G1054" s="18" t="n">
        <x:v>7389.19</x:v>
      </x:c>
      <x:c r="H1054" s="18" t="n">
        <x:f>IFERROR(G1054/1000,"")</x:f>
        <x:v>7.389189999999999</x:v>
      </x:c>
      <x:c r="I1054" s="19" t="n">
        <x:f>IFERROR(G1054/J1054,"")</x:f>
        <x:v>0.2003561796049758</x:v>
      </x:c>
      <x:c r="J1054" s="17" t="n">
        <x:v>36880.27</x:v>
      </x:c>
      <x:c r="K1054" s="17" t="str"/>
      <x:c r="L1054" s="17" t="str">
        <x:v>证据与回答已整理完成。</x:v>
      </x:c>
      <x:c r="M1054" s="17" t="str"/>
      <x:c r="N1054" s="18" t="n">
        <x:v>0</x:v>
      </x:c>
      <x:c r="O1054" s="17" t="str">
        <x:v>public_sse_client_estimate</x:v>
      </x:c>
    </x:row>
    <x:row r="1055" ht="48" customHeight="1">
      <x:c r="A1055" s="17" t="str">
        <x:v>BUS198</x:v>
      </x:c>
      <x:c r="B1055" s="17" t="str">
        <x:v>筛选近10个交易日平均成交额最高的债券前20名。</x:v>
      </x:c>
      <x:c r="C1055" s="17" t="n">
        <x:v>1</x:v>
      </x:c>
      <x:c r="D1055" s="17" t="str">
        <x:v>问题理解</x:v>
      </x:c>
      <x:c r="E1055" s="17" t="str">
        <x:v>5425.01</x:v>
      </x:c>
      <x:c r="F1055" s="17" t="str">
        <x:v>7960.11</x:v>
      </x:c>
      <x:c r="G1055" s="18" t="n">
        <x:v>2535.1</x:v>
      </x:c>
      <x:c r="H1055" s="18" t="n">
        <x:f>IFERROR(G1055/1000,"")</x:f>
        <x:v>2.5351</x:v>
      </x:c>
      <x:c r="I1055" s="19" t="n">
        <x:f>IFERROR(G1055/J1055,"")</x:f>
        <x:v>0.08223469732661814</x:v>
      </x:c>
      <x:c r="J1055" s="17" t="n">
        <x:v>30827.62</x:v>
      </x:c>
      <x:c r="K1055" s="17" t="str"/>
      <x:c r="L1055" s="17" t="str">
        <x:v>已明确本题的对象与口径，开始获取所需证据。</x:v>
      </x:c>
      <x:c r="M1055" s="17" t="str"/>
      <x:c r="N1055" s="18" t="n">
        <x:v>5425.01</x:v>
      </x:c>
      <x:c r="O1055" s="17" t="str">
        <x:v>public_sse_client_estimate</x:v>
      </x:c>
    </x:row>
    <x:row r="1056" ht="48" customHeight="1">
      <x:c r="A1056" s="17" t="str">
        <x:v>BUS198</x:v>
      </x:c>
      <x:c r="B1056" s="17" t="str">
        <x:v>筛选近10个交易日平均成交额最高的债券前20名。</x:v>
      </x:c>
      <x:c r="C1056" s="17" t="n">
        <x:v>2</x:v>
      </x:c>
      <x:c r="D1056" s="17" t="str">
        <x:v>数据口径</x:v>
      </x:c>
      <x:c r="E1056" s="17" t="str">
        <x:v>7960.11</x:v>
      </x:c>
      <x:c r="F1056" s="17" t="str">
        <x:v>7967.83</x:v>
      </x:c>
      <x:c r="G1056" s="18" t="n">
        <x:v>7.72</x:v>
      </x:c>
      <x:c r="H1056" s="18" t="n">
        <x:f>IFERROR(G1056/1000,"")</x:f>
        <x:v>0.007719999999999999</x:v>
      </x:c>
      <x:c r="I1056" s="19" t="n">
        <x:f>IFERROR(G1056/J1056,"")</x:f>
        <x:v>0.0002504247814135506</x:v>
      </x:c>
      <x:c r="J1056" s="17" t="n">
        <x:v>30827.62</x:v>
      </x:c>
      <x:c r="K1056" s="17" t="str"/>
      <x:c r="L1056" s="17" t="str">
        <x:v>已定位债券行情视图，并确认了可用字段与时间口径。</x:v>
      </x:c>
      <x:c r="M1056" s="17" t="str"/>
      <x:c r="N1056" s="18" t="n">
        <x:v>0</x:v>
      </x:c>
      <x:c r="O1056" s="17" t="str">
        <x:v>public_sse_client_estimate</x:v>
      </x:c>
    </x:row>
    <x:row r="1057" ht="48" customHeight="1">
      <x:c r="A1057" s="17" t="str">
        <x:v>BUS198</x:v>
      </x:c>
      <x:c r="B1057" s="17" t="str">
        <x:v>筛选近10个交易日平均成交额最高的债券前20名。</x:v>
      </x:c>
      <x:c r="C1057" s="17" t="n">
        <x:v>3</x:v>
      </x:c>
      <x:c r="D1057" s="17" t="str">
        <x:v>数据查询 1/1</x:v>
      </x:c>
      <x:c r="E1057" s="17" t="str">
        <x:v>10924.41</x:v>
      </x:c>
      <x:c r="F1057" s="17" t="str">
        <x:v>15842.75</x:v>
      </x:c>
      <x:c r="G1057" s="18" t="n">
        <x:v>4918.34</x:v>
      </x:c>
      <x:c r="H1057" s="18" t="n">
        <x:f>IFERROR(G1057/1000,"")</x:f>
        <x:v>4.91834</x:v>
      </x:c>
      <x:c r="I1057" s="19" t="n">
        <x:f>IFERROR(G1057/J1057,"")</x:f>
        <x:v>0.15954329267066353</x:v>
      </x:c>
      <x:c r="J1057" s="17" t="n">
        <x:v>30827.62</x:v>
      </x:c>
      <x:c r="K1057" s="17" t="str"/>
      <x:c r="L1057" s="17" t="str">
        <x:v>已完成：查询近10个交易日平均成交额最高的前20只债券，取得 20 条记录。</x:v>
      </x:c>
      <x:c r="M1057" s="17" t="str"/>
      <x:c r="N1057" s="18" t="n">
        <x:v>2956.58</x:v>
      </x:c>
      <x:c r="O1057" s="17" t="str">
        <x:v>public_sse_client_estimate</x:v>
      </x:c>
    </x:row>
    <x:row r="1058" ht="48" customHeight="1">
      <x:c r="A1058" s="17" t="str">
        <x:v>BUS198</x:v>
      </x:c>
      <x:c r="B1058" s="17" t="str">
        <x:v>筛选近10个交易日平均成交额最高的债券前20名。</x:v>
      </x:c>
      <x:c r="C1058" s="17" t="n">
        <x:v>4</x:v>
      </x:c>
      <x:c r="D1058" s="17" t="str">
        <x:v>回答整理</x:v>
      </x:c>
      <x:c r="E1058" s="17" t="str">
        <x:v>15842.75</x:v>
      </x:c>
      <x:c r="F1058" s="17" t="str">
        <x:v>28572.43</x:v>
      </x:c>
      <x:c r="G1058" s="18" t="n">
        <x:v>12729.68</x:v>
      </x:c>
      <x:c r="H1058" s="18" t="n">
        <x:f>IFERROR(G1058/1000,"")</x:f>
        <x:v>12.72968</x:v>
      </x:c>
      <x:c r="I1058" s="19" t="n">
        <x:f>IFERROR(G1058/J1058,"")</x:f>
        <x:v>0.412931001485032</x:v>
      </x:c>
      <x:c r="J1058" s="17" t="n">
        <x:v>30827.62</x:v>
      </x:c>
      <x:c r="K1058" s="17" t="str"/>
      <x:c r="L1058" s="17" t="str">
        <x:v>证据与回答已整理完成。</x:v>
      </x:c>
      <x:c r="M1058" s="17" t="str"/>
      <x:c r="N1058" s="18" t="n">
        <x:v>0</x:v>
      </x:c>
      <x:c r="O1058" s="17" t="str">
        <x:v>public_sse_client_estimate</x:v>
      </x:c>
    </x:row>
    <x:row r="1059" ht="48" customHeight="1">
      <x:c r="A1059" s="17" t="str">
        <x:v>BUS199</x:v>
      </x:c>
      <x:c r="B1059" s="17" t="str">
        <x:v>查询今天涨幅超过3%且成交额超过1亿元的债券。</x:v>
      </x:c>
      <x:c r="C1059" s="17" t="n">
        <x:v>1</x:v>
      </x:c>
      <x:c r="D1059" s="17" t="str">
        <x:v>问题理解</x:v>
      </x:c>
      <x:c r="E1059" s="17" t="str">
        <x:v>5226.35</x:v>
      </x:c>
      <x:c r="F1059" s="17" t="str">
        <x:v>8934.64</x:v>
      </x:c>
      <x:c r="G1059" s="18" t="n">
        <x:v>3708.29</x:v>
      </x:c>
      <x:c r="H1059" s="18" t="n">
        <x:f>IFERROR(G1059/1000,"")</x:f>
        <x:v>3.70829</x:v>
      </x:c>
      <x:c r="I1059" s="19" t="n">
        <x:f>IFERROR(G1059/J1059,"")</x:f>
        <x:v>0.12068266942987105</x:v>
      </x:c>
      <x:c r="J1059" s="17" t="n">
        <x:v>30727.61</x:v>
      </x:c>
      <x:c r="K1059" s="17" t="str"/>
      <x:c r="L1059" s="17" t="str">
        <x:v>已明确本题的对象与口径，开始获取所需证据。</x:v>
      </x:c>
      <x:c r="M1059" s="17" t="str"/>
      <x:c r="N1059" s="18" t="n">
        <x:v>5226.35</x:v>
      </x:c>
      <x:c r="O1059" s="17" t="str">
        <x:v>public_sse_client_estimate</x:v>
      </x:c>
    </x:row>
    <x:row r="1060" ht="48" customHeight="1">
      <x:c r="A1060" s="17" t="str">
        <x:v>BUS199</x:v>
      </x:c>
      <x:c r="B1060" s="17" t="str">
        <x:v>查询今天涨幅超过3%且成交额超过1亿元的债券。</x:v>
      </x:c>
      <x:c r="C1060" s="17" t="n">
        <x:v>2</x:v>
      </x:c>
      <x:c r="D1060" s="17" t="str">
        <x:v>数据口径</x:v>
      </x:c>
      <x:c r="E1060" s="17" t="str">
        <x:v>8934.64</x:v>
      </x:c>
      <x:c r="F1060" s="17" t="str">
        <x:v>9009.08</x:v>
      </x:c>
      <x:c r="G1060" s="18" t="n">
        <x:v>74.44</x:v>
      </x:c>
      <x:c r="H1060" s="18" t="n">
        <x:f>IFERROR(G1060/1000,"")</x:f>
        <x:v>0.07443999999999999</x:v>
      </x:c>
      <x:c r="I1060" s="19" t="n">
        <x:f>IFERROR(G1060/J1060,"")</x:f>
        <x:v>0.0024225769592884053</x:v>
      </x:c>
      <x:c r="J1060" s="17" t="n">
        <x:v>30727.61</x:v>
      </x:c>
      <x:c r="K1060" s="17" t="str"/>
      <x:c r="L1060" s="17" t="str">
        <x:v>已定位债券行情视图，并确认了可用字段与时间口径。</x:v>
      </x:c>
      <x:c r="M1060" s="17" t="str"/>
      <x:c r="N1060" s="18" t="n">
        <x:v>0</x:v>
      </x:c>
      <x:c r="O1060" s="17" t="str">
        <x:v>public_sse_client_estimate</x:v>
      </x:c>
    </x:row>
    <x:row r="1061" ht="48" customHeight="1">
      <x:c r="A1061" s="17" t="str">
        <x:v>BUS199</x:v>
      </x:c>
      <x:c r="B1061" s="17" t="str">
        <x:v>查询今天涨幅超过3%且成交额超过1亿元的债券。</x:v>
      </x:c>
      <x:c r="C1061" s="17" t="n">
        <x:v>3</x:v>
      </x:c>
      <x:c r="D1061" s="17" t="str">
        <x:v>数据查询 1/1</x:v>
      </x:c>
      <x:c r="E1061" s="17" t="str">
        <x:v>16336.24</x:v>
      </x:c>
      <x:c r="F1061" s="17" t="str">
        <x:v>20413.79</x:v>
      </x:c>
      <x:c r="G1061" s="18" t="n">
        <x:v>4077.55</x:v>
      </x:c>
      <x:c r="H1061" s="18" t="n">
        <x:f>IFERROR(G1061/1000,"")</x:f>
        <x:v>4.0775500000000005</x:v>
      </x:c>
      <x:c r="I1061" s="19" t="n">
        <x:f>IFERROR(G1061/J1061,"")</x:f>
        <x:v>0.13269987480314935</x:v>
      </x:c>
      <x:c r="J1061" s="17" t="n">
        <x:v>30727.61</x:v>
      </x:c>
      <x:c r="K1061" s="17" t="str"/>
      <x:c r="L1061" s="17" t="str">
        <x:v>已完成：查询最近一个交易日涨幅超过3%且成交额超过1亿元的债券，取得 41 条记录。</x:v>
      </x:c>
      <x:c r="M1061" s="17" t="str"/>
      <x:c r="N1061" s="18" t="n">
        <x:v>7327.16</x:v>
      </x:c>
      <x:c r="O1061" s="17" t="str">
        <x:v>public_sse_client_estimate</x:v>
      </x:c>
    </x:row>
    <x:row r="1062" ht="48" customHeight="1">
      <x:c r="A1062" s="17" t="str">
        <x:v>BUS199</x:v>
      </x:c>
      <x:c r="B1062" s="17" t="str">
        <x:v>查询今天涨幅超过3%且成交额超过1亿元的债券。</x:v>
      </x:c>
      <x:c r="C1062" s="17" t="n">
        <x:v>4</x:v>
      </x:c>
      <x:c r="D1062" s="17" t="str">
        <x:v>回答整理</x:v>
      </x:c>
      <x:c r="E1062" s="17" t="str">
        <x:v>20413.79</x:v>
      </x:c>
      <x:c r="F1062" s="17" t="str">
        <x:v>28352.6</x:v>
      </x:c>
      <x:c r="G1062" s="18" t="n">
        <x:v>7938.81</x:v>
      </x:c>
      <x:c r="H1062" s="18" t="n">
        <x:f>IFERROR(G1062/1000,"")</x:f>
        <x:v>7.93881</x:v>
      </x:c>
      <x:c r="I1062" s="19" t="n">
        <x:f>IFERROR(G1062/J1062,"")</x:f>
        <x:v>0.25836080319946786</x:v>
      </x:c>
      <x:c r="J1062" s="17" t="n">
        <x:v>30727.61</x:v>
      </x:c>
      <x:c r="K1062" s="17" t="str"/>
      <x:c r="L1062" s="17" t="str">
        <x:v>证据与回答已整理完成。</x:v>
      </x:c>
      <x:c r="M1062" s="17" t="str"/>
      <x:c r="N1062" s="18" t="n">
        <x:v>0</x:v>
      </x:c>
      <x:c r="O1062" s="17" t="str">
        <x:v>public_sse_client_estimate</x:v>
      </x:c>
    </x:row>
    <x:row r="1063" ht="48" customHeight="1">
      <x:c r="A1063" s="17" t="str">
        <x:v>BUS200</x:v>
      </x:c>
      <x:c r="B1063" s="17" t="str">
        <x:v>统计当前债券市场涨幅为正的债券数量。</x:v>
      </x:c>
      <x:c r="C1063" s="17" t="n">
        <x:v>1</x:v>
      </x:c>
      <x:c r="D1063" s="17" t="str">
        <x:v>问题理解</x:v>
      </x:c>
      <x:c r="E1063" s="17" t="str">
        <x:v>4747.48</x:v>
      </x:c>
      <x:c r="F1063" s="17" t="str">
        <x:v>8023.4</x:v>
      </x:c>
      <x:c r="G1063" s="18" t="n">
        <x:v>3275.92</x:v>
      </x:c>
      <x:c r="H1063" s="18" t="n">
        <x:f>IFERROR(G1063/1000,"")</x:f>
        <x:v>3.27592</x:v>
      </x:c>
      <x:c r="I1063" s="19" t="n">
        <x:f>IFERROR(G1063/J1063,"")</x:f>
        <x:v>0.13338257262829936</x:v>
      </x:c>
      <x:c r="J1063" s="17" t="n">
        <x:v>24560.33</x:v>
      </x:c>
      <x:c r="K1063" s="17" t="str"/>
      <x:c r="L1063" s="17" t="str">
        <x:v>已明确本题的对象与口径，开始获取所需证据。</x:v>
      </x:c>
      <x:c r="M1063" s="17" t="str"/>
      <x:c r="N1063" s="18" t="n">
        <x:v>4747.48</x:v>
      </x:c>
      <x:c r="O1063" s="17" t="str">
        <x:v>public_sse_client_estimate</x:v>
      </x:c>
    </x:row>
    <x:row r="1064" ht="48" customHeight="1">
      <x:c r="A1064" s="17" t="str">
        <x:v>BUS200</x:v>
      </x:c>
      <x:c r="B1064" s="17" t="str">
        <x:v>统计当前债券市场涨幅为正的债券数量。</x:v>
      </x:c>
      <x:c r="C1064" s="17" t="n">
        <x:v>2</x:v>
      </x:c>
      <x:c r="D1064" s="17" t="str">
        <x:v>数据口径</x:v>
      </x:c>
      <x:c r="E1064" s="17" t="str">
        <x:v>8023.4</x:v>
      </x:c>
      <x:c r="F1064" s="17" t="str">
        <x:v>8059.49</x:v>
      </x:c>
      <x:c r="G1064" s="18" t="n">
        <x:v>36.09</x:v>
      </x:c>
      <x:c r="H1064" s="18" t="n">
        <x:f>IFERROR(G1064/1000,"")</x:f>
        <x:v>0.036090000000000004</x:v>
      </x:c>
      <x:c r="I1064" s="19" t="n">
        <x:f>IFERROR(G1064/J1064,"")</x:f>
        <x:v>0.0014694427965748018</x:v>
      </x:c>
      <x:c r="J1064" s="17" t="n">
        <x:v>24560.33</x:v>
      </x:c>
      <x:c r="K1064" s="17" t="str"/>
      <x:c r="L1064" s="17" t="str">
        <x:v>已定位债券行情视图，并确认了可用字段与时间口径。</x:v>
      </x:c>
      <x:c r="M1064" s="17" t="str"/>
      <x:c r="N1064" s="18" t="n">
        <x:v>0</x:v>
      </x:c>
      <x:c r="O1064" s="17" t="str">
        <x:v>public_sse_client_estimate</x:v>
      </x:c>
    </x:row>
    <x:row r="1065" ht="48" customHeight="1">
      <x:c r="A1065" s="17" t="str">
        <x:v>BUS200</x:v>
      </x:c>
      <x:c r="B1065" s="17" t="str">
        <x:v>统计当前债券市场涨幅为正的债券数量。</x:v>
      </x:c>
      <x:c r="C1065" s="17" t="n">
        <x:v>3</x:v>
      </x:c>
      <x:c r="D1065" s="17" t="str">
        <x:v>数据查询 1/1</x:v>
      </x:c>
      <x:c r="E1065" s="17" t="str">
        <x:v>13078.19</x:v>
      </x:c>
      <x:c r="F1065" s="17" t="str">
        <x:v>16679</x:v>
      </x:c>
      <x:c r="G1065" s="18" t="n">
        <x:v>3600.81</x:v>
      </x:c>
      <x:c r="H1065" s="18" t="n">
        <x:f>IFERROR(G1065/1000,"")</x:f>
        <x:v>3.60081</x:v>
      </x:c>
      <x:c r="I1065" s="19" t="n">
        <x:f>IFERROR(G1065/J1065,"")</x:f>
        <x:v>0.14661081508269636</x:v>
      </x:c>
      <x:c r="J1065" s="17" t="n">
        <x:v>24560.33</x:v>
      </x:c>
      <x:c r="K1065" s="17" t="str"/>
      <x:c r="L1065" s="17" t="str">
        <x:v>已完成：查询当前债券市场涨幅为正的债券数量及行情数据，取得 436 条记录。</x:v>
      </x:c>
      <x:c r="M1065" s="17" t="str"/>
      <x:c r="N1065" s="18" t="n">
        <x:v>5018.7</x:v>
      </x:c>
      <x:c r="O1065" s="17" t="str">
        <x:v>public_sse_client_estimate</x:v>
      </x:c>
    </x:row>
    <x:row r="1066" ht="48" customHeight="1">
      <x:c r="A1066" s="17" t="str">
        <x:v>BUS200</x:v>
      </x:c>
      <x:c r="B1066" s="17" t="str">
        <x:v>统计当前债券市场涨幅为正的债券数量。</x:v>
      </x:c>
      <x:c r="C1066" s="17" t="n">
        <x:v>4</x:v>
      </x:c>
      <x:c r="D1066" s="17" t="str">
        <x:v>回答整理</x:v>
      </x:c>
      <x:c r="E1066" s="17" t="str">
        <x:v>16679</x:v>
      </x:c>
      <x:c r="F1066" s="17" t="str">
        <x:v>22139.2</x:v>
      </x:c>
      <x:c r="G1066" s="18" t="n">
        <x:v>5460.2</x:v>
      </x:c>
      <x:c r="H1066" s="18" t="n">
        <x:f>IFERROR(G1066/1000,"")</x:f>
        <x:v>5.4601999999999995</x:v>
      </x:c>
      <x:c r="I1066" s="19" t="n">
        <x:f>IFERROR(G1066/J1066,"")</x:f>
        <x:v>0.222317859735598</x:v>
      </x:c>
      <x:c r="J1066" s="17" t="n">
        <x:v>24560.33</x:v>
      </x:c>
      <x:c r="K1066" s="17" t="str"/>
      <x:c r="L1066" s="17" t="str">
        <x:v>证据与回答已整理完成。</x:v>
      </x:c>
      <x:c r="M1066" s="17" t="str"/>
      <x:c r="N1066" s="18" t="n">
        <x:v>0</x:v>
      </x:c>
      <x:c r="O1066" s="17" t="str">
        <x:v>public_sse_client_estimate</x:v>
      </x:c>
    </x:row>
    <x:row r="1067" ht="48" customHeight="1">
      <x:c r="A1067" s="17" t="str">
        <x:v>BUS201</x:v>
      </x:c>
      <x:c r="B1067" s="17" t="str">
        <x:v>同时查询平安转债行情和中国平安股票当前行情。</x:v>
      </x:c>
      <x:c r="C1067" s="17" t="n">
        <x:v>1</x:v>
      </x:c>
      <x:c r="D1067" s="17" t="str">
        <x:v>问题理解</x:v>
      </x:c>
      <x:c r="E1067" s="17" t="str">
        <x:v>6825.72</x:v>
      </x:c>
      <x:c r="F1067" s="17" t="str">
        <x:v>10842.74</x:v>
      </x:c>
      <x:c r="G1067" s="18" t="n">
        <x:v>4017.02</x:v>
      </x:c>
      <x:c r="H1067" s="18" t="n">
        <x:f>IFERROR(G1067/1000,"")</x:f>
        <x:v>4.01702</x:v>
      </x:c>
      <x:c r="I1067" s="19" t="n">
        <x:f>IFERROR(G1067/J1067,"")</x:f>
        <x:v>0.1095443555622458</x:v>
      </x:c>
      <x:c r="J1067" s="17" t="n">
        <x:v>36670.26</x:v>
      </x:c>
      <x:c r="K1067" s="17" t="str"/>
      <x:c r="L1067" s="17" t="str">
        <x:v>已明确本题的对象与口径，开始获取所需证据。</x:v>
      </x:c>
      <x:c r="M1067" s="17" t="str"/>
      <x:c r="N1067" s="18" t="n">
        <x:v>6825.72</x:v>
      </x:c>
      <x:c r="O1067" s="17" t="str">
        <x:v>public_sse_client_estimate</x:v>
      </x:c>
    </x:row>
    <x:row r="1068" ht="48" customHeight="1">
      <x:c r="A1068" s="17" t="str">
        <x:v>BUS201</x:v>
      </x:c>
      <x:c r="B1068" s="17" t="str">
        <x:v>同时查询平安转债行情和中国平安股票当前行情。</x:v>
      </x:c>
      <x:c r="C1068" s="17" t="n">
        <x:v>2</x:v>
      </x:c>
      <x:c r="D1068" s="17" t="str">
        <x:v>数据口径</x:v>
      </x:c>
      <x:c r="E1068" s="17" t="str">
        <x:v>10842.74</x:v>
      </x:c>
      <x:c r="F1068" s="17" t="str">
        <x:v>13165.64</x:v>
      </x:c>
      <x:c r="G1068" s="18" t="n">
        <x:v>2322.9</x:v>
      </x:c>
      <x:c r="H1068" s="18" t="n">
        <x:f>IFERROR(G1068/1000,"")</x:f>
        <x:v>2.3229</x:v>
      </x:c>
      <x:c r="I1068" s="19" t="n">
        <x:f>IFERROR(G1068/J1068,"")</x:f>
        <x:v>0.06334561031200761</x:v>
      </x:c>
      <x:c r="J1068" s="17" t="n">
        <x:v>36670.26</x:v>
      </x:c>
      <x:c r="K1068" s="17" t="str"/>
      <x:c r="L1068" s="17" t="str">
        <x:v>已定位债券基础信息视图，并确认了可用字段与时间口径。</x:v>
      </x:c>
      <x:c r="M1068" s="17" t="str"/>
      <x:c r="N1068" s="18" t="n">
        <x:v>0</x:v>
      </x:c>
      <x:c r="O1068" s="17" t="str">
        <x:v>public_sse_client_estimate</x:v>
      </x:c>
    </x:row>
    <x:row r="1069" ht="48" customHeight="1">
      <x:c r="A1069" s="17" t="str">
        <x:v>BUS201</x:v>
      </x:c>
      <x:c r="B1069" s="17" t="str">
        <x:v>同时查询平安转债行情和中国平安股票当前行情。</x:v>
      </x:c>
      <x:c r="C1069" s="17" t="n">
        <x:v>3</x:v>
      </x:c>
      <x:c r="D1069" s="17" t="str">
        <x:v>数据口径</x:v>
      </x:c>
      <x:c r="E1069" s="17" t="str">
        <x:v>13165.64</x:v>
      </x:c>
      <x:c r="F1069" s="17" t="str">
        <x:v>13168.43</x:v>
      </x:c>
      <x:c r="G1069" s="18" t="n">
        <x:v>2.79</x:v>
      </x:c>
      <x:c r="H1069" s="18" t="n">
        <x:f>IFERROR(G1069/1000,"")</x:f>
        <x:v>0.00279</x:v>
      </x:c>
      <x:c r="I1069" s="19" t="n">
        <x:f>IFERROR(G1069/J1069,"")</x:f>
        <x:v>0.00007608345291252366</x:v>
      </x:c>
      <x:c r="J1069" s="17" t="n">
        <x:v>36670.26</x:v>
      </x:c>
      <x:c r="K1069" s="17" t="str"/>
      <x:c r="L1069" s="17" t="str">
        <x:v>已定位债券行情视图，并确认了可用字段与时间口径。</x:v>
      </x:c>
      <x:c r="M1069" s="17" t="str"/>
      <x:c r="N1069" s="18" t="n">
        <x:v>0</x:v>
      </x:c>
      <x:c r="O1069" s="17" t="str">
        <x:v>public_sse_client_estimate</x:v>
      </x:c>
    </x:row>
    <x:row r="1070" ht="48" customHeight="1">
      <x:c r="A1070" s="17" t="str">
        <x:v>BUS201</x:v>
      </x:c>
      <x:c r="B1070" s="17" t="str">
        <x:v>同时查询平安转债行情和中国平安股票当前行情。</x:v>
      </x:c>
      <x:c r="C1070" s="17" t="n">
        <x:v>4</x:v>
      </x:c>
      <x:c r="D1070" s="17" t="str">
        <x:v>数据口径</x:v>
      </x:c>
      <x:c r="E1070" s="17" t="str">
        <x:v>13168.43</x:v>
      </x:c>
      <x:c r="F1070" s="17" t="str">
        <x:v>13170.75</x:v>
      </x:c>
      <x:c r="G1070" s="18" t="n">
        <x:v>2.32</x:v>
      </x:c>
      <x:c r="H1070" s="18" t="n">
        <x:f>IFERROR(G1070/1000,"")</x:f>
        <x:v>0.00232</x:v>
      </x:c>
      <x:c r="I1070" s="19" t="n">
        <x:f>IFERROR(G1070/J1070,"")</x:f>
        <x:v>0.00006326652715306626</x:v>
      </x:c>
      <x:c r="J1070" s="17" t="n">
        <x:v>36670.26</x:v>
      </x:c>
      <x:c r="K1070" s="17" t="str"/>
      <x:c r="L1070" s="17" t="str">
        <x:v>已定位个股行情视图，并确认了可用字段与时间口径。</x:v>
      </x:c>
      <x:c r="M1070" s="17" t="str"/>
      <x:c r="N1070" s="18" t="n">
        <x:v>0</x:v>
      </x:c>
      <x:c r="O1070" s="17" t="str">
        <x:v>public_sse_client_estimate</x:v>
      </x:c>
    </x:row>
    <x:row r="1071" ht="48" customHeight="1">
      <x:c r="A1071" s="17" t="str">
        <x:v>BUS201</x:v>
      </x:c>
      <x:c r="B1071" s="17" t="str">
        <x:v>同时查询平安转债行情和中国平安股票当前行情。</x:v>
      </x:c>
      <x:c r="C1071" s="17" t="n">
        <x:v>5</x:v>
      </x:c>
      <x:c r="D1071" s="17" t="str">
        <x:v>数据查询 1/2</x:v>
      </x:c>
      <x:c r="E1071" s="17" t="str">
        <x:v>16146.88</x:v>
      </x:c>
      <x:c r="F1071" s="17" t="str">
        <x:v>16683.92</x:v>
      </x:c>
      <x:c r="G1071" s="18" t="n">
        <x:v>537.04</x:v>
      </x:c>
      <x:c r="H1071" s="18" t="n">
        <x:f>IFERROR(G1071/1000,"")</x:f>
        <x:v>0.53704</x:v>
      </x:c>
      <x:c r="I1071" s="19" t="n">
        <x:f>IFERROR(G1071/J1071,"")</x:f>
        <x:v>0.014645110233742546</x:v>
      </x:c>
      <x:c r="J1071" s="17" t="n">
        <x:v>36670.26</x:v>
      </x:c>
      <x:c r="K1071" s="17" t="str"/>
      <x:c r="L1071" s="17" t="str">
        <x:v>已完成：查询平安转债的债券代码和基本信息，取得 1 条记录。</x:v>
      </x:c>
      <x:c r="M1071" s="17" t="str"/>
      <x:c r="N1071" s="18" t="n">
        <x:v>2976.13</x:v>
      </x:c>
      <x:c r="O1071" s="17" t="str">
        <x:v>public_sse_client_estimate</x:v>
      </x:c>
    </x:row>
    <x:row r="1072" ht="48" customHeight="1">
      <x:c r="A1072" s="17" t="str">
        <x:v>BUS201</x:v>
      </x:c>
      <x:c r="B1072" s="17" t="str">
        <x:v>同时查询平安转债行情和中国平安股票当前行情。</x:v>
      </x:c>
      <x:c r="C1072" s="17" t="n">
        <x:v>6</x:v>
      </x:c>
      <x:c r="D1072" s="17" t="str">
        <x:v>数据查询 2/2</x:v>
      </x:c>
      <x:c r="E1072" s="17" t="str">
        <x:v>16685.96</x:v>
      </x:c>
      <x:c r="F1072" s="17" t="str">
        <x:v>17766.38</x:v>
      </x:c>
      <x:c r="G1072" s="18" t="n">
        <x:v>1080.42</x:v>
      </x:c>
      <x:c r="H1072" s="18" t="n">
        <x:f>IFERROR(G1072/1000,"")</x:f>
        <x:v>1.0804200000000002</x:v>
      </x:c>
      <x:c r="I1072" s="19" t="n">
        <x:f>IFERROR(G1072/J1072,"")</x:f>
        <x:v>0.029463112614963732</x:v>
      </x:c>
      <x:c r="J1072" s="17" t="n">
        <x:v>36670.26</x:v>
      </x:c>
      <x:c r="K1072" s="17" t="str"/>
      <x:c r="L1072" s="17" t="str">
        <x:v>已完成：查询中国平安股票当前行情，取得 1 条记录。</x:v>
      </x:c>
      <x:c r="M1072" s="17" t="str"/>
      <x:c r="N1072" s="18" t="n">
        <x:v>2.04</x:v>
      </x:c>
      <x:c r="O1072" s="17" t="str">
        <x:v>public_sse_client_estimate</x:v>
      </x:c>
    </x:row>
    <x:row r="1073" ht="48" customHeight="1">
      <x:c r="A1073" s="17" t="str">
        <x:v>BUS201</x:v>
      </x:c>
      <x:c r="B1073" s="17" t="str">
        <x:v>同时查询平安转债行情和中国平安股票当前行情。</x:v>
      </x:c>
      <x:c r="C1073" s="17" t="n">
        <x:v>7</x:v>
      </x:c>
      <x:c r="D1073" s="17" t="str">
        <x:v>数据查询 1/1</x:v>
      </x:c>
      <x:c r="E1073" s="17" t="str">
        <x:v>21557.86</x:v>
      </x:c>
      <x:c r="F1073" s="17" t="str">
        <x:v>22056.08</x:v>
      </x:c>
      <x:c r="G1073" s="18" t="n">
        <x:v>498.22</x:v>
      </x:c>
      <x:c r="H1073" s="18" t="n">
        <x:f>IFERROR(G1073/1000,"")</x:f>
        <x:v>0.49822000000000005</x:v>
      </x:c>
      <x:c r="I1073" s="19" t="n">
        <x:f>IFERROR(G1073/J1073,"")</x:f>
        <x:v>0.013586486706120981</x:v>
      </x:c>
      <x:c r="J1073" s="17" t="n">
        <x:v>36670.26</x:v>
      </x:c>
      <x:c r="K1073" s="17" t="str"/>
      <x:c r="L1073" s="17" t="str">
        <x:v>已完成：查询平安转债最新行情，当前条件下没有匹配记录。</x:v>
      </x:c>
      <x:c r="M1073" s="17" t="str"/>
      <x:c r="N1073" s="18" t="n">
        <x:v>3791.48</x:v>
      </x:c>
      <x:c r="O1073" s="17" t="str">
        <x:v>public_sse_client_estimate</x:v>
      </x:c>
    </x:row>
    <x:row r="1074" ht="48" customHeight="1">
      <x:c r="A1074" s="17" t="str">
        <x:v>BUS201</x:v>
      </x:c>
      <x:c r="B1074" s="17" t="str">
        <x:v>同时查询平安转债行情和中国平安股票当前行情。</x:v>
      </x:c>
      <x:c r="C1074" s="17" t="n">
        <x:v>8</x:v>
      </x:c>
      <x:c r="D1074" s="17" t="str">
        <x:v>数据查询 1/1</x:v>
      </x:c>
      <x:c r="E1074" s="17" t="str">
        <x:v>25244.51</x:v>
      </x:c>
      <x:c r="F1074" s="17" t="str">
        <x:v>25750.83</x:v>
      </x:c>
      <x:c r="G1074" s="18" t="n">
        <x:v>506.32</x:v>
      </x:c>
      <x:c r="H1074" s="18" t="n">
        <x:f>IFERROR(G1074/1000,"")</x:f>
        <x:v>0.50632</x:v>
      </x:c>
      <x:c r="I1074" s="19" t="n">
        <x:f>IFERROR(G1074/J1074,"")</x:f>
        <x:v>0.013807374150060565</x:v>
      </x:c>
      <x:c r="J1074" s="17" t="n">
        <x:v>36670.26</x:v>
      </x:c>
      <x:c r="K1074" s="17" t="str"/>
      <x:c r="L1074" s="17" t="str">
        <x:v>已完成：查询平安转债历史日K行情（最近一个交易日），当前条件下没有匹配记录。</x:v>
      </x:c>
      <x:c r="M1074" s="17" t="str"/>
      <x:c r="N1074" s="18" t="n">
        <x:v>3188.43</x:v>
      </x:c>
      <x:c r="O1074" s="17" t="str">
        <x:v>public_sse_client_estimate</x:v>
      </x:c>
    </x:row>
    <x:row r="1075" ht="48" customHeight="1">
      <x:c r="A1075" s="17" t="str">
        <x:v>BUS201</x:v>
      </x:c>
      <x:c r="B1075" s="17" t="str">
        <x:v>同时查询平安转债行情和中国平安股票当前行情。</x:v>
      </x:c>
      <x:c r="C1075" s="17" t="n">
        <x:v>9</x:v>
      </x:c>
      <x:c r="D1075" s="17" t="str">
        <x:v>回答整理</x:v>
      </x:c>
      <x:c r="E1075" s="17" t="str">
        <x:v>25750.83</x:v>
      </x:c>
      <x:c r="F1075" s="17" t="str">
        <x:v>32175.17</x:v>
      </x:c>
      <x:c r="G1075" s="18" t="n">
        <x:v>6424.34</x:v>
      </x:c>
      <x:c r="H1075" s="18" t="n">
        <x:f>IFERROR(G1075/1000,"")</x:f>
        <x:v>6.42434</x:v>
      </x:c>
      <x:c r="I1075" s="19" t="n">
        <x:f>IFERROR(G1075/J1075,"")</x:f>
        <x:v>0.1751921039010904</x:v>
      </x:c>
      <x:c r="J1075" s="17" t="n">
        <x:v>36670.26</x:v>
      </x:c>
      <x:c r="K1075" s="17" t="str"/>
      <x:c r="L1075" s="17" t="str">
        <x:v>证据与回答已整理完成。</x:v>
      </x:c>
      <x:c r="M1075" s="17" t="str"/>
      <x:c r="N1075" s="18" t="n">
        <x:v>0</x:v>
      </x:c>
      <x:c r="O1075" s="17" t="str">
        <x:v>public_sse_client_estimate</x:v>
      </x:c>
    </x:row>
    <x:row r="1076" ht="48" customHeight="1">
      <x:c r="A1076" s="17" t="str">
        <x:v>BUS202</x:v>
      </x:c>
      <x:c r="B1076" s="17" t="str">
        <x:v>查询万科相关债券列表，并同时查询万科A当前股价。</x:v>
      </x:c>
      <x:c r="C1076" s="17" t="n">
        <x:v>1</x:v>
      </x:c>
      <x:c r="D1076" s="17" t="str">
        <x:v>问题理解</x:v>
      </x:c>
      <x:c r="E1076" s="17" t="str">
        <x:v>4857.83</x:v>
      </x:c>
      <x:c r="F1076" s="17" t="str">
        <x:v>8507.01</x:v>
      </x:c>
      <x:c r="G1076" s="18" t="n">
        <x:v>3649.18</x:v>
      </x:c>
      <x:c r="H1076" s="18" t="n">
        <x:f>IFERROR(G1076/1000,"")</x:f>
        <x:v>3.64918</x:v>
      </x:c>
      <x:c r="I1076" s="19" t="n">
        <x:f>IFERROR(G1076/J1076,"")</x:f>
        <x:v>0.11577369753876435</x:v>
      </x:c>
      <x:c r="J1076" s="17" t="n">
        <x:v>31519.94</x:v>
      </x:c>
      <x:c r="K1076" s="17" t="str"/>
      <x:c r="L1076" s="17" t="str">
        <x:v>已明确本题的对象与口径，开始获取所需证据。</x:v>
      </x:c>
      <x:c r="M1076" s="17" t="str"/>
      <x:c r="N1076" s="18" t="n">
        <x:v>4857.83</x:v>
      </x:c>
      <x:c r="O1076" s="17" t="str">
        <x:v>public_sse_client_estimate</x:v>
      </x:c>
    </x:row>
    <x:row r="1077" ht="48" customHeight="1">
      <x:c r="A1077" s="17" t="str">
        <x:v>BUS202</x:v>
      </x:c>
      <x:c r="B1077" s="17" t="str">
        <x:v>查询万科相关债券列表，并同时查询万科A当前股价。</x:v>
      </x:c>
      <x:c r="C1077" s="17" t="n">
        <x:v>2</x:v>
      </x:c>
      <x:c r="D1077" s="17" t="str">
        <x:v>数据口径</x:v>
      </x:c>
      <x:c r="E1077" s="17" t="str">
        <x:v>8507.01</x:v>
      </x:c>
      <x:c r="F1077" s="17" t="str">
        <x:v>8539.2</x:v>
      </x:c>
      <x:c r="G1077" s="18" t="n">
        <x:v>32.19</x:v>
      </x:c>
      <x:c r="H1077" s="18" t="n">
        <x:f>IFERROR(G1077/1000,"")</x:f>
        <x:v>0.032189999999999996</x:v>
      </x:c>
      <x:c r="I1077" s="19" t="n">
        <x:f>IFERROR(G1077/J1077,"")</x:f>
        <x:v>0.001021258289197251</x:v>
      </x:c>
      <x:c r="J1077" s="17" t="n">
        <x:v>31519.94</x:v>
      </x:c>
      <x:c r="K1077" s="17" t="str"/>
      <x:c r="L1077" s="17" t="str">
        <x:v>已定位个股行情视图，并确认了可用字段与时间口径。</x:v>
      </x:c>
      <x:c r="M1077" s="17" t="str"/>
      <x:c r="N1077" s="18" t="n">
        <x:v>0</x:v>
      </x:c>
      <x:c r="O1077" s="17" t="str">
        <x:v>public_sse_client_estimate</x:v>
      </x:c>
    </x:row>
    <x:row r="1078" ht="48" customHeight="1">
      <x:c r="A1078" s="17" t="str">
        <x:v>BUS202</x:v>
      </x:c>
      <x:c r="B1078" s="17" t="str">
        <x:v>查询万科相关债券列表，并同时查询万科A当前股价。</x:v>
      </x:c>
      <x:c r="C1078" s="17" t="n">
        <x:v>3</x:v>
      </x:c>
      <x:c r="D1078" s="17" t="str">
        <x:v>数据口径</x:v>
      </x:c>
      <x:c r="E1078" s="17" t="str">
        <x:v>8539.2</x:v>
      </x:c>
      <x:c r="F1078" s="17" t="str">
        <x:v>8921.38</x:v>
      </x:c>
      <x:c r="G1078" s="18" t="n">
        <x:v>382.18</x:v>
      </x:c>
      <x:c r="H1078" s="18" t="n">
        <x:f>IFERROR(G1078/1000,"")</x:f>
        <x:v>0.38218</x:v>
      </x:c>
      <x:c r="I1078" s="19" t="n">
        <x:f>IFERROR(G1078/J1078,"")</x:f>
        <x:v>0.012125023080627692</x:v>
      </x:c>
      <x:c r="J1078" s="17" t="n">
        <x:v>31519.94</x:v>
      </x:c>
      <x:c r="K1078" s="17" t="str"/>
      <x:c r="L1078" s="17" t="str">
        <x:v>已定位债券基础信息视图，并确认了可用字段与时间口径。</x:v>
      </x:c>
      <x:c r="M1078" s="17" t="str"/>
      <x:c r="N1078" s="18" t="n">
        <x:v>0</x:v>
      </x:c>
      <x:c r="O1078" s="17" t="str">
        <x:v>public_sse_client_estimate</x:v>
      </x:c>
    </x:row>
    <x:row r="1079" ht="48" customHeight="1">
      <x:c r="A1079" s="17" t="str">
        <x:v>BUS202</x:v>
      </x:c>
      <x:c r="B1079" s="17" t="str">
        <x:v>查询万科相关债券列表，并同时查询万科A当前股价。</x:v>
      </x:c>
      <x:c r="C1079" s="17" t="n">
        <x:v>4</x:v>
      </x:c>
      <x:c r="D1079" s="17" t="str">
        <x:v>数据查询 1/2</x:v>
      </x:c>
      <x:c r="E1079" s="17" t="str">
        <x:v>14227.62</x:v>
      </x:c>
      <x:c r="F1079" s="17" t="str">
        <x:v>15406.64</x:v>
      </x:c>
      <x:c r="G1079" s="18" t="n">
        <x:v>1179.02</x:v>
      </x:c>
      <x:c r="H1079" s="18" t="n">
        <x:f>IFERROR(G1079/1000,"")</x:f>
        <x:v>1.17902</x:v>
      </x:c>
      <x:c r="I1079" s="19" t="n">
        <x:f>IFERROR(G1079/J1079,"")</x:f>
        <x:v>0.03740552805620823</x:v>
      </x:c>
      <x:c r="J1079" s="17" t="n">
        <x:v>31519.94</x:v>
      </x:c>
      <x:c r="K1079" s="17" t="str"/>
      <x:c r="L1079" s="17" t="str">
        <x:v>已完成：查询万科A当前最新股价，取得 1 条记录。</x:v>
      </x:c>
      <x:c r="M1079" s="17" t="str"/>
      <x:c r="N1079" s="18" t="n">
        <x:v>5306.24</x:v>
      </x:c>
      <x:c r="O1079" s="17" t="str">
        <x:v>public_sse_client_estimate</x:v>
      </x:c>
    </x:row>
    <x:row r="1080" ht="48" customHeight="1">
      <x:c r="A1080" s="17" t="str">
        <x:v>BUS202</x:v>
      </x:c>
      <x:c r="B1080" s="17" t="str">
        <x:v>查询万科相关债券列表，并同时查询万科A当前股价。</x:v>
      </x:c>
      <x:c r="C1080" s="17" t="n">
        <x:v>5</x:v>
      </x:c>
      <x:c r="D1080" s="17" t="str">
        <x:v>数据查询 2/2</x:v>
      </x:c>
      <x:c r="E1080" s="17" t="str">
        <x:v>15413.71</x:v>
      </x:c>
      <x:c r="F1080" s="17" t="str">
        <x:v>15843.58</x:v>
      </x:c>
      <x:c r="G1080" s="18" t="n">
        <x:v>429.87</x:v>
      </x:c>
      <x:c r="H1080" s="18" t="n">
        <x:f>IFERROR(G1080/1000,"")</x:f>
        <x:v>0.42987000000000003</x:v>
      </x:c>
      <x:c r="I1080" s="19" t="n">
        <x:f>IFERROR(G1080/J1080,"")</x:f>
        <x:v>0.013638033574937009</x:v>
      </x:c>
      <x:c r="J1080" s="17" t="n">
        <x:v>31519.94</x:v>
      </x:c>
      <x:c r="K1080" s="17" t="str"/>
      <x:c r="L1080" s="17" t="str">
        <x:v>已完成：查询万科发行的相关债券列表，取得 20 条记录。</x:v>
      </x:c>
      <x:c r="M1080" s="17" t="str"/>
      <x:c r="N1080" s="18" t="n">
        <x:v>7.07</x:v>
      </x:c>
      <x:c r="O1080" s="17" t="str">
        <x:v>public_sse_client_estimate</x:v>
      </x:c>
    </x:row>
    <x:row r="1081" ht="48" customHeight="1">
      <x:c r="A1081" s="17" t="str">
        <x:v>BUS202</x:v>
      </x:c>
      <x:c r="B1081" s="17" t="str">
        <x:v>查询万科相关债券列表，并同时查询万科A当前股价。</x:v>
      </x:c>
      <x:c r="C1081" s="17" t="n">
        <x:v>6</x:v>
      </x:c>
      <x:c r="D1081" s="17" t="str">
        <x:v>回答整理</x:v>
      </x:c>
      <x:c r="E1081" s="17" t="str">
        <x:v>15843.58</x:v>
      </x:c>
      <x:c r="F1081" s="17" t="str">
        <x:v>26945.29</x:v>
      </x:c>
      <x:c r="G1081" s="18" t="n">
        <x:v>11101.71</x:v>
      </x:c>
      <x:c r="H1081" s="18" t="n">
        <x:f>IFERROR(G1081/1000,"")</x:f>
        <x:v>11.101709999999999</x:v>
      </x:c>
      <x:c r="I1081" s="19" t="n">
        <x:f>IFERROR(G1081/J1081,"")</x:f>
        <x:v>0.3522122821299787</x:v>
      </x:c>
      <x:c r="J1081" s="17" t="n">
        <x:v>31519.94</x:v>
      </x:c>
      <x:c r="K1081" s="17" t="str"/>
      <x:c r="L1081" s="17" t="str">
        <x:v>证据与回答已整理完成。</x:v>
      </x:c>
      <x:c r="M1081" s="17" t="str"/>
      <x:c r="N1081" s="18" t="n">
        <x:v>0</x:v>
      </x:c>
      <x:c r="O1081" s="17" t="str">
        <x:v>public_sse_client_estimate</x:v>
      </x:c>
    </x:row>
    <x:row r="1082" ht="48" customHeight="1">
      <x:c r="A1082" s="17" t="str">
        <x:v>BUS203</x:v>
      </x:c>
      <x:c r="B1082" s="17" t="str">
        <x:v>查询银行相关债券今天涨幅前10名，并对比银行行业成分股平均涨幅。</x:v>
      </x:c>
      <x:c r="C1082" s="17" t="n">
        <x:v>1</x:v>
      </x:c>
      <x:c r="D1082" s="17" t="str">
        <x:v>问题理解</x:v>
      </x:c>
      <x:c r="E1082" s="17" t="str">
        <x:v>5309.84</x:v>
      </x:c>
      <x:c r="F1082" s="17" t="str">
        <x:v>11784.05</x:v>
      </x:c>
      <x:c r="G1082" s="18" t="n">
        <x:v>6474.21</x:v>
      </x:c>
      <x:c r="H1082" s="18" t="n">
        <x:f>IFERROR(G1082/1000,"")</x:f>
        <x:v>6.47421</x:v>
      </x:c>
      <x:c r="I1082" s="19" t="n">
        <x:f>IFERROR(G1082/J1082,"")</x:f>
        <x:v>0.04919101488470004</x:v>
      </x:c>
      <x:c r="J1082" s="17" t="n">
        <x:v>131613.67</x:v>
      </x:c>
      <x:c r="K1082" s="17" t="str"/>
      <x:c r="L1082" s="17" t="str">
        <x:v>已明确本题的对象与口径，开始获取所需证据。</x:v>
      </x:c>
      <x:c r="M1082" s="17" t="str"/>
      <x:c r="N1082" s="18" t="n">
        <x:v>5309.84</x:v>
      </x:c>
      <x:c r="O1082" s="17" t="str">
        <x:v>public_sse_client_estimate</x:v>
      </x:c>
    </x:row>
    <x:row r="1083" ht="48" customHeight="1">
      <x:c r="A1083" s="17" t="str">
        <x:v>BUS203</x:v>
      </x:c>
      <x:c r="B1083" s="17" t="str">
        <x:v>查询银行相关债券今天涨幅前10名，并对比银行行业成分股平均涨幅。</x:v>
      </x:c>
      <x:c r="C1083" s="17" t="n">
        <x:v>2</x:v>
      </x:c>
      <x:c r="D1083" s="17" t="str">
        <x:v>数据口径</x:v>
      </x:c>
      <x:c r="E1083" s="17" t="str">
        <x:v>11784.05</x:v>
      </x:c>
      <x:c r="F1083" s="17" t="str">
        <x:v>11808.95</x:v>
      </x:c>
      <x:c r="G1083" s="18" t="n">
        <x:v>24.9</x:v>
      </x:c>
      <x:c r="H1083" s="18" t="n">
        <x:f>IFERROR(G1083/1000,"")</x:f>
        <x:v>0.0249</x:v>
      </x:c>
      <x:c r="I1083" s="19" t="n">
        <x:f>IFERROR(G1083/J1083,"")</x:f>
        <x:v>0.00018919007425292523</x:v>
      </x:c>
      <x:c r="J1083" s="17" t="n">
        <x:v>131613.67</x:v>
      </x:c>
      <x:c r="K1083" s="17" t="str"/>
      <x:c r="L1083" s="17" t="str">
        <x:v>已定位债券行情视图，并确认了可用字段与时间口径。</x:v>
      </x:c>
      <x:c r="M1083" s="17" t="str"/>
      <x:c r="N1083" s="18" t="n">
        <x:v>0</x:v>
      </x:c>
      <x:c r="O1083" s="17" t="str">
        <x:v>public_sse_client_estimate</x:v>
      </x:c>
    </x:row>
    <x:row r="1084" ht="48" customHeight="1">
      <x:c r="A1084" s="17" t="str">
        <x:v>BUS203</x:v>
      </x:c>
      <x:c r="B1084" s="17" t="str">
        <x:v>查询银行相关债券今天涨幅前10名，并对比银行行业成分股平均涨幅。</x:v>
      </x:c>
      <x:c r="C1084" s="17" t="n">
        <x:v>3</x:v>
      </x:c>
      <x:c r="D1084" s="17" t="str">
        <x:v>数据口径</x:v>
      </x:c>
      <x:c r="E1084" s="17" t="str">
        <x:v>11808.95</x:v>
      </x:c>
      <x:c r="F1084" s="17" t="str">
        <x:v>12012.77</x:v>
      </x:c>
      <x:c r="G1084" s="18" t="n">
        <x:v>203.82</x:v>
      </x:c>
      <x:c r="H1084" s="18" t="n">
        <x:f>IFERROR(G1084/1000,"")</x:f>
        <x:v>0.20382</x:v>
      </x:c>
      <x:c r="I1084" s="19" t="n">
        <x:f>IFERROR(G1084/J1084,"")</x:f>
        <x:v>0.0015486233306920168</x:v>
      </x:c>
      <x:c r="J1084" s="17" t="n">
        <x:v>131613.67</x:v>
      </x:c>
      <x:c r="K1084" s="17" t="str"/>
      <x:c r="L1084" s="17" t="str">
        <x:v>已定位行业成分关系视图，并确认了可用字段与时间口径。</x:v>
      </x:c>
      <x:c r="M1084" s="17" t="str"/>
      <x:c r="N1084" s="18" t="n">
        <x:v>0</x:v>
      </x:c>
      <x:c r="O1084" s="17" t="str">
        <x:v>public_sse_client_estimate</x:v>
      </x:c>
    </x:row>
    <x:row r="1085" ht="48" customHeight="1">
      <x:c r="A1085" s="17" t="str">
        <x:v>BUS203</x:v>
      </x:c>
      <x:c r="B1085" s="17" t="str">
        <x:v>查询银行相关债券今天涨幅前10名，并对比银行行业成分股平均涨幅。</x:v>
      </x:c>
      <x:c r="C1085" s="17" t="n">
        <x:v>4</x:v>
      </x:c>
      <x:c r="D1085" s="17" t="str">
        <x:v>数据口径</x:v>
      </x:c>
      <x:c r="E1085" s="17" t="str">
        <x:v>12012.77</x:v>
      </x:c>
      <x:c r="F1085" s="17" t="str">
        <x:v>12386.79</x:v>
      </x:c>
      <x:c r="G1085" s="18" t="n">
        <x:v>374.02</x:v>
      </x:c>
      <x:c r="H1085" s="18" t="n">
        <x:f>IFERROR(G1085/1000,"")</x:f>
        <x:v>0.37401999999999996</x:v>
      </x:c>
      <x:c r="I1085" s="19" t="n">
        <x:f>IFERROR(G1085/J1085,"")</x:f>
        <x:v>0.002841802071167835</x:v>
      </x:c>
      <x:c r="J1085" s="17" t="n">
        <x:v>131613.67</x:v>
      </x:c>
      <x:c r="K1085" s="17" t="str"/>
      <x:c r="L1085" s="17" t="str">
        <x:v>已定位行业基础信息视图，并确认了可用字段与时间口径。</x:v>
      </x:c>
      <x:c r="M1085" s="17" t="str"/>
      <x:c r="N1085" s="18" t="n">
        <x:v>0</x:v>
      </x:c>
      <x:c r="O1085" s="17" t="str">
        <x:v>public_sse_client_estimate</x:v>
      </x:c>
    </x:row>
    <x:row r="1086" ht="48" customHeight="1">
      <x:c r="A1086" s="17" t="str">
        <x:v>BUS203</x:v>
      </x:c>
      <x:c r="B1086" s="17" t="str">
        <x:v>查询银行相关债券今天涨幅前10名，并对比银行行业成分股平均涨幅。</x:v>
      </x:c>
      <x:c r="C1086" s="17" t="n">
        <x:v>5</x:v>
      </x:c>
      <x:c r="D1086" s="17" t="str">
        <x:v>数据查询 1/2</x:v>
      </x:c>
      <x:c r="E1086" s="17" t="str">
        <x:v>22508.23</x:v>
      </x:c>
      <x:c r="F1086" s="17" t="str">
        <x:v>22994.23</x:v>
      </x:c>
      <x:c r="G1086" s="18" t="n">
        <x:v>486</x:v>
      </x:c>
      <x:c r="H1086" s="18" t="n">
        <x:f>IFERROR(G1086/1000,"")</x:f>
        <x:v>0.486</x:v>
      </x:c>
      <x:c r="I1086" s="19" t="n">
        <x:f>IFERROR(G1086/J1086,"")</x:f>
        <x:v>0.0036926255456595043</x:v>
      </x:c>
      <x:c r="J1086" s="17" t="n">
        <x:v>131613.67</x:v>
      </x:c>
      <x:c r="K1086" s="17" t="str"/>
      <x:c r="L1086" s="17" t="str">
        <x:v>已完成：查询名称中包含'银行'的债券，按今日涨跌幅降序排列，取前10名，取得 10 条记录。</x:v>
      </x:c>
      <x:c r="M1086" s="17" t="str"/>
      <x:c r="N1086" s="18" t="n">
        <x:v>10121.44</x:v>
      </x:c>
      <x:c r="O1086" s="17" t="str">
        <x:v>public_sse_client_estimate</x:v>
      </x:c>
    </x:row>
    <x:row r="1087" ht="48" customHeight="1">
      <x:c r="A1087" s="17" t="str">
        <x:v>BUS203</x:v>
      </x:c>
      <x:c r="B1087" s="17" t="str">
        <x:v>查询银行相关债券今天涨幅前10名，并对比银行行业成分股平均涨幅。</x:v>
      </x:c>
      <x:c r="C1087" s="17" t="n">
        <x:v>6</x:v>
      </x:c>
      <x:c r="D1087" s="17" t="str">
        <x:v>数据查询 2/2</x:v>
      </x:c>
      <x:c r="E1087" s="17" t="str">
        <x:v>22996.17</x:v>
      </x:c>
      <x:c r="F1087" s="17" t="str">
        <x:v>24201.47</x:v>
      </x:c>
      <x:c r="G1087" s="18" t="n">
        <x:v>1205.3</x:v>
      </x:c>
      <x:c r="H1087" s="18" t="n">
        <x:f>IFERROR(G1087/1000,"")</x:f>
        <x:v>1.2053</x:v>
      </x:c>
      <x:c r="I1087" s="19" t="n">
        <x:f>IFERROR(G1087/J1087,"")</x:f>
        <x:v>0.009157863313134569</x:v>
      </x:c>
      <x:c r="J1087" s="17" t="n">
        <x:v>131613.67</x:v>
      </x:c>
      <x:c r="K1087" s="17" t="str"/>
      <x:c r="L1087" s="17" t="str">
        <x:v>已完成：查询银行行业（申万一级）成分股今日平均涨跌幅，取得 1 条记录。</x:v>
      </x:c>
      <x:c r="M1087" s="17" t="str"/>
      <x:c r="N1087" s="18" t="n">
        <x:v>1.94</x:v>
      </x:c>
      <x:c r="O1087" s="17" t="str">
        <x:v>public_sse_client_estimate</x:v>
      </x:c>
    </x:row>
    <x:row r="1088" ht="48" customHeight="1">
      <x:c r="A1088" s="17" t="str">
        <x:v>BUS203</x:v>
      </x:c>
      <x:c r="B1088" s="17" t="str">
        <x:v>查询银行相关债券今天涨幅前10名，并对比银行行业成分股平均涨幅。</x:v>
      </x:c>
      <x:c r="C1088" s="17" t="n">
        <x:v>7</x:v>
      </x:c>
      <x:c r="D1088" s="17" t="str">
        <x:v>数据口径</x:v>
      </x:c>
      <x:c r="E1088" s="17" t="str">
        <x:v>24201.47</x:v>
      </x:c>
      <x:c r="F1088" s="17" t="str">
        <x:v>30560.18</x:v>
      </x:c>
      <x:c r="G1088" s="18" t="n">
        <x:v>6358.71</x:v>
      </x:c>
      <x:c r="H1088" s="18" t="n">
        <x:f>IFERROR(G1088/1000,"")</x:f>
        <x:v>6.35871</x:v>
      </x:c>
      <x:c r="I1088" s="19" t="n">
        <x:f>IFERROR(G1088/J1088,"")</x:f>
        <x:v>0.04831344646798467</x:v>
      </x:c>
      <x:c r="J1088" s="17" t="n">
        <x:v>131613.67</x:v>
      </x:c>
      <x:c r="K1088" s="17" t="str"/>
      <x:c r="L1088" s="17" t="str">
        <x:v>已定位行业基础信息视图，并确认了可用字段与时间口径。</x:v>
      </x:c>
      <x:c r="M1088" s="17" t="str"/>
      <x:c r="N1088" s="18" t="n">
        <x:v>0</x:v>
      </x:c>
      <x:c r="O1088" s="17" t="str">
        <x:v>public_sse_client_estimate</x:v>
      </x:c>
    </x:row>
    <x:row r="1089" ht="48" customHeight="1">
      <x:c r="A1089" s="17" t="str">
        <x:v>BUS203</x:v>
      </x:c>
      <x:c r="B1089" s="17" t="str">
        <x:v>查询银行相关债券今天涨幅前10名，并对比银行行业成分股平均涨幅。</x:v>
      </x:c>
      <x:c r="C1089" s="17" t="n">
        <x:v>8</x:v>
      </x:c>
      <x:c r="D1089" s="17" t="str">
        <x:v>数据查询 1/1</x:v>
      </x:c>
      <x:c r="E1089" s="17" t="str">
        <x:v>37327.32</x:v>
      </x:c>
      <x:c r="F1089" s="17" t="str">
        <x:v>37776.74</x:v>
      </x:c>
      <x:c r="G1089" s="18" t="n">
        <x:v>449.42</x:v>
      </x:c>
      <x:c r="H1089" s="18" t="n">
        <x:f>IFERROR(G1089/1000,"")</x:f>
        <x:v>0.44942000000000004</x:v>
      </x:c>
      <x:c r="I1089" s="19" t="n">
        <x:f>IFERROR(G1089/J1089,"")</x:f>
        <x:v>0.0034146908903915528</x:v>
      </x:c>
      <x:c r="J1089" s="17" t="n">
        <x:v>131613.67</x:v>
      </x:c>
      <x:c r="K1089" s="17" t="str"/>
      <x:c r="L1089" s="17" t="str">
        <x:v>已完成：查询申万一级行业'银行'的行业信息，取得 10 条记录。</x:v>
      </x:c>
      <x:c r="M1089" s="17" t="str"/>
      <x:c r="N1089" s="18" t="n">
        <x:v>6767.14</x:v>
      </x:c>
      <x:c r="O1089" s="17" t="str">
        <x:v>public_sse_client_estimate</x:v>
      </x:c>
    </x:row>
    <x:row r="1090" ht="48" customHeight="1">
      <x:c r="A1090" s="17" t="str">
        <x:v>BUS203</x:v>
      </x:c>
      <x:c r="B1090" s="17" t="str">
        <x:v>查询银行相关债券今天涨幅前10名，并对比银行行业成分股平均涨幅。</x:v>
      </x:c>
      <x:c r="C1090" s="17" t="n">
        <x:v>9</x:v>
      </x:c>
      <x:c r="D1090" s="17" t="str">
        <x:v>数据查询 1/2</x:v>
      </x:c>
      <x:c r="E1090" s="17" t="str">
        <x:v>44433.93</x:v>
      </x:c>
      <x:c r="F1090" s="17" t="str">
        <x:v>44862.02</x:v>
      </x:c>
      <x:c r="G1090" s="18" t="n">
        <x:v>428.09</x:v>
      </x:c>
      <x:c r="H1090" s="18" t="n">
        <x:f>IFERROR(G1090/1000,"")</x:f>
        <x:v>0.42808999999999997</x:v>
      </x:c>
      <x:c r="I1090" s="19" t="n">
        <x:f>IFERROR(G1090/J1090,"")</x:f>
        <x:v>0.0032526256581098295</x:v>
      </x:c>
      <x:c r="J1090" s="17" t="n">
        <x:v>131613.67</x:v>
      </x:c>
      <x:c r="K1090" s="17" t="str"/>
      <x:c r="L1090" s="17" t="str">
        <x:v>已完成：查询名称中明确包含'银行'二字的债券今日行情，取得 20 条记录。</x:v>
      </x:c>
      <x:c r="M1090" s="17" t="str"/>
      <x:c r="N1090" s="18" t="n">
        <x:v>6657.19</x:v>
      </x:c>
      <x:c r="O1090" s="17" t="str">
        <x:v>public_sse_client_estimate</x:v>
      </x:c>
    </x:row>
    <x:row r="1091" ht="48" customHeight="1">
      <x:c r="A1091" s="17" t="str">
        <x:v>BUS203</x:v>
      </x:c>
      <x:c r="B1091" s="17" t="str">
        <x:v>查询银行相关债券今天涨幅前10名，并对比银行行业成分股平均涨幅。</x:v>
      </x:c>
      <x:c r="C1091" s="17" t="n">
        <x:v>10</x:v>
      </x:c>
      <x:c r="D1091" s="17" t="str">
        <x:v>数据查询 2/2</x:v>
      </x:c>
      <x:c r="E1091" s="17" t="str">
        <x:v>44864.67</x:v>
      </x:c>
      <x:c r="F1091" s="17" t="str">
        <x:v>46594.95</x:v>
      </x:c>
      <x:c r="G1091" s="18" t="n">
        <x:v>1730.28</x:v>
      </x:c>
      <x:c r="H1091" s="18" t="n">
        <x:f>IFERROR(G1091/1000,"")</x:f>
        <x:v>1.73028</x:v>
      </x:c>
      <x:c r="I1091" s="19" t="n">
        <x:f>IFERROR(G1091/J1091,"")</x:f>
        <x:v>0.013146658701941826</x:v>
      </x:c>
      <x:c r="J1091" s="17" t="n">
        <x:v>131613.67</x:v>
      </x:c>
      <x:c r="K1091" s="17" t="str"/>
      <x:c r="L1091" s="17" t="str">
        <x:v>已完成：使用正确的申万一级行业代码480000查询银行行业成分股今日平均涨跌幅，取得 1 条记录。</x:v>
      </x:c>
      <x:c r="M1091" s="17" t="str"/>
      <x:c r="N1091" s="18" t="n">
        <x:v>2.65</x:v>
      </x:c>
      <x:c r="O1091" s="17" t="str">
        <x:v>public_sse_client_estimate</x:v>
      </x:c>
    </x:row>
    <x:row r="1092" ht="48" customHeight="1">
      <x:c r="A1092" s="17" t="str">
        <x:v>BUS203</x:v>
      </x:c>
      <x:c r="B1092" s="17" t="str">
        <x:v>查询银行相关债券今天涨幅前10名，并对比银行行业成分股平均涨幅。</x:v>
      </x:c>
      <x:c r="C1092" s="17" t="n">
        <x:v>11</x:v>
      </x:c>
      <x:c r="D1092" s="17" t="str">
        <x:v>数据查询 1/1</x:v>
      </x:c>
      <x:c r="E1092" s="17" t="str">
        <x:v>55919.29</x:v>
      </x:c>
      <x:c r="F1092" s="17" t="str">
        <x:v>56379.72</x:v>
      </x:c>
      <x:c r="G1092" s="18" t="n">
        <x:v>460.43</x:v>
      </x:c>
      <x:c r="H1092" s="18" t="n">
        <x:f>IFERROR(G1092/1000,"")</x:f>
        <x:v>0.46043</x:v>
      </x:c>
      <x:c r="I1092" s="19" t="n">
        <x:f>IFERROR(G1092/J1092,"")</x:f>
        <x:v>0.003498344814790135</x:v>
      </x:c>
      <x:c r="J1092" s="17" t="n">
        <x:v>131613.67</x:v>
      </x:c>
      <x:c r="K1092" s="17" t="str"/>
      <x:c r="L1092" s="17" t="str">
        <x:v>已完成：尝试搜索名称包含'银行'的债券，使用精确匹配模式，取得 5 条记录。</x:v>
      </x:c>
      <x:c r="M1092" s="17" t="str"/>
      <x:c r="N1092" s="18" t="n">
        <x:v>9324.34</x:v>
      </x:c>
      <x:c r="O1092" s="17" t="str">
        <x:v>public_sse_client_estimate</x:v>
      </x:c>
    </x:row>
    <x:row r="1093" ht="48" customHeight="1">
      <x:c r="A1093" s="17" t="str">
        <x:v>BUS203</x:v>
      </x:c>
      <x:c r="B1093" s="17" t="str">
        <x:v>查询银行相关债券今天涨幅前10名，并对比银行行业成分股平均涨幅。</x:v>
      </x:c>
      <x:c r="C1093" s="17" t="n">
        <x:v>12</x:v>
      </x:c>
      <x:c r="D1093" s="17" t="str">
        <x:v>数据查询 1/1</x:v>
      </x:c>
      <x:c r="E1093" s="17" t="str">
        <x:v>62238.71</x:v>
      </x:c>
      <x:c r="F1093" s="17" t="str">
        <x:v>62775.43</x:v>
      </x:c>
      <x:c r="G1093" s="18" t="n">
        <x:v>536.72</x:v>
      </x:c>
      <x:c r="H1093" s="18" t="n">
        <x:f>IFERROR(G1093/1000,"")</x:f>
        <x:v>0.53672</x:v>
      </x:c>
      <x:c r="I1093" s="19" t="n">
        <x:f>IFERROR(G1093/J1093,"")</x:f>
        <x:v>0.004077995849519279</x:v>
      </x:c>
      <x:c r="J1093" s="17" t="n">
        <x:v>131613.67</x:v>
      </x:c>
      <x:c r="K1093" s="17" t="str"/>
      <x:c r="L1093" s="17" t="str">
        <x:v>已完成：查询名称包含'行'字的债券行情，尝试找到银行相关债券，取得 10 条记录。</x:v>
      </x:c>
      <x:c r="M1093" s="17" t="str"/>
      <x:c r="N1093" s="18" t="n">
        <x:v>5858.99</x:v>
      </x:c>
      <x:c r="O1093" s="17" t="str">
        <x:v>public_sse_client_estimate</x:v>
      </x:c>
    </x:row>
    <x:row r="1094" ht="48" customHeight="1">
      <x:c r="A1094" s="17" t="str">
        <x:v>BUS203</x:v>
      </x:c>
      <x:c r="B1094" s="17" t="str">
        <x:v>查询银行相关债券今天涨幅前10名，并对比银行行业成分股平均涨幅。</x:v>
      </x:c>
      <x:c r="C1094" s="17" t="n">
        <x:v>13</x:v>
      </x:c>
      <x:c r="D1094" s="17" t="str">
        <x:v>数据查询 1/1</x:v>
      </x:c>
      <x:c r="E1094" s="17" t="str">
        <x:v>68462.56</x:v>
      </x:c>
      <x:c r="F1094" s="17" t="str">
        <x:v>68912.77</x:v>
      </x:c>
      <x:c r="G1094" s="18" t="n">
        <x:v>450.21</x:v>
      </x:c>
      <x:c r="H1094" s="18" t="n">
        <x:f>IFERROR(G1094/1000,"")</x:f>
        <x:v>0.45021</x:v>
      </x:c>
      <x:c r="I1094" s="19" t="n">
        <x:f>IFERROR(G1094/J1094,"")</x:f>
        <x:v>0.0034206933064019865</x:v>
      </x:c>
      <x:c r="J1094" s="17" t="n">
        <x:v>131613.67</x:v>
      </x:c>
      <x:c r="K1094" s="17" t="str"/>
      <x:c r="L1094" s="17" t="str">
        <x:v>已完成：查询名称包含'银'字的债券行情，寻找银行相关债券，取得 10 条记录。</x:v>
      </x:c>
      <x:c r="M1094" s="17" t="str"/>
      <x:c r="N1094" s="18" t="n">
        <x:v>5687.13</x:v>
      </x:c>
      <x:c r="O1094" s="17" t="str">
        <x:v>public_sse_client_estimate</x:v>
      </x:c>
    </x:row>
    <x:row r="1095" ht="48" customHeight="1">
      <x:c r="A1095" s="17" t="str">
        <x:v>BUS203</x:v>
      </x:c>
      <x:c r="B1095" s="17" t="str">
        <x:v>查询银行相关债券今天涨幅前10名，并对比银行行业成分股平均涨幅。</x:v>
      </x:c>
      <x:c r="C1095" s="17" t="n">
        <x:v>14</x:v>
      </x:c>
      <x:c r="D1095" s="17" t="str">
        <x:v>数据查询 1/1</x:v>
      </x:c>
      <x:c r="E1095" s="17" t="str">
        <x:v>72509.76</x:v>
      </x:c>
      <x:c r="F1095" s="17" t="str">
        <x:v>72914.35</x:v>
      </x:c>
      <x:c r="G1095" s="18" t="n">
        <x:v>404.59</x:v>
      </x:c>
      <x:c r="H1095" s="18" t="n">
        <x:f>IFERROR(G1095/1000,"")</x:f>
        <x:v>0.40458999999999995</x:v>
      </x:c>
      <x:c r="I1095" s="19" t="n">
        <x:f>IFERROR(G1095/J1095,"")</x:f>
        <x:v>0.003074072776786788</x:v>
      </x:c>
      <x:c r="J1095" s="17" t="n">
        <x:v>131613.67</x:v>
      </x:c>
      <x:c r="K1095" s="17" t="str"/>
      <x:c r="L1095" s="17" t="str">
        <x:v>已完成：查询债券行情数据，看看有哪些债券品种，寻找银行相关债券的可能名称，取得 5 条记录。</x:v>
      </x:c>
      <x:c r="M1095" s="17" t="str"/>
      <x:c r="N1095" s="18" t="n">
        <x:v>3596.99</x:v>
      </x:c>
      <x:c r="O1095" s="17" t="str">
        <x:v>public_sse_client_estimate</x:v>
      </x:c>
    </x:row>
    <x:row r="1096" ht="48" customHeight="1">
      <x:c r="A1096" s="17" t="str">
        <x:v>BUS203</x:v>
      </x:c>
      <x:c r="B1096" s="17" t="str">
        <x:v>查询银行相关债券今天涨幅前10名，并对比银行行业成分股平均涨幅。</x:v>
      </x:c>
      <x:c r="C1096" s="17" t="n">
        <x:v>15</x:v>
      </x:c>
      <x:c r="D1096" s="17" t="str">
        <x:v>数据查询 1/1</x:v>
      </x:c>
      <x:c r="E1096" s="17" t="str">
        <x:v>78140.2</x:v>
      </x:c>
      <x:c r="F1096" s="17" t="str">
        <x:v>78677.01</x:v>
      </x:c>
      <x:c r="G1096" s="18" t="n">
        <x:v>536.81</x:v>
      </x:c>
      <x:c r="H1096" s="18" t="n">
        <x:f>IFERROR(G1096/1000,"")</x:f>
        <x:v>0.5368099999999999</x:v>
      </x:c>
      <x:c r="I1096" s="19" t="n">
        <x:f>IFERROR(G1096/J1096,"")</x:f>
        <x:v>0.004078679669064771</x:v>
      </x:c>
      <x:c r="J1096" s="17" t="n">
        <x:v>131613.67</x:v>
      </x:c>
      <x:c r="K1096" s="17" t="str"/>
      <x:c r="L1096" s="17" t="str">
        <x:v>已完成：尝试使用不同的filter格式查询债券，寻找银行相关债券，取得 1 条记录。</x:v>
      </x:c>
      <x:c r="M1096" s="17" t="str"/>
      <x:c r="N1096" s="18" t="n">
        <x:v>5225.85</x:v>
      </x:c>
      <x:c r="O1096" s="17" t="str">
        <x:v>public_sse_client_estimate</x:v>
      </x:c>
    </x:row>
    <x:row r="1097" ht="48" customHeight="1">
      <x:c r="A1097" s="17" t="str">
        <x:v>BUS203</x:v>
      </x:c>
      <x:c r="B1097" s="17" t="str">
        <x:v>查询银行相关债券今天涨幅前10名，并对比银行行业成分股平均涨幅。</x:v>
      </x:c>
      <x:c r="C1097" s="17" t="n">
        <x:v>16</x:v>
      </x:c>
      <x:c r="D1097" s="17" t="str">
        <x:v>数据查询 1/1</x:v>
      </x:c>
      <x:c r="E1097" s="17" t="str">
        <x:v>83624.73</x:v>
      </x:c>
      <x:c r="F1097" s="17" t="str">
        <x:v>84178.59</x:v>
      </x:c>
      <x:c r="G1097" s="18" t="n">
        <x:v>553.86</x:v>
      </x:c>
      <x:c r="H1097" s="18" t="n">
        <x:f>IFERROR(G1097/1000,"")</x:f>
        <x:v>0.55386</x:v>
      </x:c>
      <x:c r="I1097" s="19" t="n">
        <x:f>IFERROR(G1097/J1097,"")</x:f>
        <x:v>0.0042082254829608505</x:v>
      </x:c>
      <x:c r="J1097" s="17" t="n">
        <x:v>131613.67</x:v>
      </x:c>
      <x:c r="K1097" s="17" t="str"/>
      <x:c r="L1097" s="17" t="str">
        <x:v>已完成：查询多只银行可转债的行情，如兴业转债、浦发转债、中信转债、杭银转债、成银转债、南银转债、上银转债等，取得 2 条记录。</x:v>
      </x:c>
      <x:c r="M1097" s="17" t="str"/>
      <x:c r="N1097" s="18" t="n">
        <x:v>4947.72</x:v>
      </x:c>
      <x:c r="O1097" s="17" t="str">
        <x:v>public_sse_client_estimate</x:v>
      </x:c>
    </x:row>
    <x:row r="1098" ht="48" customHeight="1">
      <x:c r="A1098" s="17" t="str">
        <x:v>BUS203</x:v>
      </x:c>
      <x:c r="B1098" s="17" t="str">
        <x:v>查询银行相关债券今天涨幅前10名，并对比银行行业成分股平均涨幅。</x:v>
      </x:c>
      <x:c r="C1098" s="17" t="n">
        <x:v>17</x:v>
      </x:c>
      <x:c r="D1098" s="17" t="str">
        <x:v>数据查询 1/2</x:v>
      </x:c>
      <x:c r="E1098" s="17" t="str">
        <x:v>88967.97</x:v>
      </x:c>
      <x:c r="F1098" s="17" t="str">
        <x:v>89994.09</x:v>
      </x:c>
      <x:c r="G1098" s="18" t="n">
        <x:v>1026.12</x:v>
      </x:c>
      <x:c r="H1098" s="18" t="n">
        <x:f>IFERROR(G1098/1000,"")</x:f>
        <x:v>1.02612</x:v>
      </x:c>
      <x:c r="I1098" s="19" t="n">
        <x:f>IFERROR(G1098/J1098,"")</x:f>
        <x:v>0.007796454578008498</x:v>
      </x:c>
      <x:c r="J1098" s="17" t="n">
        <x:v>131613.67</x:v>
      </x:c>
      <x:c r="K1098" s="17" t="str"/>
      <x:c r="L1098" s="17" t="str">
        <x:v>已完成：查询申万一级银行行业（代码480000）的成分股及其权重，取得 40 条记录。</x:v>
      </x:c>
      <x:c r="M1098" s="17" t="str"/>
      <x:c r="N1098" s="18" t="n">
        <x:v>4789.38</x:v>
      </x:c>
      <x:c r="O1098" s="17" t="str">
        <x:v>public_sse_client_estimate</x:v>
      </x:c>
    </x:row>
    <x:row r="1099" ht="48" customHeight="1">
      <x:c r="A1099" s="17" t="str">
        <x:v>BUS203</x:v>
      </x:c>
      <x:c r="B1099" s="17" t="str">
        <x:v>查询银行相关债券今天涨幅前10名，并对比银行行业成分股平均涨幅。</x:v>
      </x:c>
      <x:c r="C1099" s="17" t="n">
        <x:v>18</x:v>
      </x:c>
      <x:c r="D1099" s="17" t="str">
        <x:v>数据查询 2/2</x:v>
      </x:c>
      <x:c r="E1099" s="17" t="str">
        <x:v>89998.29</x:v>
      </x:c>
      <x:c r="F1099" s="17" t="str">
        <x:v>90831.11</x:v>
      </x:c>
      <x:c r="G1099" s="18" t="n">
        <x:v>832.82</x:v>
      </x:c>
      <x:c r="H1099" s="18" t="n">
        <x:f>IFERROR(G1099/1000,"")</x:f>
        <x:v>0.83282</x:v>
      </x:c>
      <x:c r="I1099" s="19" t="n">
        <x:f>IFERROR(G1099/J1099,"")</x:f>
        <x:v>0.006327762154189606</x:v>
      </x:c>
      <x:c r="J1099" s="17" t="n">
        <x:v>131613.67</x:v>
      </x:c>
      <x:c r="K1099" s="17" t="str"/>
      <x:c r="L1099" s="17" t="str">
        <x:v>已完成：查询这些银行成分股的最新行情涨跌幅，取得 40 条记录。</x:v>
      </x:c>
      <x:c r="M1099" s="17" t="str"/>
      <x:c r="N1099" s="18" t="n">
        <x:v>4.2</x:v>
      </x:c>
      <x:c r="O1099" s="17" t="str">
        <x:v>public_sse_client_estimate</x:v>
      </x:c>
    </x:row>
    <x:row r="1100" ht="48" customHeight="1">
      <x:c r="A1100" s="17" t="str">
        <x:v>BUS203</x:v>
      </x:c>
      <x:c r="B1100" s="17" t="str">
        <x:v>查询银行相关债券今天涨幅前10名，并对比银行行业成分股平均涨幅。</x:v>
      </x:c>
      <x:c r="C1100" s="17" t="n">
        <x:v>19</x:v>
      </x:c>
      <x:c r="D1100" s="17" t="str">
        <x:v>数据查询 1/1</x:v>
      </x:c>
      <x:c r="E1100" s="17" t="str">
        <x:v>94639.54</x:v>
      </x:c>
      <x:c r="F1100" s="17" t="str">
        <x:v>95184.4</x:v>
      </x:c>
      <x:c r="G1100" s="18" t="n">
        <x:v>544.86</x:v>
      </x:c>
      <x:c r="H1100" s="18" t="n">
        <x:f>IFERROR(G1100/1000,"")</x:f>
        <x:v>0.54486</x:v>
      </x:c>
      <x:c r="I1100" s="19" t="n">
        <x:f>IFERROR(G1100/J1100,"")</x:f>
        <x:v>0.0041398435284116</x:v>
      </x:c>
      <x:c r="J1100" s="17" t="n">
        <x:v>131613.67</x:v>
      </x:c>
      <x:c r="K1100" s="17" t="str"/>
      <x:c r="L1100" s="17" t="str">
        <x:v>已完成：尝试查询更多银行相关债券，包括其他银行可转债和银行金融债，取得 3 条记录。</x:v>
      </x:c>
      <x:c r="M1100" s="17" t="str"/>
      <x:c r="N1100" s="18" t="n">
        <x:v>3808.43</x:v>
      </x:c>
      <x:c r="O1100" s="17" t="str">
        <x:v>public_sse_client_estimate</x:v>
      </x:c>
    </x:row>
    <x:row r="1101" ht="48" customHeight="1">
      <x:c r="A1101" s="17" t="str">
        <x:v>BUS203</x:v>
      </x:c>
      <x:c r="B1101" s="17" t="str">
        <x:v>查询银行相关债券今天涨幅前10名，并对比银行行业成分股平均涨幅。</x:v>
      </x:c>
      <x:c r="C1101" s="17" t="n">
        <x:v>20</x:v>
      </x:c>
      <x:c r="D1101" s="17" t="str">
        <x:v>回答整理</x:v>
      </x:c>
      <x:c r="E1101" s="17" t="str">
        <x:v>95184.4</x:v>
      </x:c>
      <x:c r="F1101" s="17" t="str">
        <x:v>117819.73</x:v>
      </x:c>
      <x:c r="G1101" s="18" t="n">
        <x:v>22635.33</x:v>
      </x:c>
      <x:c r="H1101" s="18" t="n">
        <x:f>IFERROR(G1101/1000,"")</x:f>
        <x:v>22.635330000000003</x:v>
      </x:c>
      <x:c r="I1101" s="19" t="n">
        <x:f>IFERROR(G1101/J1101,"")</x:f>
        <x:v>0.17198312302969745</x:v>
      </x:c>
      <x:c r="J1101" s="17" t="n">
        <x:v>131613.67</x:v>
      </x:c>
      <x:c r="K1101" s="17" t="str"/>
      <x:c r="L1101" s="17" t="str">
        <x:v>证据与回答已整理完成。</x:v>
      </x:c>
      <x:c r="M1101" s="17" t="str"/>
      <x:c r="N1101" s="18" t="n">
        <x:v>0</x:v>
      </x:c>
      <x:c r="O1101" s="17" t="str">
        <x:v>public_sse_client_estimate</x:v>
      </x:c>
    </x:row>
    <x:row r="1102" ht="48" customHeight="1">
      <x:c r="A1102" s="17" t="str">
        <x:v>BUS204</x:v>
      </x:c>
      <x:c r="B1102" s="17" t="str">
        <x:v>同时查询可转债涨幅前10名和今天A股涨幅前10名。</x:v>
      </x:c>
      <x:c r="C1102" s="17" t="n">
        <x:v>1</x:v>
      </x:c>
      <x:c r="D1102" s="17" t="str">
        <x:v>问题理解</x:v>
      </x:c>
      <x:c r="E1102" s="17" t="str">
        <x:v>6820.23</x:v>
      </x:c>
      <x:c r="F1102" s="17" t="str">
        <x:v>10791.86</x:v>
      </x:c>
      <x:c r="G1102" s="18" t="n">
        <x:v>3971.63</x:v>
      </x:c>
      <x:c r="H1102" s="18" t="n">
        <x:f>IFERROR(G1102/1000,"")</x:f>
        <x:v>3.97163</x:v>
      </x:c>
      <x:c r="I1102" s="19" t="n">
        <x:f>IFERROR(G1102/J1102,"")</x:f>
        <x:v>0.03395715613274039</x:v>
      </x:c>
      <x:c r="J1102" s="17" t="n">
        <x:v>116960.03</x:v>
      </x:c>
      <x:c r="K1102" s="17" t="str"/>
      <x:c r="L1102" s="17" t="str">
        <x:v>已明确本题的对象与口径，开始获取所需证据。</x:v>
      </x:c>
      <x:c r="M1102" s="17" t="str"/>
      <x:c r="N1102" s="18" t="n">
        <x:v>6820.23</x:v>
      </x:c>
      <x:c r="O1102" s="17" t="str">
        <x:v>public_sse_client_estimate</x:v>
      </x:c>
    </x:row>
    <x:row r="1103" ht="48" customHeight="1">
      <x:c r="A1103" s="17" t="str">
        <x:v>BUS204</x:v>
      </x:c>
      <x:c r="B1103" s="17" t="str">
        <x:v>同时查询可转债涨幅前10名和今天A股涨幅前10名。</x:v>
      </x:c>
      <x:c r="C1103" s="17" t="n">
        <x:v>2</x:v>
      </x:c>
      <x:c r="D1103" s="17" t="str">
        <x:v>数据口径</x:v>
      </x:c>
      <x:c r="E1103" s="17" t="str">
        <x:v>10791.86</x:v>
      </x:c>
      <x:c r="F1103" s="17" t="str">
        <x:v>10806.95</x:v>
      </x:c>
      <x:c r="G1103" s="18" t="n">
        <x:v>15.09</x:v>
      </x:c>
      <x:c r="H1103" s="18" t="n">
        <x:f>IFERROR(G1103/1000,"")</x:f>
        <x:v>0.01509</x:v>
      </x:c>
      <x:c r="I1103" s="19" t="n">
        <x:f>IFERROR(G1103/J1103,"")</x:f>
        <x:v>0.0001290184347592934</x:v>
      </x:c>
      <x:c r="J1103" s="17" t="n">
        <x:v>116960.03</x:v>
      </x:c>
      <x:c r="K1103" s="17" t="str"/>
      <x:c r="L1103" s="17" t="str">
        <x:v>已定位债券行情视图，并确认了可用字段与时间口径。</x:v>
      </x:c>
      <x:c r="M1103" s="17" t="str"/>
      <x:c r="N1103" s="18" t="n">
        <x:v>0</x:v>
      </x:c>
      <x:c r="O1103" s="17" t="str">
        <x:v>public_sse_client_estimate</x:v>
      </x:c>
    </x:row>
    <x:row r="1104" ht="48" customHeight="1">
      <x:c r="A1104" s="17" t="str">
        <x:v>BUS204</x:v>
      </x:c>
      <x:c r="B1104" s="17" t="str">
        <x:v>同时查询可转债涨幅前10名和今天A股涨幅前10名。</x:v>
      </x:c>
      <x:c r="C1104" s="17" t="n">
        <x:v>3</x:v>
      </x:c>
      <x:c r="D1104" s="17" t="str">
        <x:v>数据口径</x:v>
      </x:c>
      <x:c r="E1104" s="17" t="str">
        <x:v>10806.95</x:v>
      </x:c>
      <x:c r="F1104" s="17" t="str">
        <x:v>11328.05</x:v>
      </x:c>
      <x:c r="G1104" s="18" t="n">
        <x:v>521.1</x:v>
      </x:c>
      <x:c r="H1104" s="18" t="n">
        <x:f>IFERROR(G1104/1000,"")</x:f>
        <x:v>0.5211</x:v>
      </x:c>
      <x:c r="I1104" s="19" t="n">
        <x:f>IFERROR(G1104/J1104,"")</x:f>
        <x:v>0.004455368214252339</x:v>
      </x:c>
      <x:c r="J1104" s="17" t="n">
        <x:v>116960.03</x:v>
      </x:c>
      <x:c r="K1104" s="17" t="str"/>
      <x:c r="L1104" s="17" t="str">
        <x:v>已定位个股行情视图，并确认了可用字段与时间口径。</x:v>
      </x:c>
      <x:c r="M1104" s="17" t="str"/>
      <x:c r="N1104" s="18" t="n">
        <x:v>0</x:v>
      </x:c>
      <x:c r="O1104" s="17" t="str">
        <x:v>public_sse_client_estimate</x:v>
      </x:c>
    </x:row>
    <x:row r="1105" ht="48" customHeight="1">
      <x:c r="A1105" s="17" t="str">
        <x:v>BUS204</x:v>
      </x:c>
      <x:c r="B1105" s="17" t="str">
        <x:v>同时查询可转债涨幅前10名和今天A股涨幅前10名。</x:v>
      </x:c>
      <x:c r="C1105" s="17" t="n">
        <x:v>4</x:v>
      </x:c>
      <x:c r="D1105" s="17" t="str">
        <x:v>数据查询 1/2</x:v>
      </x:c>
      <x:c r="E1105" s="17" t="str">
        <x:v>23971.54</x:v>
      </x:c>
      <x:c r="F1105" s="17" t="str">
        <x:v>25029.8</x:v>
      </x:c>
      <x:c r="G1105" s="18" t="n">
        <x:v>1058.26</x:v>
      </x:c>
      <x:c r="H1105" s="18" t="n">
        <x:f>IFERROR(G1105/1000,"")</x:f>
        <x:v>1.05826</x:v>
      </x:c>
      <x:c r="I1105" s="19" t="n">
        <x:f>IFERROR(G1105/J1105,"")</x:f>
        <x:v>0.009048048294789253</x:v>
      </x:c>
      <x:c r="J1105" s="17" t="n">
        <x:v>116960.03</x:v>
      </x:c>
      <x:c r="K1105" s="17" t="str"/>
      <x:c r="L1105" s="17" t="str">
        <x:v>已完成：查询可转债今日涨幅前10名，取得 10 条记录。</x:v>
      </x:c>
      <x:c r="M1105" s="17" t="str"/>
      <x:c r="N1105" s="18" t="n">
        <x:v>12643.49</x:v>
      </x:c>
      <x:c r="O1105" s="17" t="str">
        <x:v>public_sse_client_estimate</x:v>
      </x:c>
    </x:row>
    <x:row r="1106" ht="48" customHeight="1">
      <x:c r="A1106" s="17" t="str">
        <x:v>BUS204</x:v>
      </x:c>
      <x:c r="B1106" s="17" t="str">
        <x:v>同时查询可转债涨幅前10名和今天A股涨幅前10名。</x:v>
      </x:c>
      <x:c r="C1106" s="17" t="n">
        <x:v>5</x:v>
      </x:c>
      <x:c r="D1106" s="17" t="str">
        <x:v>数据查询 2/2</x:v>
      </x:c>
      <x:c r="E1106" s="17" t="str">
        <x:v>25032.13</x:v>
      </x:c>
      <x:c r="F1106" s="17" t="str">
        <x:v>25949.37</x:v>
      </x:c>
      <x:c r="G1106" s="18" t="n">
        <x:v>917.24</x:v>
      </x:c>
      <x:c r="H1106" s="18" t="n">
        <x:f>IFERROR(G1106/1000,"")</x:f>
        <x:v>0.91724</x:v>
      </x:c>
      <x:c r="I1106" s="19" t="n">
        <x:f>IFERROR(G1106/J1106,"")</x:f>
        <x:v>0.007842337249742497</x:v>
      </x:c>
      <x:c r="J1106" s="17" t="n">
        <x:v>116960.03</x:v>
      </x:c>
      <x:c r="K1106" s="17" t="str"/>
      <x:c r="L1106" s="17" t="str">
        <x:v>已完成：查询A股今日涨幅前10名，取得 10 条记录。</x:v>
      </x:c>
      <x:c r="M1106" s="17" t="str"/>
      <x:c r="N1106" s="18" t="n">
        <x:v>2.33</x:v>
      </x:c>
      <x:c r="O1106" s="17" t="str">
        <x:v>public_sse_client_estimate</x:v>
      </x:c>
    </x:row>
    <x:row r="1107" ht="48" customHeight="1">
      <x:c r="A1107" s="17" t="str">
        <x:v>BUS204</x:v>
      </x:c>
      <x:c r="B1107" s="17" t="str">
        <x:v>同时查询可转债涨幅前10名和今天A股涨幅前10名。</x:v>
      </x:c>
      <x:c r="C1107" s="17" t="n">
        <x:v>6</x:v>
      </x:c>
      <x:c r="D1107" s="17" t="str">
        <x:v>数据查询 1/1</x:v>
      </x:c>
      <x:c r="E1107" s="17" t="str">
        <x:v>45947.7</x:v>
      </x:c>
      <x:c r="F1107" s="17" t="str">
        <x:v>46888.66</x:v>
      </x:c>
      <x:c r="G1107" s="18" t="n">
        <x:v>940.96</x:v>
      </x:c>
      <x:c r="H1107" s="18" t="n">
        <x:f>IFERROR(G1107/1000,"")</x:f>
        <x:v>0.94096</x:v>
      </x:c>
      <x:c r="I1107" s="19" t="n">
        <x:f>IFERROR(G1107/J1107,"")</x:f>
        <x:v>0.008045141575288585</x:v>
      </x:c>
      <x:c r="J1107" s="17" t="n">
        <x:v>116960.03</x:v>
      </x:c>
      <x:c r="K1107" s="17" t="str"/>
      <x:c r="L1107" s="17" t="str">
        <x:v>已完成：查询可转债今日涨幅前10名（按可转债代码范围过滤），取得 10 条记录。</x:v>
      </x:c>
      <x:c r="M1107" s="17" t="str"/>
      <x:c r="N1107" s="18" t="n">
        <x:v>19998.33</x:v>
      </x:c>
      <x:c r="O1107" s="17" t="str">
        <x:v>public_sse_client_estimate</x:v>
      </x:c>
    </x:row>
    <x:row r="1108" ht="48" customHeight="1">
      <x:c r="A1108" s="17" t="str">
        <x:v>BUS204</x:v>
      </x:c>
      <x:c r="B1108" s="17" t="str">
        <x:v>同时查询可转债涨幅前10名和今天A股涨幅前10名。</x:v>
      </x:c>
      <x:c r="C1108" s="17" t="n">
        <x:v>7</x:v>
      </x:c>
      <x:c r="D1108" s="17" t="str">
        <x:v>数据查询 1/1</x:v>
      </x:c>
      <x:c r="E1108" s="17" t="str">
        <x:v>78316.91</x:v>
      </x:c>
      <x:c r="F1108" s="17" t="str">
        <x:v>79174.38</x:v>
      </x:c>
      <x:c r="G1108" s="18" t="n">
        <x:v>857.47</x:v>
      </x:c>
      <x:c r="H1108" s="18" t="n">
        <x:f>IFERROR(G1108/1000,"")</x:f>
        <x:v>0.8574700000000001</x:v>
      </x:c>
      <x:c r="I1108" s="19" t="n">
        <x:f>IFERROR(G1108/J1108,"")</x:f>
        <x:v>0.007331307969055754</x:v>
      </x:c>
      <x:c r="J1108" s="17" t="n">
        <x:v>116960.03</x:v>
      </x:c>
      <x:c r="K1108" s="17" t="str"/>
      <x:c r="L1108" s="17" t="str">
        <x:v>已完成：查询123xxx和118xxx可转债涨幅排名，取得 10 条记录。</x:v>
      </x:c>
      <x:c r="M1108" s="17" t="str"/>
      <x:c r="N1108" s="18" t="n">
        <x:v>31428.25</x:v>
      </x:c>
      <x:c r="O1108" s="17" t="str">
        <x:v>public_sse_client_estimate</x:v>
      </x:c>
    </x:row>
    <x:row r="1109" ht="48" customHeight="1">
      <x:c r="A1109" s="17" t="str">
        <x:v>BUS204</x:v>
      </x:c>
      <x:c r="B1109" s="17" t="str">
        <x:v>同时查询可转债涨幅前10名和今天A股涨幅前10名。</x:v>
      </x:c>
      <x:c r="C1109" s="17" t="n">
        <x:v>8</x:v>
      </x:c>
      <x:c r="D1109" s="17" t="str">
        <x:v>数据查询 1/1</x:v>
      </x:c>
      <x:c r="E1109" s="17" t="str">
        <x:v>93231.06</x:v>
      </x:c>
      <x:c r="F1109" s="17" t="str">
        <x:v>94139.8</x:v>
      </x:c>
      <x:c r="G1109" s="18" t="n">
        <x:v>908.74</x:v>
      </x:c>
      <x:c r="H1109" s="18" t="n">
        <x:f>IFERROR(G1109/1000,"")</x:f>
        <x:v>0.90874</x:v>
      </x:c>
      <x:c r="I1109" s="19" t="n">
        <x:f>IFERROR(G1109/J1109,"")</x:f>
        <x:v>0.007769662849778681</x:v>
      </x:c>
      <x:c r="J1109" s="17" t="n">
        <x:v>116960.03</x:v>
      </x:c>
      <x:c r="K1109" s="17" t="str"/>
      <x:c r="L1109" s="17" t="str">
        <x:v>已完成：查询所有债券涨幅排名（取前50名，从中提取可转债），取得 50 条记录。</x:v>
      </x:c>
      <x:c r="M1109" s="17" t="str"/>
      <x:c r="N1109" s="18" t="n">
        <x:v>14056.68</x:v>
      </x:c>
      <x:c r="O1109" s="17" t="str">
        <x:v>public_sse_client_estimate</x:v>
      </x:c>
    </x:row>
    <x:row r="1110" ht="48" customHeight="1">
      <x:c r="A1110" s="17" t="str">
        <x:v>BUS204</x:v>
      </x:c>
      <x:c r="B1110" s="17" t="str">
        <x:v>同时查询可转债涨幅前10名和今天A股涨幅前10名。</x:v>
      </x:c>
      <x:c r="C1110" s="17" t="n">
        <x:v>9</x:v>
      </x:c>
      <x:c r="D1110" s="17" t="str">
        <x:v>回答整理</x:v>
      </x:c>
      <x:c r="E1110" s="17" t="str">
        <x:v>94139.8</x:v>
      </x:c>
      <x:c r="F1110" s="17" t="str">
        <x:v>110879.26</x:v>
      </x:c>
      <x:c r="G1110" s="18" t="n">
        <x:v>16739.46</x:v>
      </x:c>
      <x:c r="H1110" s="18" t="n">
        <x:f>IFERROR(G1110/1000,"")</x:f>
        <x:v>16.739459999999998</x:v>
      </x:c>
      <x:c r="I1110" s="19" t="n">
        <x:f>IFERROR(G1110/J1110,"")</x:f>
        <x:v>0.1431212013198013</x:v>
      </x:c>
      <x:c r="J1110" s="17" t="n">
        <x:v>116960.03</x:v>
      </x:c>
      <x:c r="K1110" s="17" t="str"/>
      <x:c r="L1110" s="17" t="str">
        <x:v>证据与回答已整理完成。</x:v>
      </x:c>
      <x:c r="M1110" s="17" t="str"/>
      <x:c r="N1110" s="18" t="n">
        <x:v>0</x:v>
      </x:c>
      <x:c r="O1110" s="17" t="str">
        <x:v>public_sse_client_estimate</x:v>
      </x:c>
    </x:row>
    <x:row r="1111" ht="48" customHeight="1">
      <x:c r="A1111" s="17" t="str">
        <x:v>BUS206</x:v>
      </x:c>
      <x:c r="B1111" s="17" t="str">
        <x:v>查询PCB热点事件的首次触发日期、最近触发日期和当前公司数。</x:v>
      </x:c>
      <x:c r="C1111" s="17" t="n">
        <x:v>1</x:v>
      </x:c>
      <x:c r="D1111" s="17" t="str">
        <x:v>问题理解</x:v>
      </x:c>
      <x:c r="E1111" s="17" t="str">
        <x:v>5068.19</x:v>
      </x:c>
      <x:c r="F1111" s="17" t="str">
        <x:v>9743.28</x:v>
      </x:c>
      <x:c r="G1111" s="18" t="n">
        <x:v>4675.09</x:v>
      </x:c>
      <x:c r="H1111" s="18" t="n">
        <x:f>IFERROR(G1111/1000,"")</x:f>
        <x:v>4.67509</x:v>
      </x:c>
      <x:c r="I1111" s="19" t="n">
        <x:f>IFERROR(G1111/J1111,"")</x:f>
        <x:v>0.24327633578252816</x:v>
      </x:c>
      <x:c r="J1111" s="17" t="n">
        <x:v>19217.2</x:v>
      </x:c>
      <x:c r="K1111" s="17" t="str"/>
      <x:c r="L1111" s="17" t="str">
        <x:v>已明确本题的对象与口径，开始获取所需证据。</x:v>
      </x:c>
      <x:c r="M1111" s="17" t="str"/>
      <x:c r="N1111" s="18" t="n">
        <x:v>5068.19</x:v>
      </x:c>
      <x:c r="O1111" s="17" t="str">
        <x:v>public_sse_client_estimate</x:v>
      </x:c>
    </x:row>
    <x:row r="1112" ht="48" customHeight="1">
      <x:c r="A1112" s="17" t="str">
        <x:v>BUS206</x:v>
      </x:c>
      <x:c r="B1112" s="17" t="str">
        <x:v>查询PCB热点事件的首次触发日期、最近触发日期和当前公司数。</x:v>
      </x:c>
      <x:c r="C1112" s="17" t="n">
        <x:v>2</x:v>
      </x:c>
      <x:c r="D1112" s="17" t="str">
        <x:v>数据口径</x:v>
      </x:c>
      <x:c r="E1112" s="17" t="str">
        <x:v>9743.28</x:v>
      </x:c>
      <x:c r="F1112" s="17" t="str">
        <x:v>11882.58</x:v>
      </x:c>
      <x:c r="G1112" s="18" t="n">
        <x:v>2139.3</x:v>
      </x:c>
      <x:c r="H1112" s="18" t="n">
        <x:f>IFERROR(G1112/1000,"")</x:f>
        <x:v>2.1393</x:v>
      </x:c>
      <x:c r="I1112" s="19" t="n">
        <x:f>IFERROR(G1112/J1112,"")</x:f>
        <x:v>0.11132214890826968</x:v>
      </x:c>
      <x:c r="J1112" s="17" t="n">
        <x:v>19217.2</x:v>
      </x:c>
      <x:c r="K1112" s="17" t="str"/>
      <x:c r="L1112" s="17" t="str">
        <x:v>已定位热点事件/概念基础信息视图，并确认了可用字段与时间口径。</x:v>
      </x:c>
      <x:c r="M1112" s="17" t="str"/>
      <x:c r="N1112" s="18" t="n">
        <x:v>0</x:v>
      </x:c>
      <x:c r="O1112" s="17" t="str">
        <x:v>public_sse_client_estimate</x:v>
      </x:c>
    </x:row>
    <x:row r="1113" ht="48" customHeight="1">
      <x:c r="A1113" s="17" t="str">
        <x:v>BUS206</x:v>
      </x:c>
      <x:c r="B1113" s="17" t="str">
        <x:v>查询PCB热点事件的首次触发日期、最近触发日期和当前公司数。</x:v>
      </x:c>
      <x:c r="C1113" s="17" t="n">
        <x:v>3</x:v>
      </x:c>
      <x:c r="D1113" s="17" t="str">
        <x:v>数据口径</x:v>
      </x:c>
      <x:c r="E1113" s="17" t="str">
        <x:v>11882.58</x:v>
      </x:c>
      <x:c r="F1113" s="17" t="str">
        <x:v>11887.67</x:v>
      </x:c>
      <x:c r="G1113" s="18" t="n">
        <x:v>5.09</x:v>
      </x:c>
      <x:c r="H1113" s="18" t="n">
        <x:f>IFERROR(G1113/1000,"")</x:f>
        <x:v>0.00509</x:v>
      </x:c>
      <x:c r="I1113" s="19" t="n">
        <x:f>IFERROR(G1113/J1113,"")</x:f>
        <x:v>0.00026486689007763876</x:v>
      </x:c>
      <x:c r="J1113" s="17" t="n">
        <x:v>19217.2</x:v>
      </x:c>
      <x:c r="K1113" s="17" t="str"/>
      <x:c r="L1113" s="17" t="str">
        <x:v>已定位热点事件/概念状态视图，并确认了可用字段与时间口径。</x:v>
      </x:c>
      <x:c r="M1113" s="17" t="str"/>
      <x:c r="N1113" s="18" t="n">
        <x:v>0</x:v>
      </x:c>
      <x:c r="O1113" s="17" t="str">
        <x:v>public_sse_client_estimate</x:v>
      </x:c>
    </x:row>
    <x:row r="1114" ht="48" customHeight="1">
      <x:c r="A1114" s="17" t="str">
        <x:v>BUS206</x:v>
      </x:c>
      <x:c r="B1114" s="17" t="str">
        <x:v>查询PCB热点事件的首次触发日期、最近触发日期和当前公司数。</x:v>
      </x:c>
      <x:c r="C1114" s="17" t="n">
        <x:v>4</x:v>
      </x:c>
      <x:c r="D1114" s="17" t="str">
        <x:v>数据口径</x:v>
      </x:c>
      <x:c r="E1114" s="17" t="str">
        <x:v>11887.67</x:v>
      </x:c>
      <x:c r="F1114" s="17" t="str">
        <x:v>11893.36</x:v>
      </x:c>
      <x:c r="G1114" s="18" t="n">
        <x:v>5.69</x:v>
      </x:c>
      <x:c r="H1114" s="18" t="n">
        <x:f>IFERROR(G1114/1000,"")</x:f>
        <x:v>0.005690000000000001</x:v>
      </x:c>
      <x:c r="I1114" s="19" t="n">
        <x:f>IFERROR(G1114/J1114,"")</x:f>
        <x:v>0.0002960889203421935</x:v>
      </x:c>
      <x:c r="J1114" s="17" t="n">
        <x:v>19217.2</x:v>
      </x:c>
      <x:c r="K1114" s="17" t="str"/>
      <x:c r="L1114" s="17" t="str">
        <x:v>已定位热点事件/概念成分股视图，并确认了可用字段与时间口径。</x:v>
      </x:c>
      <x:c r="M1114" s="17" t="str"/>
      <x:c r="N1114" s="18" t="n">
        <x:v>0</x:v>
      </x:c>
      <x:c r="O1114" s="17" t="str">
        <x:v>public_sse_client_estimate</x:v>
      </x:c>
    </x:row>
    <x:row r="1115" ht="48" customHeight="1">
      <x:c r="A1115" s="17" t="str">
        <x:v>BUS206</x:v>
      </x:c>
      <x:c r="B1115" s="17" t="str">
        <x:v>查询PCB热点事件的首次触发日期、最近触发日期和当前公司数。</x:v>
      </x:c>
      <x:c r="C1115" s="17" t="n">
        <x:v>5</x:v>
      </x:c>
      <x:c r="D1115" s="17" t="str">
        <x:v>数据查询 1/1</x:v>
      </x:c>
      <x:c r="E1115" s="17" t="str">
        <x:v>14121.7</x:v>
      </x:c>
      <x:c r="F1115" s="17" t="str">
        <x:v>14297.25</x:v>
      </x:c>
      <x:c r="G1115" s="18" t="n">
        <x:v>175.55</x:v>
      </x:c>
      <x:c r="H1115" s="18" t="n">
        <x:f>IFERROR(G1115/1000,"")</x:f>
        <x:v>0.17555</x:v>
      </x:c>
      <x:c r="I1115" s="19" t="n">
        <x:f>IFERROR(G1115/J1115,"")</x:f>
        <x:v>0.009135045688237621</x:v>
      </x:c>
      <x:c r="J1115" s="17" t="n">
        <x:v>19217.2</x:v>
      </x:c>
      <x:c r="K1115" s="17" t="str"/>
      <x:c r="L1115" s="17" t="str">
        <x:v>已完成：查询PCB热点事件的基础信息，包括首次触发日期、最近触发日期和当前公司数，取得 1 条记录。</x:v>
      </x:c>
      <x:c r="M1115" s="17" t="str"/>
      <x:c r="N1115" s="18" t="n">
        <x:v>2228.34</x:v>
      </x:c>
      <x:c r="O1115" s="17" t="str">
        <x:v>public_sse_client_estimate</x:v>
      </x:c>
    </x:row>
    <x:row r="1116" ht="48" customHeight="1">
      <x:c r="A1116" s="17" t="str">
        <x:v>BUS206</x:v>
      </x:c>
      <x:c r="B1116" s="17" t="str">
        <x:v>查询PCB热点事件的首次触发日期、最近触发日期和当前公司数。</x:v>
      </x:c>
      <x:c r="C1116" s="17" t="n">
        <x:v>6</x:v>
      </x:c>
      <x:c r="D1116" s="17" t="str">
        <x:v>回答整理</x:v>
      </x:c>
      <x:c r="E1116" s="17" t="str">
        <x:v>14297.25</x:v>
      </x:c>
      <x:c r="F1116" s="17" t="str">
        <x:v>16524.89</x:v>
      </x:c>
      <x:c r="G1116" s="18" t="n">
        <x:v>2227.64</x:v>
      </x:c>
      <x:c r="H1116" s="18" t="n">
        <x:f>IFERROR(G1116/1000,"")</x:f>
        <x:v>2.22764</x:v>
      </x:c>
      <x:c r="I1116" s="19" t="n">
        <x:f>IFERROR(G1116/J1116,"")</x:f>
        <x:v>0.11591907249755426</x:v>
      </x:c>
      <x:c r="J1116" s="17" t="n">
        <x:v>19217.2</x:v>
      </x:c>
      <x:c r="K1116" s="17" t="str"/>
      <x:c r="L1116" s="17" t="str">
        <x:v>证据与回答已整理完成。</x:v>
      </x:c>
      <x:c r="M1116" s="17" t="str"/>
      <x:c r="N1116" s="18" t="n">
        <x:v>0</x:v>
      </x:c>
      <x:c r="O1116" s="17" t="str">
        <x:v>public_sse_client_estimate</x:v>
      </x:c>
    </x:row>
    <x:row r="1117" ht="48" customHeight="1">
      <x:c r="A1117" s="17" t="str">
        <x:v>BUS207</x:v>
      </x:c>
      <x:c r="B1117" s="17" t="str">
        <x:v>筛选当前公司数超过20家的活跃热点事件。</x:v>
      </x:c>
      <x:c r="C1117" s="17" t="n">
        <x:v>1</x:v>
      </x:c>
      <x:c r="D1117" s="17" t="str">
        <x:v>问题理解</x:v>
      </x:c>
      <x:c r="E1117" s="17" t="str">
        <x:v>5265.74</x:v>
      </x:c>
      <x:c r="F1117" s="17" t="str">
        <x:v>7674.64</x:v>
      </x:c>
      <x:c r="G1117" s="18" t="n">
        <x:v>2408.9</x:v>
      </x:c>
      <x:c r="H1117" s="18" t="n">
        <x:f>IFERROR(G1117/1000,"")</x:f>
        <x:v>2.4089</x:v>
      </x:c>
      <x:c r="I1117" s="19" t="n">
        <x:f>IFERROR(G1117/J1117,"")</x:f>
        <x:v>0.08021516805592185</x:v>
      </x:c>
      <x:c r="J1117" s="17" t="n">
        <x:v>30030.48</x:v>
      </x:c>
      <x:c r="K1117" s="17" t="str"/>
      <x:c r="L1117" s="17" t="str">
        <x:v>已明确本题的对象与口径，开始获取所需证据。</x:v>
      </x:c>
      <x:c r="M1117" s="17" t="str"/>
      <x:c r="N1117" s="18" t="n">
        <x:v>5265.74</x:v>
      </x:c>
      <x:c r="O1117" s="17" t="str">
        <x:v>public_sse_client_estimate</x:v>
      </x:c>
    </x:row>
    <x:row r="1118" ht="48" customHeight="1">
      <x:c r="A1118" s="17" t="str">
        <x:v>BUS207</x:v>
      </x:c>
      <x:c r="B1118" s="17" t="str">
        <x:v>筛选当前公司数超过20家的活跃热点事件。</x:v>
      </x:c>
      <x:c r="C1118" s="17" t="n">
        <x:v>2</x:v>
      </x:c>
      <x:c r="D1118" s="17" t="str">
        <x:v>数据口径</x:v>
      </x:c>
      <x:c r="E1118" s="17" t="str">
        <x:v>7674.64</x:v>
      </x:c>
      <x:c r="F1118" s="17" t="str">
        <x:v>12831.15</x:v>
      </x:c>
      <x:c r="G1118" s="18" t="n">
        <x:v>5156.51</x:v>
      </x:c>
      <x:c r="H1118" s="18" t="n">
        <x:f>IFERROR(G1118/1000,"")</x:f>
        <x:v>5.15651</x:v>
      </x:c>
      <x:c r="I1118" s="19" t="n">
        <x:f>IFERROR(G1118/J1118,"")</x:f>
        <x:v>0.17170921010919574</x:v>
      </x:c>
      <x:c r="J1118" s="17" t="n">
        <x:v>30030.48</x:v>
      </x:c>
      <x:c r="K1118" s="17" t="str"/>
      <x:c r="L1118" s="17" t="str">
        <x:v>已定位热点事件/概念状态视图，并确认了可用字段与时间口径。</x:v>
      </x:c>
      <x:c r="M1118" s="17" t="str"/>
      <x:c r="N1118" s="18" t="n">
        <x:v>0</x:v>
      </x:c>
      <x:c r="O1118" s="17" t="str">
        <x:v>public_sse_client_estimate</x:v>
      </x:c>
    </x:row>
    <x:row r="1119" ht="48" customHeight="1">
      <x:c r="A1119" s="17" t="str">
        <x:v>BUS207</x:v>
      </x:c>
      <x:c r="B1119" s="17" t="str">
        <x:v>筛选当前公司数超过20家的活跃热点事件。</x:v>
      </x:c>
      <x:c r="C1119" s="17" t="n">
        <x:v>3</x:v>
      </x:c>
      <x:c r="D1119" s="17" t="str">
        <x:v>数据口径</x:v>
      </x:c>
      <x:c r="E1119" s="17" t="str">
        <x:v>12831.15</x:v>
      </x:c>
      <x:c r="F1119" s="17" t="str">
        <x:v>12834.59</x:v>
      </x:c>
      <x:c r="G1119" s="18" t="n">
        <x:v>3.44</x:v>
      </x:c>
      <x:c r="H1119" s="18" t="n">
        <x:f>IFERROR(G1119/1000,"")</x:f>
        <x:v>0.00344</x:v>
      </x:c>
      <x:c r="I1119" s="19" t="n">
        <x:f>IFERROR(G1119/J1119,"")</x:f>
        <x:v>0.00011455028357855085</x:v>
      </x:c>
      <x:c r="J1119" s="17" t="n">
        <x:v>30030.48</x:v>
      </x:c>
      <x:c r="K1119" s="17" t="str"/>
      <x:c r="L1119" s="17" t="str">
        <x:v>已定位热点事件/概念成分股视图，并确认了可用字段与时间口径。</x:v>
      </x:c>
      <x:c r="M1119" s="17" t="str"/>
      <x:c r="N1119" s="18" t="n">
        <x:v>0</x:v>
      </x:c>
      <x:c r="O1119" s="17" t="str">
        <x:v>public_sse_client_estimate</x:v>
      </x:c>
    </x:row>
    <x:row r="1120" ht="48" customHeight="1">
      <x:c r="A1120" s="17" t="str">
        <x:v>BUS207</x:v>
      </x:c>
      <x:c r="B1120" s="17" t="str">
        <x:v>筛选当前公司数超过20家的活跃热点事件。</x:v>
      </x:c>
      <x:c r="C1120" s="17" t="n">
        <x:v>4</x:v>
      </x:c>
      <x:c r="D1120" s="17" t="str">
        <x:v>数据口径</x:v>
      </x:c>
      <x:c r="E1120" s="17" t="str">
        <x:v>12834.59</x:v>
      </x:c>
      <x:c r="F1120" s="17" t="str">
        <x:v>12838.82</x:v>
      </x:c>
      <x:c r="G1120" s="18" t="n">
        <x:v>4.23</x:v>
      </x:c>
      <x:c r="H1120" s="18" t="n">
        <x:f>IFERROR(G1120/1000,"")</x:f>
        <x:v>0.00423</x:v>
      </x:c>
      <x:c r="I1120" s="19" t="n">
        <x:f>IFERROR(G1120/J1120,"")</x:f>
        <x:v>0.00014085688940036924</x:v>
      </x:c>
      <x:c r="J1120" s="17" t="n">
        <x:v>30030.48</x:v>
      </x:c>
      <x:c r="K1120" s="17" t="str"/>
      <x:c r="L1120" s="17" t="str">
        <x:v>已定位热点事件/概念基础信息视图，并确认了可用字段与时间口径。</x:v>
      </x:c>
      <x:c r="M1120" s="17" t="str"/>
      <x:c r="N1120" s="18" t="n">
        <x:v>0</x:v>
      </x:c>
      <x:c r="O1120" s="17" t="str">
        <x:v>public_sse_client_estimate</x:v>
      </x:c>
    </x:row>
    <x:row r="1121" ht="48" customHeight="1">
      <x:c r="A1121" s="17" t="str">
        <x:v>BUS207</x:v>
      </x:c>
      <x:c r="B1121" s="17" t="str">
        <x:v>筛选当前公司数超过20家的活跃热点事件。</x:v>
      </x:c>
      <x:c r="C1121" s="17" t="n">
        <x:v>5</x:v>
      </x:c>
      <x:c r="D1121" s="17" t="str">
        <x:v>数据查询 1/1</x:v>
      </x:c>
      <x:c r="E1121" s="17" t="str">
        <x:v>12841.49</x:v>
      </x:c>
      <x:c r="F1121" s="17" t="str">
        <x:v>12843.55</x:v>
      </x:c>
      <x:c r="G1121" s="18" t="n">
        <x:v>2.06</x:v>
      </x:c>
      <x:c r="H1121" s="18" t="n">
        <x:f>IFERROR(G1121/1000,"")</x:f>
        <x:v>0.00206</x:v>
      </x:c>
      <x:c r="I1121" s="19" t="n">
        <x:f>IFERROR(G1121/J1121,"")</x:f>
        <x:v>0.00006859697214296941</x:v>
      </x:c>
      <x:c r="J1121" s="17" t="n">
        <x:v>30030.48</x:v>
      </x:c>
      <x:c r="K1121" s="17" t="str"/>
      <x:c r="L1121" s="17" t="str">
        <x:v>已完成：查询当前活跃且公司数超过20家的热点事件，取得 46 条记录。</x:v>
      </x:c>
      <x:c r="M1121" s="17" t="str"/>
      <x:c r="N1121" s="18" t="n">
        <x:v>2.67</x:v>
      </x:c>
      <x:c r="O1121" s="17" t="str">
        <x:v>public_sse_client_estimate</x:v>
      </x:c>
    </x:row>
    <x:row r="1122" ht="48" customHeight="1">
      <x:c r="A1122" s="17" t="str">
        <x:v>BUS207</x:v>
      </x:c>
      <x:c r="B1122" s="17" t="str">
        <x:v>筛选当前公司数超过20家的活跃热点事件。</x:v>
      </x:c>
      <x:c r="C1122" s="17" t="n">
        <x:v>6</x:v>
      </x:c>
      <x:c r="D1122" s="17" t="str">
        <x:v>回答整理</x:v>
      </x:c>
      <x:c r="E1122" s="17" t="str">
        <x:v>12843.55</x:v>
      </x:c>
      <x:c r="F1122" s="17" t="str">
        <x:v>22464.31</x:v>
      </x:c>
      <x:c r="G1122" s="18" t="n">
        <x:v>9620.76</x:v>
      </x:c>
      <x:c r="H1122" s="18" t="n">
        <x:f>IFERROR(G1122/1000,"")</x:f>
        <x:v>9.62076</x:v>
      </x:c>
      <x:c r="I1122" s="19" t="n">
        <x:f>IFERROR(G1122/J1122,"")</x:f>
        <x:v>0.3203665076282497</x:v>
      </x:c>
      <x:c r="J1122" s="17" t="n">
        <x:v>30030.48</x:v>
      </x:c>
      <x:c r="K1122" s="17" t="str"/>
      <x:c r="L1122" s="17" t="str">
        <x:v>证据与回答已整理完成。</x:v>
      </x:c>
      <x:c r="M1122" s="17" t="str"/>
      <x:c r="N1122" s="18" t="n">
        <x:v>0</x:v>
      </x:c>
      <x:c r="O1122" s="17" t="str">
        <x:v>public_sse_client_estimate</x:v>
      </x:c>
    </x:row>
    <x:row r="1123" ht="48" customHeight="1">
      <x:c r="A1123" s="17" t="str">
        <x:v>BUS212</x:v>
      </x:c>
      <x:c r="B1123" s="17" t="str">
        <x:v>查询PCB热点最新热度、公司数、平均涨幅和涨停数量。</x:v>
      </x:c>
      <x:c r="C1123" s="17" t="n">
        <x:v>1</x:v>
      </x:c>
      <x:c r="D1123" s="17" t="str">
        <x:v>问题理解</x:v>
      </x:c>
      <x:c r="E1123" s="17" t="str">
        <x:v>6702.24</x:v>
      </x:c>
      <x:c r="F1123" s="17" t="str">
        <x:v>9563</x:v>
      </x:c>
      <x:c r="G1123" s="18" t="n">
        <x:v>2860.76</x:v>
      </x:c>
      <x:c r="H1123" s="18" t="n">
        <x:f>IFERROR(G1123/1000,"")</x:f>
        <x:v>2.8607600000000004</x:v>
      </x:c>
      <x:c r="I1123" s="19" t="n">
        <x:f>IFERROR(G1123/J1123,"")</x:f>
        <x:v>0.12749939387024548</x:v>
      </x:c>
      <x:c r="J1123" s="17" t="n">
        <x:v>22437.44</x:v>
      </x:c>
      <x:c r="K1123" s="17" t="str"/>
      <x:c r="L1123" s="17" t="str">
        <x:v>已明确本题的对象与口径，开始获取所需证据。</x:v>
      </x:c>
      <x:c r="M1123" s="17" t="str"/>
      <x:c r="N1123" s="18" t="n">
        <x:v>6702.24</x:v>
      </x:c>
      <x:c r="O1123" s="17" t="str">
        <x:v>public_sse_client_estimate</x:v>
      </x:c>
    </x:row>
    <x:row r="1124" ht="48" customHeight="1">
      <x:c r="A1124" s="17" t="str">
        <x:v>BUS212</x:v>
      </x:c>
      <x:c r="B1124" s="17" t="str">
        <x:v>查询PCB热点最新热度、公司数、平均涨幅和涨停数量。</x:v>
      </x:c>
      <x:c r="C1124" s="17" t="n">
        <x:v>2</x:v>
      </x:c>
      <x:c r="D1124" s="17" t="str">
        <x:v>数据口径</x:v>
      </x:c>
      <x:c r="E1124" s="17" t="str">
        <x:v>9563</x:v>
      </x:c>
      <x:c r="F1124" s="17" t="str">
        <x:v>9703.45</x:v>
      </x:c>
      <x:c r="G1124" s="18" t="n">
        <x:v>140.45</x:v>
      </x:c>
      <x:c r="H1124" s="18" t="n">
        <x:f>IFERROR(G1124/1000,"")</x:f>
        <x:v>0.14045</x:v>
      </x:c>
      <x:c r="I1124" s="19" t="n">
        <x:f>IFERROR(G1124/J1124,"")</x:f>
        <x:v>0.0062596267666899606</x:v>
      </x:c>
      <x:c r="J1124" s="17" t="n">
        <x:v>22437.44</x:v>
      </x:c>
      <x:c r="K1124" s="17" t="str"/>
      <x:c r="L1124" s="17" t="str">
        <x:v>已定位热点事件/概念状态视图，并确认了可用字段与时间口径。</x:v>
      </x:c>
      <x:c r="M1124" s="17" t="str"/>
      <x:c r="N1124" s="18" t="n">
        <x:v>0</x:v>
      </x:c>
      <x:c r="O1124" s="17" t="str">
        <x:v>public_sse_client_estimate</x:v>
      </x:c>
    </x:row>
    <x:row r="1125" ht="48" customHeight="1">
      <x:c r="A1125" s="17" t="str">
        <x:v>BUS212</x:v>
      </x:c>
      <x:c r="B1125" s="17" t="str">
        <x:v>查询PCB热点最新热度、公司数、平均涨幅和涨停数量。</x:v>
      </x:c>
      <x:c r="C1125" s="17" t="n">
        <x:v>3</x:v>
      </x:c>
      <x:c r="D1125" s="17" t="str">
        <x:v>数据口径</x:v>
      </x:c>
      <x:c r="E1125" s="17" t="str">
        <x:v>9703.45</x:v>
      </x:c>
      <x:c r="F1125" s="17" t="str">
        <x:v>9784.61</x:v>
      </x:c>
      <x:c r="G1125" s="18" t="n">
        <x:v>81.16</x:v>
      </x:c>
      <x:c r="H1125" s="18" t="n">
        <x:f>IFERROR(G1125/1000,"")</x:f>
        <x:v>0.08116</x:v>
      </x:c>
      <x:c r="I1125" s="19" t="n">
        <x:f>IFERROR(G1125/J1125,"")</x:f>
        <x:v>0.0036171684470242597</x:v>
      </x:c>
      <x:c r="J1125" s="17" t="n">
        <x:v>22437.44</x:v>
      </x:c>
      <x:c r="K1125" s="17" t="str"/>
      <x:c r="L1125" s="17" t="str">
        <x:v>已定位热点事件/概念成分股视图，并确认了可用字段与时间口径。</x:v>
      </x:c>
      <x:c r="M1125" s="17" t="str"/>
      <x:c r="N1125" s="18" t="n">
        <x:v>0</x:v>
      </x:c>
      <x:c r="O1125" s="17" t="str">
        <x:v>public_sse_client_estimate</x:v>
      </x:c>
    </x:row>
    <x:row r="1126" ht="48" customHeight="1">
      <x:c r="A1126" s="17" t="str">
        <x:v>BUS212</x:v>
      </x:c>
      <x:c r="B1126" s="17" t="str">
        <x:v>查询PCB热点最新热度、公司数、平均涨幅和涨停数量。</x:v>
      </x:c>
      <x:c r="C1126" s="17" t="n">
        <x:v>4</x:v>
      </x:c>
      <x:c r="D1126" s="17" t="str">
        <x:v>数据口径</x:v>
      </x:c>
      <x:c r="E1126" s="17" t="str">
        <x:v>9784.61</x:v>
      </x:c>
      <x:c r="F1126" s="17" t="str">
        <x:v>9839.09</x:v>
      </x:c>
      <x:c r="G1126" s="18" t="n">
        <x:v>54.48</x:v>
      </x:c>
      <x:c r="H1126" s="18" t="n">
        <x:f>IFERROR(G1126/1000,"")</x:f>
        <x:v>0.054479999999999994</x:v>
      </x:c>
      <x:c r="I1126" s="19" t="n">
        <x:f>IFERROR(G1126/J1126,"")</x:f>
        <x:v>0.0024280844873568463</x:v>
      </x:c>
      <x:c r="J1126" s="17" t="n">
        <x:v>22437.44</x:v>
      </x:c>
      <x:c r="K1126" s="17" t="str"/>
      <x:c r="L1126" s="17" t="str">
        <x:v>已定位热点事件/概念基础信息视图，并确认了可用字段与时间口径。</x:v>
      </x:c>
      <x:c r="M1126" s="17" t="str"/>
      <x:c r="N1126" s="18" t="n">
        <x:v>0</x:v>
      </x:c>
      <x:c r="O1126" s="17" t="str">
        <x:v>public_sse_client_estimate</x:v>
      </x:c>
    </x:row>
    <x:row r="1127" ht="48" customHeight="1">
      <x:c r="A1127" s="17" t="str">
        <x:v>BUS212</x:v>
      </x:c>
      <x:c r="B1127" s="17" t="str">
        <x:v>查询PCB热点最新热度、公司数、平均涨幅和涨停数量。</x:v>
      </x:c>
      <x:c r="C1127" s="17" t="n">
        <x:v>5</x:v>
      </x:c>
      <x:c r="D1127" s="17" t="str">
        <x:v>数据查询 1/1</x:v>
      </x:c>
      <x:c r="E1127" s="17" t="str">
        <x:v>14578.49</x:v>
      </x:c>
      <x:c r="F1127" s="17" t="str">
        <x:v>14927.8</x:v>
      </x:c>
      <x:c r="G1127" s="18" t="n">
        <x:v>349.31</x:v>
      </x:c>
      <x:c r="H1127" s="18" t="n">
        <x:f>IFERROR(G1127/1000,"")</x:f>
        <x:v>0.34931</x:v>
      </x:c>
      <x:c r="I1127" s="19" t="n">
        <x:f>IFERROR(G1127/J1127,"")</x:f>
        <x:v>0.015568175335510647</x:v>
      </x:c>
      <x:c r="J1127" s="17" t="n">
        <x:v>22437.44</x:v>
      </x:c>
      <x:c r="K1127" s="17" t="str"/>
      <x:c r="L1127" s="17" t="str">
        <x:v>已完成：查询PCB热点的最新热度、公司数、平均涨幅和涨停数量，取得 1 条记录。</x:v>
      </x:c>
      <x:c r="M1127" s="17" t="str"/>
      <x:c r="N1127" s="18" t="n">
        <x:v>4739.4</x:v>
      </x:c>
      <x:c r="O1127" s="17" t="str">
        <x:v>public_sse_client_estimate</x:v>
      </x:c>
    </x:row>
    <x:row r="1128" ht="48" customHeight="1">
      <x:c r="A1128" s="17" t="str">
        <x:v>BUS212</x:v>
      </x:c>
      <x:c r="B1128" s="17" t="str">
        <x:v>查询PCB热点最新热度、公司数、平均涨幅和涨停数量。</x:v>
      </x:c>
      <x:c r="C1128" s="17" t="n">
        <x:v>6</x:v>
      </x:c>
      <x:c r="D1128" s="17" t="str">
        <x:v>回答整理</x:v>
      </x:c>
      <x:c r="E1128" s="17" t="str">
        <x:v>14927.8</x:v>
      </x:c>
      <x:c r="F1128" s="17" t="str">
        <x:v>19844.91</x:v>
      </x:c>
      <x:c r="G1128" s="18" t="n">
        <x:v>4917.11</x:v>
      </x:c>
      <x:c r="H1128" s="18" t="n">
        <x:f>IFERROR(G1128/1000,"")</x:f>
        <x:v>4.91711</x:v>
      </x:c>
      <x:c r="I1128" s="19" t="n">
        <x:f>IFERROR(G1128/J1128,"")</x:f>
        <x:v>0.21914754980960394</x:v>
      </x:c>
      <x:c r="J1128" s="17" t="n">
        <x:v>22437.44</x:v>
      </x:c>
      <x:c r="K1128" s="17" t="str"/>
      <x:c r="L1128" s="17" t="str">
        <x:v>证据与回答已整理完成。</x:v>
      </x:c>
      <x:c r="M1128" s="17" t="str"/>
      <x:c r="N1128" s="18" t="n">
        <x:v>0</x:v>
      </x:c>
      <x:c r="O1128" s="17" t="str">
        <x:v>public_sse_client_estimate</x:v>
      </x:c>
    </x:row>
    <x:row r="1129" ht="48" customHeight="1">
      <x:c r="A1129" s="17" t="str">
        <x:v>BUS213</x:v>
      </x:c>
      <x:c r="B1129" s="17" t="str">
        <x:v>筛选今天热度上升且涨停数量超过5个的热点事件。</x:v>
      </x:c>
      <x:c r="C1129" s="17" t="n">
        <x:v>1</x:v>
      </x:c>
      <x:c r="D1129" s="17" t="str">
        <x:v>问题理解</x:v>
      </x:c>
      <x:c r="E1129" s="17" t="str">
        <x:v>5041.24</x:v>
      </x:c>
      <x:c r="F1129" s="17" t="str">
        <x:v>7808.43</x:v>
      </x:c>
      <x:c r="G1129" s="18" t="n">
        <x:v>2767.19</x:v>
      </x:c>
      <x:c r="H1129" s="18" t="n">
        <x:f>IFERROR(G1129/1000,"")</x:f>
        <x:v>2.7671900000000003</x:v>
      </x:c>
      <x:c r="I1129" s="19" t="n">
        <x:f>IFERROR(G1129/J1129,"")</x:f>
        <x:v>0.035852961384723284</x:v>
      </x:c>
      <x:c r="J1129" s="17" t="n">
        <x:v>77181.63</x:v>
      </x:c>
      <x:c r="K1129" s="17" t="str"/>
      <x:c r="L1129" s="17" t="str">
        <x:v>已明确本题的对象与口径，开始获取所需证据。</x:v>
      </x:c>
      <x:c r="M1129" s="17" t="str"/>
      <x:c r="N1129" s="18" t="n">
        <x:v>5041.24</x:v>
      </x:c>
      <x:c r="O1129" s="17" t="str">
        <x:v>public_sse_client_estimate</x:v>
      </x:c>
    </x:row>
    <x:row r="1130" ht="48" customHeight="1">
      <x:c r="A1130" s="17" t="str">
        <x:v>BUS213</x:v>
      </x:c>
      <x:c r="B1130" s="17" t="str">
        <x:v>筛选今天热度上升且涨停数量超过5个的热点事件。</x:v>
      </x:c>
      <x:c r="C1130" s="17" t="n">
        <x:v>2</x:v>
      </x:c>
      <x:c r="D1130" s="17" t="str">
        <x:v>数据口径</x:v>
      </x:c>
      <x:c r="E1130" s="17" t="str">
        <x:v>7808.43</x:v>
      </x:c>
      <x:c r="F1130" s="17" t="str">
        <x:v>8791.59</x:v>
      </x:c>
      <x:c r="G1130" s="18" t="n">
        <x:v>983.16</x:v>
      </x:c>
      <x:c r="H1130" s="18" t="n">
        <x:f>IFERROR(G1130/1000,"")</x:f>
        <x:v>0.9831599999999999</x:v>
      </x:c>
      <x:c r="I1130" s="19" t="n">
        <x:f>IFERROR(G1130/J1130,"")</x:f>
        <x:v>0.01273826427350653</x:v>
      </x:c>
      <x:c r="J1130" s="17" t="n">
        <x:v>77181.63</x:v>
      </x:c>
      <x:c r="K1130" s="17" t="str"/>
      <x:c r="L1130" s="17" t="str">
        <x:v>暂时无法确认本题所需的数据口径。</x:v>
      </x:c>
      <x:c r="M1130" s="17" t="str"/>
      <x:c r="N1130" s="18" t="n">
        <x:v>0</x:v>
      </x:c>
      <x:c r="O1130" s="17" t="str">
        <x:v>public_sse_client_estimate</x:v>
      </x:c>
    </x:row>
    <x:row r="1131" ht="48" customHeight="1">
      <x:c r="A1131" s="17" t="str">
        <x:v>BUS213</x:v>
      </x:c>
      <x:c r="B1131" s="17" t="str">
        <x:v>筛选今天热度上升且涨停数量超过5个的热点事件。</x:v>
      </x:c>
      <x:c r="C1131" s="17" t="n">
        <x:v>3</x:v>
      </x:c>
      <x:c r="D1131" s="17" t="str">
        <x:v>数据口径</x:v>
      </x:c>
      <x:c r="E1131" s="17" t="str">
        <x:v>8791.59</x:v>
      </x:c>
      <x:c r="F1131" s="17" t="str">
        <x:v>10582.54</x:v>
      </x:c>
      <x:c r="G1131" s="18" t="n">
        <x:v>1790.95</x:v>
      </x:c>
      <x:c r="H1131" s="18" t="n">
        <x:f>IFERROR(G1131/1000,"")</x:f>
        <x:v>1.79095</x:v>
      </x:c>
      <x:c r="I1131" s="19" t="n">
        <x:f>IFERROR(G1131/J1131,"")</x:f>
        <x:v>0.023204355751491643</x:v>
      </x:c>
      <x:c r="J1131" s="17" t="n">
        <x:v>77181.63</x:v>
      </x:c>
      <x:c r="K1131" s="17" t="str"/>
      <x:c r="L1131" s="17" t="str">
        <x:v>已定位热点事件/概念基础信息视图，并确认了可用字段与时间口径。</x:v>
      </x:c>
      <x:c r="M1131" s="17" t="str"/>
      <x:c r="N1131" s="18" t="n">
        <x:v>0</x:v>
      </x:c>
      <x:c r="O1131" s="17" t="str">
        <x:v>public_sse_client_estimate</x:v>
      </x:c>
    </x:row>
    <x:row r="1132" ht="48" customHeight="1">
      <x:c r="A1132" s="17" t="str">
        <x:v>BUS213</x:v>
      </x:c>
      <x:c r="B1132" s="17" t="str">
        <x:v>筛选今天热度上升且涨停数量超过5个的热点事件。</x:v>
      </x:c>
      <x:c r="C1132" s="17" t="n">
        <x:v>4</x:v>
      </x:c>
      <x:c r="D1132" s="17" t="str">
        <x:v>数据口径</x:v>
      </x:c>
      <x:c r="E1132" s="17" t="str">
        <x:v>10582.54</x:v>
      </x:c>
      <x:c r="F1132" s="17" t="str">
        <x:v>11072.27</x:v>
      </x:c>
      <x:c r="G1132" s="18" t="n">
        <x:v>489.73</x:v>
      </x:c>
      <x:c r="H1132" s="18" t="n">
        <x:f>IFERROR(G1132/1000,"")</x:f>
        <x:v>0.48973</x:v>
      </x:c>
      <x:c r="I1132" s="19" t="n">
        <x:f>IFERROR(G1132/J1132,"")</x:f>
        <x:v>0.006345162702575729</x:v>
      </x:c>
      <x:c r="J1132" s="17" t="n">
        <x:v>77181.63</x:v>
      </x:c>
      <x:c r="K1132" s="17" t="str"/>
      <x:c r="L1132" s="17" t="str">
        <x:v>已定位热点事件/概念状态视图，并确认了可用字段与时间口径。</x:v>
      </x:c>
      <x:c r="M1132" s="17" t="str"/>
      <x:c r="N1132" s="18" t="n">
        <x:v>0</x:v>
      </x:c>
      <x:c r="O1132" s="17" t="str">
        <x:v>public_sse_client_estimate</x:v>
      </x:c>
    </x:row>
    <x:row r="1133" ht="48" customHeight="1">
      <x:c r="A1133" s="17" t="str">
        <x:v>BUS213</x:v>
      </x:c>
      <x:c r="B1133" s="17" t="str">
        <x:v>筛选今天热度上升且涨停数量超过5个的热点事件。</x:v>
      </x:c>
      <x:c r="C1133" s="17" t="n">
        <x:v>5</x:v>
      </x:c>
      <x:c r="D1133" s="17" t="str">
        <x:v>数据口径</x:v>
      </x:c>
      <x:c r="E1133" s="17" t="str">
        <x:v>11072.27</x:v>
      </x:c>
      <x:c r="F1133" s="17" t="str">
        <x:v>11566.39</x:v>
      </x:c>
      <x:c r="G1133" s="18" t="n">
        <x:v>494.12</x:v>
      </x:c>
      <x:c r="H1133" s="18" t="n">
        <x:f>IFERROR(G1133/1000,"")</x:f>
        <x:v>0.49412</x:v>
      </x:c>
      <x:c r="I1133" s="19" t="n">
        <x:f>IFERROR(G1133/J1133,"")</x:f>
        <x:v>0.006402041522056479</x:v>
      </x:c>
      <x:c r="J1133" s="17" t="n">
        <x:v>77181.63</x:v>
      </x:c>
      <x:c r="K1133" s="17" t="str"/>
      <x:c r="L1133" s="17" t="str">
        <x:v>已定位热点事件/概念成分股视图，并确认了可用字段与时间口径。</x:v>
      </x:c>
      <x:c r="M1133" s="17" t="str"/>
      <x:c r="N1133" s="18" t="n">
        <x:v>0</x:v>
      </x:c>
      <x:c r="O1133" s="17" t="str">
        <x:v>public_sse_client_estimate</x:v>
      </x:c>
    </x:row>
    <x:row r="1134" ht="48" customHeight="1">
      <x:c r="A1134" s="17" t="str">
        <x:v>BUS213</x:v>
      </x:c>
      <x:c r="B1134" s="17" t="str">
        <x:v>筛选今天热度上升且涨停数量超过5个的热点事件。</x:v>
      </x:c>
      <x:c r="C1134" s="17" t="n">
        <x:v>6</x:v>
      </x:c>
      <x:c r="D1134" s="17" t="str">
        <x:v>数据查询 1/1</x:v>
      </x:c>
      <x:c r="E1134" s="17" t="str">
        <x:v>16597.33</x:v>
      </x:c>
      <x:c r="F1134" s="17" t="str">
        <x:v>17873.37</x:v>
      </x:c>
      <x:c r="G1134" s="18" t="n">
        <x:v>1276.04</x:v>
      </x:c>
      <x:c r="H1134" s="18" t="n">
        <x:f>IFERROR(G1134/1000,"")</x:f>
        <x:v>1.27604</x:v>
      </x:c>
      <x:c r="I1134" s="19" t="n">
        <x:f>IFERROR(G1134/J1134,"")</x:f>
        <x:v>0.016532949615083278</x:v>
      </x:c>
      <x:c r="J1134" s="17" t="n">
        <x:v>77181.63</x:v>
      </x:c>
      <x:c r="K1134" s="17" t="str"/>
      <x:c r="L1134" s="17" t="str">
        <x:v>已完成：查询今天热度上升且涨停数量超过5个的热点事件，当前条件下没有匹配记录。</x:v>
      </x:c>
      <x:c r="M1134" s="17" t="str"/>
      <x:c r="N1134" s="18" t="n">
        <x:v>5030.94</x:v>
      </x:c>
      <x:c r="O1134" s="17" t="str">
        <x:v>public_sse_client_estimate</x:v>
      </x:c>
    </x:row>
    <x:row r="1135" ht="48" customHeight="1">
      <x:c r="A1135" s="17" t="str">
        <x:v>BUS213</x:v>
      </x:c>
      <x:c r="B1135" s="17" t="str">
        <x:v>筛选今天热度上升且涨停数量超过5个的热点事件。</x:v>
      </x:c>
      <x:c r="C1135" s="17" t="n">
        <x:v>7</x:v>
      </x:c>
      <x:c r="D1135" s="17" t="str">
        <x:v>数据查询 1/1</x:v>
      </x:c>
      <x:c r="E1135" s="17" t="str">
        <x:v>21542.31</x:v>
      </x:c>
      <x:c r="F1135" s="17" t="str">
        <x:v>21707.9</x:v>
      </x:c>
      <x:c r="G1135" s="18" t="n">
        <x:v>165.59</x:v>
      </x:c>
      <x:c r="H1135" s="18" t="n">
        <x:f>IFERROR(G1135/1000,"")</x:f>
        <x:v>0.16559000000000001</x:v>
      </x:c>
      <x:c r="I1135" s="19" t="n">
        <x:f>IFERROR(G1135/J1135,"")</x:f>
        <x:v>0.0021454587056531456</x:v>
      </x:c>
      <x:c r="J1135" s="17" t="n">
        <x:v>77181.63</x:v>
      </x:c>
      <x:c r="K1135" s="17" t="str"/>
      <x:c r="L1135" s="17" t="str">
        <x:v>已完成：查询最近交易日热度上升且涨停数量超过5个的热点事件，当前条件下没有匹配记录。</x:v>
      </x:c>
      <x:c r="M1135" s="17" t="str"/>
      <x:c r="N1135" s="18" t="n">
        <x:v>3668.94</x:v>
      </x:c>
      <x:c r="O1135" s="17" t="str">
        <x:v>public_sse_client_estimate</x:v>
      </x:c>
    </x:row>
    <x:row r="1136" ht="48" customHeight="1">
      <x:c r="A1136" s="17" t="str">
        <x:v>BUS213</x:v>
      </x:c>
      <x:c r="B1136" s="17" t="str">
        <x:v>筛选今天热度上升且涨停数量超过5个的热点事件。</x:v>
      </x:c>
      <x:c r="C1136" s="17" t="n">
        <x:v>8</x:v>
      </x:c>
      <x:c r="D1136" s="17" t="str">
        <x:v>数据查询 1/1</x:v>
      </x:c>
      <x:c r="E1136" s="17" t="str">
        <x:v>24523</x:v>
      </x:c>
      <x:c r="F1136" s="17" t="str">
        <x:v>24685.44</x:v>
      </x:c>
      <x:c r="G1136" s="18" t="n">
        <x:v>162.44</x:v>
      </x:c>
      <x:c r="H1136" s="18" t="n">
        <x:f>IFERROR(G1136/1000,"")</x:f>
        <x:v>0.16244</x:v>
      </x:c>
      <x:c r="I1136" s="19" t="n">
        <x:f>IFERROR(G1136/J1136,"")</x:f>
        <x:v>0.002104645885296799</x:v>
      </x:c>
      <x:c r="J1136" s="17" t="n">
        <x:v>77181.63</x:v>
      </x:c>
      <x:c r="K1136" s="17" t="str"/>
      <x:c r="L1136" s="17" t="str">
        <x:v>已完成：查询最近交易日所有热点事件，了解数据覆盖情况，当前条件下没有匹配记录。</x:v>
      </x:c>
      <x:c r="M1136" s="17" t="str"/>
      <x:c r="N1136" s="18" t="n">
        <x:v>2815.1</x:v>
      </x:c>
      <x:c r="O1136" s="17" t="str">
        <x:v>public_sse_client_estimate</x:v>
      </x:c>
    </x:row>
    <x:row r="1137" ht="48" customHeight="1">
      <x:c r="A1137" s="17" t="str">
        <x:v>BUS213</x:v>
      </x:c>
      <x:c r="B1137" s="17" t="str">
        <x:v>筛选今天热度上升且涨停数量超过5个的热点事件。</x:v>
      </x:c>
      <x:c r="C1137" s="17" t="n">
        <x:v>9</x:v>
      </x:c>
      <x:c r="D1137" s="17" t="str">
        <x:v>数据查询 1/2</x:v>
      </x:c>
      <x:c r="E1137" s="17" t="str">
        <x:v>28961.24</x:v>
      </x:c>
      <x:c r="F1137" s="17" t="str">
        <x:v>29167.18</x:v>
      </x:c>
      <x:c r="G1137" s="18" t="n">
        <x:v>205.94</x:v>
      </x:c>
      <x:c r="H1137" s="18" t="n">
        <x:f>IFERROR(G1137/1000,"")</x:f>
        <x:v>0.20593999999999998</x:v>
      </x:c>
      <x:c r="I1137" s="19" t="n">
        <x:f>IFERROR(G1137/J1137,"")</x:f>
        <x:v>0.0026682514997415836</x:v>
      </x:c>
      <x:c r="J1137" s="17" t="n">
        <x:v>77181.63</x:v>
      </x:c>
      <x:c r="K1137" s="17" t="str"/>
      <x:c r="L1137" s="17" t="str">
        <x:v>已完成：尝试查询热点事件状态数据，无日期过滤，取得 20 条记录。</x:v>
      </x:c>
      <x:c r="M1137" s="17" t="str"/>
      <x:c r="N1137" s="18" t="n">
        <x:v>4275.8</x:v>
      </x:c>
      <x:c r="O1137" s="17" t="str">
        <x:v>public_sse_client_estimate</x:v>
      </x:c>
    </x:row>
    <x:row r="1138" ht="48" customHeight="1">
      <x:c r="A1138" s="17" t="str">
        <x:v>BUS213</x:v>
      </x:c>
      <x:c r="B1138" s="17" t="str">
        <x:v>筛选今天热度上升且涨停数量超过5个的热点事件。</x:v>
      </x:c>
      <x:c r="C1138" s="17" t="n">
        <x:v>10</x:v>
      </x:c>
      <x:c r="D1138" s="17" t="str">
        <x:v>数据查询 2/2</x:v>
      </x:c>
      <x:c r="E1138" s="17" t="str">
        <x:v>29171.9</x:v>
      </x:c>
      <x:c r="F1138" s="17" t="str">
        <x:v>29336.83</x:v>
      </x:c>
      <x:c r="G1138" s="18" t="n">
        <x:v>164.93</x:v>
      </x:c>
      <x:c r="H1138" s="18" t="n">
        <x:f>IFERROR(G1138/1000,"")</x:f>
        <x:v>0.16493</x:v>
      </x:c>
      <x:c r="I1138" s="19" t="n">
        <x:f>IFERROR(G1138/J1138,"")</x:f>
        <x:v>0.002136907448054673</x:v>
      </x:c>
      <x:c r="J1138" s="17" t="n">
        <x:v>77181.63</x:v>
      </x:c>
      <x:c r="K1138" s="17" t="str"/>
      <x:c r="L1138" s="17" t="str">
        <x:v>已完成：尝试查询热点事件基础信息了解有哪些热点事件，取得 20 条记录。</x:v>
      </x:c>
      <x:c r="M1138" s="17" t="str"/>
      <x:c r="N1138" s="18" t="n">
        <x:v>4.72</x:v>
      </x:c>
      <x:c r="O1138" s="17" t="str">
        <x:v>public_sse_client_estimate</x:v>
      </x:c>
    </x:row>
    <x:row r="1139" ht="48" customHeight="1">
      <x:c r="A1139" s="17" t="str">
        <x:v>BUS213</x:v>
      </x:c>
      <x:c r="B1139" s="17" t="str">
        <x:v>筛选今天热度上升且涨停数量超过5个的热点事件。</x:v>
      </x:c>
      <x:c r="C1139" s="17" t="n">
        <x:v>11</x:v>
      </x:c>
      <x:c r="D1139" s="17" t="str">
        <x:v>数据查询 1/1</x:v>
      </x:c>
      <x:c r="E1139" s="17" t="str">
        <x:v>38300.75</x:v>
      </x:c>
      <x:c r="F1139" s="17" t="str">
        <x:v>38482.95</x:v>
      </x:c>
      <x:c r="G1139" s="18" t="n">
        <x:v>182.2</x:v>
      </x:c>
      <x:c r="H1139" s="18" t="n">
        <x:f>IFERROR(G1139/1000,"")</x:f>
        <x:v>0.1822</x:v>
      </x:c>
      <x:c r="I1139" s="19" t="n">
        <x:f>IFERROR(G1139/J1139,"")</x:f>
        <x:v>0.0023606653552147054</x:v>
      </x:c>
      <x:c r="J1139" s="17" t="n">
        <x:v>77181.63</x:v>
      </x:c>
      <x:c r="K1139" s="17" t="str"/>
      <x:c r="L1139" s="17" t="str">
        <x:v>已完成：查询2026-07-31（最近交易日）涨停数量超过5个且热度上升的热点事件，取得 50 条记录。</x:v>
      </x:c>
      <x:c r="M1139" s="17" t="str"/>
      <x:c r="N1139" s="18" t="n">
        <x:v>8963.92</x:v>
      </x:c>
      <x:c r="O1139" s="17" t="str">
        <x:v>public_sse_client_estimate</x:v>
      </x:c>
    </x:row>
    <x:row r="1140" ht="48" customHeight="1">
      <x:c r="A1140" s="17" t="str">
        <x:v>BUS213</x:v>
      </x:c>
      <x:c r="B1140" s="17" t="str">
        <x:v>筛选今天热度上升且涨停数量超过5个的热点事件。</x:v>
      </x:c>
      <x:c r="C1140" s="17" t="n">
        <x:v>12</x:v>
      </x:c>
      <x:c r="D1140" s="17" t="str">
        <x:v>数据查询 1/2</x:v>
      </x:c>
      <x:c r="E1140" s="17" t="str">
        <x:v>46008.09</x:v>
      </x:c>
      <x:c r="F1140" s="17" t="str">
        <x:v>46125.1</x:v>
      </x:c>
      <x:c r="G1140" s="18" t="n">
        <x:v>117.01</x:v>
      </x:c>
      <x:c r="H1140" s="18" t="n">
        <x:f>IFERROR(G1140/1000,"")</x:f>
        <x:v>0.11701</x:v>
      </x:c>
      <x:c r="I1140" s="19" t="n">
        <x:f>IFERROR(G1140/J1140,"")</x:f>
        <x:v>0.001516034320601936</x:v>
      </x:c>
      <x:c r="J1140" s="17" t="n">
        <x:v>77181.63</x:v>
      </x:c>
      <x:c r="K1140" s="17" t="str"/>
      <x:c r="L1140" s="17" t="str">
        <x:v>已完成：查询2026-07-31所有热点事件的不同change_label取值，取得 100 条记录。</x:v>
      </x:c>
      <x:c r="M1140" s="17" t="str"/>
      <x:c r="N1140" s="18" t="n">
        <x:v>7525.14</x:v>
      </x:c>
      <x:c r="O1140" s="17" t="str">
        <x:v>public_sse_client_estimate</x:v>
      </x:c>
    </x:row>
    <x:row r="1141" ht="48" customHeight="1">
      <x:c r="A1141" s="17" t="str">
        <x:v>BUS213</x:v>
      </x:c>
      <x:c r="B1141" s="17" t="str">
        <x:v>筛选今天热度上升且涨停数量超过5个的热点事件。</x:v>
      </x:c>
      <x:c r="C1141" s="17" t="n">
        <x:v>13</x:v>
      </x:c>
      <x:c r="D1141" s="17" t="str">
        <x:v>数据查询 2/2</x:v>
      </x:c>
      <x:c r="E1141" s="17" t="str">
        <x:v>46127.05</x:v>
      </x:c>
      <x:c r="F1141" s="17" t="str">
        <x:v>46247.78</x:v>
      </x:c>
      <x:c r="G1141" s="18" t="n">
        <x:v>120.73</x:v>
      </x:c>
      <x:c r="H1141" s="18" t="n">
        <x:f>IFERROR(G1141/1000,"")</x:f>
        <x:v>0.12073</x:v>
      </x:c>
      <x:c r="I1141" s="19" t="n">
        <x:f>IFERROR(G1141/J1141,"")</x:f>
        <x:v>0.0015642323179751452</x:v>
      </x:c>
      <x:c r="J1141" s="17" t="n">
        <x:v>77181.63</x:v>
      </x:c>
      <x:c r="K1141" s="17" t="str"/>
      <x:c r="L1141" s="17" t="str">
        <x:v>已完成：查询2026-07-10（另一个有数据的日期）所有热点事件的不同change_label取值，取得 100 条记录。</x:v>
      </x:c>
      <x:c r="M1141" s="17" t="str"/>
      <x:c r="N1141" s="18" t="n">
        <x:v>1.95</x:v>
      </x:c>
      <x:c r="O1141" s="17" t="str">
        <x:v>public_sse_client_estimate</x:v>
      </x:c>
    </x:row>
    <x:row r="1142" ht="48" customHeight="1">
      <x:c r="A1142" s="17" t="str">
        <x:v>BUS213</x:v>
      </x:c>
      <x:c r="B1142" s="17" t="str">
        <x:v>筛选今天热度上升且涨停数量超过5个的热点事件。</x:v>
      </x:c>
      <x:c r="C1142" s="17" t="n">
        <x:v>14</x:v>
      </x:c>
      <x:c r="D1142" s="17" t="str">
        <x:v>数据查询 1/1</x:v>
      </x:c>
      <x:c r="E1142" s="17" t="str">
        <x:v>50773.28</x:v>
      </x:c>
      <x:c r="F1142" s="17" t="str">
        <x:v>50898.58</x:v>
      </x:c>
      <x:c r="G1142" s="18" t="n">
        <x:v>125.3</x:v>
      </x:c>
      <x:c r="H1142" s="18" t="n">
        <x:f>IFERROR(G1142/1000,"")</x:f>
        <x:v>0.1253</x:v>
      </x:c>
      <x:c r="I1142" s="19" t="n">
        <x:f>IFERROR(G1142/J1142,"")</x:f>
        <x:v>0.0016234432986191143</x:v>
      </x:c>
      <x:c r="J1142" s="17" t="n">
        <x:v>77181.63</x:v>
      </x:c>
      <x:c r="K1142" s="17" t="str"/>
      <x:c r="L1142" s="17" t="str">
        <x:v>已完成：查询2026-07-31当天涨停数量超过5个的热点事件，并按事件名称聚合展示，取得 25 条记录。</x:v>
      </x:c>
      <x:c r="M1142" s="17" t="str"/>
      <x:c r="N1142" s="18" t="n">
        <x:v>4525.5</x:v>
      </x:c>
      <x:c r="O1142" s="17" t="str">
        <x:v>public_sse_client_estimate</x:v>
      </x:c>
    </x:row>
    <x:row r="1143" ht="48" customHeight="1">
      <x:c r="A1143" s="17" t="str">
        <x:v>BUS213</x:v>
      </x:c>
      <x:c r="B1143" s="17" t="str">
        <x:v>筛选今天热度上升且涨停数量超过5个的热点事件。</x:v>
      </x:c>
      <x:c r="C1143" s="17" t="n">
        <x:v>15</x:v>
      </x:c>
      <x:c r="D1143" s="17" t="str">
        <x:v>数据查询 1/1</x:v>
      </x:c>
      <x:c r="E1143" s="17" t="str">
        <x:v>54868.41</x:v>
      </x:c>
      <x:c r="F1143" s="17" t="str">
        <x:v>54993.21</x:v>
      </x:c>
      <x:c r="G1143" s="18" t="n">
        <x:v>124.8</x:v>
      </x:c>
      <x:c r="H1143" s="18" t="n">
        <x:f>IFERROR(G1143/1000,"")</x:f>
        <x:v>0.1248</x:v>
      </x:c>
      <x:c r="I1143" s="19" t="n">
        <x:f>IFERROR(G1143/J1143,"")</x:f>
        <x:v>0.001616965073165726</x:v>
      </x:c>
      <x:c r="J1143" s="17" t="n">
        <x:v>77181.63</x:v>
      </x:c>
      <x:c r="K1143" s="17" t="str"/>
      <x:c r="L1143" s="17" t="str">
        <x:v>已完成：查询2026-07-31涨停数超过5的热点事件，按事件聚合展示最大涨停数和热度，取得 50 条记录。</x:v>
      </x:c>
      <x:c r="M1143" s="17" t="str"/>
      <x:c r="N1143" s="18" t="n">
        <x:v>3969.83</x:v>
      </x:c>
      <x:c r="O1143" s="17" t="str">
        <x:v>public_sse_client_estimate</x:v>
      </x:c>
    </x:row>
    <x:row r="1144" ht="48" customHeight="1">
      <x:c r="A1144" s="17" t="str">
        <x:v>BUS213</x:v>
      </x:c>
      <x:c r="B1144" s="17" t="str">
        <x:v>筛选今天热度上升且涨停数量超过5个的热点事件。</x:v>
      </x:c>
      <x:c r="C1144" s="17" t="n">
        <x:v>16</x:v>
      </x:c>
      <x:c r="D1144" s="17" t="str">
        <x:v>回答整理</x:v>
      </x:c>
      <x:c r="E1144" s="17" t="str">
        <x:v>54993.21</x:v>
      </x:c>
      <x:c r="F1144" s="17" t="str">
        <x:v>70723.38</x:v>
      </x:c>
      <x:c r="G1144" s="18" t="n">
        <x:v>15730.17</x:v>
      </x:c>
      <x:c r="H1144" s="18" t="n">
        <x:f>IFERROR(G1144/1000,"")</x:f>
        <x:v>15.73017</x:v>
      </x:c>
      <x:c r="I1144" s="19" t="n">
        <x:f>IFERROR(G1144/J1144,"")</x:f>
        <x:v>0.20380717536025086</x:v>
      </x:c>
      <x:c r="J1144" s="17" t="n">
        <x:v>77181.63</x:v>
      </x:c>
      <x:c r="K1144" s="17" t="str"/>
      <x:c r="L1144" s="17" t="str">
        <x:v>证据与回答已整理完成。</x:v>
      </x:c>
      <x:c r="M1144" s="17" t="str"/>
      <x:c r="N1144" s="18" t="n">
        <x:v>0</x:v>
      </x:c>
      <x:c r="O1144" s="17" t="str">
        <x:v>public_sse_client_estimate</x:v>
      </x:c>
    </x:row>
    <x:row r="1145" ht="48" customHeight="1">
      <x:c r="A1145" s="17" t="str">
        <x:v>BUS214</x:v>
      </x:c>
      <x:c r="B1145" s="17" t="str">
        <x:v>查询机器人热点最近的热度变化标签和板块强度。</x:v>
      </x:c>
      <x:c r="C1145" s="17" t="n">
        <x:v>1</x:v>
      </x:c>
      <x:c r="D1145" s="17" t="str">
        <x:v>问题理解</x:v>
      </x:c>
      <x:c r="E1145" s="17" t="str">
        <x:v>4538.74</x:v>
      </x:c>
      <x:c r="F1145" s="17" t="str">
        <x:v>8400.67</x:v>
      </x:c>
      <x:c r="G1145" s="18" t="n">
        <x:v>3861.93</x:v>
      </x:c>
      <x:c r="H1145" s="18" t="n">
        <x:f>IFERROR(G1145/1000,"")</x:f>
        <x:v>3.8619299999999996</x:v>
      </x:c>
      <x:c r="I1145" s="19" t="n">
        <x:f>IFERROR(G1145/J1145,"")</x:f>
        <x:v>0.103406643957135</x:v>
      </x:c>
      <x:c r="J1145" s="17" t="n">
        <x:v>37347.02</x:v>
      </x:c>
      <x:c r="K1145" s="17" t="str"/>
      <x:c r="L1145" s="17" t="str">
        <x:v>已明确本题的对象与口径，开始获取所需证据。</x:v>
      </x:c>
      <x:c r="M1145" s="17" t="str"/>
      <x:c r="N1145" s="18" t="n">
        <x:v>4538.74</x:v>
      </x:c>
      <x:c r="O1145" s="17" t="str">
        <x:v>public_sse_client_estimate</x:v>
      </x:c>
    </x:row>
    <x:row r="1146" ht="48" customHeight="1">
      <x:c r="A1146" s="17" t="str">
        <x:v>BUS214</x:v>
      </x:c>
      <x:c r="B1146" s="17" t="str">
        <x:v>查询机器人热点最近的热度变化标签和板块强度。</x:v>
      </x:c>
      <x:c r="C1146" s="17" t="n">
        <x:v>2</x:v>
      </x:c>
      <x:c r="D1146" s="17" t="str">
        <x:v>数据口径</x:v>
      </x:c>
      <x:c r="E1146" s="17" t="str">
        <x:v>8400.67</x:v>
      </x:c>
      <x:c r="F1146" s="17" t="str">
        <x:v>8446.94</x:v>
      </x:c>
      <x:c r="G1146" s="18" t="n">
        <x:v>46.27</x:v>
      </x:c>
      <x:c r="H1146" s="18" t="n">
        <x:f>IFERROR(G1146/1000,"")</x:f>
        <x:v>0.046270000000000006</x:v>
      </x:c>
      <x:c r="I1146" s="19" t="n">
        <x:f>IFERROR(G1146/J1146,"")</x:f>
        <x:v>0.0012389208027842652</x:v>
      </x:c>
      <x:c r="J1146" s="17" t="n">
        <x:v>37347.02</x:v>
      </x:c>
      <x:c r="K1146" s="17" t="str"/>
      <x:c r="L1146" s="17" t="str">
        <x:v>已定位热点事件/概念状态视图，并确认了可用字段与时间口径。</x:v>
      </x:c>
      <x:c r="M1146" s="17" t="str"/>
      <x:c r="N1146" s="18" t="n">
        <x:v>0</x:v>
      </x:c>
      <x:c r="O1146" s="17" t="str">
        <x:v>public_sse_client_estimate</x:v>
      </x:c>
    </x:row>
    <x:row r="1147" ht="48" customHeight="1">
      <x:c r="A1147" s="17" t="str">
        <x:v>BUS214</x:v>
      </x:c>
      <x:c r="B1147" s="17" t="str">
        <x:v>查询机器人热点最近的热度变化标签和板块强度。</x:v>
      </x:c>
      <x:c r="C1147" s="17" t="n">
        <x:v>3</x:v>
      </x:c>
      <x:c r="D1147" s="17" t="str">
        <x:v>数据口径</x:v>
      </x:c>
      <x:c r="E1147" s="17" t="str">
        <x:v>8446.94</x:v>
      </x:c>
      <x:c r="F1147" s="17" t="str">
        <x:v>9013.42</x:v>
      </x:c>
      <x:c r="G1147" s="18" t="n">
        <x:v>566.48</x:v>
      </x:c>
      <x:c r="H1147" s="18" t="n">
        <x:f>IFERROR(G1147/1000,"")</x:f>
        <x:v>0.56648</x:v>
      </x:c>
      <x:c r="I1147" s="19" t="n">
        <x:f>IFERROR(G1147/J1147,"")</x:f>
        <x:v>0.015168010727495797</x:v>
      </x:c>
      <x:c r="J1147" s="17" t="n">
        <x:v>37347.02</x:v>
      </x:c>
      <x:c r="K1147" s="17" t="str"/>
      <x:c r="L1147" s="17" t="str">
        <x:v>已定位热点事件/概念基础信息视图，并确认了可用字段与时间口径。</x:v>
      </x:c>
      <x:c r="M1147" s="17" t="str"/>
      <x:c r="N1147" s="18" t="n">
        <x:v>0</x:v>
      </x:c>
      <x:c r="O1147" s="17" t="str">
        <x:v>public_sse_client_estimate</x:v>
      </x:c>
    </x:row>
    <x:row r="1148" ht="48" customHeight="1">
      <x:c r="A1148" s="17" t="str">
        <x:v>BUS214</x:v>
      </x:c>
      <x:c r="B1148" s="17" t="str">
        <x:v>查询机器人热点最近的热度变化标签和板块强度。</x:v>
      </x:c>
      <x:c r="C1148" s="17" t="n">
        <x:v>4</x:v>
      </x:c>
      <x:c r="D1148" s="17" t="str">
        <x:v>数据查询 1/1</x:v>
      </x:c>
      <x:c r="E1148" s="17" t="str">
        <x:v>13018.31</x:v>
      </x:c>
      <x:c r="F1148" s="17" t="str">
        <x:v>13202.81</x:v>
      </x:c>
      <x:c r="G1148" s="18" t="n">
        <x:v>184.5</x:v>
      </x:c>
      <x:c r="H1148" s="18" t="n">
        <x:f>IFERROR(G1148/1000,"")</x:f>
        <x:v>0.1845</x:v>
      </x:c>
      <x:c r="I1148" s="19" t="n">
        <x:f>IFERROR(G1148/J1148,"")</x:f>
        <x:v>0.004940153190267926</x:v>
      </x:c>
      <x:c r="J1148" s="17" t="n">
        <x:v>37347.02</x:v>
      </x:c>
      <x:c r="K1148" s="17" t="str"/>
      <x:c r="L1148" s="17" t="str">
        <x:v>已完成：查询机器人热点最近的状态信息，包括热度变化标签和板块强度，取得 5 条记录。</x:v>
      </x:c>
      <x:c r="M1148" s="17" t="str"/>
      <x:c r="N1148" s="18" t="n">
        <x:v>4004.89</x:v>
      </x:c>
      <x:c r="O1148" s="17" t="str">
        <x:v>public_sse_client_estimate</x:v>
      </x:c>
    </x:row>
    <x:row r="1149" ht="48" customHeight="1">
      <x:c r="A1149" s="17" t="str">
        <x:v>BUS214</x:v>
      </x:c>
      <x:c r="B1149" s="17" t="str">
        <x:v>查询机器人热点最近的热度变化标签和板块强度。</x:v>
      </x:c>
      <x:c r="C1149" s="17" t="n">
        <x:v>5</x:v>
      </x:c>
      <x:c r="D1149" s="17" t="str">
        <x:v>数据查询 1/1</x:v>
      </x:c>
      <x:c r="E1149" s="17" t="str">
        <x:v>23248.7</x:v>
      </x:c>
      <x:c r="F1149" s="17" t="str">
        <x:v>23426.57</x:v>
      </x:c>
      <x:c r="G1149" s="18" t="n">
        <x:v>177.87</x:v>
      </x:c>
      <x:c r="H1149" s="18" t="n">
        <x:f>IFERROR(G1149/1000,"")</x:f>
        <x:v>0.17787</x:v>
      </x:c>
      <x:c r="I1149" s="19" t="n">
        <x:f>IFERROR(G1149/J1149,"")</x:f>
        <x:v>0.004762628986194883</x:v>
      </x:c>
      <x:c r="J1149" s="17" t="n">
        <x:v>37347.02</x:v>
      </x:c>
      <x:c r="K1149" s="17" t="str"/>
      <x:c r="L1149" s="17" t="str">
        <x:v>已完成：查询热点基础信息中是否包含'机器人'相关的热点，取得 10 条记录。</x:v>
      </x:c>
      <x:c r="M1149" s="17" t="str"/>
      <x:c r="N1149" s="18" t="n">
        <x:v>10045.89</x:v>
      </x:c>
      <x:c r="O1149" s="17" t="str">
        <x:v>public_sse_client_estimate</x:v>
      </x:c>
    </x:row>
    <x:row r="1150" ht="48" customHeight="1">
      <x:c r="A1150" s="17" t="str">
        <x:v>BUS214</x:v>
      </x:c>
      <x:c r="B1150" s="17" t="str">
        <x:v>查询机器人热点最近的热度变化标签和板块强度。</x:v>
      </x:c>
      <x:c r="C1150" s="17" t="n">
        <x:v>6</x:v>
      </x:c>
      <x:c r="D1150" s="17" t="str">
        <x:v>数据查询 1/1</x:v>
      </x:c>
      <x:c r="E1150" s="17" t="str">
        <x:v>27628.19</x:v>
      </x:c>
      <x:c r="F1150" s="17" t="str">
        <x:v>27742.86</x:v>
      </x:c>
      <x:c r="G1150" s="18" t="n">
        <x:v>114.67</x:v>
      </x:c>
      <x:c r="H1150" s="18" t="n">
        <x:f>IFERROR(G1150/1000,"")</x:f>
        <x:v>0.11467000000000001</x:v>
      </x:c>
      <x:c r="I1150" s="19" t="n">
        <x:f>IFERROR(G1150/J1150,"")</x:f>
        <x:v>0.003070392229420179</x:v>
      </x:c>
      <x:c r="J1150" s="17" t="n">
        <x:v>37347.02</x:v>
      </x:c>
      <x:c r="K1150" s="17" t="str"/>
      <x:c r="L1150" s="17" t="str">
        <x:v>已完成：查询人形机器人热点最近的状态信息，包括热度变化标签和板块强度，取得 3 条记录。</x:v>
      </x:c>
      <x:c r="M1150" s="17" t="str"/>
      <x:c r="N1150" s="18" t="n">
        <x:v>4201.62</x:v>
      </x:c>
      <x:c r="O1150" s="17" t="str">
        <x:v>public_sse_client_estimate</x:v>
      </x:c>
    </x:row>
    <x:row r="1151" ht="48" customHeight="1">
      <x:c r="A1151" s="17" t="str">
        <x:v>BUS214</x:v>
      </x:c>
      <x:c r="B1151" s="17" t="str">
        <x:v>查询机器人热点最近的热度变化标签和板块强度。</x:v>
      </x:c>
      <x:c r="C1151" s="17" t="n">
        <x:v>7</x:v>
      </x:c>
      <x:c r="D1151" s="17" t="str">
        <x:v>回答整理</x:v>
      </x:c>
      <x:c r="E1151" s="17" t="str">
        <x:v>27742.86</x:v>
      </x:c>
      <x:c r="F1151" s="17" t="str">
        <x:v>34255.68</x:v>
      </x:c>
      <x:c r="G1151" s="18" t="n">
        <x:v>6512.82</x:v>
      </x:c>
      <x:c r="H1151" s="18" t="n">
        <x:f>IFERROR(G1151/1000,"")</x:f>
        <x:v>6.51282</x:v>
      </x:c>
      <x:c r="I1151" s="19" t="n">
        <x:f>IFERROR(G1151/J1151,"")</x:f>
        <x:v>0.17438660433951625</x:v>
      </x:c>
      <x:c r="J1151" s="17" t="n">
        <x:v>37347.02</x:v>
      </x:c>
      <x:c r="K1151" s="17" t="str"/>
      <x:c r="L1151" s="17" t="str">
        <x:v>证据与回答已整理完成。</x:v>
      </x:c>
      <x:c r="M1151" s="17" t="str"/>
      <x:c r="N1151" s="18" t="n">
        <x:v>0</x:v>
      </x:c>
      <x:c r="O1151" s="17" t="str">
        <x:v>public_sse_client_estimate</x:v>
      </x:c>
    </x:row>
    <x:row r="1152" ht="48" customHeight="1">
      <x:c r="A1152" s="17" t="str">
        <x:v>BUS215</x:v>
      </x:c>
      <x:c r="B1152" s="17" t="str">
        <x:v>查询当前公司数最多的热点事件前20名。</x:v>
      </x:c>
      <x:c r="C1152" s="17" t="n">
        <x:v>1</x:v>
      </x:c>
      <x:c r="D1152" s="17" t="str">
        <x:v>问题理解</x:v>
      </x:c>
      <x:c r="E1152" s="17" t="str">
        <x:v>4832.6</x:v>
      </x:c>
      <x:c r="F1152" s="17" t="str">
        <x:v>8127.22</x:v>
      </x:c>
      <x:c r="G1152" s="18" t="n">
        <x:v>3294.62</x:v>
      </x:c>
      <x:c r="H1152" s="18" t="n">
        <x:f>IFERROR(G1152/1000,"")</x:f>
        <x:v>3.29462</x:v>
      </x:c>
      <x:c r="I1152" s="19" t="n">
        <x:f>IFERROR(G1152/J1152,"")</x:f>
        <x:v>0.10760093119016763</x:v>
      </x:c>
      <x:c r="J1152" s="17" t="n">
        <x:v>30618.88</x:v>
      </x:c>
      <x:c r="K1152" s="17" t="str"/>
      <x:c r="L1152" s="17" t="str">
        <x:v>已明确本题的对象与口径，开始获取所需证据。</x:v>
      </x:c>
      <x:c r="M1152" s="17" t="str"/>
      <x:c r="N1152" s="18" t="n">
        <x:v>4832.6</x:v>
      </x:c>
      <x:c r="O1152" s="17" t="str">
        <x:v>public_sse_client_estimate</x:v>
      </x:c>
    </x:row>
    <x:row r="1153" ht="48" customHeight="1">
      <x:c r="A1153" s="17" t="str">
        <x:v>BUS215</x:v>
      </x:c>
      <x:c r="B1153" s="17" t="str">
        <x:v>查询当前公司数最多的热点事件前20名。</x:v>
      </x:c>
      <x:c r="C1153" s="17" t="n">
        <x:v>2</x:v>
      </x:c>
      <x:c r="D1153" s="17" t="str">
        <x:v>数据口径</x:v>
      </x:c>
      <x:c r="E1153" s="17" t="str">
        <x:v>8127.22</x:v>
      </x:c>
      <x:c r="F1153" s="17" t="str">
        <x:v>8478</x:v>
      </x:c>
      <x:c r="G1153" s="18" t="n">
        <x:v>350.78</x:v>
      </x:c>
      <x:c r="H1153" s="18" t="n">
        <x:f>IFERROR(G1153/1000,"")</x:f>
        <x:v>0.35078</x:v>
      </x:c>
      <x:c r="I1153" s="19" t="n">
        <x:f>IFERROR(G1153/J1153,"")</x:f>
        <x:v>0.01145633021194766</x:v>
      </x:c>
      <x:c r="J1153" s="17" t="n">
        <x:v>30618.88</x:v>
      </x:c>
      <x:c r="K1153" s="17" t="str"/>
      <x:c r="L1153" s="17" t="str">
        <x:v>已定位热点事件/概念成分股视图，并确认了可用字段与时间口径。</x:v>
      </x:c>
      <x:c r="M1153" s="17" t="str"/>
      <x:c r="N1153" s="18" t="n">
        <x:v>0</x:v>
      </x:c>
      <x:c r="O1153" s="17" t="str">
        <x:v>public_sse_client_estimate</x:v>
      </x:c>
    </x:row>
    <x:row r="1154" ht="48" customHeight="1">
      <x:c r="A1154" s="17" t="str">
        <x:v>BUS215</x:v>
      </x:c>
      <x:c r="B1154" s="17" t="str">
        <x:v>查询当前公司数最多的热点事件前20名。</x:v>
      </x:c>
      <x:c r="C1154" s="17" t="n">
        <x:v>3</x:v>
      </x:c>
      <x:c r="D1154" s="17" t="str">
        <x:v>数据口径</x:v>
      </x:c>
      <x:c r="E1154" s="17" t="str">
        <x:v>8478</x:v>
      </x:c>
      <x:c r="F1154" s="17" t="str">
        <x:v>12644.22</x:v>
      </x:c>
      <x:c r="G1154" s="18" t="n">
        <x:v>4166.22</x:v>
      </x:c>
      <x:c r="H1154" s="18" t="n">
        <x:f>IFERROR(G1154/1000,"")</x:f>
        <x:v>4.16622</x:v>
      </x:c>
      <x:c r="I1154" s="19" t="n">
        <x:f>IFERROR(G1154/J1154,"")</x:f>
        <x:v>0.13606702792525396</x:v>
      </x:c>
      <x:c r="J1154" s="17" t="n">
        <x:v>30618.88</x:v>
      </x:c>
      <x:c r="K1154" s="17" t="str"/>
      <x:c r="L1154" s="17" t="str">
        <x:v>已定位热点事件/概念基础信息视图，并确认了可用字段与时间口径。</x:v>
      </x:c>
      <x:c r="M1154" s="17" t="str"/>
      <x:c r="N1154" s="18" t="n">
        <x:v>0</x:v>
      </x:c>
      <x:c r="O1154" s="17" t="str">
        <x:v>public_sse_client_estimate</x:v>
      </x:c>
    </x:row>
    <x:row r="1155" ht="48" customHeight="1">
      <x:c r="A1155" s="17" t="str">
        <x:v>BUS215</x:v>
      </x:c>
      <x:c r="B1155" s="17" t="str">
        <x:v>查询当前公司数最多的热点事件前20名。</x:v>
      </x:c>
      <x:c r="C1155" s="17" t="n">
        <x:v>4</x:v>
      </x:c>
      <x:c r="D1155" s="17" t="str">
        <x:v>数据口径</x:v>
      </x:c>
      <x:c r="E1155" s="17" t="str">
        <x:v>12644.22</x:v>
      </x:c>
      <x:c r="F1155" s="17" t="str">
        <x:v>12699.68</x:v>
      </x:c>
      <x:c r="G1155" s="18" t="n">
        <x:v>55.46</x:v>
      </x:c>
      <x:c r="H1155" s="18" t="n">
        <x:f>IFERROR(G1155/1000,"")</x:f>
        <x:v>0.05546</x:v>
      </x:c>
      <x:c r="I1155" s="19" t="n">
        <x:f>IFERROR(G1155/J1155,"")</x:f>
        <x:v>0.0018113007399356213</x:v>
      </x:c>
      <x:c r="J1155" s="17" t="n">
        <x:v>30618.88</x:v>
      </x:c>
      <x:c r="K1155" s="17" t="str"/>
      <x:c r="L1155" s="17" t="str">
        <x:v>已定位热点事件/概念状态视图，并确认了可用字段与时间口径。</x:v>
      </x:c>
      <x:c r="M1155" s="17" t="str"/>
      <x:c r="N1155" s="18" t="n">
        <x:v>0</x:v>
      </x:c>
      <x:c r="O1155" s="17" t="str">
        <x:v>public_sse_client_estimate</x:v>
      </x:c>
    </x:row>
    <x:row r="1156" ht="48" customHeight="1">
      <x:c r="A1156" s="17" t="str">
        <x:v>BUS215</x:v>
      </x:c>
      <x:c r="B1156" s="17" t="str">
        <x:v>查询当前公司数最多的热点事件前20名。</x:v>
      </x:c>
      <x:c r="C1156" s="17" t="n">
        <x:v>5</x:v>
      </x:c>
      <x:c r="D1156" s="17" t="str">
        <x:v>数据查询 1/1</x:v>
      </x:c>
      <x:c r="E1156" s="17" t="str">
        <x:v>16931.16</x:v>
      </x:c>
      <x:c r="F1156" s="17" t="str">
        <x:v>21835.79</x:v>
      </x:c>
      <x:c r="G1156" s="18" t="n">
        <x:v>4904.63</x:v>
      </x:c>
      <x:c r="H1156" s="18" t="n">
        <x:f>IFERROR(G1156/1000,"")</x:f>
        <x:v>4.90463</x:v>
      </x:c>
      <x:c r="I1156" s="19" t="n">
        <x:f>IFERROR(G1156/J1156,"")</x:f>
        <x:v>0.16018319415994314</x:v>
      </x:c>
      <x:c r="J1156" s="17" t="n">
        <x:v>30618.88</x:v>
      </x:c>
      <x:c r="K1156" s="17" t="str"/>
      <x:c r="L1156" s="17" t="str">
        <x:v>已完成：查询当前公司数最多的热点事件前20名，取得 20 条记录。</x:v>
      </x:c>
      <x:c r="M1156" s="17" t="str"/>
      <x:c r="N1156" s="18" t="n">
        <x:v>4231.48</x:v>
      </x:c>
      <x:c r="O1156" s="17" t="str">
        <x:v>public_sse_client_estimate</x:v>
      </x:c>
    </x:row>
    <x:row r="1157" ht="48" customHeight="1">
      <x:c r="A1157" s="17" t="str">
        <x:v>BUS215</x:v>
      </x:c>
      <x:c r="B1157" s="17" t="str">
        <x:v>查询当前公司数最多的热点事件前20名。</x:v>
      </x:c>
      <x:c r="C1157" s="17" t="n">
        <x:v>6</x:v>
      </x:c>
      <x:c r="D1157" s="17" t="str">
        <x:v>回答整理</x:v>
      </x:c>
      <x:c r="E1157" s="17" t="str">
        <x:v>21835.79</x:v>
      </x:c>
      <x:c r="F1157" s="17" t="str">
        <x:v>28496.81</x:v>
      </x:c>
      <x:c r="G1157" s="18" t="n">
        <x:v>6661.02</x:v>
      </x:c>
      <x:c r="H1157" s="18" t="n">
        <x:f>IFERROR(G1157/1000,"")</x:f>
        <x:v>6.661020000000001</x:v>
      </x:c>
      <x:c r="I1157" s="19" t="n">
        <x:f>IFERROR(G1157/J1157,"")</x:f>
        <x:v>0.21754616759332804</x:v>
      </x:c>
      <x:c r="J1157" s="17" t="n">
        <x:v>30618.88</x:v>
      </x:c>
      <x:c r="K1157" s="17" t="str"/>
      <x:c r="L1157" s="17" t="str">
        <x:v>证据与回答已整理完成。</x:v>
      </x:c>
      <x:c r="M1157" s="17" t="str"/>
      <x:c r="N1157" s="18" t="n">
        <x:v>0</x:v>
      </x:c>
      <x:c r="O1157" s="17" t="str">
        <x:v>public_sse_client_estimate</x:v>
      </x:c>
    </x:row>
    <x:row r="1158" ht="48" customHeight="1">
      <x:c r="A1158" s="17" t="str">
        <x:v>BUS216</x:v>
      </x:c>
      <x:c r="B1158" s="17" t="str">
        <x:v>筛选平均涨幅超过3%的热点事件。</x:v>
      </x:c>
      <x:c r="C1158" s="17" t="n">
        <x:v>1</x:v>
      </x:c>
      <x:c r="D1158" s="17" t="str">
        <x:v>问题理解</x:v>
      </x:c>
      <x:c r="E1158" s="17" t="str">
        <x:v>5186.82</x:v>
      </x:c>
      <x:c r="F1158" s="17" t="str">
        <x:v>7192.3</x:v>
      </x:c>
      <x:c r="G1158" s="18" t="n">
        <x:v>2005.48</x:v>
      </x:c>
      <x:c r="H1158" s="18" t="n">
        <x:f>IFERROR(G1158/1000,"")</x:f>
        <x:v>2.00548</x:v>
      </x:c>
      <x:c r="I1158" s="19" t="n">
        <x:f>IFERROR(G1158/J1158,"")</x:f>
        <x:v>0.06249314453806651</x:v>
      </x:c>
      <x:c r="J1158" s="17" t="n">
        <x:v>32091.2</x:v>
      </x:c>
      <x:c r="K1158" s="17" t="str"/>
      <x:c r="L1158" s="17" t="str">
        <x:v>已明确本题的对象与口径，开始获取所需证据。</x:v>
      </x:c>
      <x:c r="M1158" s="17" t="str"/>
      <x:c r="N1158" s="18" t="n">
        <x:v>5186.82</x:v>
      </x:c>
      <x:c r="O1158" s="17" t="str">
        <x:v>public_sse_client_estimate</x:v>
      </x:c>
    </x:row>
    <x:row r="1159" ht="48" customHeight="1">
      <x:c r="A1159" s="17" t="str">
        <x:v>BUS216</x:v>
      </x:c>
      <x:c r="B1159" s="17" t="str">
        <x:v>筛选平均涨幅超过3%的热点事件。</x:v>
      </x:c>
      <x:c r="C1159" s="17" t="n">
        <x:v>2</x:v>
      </x:c>
      <x:c r="D1159" s="17" t="str">
        <x:v>数据口径</x:v>
      </x:c>
      <x:c r="E1159" s="17" t="str">
        <x:v>7192.3</x:v>
      </x:c>
      <x:c r="F1159" s="17" t="str">
        <x:v>7202.3</x:v>
      </x:c>
      <x:c r="G1159" s="18" t="n">
        <x:v>10</x:v>
      </x:c>
      <x:c r="H1159" s="18" t="n">
        <x:f>IFERROR(G1159/1000,"")</x:f>
        <x:v>0.01</x:v>
      </x:c>
      <x:c r="I1159" s="19" t="n">
        <x:f>IFERROR(G1159/J1159,"")</x:f>
        <x:v>0.000311611906067707</x:v>
      </x:c>
      <x:c r="J1159" s="17" t="n">
        <x:v>32091.2</x:v>
      </x:c>
      <x:c r="K1159" s="17" t="str"/>
      <x:c r="L1159" s="17" t="str">
        <x:v>已确认该金融主体可查询的数据范围。</x:v>
      </x:c>
      <x:c r="M1159" s="17" t="str"/>
      <x:c r="N1159" s="18" t="n">
        <x:v>0</x:v>
      </x:c>
      <x:c r="O1159" s="17" t="str">
        <x:v>public_sse_client_estimate</x:v>
      </x:c>
    </x:row>
    <x:row r="1160" ht="48" customHeight="1">
      <x:c r="A1160" s="17" t="str">
        <x:v>BUS216</x:v>
      </x:c>
      <x:c r="B1160" s="17" t="str">
        <x:v>筛选平均涨幅超过3%的热点事件。</x:v>
      </x:c>
      <x:c r="C1160" s="17" t="n">
        <x:v>3</x:v>
      </x:c>
      <x:c r="D1160" s="17" t="str">
        <x:v>数据口径</x:v>
      </x:c>
      <x:c r="E1160" s="17" t="str">
        <x:v>7202.3</x:v>
      </x:c>
      <x:c r="F1160" s="17" t="str">
        <x:v>9786.75</x:v>
      </x:c>
      <x:c r="G1160" s="18" t="n">
        <x:v>2584.45</x:v>
      </x:c>
      <x:c r="H1160" s="18" t="n">
        <x:f>IFERROR(G1160/1000,"")</x:f>
        <x:v>2.58445</x:v>
      </x:c>
      <x:c r="I1160" s="19" t="n">
        <x:f>IFERROR(G1160/J1160,"")</x:f>
        <x:v>0.08053453906366853</x:v>
      </x:c>
      <x:c r="J1160" s="17" t="n">
        <x:v>32091.2</x:v>
      </x:c>
      <x:c r="K1160" s="17" t="str"/>
      <x:c r="L1160" s="17" t="str">
        <x:v>已定位热点事件/概念成分股视图，并确认了可用字段与时间口径。</x:v>
      </x:c>
      <x:c r="M1160" s="17" t="str"/>
      <x:c r="N1160" s="18" t="n">
        <x:v>0</x:v>
      </x:c>
      <x:c r="O1160" s="17" t="str">
        <x:v>public_sse_client_estimate</x:v>
      </x:c>
    </x:row>
    <x:row r="1161" ht="48" customHeight="1">
      <x:c r="A1161" s="17" t="str">
        <x:v>BUS216</x:v>
      </x:c>
      <x:c r="B1161" s="17" t="str">
        <x:v>筛选平均涨幅超过3%的热点事件。</x:v>
      </x:c>
      <x:c r="C1161" s="17" t="n">
        <x:v>4</x:v>
      </x:c>
      <x:c r="D1161" s="17" t="str">
        <x:v>数据口径</x:v>
      </x:c>
      <x:c r="E1161" s="17" t="str">
        <x:v>9786.75</x:v>
      </x:c>
      <x:c r="F1161" s="17" t="str">
        <x:v>13968.38</x:v>
      </x:c>
      <x:c r="G1161" s="18" t="n">
        <x:v>4181.63</x:v>
      </x:c>
      <x:c r="H1161" s="18" t="n">
        <x:f>IFERROR(G1161/1000,"")</x:f>
        <x:v>4.18163</x:v>
      </x:c>
      <x:c r="I1161" s="19" t="n">
        <x:f>IFERROR(G1161/J1161,"")</x:f>
        <x:v>0.13030456947699057</x:v>
      </x:c>
      <x:c r="J1161" s="17" t="n">
        <x:v>32091.2</x:v>
      </x:c>
      <x:c r="K1161" s="17" t="str"/>
      <x:c r="L1161" s="17" t="str">
        <x:v>已定位热点事件/概念状态视图，并确认了可用字段与时间口径。</x:v>
      </x:c>
      <x:c r="M1161" s="17" t="str"/>
      <x:c r="N1161" s="18" t="n">
        <x:v>0</x:v>
      </x:c>
      <x:c r="O1161" s="17" t="str">
        <x:v>public_sse_client_estimate</x:v>
      </x:c>
    </x:row>
    <x:row r="1162" ht="48" customHeight="1">
      <x:c r="A1162" s="17" t="str">
        <x:v>BUS216</x:v>
      </x:c>
      <x:c r="B1162" s="17" t="str">
        <x:v>筛选平均涨幅超过3%的热点事件。</x:v>
      </x:c>
      <x:c r="C1162" s="17" t="n">
        <x:v>5</x:v>
      </x:c>
      <x:c r="D1162" s="17" t="str">
        <x:v>数据口径</x:v>
      </x:c>
      <x:c r="E1162" s="17" t="str">
        <x:v>13968.38</x:v>
      </x:c>
      <x:c r="F1162" s="17" t="str">
        <x:v>13970.8</x:v>
      </x:c>
      <x:c r="G1162" s="18" t="n">
        <x:v>2.42</x:v>
      </x:c>
      <x:c r="H1162" s="18" t="n">
        <x:f>IFERROR(G1162/1000,"")</x:f>
        <x:v>0.00242</x:v>
      </x:c>
      <x:c r="I1162" s="19" t="n">
        <x:f>IFERROR(G1162/J1162,"")</x:f>
        <x:v>0.0000754100812683851</x:v>
      </x:c>
      <x:c r="J1162" s="17" t="n">
        <x:v>32091.2</x:v>
      </x:c>
      <x:c r="K1162" s="17" t="str"/>
      <x:c r="L1162" s="17" t="str">
        <x:v>已定位热点事件/概念基础信息视图，并确认了可用字段与时间口径。</x:v>
      </x:c>
      <x:c r="M1162" s="17" t="str"/>
      <x:c r="N1162" s="18" t="n">
        <x:v>0</x:v>
      </x:c>
      <x:c r="O1162" s="17" t="str">
        <x:v>public_sse_client_estimate</x:v>
      </x:c>
    </x:row>
    <x:row r="1163" ht="48" customHeight="1">
      <x:c r="A1163" s="17" t="str">
        <x:v>BUS216</x:v>
      </x:c>
      <x:c r="B1163" s="17" t="str">
        <x:v>筛选平均涨幅超过3%的热点事件。</x:v>
      </x:c>
      <x:c r="C1163" s="17" t="n">
        <x:v>6</x:v>
      </x:c>
      <x:c r="D1163" s="17" t="str">
        <x:v>数据查询 1/1</x:v>
      </x:c>
      <x:c r="E1163" s="17" t="str">
        <x:v>14578.13</x:v>
      </x:c>
      <x:c r="F1163" s="17" t="str">
        <x:v>14911.53</x:v>
      </x:c>
      <x:c r="G1163" s="18" t="n">
        <x:v>333.4</x:v>
      </x:c>
      <x:c r="H1163" s="18" t="n">
        <x:f>IFERROR(G1163/1000,"")</x:f>
        <x:v>0.3334</x:v>
      </x:c>
      <x:c r="I1163" s="19" t="n">
        <x:f>IFERROR(G1163/J1163,"")</x:f>
        <x:v>0.010389140948297352</x:v>
      </x:c>
      <x:c r="J1163" s="17" t="n">
        <x:v>32091.2</x:v>
      </x:c>
      <x:c r="K1163" s="17" t="str"/>
      <x:c r="L1163" s="17" t="str">
        <x:v>已完成：查询平均涨幅超过3%的热点事件及其状态信息，取得 50 条记录。</x:v>
      </x:c>
      <x:c r="M1163" s="17" t="str"/>
      <x:c r="N1163" s="18" t="n">
        <x:v>607.33</x:v>
      </x:c>
      <x:c r="O1163" s="17" t="str">
        <x:v>public_sse_client_estimate</x:v>
      </x:c>
    </x:row>
    <x:row r="1164" ht="48" customHeight="1">
      <x:c r="A1164" s="17" t="str">
        <x:v>BUS216</x:v>
      </x:c>
      <x:c r="B1164" s="17" t="str">
        <x:v>筛选平均涨幅超过3%的热点事件。</x:v>
      </x:c>
      <x:c r="C1164" s="17" t="n">
        <x:v>7</x:v>
      </x:c>
      <x:c r="D1164" s="17" t="str">
        <x:v>回答整理</x:v>
      </x:c>
      <x:c r="E1164" s="17" t="str">
        <x:v>14911.53</x:v>
      </x:c>
      <x:c r="F1164" s="17" t="str">
        <x:v>29820.77</x:v>
      </x:c>
      <x:c r="G1164" s="18" t="n">
        <x:v>14909.24</x:v>
      </x:c>
      <x:c r="H1164" s="18" t="n">
        <x:f>IFERROR(G1164/1000,"")</x:f>
        <x:v>14.90924</x:v>
      </x:c>
      <x:c r="I1164" s="19" t="n">
        <x:f>IFERROR(G1164/J1164,"")</x:f>
        <x:v>0.46458966944209</x:v>
      </x:c>
      <x:c r="J1164" s="17" t="n">
        <x:v>32091.2</x:v>
      </x:c>
      <x:c r="K1164" s="17" t="str"/>
      <x:c r="L1164" s="17" t="str">
        <x:v>证据与回答已整理完成。</x:v>
      </x:c>
      <x:c r="M1164" s="17" t="str"/>
      <x:c r="N1164" s="18" t="n">
        <x:v>0</x:v>
      </x:c>
      <x:c r="O1164" s="17" t="str">
        <x:v>public_sse_client_estimate</x:v>
      </x:c>
    </x:row>
    <x:row r="1165" ht="48" customHeight="1">
      <x:c r="A1165" s="17" t="str">
        <x:v>BUS217</x:v>
      </x:c>
      <x:c r="B1165" s="17" t="str">
        <x:v>查询PCB热点当前成分股和关联事件描述。</x:v>
      </x:c>
      <x:c r="C1165" s="17" t="n">
        <x:v>1</x:v>
      </x:c>
      <x:c r="D1165" s="17" t="str">
        <x:v>问题理解</x:v>
      </x:c>
      <x:c r="E1165" s="17" t="str">
        <x:v>4944.25</x:v>
      </x:c>
      <x:c r="F1165" s="17" t="str">
        <x:v>7803.79</x:v>
      </x:c>
      <x:c r="G1165" s="18" t="n">
        <x:v>2859.54</x:v>
      </x:c>
      <x:c r="H1165" s="18" t="n">
        <x:f>IFERROR(G1165/1000,"")</x:f>
        <x:v>2.85954</x:v>
      </x:c>
      <x:c r="I1165" s="19" t="n">
        <x:f>IFERROR(G1165/J1165,"")</x:f>
        <x:v>0.07246700383604719</x:v>
      </x:c>
      <x:c r="J1165" s="17" t="n">
        <x:v>39459.89</x:v>
      </x:c>
      <x:c r="K1165" s="17" t="str"/>
      <x:c r="L1165" s="17" t="str">
        <x:v>已明确本题的对象与口径，开始获取所需证据。</x:v>
      </x:c>
      <x:c r="M1165" s="17" t="str"/>
      <x:c r="N1165" s="18" t="n">
        <x:v>4944.25</x:v>
      </x:c>
      <x:c r="O1165" s="17" t="str">
        <x:v>public_sse_client_estimate</x:v>
      </x:c>
    </x:row>
    <x:row r="1166" ht="48" customHeight="1">
      <x:c r="A1166" s="17" t="str">
        <x:v>BUS217</x:v>
      </x:c>
      <x:c r="B1166" s="17" t="str">
        <x:v>查询PCB热点当前成分股和关联事件描述。</x:v>
      </x:c>
      <x:c r="C1166" s="17" t="n">
        <x:v>2</x:v>
      </x:c>
      <x:c r="D1166" s="17" t="str">
        <x:v>数据口径</x:v>
      </x:c>
      <x:c r="E1166" s="17" t="str">
        <x:v>7803.79</x:v>
      </x:c>
      <x:c r="F1166" s="17" t="str">
        <x:v>7813.6</x:v>
      </x:c>
      <x:c r="G1166" s="18" t="n">
        <x:v>9.81</x:v>
      </x:c>
      <x:c r="H1166" s="18" t="n">
        <x:f>IFERROR(G1166/1000,"")</x:f>
        <x:v>0.009810000000000001</x:v>
      </x:c>
      <x:c r="I1166" s="19" t="n">
        <x:f>IFERROR(G1166/J1166,"")</x:f>
        <x:v>0.0002486068765016831</x:v>
      </x:c>
      <x:c r="J1166" s="17" t="n">
        <x:v>39459.89</x:v>
      </x:c>
      <x:c r="K1166" s="17" t="str"/>
      <x:c r="L1166" s="17" t="str">
        <x:v>已定位热点事件/概念成分股视图，并确认了可用字段与时间口径。</x:v>
      </x:c>
      <x:c r="M1166" s="17" t="str"/>
      <x:c r="N1166" s="18" t="n">
        <x:v>0</x:v>
      </x:c>
      <x:c r="O1166" s="17" t="str">
        <x:v>public_sse_client_estimate</x:v>
      </x:c>
    </x:row>
    <x:row r="1167" ht="48" customHeight="1">
      <x:c r="A1167" s="17" t="str">
        <x:v>BUS217</x:v>
      </x:c>
      <x:c r="B1167" s="17" t="str">
        <x:v>查询PCB热点当前成分股和关联事件描述。</x:v>
      </x:c>
      <x:c r="C1167" s="17" t="n">
        <x:v>3</x:v>
      </x:c>
      <x:c r="D1167" s="17" t="str">
        <x:v>数据口径</x:v>
      </x:c>
      <x:c r="E1167" s="17" t="str">
        <x:v>7813.6</x:v>
      </x:c>
      <x:c r="F1167" s="17" t="str">
        <x:v>8317.71</x:v>
      </x:c>
      <x:c r="G1167" s="18" t="n">
        <x:v>504.11</x:v>
      </x:c>
      <x:c r="H1167" s="18" t="n">
        <x:f>IFERROR(G1167/1000,"")</x:f>
        <x:v>0.5041100000000001</x:v>
      </x:c>
      <x:c r="I1167" s="19" t="n">
        <x:f>IFERROR(G1167/J1167,"")</x:f>
        <x:v>0.012775251020720028</x:v>
      </x:c>
      <x:c r="J1167" s="17" t="n">
        <x:v>39459.89</x:v>
      </x:c>
      <x:c r="K1167" s="17" t="str"/>
      <x:c r="L1167" s="17" t="str">
        <x:v>已定位热点事件/概念基础信息视图，并确认了可用字段与时间口径。</x:v>
      </x:c>
      <x:c r="M1167" s="17" t="str"/>
      <x:c r="N1167" s="18" t="n">
        <x:v>0</x:v>
      </x:c>
      <x:c r="O1167" s="17" t="str">
        <x:v>public_sse_client_estimate</x:v>
      </x:c>
    </x:row>
    <x:row r="1168" ht="48" customHeight="1">
      <x:c r="A1168" s="17" t="str">
        <x:v>BUS217</x:v>
      </x:c>
      <x:c r="B1168" s="17" t="str">
        <x:v>查询PCB热点当前成分股和关联事件描述。</x:v>
      </x:c>
      <x:c r="C1168" s="17" t="n">
        <x:v>4</x:v>
      </x:c>
      <x:c r="D1168" s="17" t="str">
        <x:v>数据口径</x:v>
      </x:c>
      <x:c r="E1168" s="17" t="str">
        <x:v>8317.71</x:v>
      </x:c>
      <x:c r="F1168" s="17" t="str">
        <x:v>8755.88</x:v>
      </x:c>
      <x:c r="G1168" s="18" t="n">
        <x:v>438.17</x:v>
      </x:c>
      <x:c r="H1168" s="18" t="n">
        <x:f>IFERROR(G1168/1000,"")</x:f>
        <x:v>0.43817</x:v>
      </x:c>
      <x:c r="I1168" s="19" t="n">
        <x:f>IFERROR(G1168/J1168,"")</x:f>
        <x:v>0.011104187061849388</x:v>
      </x:c>
      <x:c r="J1168" s="17" t="n">
        <x:v>39459.89</x:v>
      </x:c>
      <x:c r="K1168" s="17" t="str"/>
      <x:c r="L1168" s="17" t="str">
        <x:v>已定位热点事件/概念状态视图，并确认了可用字段与时间口径。</x:v>
      </x:c>
      <x:c r="M1168" s="17" t="str"/>
      <x:c r="N1168" s="18" t="n">
        <x:v>0</x:v>
      </x:c>
      <x:c r="O1168" s="17" t="str">
        <x:v>public_sse_client_estimate</x:v>
      </x:c>
    </x:row>
    <x:row r="1169" ht="48" customHeight="1">
      <x:c r="A1169" s="17" t="str">
        <x:v>BUS217</x:v>
      </x:c>
      <x:c r="B1169" s="17" t="str">
        <x:v>查询PCB热点当前成分股和关联事件描述。</x:v>
      </x:c>
      <x:c r="C1169" s="17" t="n">
        <x:v>5</x:v>
      </x:c>
      <x:c r="D1169" s="17" t="str">
        <x:v>数据查询 1/2</x:v>
      </x:c>
      <x:c r="E1169" s="17" t="str">
        <x:v>13045.77</x:v>
      </x:c>
      <x:c r="F1169" s="17" t="str">
        <x:v>13375.91</x:v>
      </x:c>
      <x:c r="G1169" s="18" t="n">
        <x:v>330.14</x:v>
      </x:c>
      <x:c r="H1169" s="18" t="n">
        <x:f>IFERROR(G1169/1000,"")</x:f>
        <x:v>0.33014</x:v>
      </x:c>
      <x:c r="I1169" s="19" t="n">
        <x:f>IFERROR(G1169/J1169,"")</x:f>
        <x:v>0.008366470357621373</x:v>
      </x:c>
      <x:c r="J1169" s="17" t="n">
        <x:v>39459.89</x:v>
      </x:c>
      <x:c r="K1169" s="17" t="str"/>
      <x:c r="L1169" s="17" t="str">
        <x:v>已完成：查询PCB热点当前的成分股、关联事件描述和是否龙头，取得 100 条记录。</x:v>
      </x:c>
      <x:c r="M1169" s="17" t="str"/>
      <x:c r="N1169" s="18" t="n">
        <x:v>4289.89</x:v>
      </x:c>
      <x:c r="O1169" s="17" t="str">
        <x:v>public_sse_client_estimate</x:v>
      </x:c>
    </x:row>
    <x:row r="1170" ht="48" customHeight="1">
      <x:c r="A1170" s="17" t="str">
        <x:v>BUS217</x:v>
      </x:c>
      <x:c r="B1170" s="17" t="str">
        <x:v>查询PCB热点当前成分股和关联事件描述。</x:v>
      </x:c>
      <x:c r="C1170" s="17" t="n">
        <x:v>6</x:v>
      </x:c>
      <x:c r="D1170" s="17" t="str">
        <x:v>数据查询 2/2</x:v>
      </x:c>
      <x:c r="E1170" s="17" t="str">
        <x:v>13378.8</x:v>
      </x:c>
      <x:c r="F1170" s="17" t="str">
        <x:v>13471.67</x:v>
      </x:c>
      <x:c r="G1170" s="18" t="n">
        <x:v>92.87</x:v>
      </x:c>
      <x:c r="H1170" s="18" t="n">
        <x:f>IFERROR(G1170/1000,"")</x:f>
        <x:v>0.09287000000000001</x:v>
      </x:c>
      <x:c r="I1170" s="19" t="n">
        <x:f>IFERROR(G1170/J1170,"")</x:f>
        <x:v>0.002353529115261092</x:v>
      </x:c>
      <x:c r="J1170" s="17" t="n">
        <x:v>39459.89</x:v>
      </x:c>
      <x:c r="K1170" s="17" t="str"/>
      <x:c r="L1170" s="17" t="str">
        <x:v>已完成：查询PCB热点的核心事件描述和最新事件描述，取得 1 条记录。</x:v>
      </x:c>
      <x:c r="M1170" s="17" t="str"/>
      <x:c r="N1170" s="18" t="n">
        <x:v>2.89</x:v>
      </x:c>
      <x:c r="O1170" s="17" t="str">
        <x:v>public_sse_client_estimate</x:v>
      </x:c>
    </x:row>
    <x:row r="1171" ht="48" customHeight="1">
      <x:c r="A1171" s="17" t="str">
        <x:v>BUS217</x:v>
      </x:c>
      <x:c r="B1171" s="17" t="str">
        <x:v>查询PCB热点当前成分股和关联事件描述。</x:v>
      </x:c>
      <x:c r="C1171" s="17" t="n">
        <x:v>7</x:v>
      </x:c>
      <x:c r="D1171" s="17" t="str">
        <x:v>回答整理</x:v>
      </x:c>
      <x:c r="E1171" s="17" t="str">
        <x:v>13471.67</x:v>
      </x:c>
      <x:c r="F1171" s="17" t="str">
        <x:v>36579.32</x:v>
      </x:c>
      <x:c r="G1171" s="18" t="n">
        <x:v>23107.65</x:v>
      </x:c>
      <x:c r="H1171" s="18" t="n">
        <x:f>IFERROR(G1171/1000,"")</x:f>
        <x:v>23.107650000000003</x:v>
      </x:c>
      <x:c r="I1171" s="19" t="n">
        <x:f>IFERROR(G1171/J1171,"")</x:f>
        <x:v>0.5855984393266175</x:v>
      </x:c>
      <x:c r="J1171" s="17" t="n">
        <x:v>39459.89</x:v>
      </x:c>
      <x:c r="K1171" s="17" t="str"/>
      <x:c r="L1171" s="17" t="str">
        <x:v>证据与回答已整理完成。</x:v>
      </x:c>
      <x:c r="M1171" s="17" t="str"/>
      <x:c r="N1171" s="18" t="n">
        <x:v>0</x:v>
      </x:c>
      <x:c r="O1171" s="17" t="str">
        <x:v>public_sse_client_estimate</x:v>
      </x:c>
    </x:row>
    <x:row r="1172" ht="48" customHeight="1">
      <x:c r="A1172" s="17" t="str">
        <x:v>BUS218</x:v>
      </x:c>
      <x:c r="B1172" s="17" t="str">
        <x:v>查询机器人热点中的龙头公司。</x:v>
      </x:c>
      <x:c r="C1172" s="17" t="n">
        <x:v>1</x:v>
      </x:c>
      <x:c r="D1172" s="17" t="str">
        <x:v>问题理解</x:v>
      </x:c>
      <x:c r="E1172" s="17" t="str">
        <x:v>5386.28</x:v>
      </x:c>
      <x:c r="F1172" s="17" t="str">
        <x:v>8034.44</x:v>
      </x:c>
      <x:c r="G1172" s="18" t="n">
        <x:v>2648.16</x:v>
      </x:c>
      <x:c r="H1172" s="18" t="n">
        <x:f>IFERROR(G1172/1000,"")</x:f>
        <x:v>2.64816</x:v>
      </x:c>
      <x:c r="I1172" s="19" t="n">
        <x:f>IFERROR(G1172/J1172,"")</x:f>
        <x:v>0.053824237085504226</x:v>
      </x:c>
      <x:c r="J1172" s="17" t="n">
        <x:v>49200.14</x:v>
      </x:c>
      <x:c r="K1172" s="17" t="str"/>
      <x:c r="L1172" s="17" t="str">
        <x:v>已明确本题的对象与口径，开始获取所需证据。</x:v>
      </x:c>
      <x:c r="M1172" s="17" t="str"/>
      <x:c r="N1172" s="18" t="n">
        <x:v>5386.28</x:v>
      </x:c>
      <x:c r="O1172" s="17" t="str">
        <x:v>public_sse_client_estimate</x:v>
      </x:c>
    </x:row>
    <x:row r="1173" ht="48" customHeight="1">
      <x:c r="A1173" s="17" t="str">
        <x:v>BUS218</x:v>
      </x:c>
      <x:c r="B1173" s="17" t="str">
        <x:v>查询机器人热点中的龙头公司。</x:v>
      </x:c>
      <x:c r="C1173" s="17" t="n">
        <x:v>2</x:v>
      </x:c>
      <x:c r="D1173" s="17" t="str">
        <x:v>数据口径</x:v>
      </x:c>
      <x:c r="E1173" s="17" t="str">
        <x:v>8034.44</x:v>
      </x:c>
      <x:c r="F1173" s="17" t="str">
        <x:v>8050.04</x:v>
      </x:c>
      <x:c r="G1173" s="18" t="n">
        <x:v>15.6</x:v>
      </x:c>
      <x:c r="H1173" s="18" t="n">
        <x:f>IFERROR(G1173/1000,"")</x:f>
        <x:v>0.0156</x:v>
      </x:c>
      <x:c r="I1173" s="19" t="n">
        <x:f>IFERROR(G1173/J1173,"")</x:f>
        <x:v>0.00031707226849354495</x:v>
      </x:c>
      <x:c r="J1173" s="17" t="n">
        <x:v>49200.14</x:v>
      </x:c>
      <x:c r="K1173" s="17" t="str"/>
      <x:c r="L1173" s="17" t="str">
        <x:v>暂时无法确认本题所需的数据口径。</x:v>
      </x:c>
      <x:c r="M1173" s="17" t="str"/>
      <x:c r="N1173" s="18" t="n">
        <x:v>0</x:v>
      </x:c>
      <x:c r="O1173" s="17" t="str">
        <x:v>public_sse_client_estimate</x:v>
      </x:c>
    </x:row>
    <x:row r="1174" ht="48" customHeight="1">
      <x:c r="A1174" s="17" t="str">
        <x:v>BUS218</x:v>
      </x:c>
      <x:c r="B1174" s="17" t="str">
        <x:v>查询机器人热点中的龙头公司。</x:v>
      </x:c>
      <x:c r="C1174" s="17" t="n">
        <x:v>3</x:v>
      </x:c>
      <x:c r="D1174" s="17" t="str">
        <x:v>数据口径</x:v>
      </x:c>
      <x:c r="E1174" s="17" t="str">
        <x:v>8050.04</x:v>
      </x:c>
      <x:c r="F1174" s="17" t="str">
        <x:v>10072.29</x:v>
      </x:c>
      <x:c r="G1174" s="18" t="n">
        <x:v>2022.25</x:v>
      </x:c>
      <x:c r="H1174" s="18" t="n">
        <x:f>IFERROR(G1174/1000,"")</x:f>
        <x:v>2.02225</x:v>
      </x:c>
      <x:c r="I1174" s="19" t="n">
        <x:f>IFERROR(G1174/J1174,"")</x:f>
        <x:v>0.04110252531801739</x:v>
      </x:c>
      <x:c r="J1174" s="17" t="n">
        <x:v>49200.14</x:v>
      </x:c>
      <x:c r="K1174" s="17" t="str"/>
      <x:c r="L1174" s="17" t="str">
        <x:v>已定位热点事件/概念基础信息视图，并确认了可用字段与时间口径。</x:v>
      </x:c>
      <x:c r="M1174" s="17" t="str"/>
      <x:c r="N1174" s="18" t="n">
        <x:v>0</x:v>
      </x:c>
      <x:c r="O1174" s="17" t="str">
        <x:v>public_sse_client_estimate</x:v>
      </x:c>
    </x:row>
    <x:row r="1175" ht="48" customHeight="1">
      <x:c r="A1175" s="17" t="str">
        <x:v>BUS218</x:v>
      </x:c>
      <x:c r="B1175" s="17" t="str">
        <x:v>查询机器人热点中的龙头公司。</x:v>
      </x:c>
      <x:c r="C1175" s="17" t="n">
        <x:v>4</x:v>
      </x:c>
      <x:c r="D1175" s="17" t="str">
        <x:v>数据口径</x:v>
      </x:c>
      <x:c r="E1175" s="17" t="str">
        <x:v>10072.29</x:v>
      </x:c>
      <x:c r="F1175" s="17" t="str">
        <x:v>10573.25</x:v>
      </x:c>
      <x:c r="G1175" s="18" t="n">
        <x:v>500.96</x:v>
      </x:c>
      <x:c r="H1175" s="18" t="n">
        <x:f>IFERROR(G1175/1000,"")</x:f>
        <x:v>0.50096</x:v>
      </x:c>
      <x:c r="I1175" s="19" t="n">
        <x:f>IFERROR(G1175/J1175,"")</x:f>
        <x:v>0.010182084847726043</x:v>
      </x:c>
      <x:c r="J1175" s="17" t="n">
        <x:v>49200.14</x:v>
      </x:c>
      <x:c r="K1175" s="17" t="str"/>
      <x:c r="L1175" s="17" t="str">
        <x:v>已定位热点事件/概念状态视图，并确认了可用字段与时间口径。</x:v>
      </x:c>
      <x:c r="M1175" s="17" t="str"/>
      <x:c r="N1175" s="18" t="n">
        <x:v>0</x:v>
      </x:c>
      <x:c r="O1175" s="17" t="str">
        <x:v>public_sse_client_estimate</x:v>
      </x:c>
    </x:row>
    <x:row r="1176" ht="48" customHeight="1">
      <x:c r="A1176" s="17" t="str">
        <x:v>BUS218</x:v>
      </x:c>
      <x:c r="B1176" s="17" t="str">
        <x:v>查询机器人热点中的龙头公司。</x:v>
      </x:c>
      <x:c r="C1176" s="17" t="n">
        <x:v>5</x:v>
      </x:c>
      <x:c r="D1176" s="17" t="str">
        <x:v>数据口径</x:v>
      </x:c>
      <x:c r="E1176" s="17" t="str">
        <x:v>10573.25</x:v>
      </x:c>
      <x:c r="F1176" s="17" t="str">
        <x:v>13307.94</x:v>
      </x:c>
      <x:c r="G1176" s="18" t="n">
        <x:v>2734.69</x:v>
      </x:c>
      <x:c r="H1176" s="18" t="n">
        <x:f>IFERROR(G1176/1000,"")</x:f>
        <x:v>2.73469</x:v>
      </x:c>
      <x:c r="I1176" s="19" t="n">
        <x:f>IFERROR(G1176/J1176,"")</x:f>
        <x:v>0.055582971918372595</x:v>
      </x:c>
      <x:c r="J1176" s="17" t="n">
        <x:v>49200.14</x:v>
      </x:c>
      <x:c r="K1176" s="17" t="str"/>
      <x:c r="L1176" s="17" t="str">
        <x:v>已定位热点事件/概念成分股视图，并确认了可用字段与时间口径。</x:v>
      </x:c>
      <x:c r="M1176" s="17" t="str"/>
      <x:c r="N1176" s="18" t="n">
        <x:v>0</x:v>
      </x:c>
      <x:c r="O1176" s="17" t="str">
        <x:v>public_sse_client_estimate</x:v>
      </x:c>
    </x:row>
    <x:row r="1177" ht="48" customHeight="1">
      <x:c r="A1177" s="17" t="str">
        <x:v>BUS218</x:v>
      </x:c>
      <x:c r="B1177" s="17" t="str">
        <x:v>查询机器人热点中的龙头公司。</x:v>
      </x:c>
      <x:c r="C1177" s="17" t="n">
        <x:v>6</x:v>
      </x:c>
      <x:c r="D1177" s="17" t="str">
        <x:v>数据查询 1/2</x:v>
      </x:c>
      <x:c r="E1177" s="17" t="str">
        <x:v>17722.41</x:v>
      </x:c>
      <x:c r="F1177" s="17" t="str">
        <x:v>22431.55</x:v>
      </x:c>
      <x:c r="G1177" s="18" t="n">
        <x:v>4709.14</x:v>
      </x:c>
      <x:c r="H1177" s="18" t="n">
        <x:f>IFERROR(G1177/1000,"")</x:f>
        <x:v>4.7091400000000005</x:v>
      </x:c>
      <x:c r="I1177" s="19" t="n">
        <x:f>IFERROR(G1177/J1177,"")</x:f>
        <x:v>0.0957139552854931</x:v>
      </x:c>
      <x:c r="J1177" s="17" t="n">
        <x:v>49200.14</x:v>
      </x:c>
      <x:c r="K1177" s="17" t="str"/>
      <x:c r="L1177" s="17" t="str">
        <x:v>已完成：查询机器人热点事件的基础信息，获取event_id，取得 10 条记录。</x:v>
      </x:c>
      <x:c r="M1177" s="17" t="str"/>
      <x:c r="N1177" s="18" t="n">
        <x:v>4414.47</x:v>
      </x:c>
      <x:c r="O1177" s="17" t="str">
        <x:v>public_sse_client_estimate</x:v>
      </x:c>
    </x:row>
    <x:row r="1178" ht="48" customHeight="1">
      <x:c r="A1178" s="17" t="str">
        <x:v>BUS218</x:v>
      </x:c>
      <x:c r="B1178" s="17" t="str">
        <x:v>查询机器人热点中的龙头公司。</x:v>
      </x:c>
      <x:c r="C1178" s="17" t="n">
        <x:v>7</x:v>
      </x:c>
      <x:c r="D1178" s="17" t="str">
        <x:v>数据查询 2/2</x:v>
      </x:c>
      <x:c r="E1178" s="17" t="str">
        <x:v>22433.99</x:v>
      </x:c>
      <x:c r="F1178" s="17" t="str">
        <x:v>22436.57</x:v>
      </x:c>
      <x:c r="G1178" s="18" t="n">
        <x:v>2.58</x:v>
      </x:c>
      <x:c r="H1178" s="18" t="n">
        <x:f>IFERROR(G1178/1000,"")</x:f>
        <x:v>0.0025800000000000003</x:v>
      </x:c>
      <x:c r="I1178" s="19" t="n">
        <x:f>IFERROR(G1178/J1178,"")</x:f>
        <x:v>0.00005243887517393243</x:v>
      </x:c>
      <x:c r="J1178" s="17" t="n">
        <x:v>49200.14</x:v>
      </x:c>
      <x:c r="K1178" s="17" t="str"/>
      <x:c r="L1178" s="17" t="str">
        <x:v>已完成：查询机器人热点中的龙头公司成分股，当前条件下没有匹配记录。</x:v>
      </x:c>
      <x:c r="M1178" s="17" t="str"/>
      <x:c r="N1178" s="18" t="n">
        <x:v>2.44</x:v>
      </x:c>
      <x:c r="O1178" s="17" t="str">
        <x:v>public_sse_client_estimate</x:v>
      </x:c>
    </x:row>
    <x:row r="1179" ht="48" customHeight="1">
      <x:c r="A1179" s="17" t="str">
        <x:v>BUS218</x:v>
      </x:c>
      <x:c r="B1179" s="17" t="str">
        <x:v>查询机器人热点中的龙头公司。</x:v>
      </x:c>
      <x:c r="C1179" s="17" t="n">
        <x:v>8</x:v>
      </x:c>
      <x:c r="D1179" s="17" t="str">
        <x:v>数据查询 1/2</x:v>
      </x:c>
      <x:c r="E1179" s="17" t="str">
        <x:v>26937.38</x:v>
      </x:c>
      <x:c r="F1179" s="17" t="str">
        <x:v>27068.67</x:v>
      </x:c>
      <x:c r="G1179" s="18" t="n">
        <x:v>131.29</x:v>
      </x:c>
      <x:c r="H1179" s="18" t="n">
        <x:f>IFERROR(G1179/1000,"")</x:f>
        <x:v>0.13129</x:v>
      </x:c>
      <x:c r="I1179" s="19" t="n">
        <x:f>IFERROR(G1179/J1179,"")</x:f>
        <x:v>0.0026684883416998404</x:v>
      </x:c>
      <x:c r="J1179" s="17" t="n">
        <x:v>49200.14</x:v>
      </x:c>
      <x:c r="K1179" s="17" t="str"/>
      <x:c r="L1179" s="17" t="str">
        <x:v>已完成：查询'机器人'热点的所有成分股及是否龙头标记，取得 30 条记录。</x:v>
      </x:c>
      <x:c r="M1179" s="17" t="str"/>
      <x:c r="N1179" s="18" t="n">
        <x:v>4500.81</x:v>
      </x:c>
      <x:c r="O1179" s="17" t="str">
        <x:v>public_sse_client_estimate</x:v>
      </x:c>
    </x:row>
    <x:row r="1180" ht="48" customHeight="1">
      <x:c r="A1180" s="17" t="str">
        <x:v>BUS218</x:v>
      </x:c>
      <x:c r="B1180" s="17" t="str">
        <x:v>查询机器人热点中的龙头公司。</x:v>
      </x:c>
      <x:c r="C1180" s="17" t="n">
        <x:v>9</x:v>
      </x:c>
      <x:c r="D1180" s="17" t="str">
        <x:v>数据查询 2/2</x:v>
      </x:c>
      <x:c r="E1180" s="17" t="str">
        <x:v>27071.35</x:v>
      </x:c>
      <x:c r="F1180" s="17" t="str">
        <x:v>27211.5</x:v>
      </x:c>
      <x:c r="G1180" s="18" t="n">
        <x:v>140.15</x:v>
      </x:c>
      <x:c r="H1180" s="18" t="n">
        <x:f>IFERROR(G1180/1000,"")</x:f>
        <x:v>0.14015</x:v>
      </x:c>
      <x:c r="I1180" s="19" t="n">
        <x:f>IFERROR(G1180/J1180,"")</x:f>
        <x:v>0.0028485691300878416</x:v>
      </x:c>
      <x:c r="J1180" s="17" t="n">
        <x:v>49200.14</x:v>
      </x:c>
      <x:c r="K1180" s="17" t="str"/>
      <x:c r="L1180" s="17" t="str">
        <x:v>已完成：查询'人形机器人'热点的所有成分股及是否龙头标记，取得 30 条记录。</x:v>
      </x:c>
      <x:c r="M1180" s="17" t="str"/>
      <x:c r="N1180" s="18" t="n">
        <x:v>2.68</x:v>
      </x:c>
      <x:c r="O1180" s="17" t="str">
        <x:v>public_sse_client_estimate</x:v>
      </x:c>
    </x:row>
    <x:row r="1181" ht="48" customHeight="1">
      <x:c r="A1181" s="17" t="str">
        <x:v>BUS218</x:v>
      </x:c>
      <x:c r="B1181" s="17" t="str">
        <x:v>查询机器人热点中的龙头公司。</x:v>
      </x:c>
      <x:c r="C1181" s="17" t="n">
        <x:v>10</x:v>
      </x:c>
      <x:c r="D1181" s="17" t="str">
        <x:v>数据查询 1/1</x:v>
      </x:c>
      <x:c r="E1181" s="17" t="str">
        <x:v>35171.24</x:v>
      </x:c>
      <x:c r="F1181" s="17" t="str">
        <x:v>35332.38</x:v>
      </x:c>
      <x:c r="G1181" s="18" t="n">
        <x:v>161.14</x:v>
      </x:c>
      <x:c r="H1181" s="18" t="n">
        <x:f>IFERROR(G1181/1000,"")</x:f>
        <x:v>0.16113999999999998</x:v>
      </x:c>
      <x:c r="I1181" s="19" t="n">
        <x:f>IFERROR(G1181/J1181,"")</x:f>
        <x:v>0.003275193932374989</x:v>
      </x:c>
      <x:c r="J1181" s="17" t="n">
        <x:v>49200.14</x:v>
      </x:c>
      <x:c r="K1181" s="17" t="str"/>
      <x:c r="L1181" s="17" t="str">
        <x:v>已完成：查询人形机器人核心部件热点的成分股，取得 10 条记录。</x:v>
      </x:c>
      <x:c r="M1181" s="17" t="str"/>
      <x:c r="N1181" s="18" t="n">
        <x:v>7959.74</x:v>
      </x:c>
      <x:c r="O1181" s="17" t="str">
        <x:v>public_sse_client_estimate</x:v>
      </x:c>
    </x:row>
    <x:row r="1182" ht="48" customHeight="1">
      <x:c r="A1182" s="17" t="str">
        <x:v>BUS218</x:v>
      </x:c>
      <x:c r="B1182" s="17" t="str">
        <x:v>查询机器人热点中的龙头公司。</x:v>
      </x:c>
      <x:c r="C1182" s="17" t="n">
        <x:v>11</x:v>
      </x:c>
      <x:c r="D1182" s="17" t="str">
        <x:v>回答整理</x:v>
      </x:c>
      <x:c r="E1182" s="17" t="str">
        <x:v>35332.38</x:v>
      </x:c>
      <x:c r="F1182" s="17" t="str">
        <x:v>44851.81</x:v>
      </x:c>
      <x:c r="G1182" s="18" t="n">
        <x:v>9519.43</x:v>
      </x:c>
      <x:c r="H1182" s="18" t="n">
        <x:f>IFERROR(G1182/1000,"")</x:f>
        <x:v>9.51943</x:v>
      </x:c>
      <x:c r="I1182" s="19" t="n">
        <x:f>IFERROR(G1182/J1182,"")</x:f>
        <x:v>0.19348379902984017</x:v>
      </x:c>
      <x:c r="J1182" s="17" t="n">
        <x:v>49200.14</x:v>
      </x:c>
      <x:c r="K1182" s="17" t="str"/>
      <x:c r="L1182" s="17" t="str">
        <x:v>证据与回答已整理完成。</x:v>
      </x:c>
      <x:c r="M1182" s="17" t="str"/>
      <x:c r="N1182" s="18" t="n">
        <x:v>0</x:v>
      </x:c>
      <x:c r="O1182" s="17" t="str">
        <x:v>public_sse_client_estimate</x:v>
      </x:c>
    </x:row>
    <x:row r="1183" ht="48" customHeight="1">
      <x:c r="A1183" s="17" t="str">
        <x:v>BUS219</x:v>
      </x:c>
      <x:c r="B1183" s="17" t="str">
        <x:v>筛选今天某热点事件下关系类型为核心受益的公司。</x:v>
      </x:c>
      <x:c r="C1183" s="17" t="n">
        <x:v>1</x:v>
      </x:c>
      <x:c r="D1183" s="17" t="str">
        <x:v>问题理解</x:v>
      </x:c>
      <x:c r="E1183" s="17" t="str">
        <x:v>4946.36</x:v>
      </x:c>
      <x:c r="F1183" s="17" t="str">
        <x:v>8984.9</x:v>
      </x:c>
      <x:c r="G1183" s="18" t="n">
        <x:v>4038.54</x:v>
      </x:c>
      <x:c r="H1183" s="18" t="n">
        <x:f>IFERROR(G1183/1000,"")</x:f>
        <x:v>4.03854</x:v>
      </x:c>
      <x:c r="I1183" s="19" t="n">
        <x:f>IFERROR(G1183/J1183,"")</x:f>
        <x:v>0.11635419265654866</x:v>
      </x:c>
      <x:c r="J1183" s="17" t="n">
        <x:v>34709.02</x:v>
      </x:c>
      <x:c r="K1183" s="17" t="str"/>
      <x:c r="L1183" s="17" t="str">
        <x:v>已明确本题的对象与口径，开始获取所需证据。</x:v>
      </x:c>
      <x:c r="M1183" s="17" t="str"/>
      <x:c r="N1183" s="18" t="n">
        <x:v>4946.36</x:v>
      </x:c>
      <x:c r="O1183" s="17" t="str">
        <x:v>public_sse_client_estimate</x:v>
      </x:c>
    </x:row>
    <x:row r="1184" ht="48" customHeight="1">
      <x:c r="A1184" s="17" t="str">
        <x:v>BUS219</x:v>
      </x:c>
      <x:c r="B1184" s="17" t="str">
        <x:v>筛选今天某热点事件下关系类型为核心受益的公司。</x:v>
      </x:c>
      <x:c r="C1184" s="17" t="n">
        <x:v>2</x:v>
      </x:c>
      <x:c r="D1184" s="17" t="str">
        <x:v>数据口径</x:v>
      </x:c>
      <x:c r="E1184" s="17" t="str">
        <x:v>8984.9</x:v>
      </x:c>
      <x:c r="F1184" s="17" t="str">
        <x:v>9001.26</x:v>
      </x:c>
      <x:c r="G1184" s="18" t="n">
        <x:v>16.36</x:v>
      </x:c>
      <x:c r="H1184" s="18" t="n">
        <x:f>IFERROR(G1184/1000,"")</x:f>
        <x:v>0.01636</x:v>
      </x:c>
      <x:c r="I1184" s="19" t="n">
        <x:f>IFERROR(G1184/J1184,"")</x:f>
        <x:v>0.000471347217524436</x:v>
      </x:c>
      <x:c r="J1184" s="17" t="n">
        <x:v>34709.02</x:v>
      </x:c>
      <x:c r="K1184" s="17" t="str"/>
      <x:c r="L1184" s="17" t="str">
        <x:v>已定位热点事件/概念成分股视图，并确认了可用字段与时间口径。</x:v>
      </x:c>
      <x:c r="M1184" s="17" t="str"/>
      <x:c r="N1184" s="18" t="n">
        <x:v>0</x:v>
      </x:c>
      <x:c r="O1184" s="17" t="str">
        <x:v>public_sse_client_estimate</x:v>
      </x:c>
    </x:row>
    <x:row r="1185" ht="48" customHeight="1">
      <x:c r="A1185" s="17" t="str">
        <x:v>BUS219</x:v>
      </x:c>
      <x:c r="B1185" s="17" t="str">
        <x:v>筛选今天某热点事件下关系类型为核心受益的公司。</x:v>
      </x:c>
      <x:c r="C1185" s="17" t="n">
        <x:v>3</x:v>
      </x:c>
      <x:c r="D1185" s="17" t="str">
        <x:v>数据口径</x:v>
      </x:c>
      <x:c r="E1185" s="17" t="str">
        <x:v>9001.26</x:v>
      </x:c>
      <x:c r="F1185" s="17" t="str">
        <x:v>9470.1</x:v>
      </x:c>
      <x:c r="G1185" s="18" t="n">
        <x:v>468.84</x:v>
      </x:c>
      <x:c r="H1185" s="18" t="n">
        <x:f>IFERROR(G1185/1000,"")</x:f>
        <x:v>0.46884</x:v>
      </x:c>
      <x:c r="I1185" s="19" t="n">
        <x:f>IFERROR(G1185/J1185,"")</x:f>
        <x:v>0.01350772796235676</x:v>
      </x:c>
      <x:c r="J1185" s="17" t="n">
        <x:v>34709.02</x:v>
      </x:c>
      <x:c r="K1185" s="17" t="str"/>
      <x:c r="L1185" s="17" t="str">
        <x:v>已定位热点事件/概念状态视图，并确认了可用字段与时间口径。</x:v>
      </x:c>
      <x:c r="M1185" s="17" t="str"/>
      <x:c r="N1185" s="18" t="n">
        <x:v>0</x:v>
      </x:c>
      <x:c r="O1185" s="17" t="str">
        <x:v>public_sse_client_estimate</x:v>
      </x:c>
    </x:row>
    <x:row r="1186" ht="48" customHeight="1">
      <x:c r="A1186" s="17" t="str">
        <x:v>BUS219</x:v>
      </x:c>
      <x:c r="B1186" s="17" t="str">
        <x:v>筛选今天某热点事件下关系类型为核心受益的公司。</x:v>
      </x:c>
      <x:c r="C1186" s="17" t="n">
        <x:v>4</x:v>
      </x:c>
      <x:c r="D1186" s="17" t="str">
        <x:v>数据口径</x:v>
      </x:c>
      <x:c r="E1186" s="17" t="str">
        <x:v>9470.1</x:v>
      </x:c>
      <x:c r="F1186" s="17" t="str">
        <x:v>9880.84</x:v>
      </x:c>
      <x:c r="G1186" s="18" t="n">
        <x:v>410.74</x:v>
      </x:c>
      <x:c r="H1186" s="18" t="n">
        <x:f>IFERROR(G1186/1000,"")</x:f>
        <x:v>0.41074</x:v>
      </x:c>
      <x:c r="I1186" s="19" t="n">
        <x:f>IFERROR(G1186/J1186,"")</x:f>
        <x:v>0.011833811499143452</x:v>
      </x:c>
      <x:c r="J1186" s="17" t="n">
        <x:v>34709.02</x:v>
      </x:c>
      <x:c r="K1186" s="17" t="str"/>
      <x:c r="L1186" s="17" t="str">
        <x:v>已定位热点事件/概念基础信息视图，并确认了可用字段与时间口径。</x:v>
      </x:c>
      <x:c r="M1186" s="17" t="str"/>
      <x:c r="N1186" s="18" t="n">
        <x:v>0</x:v>
      </x:c>
      <x:c r="O1186" s="17" t="str">
        <x:v>public_sse_client_estimate</x:v>
      </x:c>
    </x:row>
    <x:row r="1187" ht="48" customHeight="1">
      <x:c r="A1187" s="17" t="str">
        <x:v>BUS219</x:v>
      </x:c>
      <x:c r="B1187" s="17" t="str">
        <x:v>筛选今天某热点事件下关系类型为核心受益的公司。</x:v>
      </x:c>
      <x:c r="C1187" s="17" t="n">
        <x:v>5</x:v>
      </x:c>
      <x:c r="D1187" s="17" t="str">
        <x:v>数据查询 1/2</x:v>
      </x:c>
      <x:c r="E1187" s="17" t="str">
        <x:v>18023.68</x:v>
      </x:c>
      <x:c r="F1187" s="17" t="str">
        <x:v>18148.24</x:v>
      </x:c>
      <x:c r="G1187" s="18" t="n">
        <x:v>124.56</x:v>
      </x:c>
      <x:c r="H1187" s="18" t="n">
        <x:f>IFERROR(G1187/1000,"")</x:f>
        <x:v>0.12456</x:v>
      </x:c>
      <x:c r="I1187" s="19" t="n">
        <x:f>IFERROR(G1187/J1187,"")</x:f>
        <x:v>0.0035886925070197895</x:v>
      </x:c>
      <x:c r="J1187" s="17" t="n">
        <x:v>34709.02</x:v>
      </x:c>
      <x:c r="K1187" s="17" t="str"/>
      <x:c r="L1187" s="17" t="str">
        <x:v>已完成：查询今天（2026-08-02）活跃的热点事件及其状态，当前条件下没有匹配记录。</x:v>
      </x:c>
      <x:c r="M1187" s="17" t="str"/>
      <x:c r="N1187" s="18" t="n">
        <x:v>8142.84</x:v>
      </x:c>
      <x:c r="O1187" s="17" t="str">
        <x:v>public_sse_client_estimate</x:v>
      </x:c>
    </x:row>
    <x:row r="1188" ht="48" customHeight="1">
      <x:c r="A1188" s="17" t="str">
        <x:v>BUS219</x:v>
      </x:c>
      <x:c r="B1188" s="17" t="str">
        <x:v>筛选今天某热点事件下关系类型为核心受益的公司。</x:v>
      </x:c>
      <x:c r="C1188" s="17" t="n">
        <x:v>6</x:v>
      </x:c>
      <x:c r="D1188" s="17" t="str">
        <x:v>数据查询 2/2</x:v>
      </x:c>
      <x:c r="E1188" s="17" t="str">
        <x:v>18151.34</x:v>
      </x:c>
      <x:c r="F1188" s="17" t="str">
        <x:v>18257.26</x:v>
      </x:c>
      <x:c r="G1188" s="18" t="n">
        <x:v>105.92</x:v>
      </x:c>
      <x:c r="H1188" s="18" t="n">
        <x:f>IFERROR(G1188/1000,"")</x:f>
        <x:v>0.10592</x:v>
      </x:c>
      <x:c r="I1188" s="19" t="n">
        <x:f>IFERROR(G1188/J1188,"")</x:f>
        <x:v>0.003051656312969943</x:v>
      </x:c>
      <x:c r="J1188" s="17" t="n">
        <x:v>34709.02</x:v>
      </x:c>
      <x:c r="K1188" s="17" t="str"/>
      <x:c r="L1188" s="17" t="str">
        <x:v>已完成：查询今天活跃热点事件的基础信息，包括核心事件描述，取得 20 条记录。</x:v>
      </x:c>
      <x:c r="M1188" s="17" t="str"/>
      <x:c r="N1188" s="18" t="n">
        <x:v>3.1</x:v>
      </x:c>
      <x:c r="O1188" s="17" t="str">
        <x:v>public_sse_client_estimate</x:v>
      </x:c>
    </x:row>
    <x:row r="1189" ht="48" customHeight="1">
      <x:c r="A1189" s="17" t="str">
        <x:v>BUS219</x:v>
      </x:c>
      <x:c r="B1189" s="17" t="str">
        <x:v>筛选今天某热点事件下关系类型为核心受益的公司。</x:v>
      </x:c>
      <x:c r="C1189" s="17" t="n">
        <x:v>7</x:v>
      </x:c>
      <x:c r="D1189" s="17" t="str">
        <x:v>回答整理</x:v>
      </x:c>
      <x:c r="E1189" s="17" t="str">
        <x:v>18257.26</x:v>
      </x:c>
      <x:c r="F1189" s="17" t="str">
        <x:v>26704.88</x:v>
      </x:c>
      <x:c r="G1189" s="18" t="n">
        <x:v>8447.62</x:v>
      </x:c>
      <x:c r="H1189" s="18" t="n">
        <x:f>IFERROR(G1189/1000,"")</x:f>
        <x:v>8.44762</x:v>
      </x:c>
      <x:c r="I1189" s="19" t="n">
        <x:f>IFERROR(G1189/J1189,"")</x:f>
        <x:v>0.24338399643666117</x:v>
      </x:c>
      <x:c r="J1189" s="17" t="n">
        <x:v>34709.02</x:v>
      </x:c>
      <x:c r="K1189" s="17" t="str"/>
      <x:c r="L1189" s="17" t="str">
        <x:v>证据与回答已整理完成。</x:v>
      </x:c>
      <x:c r="M1189" s="17" t="str"/>
      <x:c r="N1189" s="18" t="n">
        <x:v>0</x:v>
      </x:c>
      <x:c r="O1189" s="17" t="str">
        <x:v>public_sse_client_estimate</x:v>
      </x:c>
    </x:row>
    <x:row r="1190" ht="48" customHeight="1">
      <x:c r="A1190" s="17" t="str">
        <x:v>BUS220</x:v>
      </x:c>
      <x:c r="B1190" s="17" t="str">
        <x:v>查询宁德时代参与的热点事件和公司事件描述。</x:v>
      </x:c>
      <x:c r="C1190" s="17" t="n">
        <x:v>1</x:v>
      </x:c>
      <x:c r="D1190" s="17" t="str">
        <x:v>问题理解</x:v>
      </x:c>
      <x:c r="E1190" s="17" t="str">
        <x:v>5238.31</x:v>
      </x:c>
      <x:c r="F1190" s="17" t="str">
        <x:v>14635.67</x:v>
      </x:c>
      <x:c r="G1190" s="18" t="n">
        <x:v>9397.36</x:v>
      </x:c>
      <x:c r="H1190" s="18" t="n">
        <x:f>IFERROR(G1190/1000,"")</x:f>
        <x:v>9.39736</x:v>
      </x:c>
      <x:c r="I1190" s="19" t="n">
        <x:f>IFERROR(G1190/J1190,"")</x:f>
        <x:v>0.3944903599770292</x:v>
      </x:c>
      <x:c r="J1190" s="17" t="n">
        <x:v>23821.52</x:v>
      </x:c>
      <x:c r="K1190" s="17" t="str"/>
      <x:c r="L1190" s="17" t="str">
        <x:v>已明确本题的对象与口径，开始获取所需证据。</x:v>
      </x:c>
      <x:c r="M1190" s="17" t="str"/>
      <x:c r="N1190" s="18" t="n">
        <x:v>5238.31</x:v>
      </x:c>
      <x:c r="O1190" s="17" t="str">
        <x:v>public_sse_client_estimate</x:v>
      </x:c>
    </x:row>
    <x:row r="1191" ht="48" customHeight="1">
      <x:c r="A1191" s="17" t="str">
        <x:v>BUS220</x:v>
      </x:c>
      <x:c r="B1191" s="17" t="str">
        <x:v>查询宁德时代参与的热点事件和公司事件描述。</x:v>
      </x:c>
      <x:c r="C1191" s="17" t="n">
        <x:v>2</x:v>
      </x:c>
      <x:c r="D1191" s="17" t="str">
        <x:v>数据口径</x:v>
      </x:c>
      <x:c r="E1191" s="17" t="str">
        <x:v>14635.67</x:v>
      </x:c>
      <x:c r="F1191" s="17" t="str">
        <x:v>14676.14</x:v>
      </x:c>
      <x:c r="G1191" s="18" t="n">
        <x:v>40.47</x:v>
      </x:c>
      <x:c r="H1191" s="18" t="n">
        <x:f>IFERROR(G1191/1000,"")</x:f>
        <x:v>0.04047</x:v>
      </x:c>
      <x:c r="I1191" s="19" t="n">
        <x:f>IFERROR(G1191/J1191,"")</x:f>
        <x:v>0.0016988840342681744</x:v>
      </x:c>
      <x:c r="J1191" s="17" t="n">
        <x:v>23821.52</x:v>
      </x:c>
      <x:c r="K1191" s="17" t="str"/>
      <x:c r="L1191" s="17" t="str">
        <x:v>已定位热点事件/概念成分股视图，并确认了可用字段与时间口径。</x:v>
      </x:c>
      <x:c r="M1191" s="17" t="str"/>
      <x:c r="N1191" s="18" t="n">
        <x:v>0</x:v>
      </x:c>
      <x:c r="O1191" s="17" t="str">
        <x:v>public_sse_client_estimate</x:v>
      </x:c>
    </x:row>
    <x:row r="1192" ht="48" customHeight="1">
      <x:c r="A1192" s="17" t="str">
        <x:v>BUS220</x:v>
      </x:c>
      <x:c r="B1192" s="17" t="str">
        <x:v>查询宁德时代参与的热点事件和公司事件描述。</x:v>
      </x:c>
      <x:c r="C1192" s="17" t="n">
        <x:v>3</x:v>
      </x:c>
      <x:c r="D1192" s="17" t="str">
        <x:v>数据口径</x:v>
      </x:c>
      <x:c r="E1192" s="17" t="str">
        <x:v>14676.14</x:v>
      </x:c>
      <x:c r="F1192" s="17" t="str">
        <x:v>15209.85</x:v>
      </x:c>
      <x:c r="G1192" s="18" t="n">
        <x:v>533.71</x:v>
      </x:c>
      <x:c r="H1192" s="18" t="n">
        <x:f>IFERROR(G1192/1000,"")</x:f>
        <x:v>0.53371</x:v>
      </x:c>
      <x:c r="I1192" s="19" t="n">
        <x:f>IFERROR(G1192/J1192,"")</x:f>
        <x:v>0.022404531700747896</x:v>
      </x:c>
      <x:c r="J1192" s="17" t="n">
        <x:v>23821.52</x:v>
      </x:c>
      <x:c r="K1192" s="17" t="str"/>
      <x:c r="L1192" s="17" t="str">
        <x:v>已定位热点事件/概念状态视图，并确认了可用字段与时间口径。</x:v>
      </x:c>
      <x:c r="M1192" s="17" t="str"/>
      <x:c r="N1192" s="18" t="n">
        <x:v>0</x:v>
      </x:c>
      <x:c r="O1192" s="17" t="str">
        <x:v>public_sse_client_estimate</x:v>
      </x:c>
    </x:row>
    <x:row r="1193" ht="48" customHeight="1">
      <x:c r="A1193" s="17" t="str">
        <x:v>BUS220</x:v>
      </x:c>
      <x:c r="B1193" s="17" t="str">
        <x:v>查询宁德时代参与的热点事件和公司事件描述。</x:v>
      </x:c>
      <x:c r="C1193" s="17" t="n">
        <x:v>4</x:v>
      </x:c>
      <x:c r="D1193" s="17" t="str">
        <x:v>数据口径</x:v>
      </x:c>
      <x:c r="E1193" s="17" t="str">
        <x:v>15209.85</x:v>
      </x:c>
      <x:c r="F1193" s="17" t="str">
        <x:v>15766.71</x:v>
      </x:c>
      <x:c r="G1193" s="18" t="n">
        <x:v>556.86</x:v>
      </x:c>
      <x:c r="H1193" s="18" t="n">
        <x:f>IFERROR(G1193/1000,"")</x:f>
        <x:v>0.55686</x:v>
      </x:c>
      <x:c r="I1193" s="19" t="n">
        <x:f>IFERROR(G1193/J1193,"")</x:f>
        <x:v>0.023376342063814566</x:v>
      </x:c>
      <x:c r="J1193" s="17" t="n">
        <x:v>23821.52</x:v>
      </x:c>
      <x:c r="K1193" s="17" t="str"/>
      <x:c r="L1193" s="17" t="str">
        <x:v>已定位热点事件/概念基础信息视图，并确认了可用字段与时间口径。</x:v>
      </x:c>
      <x:c r="M1193" s="17" t="str"/>
      <x:c r="N1193" s="18" t="n">
        <x:v>0</x:v>
      </x:c>
      <x:c r="O1193" s="17" t="str">
        <x:v>public_sse_client_estimate</x:v>
      </x:c>
    </x:row>
    <x:row r="1194" ht="48" customHeight="1">
      <x:c r="A1194" s="17" t="str">
        <x:v>BUS220</x:v>
      </x:c>
      <x:c r="B1194" s="17" t="str">
        <x:v>查询宁德时代参与的热点事件和公司事件描述。</x:v>
      </x:c>
      <x:c r="C1194" s="17" t="n">
        <x:v>5</x:v>
      </x:c>
      <x:c r="D1194" s="17" t="str">
        <x:v>数据查询 1/1</x:v>
      </x:c>
      <x:c r="E1194" s="17" t="str">
        <x:v>18899.59</x:v>
      </x:c>
      <x:c r="F1194" s="17" t="str">
        <x:v>19018.88</x:v>
      </x:c>
      <x:c r="G1194" s="18" t="n">
        <x:v>119.29</x:v>
      </x:c>
      <x:c r="H1194" s="18" t="n">
        <x:f>IFERROR(G1194/1000,"")</x:f>
        <x:v>0.11929000000000001</x:v>
      </x:c>
      <x:c r="I1194" s="19" t="n">
        <x:f>IFERROR(G1194/J1194,"")</x:f>
        <x:v>0.005007656942126279</x:v>
      </x:c>
      <x:c r="J1194" s="17" t="n">
        <x:v>23821.52</x:v>
      </x:c>
      <x:c r="K1194" s="17" t="str"/>
      <x:c r="L1194" s="17" t="str">
        <x:v>已完成：查询宁德时代参与的热点事件及公司事件描述（关联原因），当前条件下没有匹配记录。</x:v>
      </x:c>
      <x:c r="M1194" s="17" t="str"/>
      <x:c r="N1194" s="18" t="n">
        <x:v>3132.88</x:v>
      </x:c>
      <x:c r="O1194" s="17" t="str">
        <x:v>public_sse_client_estimate</x:v>
      </x:c>
    </x:row>
    <x:row r="1195" ht="48" customHeight="1">
      <x:c r="A1195" s="17" t="str">
        <x:v>BUS220</x:v>
      </x:c>
      <x:c r="B1195" s="17" t="str">
        <x:v>查询宁德时代参与的热点事件和公司事件描述。</x:v>
      </x:c>
      <x:c r="C1195" s="17" t="n">
        <x:v>6</x:v>
      </x:c>
      <x:c r="D1195" s="17" t="str">
        <x:v>回答整理</x:v>
      </x:c>
      <x:c r="E1195" s="17" t="str">
        <x:v>19018.88</x:v>
      </x:c>
      <x:c r="F1195" s="17" t="str">
        <x:v>21184.25</x:v>
      </x:c>
      <x:c r="G1195" s="18" t="n">
        <x:v>2165.37</x:v>
      </x:c>
      <x:c r="H1195" s="18" t="n">
        <x:f>IFERROR(G1195/1000,"")</x:f>
        <x:v>2.16537</x:v>
      </x:c>
      <x:c r="I1195" s="19" t="n">
        <x:f>IFERROR(G1195/J1195,"")</x:f>
        <x:v>0.09089974107445704</x:v>
      </x:c>
      <x:c r="J1195" s="17" t="n">
        <x:v>23821.52</x:v>
      </x:c>
      <x:c r="K1195" s="17" t="str"/>
      <x:c r="L1195" s="17" t="str">
        <x:v>证据与回答已整理完成。</x:v>
      </x:c>
      <x:c r="M1195" s="17" t="str"/>
      <x:c r="N1195" s="18" t="n">
        <x:v>0</x:v>
      </x:c>
      <x:c r="O1195" s="17" t="str">
        <x:v>public_sse_client_estimate</x:v>
      </x:c>
    </x:row>
    <x:row r="1196" ht="48" customHeight="1">
      <x:c r="A1196" s="17" t="str">
        <x:v>BUS221</x:v>
      </x:c>
      <x:c r="B1196" s="17" t="str">
        <x:v>查询人工智能热点当前成分股数量和股票名单。</x:v>
      </x:c>
      <x:c r="C1196" s="17" t="n">
        <x:v>1</x:v>
      </x:c>
      <x:c r="D1196" s="17" t="str">
        <x:v>问题理解</x:v>
      </x:c>
      <x:c r="E1196" s="17" t="str">
        <x:v>5087.75</x:v>
      </x:c>
      <x:c r="F1196" s="17" t="str">
        <x:v>7585.99</x:v>
      </x:c>
      <x:c r="G1196" s="18" t="n">
        <x:v>2498.24</x:v>
      </x:c>
      <x:c r="H1196" s="18" t="n">
        <x:f>IFERROR(G1196/1000,"")</x:f>
        <x:v>2.4982399999999996</x:v>
      </x:c>
      <x:c r="I1196" s="19" t="n">
        <x:f>IFERROR(G1196/J1196,"")</x:f>
        <x:v>0.12328038411622179</x:v>
      </x:c>
      <x:c r="J1196" s="17" t="n">
        <x:v>20264.7</x:v>
      </x:c>
      <x:c r="K1196" s="17" t="str"/>
      <x:c r="L1196" s="17" t="str">
        <x:v>已明确本题的对象与口径，开始获取所需证据。</x:v>
      </x:c>
      <x:c r="M1196" s="17" t="str"/>
      <x:c r="N1196" s="18" t="n">
        <x:v>5087.75</x:v>
      </x:c>
      <x:c r="O1196" s="17" t="str">
        <x:v>public_sse_client_estimate</x:v>
      </x:c>
    </x:row>
    <x:row r="1197" ht="48" customHeight="1">
      <x:c r="A1197" s="17" t="str">
        <x:v>BUS221</x:v>
      </x:c>
      <x:c r="B1197" s="17" t="str">
        <x:v>查询人工智能热点当前成分股数量和股票名单。</x:v>
      </x:c>
      <x:c r="C1197" s="17" t="n">
        <x:v>2</x:v>
      </x:c>
      <x:c r="D1197" s="17" t="str">
        <x:v>数据口径</x:v>
      </x:c>
      <x:c r="E1197" s="17" t="str">
        <x:v>7585.99</x:v>
      </x:c>
      <x:c r="F1197" s="17" t="str">
        <x:v>7600.04</x:v>
      </x:c>
      <x:c r="G1197" s="18" t="n">
        <x:v>14.05</x:v>
      </x:c>
      <x:c r="H1197" s="18" t="n">
        <x:f>IFERROR(G1197/1000,"")</x:f>
        <x:v>0.01405</x:v>
      </x:c>
      <x:c r="I1197" s="19" t="n">
        <x:f>IFERROR(G1197/J1197,"")</x:f>
        <x:v>0.0006933238587297123</x:v>
      </x:c>
      <x:c r="J1197" s="17" t="n">
        <x:v>20264.7</x:v>
      </x:c>
      <x:c r="K1197" s="17" t="str"/>
      <x:c r="L1197" s="17" t="str">
        <x:v>已定位热点事件/概念成分股视图，并确认了可用字段与时间口径。</x:v>
      </x:c>
      <x:c r="M1197" s="17" t="str"/>
      <x:c r="N1197" s="18" t="n">
        <x:v>0</x:v>
      </x:c>
      <x:c r="O1197" s="17" t="str">
        <x:v>public_sse_client_estimate</x:v>
      </x:c>
    </x:row>
    <x:row r="1198" ht="48" customHeight="1">
      <x:c r="A1198" s="17" t="str">
        <x:v>BUS221</x:v>
      </x:c>
      <x:c r="B1198" s="17" t="str">
        <x:v>查询人工智能热点当前成分股数量和股票名单。</x:v>
      </x:c>
      <x:c r="C1198" s="17" t="n">
        <x:v>3</x:v>
      </x:c>
      <x:c r="D1198" s="17" t="str">
        <x:v>数据查询 1/1</x:v>
      </x:c>
      <x:c r="E1198" s="17" t="str">
        <x:v>10476.5</x:v>
      </x:c>
      <x:c r="F1198" s="17" t="str">
        <x:v>10751.64</x:v>
      </x:c>
      <x:c r="G1198" s="18" t="n">
        <x:v>275.14</x:v>
      </x:c>
      <x:c r="H1198" s="18" t="n">
        <x:f>IFERROR(G1198/1000,"")</x:f>
        <x:v>0.27514</x:v>
      </x:c>
      <x:c r="I1198" s="19" t="n">
        <x:f>IFERROR(G1198/J1198,"")</x:f>
        <x:v>0.013577304376576015</x:v>
      </x:c>
      <x:c r="J1198" s="17" t="n">
        <x:v>20264.7</x:v>
      </x:c>
      <x:c r="K1198" s="17" t="str"/>
      <x:c r="L1198" s="17" t="str">
        <x:v>已完成：查询人工智能热点的成分股名单，取得 21 条记录。</x:v>
      </x:c>
      <x:c r="M1198" s="17" t="str"/>
      <x:c r="N1198" s="18" t="n">
        <x:v>2876.46</x:v>
      </x:c>
      <x:c r="O1198" s="17" t="str">
        <x:v>public_sse_client_estimate</x:v>
      </x:c>
    </x:row>
    <x:row r="1199" ht="48" customHeight="1">
      <x:c r="A1199" s="17" t="str">
        <x:v>BUS221</x:v>
      </x:c>
      <x:c r="B1199" s="17" t="str">
        <x:v>查询人工智能热点当前成分股数量和股票名单。</x:v>
      </x:c>
      <x:c r="C1199" s="17" t="n">
        <x:v>4</x:v>
      </x:c>
      <x:c r="D1199" s="17" t="str">
        <x:v>回答整理</x:v>
      </x:c>
      <x:c r="E1199" s="17" t="str">
        <x:v>10751.64</x:v>
      </x:c>
      <x:c r="F1199" s="17" t="str">
        <x:v>16793.06</x:v>
      </x:c>
      <x:c r="G1199" s="18" t="n">
        <x:v>6041.42</x:v>
      </x:c>
      <x:c r="H1199" s="18" t="n">
        <x:f>IFERROR(G1199/1000,"")</x:f>
        <x:v>6.0414200000000005</x:v>
      </x:c>
      <x:c r="I1199" s="19" t="n">
        <x:f>IFERROR(G1199/J1199,"")</x:f>
        <x:v>0.2981253115022675</x:v>
      </x:c>
      <x:c r="J1199" s="17" t="n">
        <x:v>20264.7</x:v>
      </x:c>
      <x:c r="K1199" s="17" t="str"/>
      <x:c r="L1199" s="17" t="str">
        <x:v>证据与回答已整理完成。</x:v>
      </x:c>
      <x:c r="M1199" s="17" t="str"/>
      <x:c r="N1199" s="18" t="n">
        <x:v>0</x:v>
      </x:c>
      <x:c r="O1199" s="17" t="str">
        <x:v>public_sse_client_estimate</x:v>
      </x:c>
    </x:row>
    <x:row r="1200" ht="48" customHeight="1">
      <x:c r="A1200" s="17" t="str">
        <x:v>BUS222</x:v>
      </x:c>
      <x:c r="B1200" s="17" t="str">
        <x:v>查询某热点事件中被标记为龙头的股票代码和名称。</x:v>
      </x:c>
      <x:c r="C1200" s="17" t="n">
        <x:v>1</x:v>
      </x:c>
      <x:c r="D1200" s="17" t="str">
        <x:v>问题理解</x:v>
      </x:c>
      <x:c r="E1200" s="17" t="str">
        <x:v>6138.15</x:v>
      </x:c>
      <x:c r="F1200" s="17" t="str">
        <x:v>9591.19</x:v>
      </x:c>
      <x:c r="G1200" s="18" t="n">
        <x:v>3453.04</x:v>
      </x:c>
      <x:c r="H1200" s="18" t="n">
        <x:f>IFERROR(G1200/1000,"")</x:f>
        <x:v>3.45304</x:v>
      </x:c>
      <x:c r="I1200" s="19" t="n">
        <x:f>IFERROR(G1200/J1200,"")</x:f>
        <x:v>0.1432295674168745</x:v>
      </x:c>
      <x:c r="J1200" s="17" t="n">
        <x:v>24108.43</x:v>
      </x:c>
      <x:c r="K1200" s="17" t="str"/>
      <x:c r="L1200" s="17" t="str">
        <x:v>已明确本题的对象与口径，开始获取所需证据。</x:v>
      </x:c>
      <x:c r="M1200" s="17" t="str"/>
      <x:c r="N1200" s="18" t="n">
        <x:v>6138.15</x:v>
      </x:c>
      <x:c r="O1200" s="17" t="str">
        <x:v>public_sse_client_estimate</x:v>
      </x:c>
    </x:row>
    <x:row r="1201" ht="48" customHeight="1">
      <x:c r="A1201" s="17" t="str">
        <x:v>BUS222</x:v>
      </x:c>
      <x:c r="B1201" s="17" t="str">
        <x:v>查询某热点事件中被标记为龙头的股票代码和名称。</x:v>
      </x:c>
      <x:c r="C1201" s="17" t="n">
        <x:v>2</x:v>
      </x:c>
      <x:c r="D1201" s="17" t="str">
        <x:v>数据口径</x:v>
      </x:c>
      <x:c r="E1201" s="17" t="str">
        <x:v>9591.19</x:v>
      </x:c>
      <x:c r="F1201" s="17" t="str">
        <x:v>9833.73</x:v>
      </x:c>
      <x:c r="G1201" s="18" t="n">
        <x:v>242.54</x:v>
      </x:c>
      <x:c r="H1201" s="18" t="n">
        <x:f>IFERROR(G1201/1000,"")</x:f>
        <x:v>0.24254</x:v>
      </x:c>
      <x:c r="I1201" s="19" t="n">
        <x:f>IFERROR(G1201/J1201,"")</x:f>
        <x:v>0.010060381368674775</x:v>
      </x:c>
      <x:c r="J1201" s="17" t="n">
        <x:v>24108.43</x:v>
      </x:c>
      <x:c r="K1201" s="17" t="str"/>
      <x:c r="L1201" s="17" t="str">
        <x:v>已定位热点事件/概念成分股视图，并确认了可用字段与时间口径。</x:v>
      </x:c>
      <x:c r="M1201" s="17" t="str"/>
      <x:c r="N1201" s="18" t="n">
        <x:v>0</x:v>
      </x:c>
      <x:c r="O1201" s="17" t="str">
        <x:v>public_sse_client_estimate</x:v>
      </x:c>
    </x:row>
    <x:row r="1202" ht="48" customHeight="1">
      <x:c r="A1202" s="17" t="str">
        <x:v>BUS222</x:v>
      </x:c>
      <x:c r="B1202" s="17" t="str">
        <x:v>查询某热点事件中被标记为龙头的股票代码和名称。</x:v>
      </x:c>
      <x:c r="C1202" s="17" t="n">
        <x:v>3</x:v>
      </x:c>
      <x:c r="D1202" s="17" t="str">
        <x:v>数据口径</x:v>
      </x:c>
      <x:c r="E1202" s="17" t="str">
        <x:v>9833.73</x:v>
      </x:c>
      <x:c r="F1202" s="17" t="str">
        <x:v>16676.03</x:v>
      </x:c>
      <x:c r="G1202" s="18" t="n">
        <x:v>6842.3</x:v>
      </x:c>
      <x:c r="H1202" s="18" t="n">
        <x:f>IFERROR(G1202/1000,"")</x:f>
        <x:v>6.8423</x:v>
      </x:c>
      <x:c r="I1202" s="19" t="n">
        <x:f>IFERROR(G1202/J1202,"")</x:f>
        <x:v>0.28381358719750727</x:v>
      </x:c>
      <x:c r="J1202" s="17" t="n">
        <x:v>24108.43</x:v>
      </x:c>
      <x:c r="K1202" s="17" t="str"/>
      <x:c r="L1202" s="17" t="str">
        <x:v>已定位热点事件/概念状态视图，并确认了可用字段与时间口径。</x:v>
      </x:c>
      <x:c r="M1202" s="17" t="str"/>
      <x:c r="N1202" s="18" t="n">
        <x:v>0</x:v>
      </x:c>
      <x:c r="O1202" s="17" t="str">
        <x:v>public_sse_client_estimate</x:v>
      </x:c>
    </x:row>
    <x:row r="1203" ht="48" customHeight="1">
      <x:c r="A1203" s="17" t="str">
        <x:v>BUS222</x:v>
      </x:c>
      <x:c r="B1203" s="17" t="str">
        <x:v>查询某热点事件中被标记为龙头的股票代码和名称。</x:v>
      </x:c>
      <x:c r="C1203" s="17" t="n">
        <x:v>4</x:v>
      </x:c>
      <x:c r="D1203" s="17" t="str">
        <x:v>数据口径</x:v>
      </x:c>
      <x:c r="E1203" s="17" t="str">
        <x:v>16676.03</x:v>
      </x:c>
      <x:c r="F1203" s="17" t="str">
        <x:v>23153.52</x:v>
      </x:c>
      <x:c r="G1203" s="18" t="n">
        <x:v>6477.49</x:v>
      </x:c>
      <x:c r="H1203" s="18" t="n">
        <x:f>IFERROR(G1203/1000,"")</x:f>
        <x:v>6.4774899999999995</x:v>
      </x:c>
      <x:c r="I1203" s="19" t="n">
        <x:f>IFERROR(G1203/J1203,"")</x:f>
        <x:v>0.2686815358776992</x:v>
      </x:c>
      <x:c r="J1203" s="17" t="n">
        <x:v>24108.43</x:v>
      </x:c>
      <x:c r="K1203" s="17" t="str"/>
      <x:c r="L1203" s="17" t="str">
        <x:v>已定位热点事件/概念基础信息视图，并确认了可用字段与时间口径。</x:v>
      </x:c>
      <x:c r="M1203" s="17" t="str"/>
      <x:c r="N1203" s="18" t="n">
        <x:v>0</x:v>
      </x:c>
      <x:c r="O1203" s="17" t="str">
        <x:v>public_sse_client_estimate</x:v>
      </x:c>
    </x:row>
    <x:row r="1204" ht="48" customHeight="1">
      <x:c r="A1204" s="17" t="str">
        <x:v>BUS222</x:v>
      </x:c>
      <x:c r="B1204" s="17" t="str">
        <x:v>查询某热点事件中被标记为龙头的股票代码和名称。</x:v>
      </x:c>
      <x:c r="C1204" s="17" t="n">
        <x:v>5</x:v>
      </x:c>
      <x:c r="D1204" s="17" t="str">
        <x:v>回答整理</x:v>
      </x:c>
      <x:c r="E1204" s="17" t="str">
        <x:v>23153.52</x:v>
      </x:c>
      <x:c r="F1204" s="17" t="str">
        <x:v>23155.63</x:v>
      </x:c>
      <x:c r="G1204" s="18" t="n">
        <x:v>2.11</x:v>
      </x:c>
      <x:c r="H1204" s="18" t="n">
        <x:f>IFERROR(G1204/1000,"")</x:f>
        <x:v>0.00211</x:v>
      </x:c>
      <x:c r="I1204" s="19" t="n">
        <x:f>IFERROR(G1204/J1204,"")</x:f>
        <x:v>0.00008752125293932453</x:v>
      </x:c>
      <x:c r="J1204" s="17" t="n">
        <x:v>24108.43</x:v>
      </x:c>
      <x:c r="K1204" s="17" t="str"/>
      <x:c r="L1204" s="17" t="str">
        <x:v>证据与回答已整理完成。</x:v>
      </x:c>
      <x:c r="M1204" s="17" t="str"/>
      <x:c r="N1204" s="18" t="n">
        <x:v>0</x:v>
      </x:c>
      <x:c r="O1204" s="17" t="str">
        <x:v>public_sse_client_estimate</x:v>
      </x:c>
    </x:row>
    <x:row r="1205" ht="48" customHeight="1">
      <x:c r="A1205" s="17" t="str">
        <x:v>BUS224</x:v>
      </x:c>
      <x:c r="B1205" s="17" t="str">
        <x:v>查询PCB热点最近几次状态记录，观察热度和公司数变化。</x:v>
      </x:c>
      <x:c r="C1205" s="17" t="n">
        <x:v>1</x:v>
      </x:c>
      <x:c r="D1205" s="17" t="str">
        <x:v>问题理解</x:v>
      </x:c>
      <x:c r="E1205" s="17" t="str">
        <x:v>6637.09</x:v>
      </x:c>
      <x:c r="F1205" s="17" t="str">
        <x:v>12025.31</x:v>
      </x:c>
      <x:c r="G1205" s="18" t="n">
        <x:v>5388.22</x:v>
      </x:c>
      <x:c r="H1205" s="18" t="n">
        <x:f>IFERROR(G1205/1000,"")</x:f>
        <x:v>5.3882200000000005</x:v>
      </x:c>
      <x:c r="I1205" s="19" t="n">
        <x:f>IFERROR(G1205/J1205,"")</x:f>
        <x:v>0.13754171328420528</x:v>
      </x:c>
      <x:c r="J1205" s="17" t="n">
        <x:v>39175.17</x:v>
      </x:c>
      <x:c r="K1205" s="17" t="str"/>
      <x:c r="L1205" s="17" t="str">
        <x:v>已明确本题的对象与口径，开始获取所需证据。</x:v>
      </x:c>
      <x:c r="M1205" s="17" t="str"/>
      <x:c r="N1205" s="18" t="n">
        <x:v>6637.09</x:v>
      </x:c>
      <x:c r="O1205" s="17" t="str">
        <x:v>public_sse_client_estimate</x:v>
      </x:c>
    </x:row>
    <x:row r="1206" ht="48" customHeight="1">
      <x:c r="A1206" s="17" t="str">
        <x:v>BUS224</x:v>
      </x:c>
      <x:c r="B1206" s="17" t="str">
        <x:v>查询PCB热点最近几次状态记录，观察热度和公司数变化。</x:v>
      </x:c>
      <x:c r="C1206" s="17" t="n">
        <x:v>2</x:v>
      </x:c>
      <x:c r="D1206" s="17" t="str">
        <x:v>数据口径</x:v>
      </x:c>
      <x:c r="E1206" s="17" t="str">
        <x:v>12025.31</x:v>
      </x:c>
      <x:c r="F1206" s="17" t="str">
        <x:v>12058.25</x:v>
      </x:c>
      <x:c r="G1206" s="18" t="n">
        <x:v>32.94</x:v>
      </x:c>
      <x:c r="H1206" s="18" t="n">
        <x:f>IFERROR(G1206/1000,"")</x:f>
        <x:v>0.03294</x:v>
      </x:c>
      <x:c r="I1206" s="19" t="n">
        <x:f>IFERROR(G1206/J1206,"")</x:f>
        <x:v>0.0008408387251414608</x:v>
      </x:c>
      <x:c r="J1206" s="17" t="n">
        <x:v>39175.17</x:v>
      </x:c>
      <x:c r="K1206" s="17" t="str"/>
      <x:c r="L1206" s="17" t="str">
        <x:v>已定位热点事件/概念状态视图，并确认了可用字段与时间口径。</x:v>
      </x:c>
      <x:c r="M1206" s="17" t="str"/>
      <x:c r="N1206" s="18" t="n">
        <x:v>0</x:v>
      </x:c>
      <x:c r="O1206" s="17" t="str">
        <x:v>public_sse_client_estimate</x:v>
      </x:c>
    </x:row>
    <x:row r="1207" ht="48" customHeight="1">
      <x:c r="A1207" s="17" t="str">
        <x:v>BUS224</x:v>
      </x:c>
      <x:c r="B1207" s="17" t="str">
        <x:v>查询PCB热点最近几次状态记录，观察热度和公司数变化。</x:v>
      </x:c>
      <x:c r="C1207" s="17" t="n">
        <x:v>3</x:v>
      </x:c>
      <x:c r="D1207" s="17" t="str">
        <x:v>数据口径</x:v>
      </x:c>
      <x:c r="E1207" s="17" t="str">
        <x:v>12058.25</x:v>
      </x:c>
      <x:c r="F1207" s="17" t="str">
        <x:v>14687.07</x:v>
      </x:c>
      <x:c r="G1207" s="18" t="n">
        <x:v>2628.82</x:v>
      </x:c>
      <x:c r="H1207" s="18" t="n">
        <x:f>IFERROR(G1207/1000,"")</x:f>
        <x:v>2.62882</x:v>
      </x:c>
      <x:c r="I1207" s="19" t="n">
        <x:f>IFERROR(G1207/J1207,"")</x:f>
        <x:v>0.06710423975186323</x:v>
      </x:c>
      <x:c r="J1207" s="17" t="n">
        <x:v>39175.17</x:v>
      </x:c>
      <x:c r="K1207" s="17" t="str"/>
      <x:c r="L1207" s="17" t="str">
        <x:v>已定位热点事件/概念基础信息视图，并确认了可用字段与时间口径。</x:v>
      </x:c>
      <x:c r="M1207" s="17" t="str"/>
      <x:c r="N1207" s="18" t="n">
        <x:v>0</x:v>
      </x:c>
      <x:c r="O1207" s="17" t="str">
        <x:v>public_sse_client_estimate</x:v>
      </x:c>
    </x:row>
    <x:row r="1208" ht="48" customHeight="1">
      <x:c r="A1208" s="17" t="str">
        <x:v>BUS224</x:v>
      </x:c>
      <x:c r="B1208" s="17" t="str">
        <x:v>查询PCB热点最近几次状态记录，观察热度和公司数变化。</x:v>
      </x:c>
      <x:c r="C1208" s="17" t="n">
        <x:v>4</x:v>
      </x:c>
      <x:c r="D1208" s="17" t="str">
        <x:v>数据查询 1/2</x:v>
      </x:c>
      <x:c r="E1208" s="17" t="str">
        <x:v>18546.58</x:v>
      </x:c>
      <x:c r="F1208" s="17" t="str">
        <x:v>18744.14</x:v>
      </x:c>
      <x:c r="G1208" s="18" t="n">
        <x:v>197.56</x:v>
      </x:c>
      <x:c r="H1208" s="18" t="n">
        <x:f>IFERROR(G1208/1000,"")</x:f>
        <x:v>0.19756</x:v>
      </x:c>
      <x:c r="I1208" s="19" t="n">
        <x:f>IFERROR(G1208/J1208,"")</x:f>
        <x:v>0.005042990241012356</x:v>
      </x:c>
      <x:c r="J1208" s="17" t="n">
        <x:v>39175.17</x:v>
      </x:c>
      <x:c r="K1208" s="17" t="str"/>
      <x:c r="L1208" s="17" t="str">
        <x:v>已完成：查询PCB热点的基本信息，获取事件ID和当前状态，取得 1 条记录。</x:v>
      </x:c>
      <x:c r="M1208" s="17" t="str"/>
      <x:c r="N1208" s="18" t="n">
        <x:v>3859.51</x:v>
      </x:c>
      <x:c r="O1208" s="17" t="str">
        <x:v>public_sse_client_estimate</x:v>
      </x:c>
    </x:row>
    <x:row r="1209" ht="48" customHeight="1">
      <x:c r="A1209" s="17" t="str">
        <x:v>BUS224</x:v>
      </x:c>
      <x:c r="B1209" s="17" t="str">
        <x:v>查询PCB热点最近几次状态记录，观察热度和公司数变化。</x:v>
      </x:c>
      <x:c r="C1209" s="17" t="n">
        <x:v>5</x:v>
      </x:c>
      <x:c r="D1209" s="17" t="str">
        <x:v>数据查询 2/2</x:v>
      </x:c>
      <x:c r="E1209" s="17" t="str">
        <x:v>18748.34</x:v>
      </x:c>
      <x:c r="F1209" s="17" t="str">
        <x:v>19091.78</x:v>
      </x:c>
      <x:c r="G1209" s="18" t="n">
        <x:v>343.44</x:v>
      </x:c>
      <x:c r="H1209" s="18" t="n">
        <x:f>IFERROR(G1209/1000,"")</x:f>
        <x:v>0.34344</x:v>
      </x:c>
      <x:c r="I1209" s="19" t="n">
        <x:f>IFERROR(G1209/J1209,"")</x:f>
        <x:v>0.008766777527704411</x:v>
      </x:c>
      <x:c r="J1209" s="17" t="n">
        <x:v>39175.17</x:v>
      </x:c>
      <x:c r="K1209" s="17" t="str"/>
      <x:c r="L1209" s="17" t="str">
        <x:v>已完成：查询PCB热点最近的状态记录，观察热度和公司数变化，取得 20 条记录。</x:v>
      </x:c>
      <x:c r="M1209" s="17" t="str"/>
      <x:c r="N1209" s="18" t="n">
        <x:v>4.2</x:v>
      </x:c>
      <x:c r="O1209" s="17" t="str">
        <x:v>public_sse_client_estimate</x:v>
      </x:c>
    </x:row>
    <x:row r="1210" ht="48" customHeight="1">
      <x:c r="A1210" s="17" t="str">
        <x:v>BUS224</x:v>
      </x:c>
      <x:c r="B1210" s="17" t="str">
        <x:v>查询PCB热点最近几次状态记录，观察热度和公司数变化。</x:v>
      </x:c>
      <x:c r="C1210" s="17" t="n">
        <x:v>6</x:v>
      </x:c>
      <x:c r="D1210" s="17" t="str">
        <x:v>回答整理</x:v>
      </x:c>
      <x:c r="E1210" s="17" t="str">
        <x:v>19091.78</x:v>
      </x:c>
      <x:c r="F1210" s="17" t="str">
        <x:v>36595.54</x:v>
      </x:c>
      <x:c r="G1210" s="18" t="n">
        <x:v>17503.76</x:v>
      </x:c>
      <x:c r="H1210" s="18" t="n">
        <x:f>IFERROR(G1210/1000,"")</x:f>
        <x:v>17.50376</x:v>
      </x:c>
      <x:c r="I1210" s="19" t="n">
        <x:f>IFERROR(G1210/J1210,"")</x:f>
        <x:v>0.4468075058768092</x:v>
      </x:c>
      <x:c r="J1210" s="17" t="n">
        <x:v>39175.17</x:v>
      </x:c>
      <x:c r="K1210" s="17" t="str"/>
      <x:c r="L1210" s="17" t="str">
        <x:v>证据与回答已整理完成。</x:v>
      </x:c>
      <x:c r="M1210" s="17" t="str"/>
      <x:c r="N1210" s="18" t="n">
        <x:v>0</x:v>
      </x:c>
      <x:c r="O1210" s="17" t="str">
        <x:v>public_sse_client_estimate</x:v>
      </x:c>
    </x:row>
    <x:row r="1211" ht="48" customHeight="1">
      <x:c r="A1211" s="17" t="str">
        <x:v>BUS225</x:v>
      </x:c>
      <x:c r="B1211" s="17" t="str">
        <x:v>筛选今天公司数增加且平均涨幅超过3%的热点事件。</x:v>
      </x:c>
      <x:c r="C1211" s="17" t="n">
        <x:v>1</x:v>
      </x:c>
      <x:c r="D1211" s="17" t="str">
        <x:v>问题理解</x:v>
      </x:c>
      <x:c r="E1211" s="17" t="str">
        <x:v>4845.63</x:v>
      </x:c>
      <x:c r="F1211" s="17" t="str">
        <x:v>8249.71</x:v>
      </x:c>
      <x:c r="G1211" s="18" t="n">
        <x:v>3404.08</x:v>
      </x:c>
      <x:c r="H1211" s="18" t="n">
        <x:f>IFERROR(G1211/1000,"")</x:f>
        <x:v>3.40408</x:v>
      </x:c>
      <x:c r="I1211" s="19" t="n">
        <x:f>IFERROR(G1211/J1211,"")</x:f>
        <x:v>0.034707475064019715</x:v>
      </x:c>
      <x:c r="J1211" s="17" t="n">
        <x:v>98079.16</x:v>
      </x:c>
      <x:c r="K1211" s="17" t="str"/>
      <x:c r="L1211" s="17" t="str">
        <x:v>已明确本题的对象与口径，开始获取所需证据。</x:v>
      </x:c>
      <x:c r="M1211" s="17" t="str"/>
      <x:c r="N1211" s="18" t="n">
        <x:v>4845.63</x:v>
      </x:c>
      <x:c r="O1211" s="17" t="str">
        <x:v>public_sse_client_estimate</x:v>
      </x:c>
    </x:row>
    <x:row r="1212" ht="48" customHeight="1">
      <x:c r="A1212" s="17" t="str">
        <x:v>BUS225</x:v>
      </x:c>
      <x:c r="B1212" s="17" t="str">
        <x:v>筛选今天公司数增加且平均涨幅超过3%的热点事件。</x:v>
      </x:c>
      <x:c r="C1212" s="17" t="n">
        <x:v>2</x:v>
      </x:c>
      <x:c r="D1212" s="17" t="str">
        <x:v>数据口径</x:v>
      </x:c>
      <x:c r="E1212" s="17" t="str">
        <x:v>8249.71</x:v>
      </x:c>
      <x:c r="F1212" s="17" t="str">
        <x:v>8260.36</x:v>
      </x:c>
      <x:c r="G1212" s="18" t="n">
        <x:v>10.65</x:v>
      </x:c>
      <x:c r="H1212" s="18" t="n">
        <x:f>IFERROR(G1212/1000,"")</x:f>
        <x:v>0.01065</x:v>
      </x:c>
      <x:c r="I1212" s="19" t="n">
        <x:f>IFERROR(G1212/J1212,"")</x:f>
        <x:v>0.00010858575868716658</x:v>
      </x:c>
      <x:c r="J1212" s="17" t="n">
        <x:v>98079.16</x:v>
      </x:c>
      <x:c r="K1212" s="17" t="str"/>
      <x:c r="L1212" s="17" t="str">
        <x:v>已定位热点事件/概念状态视图，并确认了可用字段与时间口径。</x:v>
      </x:c>
      <x:c r="M1212" s="17" t="str"/>
      <x:c r="N1212" s="18" t="n">
        <x:v>0</x:v>
      </x:c>
      <x:c r="O1212" s="17" t="str">
        <x:v>public_sse_client_estimate</x:v>
      </x:c>
    </x:row>
    <x:row r="1213" ht="48" customHeight="1">
      <x:c r="A1213" s="17" t="str">
        <x:v>BUS225</x:v>
      </x:c>
      <x:c r="B1213" s="17" t="str">
        <x:v>筛选今天公司数增加且平均涨幅超过3%的热点事件。</x:v>
      </x:c>
      <x:c r="C1213" s="17" t="n">
        <x:v>3</x:v>
      </x:c>
      <x:c r="D1213" s="17" t="str">
        <x:v>数据口径</x:v>
      </x:c>
      <x:c r="E1213" s="17" t="str">
        <x:v>8260.36</x:v>
      </x:c>
      <x:c r="F1213" s="17" t="str">
        <x:v>8790.21</x:v>
      </x:c>
      <x:c r="G1213" s="18" t="n">
        <x:v>529.85</x:v>
      </x:c>
      <x:c r="H1213" s="18" t="n">
        <x:f>IFERROR(G1213/1000,"")</x:f>
        <x:v>0.52985</x:v>
      </x:c>
      <x:c r="I1213" s="19" t="n">
        <x:f>IFERROR(G1213/J1213,"")</x:f>
        <x:v>0.005402268942760113</x:v>
      </x:c>
      <x:c r="J1213" s="17" t="n">
        <x:v>98079.16</x:v>
      </x:c>
      <x:c r="K1213" s="17" t="str"/>
      <x:c r="L1213" s="17" t="str">
        <x:v>已定位热点事件/概念成分股视图，并确认了可用字段与时间口径。</x:v>
      </x:c>
      <x:c r="M1213" s="17" t="str"/>
      <x:c r="N1213" s="18" t="n">
        <x:v>0</x:v>
      </x:c>
      <x:c r="O1213" s="17" t="str">
        <x:v>public_sse_client_estimate</x:v>
      </x:c>
    </x:row>
    <x:row r="1214" ht="48" customHeight="1">
      <x:c r="A1214" s="17" t="str">
        <x:v>BUS225</x:v>
      </x:c>
      <x:c r="B1214" s="17" t="str">
        <x:v>筛选今天公司数增加且平均涨幅超过3%的热点事件。</x:v>
      </x:c>
      <x:c r="C1214" s="17" t="n">
        <x:v>4</x:v>
      </x:c>
      <x:c r="D1214" s="17" t="str">
        <x:v>数据口径</x:v>
      </x:c>
      <x:c r="E1214" s="17" t="str">
        <x:v>8790.21</x:v>
      </x:c>
      <x:c r="F1214" s="17" t="str">
        <x:v>9280.59</x:v>
      </x:c>
      <x:c r="G1214" s="18" t="n">
        <x:v>490.38</x:v>
      </x:c>
      <x:c r="H1214" s="18" t="n">
        <x:f>IFERROR(G1214/1000,"")</x:f>
        <x:v>0.49038</x:v>
      </x:c>
      <x:c r="I1214" s="19" t="n">
        <x:f>IFERROR(G1214/J1214,"")</x:f>
        <x:v>0.004999838905634999</x:v>
      </x:c>
      <x:c r="J1214" s="17" t="n">
        <x:v>98079.16</x:v>
      </x:c>
      <x:c r="K1214" s="17" t="str"/>
      <x:c r="L1214" s="17" t="str">
        <x:v>已定位热点事件/概念基础信息视图，并确认了可用字段与时间口径。</x:v>
      </x:c>
      <x:c r="M1214" s="17" t="str"/>
      <x:c r="N1214" s="18" t="n">
        <x:v>0</x:v>
      </x:c>
      <x:c r="O1214" s="17" t="str">
        <x:v>public_sse_client_estimate</x:v>
      </x:c>
    </x:row>
    <x:row r="1215" ht="48" customHeight="1">
      <x:c r="A1215" s="17" t="str">
        <x:v>BUS225</x:v>
      </x:c>
      <x:c r="B1215" s="17" t="str">
        <x:v>筛选今天公司数增加且平均涨幅超过3%的热点事件。</x:v>
      </x:c>
      <x:c r="C1215" s="17" t="n">
        <x:v>5</x:v>
      </x:c>
      <x:c r="D1215" s="17" t="str">
        <x:v>数据查询 1/1</x:v>
      </x:c>
      <x:c r="E1215" s="17" t="str">
        <x:v>16114.12</x:v>
      </x:c>
      <x:c r="F1215" s="17" t="str">
        <x:v>16528.87</x:v>
      </x:c>
      <x:c r="G1215" s="18" t="n">
        <x:v>414.75</x:v>
      </x:c>
      <x:c r="H1215" s="18" t="n">
        <x:f>IFERROR(G1215/1000,"")</x:f>
        <x:v>0.41475</x:v>
      </x:c>
      <x:c r="I1215" s="19" t="n">
        <x:f>IFERROR(G1215/J1215,"")</x:f>
        <x:v>0.004228727081267825</x:v>
      </x:c>
      <x:c r="J1215" s="17" t="n">
        <x:v>98079.16</x:v>
      </x:c>
      <x:c r="K1215" s="17" t="str"/>
      <x:c r="L1215" s="17" t="str">
        <x:v>已完成：查询今天所有热点事件的状态，获取公司数和平均涨幅，取得 50 条记录。</x:v>
      </x:c>
      <x:c r="M1215" s="17" t="str"/>
      <x:c r="N1215" s="18" t="n">
        <x:v>6833.53</x:v>
      </x:c>
      <x:c r="O1215" s="17" t="str">
        <x:v>public_sse_client_estimate</x:v>
      </x:c>
    </x:row>
    <x:row r="1216" ht="48" customHeight="1">
      <x:c r="A1216" s="17" t="str">
        <x:v>BUS225</x:v>
      </x:c>
      <x:c r="B1216" s="17" t="str">
        <x:v>筛选今天公司数增加且平均涨幅超过3%的热点事件。</x:v>
      </x:c>
      <x:c r="C1216" s="17" t="n">
        <x:v>6</x:v>
      </x:c>
      <x:c r="D1216" s="17" t="str">
        <x:v>数据查询 1/2</x:v>
      </x:c>
      <x:c r="E1216" s="17" t="str">
        <x:v>28512.01</x:v>
      </x:c>
      <x:c r="F1216" s="17" t="str">
        <x:v>28621.51</x:v>
      </x:c>
      <x:c r="G1216" s="18" t="n">
        <x:v>109.5</x:v>
      </x:c>
      <x:c r="H1216" s="18" t="n">
        <x:f>IFERROR(G1216/1000,"")</x:f>
        <x:v>0.1095</x:v>
      </x:c>
      <x:c r="I1216" s="19" t="n">
        <x:f>IFERROR(G1216/J1216,"")</x:f>
        <x:v>0.0011164451245300223</x:v>
      </x:c>
      <x:c r="J1216" s="17" t="n">
        <x:v>98079.16</x:v>
      </x:c>
      <x:c r="K1216" s="17" t="str"/>
      <x:c r="L1216" s="17" t="str">
        <x:v>已完成：查询所有近期热点事件的状态，按日期降序排列，了解最新数据日期，取得 30 条记录。</x:v>
      </x:c>
      <x:c r="M1216" s="17" t="str"/>
      <x:c r="N1216" s="18" t="n">
        <x:v>11983.14</x:v>
      </x:c>
      <x:c r="O1216" s="17" t="str">
        <x:v>public_sse_client_estimate</x:v>
      </x:c>
    </x:row>
    <x:row r="1217" ht="48" customHeight="1">
      <x:c r="A1217" s="17" t="str">
        <x:v>BUS225</x:v>
      </x:c>
      <x:c r="B1217" s="17" t="str">
        <x:v>筛选今天公司数增加且平均涨幅超过3%的热点事件。</x:v>
      </x:c>
      <x:c r="C1217" s="17" t="n">
        <x:v>7</x:v>
      </x:c>
      <x:c r="D1217" s="17" t="str">
        <x:v>数据查询 2/2</x:v>
      </x:c>
      <x:c r="E1217" s="17" t="str">
        <x:v>28623.67</x:v>
      </x:c>
      <x:c r="F1217" s="17" t="str">
        <x:v>28721.09</x:v>
      </x:c>
      <x:c r="G1217" s="18" t="n">
        <x:v>97.42</x:v>
      </x:c>
      <x:c r="H1217" s="18" t="n">
        <x:f>IFERROR(G1217/1000,"")</x:f>
        <x:v>0.09742</x:v>
      </x:c>
      <x:c r="I1217" s="19" t="n">
        <x:f>IFERROR(G1217/J1217,"")</x:f>
        <x:v>0.0009932793062257057</x:v>
      </x:c>
      <x:c r="J1217" s="17" t="n">
        <x:v>98079.16</x:v>
      </x:c>
      <x:c r="K1217" s="17" t="str"/>
      <x:c r="L1217" s="17" t="str">
        <x:v>已完成：查询所有热点事件状态，不限日期，看最新数据日期范围，取得 10 条记录。</x:v>
      </x:c>
      <x:c r="M1217" s="17" t="str"/>
      <x:c r="N1217" s="18" t="n">
        <x:v>2.16</x:v>
      </x:c>
      <x:c r="O1217" s="17" t="str">
        <x:v>public_sse_client_estimate</x:v>
      </x:c>
    </x:row>
    <x:row r="1218" ht="48" customHeight="1">
      <x:c r="A1218" s="17" t="str">
        <x:v>BUS225</x:v>
      </x:c>
      <x:c r="B1218" s="17" t="str">
        <x:v>筛选今天公司数增加且平均涨幅超过3%的热点事件。</x:v>
      </x:c>
      <x:c r="C1218" s="17" t="n">
        <x:v>8</x:v>
      </x:c>
      <x:c r="D1218" s="17" t="str">
        <x:v>数据查询 1/2</x:v>
      </x:c>
      <x:c r="E1218" s="17" t="str">
        <x:v>39612.17</x:v>
      </x:c>
      <x:c r="F1218" s="17" t="str">
        <x:v>39777.79</x:v>
      </x:c>
      <x:c r="G1218" s="18" t="n">
        <x:v>165.62</x:v>
      </x:c>
      <x:c r="H1218" s="18" t="n">
        <x:f>IFERROR(G1218/1000,"")</x:f>
        <x:v>0.16562000000000002</x:v>
      </x:c>
      <x:c r="I1218" s="19" t="n">
        <x:f>IFERROR(G1218/J1218,"")</x:f>
        <x:v>0.0016886359956590166</x:v>
      </x:c>
      <x:c r="J1218" s="17" t="n">
        <x:v>98079.16</x:v>
      </x:c>
      <x:c r="K1218" s="17" t="str"/>
      <x:c r="L1218" s="17" t="str">
        <x:v>已完成：获取2026-07-30（前一交易日）所有热点事件的状态数据，取得 100 条记录。</x:v>
      </x:c>
      <x:c r="M1218" s="17" t="str"/>
      <x:c r="N1218" s="18" t="n">
        <x:v>10891.08</x:v>
      </x:c>
      <x:c r="O1218" s="17" t="str">
        <x:v>public_sse_client_estimate</x:v>
      </x:c>
    </x:row>
    <x:row r="1219" ht="48" customHeight="1">
      <x:c r="A1219" s="17" t="str">
        <x:v>BUS225</x:v>
      </x:c>
      <x:c r="B1219" s="17" t="str">
        <x:v>筛选今天公司数增加且平均涨幅超过3%的热点事件。</x:v>
      </x:c>
      <x:c r="C1219" s="17" t="n">
        <x:v>9</x:v>
      </x:c>
      <x:c r="D1219" s="17" t="str">
        <x:v>数据查询 2/2</x:v>
      </x:c>
      <x:c r="E1219" s="17" t="str">
        <x:v>39779.48</x:v>
      </x:c>
      <x:c r="F1219" s="17" t="str">
        <x:v>39882.44</x:v>
      </x:c>
      <x:c r="G1219" s="18" t="n">
        <x:v>102.96</x:v>
      </x:c>
      <x:c r="H1219" s="18" t="n">
        <x:f>IFERROR(G1219/1000,"")</x:f>
        <x:v>0.10296</x:v>
      </x:c>
      <x:c r="I1219" s="19" t="n">
        <x:f>IFERROR(G1219/J1219,"")</x:f>
        <x:v>0.0010497642924348046</x:v>
      </x:c>
      <x:c r="J1219" s="17" t="n">
        <x:v>98079.16</x:v>
      </x:c>
      <x:c r="K1219" s="17" t="str"/>
      <x:c r="L1219" s="17" t="str">
        <x:v>已完成：获取2026-07-31（最新交易日）所有热点事件的状态数据，按热度降序，取得 100 条记录。</x:v>
      </x:c>
      <x:c r="M1219" s="17" t="str"/>
      <x:c r="N1219" s="18" t="n">
        <x:v>1.69</x:v>
      </x:c>
      <x:c r="O1219" s="17" t="str">
        <x:v>public_sse_client_estimate</x:v>
      </x:c>
    </x:row>
    <x:row r="1220" ht="48" customHeight="1">
      <x:c r="A1220" s="17" t="str">
        <x:v>BUS225</x:v>
      </x:c>
      <x:c r="B1220" s="17" t="str">
        <x:v>筛选今天公司数增加且平均涨幅超过3%的热点事件。</x:v>
      </x:c>
      <x:c r="C1220" s="17" t="n">
        <x:v>10</x:v>
      </x:c>
      <x:c r="D1220" s="17" t="str">
        <x:v>数据查询 1/2</x:v>
      </x:c>
      <x:c r="E1220" s="17" t="str">
        <x:v>67566.11</x:v>
      </x:c>
      <x:c r="F1220" s="17" t="str">
        <x:v>67699.11</x:v>
      </x:c>
      <x:c r="G1220" s="18" t="n">
        <x:v>133</x:v>
      </x:c>
      <x:c r="H1220" s="18" t="n">
        <x:f>IFERROR(G1220/1000,"")</x:f>
        <x:v>0.133</x:v>
      </x:c>
      <x:c r="I1220" s="19" t="n">
        <x:f>IFERROR(G1220/J1220,"")</x:f>
        <x:v>0.0013560475028538172</x:v>
      </x:c>
      <x:c r="J1220" s="17" t="n">
        <x:v>98079.16</x:v>
      </x:c>
      <x:c r="K1220" s="17" t="str"/>
      <x:c r="L1220" s="17" t="str">
        <x:v>已完成：获取2026-07-30所有事件的最新公司数，用于后续对比，取得 100 条记录。</x:v>
      </x:c>
      <x:c r="M1220" s="17" t="str"/>
      <x:c r="N1220" s="18" t="n">
        <x:v>27683.67</x:v>
      </x:c>
      <x:c r="O1220" s="17" t="str">
        <x:v>public_sse_client_estimate</x:v>
      </x:c>
    </x:row>
    <x:row r="1221" ht="48" customHeight="1">
      <x:c r="A1221" s="17" t="str">
        <x:v>BUS225</x:v>
      </x:c>
      <x:c r="B1221" s="17" t="str">
        <x:v>筛选今天公司数增加且平均涨幅超过3%的热点事件。</x:v>
      </x:c>
      <x:c r="C1221" s="17" t="n">
        <x:v>11</x:v>
      </x:c>
      <x:c r="D1221" s="17" t="str">
        <x:v>数据查询 2/2</x:v>
      </x:c>
      <x:c r="E1221" s="17" t="str">
        <x:v>67701.9</x:v>
      </x:c>
      <x:c r="F1221" s="17" t="str">
        <x:v>67820.71</x:v>
      </x:c>
      <x:c r="G1221" s="18" t="n">
        <x:v>118.81</x:v>
      </x:c>
      <x:c r="H1221" s="18" t="n">
        <x:f>IFERROR(G1221/1000,"")</x:f>
        <x:v>0.11881</x:v>
      </x:c>
      <x:c r="I1221" s="19" t="n">
        <x:f>IFERROR(G1221/J1221,"")</x:f>
        <x:v>0.0012113684497297896</x:v>
      </x:c>
      <x:c r="J1221" s="17" t="n">
        <x:v>98079.16</x:v>
      </x:c>
      <x:c r="K1221" s="17" t="str"/>
      <x:c r="L1221" s="17" t="str">
        <x:v>已完成：获取2026-07-31所有事件的最新公司数（按热度最高取最新状态），用于判断公司数增加，取得 100 条记录。</x:v>
      </x:c>
      <x:c r="M1221" s="17" t="str"/>
      <x:c r="N1221" s="18" t="n">
        <x:v>2.79</x:v>
      </x:c>
      <x:c r="O1221" s="17" t="str">
        <x:v>public_sse_client_estimate</x:v>
      </x:c>
    </x:row>
    <x:row r="1222" ht="48" customHeight="1">
      <x:c r="A1222" s="17" t="str">
        <x:v>BUS225</x:v>
      </x:c>
      <x:c r="B1222" s="17" t="str">
        <x:v>筛选今天公司数增加且平均涨幅超过3%的热点事件。</x:v>
      </x:c>
      <x:c r="C1222" s="17" t="n">
        <x:v>12</x:v>
      </x:c>
      <x:c r="D1222" s="17" t="str">
        <x:v>回答整理</x:v>
      </x:c>
      <x:c r="E1222" s="17" t="str">
        <x:v>67820.71</x:v>
      </x:c>
      <x:c r="F1222" s="17" t="str">
        <x:v>93345.28</x:v>
      </x:c>
      <x:c r="G1222" s="18" t="n">
        <x:v>25524.57</x:v>
      </x:c>
      <x:c r="H1222" s="18" t="n">
        <x:f>IFERROR(G1222/1000,"")</x:f>
        <x:v>25.52457</x:v>
      </x:c>
      <x:c r="I1222" s="19" t="n">
        <x:f>IFERROR(G1222/J1222,"")</x:f>
        <x:v>0.26024458202945455</x:v>
      </x:c>
      <x:c r="J1222" s="17" t="n">
        <x:v>98079.16</x:v>
      </x:c>
      <x:c r="K1222" s="17" t="str"/>
      <x:c r="L1222" s="17" t="str">
        <x:v>证据与回答已整理完成。</x:v>
      </x:c>
      <x:c r="M1222" s="17" t="str"/>
      <x:c r="N1222" s="18" t="n">
        <x:v>0</x:v>
      </x:c>
      <x:c r="O1222" s="17" t="str">
        <x:v>public_sse_client_estimate</x:v>
      </x:c>
    </x:row>
    <x:row r="1223" ht="48" customHeight="1">
      <x:c r="A1223" s="17" t="str">
        <x:v>BUS226</x:v>
      </x:c>
      <x:c r="B1223" s="17" t="str">
        <x:v>统计机器人热点当前成分股中今天涨停的股票数量。</x:v>
      </x:c>
      <x:c r="C1223" s="17" t="n">
        <x:v>1</x:v>
      </x:c>
      <x:c r="D1223" s="17" t="str">
        <x:v>问题理解</x:v>
      </x:c>
      <x:c r="E1223" s="17" t="str">
        <x:v>5045.94</x:v>
      </x:c>
      <x:c r="F1223" s="17" t="str">
        <x:v>9439.64</x:v>
      </x:c>
      <x:c r="G1223" s="18" t="n">
        <x:v>4393.7</x:v>
      </x:c>
      <x:c r="H1223" s="18" t="n">
        <x:f>IFERROR(G1223/1000,"")</x:f>
        <x:v>4.3937</x:v>
      </x:c>
      <x:c r="I1223" s="19" t="n">
        <x:f>IFERROR(G1223/J1223,"")</x:f>
        <x:v>0.06482343481436127</x:v>
      </x:c>
      <x:c r="J1223" s="17" t="n">
        <x:v>67779.5</x:v>
      </x:c>
      <x:c r="K1223" s="17" t="str"/>
      <x:c r="L1223" s="17" t="str">
        <x:v>已明确本题的对象与口径，开始获取所需证据。</x:v>
      </x:c>
      <x:c r="M1223" s="17" t="str"/>
      <x:c r="N1223" s="18" t="n">
        <x:v>5045.94</x:v>
      </x:c>
      <x:c r="O1223" s="17" t="str">
        <x:v>public_sse_client_estimate</x:v>
      </x:c>
    </x:row>
    <x:row r="1224" ht="48" customHeight="1">
      <x:c r="A1224" s="17" t="str">
        <x:v>BUS226</x:v>
      </x:c>
      <x:c r="B1224" s="17" t="str">
        <x:v>统计机器人热点当前成分股中今天涨停的股票数量。</x:v>
      </x:c>
      <x:c r="C1224" s="17" t="n">
        <x:v>2</x:v>
      </x:c>
      <x:c r="D1224" s="17" t="str">
        <x:v>数据口径</x:v>
      </x:c>
      <x:c r="E1224" s="17" t="str">
        <x:v>9439.64</x:v>
      </x:c>
      <x:c r="F1224" s="17" t="str">
        <x:v>9476.61</x:v>
      </x:c>
      <x:c r="G1224" s="18" t="n">
        <x:v>36.97</x:v>
      </x:c>
      <x:c r="H1224" s="18" t="n">
        <x:f>IFERROR(G1224/1000,"")</x:f>
        <x:v>0.036969999999999996</x:v>
      </x:c>
      <x:c r="I1224" s="19" t="n">
        <x:f>IFERROR(G1224/J1224,"")</x:f>
        <x:v>0.0005454451567214276</x:v>
      </x:c>
      <x:c r="J1224" s="17" t="n">
        <x:v>67779.5</x:v>
      </x:c>
      <x:c r="K1224" s="17" t="str"/>
      <x:c r="L1224" s="17" t="str">
        <x:v>已定位热点事件/概念成分股视图，并确认了可用字段与时间口径。</x:v>
      </x:c>
      <x:c r="M1224" s="17" t="str"/>
      <x:c r="N1224" s="18" t="n">
        <x:v>0</x:v>
      </x:c>
      <x:c r="O1224" s="17" t="str">
        <x:v>public_sse_client_estimate</x:v>
      </x:c>
    </x:row>
    <x:row r="1225" ht="48" customHeight="1">
      <x:c r="A1225" s="17" t="str">
        <x:v>BUS226</x:v>
      </x:c>
      <x:c r="B1225" s="17" t="str">
        <x:v>统计机器人热点当前成分股中今天涨停的股票数量。</x:v>
      </x:c>
      <x:c r="C1225" s="17" t="n">
        <x:v>3</x:v>
      </x:c>
      <x:c r="D1225" s="17" t="str">
        <x:v>数据口径</x:v>
      </x:c>
      <x:c r="E1225" s="17" t="str">
        <x:v>9476.61</x:v>
      </x:c>
      <x:c r="F1225" s="17" t="str">
        <x:v>14155.97</x:v>
      </x:c>
      <x:c r="G1225" s="18" t="n">
        <x:v>4679.36</x:v>
      </x:c>
      <x:c r="H1225" s="18" t="n">
        <x:f>IFERROR(G1225/1000,"")</x:f>
        <x:v>4.67936</x:v>
      </x:c>
      <x:c r="I1225" s="19" t="n">
        <x:f>IFERROR(G1225/J1225,"")</x:f>
        <x:v>0.06903798346107598</x:v>
      </x:c>
      <x:c r="J1225" s="17" t="n">
        <x:v>67779.5</x:v>
      </x:c>
      <x:c r="K1225" s="17" t="str"/>
      <x:c r="L1225" s="17" t="str">
        <x:v>已定位个股行情视图，并确认了可用字段与时间口径。</x:v>
      </x:c>
      <x:c r="M1225" s="17" t="str"/>
      <x:c r="N1225" s="18" t="n">
        <x:v>0</x:v>
      </x:c>
      <x:c r="O1225" s="17" t="str">
        <x:v>public_sse_client_estimate</x:v>
      </x:c>
    </x:row>
    <x:row r="1226" ht="48" customHeight="1">
      <x:c r="A1226" s="17" t="str">
        <x:v>BUS226</x:v>
      </x:c>
      <x:c r="B1226" s="17" t="str">
        <x:v>统计机器人热点当前成分股中今天涨停的股票数量。</x:v>
      </x:c>
      <x:c r="C1226" s="17" t="n">
        <x:v>4</x:v>
      </x:c>
      <x:c r="D1226" s="17" t="str">
        <x:v>数据查询 1/1</x:v>
      </x:c>
      <x:c r="E1226" s="17" t="str">
        <x:v>20588.75</x:v>
      </x:c>
      <x:c r="F1226" s="17" t="str">
        <x:v>20910.73</x:v>
      </x:c>
      <x:c r="G1226" s="18" t="n">
        <x:v>321.98</x:v>
      </x:c>
      <x:c r="H1226" s="18" t="n">
        <x:f>IFERROR(G1226/1000,"")</x:f>
        <x:v>0.32198000000000004</x:v>
      </x:c>
      <x:c r="I1226" s="19" t="n">
        <x:f>IFERROR(G1226/J1226,"")</x:f>
        <x:v>0.004750403883180018</x:v>
      </x:c>
      <x:c r="J1226" s="17" t="n">
        <x:v>67779.5</x:v>
      </x:c>
      <x:c r="K1226" s="17" t="str"/>
      <x:c r="L1226" s="17" t="str">
        <x:v>已完成：获取机器人热点当前成分股列表，取得 100 条记录。</x:v>
      </x:c>
      <x:c r="M1226" s="17" t="str"/>
      <x:c r="N1226" s="18" t="n">
        <x:v>6432.78</x:v>
      </x:c>
      <x:c r="O1226" s="17" t="str">
        <x:v>public_sse_client_estimate</x:v>
      </x:c>
    </x:row>
    <x:row r="1227" ht="48" customHeight="1">
      <x:c r="A1227" s="17" t="str">
        <x:v>BUS226</x:v>
      </x:c>
      <x:c r="B1227" s="17" t="str">
        <x:v>统计机器人热点当前成分股中今天涨停的股票数量。</x:v>
      </x:c>
      <x:c r="C1227" s="17" t="n">
        <x:v>5</x:v>
      </x:c>
      <x:c r="D1227" s="17" t="str">
        <x:v>数据查询 1/1</x:v>
      </x:c>
      <x:c r="E1227" s="17" t="str">
        <x:v>46572</x:v>
      </x:c>
      <x:c r="F1227" s="17" t="str">
        <x:v>47430.86</x:v>
      </x:c>
      <x:c r="G1227" s="18" t="n">
        <x:v>858.86</x:v>
      </x:c>
      <x:c r="H1227" s="18" t="n">
        <x:f>IFERROR(G1227/1000,"")</x:f>
        <x:v>0.8588600000000001</x:v>
      </x:c>
      <x:c r="I1227" s="19" t="n">
        <x:f>IFERROR(G1227/J1227,"")</x:f>
        <x:v>0.012671382940269552</x:v>
      </x:c>
      <x:c r="J1227" s="17" t="n">
        <x:v>67779.5</x:v>
      </x:c>
      <x:c r="K1227" s="17" t="str"/>
      <x:c r="L1227" s="17" t="str">
        <x:v>已完成：查询机器人热点成分股的最新日行情，判断是否涨停，取得 100 条记录。</x:v>
      </x:c>
      <x:c r="M1227" s="17" t="str"/>
      <x:c r="N1227" s="18" t="n">
        <x:v>25661.27</x:v>
      </x:c>
      <x:c r="O1227" s="17" t="str">
        <x:v>public_sse_client_estimate</x:v>
      </x:c>
    </x:row>
    <x:row r="1228" ht="48" customHeight="1">
      <x:c r="A1228" s="17" t="str">
        <x:v>BUS226</x:v>
      </x:c>
      <x:c r="B1228" s="17" t="str">
        <x:v>统计机器人热点当前成分股中今天涨停的股票数量。</x:v>
      </x:c>
      <x:c r="C1228" s="17" t="n">
        <x:v>6</x:v>
      </x:c>
      <x:c r="D1228" s="17" t="str">
        <x:v>回答整理</x:v>
      </x:c>
      <x:c r="E1228" s="17" t="str">
        <x:v>47430.86</x:v>
      </x:c>
      <x:c r="F1228" s="17" t="str">
        <x:v>62082.52</x:v>
      </x:c>
      <x:c r="G1228" s="18" t="n">
        <x:v>14651.66</x:v>
      </x:c>
      <x:c r="H1228" s="18" t="n">
        <x:f>IFERROR(G1228/1000,"")</x:f>
        <x:v>14.65166</x:v>
      </x:c>
      <x:c r="I1228" s="19" t="n">
        <x:f>IFERROR(G1228/J1228,"")</x:f>
        <x:v>0.2161665400305402</x:v>
      </x:c>
      <x:c r="J1228" s="17" t="n">
        <x:v>67779.5</x:v>
      </x:c>
      <x:c r="K1228" s="17" t="str"/>
      <x:c r="L1228" s="17" t="str">
        <x:v>证据与回答已整理完成。</x:v>
      </x:c>
      <x:c r="M1228" s="17" t="str"/>
      <x:c r="N1228" s="18" t="n">
        <x:v>0</x:v>
      </x:c>
      <x:c r="O1228" s="17" t="str">
        <x:v>public_sse_client_estimate</x:v>
      </x:c>
    </x:row>
    <x:row r="1229" ht="48" customHeight="1">
      <x:c r="A1229" s="17" t="str">
        <x:v>BUS227</x:v>
      </x:c>
      <x:c r="B1229" s="17" t="str">
        <x:v>查询今天最热热点事件，并列出每个事件的龙头公司当前涨跌幅。</x:v>
      </x:c>
      <x:c r="C1229" s="17" t="n">
        <x:v>1</x:v>
      </x:c>
      <x:c r="D1229" s="17" t="str">
        <x:v>问题理解</x:v>
      </x:c>
      <x:c r="E1229" s="17" t="str">
        <x:v>5908.91</x:v>
      </x:c>
      <x:c r="F1229" s="17" t="str">
        <x:v>10193.19</x:v>
      </x:c>
      <x:c r="G1229" s="18" t="n">
        <x:v>4284.28</x:v>
      </x:c>
      <x:c r="H1229" s="18" t="n">
        <x:f>IFERROR(G1229/1000,"")</x:f>
        <x:v>4.28428</x:v>
      </x:c>
      <x:c r="I1229" s="19" t="n">
        <x:f>IFERROR(G1229/J1229,"")</x:f>
        <x:v>0.0385528299878221</x:v>
      </x:c>
      <x:c r="J1229" s="17" t="n">
        <x:v>111127.51</x:v>
      </x:c>
      <x:c r="K1229" s="17" t="str"/>
      <x:c r="L1229" s="17" t="str">
        <x:v>已明确本题的对象与口径，开始获取所需证据。</x:v>
      </x:c>
      <x:c r="M1229" s="17" t="str"/>
      <x:c r="N1229" s="18" t="n">
        <x:v>5908.91</x:v>
      </x:c>
      <x:c r="O1229" s="17" t="str">
        <x:v>public_sse_client_estimate</x:v>
      </x:c>
    </x:row>
    <x:row r="1230" ht="48" customHeight="1">
      <x:c r="A1230" s="17" t="str">
        <x:v>BUS227</x:v>
      </x:c>
      <x:c r="B1230" s="17" t="str">
        <x:v>查询今天最热热点事件，并列出每个事件的龙头公司当前涨跌幅。</x:v>
      </x:c>
      <x:c r="C1230" s="17" t="n">
        <x:v>2</x:v>
      </x:c>
      <x:c r="D1230" s="17" t="str">
        <x:v>数据口径</x:v>
      </x:c>
      <x:c r="E1230" s="17" t="str">
        <x:v>10193.19</x:v>
      </x:c>
      <x:c r="F1230" s="17" t="str">
        <x:v>10213.34</x:v>
      </x:c>
      <x:c r="G1230" s="18" t="n">
        <x:v>20.15</x:v>
      </x:c>
      <x:c r="H1230" s="18" t="n">
        <x:f>IFERROR(G1230/1000,"")</x:f>
        <x:v>0.020149999999999998</x:v>
      </x:c>
      <x:c r="I1230" s="19" t="n">
        <x:f>IFERROR(G1230/J1230,"")</x:f>
        <x:v>0.00018132323850322932</x:v>
      </x:c>
      <x:c r="J1230" s="17" t="n">
        <x:v>111127.51</x:v>
      </x:c>
      <x:c r="K1230" s="17" t="str"/>
      <x:c r="L1230" s="17" t="str">
        <x:v>已定位热点事件/概念基础信息视图，并确认了可用字段与时间口径。</x:v>
      </x:c>
      <x:c r="M1230" s="17" t="str"/>
      <x:c r="N1230" s="18" t="n">
        <x:v>0</x:v>
      </x:c>
      <x:c r="O1230" s="17" t="str">
        <x:v>public_sse_client_estimate</x:v>
      </x:c>
    </x:row>
    <x:row r="1231" ht="48" customHeight="1">
      <x:c r="A1231" s="17" t="str">
        <x:v>BUS227</x:v>
      </x:c>
      <x:c r="B1231" s="17" t="str">
        <x:v>查询今天最热热点事件，并列出每个事件的龙头公司当前涨跌幅。</x:v>
      </x:c>
      <x:c r="C1231" s="17" t="n">
        <x:v>3</x:v>
      </x:c>
      <x:c r="D1231" s="17" t="str">
        <x:v>数据口径</x:v>
      </x:c>
      <x:c r="E1231" s="17" t="str">
        <x:v>10213.34</x:v>
      </x:c>
      <x:c r="F1231" s="17" t="str">
        <x:v>10703.03</x:v>
      </x:c>
      <x:c r="G1231" s="18" t="n">
        <x:v>489.69</x:v>
      </x:c>
      <x:c r="H1231" s="18" t="n">
        <x:f>IFERROR(G1231/1000,"")</x:f>
        <x:v>0.48969</x:v>
      </x:c>
      <x:c r="I1231" s="19" t="n">
        <x:f>IFERROR(G1231/J1231,"")</x:f>
        <x:v>0.004406559635863343</x:v>
      </x:c>
      <x:c r="J1231" s="17" t="n">
        <x:v>111127.51</x:v>
      </x:c>
      <x:c r="K1231" s="17" t="str"/>
      <x:c r="L1231" s="17" t="str">
        <x:v>已定位热点事件/概念状态视图，并确认了可用字段与时间口径。</x:v>
      </x:c>
      <x:c r="M1231" s="17" t="str"/>
      <x:c r="N1231" s="18" t="n">
        <x:v>0</x:v>
      </x:c>
      <x:c r="O1231" s="17" t="str">
        <x:v>public_sse_client_estimate</x:v>
      </x:c>
    </x:row>
    <x:row r="1232" ht="48" customHeight="1">
      <x:c r="A1232" s="17" t="str">
        <x:v>BUS227</x:v>
      </x:c>
      <x:c r="B1232" s="17" t="str">
        <x:v>查询今天最热热点事件，并列出每个事件的龙头公司当前涨跌幅。</x:v>
      </x:c>
      <x:c r="C1232" s="17" t="n">
        <x:v>4</x:v>
      </x:c>
      <x:c r="D1232" s="17" t="str">
        <x:v>数据口径</x:v>
      </x:c>
      <x:c r="E1232" s="17" t="str">
        <x:v>10703.03</x:v>
      </x:c>
      <x:c r="F1232" s="17" t="str">
        <x:v>11228.97</x:v>
      </x:c>
      <x:c r="G1232" s="18" t="n">
        <x:v>525.94</x:v>
      </x:c>
      <x:c r="H1232" s="18" t="n">
        <x:f>IFERROR(G1232/1000,"")</x:f>
        <x:v>0.5259400000000001</x:v>
      </x:c>
      <x:c r="I1232" s="19" t="n">
        <x:f>IFERROR(G1232/J1232,"")</x:f>
        <x:v>0.004732761491731436</x:v>
      </x:c>
      <x:c r="J1232" s="17" t="n">
        <x:v>111127.51</x:v>
      </x:c>
      <x:c r="K1232" s="17" t="str"/>
      <x:c r="L1232" s="17" t="str">
        <x:v>已定位热点事件/概念成分股视图，并确认了可用字段与时间口径。</x:v>
      </x:c>
      <x:c r="M1232" s="17" t="str"/>
      <x:c r="N1232" s="18" t="n">
        <x:v>0</x:v>
      </x:c>
      <x:c r="O1232" s="17" t="str">
        <x:v>public_sse_client_estimate</x:v>
      </x:c>
    </x:row>
    <x:row r="1233" ht="48" customHeight="1">
      <x:c r="A1233" s="17" t="str">
        <x:v>BUS227</x:v>
      </x:c>
      <x:c r="B1233" s="17" t="str">
        <x:v>查询今天最热热点事件，并列出每个事件的龙头公司当前涨跌幅。</x:v>
      </x:c>
      <x:c r="C1233" s="17" t="n">
        <x:v>5</x:v>
      </x:c>
      <x:c r="D1233" s="17" t="str">
        <x:v>数据查询 1/2</x:v>
      </x:c>
      <x:c r="E1233" s="17" t="str">
        <x:v>16812.92</x:v>
      </x:c>
      <x:c r="F1233" s="17" t="str">
        <x:v>16936.38</x:v>
      </x:c>
      <x:c r="G1233" s="18" t="n">
        <x:v>123.46</x:v>
      </x:c>
      <x:c r="H1233" s="18" t="n">
        <x:f>IFERROR(G1233/1000,"")</x:f>
        <x:v>0.12346</x:v>
      </x:c>
      <x:c r="I1233" s="19" t="n">
        <x:f>IFERROR(G1233/J1233,"")</x:f>
        <x:v>0.0011109760310475778</x:v>
      </x:c>
      <x:c r="J1233" s="17" t="n">
        <x:v>111127.51</x:v>
      </x:c>
      <x:c r="K1233" s="17" t="str"/>
      <x:c r="L1233" s="17" t="str">
        <x:v>已完成：查询今天最新的热点事件热度排名，取最热的前5个事件，当前条件下没有匹配记录。</x:v>
      </x:c>
      <x:c r="M1233" s="17" t="str"/>
      <x:c r="N1233" s="18" t="n">
        <x:v>5583.95</x:v>
      </x:c>
      <x:c r="O1233" s="17" t="str">
        <x:v>public_sse_client_estimate</x:v>
      </x:c>
    </x:row>
    <x:row r="1234" ht="48" customHeight="1">
      <x:c r="A1234" s="17" t="str">
        <x:v>BUS227</x:v>
      </x:c>
      <x:c r="B1234" s="17" t="str">
        <x:v>查询今天最热热点事件，并列出每个事件的龙头公司当前涨跌幅。</x:v>
      </x:c>
      <x:c r="C1234" s="17" t="n">
        <x:v>6</x:v>
      </x:c>
      <x:c r="D1234" s="17" t="str">
        <x:v>数据查询 2/2</x:v>
      </x:c>
      <x:c r="E1234" s="17" t="str">
        <x:v>16960.59</x:v>
      </x:c>
      <x:c r="F1234" s="17" t="str">
        <x:v>16971.82</x:v>
      </x:c>
      <x:c r="G1234" s="18" t="n">
        <x:v>11.23</x:v>
      </x:c>
      <x:c r="H1234" s="18" t="n">
        <x:f>IFERROR(G1234/1000,"")</x:f>
        <x:v>0.01123</x:v>
      </x:c>
      <x:c r="I1234" s="19" t="n">
        <x:f>IFERROR(G1234/J1234,"")</x:f>
        <x:v>0.00010105508527996354</x:v>
      </x:c>
      <x:c r="J1234" s="17" t="n">
        <x:v>111127.51</x:v>
      </x:c>
      <x:c r="K1234" s="17" t="str"/>
      <x:c r="L1234" s="17" t="str">
        <x:v>已完成：查询每个热点事件的龙头公司，当前条件下没有匹配记录。</x:v>
      </x:c>
      <x:c r="M1234" s="17" t="str"/>
      <x:c r="N1234" s="18" t="n">
        <x:v>24.21</x:v>
      </x:c>
      <x:c r="O1234" s="17" t="str">
        <x:v>public_sse_client_estimate</x:v>
      </x:c>
    </x:row>
    <x:row r="1235" ht="48" customHeight="1">
      <x:c r="A1235" s="17" t="str">
        <x:v>BUS227</x:v>
      </x:c>
      <x:c r="B1235" s="17" t="str">
        <x:v>查询今天最热热点事件，并列出每个事件的龙头公司当前涨跌幅。</x:v>
      </x:c>
      <x:c r="C1235" s="17" t="n">
        <x:v>7</x:v>
      </x:c>
      <x:c r="D1235" s="17" t="str">
        <x:v>数据查询 1/1</x:v>
      </x:c>
      <x:c r="E1235" s="17" t="str">
        <x:v>21099.32</x:v>
      </x:c>
      <x:c r="F1235" s="17" t="str">
        <x:v>21634.6</x:v>
      </x:c>
      <x:c r="G1235" s="18" t="n">
        <x:v>535.28</x:v>
      </x:c>
      <x:c r="H1235" s="18" t="n">
        <x:f>IFERROR(G1235/1000,"")</x:f>
        <x:v>0.53528</x:v>
      </x:c>
      <x:c r="I1235" s="19" t="n">
        <x:f>IFERROR(G1235/J1235,"")</x:f>
        <x:v>0.004816809087146828</x:v>
      </x:c>
      <x:c r="J1235" s="17" t="n">
        <x:v>111127.51</x:v>
      </x:c>
      <x:c r="K1235" s="17" t="str"/>
      <x:c r="L1235" s="17" t="str">
        <x:v>已完成：查询当前活跃的热点事件，按热度降序排列取前5，取得 5 条记录。</x:v>
      </x:c>
      <x:c r="M1235" s="17" t="str"/>
      <x:c r="N1235" s="18" t="n">
        <x:v>4127.5</x:v>
      </x:c>
      <x:c r="O1235" s="17" t="str">
        <x:v>public_sse_client_estimate</x:v>
      </x:c>
    </x:row>
    <x:row r="1236" ht="48" customHeight="1">
      <x:c r="A1236" s="17" t="str">
        <x:v>BUS227</x:v>
      </x:c>
      <x:c r="B1236" s="17" t="str">
        <x:v>查询今天最热热点事件，并列出每个事件的龙头公司当前涨跌幅。</x:v>
      </x:c>
      <x:c r="C1236" s="17" t="n">
        <x:v>8</x:v>
      </x:c>
      <x:c r="D1236" s="17" t="str">
        <x:v>数据查询 1/1</x:v>
      </x:c>
      <x:c r="E1236" s="17" t="str">
        <x:v>31273.68</x:v>
      </x:c>
      <x:c r="F1236" s="17" t="str">
        <x:v>31381.29</x:v>
      </x:c>
      <x:c r="G1236" s="18" t="n">
        <x:v>107.61</x:v>
      </x:c>
      <x:c r="H1236" s="18" t="n">
        <x:f>IFERROR(G1236/1000,"")</x:f>
        <x:v>0.10761</x:v>
      </x:c>
      <x:c r="I1236" s="19" t="n">
        <x:f>IFERROR(G1236/J1236,"")</x:f>
        <x:v>0.0009683470816542187</x:v>
      </x:c>
      <x:c r="J1236" s="17" t="n">
        <x:v>111127.51</x:v>
      </x:c>
      <x:c r="K1236" s="17" t="str"/>
      <x:c r="L1236" s="17" t="str">
        <x:v>已完成：查询所有热点的基础信息，查看有哪些热点事件，取得 10 条记录。</x:v>
      </x:c>
      <x:c r="M1236" s="17" t="str"/>
      <x:c r="N1236" s="18" t="n">
        <x:v>9639.08</x:v>
      </x:c>
      <x:c r="O1236" s="17" t="str">
        <x:v>public_sse_client_estimate</x:v>
      </x:c>
    </x:row>
    <x:row r="1237" ht="48" customHeight="1">
      <x:c r="A1237" s="17" t="str">
        <x:v>BUS227</x:v>
      </x:c>
      <x:c r="B1237" s="17" t="str">
        <x:v>查询今天最热热点事件，并列出每个事件的龙头公司当前涨跌幅。</x:v>
      </x:c>
      <x:c r="C1237" s="17" t="n">
        <x:v>9</x:v>
      </x:c>
      <x:c r="D1237" s="17" t="str">
        <x:v>数据查询 1/1</x:v>
      </x:c>
      <x:c r="E1237" s="17" t="str">
        <x:v>37648.12</x:v>
      </x:c>
      <x:c r="F1237" s="17" t="str">
        <x:v>37809.11</x:v>
      </x:c>
      <x:c r="G1237" s="18" t="n">
        <x:v>160.99</x:v>
      </x:c>
      <x:c r="H1237" s="18" t="n">
        <x:f>IFERROR(G1237/1000,"")</x:f>
        <x:v>0.16099000000000002</x:v>
      </x:c>
      <x:c r="I1237" s="19" t="n">
        <x:f>IFERROR(G1237/J1237,"")</x:f>
        <x:v>0.0014486961869297711</x:v>
      </x:c>
      <x:c r="J1237" s="17" t="n">
        <x:v>111127.51</x:v>
      </x:c>
      <x:c r="K1237" s="17" t="str"/>
      <x:c r="L1237" s="17" t="str">
        <x:v>已完成：查询所有活跃热点事件的热度排名，按热度降序，当前条件下没有匹配记录。</x:v>
      </x:c>
      <x:c r="M1237" s="17" t="str"/>
      <x:c r="N1237" s="18" t="n">
        <x:v>6266.83</x:v>
      </x:c>
      <x:c r="O1237" s="17" t="str">
        <x:v>public_sse_client_estimate</x:v>
      </x:c>
    </x:row>
    <x:row r="1238" ht="48" customHeight="1">
      <x:c r="A1238" s="17" t="str">
        <x:v>BUS227</x:v>
      </x:c>
      <x:c r="B1238" s="17" t="str">
        <x:v>查询今天最热热点事件，并列出每个事件的龙头公司当前涨跌幅。</x:v>
      </x:c>
      <x:c r="C1238" s="17" t="n">
        <x:v>10</x:v>
      </x:c>
      <x:c r="D1238" s="17" t="str">
        <x:v>数据查询 1/1</x:v>
      </x:c>
      <x:c r="E1238" s="17" t="str">
        <x:v>40894.41</x:v>
      </x:c>
      <x:c r="F1238" s="17" t="str">
        <x:v>41400.63</x:v>
      </x:c>
      <x:c r="G1238" s="18" t="n">
        <x:v>506.22</x:v>
      </x:c>
      <x:c r="H1238" s="18" t="n">
        <x:f>IFERROR(G1238/1000,"")</x:f>
        <x:v>0.50622</x:v>
      </x:c>
      <x:c r="I1238" s="19" t="n">
        <x:f>IFERROR(G1238/J1238,"")</x:f>
        <x:v>0.004555307682139194</x:v>
      </x:c>
      <x:c r="J1238" s="17" t="n">
        <x:v>111127.51</x:v>
      </x:c>
      <x:c r="K1238" s="17" t="str"/>
      <x:c r="L1238" s="17" t="str">
        <x:v>已完成：查询所有热点事件的热度状态，按热度降序排列，取得 20 条记录。</x:v>
      </x:c>
      <x:c r="M1238" s="17" t="str"/>
      <x:c r="N1238" s="18" t="n">
        <x:v>3085.3</x:v>
      </x:c>
      <x:c r="O1238" s="17" t="str">
        <x:v>public_sse_client_estimate</x:v>
      </x:c>
    </x:row>
    <x:row r="1239" ht="48" customHeight="1">
      <x:c r="A1239" s="17" t="str">
        <x:v>BUS227</x:v>
      </x:c>
      <x:c r="B1239" s="17" t="str">
        <x:v>查询今天最热热点事件，并列出每个事件的龙头公司当前涨跌幅。</x:v>
      </x:c>
      <x:c r="C1239" s="17" t="n">
        <x:v>11</x:v>
      </x:c>
      <x:c r="D1239" s="17" t="str">
        <x:v>数据查询 1/1</x:v>
      </x:c>
      <x:c r="E1239" s="17" t="str">
        <x:v>46977.84</x:v>
      </x:c>
      <x:c r="F1239" s="17" t="str">
        <x:v>47105.96</x:v>
      </x:c>
      <x:c r="G1239" s="18" t="n">
        <x:v>128.12</x:v>
      </x:c>
      <x:c r="H1239" s="18" t="n">
        <x:f>IFERROR(G1239/1000,"")</x:f>
        <x:v>0.12812</x:v>
      </x:c>
      <x:c r="I1239" s="19" t="n">
        <x:f>IFERROR(G1239/J1239,"")</x:f>
        <x:v>0.001152909842036414</x:v>
      </x:c>
      <x:c r="J1239" s="17" t="n">
        <x:v>111127.51</x:v>
      </x:c>
      <x:c r="K1239" s="17" t="str"/>
      <x:c r="L1239" s="17" t="str">
        <x:v>已完成：查询最近交易日各热点事件的最新热度状态，按热度降序，取得 10 条记录。</x:v>
      </x:c>
      <x:c r="M1239" s="17" t="str"/>
      <x:c r="N1239" s="18" t="n">
        <x:v>5577.21</x:v>
      </x:c>
      <x:c r="O1239" s="17" t="str">
        <x:v>public_sse_client_estimate</x:v>
      </x:c>
    </x:row>
    <x:row r="1240" ht="48" customHeight="1">
      <x:c r="A1240" s="17" t="str">
        <x:v>BUS227</x:v>
      </x:c>
      <x:c r="B1240" s="17" t="str">
        <x:v>查询今天最热热点事件，并列出每个事件的龙头公司当前涨跌幅。</x:v>
      </x:c>
      <x:c r="C1240" s="17" t="n">
        <x:v>12</x:v>
      </x:c>
      <x:c r="D1240" s="17" t="str">
        <x:v>数据查询 1/1</x:v>
      </x:c>
      <x:c r="E1240" s="17" t="str">
        <x:v>52420.38</x:v>
      </x:c>
      <x:c r="F1240" s="17" t="str">
        <x:v>56548.22</x:v>
      </x:c>
      <x:c r="G1240" s="18" t="n">
        <x:v>4127.84</x:v>
      </x:c>
      <x:c r="H1240" s="18" t="n">
        <x:f>IFERROR(G1240/1000,"")</x:f>
        <x:v>4.12784</x:v>
      </x:c>
      <x:c r="I1240" s="19" t="n">
        <x:f>IFERROR(G1240/J1240,"")</x:f>
        <x:v>0.0371450777579737</x:v>
      </x:c>
      <x:c r="J1240" s="17" t="n">
        <x:v>111127.51</x:v>
      </x:c>
      <x:c r="K1240" s="17" t="str"/>
      <x:c r="L1240" s="17" t="str">
        <x:v>已完成：查询2026-07-31各热点事件的最新热度状态，按热度降序，取不同事件，取得 30 条记录。</x:v>
      </x:c>
      <x:c r="M1240" s="17" t="str"/>
      <x:c r="N1240" s="18" t="n">
        <x:v>5314.42</x:v>
      </x:c>
      <x:c r="O1240" s="17" t="str">
        <x:v>public_sse_client_estimate</x:v>
      </x:c>
    </x:row>
    <x:row r="1241" ht="48" customHeight="1">
      <x:c r="A1241" s="17" t="str">
        <x:v>BUS227</x:v>
      </x:c>
      <x:c r="B1241" s="17" t="str">
        <x:v>查询今天最热热点事件，并列出每个事件的龙头公司当前涨跌幅。</x:v>
      </x:c>
      <x:c r="C1241" s="17" t="n">
        <x:v>13</x:v>
      </x:c>
      <x:c r="D1241" s="17" t="str">
        <x:v>数据查询 1/1</x:v>
      </x:c>
      <x:c r="E1241" s="17" t="str">
        <x:v>60025.27</x:v>
      </x:c>
      <x:c r="F1241" s="17" t="str">
        <x:v>60181.32</x:v>
      </x:c>
      <x:c r="G1241" s="18" t="n">
        <x:v>156.05</x:v>
      </x:c>
      <x:c r="H1241" s="18" t="n">
        <x:f>IFERROR(G1241/1000,"")</x:f>
        <x:v>0.15605000000000002</x:v>
      </x:c>
      <x:c r="I1241" s="19" t="n">
        <x:f>IFERROR(G1241/J1241,"")</x:f>
        <x:v>0.0014042427478128505</x:v>
      </x:c>
      <x:c r="J1241" s="17" t="n">
        <x:v>111127.51</x:v>
      </x:c>
      <x:c r="K1241" s="17" t="str"/>
      <x:c r="L1241" s="17" t="str">
        <x:v>已完成：查询2026-07-31最热事件的龙头公司，事件ID包括AI应用/大模型、AI大模型及AI应用、MLCC被动元件等，当前条件下没有匹配记录。</x:v>
      </x:c>
      <x:c r="M1241" s="17" t="str"/>
      <x:c r="N1241" s="18" t="n">
        <x:v>3477.05</x:v>
      </x:c>
      <x:c r="O1241" s="17" t="str">
        <x:v>public_sse_client_estimate</x:v>
      </x:c>
    </x:row>
    <x:row r="1242" ht="48" customHeight="1">
      <x:c r="A1242" s="17" t="str">
        <x:v>BUS227</x:v>
      </x:c>
      <x:c r="B1242" s="17" t="str">
        <x:v>查询今天最热热点事件，并列出每个事件的龙头公司当前涨跌幅。</x:v>
      </x:c>
      <x:c r="C1242" s="17" t="n">
        <x:v>14</x:v>
      </x:c>
      <x:c r="D1242" s="17" t="str">
        <x:v>数据查询 1/1</x:v>
      </x:c>
      <x:c r="E1242" s="17" t="str">
        <x:v>63224.15</x:v>
      </x:c>
      <x:c r="F1242" s="17" t="str">
        <x:v>63365.78</x:v>
      </x:c>
      <x:c r="G1242" s="18" t="n">
        <x:v>141.63</x:v>
      </x:c>
      <x:c r="H1242" s="18" t="n">
        <x:f>IFERROR(G1242/1000,"")</x:f>
        <x:v>0.14163</x:v>
      </x:c>
      <x:c r="I1242" s="19" t="n">
        <x:f>IFERROR(G1242/J1242,"")</x:f>
        <x:v>0.0012744818992164947</x:v>
      </x:c>
      <x:c r="J1242" s="17" t="n">
        <x:v>111127.51</x:v>
      </x:c>
      <x:c r="K1242" s="17" t="str"/>
      <x:c r="L1242" s="17" t="str">
        <x:v>已完成：查询2026-07-31最热事件的成分股，查看哪些公司属于这些事件，取得 30 条记录。</x:v>
      </x:c>
      <x:c r="M1242" s="17" t="str"/>
      <x:c r="N1242" s="18" t="n">
        <x:v>3042.83</x:v>
      </x:c>
      <x:c r="O1242" s="17" t="str">
        <x:v>public_sse_client_estimate</x:v>
      </x:c>
    </x:row>
    <x:row r="1243" ht="48" customHeight="1">
      <x:c r="A1243" s="17" t="str">
        <x:v>BUS227</x:v>
      </x:c>
      <x:c r="B1243" s="17" t="str">
        <x:v>查询今天最热热点事件，并列出每个事件的龙头公司当前涨跌幅。</x:v>
      </x:c>
      <x:c r="C1243" s="17" t="n">
        <x:v>15</x:v>
      </x:c>
      <x:c r="D1243" s="17" t="str">
        <x:v>数据查询 1/1</x:v>
      </x:c>
      <x:c r="E1243" s="17" t="str">
        <x:v>68258.21</x:v>
      </x:c>
      <x:c r="F1243" s="17" t="str">
        <x:v>68430.39</x:v>
      </x:c>
      <x:c r="G1243" s="18" t="n">
        <x:v>172.18</x:v>
      </x:c>
      <x:c r="H1243" s="18" t="n">
        <x:f>IFERROR(G1243/1000,"")</x:f>
        <x:v>0.17218</x:v>
      </x:c>
      <x:c r="I1243" s="19" t="n">
        <x:f>IFERROR(G1243/J1243,"")</x:f>
        <x:v>0.001549391325334294</x:v>
      </x:c>
      <x:c r="J1243" s="17" t="n">
        <x:v>111127.51</x:v>
      </x:c>
      <x:c r="K1243" s="17" t="str"/>
      <x:c r="L1243" s="17" t="str">
        <x:v>已完成：查询所有热点事件中标记为龙头（is_leader=1）的股票，当前条件下没有匹配记录。</x:v>
      </x:c>
      <x:c r="M1243" s="17" t="str"/>
      <x:c r="N1243" s="18" t="n">
        <x:v>4892.43</x:v>
      </x:c>
      <x:c r="O1243" s="17" t="str">
        <x:v>public_sse_client_estimate</x:v>
      </x:c>
    </x:row>
    <x:row r="1244" ht="48" customHeight="1">
      <x:c r="A1244" s="17" t="str">
        <x:v>BUS227</x:v>
      </x:c>
      <x:c r="B1244" s="17" t="str">
        <x:v>查询今天最热热点事件，并列出每个事件的龙头公司当前涨跌幅。</x:v>
      </x:c>
      <x:c r="C1244" s="17" t="n">
        <x:v>16</x:v>
      </x:c>
      <x:c r="D1244" s="17" t="str">
        <x:v>数据查询 1/1</x:v>
      </x:c>
      <x:c r="E1244" s="17" t="str">
        <x:v>76182.7</x:v>
      </x:c>
      <x:c r="F1244" s="17" t="str">
        <x:v>76311.25</x:v>
      </x:c>
      <x:c r="G1244" s="18" t="n">
        <x:v>128.55</x:v>
      </x:c>
      <x:c r="H1244" s="18" t="n">
        <x:f>IFERROR(G1244/1000,"")</x:f>
        <x:v>0.12855</x:v>
      </x:c>
      <x:c r="I1244" s="19" t="n">
        <x:f>IFERROR(G1244/J1244,"")</x:f>
        <x:v>0.001156779270947401</x:v>
      </x:c>
      <x:c r="J1244" s="17" t="n">
        <x:v>111127.51</x:v>
      </x:c>
      <x:c r="K1244" s="17" t="str"/>
      <x:c r="L1244" s="17" t="str">
        <x:v>已完成：查询当前最热事件AI应用/大模型（HE3F1192AD66D6DA17）的成分股，了解龙头公司，取得 20 条记录。</x:v>
      </x:c>
      <x:c r="M1244" s="17" t="str"/>
      <x:c r="N1244" s="18" t="n">
        <x:v>7752.31</x:v>
      </x:c>
      <x:c r="O1244" s="17" t="str">
        <x:v>public_sse_client_estimate</x:v>
      </x:c>
    </x:row>
    <x:row r="1245" ht="48" customHeight="1">
      <x:c r="A1245" s="17" t="str">
        <x:v>BUS227</x:v>
      </x:c>
      <x:c r="B1245" s="17" t="str">
        <x:v>查询今天最热热点事件，并列出每个事件的龙头公司当前涨跌幅。</x:v>
      </x:c>
      <x:c r="C1245" s="17" t="n">
        <x:v>17</x:v>
      </x:c>
      <x:c r="D1245" s="17" t="str">
        <x:v>数据查询 1/1</x:v>
      </x:c>
      <x:c r="E1245" s="17" t="str">
        <x:v>84643.97</x:v>
      </x:c>
      <x:c r="F1245" s="17" t="str">
        <x:v>84783.52</x:v>
      </x:c>
      <x:c r="G1245" s="18" t="n">
        <x:v>139.55</x:v>
      </x:c>
      <x:c r="H1245" s="18" t="n">
        <x:f>IFERROR(G1245/1000,"")</x:f>
        <x:v>0.13955</x:v>
      </x:c>
      <x:c r="I1245" s="19" t="n">
        <x:f>IFERROR(G1245/J1245,"")</x:f>
        <x:v>0.0012557646616935807</x:v>
      </x:c>
      <x:c r="J1245" s="17" t="n">
        <x:v>111127.51</x:v>
      </x:c>
      <x:c r="K1245" s="17" t="str"/>
      <x:c r="L1245" s="17" t="str">
        <x:v>已完成：查询MLCC/被动元件、AI算力/数据中心等热点事件的成分股，取得 30 条记录。</x:v>
      </x:c>
      <x:c r="M1245" s="17" t="str"/>
      <x:c r="N1245" s="18" t="n">
        <x:v>8332.72</x:v>
      </x:c>
      <x:c r="O1245" s="17" t="str">
        <x:v>public_sse_client_estimate</x:v>
      </x:c>
    </x:row>
    <x:row r="1246" ht="48" customHeight="1">
      <x:c r="A1246" s="17" t="str">
        <x:v>BUS227</x:v>
      </x:c>
      <x:c r="B1246" s="17" t="str">
        <x:v>查询今天最热热点事件，并列出每个事件的龙头公司当前涨跌幅。</x:v>
      </x:c>
      <x:c r="C1246" s="17" t="n">
        <x:v>18</x:v>
      </x:c>
      <x:c r="D1246" s="17" t="str">
        <x:v>数据查询 1/1</x:v>
      </x:c>
      <x:c r="E1246" s="17" t="str">
        <x:v>88883.99</x:v>
      </x:c>
      <x:c r="F1246" s="17" t="str">
        <x:v>89664.67</x:v>
      </x:c>
      <x:c r="G1246" s="18" t="n">
        <x:v>780.68</x:v>
      </x:c>
      <x:c r="H1246" s="18" t="n">
        <x:f>IFERROR(G1246/1000,"")</x:f>
        <x:v>0.7806799999999999</x:v>
      </x:c>
      <x:c r="I1246" s="19" t="n">
        <x:f>IFERROR(G1246/J1246,"")</x:f>
        <x:v>0.007025083167975238</x:v>
      </x:c>
      <x:c r="J1246" s="17" t="n">
        <x:v>111127.51</x:v>
      </x:c>
      <x:c r="K1246" s="17" t="str"/>
      <x:c r="L1246" s="17" t="str">
        <x:v>已完成：查询2026-07-31热点事件代表性股票的涨跌幅，取得 10 条记录。</x:v>
      </x:c>
      <x:c r="M1246" s="17" t="str"/>
      <x:c r="N1246" s="18" t="n">
        <x:v>4100.47</x:v>
      </x:c>
      <x:c r="O1246" s="17" t="str">
        <x:v>public_sse_client_estimate</x:v>
      </x:c>
    </x:row>
    <x:row r="1247" ht="48" customHeight="1">
      <x:c r="A1247" s="17" t="str">
        <x:v>BUS227</x:v>
      </x:c>
      <x:c r="B1247" s="17" t="str">
        <x:v>查询今天最热热点事件，并列出每个事件的龙头公司当前涨跌幅。</x:v>
      </x:c>
      <x:c r="C1247" s="17" t="n">
        <x:v>19</x:v>
      </x:c>
      <x:c r="D1247" s="17" t="str">
        <x:v>回答整理</x:v>
      </x:c>
      <x:c r="E1247" s="17" t="str">
        <x:v>89664.67</x:v>
      </x:c>
      <x:c r="F1247" s="17" t="str">
        <x:v>102417.64</x:v>
      </x:c>
      <x:c r="G1247" s="18" t="n">
        <x:v>12752.97</x:v>
      </x:c>
      <x:c r="H1247" s="18" t="n">
        <x:f>IFERROR(G1247/1000,"")</x:f>
        <x:v>12.75297</x:v>
      </x:c>
      <x:c r="I1247" s="19" t="n">
        <x:f>IFERROR(G1247/J1247,"")</x:f>
        <x:v>0.11475979260220984</x:v>
      </x:c>
      <x:c r="J1247" s="17" t="n">
        <x:v>111127.51</x:v>
      </x:c>
      <x:c r="K1247" s="17" t="str"/>
      <x:c r="L1247" s="17" t="str">
        <x:v>证据与回答已整理完成。</x:v>
      </x:c>
      <x:c r="M1247" s="17" t="str"/>
      <x:c r="N1247" s="18" t="n">
        <x:v>0</x:v>
      </x:c>
      <x:c r="O1247" s="17" t="str">
        <x:v>public_sse_client_estimate</x:v>
      </x:c>
    </x:row>
    <x:row r="1248" ht="48" customHeight="1">
      <x:c r="A1248" s="17" t="str">
        <x:v>BUS228</x:v>
      </x:c>
      <x:c r="B1248" s="17" t="str">
        <x:v>查询PCB热点的基础信息、最新热度和当前成分股。</x:v>
      </x:c>
      <x:c r="C1248" s="17" t="n">
        <x:v>1</x:v>
      </x:c>
      <x:c r="D1248" s="17" t="str">
        <x:v>问题理解</x:v>
      </x:c>
      <x:c r="E1248" s="17" t="str">
        <x:v>4900.18</x:v>
      </x:c>
      <x:c r="F1248" s="17" t="str">
        <x:v>7610.13</x:v>
      </x:c>
      <x:c r="G1248" s="18" t="n">
        <x:v>2709.95</x:v>
      </x:c>
      <x:c r="H1248" s="18" t="n">
        <x:f>IFERROR(G1248/1000,"")</x:f>
        <x:v>2.7099499999999996</x:v>
      </x:c>
      <x:c r="I1248" s="19" t="n">
        <x:f>IFERROR(G1248/J1248,"")</x:f>
        <x:v>0.06045101303044512</x:v>
      </x:c>
      <x:c r="J1248" s="17" t="n">
        <x:v>44828.86</x:v>
      </x:c>
      <x:c r="K1248" s="17" t="str"/>
      <x:c r="L1248" s="17" t="str">
        <x:v>已明确本题的对象与口径，开始获取所需证据。</x:v>
      </x:c>
      <x:c r="M1248" s="17" t="str"/>
      <x:c r="N1248" s="18" t="n">
        <x:v>4900.18</x:v>
      </x:c>
      <x:c r="O1248" s="17" t="str">
        <x:v>public_sse_client_estimate</x:v>
      </x:c>
    </x:row>
    <x:row r="1249" ht="48" customHeight="1">
      <x:c r="A1249" s="17" t="str">
        <x:v>BUS228</x:v>
      </x:c>
      <x:c r="B1249" s="17" t="str">
        <x:v>查询PCB热点的基础信息、最新热度和当前成分股。</x:v>
      </x:c>
      <x:c r="C1249" s="17" t="n">
        <x:v>2</x:v>
      </x:c>
      <x:c r="D1249" s="17" t="str">
        <x:v>数据口径</x:v>
      </x:c>
      <x:c r="E1249" s="17" t="str">
        <x:v>7610.13</x:v>
      </x:c>
      <x:c r="F1249" s="17" t="str">
        <x:v>7633.76</x:v>
      </x:c>
      <x:c r="G1249" s="18" t="n">
        <x:v>23.63</x:v>
      </x:c>
      <x:c r="H1249" s="18" t="n">
        <x:f>IFERROR(G1249/1000,"")</x:f>
        <x:v>0.023629999999999998</x:v>
      </x:c>
      <x:c r="I1249" s="19" t="n">
        <x:f>IFERROR(G1249/J1249,"")</x:f>
        <x:v>0.0005271157910328302</x:v>
      </x:c>
      <x:c r="J1249" s="17" t="n">
        <x:v>44828.86</x:v>
      </x:c>
      <x:c r="K1249" s="17" t="str"/>
      <x:c r="L1249" s="17" t="str">
        <x:v>已确认该金融主体可查询的数据范围。</x:v>
      </x:c>
      <x:c r="M1249" s="17" t="str"/>
      <x:c r="N1249" s="18" t="n">
        <x:v>0</x:v>
      </x:c>
      <x:c r="O1249" s="17" t="str">
        <x:v>public_sse_client_estimate</x:v>
      </x:c>
    </x:row>
    <x:row r="1250" ht="48" customHeight="1">
      <x:c r="A1250" s="17" t="str">
        <x:v>BUS228</x:v>
      </x:c>
      <x:c r="B1250" s="17" t="str">
        <x:v>查询PCB热点的基础信息、最新热度和当前成分股。</x:v>
      </x:c>
      <x:c r="C1250" s="17" t="n">
        <x:v>3</x:v>
      </x:c>
      <x:c r="D1250" s="17" t="str">
        <x:v>数据口径</x:v>
      </x:c>
      <x:c r="E1250" s="17" t="str">
        <x:v>7633.76</x:v>
      </x:c>
      <x:c r="F1250" s="17" t="str">
        <x:v>9514.98</x:v>
      </x:c>
      <x:c r="G1250" s="18" t="n">
        <x:v>1881.22</x:v>
      </x:c>
      <x:c r="H1250" s="18" t="n">
        <x:f>IFERROR(G1250/1000,"")</x:f>
        <x:v>1.8812200000000001</x:v>
      </x:c>
      <x:c r="I1250" s="19" t="n">
        <x:f>IFERROR(G1250/J1250,"")</x:f>
        <x:v>0.041964484486110065</x:v>
      </x:c>
      <x:c r="J1250" s="17" t="n">
        <x:v>44828.86</x:v>
      </x:c>
      <x:c r="K1250" s="17" t="str"/>
      <x:c r="L1250" s="17" t="str">
        <x:v>已定位热点事件/概念基础信息视图，并确认了可用字段与时间口径。</x:v>
      </x:c>
      <x:c r="M1250" s="17" t="str"/>
      <x:c r="N1250" s="18" t="n">
        <x:v>0</x:v>
      </x:c>
      <x:c r="O1250" s="17" t="str">
        <x:v>public_sse_client_estimate</x:v>
      </x:c>
    </x:row>
    <x:row r="1251" ht="48" customHeight="1">
      <x:c r="A1251" s="17" t="str">
        <x:v>BUS228</x:v>
      </x:c>
      <x:c r="B1251" s="17" t="str">
        <x:v>查询PCB热点的基础信息、最新热度和当前成分股。</x:v>
      </x:c>
      <x:c r="C1251" s="17" t="n">
        <x:v>4</x:v>
      </x:c>
      <x:c r="D1251" s="17" t="str">
        <x:v>数据口径</x:v>
      </x:c>
      <x:c r="E1251" s="17" t="str">
        <x:v>9514.98</x:v>
      </x:c>
      <x:c r="F1251" s="17" t="str">
        <x:v>10077.25</x:v>
      </x:c>
      <x:c r="G1251" s="18" t="n">
        <x:v>562.27</x:v>
      </x:c>
      <x:c r="H1251" s="18" t="n">
        <x:f>IFERROR(G1251/1000,"")</x:f>
        <x:v>0.5622699999999999</x:v>
      </x:c>
      <x:c r="I1251" s="19" t="n">
        <x:f>IFERROR(G1251/J1251,"")</x:f>
        <x:v>0.012542589751334297</x:v>
      </x:c>
      <x:c r="J1251" s="17" t="n">
        <x:v>44828.86</x:v>
      </x:c>
      <x:c r="K1251" s="17" t="str"/>
      <x:c r="L1251" s="17" t="str">
        <x:v>已定位热点事件/概念状态视图，并确认了可用字段与时间口径。</x:v>
      </x:c>
      <x:c r="M1251" s="17" t="str"/>
      <x:c r="N1251" s="18" t="n">
        <x:v>0</x:v>
      </x:c>
      <x:c r="O1251" s="17" t="str">
        <x:v>public_sse_client_estimate</x:v>
      </x:c>
    </x:row>
    <x:row r="1252" ht="48" customHeight="1">
      <x:c r="A1252" s="17" t="str">
        <x:v>BUS228</x:v>
      </x:c>
      <x:c r="B1252" s="17" t="str">
        <x:v>查询PCB热点的基础信息、最新热度和当前成分股。</x:v>
      </x:c>
      <x:c r="C1252" s="17" t="n">
        <x:v>5</x:v>
      </x:c>
      <x:c r="D1252" s="17" t="str">
        <x:v>数据口径</x:v>
      </x:c>
      <x:c r="E1252" s="17" t="str">
        <x:v>10077.25</x:v>
      </x:c>
      <x:c r="F1252" s="17" t="str">
        <x:v>10484.1</x:v>
      </x:c>
      <x:c r="G1252" s="18" t="n">
        <x:v>406.85</x:v>
      </x:c>
      <x:c r="H1252" s="18" t="n">
        <x:f>IFERROR(G1252/1000,"")</x:f>
        <x:v>0.40685000000000004</x:v>
      </x:c>
      <x:c r="I1252" s="19" t="n">
        <x:f>IFERROR(G1252/J1252,"")</x:f>
        <x:v>0.009075626727960515</x:v>
      </x:c>
      <x:c r="J1252" s="17" t="n">
        <x:v>44828.86</x:v>
      </x:c>
      <x:c r="K1252" s="17" t="str"/>
      <x:c r="L1252" s="17" t="str">
        <x:v>已定位热点事件/概念成分股视图，并确认了可用字段与时间口径。</x:v>
      </x:c>
      <x:c r="M1252" s="17" t="str"/>
      <x:c r="N1252" s="18" t="n">
        <x:v>0</x:v>
      </x:c>
      <x:c r="O1252" s="17" t="str">
        <x:v>public_sse_client_estimate</x:v>
      </x:c>
    </x:row>
    <x:row r="1253" ht="48" customHeight="1">
      <x:c r="A1253" s="17" t="str">
        <x:v>BUS228</x:v>
      </x:c>
      <x:c r="B1253" s="17" t="str">
        <x:v>查询PCB热点的基础信息、最新热度和当前成分股。</x:v>
      </x:c>
      <x:c r="C1253" s="17" t="n">
        <x:v>6</x:v>
      </x:c>
      <x:c r="D1253" s="17" t="str">
        <x:v>数据查询 1/3</x:v>
      </x:c>
      <x:c r="E1253" s="17" t="str">
        <x:v>17388.81</x:v>
      </x:c>
      <x:c r="F1253" s="17" t="str">
        <x:v>17533.26</x:v>
      </x:c>
      <x:c r="G1253" s="18" t="n">
        <x:v>144.45</x:v>
      </x:c>
      <x:c r="H1253" s="18" t="n">
        <x:f>IFERROR(G1253/1000,"")</x:f>
        <x:v>0.14445</x:v>
      </x:c>
      <x:c r="I1253" s="19" t="n">
        <x:f>IFERROR(G1253/J1253,"")</x:f>
        <x:v>0.0032222545922425865</x:v>
      </x:c>
      <x:c r="J1253" s="17" t="n">
        <x:v>44828.86</x:v>
      </x:c>
      <x:c r="K1253" s="17" t="str"/>
      <x:c r="L1253" s="17" t="str">
        <x:v>已完成：获取PCB热点概念的基础信息，包括首次触发日期、最近触发、是否活跃、核心事件描述等，取得 1 条记录。</x:v>
      </x:c>
      <x:c r="M1253" s="17" t="str"/>
      <x:c r="N1253" s="18" t="n">
        <x:v>6904.71</x:v>
      </x:c>
      <x:c r="O1253" s="17" t="str">
        <x:v>public_sse_client_estimate</x:v>
      </x:c>
    </x:row>
    <x:row r="1254" ht="48" customHeight="1">
      <x:c r="A1254" s="17" t="str">
        <x:v>BUS228</x:v>
      </x:c>
      <x:c r="B1254" s="17" t="str">
        <x:v>查询PCB热点的基础信息、最新热度和当前成分股。</x:v>
      </x:c>
      <x:c r="C1254" s="17" t="n">
        <x:v>7</x:v>
      </x:c>
      <x:c r="D1254" s="17" t="str">
        <x:v>数据查询 2/3</x:v>
      </x:c>
      <x:c r="E1254" s="17" t="str">
        <x:v>17539.7</x:v>
      </x:c>
      <x:c r="F1254" s="17" t="str">
        <x:v>17674.62</x:v>
      </x:c>
      <x:c r="G1254" s="18" t="n">
        <x:v>134.92</x:v>
      </x:c>
      <x:c r="H1254" s="18" t="n">
        <x:f>IFERROR(G1254/1000,"")</x:f>
        <x:v>0.13491999999999998</x:v>
      </x:c>
      <x:c r="I1254" s="19" t="n">
        <x:f>IFERROR(G1254/J1254,"")</x:f>
        <x:v>0.0030096683252708186</x:v>
      </x:c>
      <x:c r="J1254" s="17" t="n">
        <x:v>44828.86</x:v>
      </x:c>
      <x:c r="K1254" s="17" t="str"/>
      <x:c r="L1254" s="17" t="str">
        <x:v>已完成：获取PCB热点概念的最新热度状态，包括热度评分、变化标签、平均涨幅、涨停数量等，取得 1 条记录。</x:v>
      </x:c>
      <x:c r="M1254" s="17" t="str"/>
      <x:c r="N1254" s="18" t="n">
        <x:v>6.44</x:v>
      </x:c>
      <x:c r="O1254" s="17" t="str">
        <x:v>public_sse_client_estimate</x:v>
      </x:c>
    </x:row>
    <x:row r="1255" ht="48" customHeight="1">
      <x:c r="A1255" s="17" t="str">
        <x:v>BUS228</x:v>
      </x:c>
      <x:c r="B1255" s="17" t="str">
        <x:v>查询PCB热点的基础信息、最新热度和当前成分股。</x:v>
      </x:c>
      <x:c r="C1255" s="17" t="n">
        <x:v>8</x:v>
      </x:c>
      <x:c r="D1255" s="17" t="str">
        <x:v>数据查询 3/3</x:v>
      </x:c>
      <x:c r="E1255" s="17" t="str">
        <x:v>17676.57</x:v>
      </x:c>
      <x:c r="F1255" s="17" t="str">
        <x:v>20405.27</x:v>
      </x:c>
      <x:c r="G1255" s="18" t="n">
        <x:v>2728.7</x:v>
      </x:c>
      <x:c r="H1255" s="18" t="n">
        <x:f>IFERROR(G1255/1000,"")</x:f>
        <x:v>2.7287</x:v>
      </x:c>
      <x:c r="I1255" s="19" t="n">
        <x:f>IFERROR(G1255/J1255,"")</x:f>
        <x:v>0.060869270376271</x:v>
      </x:c>
      <x:c r="J1255" s="17" t="n">
        <x:v>44828.86</x:v>
      </x:c>
      <x:c r="K1255" s="17" t="str"/>
      <x:c r="L1255" s="17" t="str">
        <x:v>已完成：获取PCB热点概念的当前成分股列表，取得 100 条记录。</x:v>
      </x:c>
      <x:c r="M1255" s="17" t="str"/>
      <x:c r="N1255" s="18" t="n">
        <x:v>1.95</x:v>
      </x:c>
      <x:c r="O1255" s="17" t="str">
        <x:v>public_sse_client_estimate</x:v>
      </x:c>
    </x:row>
    <x:row r="1256" ht="48" customHeight="1">
      <x:c r="A1256" s="17" t="str">
        <x:v>BUS228</x:v>
      </x:c>
      <x:c r="B1256" s="17" t="str">
        <x:v>查询PCB热点的基础信息、最新热度和当前成分股。</x:v>
      </x:c>
      <x:c r="C1256" s="17" t="n">
        <x:v>9</x:v>
      </x:c>
      <x:c r="D1256" s="17" t="str">
        <x:v>回答整理</x:v>
      </x:c>
      <x:c r="E1256" s="17" t="str">
        <x:v>20405.27</x:v>
      </x:c>
      <x:c r="F1256" s="17" t="str">
        <x:v>41673.48</x:v>
      </x:c>
      <x:c r="G1256" s="18" t="n">
        <x:v>21268.21</x:v>
      </x:c>
      <x:c r="H1256" s="18" t="n">
        <x:f>IFERROR(G1256/1000,"")</x:f>
        <x:v>21.26821</x:v>
      </x:c>
      <x:c r="I1256" s="19" t="n">
        <x:f>IFERROR(G1256/J1256,"")</x:f>
        <x:v>0.47443120347026446</x:v>
      </x:c>
      <x:c r="J1256" s="17" t="n">
        <x:v>44828.86</x:v>
      </x:c>
      <x:c r="K1256" s="17" t="str"/>
      <x:c r="L1256" s="17" t="str">
        <x:v>证据与回答已整理完成。</x:v>
      </x:c>
      <x:c r="M1256" s="17" t="str"/>
      <x:c r="N1256" s="18" t="n">
        <x:v>0</x:v>
      </x:c>
      <x:c r="O1256" s="17" t="str">
        <x:v>public_sse_client_estimate</x:v>
      </x:c>
    </x:row>
    <x:row r="1257" ht="48" customHeight="1">
      <x:c r="A1257" s="17" t="str">
        <x:v>BUS229</x:v>
      </x:c>
      <x:c r="B1257" s="17" t="str">
        <x:v>查询机器人热点成分股，并返回这些股票今天主力净流入前10名。</x:v>
      </x:c>
      <x:c r="C1257" s="17" t="n">
        <x:v>1</x:v>
      </x:c>
      <x:c r="D1257" s="17" t="str">
        <x:v>问题理解</x:v>
      </x:c>
      <x:c r="E1257" s="17" t="str">
        <x:v>5055.18</x:v>
      </x:c>
      <x:c r="F1257" s="17" t="str">
        <x:v>9367.97</x:v>
      </x:c>
      <x:c r="G1257" s="18" t="n">
        <x:v>4312.79</x:v>
      </x:c>
      <x:c r="H1257" s="18" t="n">
        <x:f>IFERROR(G1257/1000,"")</x:f>
        <x:v>4.31279</x:v>
      </x:c>
      <x:c r="I1257" s="19" t="n">
        <x:f>IFERROR(G1257/J1257,"")</x:f>
        <x:v>0.06864707113586749</x:v>
      </x:c>
      <x:c r="J1257" s="17" t="n">
        <x:v>62825.55</x:v>
      </x:c>
      <x:c r="K1257" s="17" t="str"/>
      <x:c r="L1257" s="17" t="str">
        <x:v>已明确本题的对象与口径，开始获取所需证据。</x:v>
      </x:c>
      <x:c r="M1257" s="17" t="str"/>
      <x:c r="N1257" s="18" t="n">
        <x:v>5055.18</x:v>
      </x:c>
      <x:c r="O1257" s="17" t="str">
        <x:v>public_sse_client_estimate</x:v>
      </x:c>
    </x:row>
    <x:row r="1258" ht="48" customHeight="1">
      <x:c r="A1258" s="17" t="str">
        <x:v>BUS229</x:v>
      </x:c>
      <x:c r="B1258" s="17" t="str">
        <x:v>查询机器人热点成分股，并返回这些股票今天主力净流入前10名。</x:v>
      </x:c>
      <x:c r="C1258" s="17" t="n">
        <x:v>2</x:v>
      </x:c>
      <x:c r="D1258" s="17" t="str">
        <x:v>数据口径</x:v>
      </x:c>
      <x:c r="E1258" s="17" t="str">
        <x:v>9367.97</x:v>
      </x:c>
      <x:c r="F1258" s="17" t="str">
        <x:v>9383.42</x:v>
      </x:c>
      <x:c r="G1258" s="18" t="n">
        <x:v>15.45</x:v>
      </x:c>
      <x:c r="H1258" s="18" t="n">
        <x:f>IFERROR(G1258/1000,"")</x:f>
        <x:v>0.015449999999999998</x:v>
      </x:c>
      <x:c r="I1258" s="19" t="n">
        <x:f>IFERROR(G1258/J1258,"")</x:f>
        <x:v>0.00024591905681685237</x:v>
      </x:c>
      <x:c r="J1258" s="17" t="n">
        <x:v>62825.55</x:v>
      </x:c>
      <x:c r="K1258" s="17" t="str"/>
      <x:c r="L1258" s="17" t="str">
        <x:v>已定位热点事件/概念成分股视图，并确认了可用字段与时间口径。</x:v>
      </x:c>
      <x:c r="M1258" s="17" t="str"/>
      <x:c r="N1258" s="18" t="n">
        <x:v>0</x:v>
      </x:c>
      <x:c r="O1258" s="17" t="str">
        <x:v>public_sse_client_estimate</x:v>
      </x:c>
    </x:row>
    <x:row r="1259" ht="48" customHeight="1">
      <x:c r="A1259" s="17" t="str">
        <x:v>BUS229</x:v>
      </x:c>
      <x:c r="B1259" s="17" t="str">
        <x:v>查询机器人热点成分股，并返回这些股票今天主力净流入前10名。</x:v>
      </x:c>
      <x:c r="C1259" s="17" t="n">
        <x:v>3</x:v>
      </x:c>
      <x:c r="D1259" s="17" t="str">
        <x:v>数据查询 1/1</x:v>
      </x:c>
      <x:c r="E1259" s="17" t="str">
        <x:v>13122.88</x:v>
      </x:c>
      <x:c r="F1259" s="17" t="str">
        <x:v>13891.12</x:v>
      </x:c>
      <x:c r="G1259" s="18" t="n">
        <x:v>768.24</x:v>
      </x:c>
      <x:c r="H1259" s="18" t="n">
        <x:f>IFERROR(G1259/1000,"")</x:f>
        <x:v>0.76824</x:v>
      </x:c>
      <x:c r="I1259" s="19" t="n">
        <x:f>IFERROR(G1259/J1259,"")</x:f>
        <x:v>0.012228146032943603</x:v>
      </x:c>
      <x:c r="J1259" s="17" t="n">
        <x:v>62825.55</x:v>
      </x:c>
      <x:c r="K1259" s="17" t="str"/>
      <x:c r="L1259" s="17" t="str">
        <x:v>已完成：查询机器人热点事件的成分股，取得 100 条记录。</x:v>
      </x:c>
      <x:c r="M1259" s="17" t="str"/>
      <x:c r="N1259" s="18" t="n">
        <x:v>3739.46</x:v>
      </x:c>
      <x:c r="O1259" s="17" t="str">
        <x:v>public_sse_client_estimate</x:v>
      </x:c>
    </x:row>
    <x:row r="1260" ht="48" customHeight="1">
      <x:c r="A1260" s="17" t="str">
        <x:v>BUS229</x:v>
      </x:c>
      <x:c r="B1260" s="17" t="str">
        <x:v>查询机器人热点成分股，并返回这些股票今天主力净流入前10名。</x:v>
      </x:c>
      <x:c r="C1260" s="17" t="n">
        <x:v>4</x:v>
      </x:c>
      <x:c r="D1260" s="17" t="str">
        <x:v>数据口径</x:v>
      </x:c>
      <x:c r="E1260" s="17" t="str">
        <x:v>13891.12</x:v>
      </x:c>
      <x:c r="F1260" s="17" t="str">
        <x:v>26180.46</x:v>
      </x:c>
      <x:c r="G1260" s="18" t="n">
        <x:v>12289.34</x:v>
      </x:c>
      <x:c r="H1260" s="18" t="n">
        <x:f>IFERROR(G1260/1000,"")</x:f>
        <x:v>12.28934</x:v>
      </x:c>
      <x:c r="I1260" s="19" t="n">
        <x:f>IFERROR(G1260/J1260,"")</x:f>
        <x:v>0.1956105437994574</x:v>
      </x:c>
      <x:c r="J1260" s="17" t="n">
        <x:v>62825.55</x:v>
      </x:c>
      <x:c r="K1260" s="17" t="str"/>
      <x:c r="L1260" s="17" t="str">
        <x:v>已定位热点事件/概念基础信息视图，并确认了可用字段与时间口径。</x:v>
      </x:c>
      <x:c r="M1260" s="17" t="str"/>
      <x:c r="N1260" s="18" t="n">
        <x:v>0</x:v>
      </x:c>
      <x:c r="O1260" s="17" t="str">
        <x:v>public_sse_client_estimate</x:v>
      </x:c>
    </x:row>
    <x:row r="1261" ht="48" customHeight="1">
      <x:c r="A1261" s="17" t="str">
        <x:v>BUS229</x:v>
      </x:c>
      <x:c r="B1261" s="17" t="str">
        <x:v>查询机器人热点成分股，并返回这些股票今天主力净流入前10名。</x:v>
      </x:c>
      <x:c r="C1261" s="17" t="n">
        <x:v>5</x:v>
      </x:c>
      <x:c r="D1261" s="17" t="str">
        <x:v>数据查询 1/1</x:v>
      </x:c>
      <x:c r="E1261" s="17" t="str">
        <x:v>28298.02</x:v>
      </x:c>
      <x:c r="F1261" s="17" t="str">
        <x:v>28417.49</x:v>
      </x:c>
      <x:c r="G1261" s="18" t="n">
        <x:v>119.47</x:v>
      </x:c>
      <x:c r="H1261" s="18" t="n">
        <x:f>IFERROR(G1261/1000,"")</x:f>
        <x:v>0.11946999999999999</x:v>
      </x:c>
      <x:c r="I1261" s="19" t="n">
        <x:f>IFERROR(G1261/J1261,"")</x:f>
        <x:v>0.0019016148684730973</x:v>
      </x:c>
      <x:c r="J1261" s="17" t="n">
        <x:v>62825.55</x:v>
      </x:c>
      <x:c r="K1261" s="17" t="str"/>
      <x:c r="L1261" s="17" t="str">
        <x:v>已完成：查询机器人相关热点事件的基础信息，取得 20 条记录。</x:v>
      </x:c>
      <x:c r="M1261" s="17" t="str"/>
      <x:c r="N1261" s="18" t="n">
        <x:v>2117.56</x:v>
      </x:c>
      <x:c r="O1261" s="17" t="str">
        <x:v>public_sse_client_estimate</x:v>
      </x:c>
    </x:row>
    <x:row r="1262" ht="48" customHeight="1">
      <x:c r="A1262" s="17" t="str">
        <x:v>BUS229</x:v>
      </x:c>
      <x:c r="B1262" s="17" t="str">
        <x:v>查询机器人热点成分股，并返回这些股票今天主力净流入前10名。</x:v>
      </x:c>
      <x:c r="C1262" s="17" t="n">
        <x:v>6</x:v>
      </x:c>
      <x:c r="D1262" s="17" t="str">
        <x:v>数据查询 1/1</x:v>
      </x:c>
      <x:c r="E1262" s="17" t="str">
        <x:v>35227.84</x:v>
      </x:c>
      <x:c r="F1262" s="17" t="str">
        <x:v>35530.13</x:v>
      </x:c>
      <x:c r="G1262" s="18" t="n">
        <x:v>302.29</x:v>
      </x:c>
      <x:c r="H1262" s="18" t="n">
        <x:f>IFERROR(G1262/1000,"")</x:f>
        <x:v>0.30229</x:v>
      </x:c>
      <x:c r="I1262" s="19" t="n">
        <x:f>IFERROR(G1262/J1262,"")</x:f>
        <x:v>0.00481157745535057</x:v>
      </x:c>
      <x:c r="J1262" s="17" t="n">
        <x:v>62825.55</x:v>
      </x:c>
      <x:c r="K1262" s="17" t="str"/>
      <x:c r="L1262" s="17" t="str">
        <x:v>已完成：查询机器人热点事件的成分股，取得 100 条记录。</x:v>
      </x:c>
      <x:c r="M1262" s="17" t="str"/>
      <x:c r="N1262" s="18" t="n">
        <x:v>6810.35</x:v>
      </x:c>
      <x:c r="O1262" s="17" t="str">
        <x:v>public_sse_client_estimate</x:v>
      </x:c>
    </x:row>
    <x:row r="1263" ht="48" customHeight="1">
      <x:c r="A1263" s="17" t="str">
        <x:v>BUS229</x:v>
      </x:c>
      <x:c r="B1263" s="17" t="str">
        <x:v>查询机器人热点成分股，并返回这些股票今天主力净流入前10名。</x:v>
      </x:c>
      <x:c r="C1263" s="17" t="n">
        <x:v>7</x:v>
      </x:c>
      <x:c r="D1263" s="17" t="str">
        <x:v>数据口径</x:v>
      </x:c>
      <x:c r="E1263" s="17" t="str">
        <x:v>35530.13</x:v>
      </x:c>
      <x:c r="F1263" s="17" t="str">
        <x:v>41092.03</x:v>
      </x:c>
      <x:c r="G1263" s="18" t="n">
        <x:v>5561.9</x:v>
      </x:c>
      <x:c r="H1263" s="18" t="n">
        <x:f>IFERROR(G1263/1000,"")</x:f>
        <x:v>5.5619</x:v>
      </x:c>
      <x:c r="I1263" s="19" t="n">
        <x:f>IFERROR(G1263/J1263,"")</x:f>
        <x:v>0.08852926874496124</x:v>
      </x:c>
      <x:c r="J1263" s="17" t="n">
        <x:v>62825.55</x:v>
      </x:c>
      <x:c r="K1263" s="17" t="str"/>
      <x:c r="L1263" s="17" t="str">
        <x:v>已定位个股资金流视图，并确认了可用字段与时间口径。</x:v>
      </x:c>
      <x:c r="M1263" s="17" t="str"/>
      <x:c r="N1263" s="18" t="n">
        <x:v>0</x:v>
      </x:c>
      <x:c r="O1263" s="17" t="str">
        <x:v>public_sse_client_estimate</x:v>
      </x:c>
    </x:row>
    <x:row r="1264" ht="48" customHeight="1">
      <x:c r="A1264" s="17" t="str">
        <x:v>BUS229</x:v>
      </x:c>
      <x:c r="B1264" s="17" t="str">
        <x:v>查询机器人热点成分股，并返回这些股票今天主力净流入前10名。</x:v>
      </x:c>
      <x:c r="C1264" s="17" t="n">
        <x:v>8</x:v>
      </x:c>
      <x:c r="D1264" s="17" t="str">
        <x:v>数据查询 1/1</x:v>
      </x:c>
      <x:c r="E1264" s="17" t="str">
        <x:v>48001</x:v>
      </x:c>
      <x:c r="F1264" s="17" t="str">
        <x:v>48480.97</x:v>
      </x:c>
      <x:c r="G1264" s="18" t="n">
        <x:v>479.97</x:v>
      </x:c>
      <x:c r="H1264" s="18" t="n">
        <x:f>IFERROR(G1264/1000,"")</x:f>
        <x:v>0.47997</x:v>
      </x:c>
      <x:c r="I1264" s="19" t="n">
        <x:f>IFERROR(G1264/J1264,"")</x:f>
        <x:v>0.007639726194199653</x:v>
      </x:c>
      <x:c r="J1264" s="17" t="n">
        <x:v>62825.55</x:v>
      </x:c>
      <x:c r="K1264" s="17" t="str"/>
      <x:c r="L1264" s="17" t="str">
        <x:v>已完成：查询机器人热点成分股最近一个交易日的主力净流入，取前10名，取得 10 条记录。</x:v>
      </x:c>
      <x:c r="M1264" s="17" t="str"/>
      <x:c r="N1264" s="18" t="n">
        <x:v>6908.97</x:v>
      </x:c>
      <x:c r="O1264" s="17" t="str">
        <x:v>public_sse_client_estimate</x:v>
      </x:c>
    </x:row>
    <x:row r="1265" ht="48" customHeight="1">
      <x:c r="A1265" s="17" t="str">
        <x:v>BUS229</x:v>
      </x:c>
      <x:c r="B1265" s="17" t="str">
        <x:v>查询机器人热点成分股，并返回这些股票今天主力净流入前10名。</x:v>
      </x:c>
      <x:c r="C1265" s="17" t="n">
        <x:v>9</x:v>
      </x:c>
      <x:c r="D1265" s="17" t="str">
        <x:v>回答整理</x:v>
      </x:c>
      <x:c r="E1265" s="17" t="str">
        <x:v>48480.97</x:v>
      </x:c>
      <x:c r="F1265" s="17" t="str">
        <x:v>57700.83</x:v>
      </x:c>
      <x:c r="G1265" s="18" t="n">
        <x:v>9219.86</x:v>
      </x:c>
      <x:c r="H1265" s="18" t="n">
        <x:f>IFERROR(G1265/1000,"")</x:f>
        <x:v>9.21986</x:v>
      </x:c>
      <x:c r="I1265" s="19" t="n">
        <x:f>IFERROR(G1265/J1265,"")</x:f>
        <x:v>0.14675335114455823</x:v>
      </x:c>
      <x:c r="J1265" s="17" t="n">
        <x:v>62825.55</x:v>
      </x:c>
      <x:c r="K1265" s="17" t="str"/>
      <x:c r="L1265" s="17" t="str">
        <x:v>证据与回答已整理完成。</x:v>
      </x:c>
      <x:c r="M1265" s="17" t="str"/>
      <x:c r="N1265" s="18" t="n">
        <x:v>0</x:v>
      </x:c>
      <x:c r="O1265" s="17" t="str">
        <x:v>public_sse_client_estimate</x:v>
      </x:c>
    </x:row>
    <x:row r="1266" ht="48" customHeight="1">
      <x:c r="A1266" s="17" t="str">
        <x:v>BUS230</x:v>
      </x:c>
      <x:c r="B1266" s="17" t="str">
        <x:v>同时查询人工智能热点热度和人工智能板块当前涨跌幅。</x:v>
      </x:c>
      <x:c r="C1266" s="17" t="n">
        <x:v>1</x:v>
      </x:c>
      <x:c r="D1266" s="17" t="str">
        <x:v>问题理解</x:v>
      </x:c>
      <x:c r="E1266" s="17" t="str">
        <x:v>4816.16</x:v>
      </x:c>
      <x:c r="F1266" s="17" t="str">
        <x:v>11135.94</x:v>
      </x:c>
      <x:c r="G1266" s="18" t="n">
        <x:v>6319.78</x:v>
      </x:c>
      <x:c r="H1266" s="18" t="n">
        <x:f>IFERROR(G1266/1000,"")</x:f>
        <x:v>6.31978</x:v>
      </x:c>
      <x:c r="I1266" s="19" t="n">
        <x:f>IFERROR(G1266/J1266,"")</x:f>
        <x:v>0.19853531129975413</x:v>
      </x:c>
      <x:c r="J1266" s="17" t="n">
        <x:v>31832.02</x:v>
      </x:c>
      <x:c r="K1266" s="17" t="str"/>
      <x:c r="L1266" s="17" t="str">
        <x:v>已明确本题的对象与口径，开始获取所需证据。</x:v>
      </x:c>
      <x:c r="M1266" s="17" t="str"/>
      <x:c r="N1266" s="18" t="n">
        <x:v>4816.16</x:v>
      </x:c>
      <x:c r="O1266" s="17" t="str">
        <x:v>public_sse_client_estimate</x:v>
      </x:c>
    </x:row>
    <x:row r="1267" ht="48" customHeight="1">
      <x:c r="A1267" s="17" t="str">
        <x:v>BUS230</x:v>
      </x:c>
      <x:c r="B1267" s="17" t="str">
        <x:v>同时查询人工智能热点热度和人工智能板块当前涨跌幅。</x:v>
      </x:c>
      <x:c r="C1267" s="17" t="n">
        <x:v>2</x:v>
      </x:c>
      <x:c r="D1267" s="17" t="str">
        <x:v>数据口径</x:v>
      </x:c>
      <x:c r="E1267" s="17" t="str">
        <x:v>11135.94</x:v>
      </x:c>
      <x:c r="F1267" s="17" t="str">
        <x:v>11139.61</x:v>
      </x:c>
      <x:c r="G1267" s="18" t="n">
        <x:v>3.67</x:v>
      </x:c>
      <x:c r="H1267" s="18" t="n">
        <x:f>IFERROR(G1267/1000,"")</x:f>
        <x:v>0.00367</x:v>
      </x:c>
      <x:c r="I1267" s="19" t="n">
        <x:f>IFERROR(G1267/J1267,"")</x:f>
        <x:v>0.00011529271469419785</x:v>
      </x:c>
      <x:c r="J1267" s="17" t="n">
        <x:v>31832.02</x:v>
      </x:c>
      <x:c r="K1267" s="17" t="str"/>
      <x:c r="L1267" s="17" t="str">
        <x:v>已定位热点事件/概念基础信息视图，并确认了可用字段与时间口径。</x:v>
      </x:c>
      <x:c r="M1267" s="17" t="str"/>
      <x:c r="N1267" s="18" t="n">
        <x:v>0</x:v>
      </x:c>
      <x:c r="O1267" s="17" t="str">
        <x:v>public_sse_client_estimate</x:v>
      </x:c>
    </x:row>
    <x:row r="1268" ht="48" customHeight="1">
      <x:c r="A1268" s="17" t="str">
        <x:v>BUS230</x:v>
      </x:c>
      <x:c r="B1268" s="17" t="str">
        <x:v>同时查询人工智能热点热度和人工智能板块当前涨跌幅。</x:v>
      </x:c>
      <x:c r="C1268" s="17" t="n">
        <x:v>3</x:v>
      </x:c>
      <x:c r="D1268" s="17" t="str">
        <x:v>数据口径</x:v>
      </x:c>
      <x:c r="E1268" s="17" t="str">
        <x:v>11139.61</x:v>
      </x:c>
      <x:c r="F1268" s="17" t="str">
        <x:v>11142.47</x:v>
      </x:c>
      <x:c r="G1268" s="18" t="n">
        <x:v>2.86</x:v>
      </x:c>
      <x:c r="H1268" s="18" t="n">
        <x:f>IFERROR(G1268/1000,"")</x:f>
        <x:v>0.0028599999999999997</x:v>
      </x:c>
      <x:c r="I1268" s="19" t="n">
        <x:f>IFERROR(G1268/J1268,"")</x:f>
        <x:v>0.00008984663869902067</x:v>
      </x:c>
      <x:c r="J1268" s="17" t="n">
        <x:v>31832.02</x:v>
      </x:c>
      <x:c r="K1268" s="17" t="str"/>
      <x:c r="L1268" s="17" t="str">
        <x:v>已定位板块行情视图，并确认了可用字段与时间口径。</x:v>
      </x:c>
      <x:c r="M1268" s="17" t="str"/>
      <x:c r="N1268" s="18" t="n">
        <x:v>0</x:v>
      </x:c>
      <x:c r="O1268" s="17" t="str">
        <x:v>public_sse_client_estimate</x:v>
      </x:c>
    </x:row>
    <x:row r="1269" ht="48" customHeight="1">
      <x:c r="A1269" s="17" t="str">
        <x:v>BUS230</x:v>
      </x:c>
      <x:c r="B1269" s="17" t="str">
        <x:v>同时查询人工智能热点热度和人工智能板块当前涨跌幅。</x:v>
      </x:c>
      <x:c r="C1269" s="17" t="n">
        <x:v>4</x:v>
      </x:c>
      <x:c r="D1269" s="17" t="str">
        <x:v>数据口径</x:v>
      </x:c>
      <x:c r="E1269" s="17" t="str">
        <x:v>11142.47</x:v>
      </x:c>
      <x:c r="F1269" s="17" t="str">
        <x:v>12086.37</x:v>
      </x:c>
      <x:c r="G1269" s="18" t="n">
        <x:v>943.9</x:v>
      </x:c>
      <x:c r="H1269" s="18" t="n">
        <x:f>IFERROR(G1269/1000,"")</x:f>
        <x:v>0.9439</x:v>
      </x:c>
      <x:c r="I1269" s="19" t="n">
        <x:f>IFERROR(G1269/J1269,"")</x:f>
        <x:v>0.029652532261540424</x:v>
      </x:c>
      <x:c r="J1269" s="17" t="n">
        <x:v>31832.02</x:v>
      </x:c>
      <x:c r="K1269" s="17" t="str"/>
      <x:c r="L1269" s="17" t="str">
        <x:v>已定位热点事件/概念状态视图，并确认了可用字段与时间口径。</x:v>
      </x:c>
      <x:c r="M1269" s="17" t="str"/>
      <x:c r="N1269" s="18" t="n">
        <x:v>0</x:v>
      </x:c>
      <x:c r="O1269" s="17" t="str">
        <x:v>public_sse_client_estimate</x:v>
      </x:c>
    </x:row>
    <x:row r="1270" ht="48" customHeight="1">
      <x:c r="A1270" s="17" t="str">
        <x:v>BUS230</x:v>
      </x:c>
      <x:c r="B1270" s="17" t="str">
        <x:v>同时查询人工智能热点热度和人工智能板块当前涨跌幅。</x:v>
      </x:c>
      <x:c r="C1270" s="17" t="n">
        <x:v>5</x:v>
      </x:c>
      <x:c r="D1270" s="17" t="str">
        <x:v>数据口径</x:v>
      </x:c>
      <x:c r="E1270" s="17" t="str">
        <x:v>12086.37</x:v>
      </x:c>
      <x:c r="F1270" s="17" t="str">
        <x:v>16219.49</x:v>
      </x:c>
      <x:c r="G1270" s="18" t="n">
        <x:v>4133.12</x:v>
      </x:c>
      <x:c r="H1270" s="18" t="n">
        <x:f>IFERROR(G1270/1000,"")</x:f>
        <x:v>4.13312</x:v>
      </x:c>
      <x:c r="I1270" s="19" t="n">
        <x:f>IFERROR(G1270/J1270,"")</x:f>
        <x:v>0.129841587181712</x:v>
      </x:c>
      <x:c r="J1270" s="17" t="n">
        <x:v>31832.02</x:v>
      </x:c>
      <x:c r="K1270" s="17" t="str"/>
      <x:c r="L1270" s="17" t="str">
        <x:v>已定位板块基础信息视图，并确认了可用字段与时间口径。</x:v>
      </x:c>
      <x:c r="M1270" s="17" t="str"/>
      <x:c r="N1270" s="18" t="n">
        <x:v>0</x:v>
      </x:c>
      <x:c r="O1270" s="17" t="str">
        <x:v>public_sse_client_estimate</x:v>
      </x:c>
    </x:row>
    <x:row r="1271" ht="48" customHeight="1">
      <x:c r="A1271" s="17" t="str">
        <x:v>BUS230</x:v>
      </x:c>
      <x:c r="B1271" s="17" t="str">
        <x:v>同时查询人工智能热点热度和人工智能板块当前涨跌幅。</x:v>
      </x:c>
      <x:c r="C1271" s="17" t="n">
        <x:v>6</x:v>
      </x:c>
      <x:c r="D1271" s="17" t="str">
        <x:v>数据查询 1/3</x:v>
      </x:c>
      <x:c r="E1271" s="17" t="str">
        <x:v>21075.35</x:v>
      </x:c>
      <x:c r="F1271" s="17" t="str">
        <x:v>21666.67</x:v>
      </x:c>
      <x:c r="G1271" s="18" t="n">
        <x:v>591.32</x:v>
      </x:c>
      <x:c r="H1271" s="18" t="n">
        <x:f>IFERROR(G1271/1000,"")</x:f>
        <x:v>0.5913200000000001</x:v>
      </x:c>
      <x:c r="I1271" s="19" t="n">
        <x:f>IFERROR(G1271/J1271,"")</x:f>
        <x:v>0.018576263774652064</x:v>
      </x:c>
      <x:c r="J1271" s="17" t="n">
        <x:v>31832.02</x:v>
      </x:c>
      <x:c r="K1271" s="17" t="str"/>
      <x:c r="L1271" s="17" t="str">
        <x:v>已完成：查找人工智能板块的代码，取得 1 条记录。</x:v>
      </x:c>
      <x:c r="M1271" s="17" t="str"/>
      <x:c r="N1271" s="18" t="n">
        <x:v>4855.86</x:v>
      </x:c>
      <x:c r="O1271" s="17" t="str">
        <x:v>public_sse_client_estimate</x:v>
      </x:c>
    </x:row>
    <x:row r="1272" ht="48" customHeight="1">
      <x:c r="A1272" s="17" t="str">
        <x:v>BUS230</x:v>
      </x:c>
      <x:c r="B1272" s="17" t="str">
        <x:v>同时查询人工智能热点热度和人工智能板块当前涨跌幅。</x:v>
      </x:c>
      <x:c r="C1272" s="17" t="n">
        <x:v>7</x:v>
      </x:c>
      <x:c r="D1272" s="17" t="str">
        <x:v>数据查询 2/3</x:v>
      </x:c>
      <x:c r="E1272" s="17" t="str">
        <x:v>21668.94</x:v>
      </x:c>
      <x:c r="F1272" s="17" t="str">
        <x:v>21854.95</x:v>
      </x:c>
      <x:c r="G1272" s="18" t="n">
        <x:v>186.01</x:v>
      </x:c>
      <x:c r="H1272" s="18" t="n">
        <x:f>IFERROR(G1272/1000,"")</x:f>
        <x:v>0.18600999999999998</x:v>
      </x:c>
      <x:c r="I1272" s="19" t="n">
        <x:f>IFERROR(G1272/J1272,"")</x:f>
        <x:v>0.005843487155386306</x:v>
      </x:c>
      <x:c r="J1272" s="17" t="n">
        <x:v>31832.02</x:v>
      </x:c>
      <x:c r="K1272" s="17" t="str"/>
      <x:c r="L1272" s="17" t="str">
        <x:v>已完成：查询人工智能热点事件的热度，取得 1 条记录。</x:v>
      </x:c>
      <x:c r="M1272" s="17" t="str"/>
      <x:c r="N1272" s="18" t="n">
        <x:v>2.27</x:v>
      </x:c>
      <x:c r="O1272" s="17" t="str">
        <x:v>public_sse_client_estimate</x:v>
      </x:c>
    </x:row>
    <x:row r="1273" ht="48" customHeight="1">
      <x:c r="A1273" s="17" t="str">
        <x:v>BUS230</x:v>
      </x:c>
      <x:c r="B1273" s="17" t="str">
        <x:v>同时查询人工智能热点热度和人工智能板块当前涨跌幅。</x:v>
      </x:c>
      <x:c r="C1273" s="17" t="n">
        <x:v>8</x:v>
      </x:c>
      <x:c r="D1273" s="17" t="str">
        <x:v>数据查询 3/3</x:v>
      </x:c>
      <x:c r="E1273" s="17" t="str">
        <x:v>21858.02</x:v>
      </x:c>
      <x:c r="F1273" s="17" t="str">
        <x:v>22317.78</x:v>
      </x:c>
      <x:c r="G1273" s="18" t="n">
        <x:v>459.76</x:v>
      </x:c>
      <x:c r="H1273" s="18" t="n">
        <x:f>IFERROR(G1273/1000,"")</x:f>
        <x:v>0.45976</x:v>
      </x:c>
      <x:c r="I1273" s="19" t="n">
        <x:f>IFERROR(G1273/J1273,"")</x:f>
        <x:v>0.014443318394497112</x:v>
      </x:c>
      <x:c r="J1273" s="17" t="n">
        <x:v>31832.02</x:v>
      </x:c>
      <x:c r="K1273" s="17" t="str"/>
      <x:c r="L1273" s="17" t="str">
        <x:v>已完成：查询人工智能板块的当前涨跌幅，取得 1 条记录。</x:v>
      </x:c>
      <x:c r="M1273" s="17" t="str"/>
      <x:c r="N1273" s="18" t="n">
        <x:v>3.07</x:v>
      </x:c>
      <x:c r="O1273" s="17" t="str">
        <x:v>public_sse_client_estimate</x:v>
      </x:c>
    </x:row>
    <x:row r="1274" ht="48" customHeight="1">
      <x:c r="A1274" s="17" t="str">
        <x:v>BUS230</x:v>
      </x:c>
      <x:c r="B1274" s="17" t="str">
        <x:v>同时查询人工智能热点热度和人工智能板块当前涨跌幅。</x:v>
      </x:c>
      <x:c r="C1274" s="17" t="n">
        <x:v>9</x:v>
      </x:c>
      <x:c r="D1274" s="17" t="str">
        <x:v>回答整理</x:v>
      </x:c>
      <x:c r="E1274" s="17" t="str">
        <x:v>22317.78</x:v>
      </x:c>
      <x:c r="F1274" s="17" t="str">
        <x:v>29006.78</x:v>
      </x:c>
      <x:c r="G1274" s="18" t="n">
        <x:v>6689</x:v>
      </x:c>
      <x:c r="H1274" s="18" t="n">
        <x:f>IFERROR(G1274/1000,"")</x:f>
        <x:v>6.689</x:v>
      </x:c>
      <x:c r="I1274" s="19" t="n">
        <x:f>IFERROR(G1274/J1274,"")</x:f>
        <x:v>0.2101343238663459</x:v>
      </x:c>
      <x:c r="J1274" s="17" t="n">
        <x:v>31832.02</x:v>
      </x:c>
      <x:c r="K1274" s="17" t="str"/>
      <x:c r="L1274" s="17" t="str">
        <x:v>证据与回答已整理完成。</x:v>
      </x:c>
      <x:c r="M1274" s="17" t="str"/>
      <x:c r="N1274" s="18" t="n">
        <x:v>0</x:v>
      </x:c>
      <x:c r="O1274" s="17" t="str">
        <x:v>public_sse_client_estimate</x:v>
      </x:c>
    </x:row>
  </x:sheetData>
  <x:mergeCells>
    <x:mergeCell ref="A1:L1"/>
    <x:mergeCell ref="A2:L2"/>
  </x:mergeCells>
  <x:pageMargins left="0.7" right="0.7" top="0.75" bottom="0.75" header="0.3" footer="0.3"/>
  <x:tableParts count="1">
    <x:tablePart xmlns:r="http://schemas.openxmlformats.org/officeDocument/2006/relationships" r:id="Rc40084e920824c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7" hidden="0" customWidth="1"/>
    <x:col min="4" max="4" width="16" hidden="0" customWidth="1"/>
    <x:col min="5" max="5" width="14" hidden="0" customWidth="1"/>
    <x:col min="6" max="6" width="24" hidden="0" customWidth="1"/>
    <x:col min="7" max="7" width="52" hidden="0" customWidth="1"/>
    <x:col min="8" max="8" width="11" hidden="0" customWidth="1"/>
    <x:col min="9" max="9" width="13" hidden="0" customWidth="1"/>
    <x:col min="10" max="10" width="11" hidden="0" customWidth="1"/>
    <x:col min="11" max="11" width="12" hidden="0" customWidth="1"/>
    <x:col min="12" max="12" width="8" hidden="0" customWidth="1"/>
    <x:col min="13" max="13" width="8" hidden="0" customWidth="1"/>
    <x:col min="14" max="14" width="52" hidden="0" customWidth="1"/>
    <x:col min="15" max="15" width="42" hidden="0" customWidth="1"/>
    <x:col min="16" max="16" width="20" hidden="0" customWidth="1"/>
    <x:col min="17" max="17" width="20" hidden="0" customWidth="1"/>
    <x:col min="18" max="18" width="22" hidden="0" customWidth="1"/>
    <x:col min="19" max="19" width="12" hidden="0" customWidth="1"/>
    <x:col min="20" max="20" width="18" hidden="0" customWidth="1"/>
    <x:col min="21" max="21" width="16" hidden="0" customWidth="1"/>
    <x:col min="22" max="22" width="11" hidden="0" customWidth="1"/>
    <x:col min="23" max="23" width="10" hidden="0" customWidth="1"/>
  </x:cols>
  <x:sheetData>
    <x:row r="1" ht="36" customHeight="1">
      <x:c r="A1" s="3" t="str">
        <x:v>操作明细｜有效、探索、浪费与失败分开看</x:v>
      </x:c>
      <x:c r="B1" s="3"/>
      <x:c r="C1" s="3"/>
      <x:c r="D1" s="3"/>
      <x:c r="E1" s="3"/>
      <x:c r="F1" s="3"/>
      <x:c r="G1" s="3"/>
      <x:c r="H1" s="3"/>
      <x:c r="I1" s="3"/>
      <x:c r="J1" s="3"/>
      <x:c r="K1" s="3"/>
      <x:c r="L1" s="3"/>
    </x:row>
    <x:row r="2" ht="30" customHeight="1">
      <x:c r="A2" s="7" t="str">
        <x:v>生成时间：2026/08/02 05:26:21；“可解释探索”保留为合理空间，不以 100% 直线执行为目标。</x:v>
      </x:c>
      <x:c r="B2" s="7"/>
      <x:c r="C2" s="7"/>
      <x:c r="D2" s="7"/>
      <x:c r="E2" s="7"/>
      <x:c r="F2" s="7"/>
      <x:c r="G2" s="7"/>
      <x:c r="H2" s="7"/>
      <x:c r="I2" s="7"/>
      <x:c r="J2" s="7"/>
      <x:c r="K2" s="7"/>
      <x:c r="L2" s="7"/>
    </x:row>
    <x:row r="4" ht="28" customHeight="1">
      <x:c r="A4" s="13" t="str">
        <x:v>Case ID</x:v>
      </x:c>
      <x:c r="B4" s="13" t="str">
        <x:v>金融问题</x:v>
      </x:c>
      <x:c r="C4" s="13" t="str">
        <x:v>序号</x:v>
      </x:c>
      <x:c r="D4" s="13" t="str">
        <x:v>所属阶段</x:v>
      </x:c>
      <x:c r="E4" s="13" t="str">
        <x:v>操作类型</x:v>
      </x:c>
      <x:c r="F4" s="13" t="str">
        <x:v>工具/操作</x:v>
      </x:c>
      <x:c r="G4" s="13" t="str">
        <x:v>请求参数</x:v>
      </x:c>
      <x:c r="H4" s="13" t="str">
        <x:v>状态</x:v>
      </x:c>
      <x:c r="I4" s="13" t="str">
        <x:v>效率分类</x:v>
      </x:c>
      <x:c r="J4" s="13" t="str">
        <x:v>计入合理</x:v>
      </x:c>
      <x:c r="K4" s="13" t="str">
        <x:v>耗时(ms)</x:v>
      </x:c>
      <x:c r="L4" s="13" t="str">
        <x:v>重试</x:v>
      </x:c>
      <x:c r="M4" s="13" t="str">
        <x:v>Loop</x:v>
      </x:c>
      <x:c r="N4" s="13" t="str">
        <x:v>结果/错误</x:v>
      </x:c>
      <x:c r="O4" s="13" t="str">
        <x:v>判定依据</x:v>
      </x:c>
      <x:c r="P4" s="13" t="str">
        <x:v>Result Ref</x:v>
      </x:c>
      <x:c r="Q4" s="13" t="str">
        <x:v>时间戳</x:v>
      </x:c>
      <x:c r="R4" s="13" t="str">
        <x:v>API</x:v>
      </x:c>
      <x:c r="S4" s="13" t="str">
        <x:v>Subject</x:v>
      </x:c>
      <x:c r="T4" s="13" t="str">
        <x:v>Dataview</x:v>
      </x:c>
      <x:c r="U4" s="13" t="str">
        <x:v>结果变量</x:v>
      </x:c>
      <x:c r="V4" s="13" t="str">
        <x:v>返回行数</x:v>
      </x:c>
      <x:c r="W4" s="13" t="str">
        <x:v>置信度</x:v>
      </x:c>
    </x:row>
    <x:row r="5" ht="54" customHeight="1">
      <x:c r="A5" s="17" t="str">
        <x:v>BUS001</x:v>
      </x:c>
      <x:c r="B5" s="17" t="str">
        <x:v>查询贵州茅台的股票代码、所属行业和上市日期。</x:v>
      </x:c>
      <x:c r="C5" s="17" t="n">
        <x:v>1</x:v>
      </x:c>
      <x:c r="D5" s="17" t="str"/>
      <x:c r="E5" s="17" t="str">
        <x:v>工具调用</x:v>
      </x:c>
      <x:c r="F5" s="17" t="str">
        <x:v>read_finance_catalog</x:v>
      </x:c>
      <x:c r="G5" s="17" t="str"/>
      <x:c r="H5" s="17" t="str"/>
      <x:c r="I5" s="17" t="str">
        <x:v>合理操作</x:v>
      </x:c>
      <x:c r="J5" s="17" t="str">
        <x:v>是</x:v>
      </x:c>
      <x:c r="K5" s="18"/>
      <x:c r="L5" s="17" t="str">
        <x:v>否</x:v>
      </x:c>
      <x:c r="M5" s="17" t="str">
        <x:v>否</x:v>
      </x:c>
      <x:c r="N5" s="17" t="str">
        <x:v>target_catalog_located</x:v>
      </x:c>
      <x:c r="O5" s="17" t="str">
        <x:v>expected_dataview_catalog</x:v>
      </x:c>
      <x:c r="P5" s="17" t="str"/>
      <x:c r="Q5" s="17" t="str"/>
      <x:c r="R5" s="17" t="str"/>
      <x:c r="S5" s="17" t="str">
        <x:v>stock</x:v>
      </x:c>
      <x:c r="T5" s="17" t="str">
        <x:v>basic_info</x:v>
      </x:c>
      <x:c r="U5" s="17" t="str"/>
      <x:c r="V5" s="30"/>
      <x:c r="W5" s="17" t="str">
        <x:v>high</x:v>
      </x:c>
    </x:row>
    <x:row r="6" ht="54" customHeight="1">
      <x:c r="A6" s="17" t="str">
        <x:v>BUS001</x:v>
      </x:c>
      <x:c r="B6" s="17" t="str">
        <x:v>查询贵州茅台的股票代码、所属行业和上市日期。</x:v>
      </x:c>
      <x:c r="C6" s="17" t="n">
        <x:v>2</x:v>
      </x:c>
      <x:c r="D6" s="17" t="str"/>
      <x:c r="E6" s="17" t="str">
        <x:v>工具调用</x:v>
      </x:c>
      <x:c r="F6" s="17" t="str">
        <x:v>finance_query</x:v>
      </x:c>
      <x:c r="G6" s="17" t="str">
        <x:v>r1 = stock.basic_info(filter = "code = 600519.SH", limit = 1) -&gt; code, name, industry, listed_date</x:v>
      </x:c>
      <x:c r="H6" s="17" t="str"/>
      <x:c r="I6" s="17" t="str">
        <x:v>合理操作</x:v>
      </x:c>
      <x:c r="J6" s="17" t="str">
        <x:v>是</x:v>
      </x:c>
      <x:c r="K6" s="18"/>
      <x:c r="L6" s="17" t="str">
        <x:v>否</x:v>
      </x:c>
      <x:c r="M6" s="17" t="str">
        <x:v>否</x:v>
      </x:c>
      <x:c r="N6" s="17" t="str">
        <x:v>target_api_executed</x:v>
      </x:c>
      <x:c r="O6" s="17" t="str">
        <x:v>expected_dataview_coverage</x:v>
      </x:c>
      <x:c r="P6" s="17" t="str">
        <x:v>session://financial_qa_33499cfa81de4d06_2697_51fb81cd04ba/vars/v1</x:v>
      </x:c>
      <x:c r="Q6" s="17" t="str"/>
      <x:c r="R6" s="17" t="str">
        <x:v>stock.basic_info</x:v>
      </x:c>
      <x:c r="S6" s="17" t="str"/>
      <x:c r="T6" s="17" t="str"/>
      <x:c r="U6" s="17" t="str">
        <x:v>r1</x:v>
      </x:c>
      <x:c r="V6" s="30" t="n">
        <x:v>1</x:v>
      </x:c>
      <x:c r="W6" s="17" t="str">
        <x:v>high</x:v>
      </x:c>
    </x:row>
    <x:row r="7" ht="54" customHeight="1">
      <x:c r="A7" s="17" t="str">
        <x:v>BUS002</x:v>
      </x:c>
      <x:c r="B7" s="17" t="str">
        <x:v>查询宁德时代的股票代码、股票名称、所属行业。</x:v>
      </x:c>
      <x:c r="C7" s="17" t="n">
        <x:v>1</x:v>
      </x:c>
      <x:c r="D7" s="17" t="str"/>
      <x:c r="E7" s="17" t="str">
        <x:v>工具调用</x:v>
      </x:c>
      <x:c r="F7" s="17" t="str">
        <x:v>read_finance_catalog</x:v>
      </x:c>
      <x:c r="G7" s="17" t="str"/>
      <x:c r="H7" s="17" t="str"/>
      <x:c r="I7" s="17" t="str">
        <x:v>合理操作</x:v>
      </x:c>
      <x:c r="J7" s="17" t="str">
        <x:v>是</x:v>
      </x:c>
      <x:c r="K7" s="18"/>
      <x:c r="L7" s="17" t="str">
        <x:v>否</x:v>
      </x:c>
      <x:c r="M7" s="17" t="str">
        <x:v>否</x:v>
      </x:c>
      <x:c r="N7" s="17" t="str">
        <x:v>target_catalog_located</x:v>
      </x:c>
      <x:c r="O7" s="17" t="str">
        <x:v>expected_dataview_catalog</x:v>
      </x:c>
      <x:c r="P7" s="17" t="str"/>
      <x:c r="Q7" s="17" t="str"/>
      <x:c r="R7" s="17" t="str"/>
      <x:c r="S7" s="17" t="str">
        <x:v>stock</x:v>
      </x:c>
      <x:c r="T7" s="17" t="str">
        <x:v>basic_info</x:v>
      </x:c>
      <x:c r="U7" s="17" t="str"/>
      <x:c r="V7" s="30"/>
      <x:c r="W7" s="17" t="str">
        <x:v>high</x:v>
      </x:c>
    </x:row>
    <x:row r="8" ht="54" customHeight="1">
      <x:c r="A8" s="17" t="str">
        <x:v>BUS002</x:v>
      </x:c>
      <x:c r="B8" s="17" t="str">
        <x:v>查询宁德时代的股票代码、股票名称、所属行业。</x:v>
      </x:c>
      <x:c r="C8" s="17" t="n">
        <x:v>2</x:v>
      </x:c>
      <x:c r="D8" s="17" t="str"/>
      <x:c r="E8" s="17" t="str">
        <x:v>工具调用</x:v>
      </x:c>
      <x:c r="F8" s="17" t="str">
        <x:v>finance_query</x:v>
      </x:c>
      <x:c r="G8" s="17" t="str">
        <x:v>r1 = stock.basic_info(filter = "code = 300750.SZ", limit = 1) -&gt; code, name, industry</x:v>
      </x:c>
      <x:c r="H8" s="17" t="str"/>
      <x:c r="I8" s="17" t="str">
        <x:v>合理操作</x:v>
      </x:c>
      <x:c r="J8" s="17" t="str">
        <x:v>是</x:v>
      </x:c>
      <x:c r="K8" s="18"/>
      <x:c r="L8" s="17" t="str">
        <x:v>否</x:v>
      </x:c>
      <x:c r="M8" s="17" t="str">
        <x:v>否</x:v>
      </x:c>
      <x:c r="N8" s="17" t="str">
        <x:v>target_api_executed</x:v>
      </x:c>
      <x:c r="O8" s="17" t="str">
        <x:v>expected_dataview_coverage</x:v>
      </x:c>
      <x:c r="P8" s="17" t="str">
        <x:v>session://financial_qa_33499cfa81de4d06_2696_52d8b9c62641/vars/v1</x:v>
      </x:c>
      <x:c r="Q8" s="17" t="str"/>
      <x:c r="R8" s="17" t="str">
        <x:v>stock.basic_info</x:v>
      </x:c>
      <x:c r="S8" s="17" t="str"/>
      <x:c r="T8" s="17" t="str"/>
      <x:c r="U8" s="17" t="str">
        <x:v>r1</x:v>
      </x:c>
      <x:c r="V8" s="30" t="n">
        <x:v>1</x:v>
      </x:c>
      <x:c r="W8" s="17" t="str">
        <x:v>high</x:v>
      </x:c>
    </x:row>
    <x:row r="9" ht="54" customHeight="1">
      <x:c r="A9" s="17" t="str">
        <x:v>BUS003</x:v>
      </x:c>
      <x:c r="B9" s="17" t="str">
        <x:v>筛选所属行业包含银行的股票，返回代码、名称和上市日期。</x:v>
      </x:c>
      <x:c r="C9" s="17" t="n">
        <x:v>1</x:v>
      </x:c>
      <x:c r="D9" s="17" t="str"/>
      <x:c r="E9" s="17" t="str">
        <x:v>工具调用</x:v>
      </x:c>
      <x:c r="F9" s="17" t="str">
        <x:v>read_finance_catalog</x:v>
      </x:c>
      <x:c r="G9" s="17" t="str"/>
      <x:c r="H9" s="17" t="str"/>
      <x:c r="I9" s="17" t="str">
        <x:v>合理操作</x:v>
      </x:c>
      <x:c r="J9" s="17" t="str">
        <x:v>是</x:v>
      </x:c>
      <x:c r="K9" s="18"/>
      <x:c r="L9" s="17" t="str">
        <x:v>否</x:v>
      </x:c>
      <x:c r="M9" s="17" t="str">
        <x:v>否</x:v>
      </x:c>
      <x:c r="N9" s="17" t="str">
        <x:v>target_catalog_located</x:v>
      </x:c>
      <x:c r="O9" s="17" t="str">
        <x:v>expected_dataview_catalog</x:v>
      </x:c>
      <x:c r="P9" s="17" t="str"/>
      <x:c r="Q9" s="17" t="str"/>
      <x:c r="R9" s="17" t="str"/>
      <x:c r="S9" s="17" t="str">
        <x:v>stock</x:v>
      </x:c>
      <x:c r="T9" s="17" t="str">
        <x:v>basic_info</x:v>
      </x:c>
      <x:c r="U9" s="17" t="str"/>
      <x:c r="V9" s="30"/>
      <x:c r="W9" s="17" t="str">
        <x:v>high</x:v>
      </x:c>
    </x:row>
    <x:row r="10" ht="54" customHeight="1">
      <x:c r="A10" s="17" t="str">
        <x:v>BUS003</x:v>
      </x:c>
      <x:c r="B10" s="17" t="str">
        <x:v>筛选所属行业包含银行的股票，返回代码、名称和上市日期。</x:v>
      </x:c>
      <x:c r="C10" s="17" t="n">
        <x:v>2</x:v>
      </x:c>
      <x:c r="D10" s="17" t="str"/>
      <x:c r="E10" s="17" t="str">
        <x:v>工具调用</x:v>
      </x:c>
      <x:c r="F10" s="17" t="str">
        <x:v>finance_query</x:v>
      </x:c>
      <x:c r="G10" s="17" t="str">
        <x:v>r1 = stock.basic_info(filter = "industry like '%银行%'", limit = 50) -&gt; code, name, industry, listed_date</x:v>
      </x:c>
      <x:c r="H10" s="17" t="str"/>
      <x:c r="I10" s="17" t="str">
        <x:v>合理操作</x:v>
      </x:c>
      <x:c r="J10" s="17" t="str">
        <x:v>是</x:v>
      </x:c>
      <x:c r="K10" s="18"/>
      <x:c r="L10" s="17" t="str">
        <x:v>否</x:v>
      </x:c>
      <x:c r="M10" s="17" t="str">
        <x:v>否</x:v>
      </x:c>
      <x:c r="N10" s="17" t="str">
        <x:v>target_api_executed</x:v>
      </x:c>
      <x:c r="O10" s="17" t="str">
        <x:v>expected_dataview_coverage</x:v>
      </x:c>
      <x:c r="P10" s="17" t="str">
        <x:v>session://financial_qa_33499cfa81de4d06_2698_7e8d9334e680/vars/v1</x:v>
      </x:c>
      <x:c r="Q10" s="17" t="str"/>
      <x:c r="R10" s="17" t="str">
        <x:v>stock.basic_info</x:v>
      </x:c>
      <x:c r="S10" s="17" t="str"/>
      <x:c r="T10" s="17" t="str"/>
      <x:c r="U10" s="17" t="str">
        <x:v>r1</x:v>
      </x:c>
      <x:c r="V10" s="30" t="n">
        <x:v>15</x:v>
      </x:c>
      <x:c r="W10" s="17" t="str">
        <x:v>high</x:v>
      </x:c>
    </x:row>
    <x:row r="11" ht="54" customHeight="1">
      <x:c r="A11" s="17" t="str">
        <x:v>BUS003</x:v>
      </x:c>
      <x:c r="B11" s="17" t="str">
        <x:v>筛选所属行业包含银行的股票，返回代码、名称和上市日期。</x:v>
      </x:c>
      <x:c r="C11" s="17" t="n">
        <x:v>3</x:v>
      </x:c>
      <x:c r="D11" s="17" t="str"/>
      <x:c r="E11" s="17" t="str">
        <x:v>工具调用</x:v>
      </x:c>
      <x:c r="F11" s="17" t="str">
        <x:v>load_finance_result</x:v>
      </x:c>
      <x:c r="G11" s="17" t="str"/>
      <x:c r="H11" s="17" t="str"/>
      <x:c r="I11" s="17" t="str">
        <x:v>合理操作</x:v>
      </x:c>
      <x:c r="J11" s="17" t="str">
        <x:v>是</x:v>
      </x:c>
      <x:c r="K11" s="18"/>
      <x:c r="L11" s="17" t="str">
        <x:v>否</x:v>
      </x:c>
      <x:c r="M11" s="17" t="str">
        <x:v>否</x:v>
      </x:c>
      <x:c r="N11" s="17" t="str">
        <x:v>load_truncated_result</x:v>
      </x:c>
      <x:c r="O11" s="17" t="str">
        <x:v>sample_incomplete_requires_full_result</x:v>
      </x:c>
      <x:c r="P11" s="17" t="str">
        <x:v>session://financial_qa_33499cfa81de4d06_2698_7e8d9334e680/vars/v1</x:v>
      </x:c>
      <x:c r="Q11" s="17" t="str"/>
      <x:c r="R11" s="17" t="str"/>
      <x:c r="S11" s="17" t="str"/>
      <x:c r="T11" s="17" t="str"/>
      <x:c r="U11" s="17" t="str"/>
      <x:c r="V11" s="30"/>
      <x:c r="W11" s="17" t="str">
        <x:v>high</x:v>
      </x:c>
    </x:row>
    <x:row r="12" ht="54" customHeight="1">
      <x:c r="A12" s="17" t="str">
        <x:v>BUS004</x:v>
      </x:c>
      <x:c r="B12" s="17" t="str">
        <x:v>列出上市日期最早的20只A股股票。</x:v>
      </x:c>
      <x:c r="C12" s="17" t="n">
        <x:v>1</x:v>
      </x:c>
      <x:c r="D12" s="17" t="str"/>
      <x:c r="E12" s="17" t="str">
        <x:v>工具调用</x:v>
      </x:c>
      <x:c r="F12" s="17" t="str">
        <x:v>read_finance_catalog</x:v>
      </x:c>
      <x:c r="G12" s="17" t="str"/>
      <x:c r="H12" s="17" t="str"/>
      <x:c r="I12" s="17" t="str">
        <x:v>合理操作</x:v>
      </x:c>
      <x:c r="J12" s="17" t="str">
        <x:v>是</x:v>
      </x:c>
      <x:c r="K12" s="18"/>
      <x:c r="L12" s="17" t="str">
        <x:v>否</x:v>
      </x:c>
      <x:c r="M12" s="17" t="str">
        <x:v>否</x:v>
      </x:c>
      <x:c r="N12" s="17" t="str">
        <x:v>target_catalog_located</x:v>
      </x:c>
      <x:c r="O12" s="17" t="str">
        <x:v>expected_dataview_catalog</x:v>
      </x:c>
      <x:c r="P12" s="17" t="str"/>
      <x:c r="Q12" s="17" t="str"/>
      <x:c r="R12" s="17" t="str"/>
      <x:c r="S12" s="17" t="str">
        <x:v>stock</x:v>
      </x:c>
      <x:c r="T12" s="17" t="str">
        <x:v>basic_info</x:v>
      </x:c>
      <x:c r="U12" s="17" t="str"/>
      <x:c r="V12" s="30"/>
      <x:c r="W12" s="17" t="str">
        <x:v>high</x:v>
      </x:c>
    </x:row>
    <x:row r="13" ht="54" customHeight="1">
      <x:c r="A13" s="17" t="str">
        <x:v>BUS004</x:v>
      </x:c>
      <x:c r="B13" s="17" t="str">
        <x:v>列出上市日期最早的20只A股股票。</x:v>
      </x:c>
      <x:c r="C13" s="17" t="n">
        <x:v>2</x:v>
      </x:c>
      <x:c r="D13" s="17" t="str"/>
      <x:c r="E13" s="17" t="str">
        <x:v>工具调用</x:v>
      </x:c>
      <x:c r="F13" s="17" t="str">
        <x:v>finance_query</x:v>
      </x:c>
      <x:c r="G13" s="17" t="str">
        <x:v>r1 = stock.basic_info(order = "listed_date asc", limit = 20) -&gt; code, name, listed_date</x:v>
      </x:c>
      <x:c r="H13" s="17" t="str"/>
      <x:c r="I13" s="17" t="str">
        <x:v>合理操作</x:v>
      </x:c>
      <x:c r="J13" s="17" t="str">
        <x:v>是</x:v>
      </x:c>
      <x:c r="K13" s="18"/>
      <x:c r="L13" s="17" t="str">
        <x:v>否</x:v>
      </x:c>
      <x:c r="M13" s="17" t="str">
        <x:v>否</x:v>
      </x:c>
      <x:c r="N13" s="17" t="str">
        <x:v>target_api_executed</x:v>
      </x:c>
      <x:c r="O13" s="17" t="str">
        <x:v>expected_dataview_coverage</x:v>
      </x:c>
      <x:c r="P13" s="17" t="str">
        <x:v>session://financial_qa_33499cfa81de4d06_2699_4065742cbd9f/vars/v1</x:v>
      </x:c>
      <x:c r="Q13" s="17" t="str"/>
      <x:c r="R13" s="17" t="str">
        <x:v>stock.basic_info</x:v>
      </x:c>
      <x:c r="S13" s="17" t="str"/>
      <x:c r="T13" s="17" t="str"/>
      <x:c r="U13" s="17" t="str">
        <x:v>r1</x:v>
      </x:c>
      <x:c r="V13" s="30" t="n">
        <x:v>20</x:v>
      </x:c>
      <x:c r="W13" s="17" t="str">
        <x:v>high</x:v>
      </x:c>
    </x:row>
    <x:row r="14" ht="54" customHeight="1">
      <x:c r="A14" s="17" t="str">
        <x:v>BUS004</x:v>
      </x:c>
      <x:c r="B14" s="17" t="str">
        <x:v>列出上市日期最早的20只A股股票。</x:v>
      </x:c>
      <x:c r="C14" s="17" t="n">
        <x:v>3</x:v>
      </x:c>
      <x:c r="D14" s="17" t="str"/>
      <x:c r="E14" s="17" t="str">
        <x:v>工具调用</x:v>
      </x:c>
      <x:c r="F14" s="17" t="str">
        <x:v>load_finance_result</x:v>
      </x:c>
      <x:c r="G14" s="17" t="str"/>
      <x:c r="H14" s="17" t="str"/>
      <x:c r="I14" s="17" t="str">
        <x:v>合理操作</x:v>
      </x:c>
      <x:c r="J14" s="17" t="str">
        <x:v>是</x:v>
      </x:c>
      <x:c r="K14" s="18"/>
      <x:c r="L14" s="17" t="str">
        <x:v>否</x:v>
      </x:c>
      <x:c r="M14" s="17" t="str">
        <x:v>否</x:v>
      </x:c>
      <x:c r="N14" s="17" t="str">
        <x:v>load_truncated_result</x:v>
      </x:c>
      <x:c r="O14" s="17" t="str">
        <x:v>sample_incomplete_requires_full_result</x:v>
      </x:c>
      <x:c r="P14" s="17" t="str">
        <x:v>session://financial_qa_33499cfa81de4d06_2699_4065742cbd9f/vars/v1</x:v>
      </x:c>
      <x:c r="Q14" s="17" t="str"/>
      <x:c r="R14" s="17" t="str"/>
      <x:c r="S14" s="17" t="str"/>
      <x:c r="T14" s="17" t="str"/>
      <x:c r="U14" s="17" t="str"/>
      <x:c r="V14" s="30"/>
      <x:c r="W14" s="17" t="str">
        <x:v>high</x:v>
      </x:c>
    </x:row>
    <x:row r="15" ht="54" customHeight="1">
      <x:c r="A15" s="17" t="str">
        <x:v>BUS005</x:v>
      </x:c>
      <x:c r="B15" s="17" t="str">
        <x:v>查询名称包含新能源的股票代码、名称和所属行业。</x:v>
      </x:c>
      <x:c r="C15" s="17" t="n">
        <x:v>1</x:v>
      </x:c>
      <x:c r="D15" s="17" t="str"/>
      <x:c r="E15" s="17" t="str">
        <x:v>工具调用</x:v>
      </x:c>
      <x:c r="F15" s="17" t="str">
        <x:v>read_finance_catalog</x:v>
      </x:c>
      <x:c r="G15" s="17" t="str"/>
      <x:c r="H15" s="17" t="str"/>
      <x:c r="I15" s="17" t="str">
        <x:v>合理操作</x:v>
      </x:c>
      <x:c r="J15" s="17" t="str">
        <x:v>是</x:v>
      </x:c>
      <x:c r="K15" s="18"/>
      <x:c r="L15" s="17" t="str">
        <x:v>否</x:v>
      </x:c>
      <x:c r="M15" s="17" t="str">
        <x:v>否</x:v>
      </x:c>
      <x:c r="N15" s="17" t="str">
        <x:v>target_catalog_located</x:v>
      </x:c>
      <x:c r="O15" s="17" t="str">
        <x:v>expected_dataview_catalog</x:v>
      </x:c>
      <x:c r="P15" s="17" t="str"/>
      <x:c r="Q15" s="17" t="str"/>
      <x:c r="R15" s="17" t="str"/>
      <x:c r="S15" s="17" t="str">
        <x:v>stock</x:v>
      </x:c>
      <x:c r="T15" s="17" t="str">
        <x:v>basic_info</x:v>
      </x:c>
      <x:c r="U15" s="17" t="str"/>
      <x:c r="V15" s="30"/>
      <x:c r="W15" s="17" t="str">
        <x:v>high</x:v>
      </x:c>
    </x:row>
    <x:row r="16" ht="54" customHeight="1">
      <x:c r="A16" s="17" t="str">
        <x:v>BUS005</x:v>
      </x:c>
      <x:c r="B16" s="17" t="str">
        <x:v>查询名称包含新能源的股票代码、名称和所属行业。</x:v>
      </x:c>
      <x:c r="C16" s="17" t="n">
        <x:v>2</x:v>
      </x:c>
      <x:c r="D16" s="17" t="str"/>
      <x:c r="E16" s="17" t="str">
        <x:v>工具调用</x:v>
      </x:c>
      <x:c r="F16" s="17" t="str">
        <x:v>finance_query</x:v>
      </x:c>
      <x:c r="G16" s="17" t="str">
        <x:v>r1 = stock.basic_info(filter = "name like '%新能源%'", limit = 100) -&gt; code, name, industry</x:v>
      </x:c>
      <x:c r="H16" s="17" t="str"/>
      <x:c r="I16" s="17" t="str">
        <x:v>合理操作</x:v>
      </x:c>
      <x:c r="J16" s="17" t="str">
        <x:v>是</x:v>
      </x:c>
      <x:c r="K16" s="18"/>
      <x:c r="L16" s="17" t="str">
        <x:v>否</x:v>
      </x:c>
      <x:c r="M16" s="17" t="str">
        <x:v>否</x:v>
      </x:c>
      <x:c r="N16" s="17" t="str">
        <x:v>target_api_executed</x:v>
      </x:c>
      <x:c r="O16" s="17" t="str">
        <x:v>expected_dataview_coverage</x:v>
      </x:c>
      <x:c r="P16" s="17" t="str">
        <x:v>session://financial_qa_33499cfa81de4d06_2700_5452a0d47df0/vars/v1</x:v>
      </x:c>
      <x:c r="Q16" s="17" t="str"/>
      <x:c r="R16" s="17" t="str">
        <x:v>stock.basic_info</x:v>
      </x:c>
      <x:c r="S16" s="17" t="str"/>
      <x:c r="T16" s="17" t="str"/>
      <x:c r="U16" s="17" t="str">
        <x:v>r1</x:v>
      </x:c>
      <x:c r="V16" s="30" t="n">
        <x:v>4</x:v>
      </x:c>
      <x:c r="W16" s="17" t="str">
        <x:v>high</x:v>
      </x:c>
    </x:row>
    <x:row r="17" ht="54" customHeight="1">
      <x:c r="A17" s="17" t="str">
        <x:v>BUS005</x:v>
      </x:c>
      <x:c r="B17" s="17" t="str">
        <x:v>查询名称包含新能源的股票代码、名称和所属行业。</x:v>
      </x:c>
      <x:c r="C17" s="17" t="n">
        <x:v>3</x:v>
      </x:c>
      <x:c r="D17" s="17" t="str"/>
      <x:c r="E17" s="17" t="str">
        <x:v>工具调用</x:v>
      </x:c>
      <x:c r="F17" s="17" t="str">
        <x:v>load_finance_result</x:v>
      </x:c>
      <x:c r="G17" s="17" t="str"/>
      <x:c r="H17" s="17" t="str"/>
      <x:c r="I17" s="17" t="str">
        <x:v>合理操作</x:v>
      </x:c>
      <x:c r="J17" s="17" t="str">
        <x:v>是</x:v>
      </x:c>
      <x:c r="K17" s="18"/>
      <x:c r="L17" s="17" t="str">
        <x:v>否</x:v>
      </x:c>
      <x:c r="M17" s="17" t="str">
        <x:v>否</x:v>
      </x:c>
      <x:c r="N17" s="17" t="str">
        <x:v>load_truncated_result</x:v>
      </x:c>
      <x:c r="O17" s="17" t="str">
        <x:v>sample_incomplete_requires_full_result</x:v>
      </x:c>
      <x:c r="P17" s="17" t="str">
        <x:v>session://financial_qa_33499cfa81de4d06_2700_5452a0d47df0/vars/v1</x:v>
      </x:c>
      <x:c r="Q17" s="17" t="str"/>
      <x:c r="R17" s="17" t="str"/>
      <x:c r="S17" s="17" t="str"/>
      <x:c r="T17" s="17" t="str"/>
      <x:c r="U17" s="17" t="str"/>
      <x:c r="V17" s="30"/>
      <x:c r="W17" s="17" t="str">
        <x:v>high</x:v>
      </x:c>
    </x:row>
    <x:row r="18" ht="54" customHeight="1">
      <x:c r="A18" s="17" t="str">
        <x:v>BUS007</x:v>
      </x:c>
      <x:c r="B18" s="17" t="str">
        <x:v>贵州茅台当前最新价、涨跌幅和成交额是多少？</x:v>
      </x:c>
      <x:c r="C18" s="17" t="n">
        <x:v>1</x:v>
      </x:c>
      <x:c r="D18" s="17" t="str"/>
      <x:c r="E18" s="17" t="str">
        <x:v>工具调用</x:v>
      </x:c>
      <x:c r="F18" s="17" t="str">
        <x:v>read_finance_catalog</x:v>
      </x:c>
      <x:c r="G18" s="17" t="str"/>
      <x:c r="H18" s="17" t="str"/>
      <x:c r="I18" s="17" t="str">
        <x:v>合理操作</x:v>
      </x:c>
      <x:c r="J18" s="17" t="str">
        <x:v>是</x:v>
      </x:c>
      <x:c r="K18" s="18"/>
      <x:c r="L18" s="17" t="str">
        <x:v>否</x:v>
      </x:c>
      <x:c r="M18" s="17" t="str">
        <x:v>否</x:v>
      </x:c>
      <x:c r="N18" s="17" t="str">
        <x:v>target_catalog_located</x:v>
      </x:c>
      <x:c r="O18" s="17" t="str">
        <x:v>expected_dataview_catalog</x:v>
      </x:c>
      <x:c r="P18" s="17" t="str"/>
      <x:c r="Q18" s="17" t="str"/>
      <x:c r="R18" s="17" t="str"/>
      <x:c r="S18" s="17" t="str">
        <x:v>stock</x:v>
      </x:c>
      <x:c r="T18" s="17" t="str">
        <x:v>quote</x:v>
      </x:c>
      <x:c r="U18" s="17" t="str"/>
      <x:c r="V18" s="30"/>
      <x:c r="W18" s="17" t="str">
        <x:v>high</x:v>
      </x:c>
    </x:row>
    <x:row r="19" ht="54" customHeight="1">
      <x:c r="A19" s="17" t="str">
        <x:v>BUS007</x:v>
      </x:c>
      <x:c r="B19" s="17" t="str">
        <x:v>贵州茅台当前最新价、涨跌幅和成交额是多少？</x:v>
      </x:c>
      <x:c r="C19" s="17" t="n">
        <x:v>2</x:v>
      </x:c>
      <x:c r="D19" s="17" t="str"/>
      <x:c r="E19" s="17" t="str">
        <x:v>工具调用</x:v>
      </x:c>
      <x:c r="F19" s="17" t="str">
        <x:v>finance_query</x:v>
      </x:c>
      <x:c r="G19" s="17" t="str">
        <x:v>r1 = stock.quote(filter = "code = 600519.SH", limit = 1, realtime = 2) -&gt; code, name, tradedate, close, pct, amount</x:v>
      </x:c>
      <x:c r="H19" s="17" t="str"/>
      <x:c r="I19" s="17" t="str">
        <x:v>合理操作</x:v>
      </x:c>
      <x:c r="J19" s="17" t="str">
        <x:v>是</x:v>
      </x:c>
      <x:c r="K19" s="18"/>
      <x:c r="L19" s="17" t="str">
        <x:v>否</x:v>
      </x:c>
      <x:c r="M19" s="17" t="str">
        <x:v>否</x:v>
      </x:c>
      <x:c r="N19" s="17" t="str">
        <x:v>target_api_executed</x:v>
      </x:c>
      <x:c r="O19" s="17" t="str">
        <x:v>expected_dataview_coverage</x:v>
      </x:c>
      <x:c r="P19" s="17" t="str">
        <x:v>session://financial_qa_33499cfa81de4d06_2702_9486d12fe468/vars/v1</x:v>
      </x:c>
      <x:c r="Q19" s="17" t="str"/>
      <x:c r="R19" s="17" t="str">
        <x:v>stock.quote</x:v>
      </x:c>
      <x:c r="S19" s="17" t="str"/>
      <x:c r="T19" s="17" t="str"/>
      <x:c r="U19" s="17" t="str">
        <x:v>r1</x:v>
      </x:c>
      <x:c r="V19" s="30" t="n">
        <x:v>1</x:v>
      </x:c>
      <x:c r="W19" s="17" t="str">
        <x:v>high</x:v>
      </x:c>
    </x:row>
    <x:row r="20" ht="54" customHeight="1">
      <x:c r="A20" s="17" t="str">
        <x:v>BUS007</x:v>
      </x:c>
      <x:c r="B20" s="17" t="str">
        <x:v>贵州茅台当前最新价、涨跌幅和成交额是多少？</x:v>
      </x:c>
      <x:c r="C20" s="17" t="n">
        <x:v>3</x:v>
      </x:c>
      <x:c r="D20" s="17" t="str"/>
      <x:c r="E20" s="17" t="str">
        <x:v>工具调用</x:v>
      </x:c>
      <x:c r="F20" s="17" t="str">
        <x:v>finance_query</x:v>
      </x:c>
      <x:c r="G20" s="17" t="str">
        <x:v>r2 = stock.quote(filter = "code = 600519.SH and tradedate = -1", limit = 1, realtime = 0) -&gt; code, name, tradedate, close, pct, amount</x:v>
      </x:c>
      <x:c r="H20" s="17" t="str"/>
      <x:c r="I20" s="17" t="str">
        <x:v>合理操作</x:v>
      </x:c>
      <x:c r="J20" s="17" t="str">
        <x:v>是</x:v>
      </x:c>
      <x:c r="K20" s="18"/>
      <x:c r="L20" s="17" t="str">
        <x:v>否</x:v>
      </x:c>
      <x:c r="M20" s="17" t="str">
        <x:v>否</x:v>
      </x:c>
      <x:c r="N20" s="17" t="str">
        <x:v>target_api_executed</x:v>
      </x:c>
      <x:c r="O20" s="17" t="str">
        <x:v>expected_dataview_coverage</x:v>
      </x:c>
      <x:c r="P20" s="17" t="str">
        <x:v>session://financial_qa_33499cfa81de4d06_2702_9486d12fe468/vars/v2</x:v>
      </x:c>
      <x:c r="Q20" s="17" t="str"/>
      <x:c r="R20" s="17" t="str">
        <x:v>stock.quote</x:v>
      </x:c>
      <x:c r="S20" s="17" t="str"/>
      <x:c r="T20" s="17" t="str"/>
      <x:c r="U20" s="17" t="str">
        <x:v>r2</x:v>
      </x:c>
      <x:c r="V20" s="30" t="n">
        <x:v>1</x:v>
      </x:c>
      <x:c r="W20" s="17" t="str">
        <x:v>high</x:v>
      </x:c>
    </x:row>
    <x:row r="21" ht="54" customHeight="1">
      <x:c r="A21" s="17" t="str">
        <x:v>BUS008</x:v>
      </x:c>
      <x:c r="B21" s="17" t="str">
        <x:v>今天A股涨幅最高的前20只股票是谁？</x:v>
      </x:c>
      <x:c r="C21" s="17" t="n">
        <x:v>1</x:v>
      </x:c>
      <x:c r="D21" s="17" t="str"/>
      <x:c r="E21" s="17" t="str">
        <x:v>工具调用</x:v>
      </x:c>
      <x:c r="F21" s="17" t="str">
        <x:v>read_finance_catalog</x:v>
      </x:c>
      <x:c r="G21" s="17" t="str"/>
      <x:c r="H21" s="17" t="str"/>
      <x:c r="I21" s="17" t="str">
        <x:v>合理操作</x:v>
      </x:c>
      <x:c r="J21" s="17" t="str">
        <x:v>是</x:v>
      </x:c>
      <x:c r="K21" s="18"/>
      <x:c r="L21" s="17" t="str">
        <x:v>否</x:v>
      </x:c>
      <x:c r="M21" s="17" t="str">
        <x:v>否</x:v>
      </x:c>
      <x:c r="N21" s="17" t="str">
        <x:v>target_catalog_located</x:v>
      </x:c>
      <x:c r="O21" s="17" t="str">
        <x:v>expected_dataview_catalog</x:v>
      </x:c>
      <x:c r="P21" s="17" t="str"/>
      <x:c r="Q21" s="17" t="str"/>
      <x:c r="R21" s="17" t="str"/>
      <x:c r="S21" s="17" t="str">
        <x:v>stock</x:v>
      </x:c>
      <x:c r="T21" s="17" t="str">
        <x:v>quote</x:v>
      </x:c>
      <x:c r="U21" s="17" t="str"/>
      <x:c r="V21" s="30"/>
      <x:c r="W21" s="17" t="str">
        <x:v>high</x:v>
      </x:c>
    </x:row>
    <x:row r="22" ht="54" customHeight="1">
      <x:c r="A22" s="17" t="str">
        <x:v>BUS008</x:v>
      </x:c>
      <x:c r="B22" s="17" t="str">
        <x:v>今天A股涨幅最高的前20只股票是谁？</x:v>
      </x:c>
      <x:c r="C22" s="17" t="n">
        <x:v>2</x:v>
      </x:c>
      <x:c r="D22" s="17" t="str"/>
      <x:c r="E22" s="17" t="str">
        <x:v>工具调用</x:v>
      </x:c>
      <x:c r="F22" s="17" t="str">
        <x:v>finance_query</x:v>
      </x:c>
      <x:c r="G22" s="17" t="str">
        <x:v>r1 = stock.quote(filter = "tradedate = -1", order = "pct desc", limit = 20, realtime = 0) -&gt; code, name, tradedate, close, pct, amount</x:v>
      </x:c>
      <x:c r="H22" s="17" t="str"/>
      <x:c r="I22" s="17" t="str">
        <x:v>合理操作</x:v>
      </x:c>
      <x:c r="J22" s="17" t="str">
        <x:v>是</x:v>
      </x:c>
      <x:c r="K22" s="18"/>
      <x:c r="L22" s="17" t="str">
        <x:v>否</x:v>
      </x:c>
      <x:c r="M22" s="17" t="str">
        <x:v>否</x:v>
      </x:c>
      <x:c r="N22" s="17" t="str">
        <x:v>target_api_executed</x:v>
      </x:c>
      <x:c r="O22" s="17" t="str">
        <x:v>expected_dataview_coverage</x:v>
      </x:c>
      <x:c r="P22" s="17" t="str">
        <x:v>session://financial_qa_33499cfa81de4d06_2703_b236e2696d2c/vars/v1</x:v>
      </x:c>
      <x:c r="Q22" s="17" t="str"/>
      <x:c r="R22" s="17" t="str">
        <x:v>stock.quote</x:v>
      </x:c>
      <x:c r="S22" s="17" t="str"/>
      <x:c r="T22" s="17" t="str"/>
      <x:c r="U22" s="17" t="str">
        <x:v>r1</x:v>
      </x:c>
      <x:c r="V22" s="30" t="n">
        <x:v>20</x:v>
      </x:c>
      <x:c r="W22" s="17" t="str">
        <x:v>high</x:v>
      </x:c>
    </x:row>
    <x:row r="23" ht="54" customHeight="1">
      <x:c r="A23" s="17" t="str">
        <x:v>BUS008</x:v>
      </x:c>
      <x:c r="B23" s="17" t="str">
        <x:v>今天A股涨幅最高的前20只股票是谁？</x:v>
      </x:c>
      <x:c r="C23" s="17" t="n">
        <x:v>3</x:v>
      </x:c>
      <x:c r="D23" s="17" t="str"/>
      <x:c r="E23" s="17" t="str">
        <x:v>工具调用</x:v>
      </x:c>
      <x:c r="F23" s="17" t="str">
        <x:v>load_finance_result</x:v>
      </x:c>
      <x:c r="G23" s="17" t="str"/>
      <x:c r="H23" s="17" t="str"/>
      <x:c r="I23" s="17" t="str">
        <x:v>合理操作</x:v>
      </x:c>
      <x:c r="J23" s="17" t="str">
        <x:v>是</x:v>
      </x:c>
      <x:c r="K23" s="18"/>
      <x:c r="L23" s="17" t="str">
        <x:v>否</x:v>
      </x:c>
      <x:c r="M23" s="17" t="str">
        <x:v>否</x:v>
      </x:c>
      <x:c r="N23" s="17" t="str">
        <x:v>load_truncated_result</x:v>
      </x:c>
      <x:c r="O23" s="17" t="str">
        <x:v>sample_incomplete_requires_full_result</x:v>
      </x:c>
      <x:c r="P23" s="17" t="str">
        <x:v>session://financial_qa_33499cfa81de4d06_2703_b236e2696d2c/vars/v1</x:v>
      </x:c>
      <x:c r="Q23" s="17" t="str"/>
      <x:c r="R23" s="17" t="str"/>
      <x:c r="S23" s="17" t="str"/>
      <x:c r="T23" s="17" t="str"/>
      <x:c r="U23" s="17" t="str"/>
      <x:c r="V23" s="30"/>
      <x:c r="W23" s="17" t="str">
        <x:v>high</x:v>
      </x:c>
    </x:row>
    <x:row r="24" ht="54" customHeight="1">
      <x:c r="A24" s="17" t="str">
        <x:v>BUS009</x:v>
      </x:c>
      <x:c r="B24" s="17" t="str">
        <x:v>今天跌幅超过5%且成交额超过5亿元的股票有哪些？</x:v>
      </x:c>
      <x:c r="C24" s="17" t="n">
        <x:v>1</x:v>
      </x:c>
      <x:c r="D24" s="17" t="str"/>
      <x:c r="E24" s="17" t="str">
        <x:v>工具调用</x:v>
      </x:c>
      <x:c r="F24" s="17" t="str">
        <x:v>read_finance_catalog</x:v>
      </x:c>
      <x:c r="G24" s="17" t="str"/>
      <x:c r="H24" s="17" t="str"/>
      <x:c r="I24" s="17" t="str">
        <x:v>合理操作</x:v>
      </x:c>
      <x:c r="J24" s="17" t="str">
        <x:v>是</x:v>
      </x:c>
      <x:c r="K24" s="18"/>
      <x:c r="L24" s="17" t="str">
        <x:v>否</x:v>
      </x:c>
      <x:c r="M24" s="17" t="str">
        <x:v>否</x:v>
      </x:c>
      <x:c r="N24" s="17" t="str">
        <x:v>target_catalog_located</x:v>
      </x:c>
      <x:c r="O24" s="17" t="str">
        <x:v>expected_dataview_catalog</x:v>
      </x:c>
      <x:c r="P24" s="17" t="str"/>
      <x:c r="Q24" s="17" t="str"/>
      <x:c r="R24" s="17" t="str"/>
      <x:c r="S24" s="17" t="str">
        <x:v>stock</x:v>
      </x:c>
      <x:c r="T24" s="17" t="str">
        <x:v>quote</x:v>
      </x:c>
      <x:c r="U24" s="17" t="str"/>
      <x:c r="V24" s="30"/>
      <x:c r="W24" s="17" t="str">
        <x:v>high</x:v>
      </x:c>
    </x:row>
    <x:row r="25" ht="54" customHeight="1">
      <x:c r="A25" s="17" t="str">
        <x:v>BUS009</x:v>
      </x:c>
      <x:c r="B25" s="17" t="str">
        <x:v>今天跌幅超过5%且成交额超过5亿元的股票有哪些？</x:v>
      </x:c>
      <x:c r="C25" s="17" t="n">
        <x:v>2</x:v>
      </x:c>
      <x:c r="D25" s="17" t="str"/>
      <x:c r="E25" s="17" t="str">
        <x:v>工具调用</x:v>
      </x:c>
      <x:c r="F25" s="17" t="str">
        <x:v>finance_query</x:v>
      </x:c>
      <x:c r="G25" s="17" t="str">
        <x:v>r1 = stock.quote(filter = "tradedate = -1 and pct &lt; -5 and amount &gt; 500000000", order = "pct asc", limit = -1, realtime = 0) -&gt; code, name, tradedate, close, pct, amount</x:v>
      </x:c>
      <x:c r="H25" s="17" t="str"/>
      <x:c r="I25" s="17" t="str">
        <x:v>合理操作</x:v>
      </x:c>
      <x:c r="J25" s="17" t="str">
        <x:v>是</x:v>
      </x:c>
      <x:c r="K25" s="18"/>
      <x:c r="L25" s="17" t="str">
        <x:v>否</x:v>
      </x:c>
      <x:c r="M25" s="17" t="str">
        <x:v>否</x:v>
      </x:c>
      <x:c r="N25" s="17" t="str">
        <x:v>target_api_executed</x:v>
      </x:c>
      <x:c r="O25" s="17" t="str">
        <x:v>expected_dataview_coverage</x:v>
      </x:c>
      <x:c r="P25" s="17" t="str">
        <x:v>session://financial_qa_33499cfa81de4d06_2704_efd1b9a108bf/vars/v1</x:v>
      </x:c>
      <x:c r="Q25" s="17" t="str"/>
      <x:c r="R25" s="17" t="str">
        <x:v>stock.quote</x:v>
      </x:c>
      <x:c r="S25" s="17" t="str"/>
      <x:c r="T25" s="17" t="str"/>
      <x:c r="U25" s="17" t="str">
        <x:v>r1</x:v>
      </x:c>
      <x:c r="V25" s="30" t="n">
        <x:v>10</x:v>
      </x:c>
      <x:c r="W25" s="17" t="str">
        <x:v>high</x:v>
      </x:c>
    </x:row>
    <x:row r="26" ht="54" customHeight="1">
      <x:c r="A26" s="17" t="str">
        <x:v>BUS009</x:v>
      </x:c>
      <x:c r="B26" s="17" t="str">
        <x:v>今天跌幅超过5%且成交额超过5亿元的股票有哪些？</x:v>
      </x:c>
      <x:c r="C26" s="17" t="n">
        <x:v>3</x:v>
      </x:c>
      <x:c r="D26" s="17" t="str"/>
      <x:c r="E26" s="17" t="str">
        <x:v>工具调用</x:v>
      </x:c>
      <x:c r="F26" s="17" t="str">
        <x:v>load_finance_result</x:v>
      </x:c>
      <x:c r="G26" s="17" t="str"/>
      <x:c r="H26" s="17" t="str"/>
      <x:c r="I26" s="17" t="str">
        <x:v>合理操作</x:v>
      </x:c>
      <x:c r="J26" s="17" t="str">
        <x:v>是</x:v>
      </x:c>
      <x:c r="K26" s="18"/>
      <x:c r="L26" s="17" t="str">
        <x:v>否</x:v>
      </x:c>
      <x:c r="M26" s="17" t="str">
        <x:v>否</x:v>
      </x:c>
      <x:c r="N26" s="17" t="str">
        <x:v>load_truncated_result</x:v>
      </x:c>
      <x:c r="O26" s="17" t="str">
        <x:v>sample_incomplete_requires_full_result</x:v>
      </x:c>
      <x:c r="P26" s="17" t="str">
        <x:v>session://financial_qa_33499cfa81de4d06_2704_efd1b9a108bf/vars/v1</x:v>
      </x:c>
      <x:c r="Q26" s="17" t="str"/>
      <x:c r="R26" s="17" t="str"/>
      <x:c r="S26" s="17" t="str"/>
      <x:c r="T26" s="17" t="str"/>
      <x:c r="U26" s="17" t="str"/>
      <x:c r="V26" s="30"/>
      <x:c r="W26" s="17" t="str">
        <x:v>high</x:v>
      </x:c>
    </x:row>
    <x:row r="27" ht="54" customHeight="1">
      <x:c r="A27" s="17" t="str">
        <x:v>BUS010</x:v>
      </x:c>
      <x:c r="B27" s="17" t="str">
        <x:v>查询宁德时代最近10个交易日的收盘价和涨跌幅。</x:v>
      </x:c>
      <x:c r="C27" s="17" t="n">
        <x:v>1</x:v>
      </x:c>
      <x:c r="D27" s="17" t="str"/>
      <x:c r="E27" s="17" t="str">
        <x:v>工具调用</x:v>
      </x:c>
      <x:c r="F27" s="17" t="str">
        <x:v>read_finance_catalog</x:v>
      </x:c>
      <x:c r="G27" s="17" t="str"/>
      <x:c r="H27" s="17" t="str"/>
      <x:c r="I27" s="17" t="str">
        <x:v>合理操作</x:v>
      </x:c>
      <x:c r="J27" s="17" t="str">
        <x:v>是</x:v>
      </x:c>
      <x:c r="K27" s="18"/>
      <x:c r="L27" s="17" t="str">
        <x:v>否</x:v>
      </x:c>
      <x:c r="M27" s="17" t="str">
        <x:v>否</x:v>
      </x:c>
      <x:c r="N27" s="17" t="str">
        <x:v>target_catalog_located</x:v>
      </x:c>
      <x:c r="O27" s="17" t="str">
        <x:v>expected_dataview_catalog</x:v>
      </x:c>
      <x:c r="P27" s="17" t="str"/>
      <x:c r="Q27" s="17" t="str"/>
      <x:c r="R27" s="17" t="str"/>
      <x:c r="S27" s="17" t="str">
        <x:v>stock</x:v>
      </x:c>
      <x:c r="T27" s="17" t="str">
        <x:v>quote</x:v>
      </x:c>
      <x:c r="U27" s="17" t="str"/>
      <x:c r="V27" s="30"/>
      <x:c r="W27" s="17" t="str">
        <x:v>high</x:v>
      </x:c>
    </x:row>
    <x:row r="28" ht="54" customHeight="1">
      <x:c r="A28" s="17" t="str">
        <x:v>BUS010</x:v>
      </x:c>
      <x:c r="B28" s="17" t="str">
        <x:v>查询宁德时代最近10个交易日的收盘价和涨跌幅。</x:v>
      </x:c>
      <x:c r="C28" s="17" t="n">
        <x:v>2</x:v>
      </x:c>
      <x:c r="D28" s="17" t="str"/>
      <x:c r="E28" s="17" t="str">
        <x:v>工具调用</x:v>
      </x:c>
      <x:c r="F28" s="17" t="str">
        <x:v>finance_query</x:v>
      </x:c>
      <x:c r="G28" s="17" t="str">
        <x:v>r1 = stock.quote(filter = "code = 300750.SZ", order = "tradedate desc", limit = 10, realtime = 0) -&gt; code, name, tradedate, close, pct</x:v>
      </x:c>
      <x:c r="H28" s="17" t="str"/>
      <x:c r="I28" s="17" t="str">
        <x:v>合理操作</x:v>
      </x:c>
      <x:c r="J28" s="17" t="str">
        <x:v>是</x:v>
      </x:c>
      <x:c r="K28" s="18"/>
      <x:c r="L28" s="17" t="str">
        <x:v>否</x:v>
      </x:c>
      <x:c r="M28" s="17" t="str">
        <x:v>否</x:v>
      </x:c>
      <x:c r="N28" s="17" t="str">
        <x:v>target_api_executed</x:v>
      </x:c>
      <x:c r="O28" s="17" t="str">
        <x:v>expected_dataview_coverage</x:v>
      </x:c>
      <x:c r="P28" s="17" t="str">
        <x:v>session://financial_qa_33499cfa81de4d06_2705_989b07eac304/vars/v1</x:v>
      </x:c>
      <x:c r="Q28" s="17" t="str"/>
      <x:c r="R28" s="17" t="str">
        <x:v>stock.quote</x:v>
      </x:c>
      <x:c r="S28" s="17" t="str"/>
      <x:c r="T28" s="17" t="str"/>
      <x:c r="U28" s="17" t="str">
        <x:v>r1</x:v>
      </x:c>
      <x:c r="V28" s="30" t="n">
        <x:v>10</x:v>
      </x:c>
      <x:c r="W28" s="17" t="str">
        <x:v>high</x:v>
      </x:c>
    </x:row>
    <x:row r="29" ht="54" customHeight="1">
      <x:c r="A29" s="17" t="str">
        <x:v>BUS010</x:v>
      </x:c>
      <x:c r="B29" s="17" t="str">
        <x:v>查询宁德时代最近10个交易日的收盘价和涨跌幅。</x:v>
      </x:c>
      <x:c r="C29" s="17" t="n">
        <x:v>3</x:v>
      </x:c>
      <x:c r="D29" s="17" t="str"/>
      <x:c r="E29" s="17" t="str">
        <x:v>工具调用</x:v>
      </x:c>
      <x:c r="F29" s="17" t="str">
        <x:v>load_finance_result</x:v>
      </x:c>
      <x:c r="G29" s="17" t="str"/>
      <x:c r="H29" s="17" t="str"/>
      <x:c r="I29" s="17" t="str">
        <x:v>合理操作</x:v>
      </x:c>
      <x:c r="J29" s="17" t="str">
        <x:v>是</x:v>
      </x:c>
      <x:c r="K29" s="18"/>
      <x:c r="L29" s="17" t="str">
        <x:v>否</x:v>
      </x:c>
      <x:c r="M29" s="17" t="str">
        <x:v>否</x:v>
      </x:c>
      <x:c r="N29" s="17" t="str">
        <x:v>load_truncated_result</x:v>
      </x:c>
      <x:c r="O29" s="17" t="str">
        <x:v>sample_incomplete_requires_full_result</x:v>
      </x:c>
      <x:c r="P29" s="17" t="str">
        <x:v>session://financial_qa_33499cfa81de4d06_2705_989b07eac304/vars/v1</x:v>
      </x:c>
      <x:c r="Q29" s="17" t="str"/>
      <x:c r="R29" s="17" t="str"/>
      <x:c r="S29" s="17" t="str"/>
      <x:c r="T29" s="17" t="str"/>
      <x:c r="U29" s="17" t="str"/>
      <x:c r="V29" s="30"/>
      <x:c r="W29" s="17" t="str">
        <x:v>high</x:v>
      </x:c>
    </x:row>
    <x:row r="30" ht="54" customHeight="1">
      <x:c r="A30" s="17" t="str">
        <x:v>BUS011</x:v>
      </x:c>
      <x:c r="B30" s="17" t="str">
        <x:v>过去20个交易日振幅最高的前20只股票。</x:v>
      </x:c>
      <x:c r="C30" s="17" t="n">
        <x:v>1</x:v>
      </x:c>
      <x:c r="D30" s="17" t="str"/>
      <x:c r="E30" s="17" t="str">
        <x:v>工具调用</x:v>
      </x:c>
      <x:c r="F30" s="17" t="str">
        <x:v>read_finance_catalog</x:v>
      </x:c>
      <x:c r="G30" s="17" t="str"/>
      <x:c r="H30" s="17" t="str"/>
      <x:c r="I30" s="17" t="str">
        <x:v>合理操作</x:v>
      </x:c>
      <x:c r="J30" s="17" t="str">
        <x:v>是</x:v>
      </x:c>
      <x:c r="K30" s="18"/>
      <x:c r="L30" s="17" t="str">
        <x:v>否</x:v>
      </x:c>
      <x:c r="M30" s="17" t="str">
        <x:v>否</x:v>
      </x:c>
      <x:c r="N30" s="17" t="str">
        <x:v>target_catalog_located</x:v>
      </x:c>
      <x:c r="O30" s="17" t="str">
        <x:v>expected_dataview_catalog</x:v>
      </x:c>
      <x:c r="P30" s="17" t="str"/>
      <x:c r="Q30" s="17" t="str"/>
      <x:c r="R30" s="17" t="str"/>
      <x:c r="S30" s="17" t="str">
        <x:v>stock</x:v>
      </x:c>
      <x:c r="T30" s="17" t="str">
        <x:v>quote</x:v>
      </x:c>
      <x:c r="U30" s="17" t="str"/>
      <x:c r="V30" s="30"/>
      <x:c r="W30" s="17" t="str">
        <x:v>high</x:v>
      </x:c>
    </x:row>
    <x:row r="31" ht="54" customHeight="1">
      <x:c r="A31" s="17" t="str">
        <x:v>BUS011</x:v>
      </x:c>
      <x:c r="B31" s="17" t="str">
        <x:v>过去20个交易日振幅最高的前20只股票。</x:v>
      </x:c>
      <x:c r="C31" s="17" t="n">
        <x:v>2</x:v>
      </x:c>
      <x:c r="D31" s="17" t="str"/>
      <x:c r="E31" s="17" t="str">
        <x:v>工具调用</x:v>
      </x:c>
      <x:c r="F31" s="17" t="str">
        <x:v>finance_query</x:v>
      </x:c>
      <x:c r="G31" s="17" t="str">
        <x:v>r1 = stock.quote.kd_amplitude_avg(k = 20, order = "value desc", limit = 20, realtime = 0) -&gt; code, name, value as avg_amplitude_20d</x:v>
      </x:c>
      <x:c r="H31" s="17" t="str"/>
      <x:c r="I31" s="17" t="str">
        <x:v>合理操作</x:v>
      </x:c>
      <x:c r="J31" s="17" t="str">
        <x:v>是</x:v>
      </x:c>
      <x:c r="K31" s="18"/>
      <x:c r="L31" s="17" t="str">
        <x:v>否</x:v>
      </x:c>
      <x:c r="M31" s="17" t="str">
        <x:v>否</x:v>
      </x:c>
      <x:c r="N31" s="17" t="str">
        <x:v>target_api_executed</x:v>
      </x:c>
      <x:c r="O31" s="17" t="str">
        <x:v>expected_dataview_coverage</x:v>
      </x:c>
      <x:c r="P31" s="17" t="str">
        <x:v>session://financial_qa_33499cfa81de4d06_2706_527160003377/vars/v1</x:v>
      </x:c>
      <x:c r="Q31" s="17" t="str"/>
      <x:c r="R31" s="17" t="str">
        <x:v>stock.quote.kd_amplitude_avg</x:v>
      </x:c>
      <x:c r="S31" s="17" t="str"/>
      <x:c r="T31" s="17" t="str"/>
      <x:c r="U31" s="17" t="str">
        <x:v>r1</x:v>
      </x:c>
      <x:c r="V31" s="30" t="n">
        <x:v>20</x:v>
      </x:c>
      <x:c r="W31" s="17" t="str">
        <x:v>high</x:v>
      </x:c>
    </x:row>
    <x:row r="32" ht="54" customHeight="1">
      <x:c r="A32" s="17" t="str">
        <x:v>BUS011</x:v>
      </x:c>
      <x:c r="B32" s="17" t="str">
        <x:v>过去20个交易日振幅最高的前20只股票。</x:v>
      </x:c>
      <x:c r="C32" s="17" t="n">
        <x:v>3</x:v>
      </x:c>
      <x:c r="D32" s="17" t="str"/>
      <x:c r="E32" s="17" t="str">
        <x:v>工具调用</x:v>
      </x:c>
      <x:c r="F32" s="17" t="str">
        <x:v>load_finance_result</x:v>
      </x:c>
      <x:c r="G32" s="17" t="str"/>
      <x:c r="H32" s="17" t="str"/>
      <x:c r="I32" s="17" t="str">
        <x:v>合理操作</x:v>
      </x:c>
      <x:c r="J32" s="17" t="str">
        <x:v>是</x:v>
      </x:c>
      <x:c r="K32" s="18"/>
      <x:c r="L32" s="17" t="str">
        <x:v>否</x:v>
      </x:c>
      <x:c r="M32" s="17" t="str">
        <x:v>否</x:v>
      </x:c>
      <x:c r="N32" s="17" t="str">
        <x:v>load_truncated_result</x:v>
      </x:c>
      <x:c r="O32" s="17" t="str">
        <x:v>sample_incomplete_requires_full_result</x:v>
      </x:c>
      <x:c r="P32" s="17" t="str">
        <x:v>session://financial_qa_33499cfa81de4d06_2706_527160003377/vars/v1</x:v>
      </x:c>
      <x:c r="Q32" s="17" t="str"/>
      <x:c r="R32" s="17" t="str"/>
      <x:c r="S32" s="17" t="str"/>
      <x:c r="T32" s="17" t="str"/>
      <x:c r="U32" s="17" t="str"/>
      <x:c r="V32" s="30"/>
      <x:c r="W32" s="17" t="str">
        <x:v>high</x:v>
      </x:c>
    </x:row>
    <x:row r="33" ht="54" customHeight="1">
      <x:c r="A33" s="17" t="str">
        <x:v>BUS012</x:v>
      </x:c>
      <x:c r="B33" s="17" t="str">
        <x:v>当前分钟成交量最大的前20只股票。</x:v>
      </x:c>
      <x:c r="C33" s="17" t="n">
        <x:v>1</x:v>
      </x:c>
      <x:c r="D33" s="17" t="str"/>
      <x:c r="E33" s="17" t="str">
        <x:v>工具调用</x:v>
      </x:c>
      <x:c r="F33" s="17" t="str">
        <x:v>read_finance_catalog</x:v>
      </x:c>
      <x:c r="G33" s="17" t="str"/>
      <x:c r="H33" s="17" t="str"/>
      <x:c r="I33" s="17" t="str">
        <x:v>合理操作</x:v>
      </x:c>
      <x:c r="J33" s="17" t="str">
        <x:v>是</x:v>
      </x:c>
      <x:c r="K33" s="18"/>
      <x:c r="L33" s="17" t="str">
        <x:v>否</x:v>
      </x:c>
      <x:c r="M33" s="17" t="str">
        <x:v>否</x:v>
      </x:c>
      <x:c r="N33" s="17" t="str">
        <x:v>target_catalog_located</x:v>
      </x:c>
      <x:c r="O33" s="17" t="str">
        <x:v>expected_dataview_catalog</x:v>
      </x:c>
      <x:c r="P33" s="17" t="str"/>
      <x:c r="Q33" s="17" t="str"/>
      <x:c r="R33" s="17" t="str"/>
      <x:c r="S33" s="17" t="str">
        <x:v>stock</x:v>
      </x:c>
      <x:c r="T33" s="17" t="str">
        <x:v>quote</x:v>
      </x:c>
      <x:c r="U33" s="17" t="str"/>
      <x:c r="V33" s="30"/>
      <x:c r="W33" s="17" t="str">
        <x:v>high</x:v>
      </x:c>
    </x:row>
    <x:row r="34" ht="54" customHeight="1">
      <x:c r="A34" s="17" t="str">
        <x:v>BUS012</x:v>
      </x:c>
      <x:c r="B34" s="17" t="str">
        <x:v>当前分钟成交量最大的前20只股票。</x:v>
      </x:c>
      <x:c r="C34" s="17" t="n">
        <x:v>2</x:v>
      </x:c>
      <x:c r="D34" s="17" t="str"/>
      <x:c r="E34" s="17" t="str">
        <x:v>工具调用</x:v>
      </x:c>
      <x:c r="F34" s="17" t="str">
        <x:v>finance_query</x:v>
      </x:c>
      <x:c r="G34" s="17" t="str">
        <x:v>r1 = stock.quote(filter = "all", order = "volumn desc", limit = 20, realtime = 2) -&gt; code, name, close, pct, volumn, amount</x:v>
      </x:c>
      <x:c r="H34" s="17" t="str"/>
      <x:c r="I34" s="17" t="str">
        <x:v>合理操作</x:v>
      </x:c>
      <x:c r="J34" s="17" t="str">
        <x:v>是</x:v>
      </x:c>
      <x:c r="K34" s="18"/>
      <x:c r="L34" s="17" t="str">
        <x:v>否</x:v>
      </x:c>
      <x:c r="M34" s="17" t="str">
        <x:v>否</x:v>
      </x:c>
      <x:c r="N34" s="17" t="str">
        <x:v>target_api_executed</x:v>
      </x:c>
      <x:c r="O34" s="17" t="str">
        <x:v>expected_dataview_coverage</x:v>
      </x:c>
      <x:c r="P34" s="17" t="str">
        <x:v>session://financial_qa_33499cfa81de4d06_2707_26f13ef8b66f/vars/v1</x:v>
      </x:c>
      <x:c r="Q34" s="17" t="str"/>
      <x:c r="R34" s="17" t="str">
        <x:v>stock.quote</x:v>
      </x:c>
      <x:c r="S34" s="17" t="str"/>
      <x:c r="T34" s="17" t="str"/>
      <x:c r="U34" s="17" t="str">
        <x:v>r1</x:v>
      </x:c>
      <x:c r="V34" s="30" t="n">
        <x:v>20</x:v>
      </x:c>
      <x:c r="W34" s="17" t="str">
        <x:v>high</x:v>
      </x:c>
    </x:row>
    <x:row r="35" ht="54" customHeight="1">
      <x:c r="A35" s="17" t="str">
        <x:v>BUS012</x:v>
      </x:c>
      <x:c r="B35" s="17" t="str">
        <x:v>当前分钟成交量最大的前20只股票。</x:v>
      </x:c>
      <x:c r="C35" s="17" t="n">
        <x:v>3</x:v>
      </x:c>
      <x:c r="D35" s="17" t="str"/>
      <x:c r="E35" s="17" t="str">
        <x:v>工具调用</x:v>
      </x:c>
      <x:c r="F35" s="17" t="str">
        <x:v>load_finance_result</x:v>
      </x:c>
      <x:c r="G35" s="17" t="str"/>
      <x:c r="H35" s="17" t="str"/>
      <x:c r="I35" s="17" t="str">
        <x:v>合理操作</x:v>
      </x:c>
      <x:c r="J35" s="17" t="str">
        <x:v>是</x:v>
      </x:c>
      <x:c r="K35" s="18"/>
      <x:c r="L35" s="17" t="str">
        <x:v>否</x:v>
      </x:c>
      <x:c r="M35" s="17" t="str">
        <x:v>否</x:v>
      </x:c>
      <x:c r="N35" s="17" t="str">
        <x:v>load_truncated_result</x:v>
      </x:c>
      <x:c r="O35" s="17" t="str">
        <x:v>sample_incomplete_requires_full_result</x:v>
      </x:c>
      <x:c r="P35" s="17" t="str">
        <x:v>session://financial_qa_33499cfa81de4d06_2707_26f13ef8b66f/vars/v1</x:v>
      </x:c>
      <x:c r="Q35" s="17" t="str"/>
      <x:c r="R35" s="17" t="str"/>
      <x:c r="S35" s="17" t="str"/>
      <x:c r="T35" s="17" t="str"/>
      <x:c r="U35" s="17" t="str"/>
      <x:c r="V35" s="30"/>
      <x:c r="W35" s="17" t="str">
        <x:v>high</x:v>
      </x:c>
    </x:row>
    <x:row r="36" ht="54" customHeight="1">
      <x:c r="A36" s="17" t="str">
        <x:v>BUS013</x:v>
      </x:c>
      <x:c r="B36" s="17" t="str">
        <x:v>今天主力净流入最高的前20只股票有哪些？</x:v>
      </x:c>
      <x:c r="C36" s="17" t="n">
        <x:v>1</x:v>
      </x:c>
      <x:c r="D36" s="17" t="str"/>
      <x:c r="E36" s="17" t="str">
        <x:v>工具调用</x:v>
      </x:c>
      <x:c r="F36" s="17" t="str">
        <x:v>read_finance_catalog</x:v>
      </x:c>
      <x:c r="G36" s="17" t="str"/>
      <x:c r="H36" s="17" t="str"/>
      <x:c r="I36" s="17" t="str">
        <x:v>合理操作</x:v>
      </x:c>
      <x:c r="J36" s="17" t="str">
        <x:v>是</x:v>
      </x:c>
      <x:c r="K36" s="18"/>
      <x:c r="L36" s="17" t="str">
        <x:v>否</x:v>
      </x:c>
      <x:c r="M36" s="17" t="str">
        <x:v>否</x:v>
      </x:c>
      <x:c r="N36" s="17" t="str">
        <x:v>target_catalog_located</x:v>
      </x:c>
      <x:c r="O36" s="17" t="str">
        <x:v>expected_dataview_catalog</x:v>
      </x:c>
      <x:c r="P36" s="17" t="str"/>
      <x:c r="Q36" s="17" t="str"/>
      <x:c r="R36" s="17" t="str"/>
      <x:c r="S36" s="17" t="str">
        <x:v>stock</x:v>
      </x:c>
      <x:c r="T36" s="17" t="str">
        <x:v>moneyflow</x:v>
      </x:c>
      <x:c r="U36" s="17" t="str"/>
      <x:c r="V36" s="30"/>
      <x:c r="W36" s="17" t="str">
        <x:v>high</x:v>
      </x:c>
    </x:row>
    <x:row r="37" ht="54" customHeight="1">
      <x:c r="A37" s="17" t="str">
        <x:v>BUS013</x:v>
      </x:c>
      <x:c r="B37" s="17" t="str">
        <x:v>今天主力净流入最高的前20只股票有哪些？</x:v>
      </x:c>
      <x:c r="C37" s="17" t="n">
        <x:v>2</x:v>
      </x:c>
      <x:c r="D37" s="17" t="str"/>
      <x:c r="E37" s="17" t="str">
        <x:v>工具调用</x:v>
      </x:c>
      <x:c r="F37" s="17" t="str">
        <x:v>finance_query</x:v>
      </x:c>
      <x:c r="G37" s="17" t="str">
        <x:v>r1 = stock.moneyflow(filter = "tradedate = -1", order = "main_net desc", limit = 20, realtime = 0) -&gt; code, name, tradedate, main_net, main_buy, main_sell, main_ratio</x:v>
      </x:c>
      <x:c r="H37" s="17" t="str"/>
      <x:c r="I37" s="17" t="str">
        <x:v>合理操作</x:v>
      </x:c>
      <x:c r="J37" s="17" t="str">
        <x:v>是</x:v>
      </x:c>
      <x:c r="K37" s="18"/>
      <x:c r="L37" s="17" t="str">
        <x:v>否</x:v>
      </x:c>
      <x:c r="M37" s="17" t="str">
        <x:v>否</x:v>
      </x:c>
      <x:c r="N37" s="17" t="str">
        <x:v>target_api_executed</x:v>
      </x:c>
      <x:c r="O37" s="17" t="str">
        <x:v>expected_dataview_coverage</x:v>
      </x:c>
      <x:c r="P37" s="17" t="str">
        <x:v>session://financial_qa_33499cfa81de4d06_2708_54d38c8bd956/vars/v1</x:v>
      </x:c>
      <x:c r="Q37" s="17" t="str"/>
      <x:c r="R37" s="17" t="str">
        <x:v>stock.moneyflow</x:v>
      </x:c>
      <x:c r="S37" s="17" t="str"/>
      <x:c r="T37" s="17" t="str"/>
      <x:c r="U37" s="17" t="str">
        <x:v>r1</x:v>
      </x:c>
      <x:c r="V37" s="30" t="n">
        <x:v>20</x:v>
      </x:c>
      <x:c r="W37" s="17" t="str">
        <x:v>high</x:v>
      </x:c>
    </x:row>
    <x:row r="38" ht="54" customHeight="1">
      <x:c r="A38" s="17" t="str">
        <x:v>BUS013</x:v>
      </x:c>
      <x:c r="B38" s="17" t="str">
        <x:v>今天主力净流入最高的前20只股票有哪些？</x:v>
      </x:c>
      <x:c r="C38" s="17" t="n">
        <x:v>3</x:v>
      </x:c>
      <x:c r="D38" s="17" t="str"/>
      <x:c r="E38" s="17" t="str">
        <x:v>工具调用</x:v>
      </x:c>
      <x:c r="F38" s="17" t="str">
        <x:v>load_finance_result</x:v>
      </x:c>
      <x:c r="G38" s="17" t="str"/>
      <x:c r="H38" s="17" t="str"/>
      <x:c r="I38" s="17" t="str">
        <x:v>合理操作</x:v>
      </x:c>
      <x:c r="J38" s="17" t="str">
        <x:v>是</x:v>
      </x:c>
      <x:c r="K38" s="18"/>
      <x:c r="L38" s="17" t="str">
        <x:v>否</x:v>
      </x:c>
      <x:c r="M38" s="17" t="str">
        <x:v>否</x:v>
      </x:c>
      <x:c r="N38" s="17" t="str">
        <x:v>load_truncated_result</x:v>
      </x:c>
      <x:c r="O38" s="17" t="str">
        <x:v>sample_incomplete_requires_full_result</x:v>
      </x:c>
      <x:c r="P38" s="17" t="str">
        <x:v>session://financial_qa_33499cfa81de4d06_2708_54d38c8bd956/vars/v1</x:v>
      </x:c>
      <x:c r="Q38" s="17" t="str"/>
      <x:c r="R38" s="17" t="str"/>
      <x:c r="S38" s="17" t="str"/>
      <x:c r="T38" s="17" t="str"/>
      <x:c r="U38" s="17" t="str"/>
      <x:c r="V38" s="30"/>
      <x:c r="W38" s="17" t="str">
        <x:v>high</x:v>
      </x:c>
    </x:row>
    <x:row r="39" ht="54" customHeight="1">
      <x:c r="A39" s="17" t="str">
        <x:v>BUS014</x:v>
      </x:c>
      <x:c r="B39" s="17" t="str">
        <x:v>查询贵州茅台最新主力净额、主力净占比和大单净额。</x:v>
      </x:c>
      <x:c r="C39" s="17" t="n">
        <x:v>1</x:v>
      </x:c>
      <x:c r="D39" s="17" t="str"/>
      <x:c r="E39" s="17" t="str">
        <x:v>工具调用</x:v>
      </x:c>
      <x:c r="F39" s="17" t="str">
        <x:v>read_finance_catalog</x:v>
      </x:c>
      <x:c r="G39" s="17" t="str"/>
      <x:c r="H39" s="17" t="str"/>
      <x:c r="I39" s="17" t="str">
        <x:v>合理操作</x:v>
      </x:c>
      <x:c r="J39" s="17" t="str">
        <x:v>是</x:v>
      </x:c>
      <x:c r="K39" s="18"/>
      <x:c r="L39" s="17" t="str">
        <x:v>否</x:v>
      </x:c>
      <x:c r="M39" s="17" t="str">
        <x:v>否</x:v>
      </x:c>
      <x:c r="N39" s="17" t="str">
        <x:v>target_catalog_located</x:v>
      </x:c>
      <x:c r="O39" s="17" t="str">
        <x:v>expected_dataview_catalog</x:v>
      </x:c>
      <x:c r="P39" s="17" t="str"/>
      <x:c r="Q39" s="17" t="str"/>
      <x:c r="R39" s="17" t="str"/>
      <x:c r="S39" s="17" t="str">
        <x:v>stock</x:v>
      </x:c>
      <x:c r="T39" s="17" t="str">
        <x:v>moneyflow</x:v>
      </x:c>
      <x:c r="U39" s="17" t="str"/>
      <x:c r="V39" s="30"/>
      <x:c r="W39" s="17" t="str">
        <x:v>high</x:v>
      </x:c>
    </x:row>
    <x:row r="40" ht="54" customHeight="1">
      <x:c r="A40" s="17" t="str">
        <x:v>BUS014</x:v>
      </x:c>
      <x:c r="B40" s="17" t="str">
        <x:v>查询贵州茅台最新主力净额、主力净占比和大单净额。</x:v>
      </x:c>
      <x:c r="C40" s="17" t="n">
        <x:v>2</x:v>
      </x:c>
      <x:c r="D40" s="17" t="str"/>
      <x:c r="E40" s="17" t="str">
        <x:v>工具调用</x:v>
      </x:c>
      <x:c r="F40" s="17" t="str">
        <x:v>finance_query</x:v>
      </x:c>
      <x:c r="G40" s="17" t="str">
        <x:v>r1 = stock.moneyflow(filter = "code = 600519.SH", order = "tradedate desc", limit = 1, realtime = 0) -&gt; code, name, tradedate, main_net, main_ratio, large_net</x:v>
      </x:c>
      <x:c r="H40" s="17" t="str"/>
      <x:c r="I40" s="17" t="str">
        <x:v>合理操作</x:v>
      </x:c>
      <x:c r="J40" s="17" t="str">
        <x:v>是</x:v>
      </x:c>
      <x:c r="K40" s="18"/>
      <x:c r="L40" s="17" t="str">
        <x:v>否</x:v>
      </x:c>
      <x:c r="M40" s="17" t="str">
        <x:v>否</x:v>
      </x:c>
      <x:c r="N40" s="17" t="str">
        <x:v>target_api_executed</x:v>
      </x:c>
      <x:c r="O40" s="17" t="str">
        <x:v>expected_dataview_coverage</x:v>
      </x:c>
      <x:c r="P40" s="17" t="str">
        <x:v>session://financial_qa_33499cfa81de4d06_2709_adacd5e89f16/vars/v1</x:v>
      </x:c>
      <x:c r="Q40" s="17" t="str"/>
      <x:c r="R40" s="17" t="str">
        <x:v>stock.moneyflow</x:v>
      </x:c>
      <x:c r="S40" s="17" t="str"/>
      <x:c r="T40" s="17" t="str"/>
      <x:c r="U40" s="17" t="str">
        <x:v>r1</x:v>
      </x:c>
      <x:c r="V40" s="30" t="n">
        <x:v>1</x:v>
      </x:c>
      <x:c r="W40" s="17" t="str">
        <x:v>high</x:v>
      </x:c>
    </x:row>
    <x:row r="41" ht="54" customHeight="1">
      <x:c r="A41" s="17" t="str">
        <x:v>BUS015</x:v>
      </x:c>
      <x:c r="B41" s="17" t="str">
        <x:v>近5个交易日主力净流入合计最高的前10只股票。</x:v>
      </x:c>
      <x:c r="C41" s="17" t="n">
        <x:v>1</x:v>
      </x:c>
      <x:c r="D41" s="17" t="str"/>
      <x:c r="E41" s="17" t="str">
        <x:v>工具调用</x:v>
      </x:c>
      <x:c r="F41" s="17" t="str">
        <x:v>read_finance_catalog</x:v>
      </x:c>
      <x:c r="G41" s="17" t="str"/>
      <x:c r="H41" s="17" t="str"/>
      <x:c r="I41" s="17" t="str">
        <x:v>合理操作</x:v>
      </x:c>
      <x:c r="J41" s="17" t="str">
        <x:v>是</x:v>
      </x:c>
      <x:c r="K41" s="18"/>
      <x:c r="L41" s="17" t="str">
        <x:v>否</x:v>
      </x:c>
      <x:c r="M41" s="17" t="str">
        <x:v>否</x:v>
      </x:c>
      <x:c r="N41" s="17" t="str">
        <x:v>target_catalog_located</x:v>
      </x:c>
      <x:c r="O41" s="17" t="str">
        <x:v>expected_dataview_catalog</x:v>
      </x:c>
      <x:c r="P41" s="17" t="str"/>
      <x:c r="Q41" s="17" t="str"/>
      <x:c r="R41" s="17" t="str"/>
      <x:c r="S41" s="17" t="str">
        <x:v>stock</x:v>
      </x:c>
      <x:c r="T41" s="17" t="str">
        <x:v>moneyflow</x:v>
      </x:c>
      <x:c r="U41" s="17" t="str"/>
      <x:c r="V41" s="30"/>
      <x:c r="W41" s="17" t="str">
        <x:v>high</x:v>
      </x:c>
    </x:row>
    <x:row r="42" ht="54" customHeight="1">
      <x:c r="A42" s="17" t="str">
        <x:v>BUS015</x:v>
      </x:c>
      <x:c r="B42" s="17" t="str">
        <x:v>近5个交易日主力净流入合计最高的前10只股票。</x:v>
      </x:c>
      <x:c r="C42" s="17" t="n">
        <x:v>2</x:v>
      </x:c>
      <x:c r="D42" s="17" t="str"/>
      <x:c r="E42" s="17" t="str">
        <x:v>工具调用</x:v>
      </x:c>
      <x:c r="F42" s="17" t="str">
        <x:v>finance_query</x:v>
      </x:c>
      <x:c r="G42" s="17" t="str">
        <x:v>r1 = stock.moneyflow.kd_main_net_sum(k = 5, order = "value desc", limit = 10, realtime = 0) -&gt; code, name, value as main_net_5d_sum</x:v>
      </x:c>
      <x:c r="H42" s="17" t="str"/>
      <x:c r="I42" s="17" t="str">
        <x:v>合理操作</x:v>
      </x:c>
      <x:c r="J42" s="17" t="str">
        <x:v>是</x:v>
      </x:c>
      <x:c r="K42" s="18"/>
      <x:c r="L42" s="17" t="str">
        <x:v>否</x:v>
      </x:c>
      <x:c r="M42" s="17" t="str">
        <x:v>否</x:v>
      </x:c>
      <x:c r="N42" s="17" t="str">
        <x:v>target_api_executed</x:v>
      </x:c>
      <x:c r="O42" s="17" t="str">
        <x:v>expected_dataview_coverage</x:v>
      </x:c>
      <x:c r="P42" s="17" t="str">
        <x:v>session://financial_qa_33499cfa81de4d06_2710_f5c338ba87f7/vars/v1</x:v>
      </x:c>
      <x:c r="Q42" s="17" t="str"/>
      <x:c r="R42" s="17" t="str">
        <x:v>stock.moneyflow.kd_main_net_sum</x:v>
      </x:c>
      <x:c r="S42" s="17" t="str"/>
      <x:c r="T42" s="17" t="str"/>
      <x:c r="U42" s="17" t="str">
        <x:v>r1</x:v>
      </x:c>
      <x:c r="V42" s="30" t="n">
        <x:v>10</x:v>
      </x:c>
      <x:c r="W42" s="17" t="str">
        <x:v>high</x:v>
      </x:c>
    </x:row>
    <x:row r="43" ht="54" customHeight="1">
      <x:c r="A43" s="17" t="str">
        <x:v>BUS015</x:v>
      </x:c>
      <x:c r="B43" s="17" t="str">
        <x:v>近5个交易日主力净流入合计最高的前10只股票。</x:v>
      </x:c>
      <x:c r="C43" s="17" t="n">
        <x:v>3</x:v>
      </x:c>
      <x:c r="D43" s="17" t="str"/>
      <x:c r="E43" s="17" t="str">
        <x:v>工具调用</x:v>
      </x:c>
      <x:c r="F43" s="17" t="str">
        <x:v>load_finance_result</x:v>
      </x:c>
      <x:c r="G43" s="17" t="str"/>
      <x:c r="H43" s="17" t="str"/>
      <x:c r="I43" s="17" t="str">
        <x:v>合理操作</x:v>
      </x:c>
      <x:c r="J43" s="17" t="str">
        <x:v>是</x:v>
      </x:c>
      <x:c r="K43" s="18"/>
      <x:c r="L43" s="17" t="str">
        <x:v>否</x:v>
      </x:c>
      <x:c r="M43" s="17" t="str">
        <x:v>否</x:v>
      </x:c>
      <x:c r="N43" s="17" t="str">
        <x:v>load_truncated_result</x:v>
      </x:c>
      <x:c r="O43" s="17" t="str">
        <x:v>sample_incomplete_requires_full_result</x:v>
      </x:c>
      <x:c r="P43" s="17" t="str">
        <x:v>session://financial_qa_33499cfa81de4d06_2710_f5c338ba87f7/vars/v1</x:v>
      </x:c>
      <x:c r="Q43" s="17" t="str"/>
      <x:c r="R43" s="17" t="str"/>
      <x:c r="S43" s="17" t="str"/>
      <x:c r="T43" s="17" t="str"/>
      <x:c r="U43" s="17" t="str"/>
      <x:c r="V43" s="30"/>
      <x:c r="W43" s="17" t="str">
        <x:v>high</x:v>
      </x:c>
    </x:row>
    <x:row r="44" ht="54" customHeight="1">
      <x:c r="A44" s="17" t="str">
        <x:v>BUS017</x:v>
      </x:c>
      <x:c r="B44" s="17" t="str">
        <x:v>查询宁德时代最近10个交易日的主力净流入明细。</x:v>
      </x:c>
      <x:c r="C44" s="17" t="n">
        <x:v>1</x:v>
      </x:c>
      <x:c r="D44" s="17" t="str"/>
      <x:c r="E44" s="17" t="str">
        <x:v>工具调用</x:v>
      </x:c>
      <x:c r="F44" s="17" t="str">
        <x:v>read_finance_catalog</x:v>
      </x:c>
      <x:c r="G44" s="17" t="str"/>
      <x:c r="H44" s="17" t="str"/>
      <x:c r="I44" s="17" t="str">
        <x:v>合理操作</x:v>
      </x:c>
      <x:c r="J44" s="17" t="str">
        <x:v>是</x:v>
      </x:c>
      <x:c r="K44" s="18"/>
      <x:c r="L44" s="17" t="str">
        <x:v>否</x:v>
      </x:c>
      <x:c r="M44" s="17" t="str">
        <x:v>否</x:v>
      </x:c>
      <x:c r="N44" s="17" t="str">
        <x:v>target_catalog_located</x:v>
      </x:c>
      <x:c r="O44" s="17" t="str">
        <x:v>expected_dataview_catalog</x:v>
      </x:c>
      <x:c r="P44" s="17" t="str"/>
      <x:c r="Q44" s="17" t="str"/>
      <x:c r="R44" s="17" t="str"/>
      <x:c r="S44" s="17" t="str">
        <x:v>stock</x:v>
      </x:c>
      <x:c r="T44" s="17" t="str">
        <x:v>moneyflow</x:v>
      </x:c>
      <x:c r="U44" s="17" t="str"/>
      <x:c r="V44" s="30"/>
      <x:c r="W44" s="17" t="str">
        <x:v>high</x:v>
      </x:c>
    </x:row>
    <x:row r="45" ht="54" customHeight="1">
      <x:c r="A45" s="17" t="str">
        <x:v>BUS017</x:v>
      </x:c>
      <x:c r="B45" s="17" t="str">
        <x:v>查询宁德时代最近10个交易日的主力净流入明细。</x:v>
      </x:c>
      <x:c r="C45" s="17" t="n">
        <x:v>2</x:v>
      </x:c>
      <x:c r="D45" s="17" t="str"/>
      <x:c r="E45" s="17" t="str">
        <x:v>工具调用</x:v>
      </x:c>
      <x:c r="F45" s="17" t="str">
        <x:v>finance_query</x:v>
      </x:c>
      <x:c r="G45" s="17" t="str">
        <x:v>r1 = stock.moneyflow(filter = "code = 300750.SZ", order = "tradedate desc", limit = 10, realtime = 0) -&gt; code, name, tradedate, main_buy, main_sell, main_net, main_ratio, large_net, large_ratio, huge_buy, huge_sell, medium_buy, medium_sell, small_buy, small_sell</x:v>
      </x:c>
      <x:c r="H45" s="17" t="str"/>
      <x:c r="I45" s="17" t="str">
        <x:v>合理操作</x:v>
      </x:c>
      <x:c r="J45" s="17" t="str">
        <x:v>是</x:v>
      </x:c>
      <x:c r="K45" s="18"/>
      <x:c r="L45" s="17" t="str">
        <x:v>否</x:v>
      </x:c>
      <x:c r="M45" s="17" t="str">
        <x:v>否</x:v>
      </x:c>
      <x:c r="N45" s="17" t="str">
        <x:v>target_api_executed</x:v>
      </x:c>
      <x:c r="O45" s="17" t="str">
        <x:v>expected_dataview_coverage</x:v>
      </x:c>
      <x:c r="P45" s="17" t="str">
        <x:v>session://financial_qa_33499cfa81de4d06_2712_2fadc02f9e9f/vars/v1</x:v>
      </x:c>
      <x:c r="Q45" s="17" t="str"/>
      <x:c r="R45" s="17" t="str">
        <x:v>stock.moneyflow</x:v>
      </x:c>
      <x:c r="S45" s="17" t="str"/>
      <x:c r="T45" s="17" t="str"/>
      <x:c r="U45" s="17" t="str">
        <x:v>r1</x:v>
      </x:c>
      <x:c r="V45" s="30" t="n">
        <x:v>1</x:v>
      </x:c>
      <x:c r="W45" s="17" t="str">
        <x:v>high</x:v>
      </x:c>
    </x:row>
    <x:row r="46" ht="54" customHeight="1">
      <x:c r="A46" s="17" t="str">
        <x:v>BUS018</x:v>
      </x:c>
      <x:c r="B46" s="17" t="str">
        <x:v>今天超大单买入额最高的前10只股票。</x:v>
      </x:c>
      <x:c r="C46" s="17" t="n">
        <x:v>1</x:v>
      </x:c>
      <x:c r="D46" s="17" t="str"/>
      <x:c r="E46" s="17" t="str">
        <x:v>工具调用</x:v>
      </x:c>
      <x:c r="F46" s="17" t="str">
        <x:v>read_finance_catalog</x:v>
      </x:c>
      <x:c r="G46" s="17" t="str"/>
      <x:c r="H46" s="17" t="str"/>
      <x:c r="I46" s="17" t="str">
        <x:v>合理操作</x:v>
      </x:c>
      <x:c r="J46" s="17" t="str">
        <x:v>是</x:v>
      </x:c>
      <x:c r="K46" s="18"/>
      <x:c r="L46" s="17" t="str">
        <x:v>否</x:v>
      </x:c>
      <x:c r="M46" s="17" t="str">
        <x:v>否</x:v>
      </x:c>
      <x:c r="N46" s="17" t="str">
        <x:v>target_catalog_located</x:v>
      </x:c>
      <x:c r="O46" s="17" t="str">
        <x:v>expected_dataview_catalog</x:v>
      </x:c>
      <x:c r="P46" s="17" t="str"/>
      <x:c r="Q46" s="17" t="str"/>
      <x:c r="R46" s="17" t="str"/>
      <x:c r="S46" s="17" t="str">
        <x:v>stock</x:v>
      </x:c>
      <x:c r="T46" s="17" t="str">
        <x:v>moneyflow</x:v>
      </x:c>
      <x:c r="U46" s="17" t="str"/>
      <x:c r="V46" s="30"/>
      <x:c r="W46" s="17" t="str">
        <x:v>high</x:v>
      </x:c>
    </x:row>
    <x:row r="47" ht="54" customHeight="1">
      <x:c r="A47" s="17" t="str">
        <x:v>BUS018</x:v>
      </x:c>
      <x:c r="B47" s="17" t="str">
        <x:v>今天超大单买入额最高的前10只股票。</x:v>
      </x:c>
      <x:c r="C47" s="17" t="n">
        <x:v>2</x:v>
      </x:c>
      <x:c r="D47" s="17" t="str"/>
      <x:c r="E47" s="17" t="str">
        <x:v>工具调用</x:v>
      </x:c>
      <x:c r="F47" s="17" t="str">
        <x:v>finance_query</x:v>
      </x:c>
      <x:c r="G47" s="17" t="str">
        <x:v>r1 = stock.moneyflow(filter = "tradedate = -1", order = "huge_buy desc", limit = 10, realtime = 0) -&gt; code, name, tradedate, huge_buy, huge_sell, huge_ratio, main_net, main_ratio</x:v>
      </x:c>
      <x:c r="H47" s="17" t="str"/>
      <x:c r="I47" s="17" t="str">
        <x:v>合理操作</x:v>
      </x:c>
      <x:c r="J47" s="17" t="str">
        <x:v>是</x:v>
      </x:c>
      <x:c r="K47" s="18"/>
      <x:c r="L47" s="17" t="str">
        <x:v>否</x:v>
      </x:c>
      <x:c r="M47" s="17" t="str">
        <x:v>否</x:v>
      </x:c>
      <x:c r="N47" s="17" t="str">
        <x:v>target_api_executed</x:v>
      </x:c>
      <x:c r="O47" s="17" t="str">
        <x:v>expected_dataview_coverage</x:v>
      </x:c>
      <x:c r="P47" s="17" t="str">
        <x:v>session://financial_qa_33499cfa81de4d06_2713_fc7ecace715f/vars/v1</x:v>
      </x:c>
      <x:c r="Q47" s="17" t="str"/>
      <x:c r="R47" s="17" t="str">
        <x:v>stock.moneyflow</x:v>
      </x:c>
      <x:c r="S47" s="17" t="str"/>
      <x:c r="T47" s="17" t="str"/>
      <x:c r="U47" s="17" t="str">
        <x:v>r1</x:v>
      </x:c>
      <x:c r="V47" s="30" t="n">
        <x:v>10</x:v>
      </x:c>
      <x:c r="W47" s="17" t="str">
        <x:v>high</x:v>
      </x:c>
    </x:row>
    <x:row r="48" ht="54" customHeight="1">
      <x:c r="A48" s="17" t="str">
        <x:v>BUS018</x:v>
      </x:c>
      <x:c r="B48" s="17" t="str">
        <x:v>今天超大单买入额最高的前10只股票。</x:v>
      </x:c>
      <x:c r="C48" s="17" t="n">
        <x:v>3</x:v>
      </x:c>
      <x:c r="D48" s="17" t="str"/>
      <x:c r="E48" s="17" t="str">
        <x:v>工具调用</x:v>
      </x:c>
      <x:c r="F48" s="17" t="str">
        <x:v>load_finance_result</x:v>
      </x:c>
      <x:c r="G48" s="17" t="str"/>
      <x:c r="H48" s="17" t="str"/>
      <x:c r="I48" s="17" t="str">
        <x:v>合理操作</x:v>
      </x:c>
      <x:c r="J48" s="17" t="str">
        <x:v>是</x:v>
      </x:c>
      <x:c r="K48" s="18"/>
      <x:c r="L48" s="17" t="str">
        <x:v>否</x:v>
      </x:c>
      <x:c r="M48" s="17" t="str">
        <x:v>否</x:v>
      </x:c>
      <x:c r="N48" s="17" t="str">
        <x:v>load_truncated_result</x:v>
      </x:c>
      <x:c r="O48" s="17" t="str">
        <x:v>sample_incomplete_requires_full_result</x:v>
      </x:c>
      <x:c r="P48" s="17" t="str">
        <x:v>session://financial_qa_33499cfa81de4d06_2713_fc7ecace715f/vars/v1</x:v>
      </x:c>
      <x:c r="Q48" s="17" t="str"/>
      <x:c r="R48" s="17" t="str"/>
      <x:c r="S48" s="17" t="str"/>
      <x:c r="T48" s="17" t="str"/>
      <x:c r="U48" s="17" t="str"/>
      <x:c r="V48" s="30"/>
      <x:c r="W48" s="17" t="str">
        <x:v>high</x:v>
      </x:c>
    </x:row>
    <x:row r="49" ht="54" customHeight="1">
      <x:c r="A49" s="17" t="str">
        <x:v>BUS019</x:v>
      </x:c>
      <x:c r="B49" s="17" t="str">
        <x:v>查询招商银行当前PE、PB和总市值。</x:v>
      </x:c>
      <x:c r="C49" s="17" t="n">
        <x:v>1</x:v>
      </x:c>
      <x:c r="D49" s="17" t="str"/>
      <x:c r="E49" s="17" t="str">
        <x:v>工具调用</x:v>
      </x:c>
      <x:c r="F49" s="17" t="str">
        <x:v>read_finance_catalog</x:v>
      </x:c>
      <x:c r="G49" s="17" t="str"/>
      <x:c r="H49" s="17" t="str"/>
      <x:c r="I49" s="17" t="str">
        <x:v>合理操作</x:v>
      </x:c>
      <x:c r="J49" s="17" t="str">
        <x:v>是</x:v>
      </x:c>
      <x:c r="K49" s="18"/>
      <x:c r="L49" s="17" t="str">
        <x:v>否</x:v>
      </x:c>
      <x:c r="M49" s="17" t="str">
        <x:v>否</x:v>
      </x:c>
      <x:c r="N49" s="17" t="str">
        <x:v>target_catalog_located</x:v>
      </x:c>
      <x:c r="O49" s="17" t="str">
        <x:v>expected_dataview_catalog</x:v>
      </x:c>
      <x:c r="P49" s="17" t="str"/>
      <x:c r="Q49" s="17" t="str"/>
      <x:c r="R49" s="17" t="str"/>
      <x:c r="S49" s="17" t="str">
        <x:v>stock</x:v>
      </x:c>
      <x:c r="T49" s="17" t="str">
        <x:v>pricevalue</x:v>
      </x:c>
      <x:c r="U49" s="17" t="str"/>
      <x:c r="V49" s="30"/>
      <x:c r="W49" s="17" t="str">
        <x:v>high</x:v>
      </x:c>
    </x:row>
    <x:row r="50" ht="54" customHeight="1">
      <x:c r="A50" s="17" t="str">
        <x:v>BUS019</x:v>
      </x:c>
      <x:c r="B50" s="17" t="str">
        <x:v>查询招商银行当前PE、PB和总市值。</x:v>
      </x:c>
      <x:c r="C50" s="17" t="n">
        <x:v>2</x:v>
      </x:c>
      <x:c r="D50" s="17" t="str"/>
      <x:c r="E50" s="17" t="str">
        <x:v>工具调用</x:v>
      </x:c>
      <x:c r="F50" s="17" t="str">
        <x:v>finance_query</x:v>
      </x:c>
      <x:c r="G50" s="17" t="str">
        <x:v>r1 = stock.pricevalue(filter = "code = 600036.SH", realtime = 0, limit = 1) -&gt; code, name, tradedate, pe, pe_ttm, pb, market_value</x:v>
      </x:c>
      <x:c r="H50" s="17" t="str"/>
      <x:c r="I50" s="17" t="str">
        <x:v>合理操作</x:v>
      </x:c>
      <x:c r="J50" s="17" t="str">
        <x:v>是</x:v>
      </x:c>
      <x:c r="K50" s="18"/>
      <x:c r="L50" s="17" t="str">
        <x:v>否</x:v>
      </x:c>
      <x:c r="M50" s="17" t="str">
        <x:v>否</x:v>
      </x:c>
      <x:c r="N50" s="17" t="str">
        <x:v>target_api_executed</x:v>
      </x:c>
      <x:c r="O50" s="17" t="str">
        <x:v>expected_dataview_coverage</x:v>
      </x:c>
      <x:c r="P50" s="17" t="str">
        <x:v>session://financial_qa_33499cfa81de4d06_2714_1d6234546d47/vars/v1</x:v>
      </x:c>
      <x:c r="Q50" s="17" t="str"/>
      <x:c r="R50" s="17" t="str">
        <x:v>stock.pricevalue</x:v>
      </x:c>
      <x:c r="S50" s="17" t="str"/>
      <x:c r="T50" s="17" t="str"/>
      <x:c r="U50" s="17" t="str">
        <x:v>r1</x:v>
      </x:c>
      <x:c r="V50" s="30" t="n">
        <x:v>1</x:v>
      </x:c>
      <x:c r="W50" s="17" t="str">
        <x:v>high</x:v>
      </x:c>
    </x:row>
    <x:row r="51" ht="54" customHeight="1">
      <x:c r="A51" s="17" t="str">
        <x:v>BUS021</x:v>
      </x:c>
      <x:c r="B51" s="17" t="str">
        <x:v>当前总市值最大的前20只股票有哪些？</x:v>
      </x:c>
      <x:c r="C51" s="17" t="n">
        <x:v>1</x:v>
      </x:c>
      <x:c r="D51" s="17" t="str"/>
      <x:c r="E51" s="17" t="str">
        <x:v>工具调用</x:v>
      </x:c>
      <x:c r="F51" s="17" t="str">
        <x:v>read_finance_catalog</x:v>
      </x:c>
      <x:c r="G51" s="17" t="str"/>
      <x:c r="H51" s="17" t="str"/>
      <x:c r="I51" s="17" t="str">
        <x:v>合理操作</x:v>
      </x:c>
      <x:c r="J51" s="17" t="str">
        <x:v>是</x:v>
      </x:c>
      <x:c r="K51" s="18"/>
      <x:c r="L51" s="17" t="str">
        <x:v>否</x:v>
      </x:c>
      <x:c r="M51" s="17" t="str">
        <x:v>否</x:v>
      </x:c>
      <x:c r="N51" s="17" t="str">
        <x:v>subject_catalog_discovery</x:v>
      </x:c>
      <x:c r="O51" s="17" t="str">
        <x:v>expected_subject_catalog</x:v>
      </x:c>
      <x:c r="P51" s="17" t="str"/>
      <x:c r="Q51" s="17" t="str"/>
      <x:c r="R51" s="17" t="str"/>
      <x:c r="S51" s="17" t="str">
        <x:v>stock</x:v>
      </x:c>
      <x:c r="T51" s="17" t="str">
        <x:v>quote</x:v>
      </x:c>
      <x:c r="U51" s="17" t="str"/>
      <x:c r="V51" s="30"/>
      <x:c r="W51" s="17" t="str">
        <x:v>medium</x:v>
      </x:c>
    </x:row>
    <x:row r="52" ht="54" customHeight="1">
      <x:c r="A52" s="17" t="str">
        <x:v>BUS021</x:v>
      </x:c>
      <x:c r="B52" s="17" t="str">
        <x:v>当前总市值最大的前20只股票有哪些？</x:v>
      </x:c>
      <x:c r="C52" s="17" t="n">
        <x:v>2</x:v>
      </x:c>
      <x:c r="D52" s="17" t="str"/>
      <x:c r="E52" s="17" t="str">
        <x:v>工具调用</x:v>
      </x:c>
      <x:c r="F52" s="17" t="str">
        <x:v>read_finance_catalog</x:v>
      </x:c>
      <x:c r="G52" s="17" t="str"/>
      <x:c r="H52" s="17" t="str"/>
      <x:c r="I52" s="17" t="str">
        <x:v>合理操作</x:v>
      </x:c>
      <x:c r="J52" s="17" t="str">
        <x:v>是</x:v>
      </x:c>
      <x:c r="K52" s="18"/>
      <x:c r="L52" s="17" t="str">
        <x:v>否</x:v>
      </x:c>
      <x:c r="M52" s="17" t="str">
        <x:v>否</x:v>
      </x:c>
      <x:c r="N52" s="17" t="str">
        <x:v>subject_catalog_discovery</x:v>
      </x:c>
      <x:c r="O52" s="17" t="str">
        <x:v>expected_subject_catalog</x:v>
      </x:c>
      <x:c r="P52" s="17" t="str"/>
      <x:c r="Q52" s="17" t="str"/>
      <x:c r="R52" s="17" t="str"/>
      <x:c r="S52" s="17" t="str">
        <x:v>stock</x:v>
      </x:c>
      <x:c r="T52" s="17" t="str">
        <x:v>basic_info</x:v>
      </x:c>
      <x:c r="U52" s="17" t="str"/>
      <x:c r="V52" s="30"/>
      <x:c r="W52" s="17" t="str">
        <x:v>medium</x:v>
      </x:c>
    </x:row>
    <x:row r="53" ht="54" customHeight="1">
      <x:c r="A53" s="17" t="str">
        <x:v>BUS021</x:v>
      </x:c>
      <x:c r="B53" s="17" t="str">
        <x:v>当前总市值最大的前20只股票有哪些？</x:v>
      </x:c>
      <x:c r="C53" s="17" t="n">
        <x:v>3</x:v>
      </x:c>
      <x:c r="D53" s="17" t="str"/>
      <x:c r="E53" s="17" t="str">
        <x:v>工具调用</x:v>
      </x:c>
      <x:c r="F53" s="17" t="str">
        <x:v>read_finance_catalog</x:v>
      </x:c>
      <x:c r="G53" s="17" t="str"/>
      <x:c r="H53" s="17" t="str"/>
      <x:c r="I53" s="17" t="str">
        <x:v>合理操作</x:v>
      </x:c>
      <x:c r="J53" s="17" t="str">
        <x:v>是</x:v>
      </x:c>
      <x:c r="K53" s="18"/>
      <x:c r="L53" s="17" t="str">
        <x:v>否</x:v>
      </x:c>
      <x:c r="M53" s="17" t="str">
        <x:v>否</x:v>
      </x:c>
      <x:c r="N53" s="17" t="str">
        <x:v>target_catalog_located</x:v>
      </x:c>
      <x:c r="O53" s="17" t="str">
        <x:v>expected_dataview_catalog</x:v>
      </x:c>
      <x:c r="P53" s="17" t="str"/>
      <x:c r="Q53" s="17" t="str"/>
      <x:c r="R53" s="17" t="str"/>
      <x:c r="S53" s="17" t="str">
        <x:v>stock</x:v>
      </x:c>
      <x:c r="T53" s="17" t="str">
        <x:v>pricevalue</x:v>
      </x:c>
      <x:c r="U53" s="17" t="str"/>
      <x:c r="V53" s="30"/>
      <x:c r="W53" s="17" t="str">
        <x:v>high</x:v>
      </x:c>
    </x:row>
    <x:row r="54" ht="54" customHeight="1">
      <x:c r="A54" s="17" t="str">
        <x:v>BUS021</x:v>
      </x:c>
      <x:c r="B54" s="17" t="str">
        <x:v>当前总市值最大的前20只股票有哪些？</x:v>
      </x:c>
      <x:c r="C54" s="17" t="n">
        <x:v>4</x:v>
      </x:c>
      <x:c r="D54" s="17" t="str"/>
      <x:c r="E54" s="17" t="str">
        <x:v>工具调用</x:v>
      </x:c>
      <x:c r="F54" s="17" t="str">
        <x:v>finance_query</x:v>
      </x:c>
      <x:c r="G54" s="17" t="str">
        <x:v>r1 = stock.pricevalue(filter = "tradedate = -1", order = "market_value desc", limit = 20, realtime = 0) -&gt; code, name, tradedate, market_value, free_float_mv, pe_ttm, pb</x:v>
      </x:c>
      <x:c r="H54" s="17" t="str"/>
      <x:c r="I54" s="17" t="str">
        <x:v>合理操作</x:v>
      </x:c>
      <x:c r="J54" s="17" t="str">
        <x:v>是</x:v>
      </x:c>
      <x:c r="K54" s="18"/>
      <x:c r="L54" s="17" t="str">
        <x:v>否</x:v>
      </x:c>
      <x:c r="M54" s="17" t="str">
        <x:v>否</x:v>
      </x:c>
      <x:c r="N54" s="17" t="str">
        <x:v>target_api_executed</x:v>
      </x:c>
      <x:c r="O54" s="17" t="str">
        <x:v>expected_dataview_coverage</x:v>
      </x:c>
      <x:c r="P54" s="17" t="str">
        <x:v>session://financial_qa_33499cfa81de4d06_2716_a1530bb6d8d0/vars/v1</x:v>
      </x:c>
      <x:c r="Q54" s="17" t="str"/>
      <x:c r="R54" s="17" t="str">
        <x:v>stock.pricevalue</x:v>
      </x:c>
      <x:c r="S54" s="17" t="str"/>
      <x:c r="T54" s="17" t="str"/>
      <x:c r="U54" s="17" t="str">
        <x:v>r1</x:v>
      </x:c>
      <x:c r="V54" s="30" t="n">
        <x:v>20</x:v>
      </x:c>
      <x:c r="W54" s="17" t="str">
        <x:v>high</x:v>
      </x:c>
    </x:row>
    <x:row r="55" ht="54" customHeight="1">
      <x:c r="A55" s="17" t="str">
        <x:v>BUS021</x:v>
      </x:c>
      <x:c r="B55" s="17" t="str">
        <x:v>当前总市值最大的前20只股票有哪些？</x:v>
      </x:c>
      <x:c r="C55" s="17" t="n">
        <x:v>5</x:v>
      </x:c>
      <x:c r="D55" s="17" t="str"/>
      <x:c r="E55" s="17" t="str">
        <x:v>工具调用</x:v>
      </x:c>
      <x:c r="F55" s="17" t="str">
        <x:v>load_finance_result</x:v>
      </x:c>
      <x:c r="G55" s="17" t="str"/>
      <x:c r="H55" s="17" t="str"/>
      <x:c r="I55" s="17" t="str">
        <x:v>合理操作</x:v>
      </x:c>
      <x:c r="J55" s="17" t="str">
        <x:v>是</x:v>
      </x:c>
      <x:c r="K55" s="18"/>
      <x:c r="L55" s="17" t="str">
        <x:v>否</x:v>
      </x:c>
      <x:c r="M55" s="17" t="str">
        <x:v>否</x:v>
      </x:c>
      <x:c r="N55" s="17" t="str">
        <x:v>load_truncated_result</x:v>
      </x:c>
      <x:c r="O55" s="17" t="str">
        <x:v>sample_incomplete_requires_full_result</x:v>
      </x:c>
      <x:c r="P55" s="17" t="str">
        <x:v>session://financial_qa_33499cfa81de4d06_2716_a1530bb6d8d0/vars/v1</x:v>
      </x:c>
      <x:c r="Q55" s="17" t="str"/>
      <x:c r="R55" s="17" t="str"/>
      <x:c r="S55" s="17" t="str"/>
      <x:c r="T55" s="17" t="str"/>
      <x:c r="U55" s="17" t="str"/>
      <x:c r="V55" s="30"/>
      <x:c r="W55" s="17" t="str">
        <x:v>high</x:v>
      </x:c>
    </x:row>
    <x:row r="56" ht="54" customHeight="1">
      <x:c r="A56" s="17" t="str">
        <x:v>BUS022</x:v>
      </x:c>
      <x:c r="B56" s="17" t="str">
        <x:v>查询宁德时代最近20个交易日PE_TTM和PB变化。</x:v>
      </x:c>
      <x:c r="C56" s="17" t="n">
        <x:v>1</x:v>
      </x:c>
      <x:c r="D56" s="17" t="str"/>
      <x:c r="E56" s="17" t="str">
        <x:v>工具调用</x:v>
      </x:c>
      <x:c r="F56" s="17" t="str">
        <x:v>read_finance_catalog</x:v>
      </x:c>
      <x:c r="G56" s="17" t="str"/>
      <x:c r="H56" s="17" t="str"/>
      <x:c r="I56" s="17" t="str">
        <x:v>合理操作</x:v>
      </x:c>
      <x:c r="J56" s="17" t="str">
        <x:v>是</x:v>
      </x:c>
      <x:c r="K56" s="18"/>
      <x:c r="L56" s="17" t="str">
        <x:v>否</x:v>
      </x:c>
      <x:c r="M56" s="17" t="str">
        <x:v>否</x:v>
      </x:c>
      <x:c r="N56" s="17" t="str">
        <x:v>target_catalog_located</x:v>
      </x:c>
      <x:c r="O56" s="17" t="str">
        <x:v>expected_dataview_catalog</x:v>
      </x:c>
      <x:c r="P56" s="17" t="str"/>
      <x:c r="Q56" s="17" t="str"/>
      <x:c r="R56" s="17" t="str"/>
      <x:c r="S56" s="17" t="str">
        <x:v>stock</x:v>
      </x:c>
      <x:c r="T56" s="17" t="str">
        <x:v>pricevalue</x:v>
      </x:c>
      <x:c r="U56" s="17" t="str"/>
      <x:c r="V56" s="30"/>
      <x:c r="W56" s="17" t="str">
        <x:v>high</x:v>
      </x:c>
    </x:row>
    <x:row r="57" ht="54" customHeight="1">
      <x:c r="A57" s="17" t="str">
        <x:v>BUS022</x:v>
      </x:c>
      <x:c r="B57" s="17" t="str">
        <x:v>查询宁德时代最近20个交易日PE_TTM和PB变化。</x:v>
      </x:c>
      <x:c r="C57" s="17" t="n">
        <x:v>2</x:v>
      </x:c>
      <x:c r="D57" s="17" t="str"/>
      <x:c r="E57" s="17" t="str">
        <x:v>工具调用</x:v>
      </x:c>
      <x:c r="F57" s="17" t="str">
        <x:v>finance_query</x:v>
      </x:c>
      <x:c r="G57" s="17" t="str">
        <x:v>r1 = stock.pricevalue(filter = "code = 300750.SZ", order = "tradedate desc", limit = 20, realtime = 0) -&gt; code, name, tradedate, pe_ttm, pb</x:v>
      </x:c>
      <x:c r="H57" s="17" t="str"/>
      <x:c r="I57" s="17" t="str">
        <x:v>合理操作</x:v>
      </x:c>
      <x:c r="J57" s="17" t="str">
        <x:v>是</x:v>
      </x:c>
      <x:c r="K57" s="18"/>
      <x:c r="L57" s="17" t="str">
        <x:v>否</x:v>
      </x:c>
      <x:c r="M57" s="17" t="str">
        <x:v>否</x:v>
      </x:c>
      <x:c r="N57" s="17" t="str">
        <x:v>target_api_executed</x:v>
      </x:c>
      <x:c r="O57" s="17" t="str">
        <x:v>expected_dataview_coverage</x:v>
      </x:c>
      <x:c r="P57" s="17" t="str">
        <x:v>session://financial_qa_33499cfa81de4d06_2717_36c71332f277/vars/v1</x:v>
      </x:c>
      <x:c r="Q57" s="17" t="str"/>
      <x:c r="R57" s="17" t="str">
        <x:v>stock.pricevalue</x:v>
      </x:c>
      <x:c r="S57" s="17" t="str"/>
      <x:c r="T57" s="17" t="str"/>
      <x:c r="U57" s="17" t="str">
        <x:v>r1</x:v>
      </x:c>
      <x:c r="V57" s="30" t="n">
        <x:v>1</x:v>
      </x:c>
      <x:c r="W57" s="17" t="str">
        <x:v>high</x:v>
      </x:c>
    </x:row>
    <x:row r="58" ht="54" customHeight="1">
      <x:c r="A58" s="17" t="str">
        <x:v>BUS022</x:v>
      </x:c>
      <x:c r="B58" s="17" t="str">
        <x:v>查询宁德时代最近20个交易日PE_TTM和PB变化。</x:v>
      </x:c>
      <x:c r="C58" s="17" t="n">
        <x:v>3</x:v>
      </x:c>
      <x:c r="D58" s="17" t="str"/>
      <x:c r="E58" s="17" t="str">
        <x:v>工具调用</x:v>
      </x:c>
      <x:c r="F58" s="17" t="str">
        <x:v>finance_query</x:v>
      </x:c>
      <x:c r="G58" s="17" t="str">
        <x:v>r2 = stock.pricevalue(filter = "code = 300750.SZ and tradedate &gt;= -25", order = "tradedate desc", limit = 20, realtime = 0) -&gt; code, name, tradedate, pe_ttm, pb</x:v>
      </x:c>
      <x:c r="H58" s="17" t="str"/>
      <x:c r="I58" s="17" t="str">
        <x:v>合理操作</x:v>
      </x:c>
      <x:c r="J58" s="17" t="str">
        <x:v>是</x:v>
      </x:c>
      <x:c r="K58" s="18"/>
      <x:c r="L58" s="17" t="str">
        <x:v>否</x:v>
      </x:c>
      <x:c r="M58" s="17" t="str">
        <x:v>否</x:v>
      </x:c>
      <x:c r="N58" s="17" t="str">
        <x:v>target_api_executed</x:v>
      </x:c>
      <x:c r="O58" s="17" t="str">
        <x:v>expected_dataview_coverage</x:v>
      </x:c>
      <x:c r="P58" s="17" t="str">
        <x:v>session://financial_qa_33499cfa81de4d06_2717_36c71332f277/vars/v2</x:v>
      </x:c>
      <x:c r="Q58" s="17" t="str"/>
      <x:c r="R58" s="17" t="str">
        <x:v>stock.pricevalue</x:v>
      </x:c>
      <x:c r="S58" s="17" t="str"/>
      <x:c r="T58" s="17" t="str"/>
      <x:c r="U58" s="17" t="str">
        <x:v>r2</x:v>
      </x:c>
      <x:c r="V58" s="30" t="n">
        <x:v>1</x:v>
      </x:c>
      <x:c r="W58" s="17" t="str">
        <x:v>high</x:v>
      </x:c>
    </x:row>
    <x:row r="59" ht="54" customHeight="1">
      <x:c r="A59" s="17" t="str">
        <x:v>BUS022</x:v>
      </x:c>
      <x:c r="B59" s="17" t="str">
        <x:v>查询宁德时代最近20个交易日PE_TTM和PB变化。</x:v>
      </x:c>
      <x:c r="C59" s="17" t="n">
        <x:v>4</x:v>
      </x:c>
      <x:c r="D59" s="17" t="str"/>
      <x:c r="E59" s="17" t="str">
        <x:v>工具调用</x:v>
      </x:c>
      <x:c r="F59" s="17" t="str">
        <x:v>finance_query</x:v>
      </x:c>
      <x:c r="G59" s="17" t="str">
        <x:v>r3 = stock.quote(filter = "code = 300750.SZ", order = "tradedate desc", limit = 20, realtime = 0) -&gt; code, name, tradedate, close</x:v>
      </x:c>
      <x:c r="H59" s="17" t="str"/>
      <x:c r="I59" s="17" t="str">
        <x:v>合理操作</x:v>
      </x:c>
      <x:c r="J59" s="17" t="str">
        <x:v>是</x:v>
      </x:c>
      <x:c r="K59" s="18"/>
      <x:c r="L59" s="17" t="str">
        <x:v>否</x:v>
      </x:c>
      <x:c r="M59" s="17" t="str">
        <x:v>否</x:v>
      </x:c>
      <x:c r="N59" s="17" t="str">
        <x:v>same_subject_dependency</x:v>
      </x:c>
      <x:c r="O59" s="17" t="str">
        <x:v>supporting_api_for_expected_subject</x:v>
      </x:c>
      <x:c r="P59" s="17" t="str">
        <x:v>session://financial_qa_33499cfa81de4d06_2717_36c71332f277/vars/v3</x:v>
      </x:c>
      <x:c r="Q59" s="17" t="str"/>
      <x:c r="R59" s="17" t="str">
        <x:v>stock.quote</x:v>
      </x:c>
      <x:c r="S59" s="17" t="str"/>
      <x:c r="T59" s="17" t="str"/>
      <x:c r="U59" s="17" t="str">
        <x:v>r3</x:v>
      </x:c>
      <x:c r="V59" s="30" t="n">
        <x:v>20</x:v>
      </x:c>
      <x:c r="W59" s="17" t="str">
        <x:v>medium</x:v>
      </x:c>
    </x:row>
    <x:row r="60" ht="54" customHeight="1">
      <x:c r="A60" s="17" t="str">
        <x:v>BUS022</x:v>
      </x:c>
      <x:c r="B60" s="17" t="str">
        <x:v>查询宁德时代最近20个交易日PE_TTM和PB变化。</x:v>
      </x:c>
      <x:c r="C60" s="17" t="n">
        <x:v>5</x:v>
      </x:c>
      <x:c r="D60" s="17" t="str"/>
      <x:c r="E60" s="17" t="str">
        <x:v>工具调用</x:v>
      </x:c>
      <x:c r="F60" s="17" t="str">
        <x:v>load_finance_result</x:v>
      </x:c>
      <x:c r="G60" s="17" t="str"/>
      <x:c r="H60" s="17" t="str"/>
      <x:c r="I60" s="17" t="str">
        <x:v>合理操作</x:v>
      </x:c>
      <x:c r="J60" s="17" t="str">
        <x:v>是</x:v>
      </x:c>
      <x:c r="K60" s="18"/>
      <x:c r="L60" s="17" t="str">
        <x:v>否</x:v>
      </x:c>
      <x:c r="M60" s="17" t="str">
        <x:v>否</x:v>
      </x:c>
      <x:c r="N60" s="17" t="str">
        <x:v>load_truncated_result</x:v>
      </x:c>
      <x:c r="O60" s="17" t="str">
        <x:v>sample_incomplete_requires_full_result</x:v>
      </x:c>
      <x:c r="P60" s="17" t="str">
        <x:v>session://financial_qa_33499cfa81de4d06_2717_36c71332f277/vars/v3</x:v>
      </x:c>
      <x:c r="Q60" s="17" t="str"/>
      <x:c r="R60" s="17" t="str"/>
      <x:c r="S60" s="17" t="str"/>
      <x:c r="T60" s="17" t="str"/>
      <x:c r="U60" s="17" t="str"/>
      <x:c r="V60" s="30"/>
      <x:c r="W60" s="17" t="str">
        <x:v>high</x:v>
      </x:c>
    </x:row>
    <x:row r="61" ht="54" customHeight="1">
      <x:c r="A61" s="17" t="str">
        <x:v>BUS022</x:v>
      </x:c>
      <x:c r="B61" s="17" t="str">
        <x:v>查询宁德时代最近20个交易日PE_TTM和PB变化。</x:v>
      </x:c>
      <x:c r="C61" s="17" t="n">
        <x:v>6</x:v>
      </x:c>
      <x:c r="D61" s="17" t="str"/>
      <x:c r="E61" s="17" t="str">
        <x:v>工具调用</x:v>
      </x:c>
      <x:c r="F61" s="17" t="str">
        <x:v>finance_query</x:v>
      </x:c>
      <x:c r="G61" s="17" t="str">
        <x:v>r4 = stock.pricevalue(filter = "code = 300750.SZ and tradedate = 2026-07-30", order = "tradedate desc", limit = 1, realtime = 0) -&gt; code, name, tradedate, pe_ttm, pb</x:v>
      </x:c>
      <x:c r="H61" s="17" t="str"/>
      <x:c r="I61" s="17" t="str">
        <x:v>设计浪费</x:v>
      </x:c>
      <x:c r="J61" s="17" t="str">
        <x:v>否</x:v>
      </x:c>
      <x:c r="K61" s="18"/>
      <x:c r="L61" s="17" t="str">
        <x:v>否</x:v>
      </x:c>
      <x:c r="M61" s="17" t="str">
        <x:v>否</x:v>
      </x:c>
      <x:c r="N61" s="17" t="str">
        <x:v>execution_error</x:v>
      </x:c>
      <x:c r="O61" s="17" t="str">
        <x:v>query_execution_error</x:v>
      </x:c>
      <x:c r="P61" s="17" t="str"/>
      <x:c r="Q61" s="17" t="str"/>
      <x:c r="R61" s="17" t="str">
        <x:v>stock.pricevalue</x:v>
      </x:c>
      <x:c r="S61" s="17" t="str"/>
      <x:c r="T61" s="17" t="str"/>
      <x:c r="U61" s="17" t="str">
        <x:v>r4</x:v>
      </x:c>
      <x:c r="V61" s="30"/>
      <x:c r="W61" s="17" t="str">
        <x:v>high</x:v>
      </x:c>
    </x:row>
    <x:row r="62" ht="54" customHeight="1">
      <x:c r="A62" s="17" t="str">
        <x:v>BUS023</x:v>
      </x:c>
      <x:c r="B62" s="17" t="str">
        <x:v>当前自由流通市值最高的前20只股票。</x:v>
      </x:c>
      <x:c r="C62" s="17" t="n">
        <x:v>1</x:v>
      </x:c>
      <x:c r="D62" s="17" t="str"/>
      <x:c r="E62" s="17" t="str">
        <x:v>工具调用</x:v>
      </x:c>
      <x:c r="F62" s="17" t="str">
        <x:v>read_finance_catalog</x:v>
      </x:c>
      <x:c r="G62" s="17" t="str"/>
      <x:c r="H62" s="17" t="str"/>
      <x:c r="I62" s="17" t="str">
        <x:v>合理操作</x:v>
      </x:c>
      <x:c r="J62" s="17" t="str">
        <x:v>是</x:v>
      </x:c>
      <x:c r="K62" s="18"/>
      <x:c r="L62" s="17" t="str">
        <x:v>否</x:v>
      </x:c>
      <x:c r="M62" s="17" t="str">
        <x:v>否</x:v>
      </x:c>
      <x:c r="N62" s="17" t="str">
        <x:v>subject_catalog_discovery</x:v>
      </x:c>
      <x:c r="O62" s="17" t="str">
        <x:v>expected_subject_catalog</x:v>
      </x:c>
      <x:c r="P62" s="17" t="str"/>
      <x:c r="Q62" s="17" t="str"/>
      <x:c r="R62" s="17" t="str"/>
      <x:c r="S62" s="17" t="str">
        <x:v>stock</x:v>
      </x:c>
      <x:c r="T62" s="17" t="str">
        <x:v>quote</x:v>
      </x:c>
      <x:c r="U62" s="17" t="str"/>
      <x:c r="V62" s="30"/>
      <x:c r="W62" s="17" t="str">
        <x:v>medium</x:v>
      </x:c>
    </x:row>
    <x:row r="63" ht="54" customHeight="1">
      <x:c r="A63" s="17" t="str">
        <x:v>BUS023</x:v>
      </x:c>
      <x:c r="B63" s="17" t="str">
        <x:v>当前自由流通市值最高的前20只股票。</x:v>
      </x:c>
      <x:c r="C63" s="17" t="n">
        <x:v>2</x:v>
      </x:c>
      <x:c r="D63" s="17" t="str"/>
      <x:c r="E63" s="17" t="str">
        <x:v>工具调用</x:v>
      </x:c>
      <x:c r="F63" s="17" t="str">
        <x:v>read_finance_catalog</x:v>
      </x:c>
      <x:c r="G63" s="17" t="str"/>
      <x:c r="H63" s="17" t="str"/>
      <x:c r="I63" s="17" t="str">
        <x:v>合理操作</x:v>
      </x:c>
      <x:c r="J63" s="17" t="str">
        <x:v>是</x:v>
      </x:c>
      <x:c r="K63" s="18"/>
      <x:c r="L63" s="17" t="str">
        <x:v>否</x:v>
      </x:c>
      <x:c r="M63" s="17" t="str">
        <x:v>否</x:v>
      </x:c>
      <x:c r="N63" s="17" t="str">
        <x:v>target_catalog_located</x:v>
      </x:c>
      <x:c r="O63" s="17" t="str">
        <x:v>expected_dataview_catalog</x:v>
      </x:c>
      <x:c r="P63" s="17" t="str"/>
      <x:c r="Q63" s="17" t="str"/>
      <x:c r="R63" s="17" t="str"/>
      <x:c r="S63" s="17" t="str">
        <x:v>stock</x:v>
      </x:c>
      <x:c r="T63" s="17" t="str">
        <x:v>pricevalue</x:v>
      </x:c>
      <x:c r="U63" s="17" t="str"/>
      <x:c r="V63" s="30"/>
      <x:c r="W63" s="17" t="str">
        <x:v>high</x:v>
      </x:c>
    </x:row>
    <x:row r="64" ht="54" customHeight="1">
      <x:c r="A64" s="17" t="str">
        <x:v>BUS023</x:v>
      </x:c>
      <x:c r="B64" s="17" t="str">
        <x:v>当前自由流通市值最高的前20只股票。</x:v>
      </x:c>
      <x:c r="C64" s="17" t="n">
        <x:v>3</x:v>
      </x:c>
      <x:c r="D64" s="17" t="str"/>
      <x:c r="E64" s="17" t="str">
        <x:v>工具调用</x:v>
      </x:c>
      <x:c r="F64" s="17" t="str">
        <x:v>finance_query</x:v>
      </x:c>
      <x:c r="G64" s="17" t="str">
        <x:v>r1 = stock.pricevalue(filter = "tradedate = -1", order = "free_float_mv desc", limit = 20, realtime = 0) -&gt; code, name, free_float_mv, market_value, float_mv</x:v>
      </x:c>
      <x:c r="H64" s="17" t="str"/>
      <x:c r="I64" s="17" t="str">
        <x:v>合理操作</x:v>
      </x:c>
      <x:c r="J64" s="17" t="str">
        <x:v>是</x:v>
      </x:c>
      <x:c r="K64" s="18"/>
      <x:c r="L64" s="17" t="str">
        <x:v>否</x:v>
      </x:c>
      <x:c r="M64" s="17" t="str">
        <x:v>否</x:v>
      </x:c>
      <x:c r="N64" s="17" t="str">
        <x:v>target_api_executed</x:v>
      </x:c>
      <x:c r="O64" s="17" t="str">
        <x:v>expected_dataview_coverage</x:v>
      </x:c>
      <x:c r="P64" s="17" t="str">
        <x:v>session://financial_qa_33499cfa81de4d06_2718_c198de6d47b2/vars/v1</x:v>
      </x:c>
      <x:c r="Q64" s="17" t="str"/>
      <x:c r="R64" s="17" t="str">
        <x:v>stock.pricevalue</x:v>
      </x:c>
      <x:c r="S64" s="17" t="str"/>
      <x:c r="T64" s="17" t="str"/>
      <x:c r="U64" s="17" t="str">
        <x:v>r1</x:v>
      </x:c>
      <x:c r="V64" s="30" t="n">
        <x:v>20</x:v>
      </x:c>
      <x:c r="W64" s="17" t="str">
        <x:v>high</x:v>
      </x:c>
    </x:row>
    <x:row r="65" ht="54" customHeight="1">
      <x:c r="A65" s="17" t="str">
        <x:v>BUS023</x:v>
      </x:c>
      <x:c r="B65" s="17" t="str">
        <x:v>当前自由流通市值最高的前20只股票。</x:v>
      </x:c>
      <x:c r="C65" s="17" t="n">
        <x:v>4</x:v>
      </x:c>
      <x:c r="D65" s="17" t="str"/>
      <x:c r="E65" s="17" t="str">
        <x:v>工具调用</x:v>
      </x:c>
      <x:c r="F65" s="17" t="str">
        <x:v>load_finance_result</x:v>
      </x:c>
      <x:c r="G65" s="17" t="str"/>
      <x:c r="H65" s="17" t="str"/>
      <x:c r="I65" s="17" t="str">
        <x:v>合理操作</x:v>
      </x:c>
      <x:c r="J65" s="17" t="str">
        <x:v>是</x:v>
      </x:c>
      <x:c r="K65" s="18"/>
      <x:c r="L65" s="17" t="str">
        <x:v>否</x:v>
      </x:c>
      <x:c r="M65" s="17" t="str">
        <x:v>否</x:v>
      </x:c>
      <x:c r="N65" s="17" t="str">
        <x:v>load_truncated_result</x:v>
      </x:c>
      <x:c r="O65" s="17" t="str">
        <x:v>sample_incomplete_requires_full_result</x:v>
      </x:c>
      <x:c r="P65" s="17" t="str">
        <x:v>session://financial_qa_33499cfa81de4d06_2718_c198de6d47b2/vars/v1</x:v>
      </x:c>
      <x:c r="Q65" s="17" t="str"/>
      <x:c r="R65" s="17" t="str"/>
      <x:c r="S65" s="17" t="str"/>
      <x:c r="T65" s="17" t="str"/>
      <x:c r="U65" s="17" t="str"/>
      <x:c r="V65" s="30"/>
      <x:c r="W65" s="17" t="str">
        <x:v>high</x:v>
      </x:c>
    </x:row>
    <x:row r="66" ht="54" customHeight="1">
      <x:c r="A66" s="17" t="str">
        <x:v>BUS024</x:v>
      </x:c>
      <x:c r="B66" s="17" t="str">
        <x:v>筛选PS_TTM低于3且总市值超过500亿元的股票。</x:v>
      </x:c>
      <x:c r="C66" s="17" t="n">
        <x:v>1</x:v>
      </x:c>
      <x:c r="D66" s="17" t="str"/>
      <x:c r="E66" s="17" t="str">
        <x:v>工具调用</x:v>
      </x:c>
      <x:c r="F66" s="17" t="str">
        <x:v>read_finance_catalog</x:v>
      </x:c>
      <x:c r="G66" s="17" t="str"/>
      <x:c r="H66" s="17" t="str"/>
      <x:c r="I66" s="17" t="str">
        <x:v>合理操作</x:v>
      </x:c>
      <x:c r="J66" s="17" t="str">
        <x:v>是</x:v>
      </x:c>
      <x:c r="K66" s="18"/>
      <x:c r="L66" s="17" t="str">
        <x:v>否</x:v>
      </x:c>
      <x:c r="M66" s="17" t="str">
        <x:v>否</x:v>
      </x:c>
      <x:c r="N66" s="17" t="str">
        <x:v>target_catalog_located</x:v>
      </x:c>
      <x:c r="O66" s="17" t="str">
        <x:v>expected_dataview_catalog</x:v>
      </x:c>
      <x:c r="P66" s="17" t="str"/>
      <x:c r="Q66" s="17" t="str"/>
      <x:c r="R66" s="17" t="str"/>
      <x:c r="S66" s="17" t="str">
        <x:v>stock</x:v>
      </x:c>
      <x:c r="T66" s="17" t="str">
        <x:v>pricevalue</x:v>
      </x:c>
      <x:c r="U66" s="17" t="str"/>
      <x:c r="V66" s="30"/>
      <x:c r="W66" s="17" t="str">
        <x:v>high</x:v>
      </x:c>
    </x:row>
    <x:row r="67" ht="54" customHeight="1">
      <x:c r="A67" s="17" t="str">
        <x:v>BUS024</x:v>
      </x:c>
      <x:c r="B67" s="17" t="str">
        <x:v>筛选PS_TTM低于3且总市值超过500亿元的股票。</x:v>
      </x:c>
      <x:c r="C67" s="17" t="n">
        <x:v>2</x:v>
      </x:c>
      <x:c r="D67" s="17" t="str"/>
      <x:c r="E67" s="17" t="str">
        <x:v>工具调用</x:v>
      </x:c>
      <x:c r="F67" s="17" t="str">
        <x:v>finance_query</x:v>
      </x:c>
      <x:c r="G67" s="17" t="str">
        <x:v>r1 = stock.pricevalue(filter = "ps_ttm &lt; 3 and market_value &gt; 50000000000", order = "market_value desc", limit = 100, realtime = 0) -&gt; code, name, ps_ttm, market_value</x:v>
      </x:c>
      <x:c r="H67" s="17" t="str"/>
      <x:c r="I67" s="17" t="str">
        <x:v>合理操作</x:v>
      </x:c>
      <x:c r="J67" s="17" t="str">
        <x:v>是</x:v>
      </x:c>
      <x:c r="K67" s="18"/>
      <x:c r="L67" s="17" t="str">
        <x:v>否</x:v>
      </x:c>
      <x:c r="M67" s="17" t="str">
        <x:v>否</x:v>
      </x:c>
      <x:c r="N67" s="17" t="str">
        <x:v>target_api_executed</x:v>
      </x:c>
      <x:c r="O67" s="17" t="str">
        <x:v>expected_dataview_coverage</x:v>
      </x:c>
      <x:c r="P67" s="17" t="str">
        <x:v>session://financial_qa_33499cfa81de4d06_2719_08f8a4ae9fcb/vars/v1</x:v>
      </x:c>
      <x:c r="Q67" s="17" t="str"/>
      <x:c r="R67" s="17" t="str">
        <x:v>stock.pricevalue</x:v>
      </x:c>
      <x:c r="S67" s="17" t="str"/>
      <x:c r="T67" s="17" t="str"/>
      <x:c r="U67" s="17" t="str">
        <x:v>r1</x:v>
      </x:c>
      <x:c r="V67" s="30" t="n">
        <x:v>100</x:v>
      </x:c>
      <x:c r="W67" s="17" t="str">
        <x:v>high</x:v>
      </x:c>
    </x:row>
    <x:row r="68" ht="54" customHeight="1">
      <x:c r="A68" s="17" t="str">
        <x:v>BUS024</x:v>
      </x:c>
      <x:c r="B68" s="17" t="str">
        <x:v>筛选PS_TTM低于3且总市值超过500亿元的股票。</x:v>
      </x:c>
      <x:c r="C68" s="17" t="n">
        <x:v>3</x:v>
      </x:c>
      <x:c r="D68" s="17" t="str"/>
      <x:c r="E68" s="17" t="str">
        <x:v>工具调用</x:v>
      </x:c>
      <x:c r="F68" s="17" t="str">
        <x:v>load_finance_result</x:v>
      </x:c>
      <x:c r="G68" s="17" t="str"/>
      <x:c r="H68" s="17" t="str"/>
      <x:c r="I68" s="17" t="str">
        <x:v>合理操作</x:v>
      </x:c>
      <x:c r="J68" s="17" t="str">
        <x:v>是</x:v>
      </x:c>
      <x:c r="K68" s="18"/>
      <x:c r="L68" s="17" t="str">
        <x:v>否</x:v>
      </x:c>
      <x:c r="M68" s="17" t="str">
        <x:v>否</x:v>
      </x:c>
      <x:c r="N68" s="17" t="str">
        <x:v>load_truncated_result</x:v>
      </x:c>
      <x:c r="O68" s="17" t="str">
        <x:v>sample_incomplete_requires_full_result</x:v>
      </x:c>
      <x:c r="P68" s="17" t="str">
        <x:v>session://financial_qa_33499cfa81de4d06_2719_08f8a4ae9fcb/vars/v1</x:v>
      </x:c>
      <x:c r="Q68" s="17" t="str"/>
      <x:c r="R68" s="17" t="str"/>
      <x:c r="S68" s="17" t="str"/>
      <x:c r="T68" s="17" t="str"/>
      <x:c r="U68" s="17" t="str"/>
      <x:c r="V68" s="30"/>
      <x:c r="W68" s="17" t="str">
        <x:v>high</x:v>
      </x:c>
    </x:row>
    <x:row r="69" ht="54" customHeight="1">
      <x:c r="A69" s="17" t="str">
        <x:v>BUS025</x:v>
      </x:c>
      <x:c r="B69" s="17" t="str">
        <x:v>查询贵州茅台最新报告期营收、净利润和ROE。</x:v>
      </x:c>
      <x:c r="C69" s="17" t="n">
        <x:v>1</x:v>
      </x:c>
      <x:c r="D69" s="17" t="str"/>
      <x:c r="E69" s="17" t="str">
        <x:v>工具调用</x:v>
      </x:c>
      <x:c r="F69" s="17" t="str">
        <x:v>read_finance_catalog</x:v>
      </x:c>
      <x:c r="G69" s="17" t="str"/>
      <x:c r="H69" s="17" t="str"/>
      <x:c r="I69" s="17" t="str">
        <x:v>合理操作</x:v>
      </x:c>
      <x:c r="J69" s="17" t="str">
        <x:v>是</x:v>
      </x:c>
      <x:c r="K69" s="18"/>
      <x:c r="L69" s="17" t="str">
        <x:v>否</x:v>
      </x:c>
      <x:c r="M69" s="17" t="str">
        <x:v>否</x:v>
      </x:c>
      <x:c r="N69" s="17" t="str">
        <x:v>target_catalog_located</x:v>
      </x:c>
      <x:c r="O69" s="17" t="str">
        <x:v>expected_dataview_catalog</x:v>
      </x:c>
      <x:c r="P69" s="17" t="str"/>
      <x:c r="Q69" s="17" t="str"/>
      <x:c r="R69" s="17" t="str"/>
      <x:c r="S69" s="17" t="str">
        <x:v>stock</x:v>
      </x:c>
      <x:c r="T69" s="17" t="str">
        <x:v>financial_3_table</x:v>
      </x:c>
      <x:c r="U69" s="17" t="str"/>
      <x:c r="V69" s="30"/>
      <x:c r="W69" s="17" t="str">
        <x:v>high</x:v>
      </x:c>
    </x:row>
    <x:row r="70" ht="54" customHeight="1">
      <x:c r="A70" s="17" t="str">
        <x:v>BUS025</x:v>
      </x:c>
      <x:c r="B70" s="17" t="str">
        <x:v>查询贵州茅台最新报告期营收、净利润和ROE。</x:v>
      </x:c>
      <x:c r="C70" s="17" t="n">
        <x:v>2</x:v>
      </x:c>
      <x:c r="D70" s="17" t="str"/>
      <x:c r="E70" s="17" t="str">
        <x:v>工具调用</x:v>
      </x:c>
      <x:c r="F70" s="17" t="str">
        <x:v>finance_query</x:v>
      </x:c>
      <x:c r="G70" s="17" t="str">
        <x:v>r1 = stock.financial_3_table(filter = "code = 600519.SH", order = "report_date desc", limit = 1, realtime = 1) -&gt; code, name, report_date, report_period, revenue, profit, roe</x:v>
      </x:c>
      <x:c r="H70" s="17" t="str"/>
      <x:c r="I70" s="17" t="str">
        <x:v>合理操作</x:v>
      </x:c>
      <x:c r="J70" s="17" t="str">
        <x:v>是</x:v>
      </x:c>
      <x:c r="K70" s="18"/>
      <x:c r="L70" s="17" t="str">
        <x:v>否</x:v>
      </x:c>
      <x:c r="M70" s="17" t="str">
        <x:v>否</x:v>
      </x:c>
      <x:c r="N70" s="17" t="str">
        <x:v>target_api_executed</x:v>
      </x:c>
      <x:c r="O70" s="17" t="str">
        <x:v>expected_dataview_coverage</x:v>
      </x:c>
      <x:c r="P70" s="17" t="str">
        <x:v>session://financial_qa_33499cfa81de4d06_2720_789e9410d23e/vars/v1</x:v>
      </x:c>
      <x:c r="Q70" s="17" t="str"/>
      <x:c r="R70" s="17" t="str">
        <x:v>stock.financial_3_table</x:v>
      </x:c>
      <x:c r="S70" s="17" t="str"/>
      <x:c r="T70" s="17" t="str"/>
      <x:c r="U70" s="17" t="str">
        <x:v>r1</x:v>
      </x:c>
      <x:c r="V70" s="30" t="n">
        <x:v>0</x:v>
      </x:c>
      <x:c r="W70" s="17" t="str">
        <x:v>high</x:v>
      </x:c>
    </x:row>
    <x:row r="71" ht="54" customHeight="1">
      <x:c r="A71" s="17" t="str">
        <x:v>BUS025</x:v>
      </x:c>
      <x:c r="B71" s="17" t="str">
        <x:v>查询贵州茅台最新报告期营收、净利润和ROE。</x:v>
      </x:c>
      <x:c r="C71" s="17" t="n">
        <x:v>3</x:v>
      </x:c>
      <x:c r="D71" s="17" t="str"/>
      <x:c r="E71" s="17" t="str">
        <x:v>工具调用</x:v>
      </x:c>
      <x:c r="F71" s="17" t="str">
        <x:v>finance_query</x:v>
      </x:c>
      <x:c r="G71" s="17" t="str">
        <x:v>r2 = stock.financial_3_table(filter = "code = 600519.SH", order = "report_date desc", limit = 1, realtime = 0) -&gt; code, name, report_date, report_period, revenue, profit, roe</x:v>
      </x:c>
      <x:c r="H71" s="17" t="str"/>
      <x:c r="I71" s="17" t="str">
        <x:v>设计浪费</x:v>
      </x:c>
      <x:c r="J71" s="17" t="str">
        <x:v>否</x:v>
      </x:c>
      <x:c r="K71" s="18"/>
      <x:c r="L71" s="17" t="str">
        <x:v>否</x:v>
      </x:c>
      <x:c r="M71" s="17" t="str">
        <x:v>否</x:v>
      </x:c>
      <x:c r="N71" s="17" t="str">
        <x:v>requery_after_terminal_zero</x:v>
      </x:c>
      <x:c r="O71" s="17" t="str">
        <x:v>terminal_zero_requery</x:v>
      </x:c>
      <x:c r="P71" s="17" t="str">
        <x:v>session://financial_qa_33499cfa81de4d06_2720_789e9410d23e/vars/v2</x:v>
      </x:c>
      <x:c r="Q71" s="17" t="str"/>
      <x:c r="R71" s="17" t="str">
        <x:v>stock.financial_3_table</x:v>
      </x:c>
      <x:c r="S71" s="17" t="str"/>
      <x:c r="T71" s="17" t="str"/>
      <x:c r="U71" s="17" t="str">
        <x:v>r2</x:v>
      </x:c>
      <x:c r="V71" s="30" t="n">
        <x:v>0</x:v>
      </x:c>
      <x:c r="W71" s="17" t="str">
        <x:v>high</x:v>
      </x:c>
    </x:row>
    <x:row r="72" ht="54" customHeight="1">
      <x:c r="A72" s="17" t="str">
        <x:v>BUS025</x:v>
      </x:c>
      <x:c r="B72" s="17" t="str">
        <x:v>查询贵州茅台最新报告期营收、净利润和ROE。</x:v>
      </x:c>
      <x:c r="C72" s="17" t="n">
        <x:v>4</x:v>
      </x:c>
      <x:c r="D72" s="17" t="str"/>
      <x:c r="E72" s="17" t="str">
        <x:v>工具调用</x:v>
      </x:c>
      <x:c r="F72" s="17" t="str">
        <x:v>finance_query</x:v>
      </x:c>
      <x:c r="G72" s="17" t="str">
        <x:v>r3 = stock.financial_3_table(filter = "code = 600519.SH") -&gt; code, name, report_date, report_period, revenue, profit, roe</x:v>
      </x:c>
      <x:c r="H72" s="17" t="str"/>
      <x:c r="I72" s="17" t="str">
        <x:v>设计浪费</x:v>
      </x:c>
      <x:c r="J72" s="17" t="str">
        <x:v>否</x:v>
      </x:c>
      <x:c r="K72" s="18"/>
      <x:c r="L72" s="17" t="str">
        <x:v>否</x:v>
      </x:c>
      <x:c r="M72" s="17" t="str">
        <x:v>否</x:v>
      </x:c>
      <x:c r="N72" s="17" t="str">
        <x:v>requery_after_terminal_zero</x:v>
      </x:c>
      <x:c r="O72" s="17" t="str">
        <x:v>terminal_zero_requery</x:v>
      </x:c>
      <x:c r="P72" s="17" t="str">
        <x:v>session://financial_qa_33499cfa81de4d06_2720_789e9410d23e/vars/v3</x:v>
      </x:c>
      <x:c r="Q72" s="17" t="str"/>
      <x:c r="R72" s="17" t="str">
        <x:v>stock.financial_3_table</x:v>
      </x:c>
      <x:c r="S72" s="17" t="str"/>
      <x:c r="T72" s="17" t="str"/>
      <x:c r="U72" s="17" t="str">
        <x:v>r3</x:v>
      </x:c>
      <x:c r="V72" s="30" t="n">
        <x:v>0</x:v>
      </x:c>
      <x:c r="W72" s="17" t="str">
        <x:v>high</x:v>
      </x:c>
    </x:row>
    <x:row r="73" ht="54" customHeight="1">
      <x:c r="A73" s="17" t="str">
        <x:v>BUS025</x:v>
      </x:c>
      <x:c r="B73" s="17" t="str">
        <x:v>查询贵州茅台最新报告期营收、净利润和ROE。</x:v>
      </x:c>
      <x:c r="C73" s="17" t="n">
        <x:v>5</x:v>
      </x:c>
      <x:c r="D73" s="17" t="str"/>
      <x:c r="E73" s="17" t="str">
        <x:v>工具调用</x:v>
      </x:c>
      <x:c r="F73" s="17" t="str">
        <x:v>read_finance_catalog</x:v>
      </x:c>
      <x:c r="G73" s="17" t="str"/>
      <x:c r="H73" s="17" t="str"/>
      <x:c r="I73" s="17" t="str">
        <x:v>合理操作</x:v>
      </x:c>
      <x:c r="J73" s="17" t="str">
        <x:v>是</x:v>
      </x:c>
      <x:c r="K73" s="18"/>
      <x:c r="L73" s="17" t="str">
        <x:v>否</x:v>
      </x:c>
      <x:c r="M73" s="17" t="str">
        <x:v>否</x:v>
      </x:c>
      <x:c r="N73" s="17" t="str">
        <x:v>subject_catalog_discovery</x:v>
      </x:c>
      <x:c r="O73" s="17" t="str">
        <x:v>expected_subject_catalog</x:v>
      </x:c>
      <x:c r="P73" s="17" t="str"/>
      <x:c r="Q73" s="17" t="str"/>
      <x:c r="R73" s="17" t="str"/>
      <x:c r="S73" s="17" t="str">
        <x:v>stock</x:v>
      </x:c>
      <x:c r="T73" s="17" t="str">
        <x:v>basic_info</x:v>
      </x:c>
      <x:c r="U73" s="17" t="str"/>
      <x:c r="V73" s="30"/>
      <x:c r="W73" s="17" t="str">
        <x:v>medium</x:v>
      </x:c>
    </x:row>
    <x:row r="74" ht="54" customHeight="1">
      <x:c r="A74" s="17" t="str">
        <x:v>BUS025</x:v>
      </x:c>
      <x:c r="B74" s="17" t="str">
        <x:v>查询贵州茅台最新报告期营收、净利润和ROE。</x:v>
      </x:c>
      <x:c r="C74" s="17" t="n">
        <x:v>6</x:v>
      </x:c>
      <x:c r="D74" s="17" t="str"/>
      <x:c r="E74" s="17" t="str">
        <x:v>工具调用</x:v>
      </x:c>
      <x:c r="F74" s="17" t="str">
        <x:v>finance_query</x:v>
      </x:c>
      <x:c r="G74" s="17" t="str">
        <x:v>r4 = stock.basic_info(filter = "code = 600519.SH or name like '%贵州茅台%'") -&gt; code, name</x:v>
      </x:c>
      <x:c r="H74" s="17" t="str"/>
      <x:c r="I74" s="17" t="str">
        <x:v>合理操作</x:v>
      </x:c>
      <x:c r="J74" s="17" t="str">
        <x:v>是</x:v>
      </x:c>
      <x:c r="K74" s="18"/>
      <x:c r="L74" s="17" t="str">
        <x:v>否</x:v>
      </x:c>
      <x:c r="M74" s="17" t="str">
        <x:v>否</x:v>
      </x:c>
      <x:c r="N74" s="17" t="str">
        <x:v>same_subject_dependency</x:v>
      </x:c>
      <x:c r="O74" s="17" t="str">
        <x:v>supporting_api_for_expected_subject</x:v>
      </x:c>
      <x:c r="P74" s="17" t="str">
        <x:v>session://financial_qa_33499cfa81de4d06_2720_789e9410d23e/vars/v4</x:v>
      </x:c>
      <x:c r="Q74" s="17" t="str"/>
      <x:c r="R74" s="17" t="str">
        <x:v>stock.basic_info</x:v>
      </x:c>
      <x:c r="S74" s="17" t="str"/>
      <x:c r="T74" s="17" t="str"/>
      <x:c r="U74" s="17" t="str">
        <x:v>r4</x:v>
      </x:c>
      <x:c r="V74" s="30" t="n">
        <x:v>1</x:v>
      </x:c>
      <x:c r="W74" s="17" t="str">
        <x:v>medium</x:v>
      </x:c>
    </x:row>
    <x:row r="75" ht="54" customHeight="1">
      <x:c r="A75" s="17" t="str">
        <x:v>BUS025</x:v>
      </x:c>
      <x:c r="B75" s="17" t="str">
        <x:v>查询贵州茅台最新报告期营收、净利润和ROE。</x:v>
      </x:c>
      <x:c r="C75" s="17" t="n">
        <x:v>7</x:v>
      </x:c>
      <x:c r="D75" s="17" t="str"/>
      <x:c r="E75" s="17" t="str">
        <x:v>工具调用</x:v>
      </x:c>
      <x:c r="F75" s="17" t="str">
        <x:v>finance_query</x:v>
      </x:c>
      <x:c r="G75" s="17" t="str">
        <x:v>r5 = stock.financial_3_table(filter = "code = 600519.SH", order = "report_date desc", limit = 1) -&gt; code, name, report_date, report_period, total_revenue, net_profit, parent_net_profit, roe</x:v>
      </x:c>
      <x:c r="H75" s="17" t="str"/>
      <x:c r="I75" s="17" t="str">
        <x:v>设计浪费</x:v>
      </x:c>
      <x:c r="J75" s="17" t="str">
        <x:v>否</x:v>
      </x:c>
      <x:c r="K75" s="18"/>
      <x:c r="L75" s="17" t="str">
        <x:v>否</x:v>
      </x:c>
      <x:c r="M75" s="17" t="str">
        <x:v>否</x:v>
      </x:c>
      <x:c r="N75" s="17" t="str">
        <x:v>requery_after_terminal_zero</x:v>
      </x:c>
      <x:c r="O75" s="17" t="str">
        <x:v>terminal_zero_requery</x:v>
      </x:c>
      <x:c r="P75" s="17" t="str">
        <x:v>session://financial_qa_33499cfa81de4d06_2720_789e9410d23e/vars/v5</x:v>
      </x:c>
      <x:c r="Q75" s="17" t="str"/>
      <x:c r="R75" s="17" t="str">
        <x:v>stock.financial_3_table</x:v>
      </x:c>
      <x:c r="S75" s="17" t="str"/>
      <x:c r="T75" s="17" t="str"/>
      <x:c r="U75" s="17" t="str">
        <x:v>r5</x:v>
      </x:c>
      <x:c r="V75" s="30" t="n">
        <x:v>0</x:v>
      </x:c>
      <x:c r="W75" s="17" t="str">
        <x:v>high</x:v>
      </x:c>
    </x:row>
    <x:row r="76" ht="54" customHeight="1">
      <x:c r="A76" s="17" t="str">
        <x:v>BUS026</x:v>
      </x:c>
      <x:c r="B76" s="17" t="str">
        <x:v>最新年报ROE最高的前20家公司有哪些？</x:v>
      </x:c>
      <x:c r="C76" s="17" t="n">
        <x:v>1</x:v>
      </x:c>
      <x:c r="D76" s="17" t="str"/>
      <x:c r="E76" s="17" t="str">
        <x:v>工具调用</x:v>
      </x:c>
      <x:c r="F76" s="17" t="str">
        <x:v>read_finance_catalog</x:v>
      </x:c>
      <x:c r="G76" s="17" t="str"/>
      <x:c r="H76" s="17" t="str"/>
      <x:c r="I76" s="17" t="str">
        <x:v>合理操作</x:v>
      </x:c>
      <x:c r="J76" s="17" t="str">
        <x:v>是</x:v>
      </x:c>
      <x:c r="K76" s="18"/>
      <x:c r="L76" s="17" t="str">
        <x:v>否</x:v>
      </x:c>
      <x:c r="M76" s="17" t="str">
        <x:v>否</x:v>
      </x:c>
      <x:c r="N76" s="17" t="str">
        <x:v>target_catalog_located</x:v>
      </x:c>
      <x:c r="O76" s="17" t="str">
        <x:v>expected_dataview_catalog</x:v>
      </x:c>
      <x:c r="P76" s="17" t="str"/>
      <x:c r="Q76" s="17" t="str"/>
      <x:c r="R76" s="17" t="str"/>
      <x:c r="S76" s="17" t="str">
        <x:v>stock</x:v>
      </x:c>
      <x:c r="T76" s="17" t="str">
        <x:v>financial_3_table</x:v>
      </x:c>
      <x:c r="U76" s="17" t="str"/>
      <x:c r="V76" s="30"/>
      <x:c r="W76" s="17" t="str">
        <x:v>high</x:v>
      </x:c>
    </x:row>
    <x:row r="77" ht="54" customHeight="1">
      <x:c r="A77" s="17" t="str">
        <x:v>BUS026</x:v>
      </x:c>
      <x:c r="B77" s="17" t="str">
        <x:v>最新年报ROE最高的前20家公司有哪些？</x:v>
      </x:c>
      <x:c r="C77" s="17" t="n">
        <x:v>2</x:v>
      </x:c>
      <x:c r="D77" s="17" t="str"/>
      <x:c r="E77" s="17" t="str">
        <x:v>工具调用</x:v>
      </x:c>
      <x:c r="F77" s="17" t="str">
        <x:v>finance_query</x:v>
      </x:c>
      <x:c r="G77" s="17" t="str">
        <x:v>r1 = stock.financial_3_table(filter = "report_period = 2025-12-31", order = "roe desc", limit = 20) -&gt; code, name, report_date, roe, roe_deducted</x:v>
      </x:c>
      <x:c r="H77" s="17" t="str"/>
      <x:c r="I77" s="17" t="str">
        <x:v>合理操作</x:v>
      </x:c>
      <x:c r="J77" s="17" t="str">
        <x:v>是</x:v>
      </x:c>
      <x:c r="K77" s="18"/>
      <x:c r="L77" s="17" t="str">
        <x:v>否</x:v>
      </x:c>
      <x:c r="M77" s="17" t="str">
        <x:v>否</x:v>
      </x:c>
      <x:c r="N77" s="17" t="str">
        <x:v>target_api_executed</x:v>
      </x:c>
      <x:c r="O77" s="17" t="str">
        <x:v>expected_dataview_coverage</x:v>
      </x:c>
      <x:c r="P77" s="17" t="str">
        <x:v>session://financial_qa_33499cfa81de4d06_2721_9196aba67680/vars/v1</x:v>
      </x:c>
      <x:c r="Q77" s="17" t="str"/>
      <x:c r="R77" s="17" t="str">
        <x:v>stock.financial_3_table</x:v>
      </x:c>
      <x:c r="S77" s="17" t="str"/>
      <x:c r="T77" s="17" t="str"/>
      <x:c r="U77" s="17" t="str">
        <x:v>r1</x:v>
      </x:c>
      <x:c r="V77" s="30" t="n">
        <x:v>0</x:v>
      </x:c>
      <x:c r="W77" s="17" t="str">
        <x:v>high</x:v>
      </x:c>
    </x:row>
    <x:row r="78" ht="54" customHeight="1">
      <x:c r="A78" s="17" t="str">
        <x:v>BUS026</x:v>
      </x:c>
      <x:c r="B78" s="17" t="str">
        <x:v>最新年报ROE最高的前20家公司有哪些？</x:v>
      </x:c>
      <x:c r="C78" s="17" t="n">
        <x:v>3</x:v>
      </x:c>
      <x:c r="D78" s="17" t="str"/>
      <x:c r="E78" s="17" t="str">
        <x:v>工具调用</x:v>
      </x:c>
      <x:c r="F78" s="17" t="str">
        <x:v>finance_query</x:v>
      </x:c>
      <x:c r="G78" s="17" t="str">
        <x:v>r2 = stock.financial_3_table(filter = "report_period = 2024-12-31", order = "roe desc", limit = 20) -&gt; code, name, report_date, roe, roe_deducted</x:v>
      </x:c>
      <x:c r="H78" s="17" t="str"/>
      <x:c r="I78" s="17" t="str">
        <x:v>设计浪费</x:v>
      </x:c>
      <x:c r="J78" s="17" t="str">
        <x:v>否</x:v>
      </x:c>
      <x:c r="K78" s="18"/>
      <x:c r="L78" s="17" t="str">
        <x:v>否</x:v>
      </x:c>
      <x:c r="M78" s="17" t="str">
        <x:v>否</x:v>
      </x:c>
      <x:c r="N78" s="17" t="str">
        <x:v>requery_after_terminal_zero</x:v>
      </x:c>
      <x:c r="O78" s="17" t="str">
        <x:v>terminal_zero_requery</x:v>
      </x:c>
      <x:c r="P78" s="17" t="str">
        <x:v>session://financial_qa_33499cfa81de4d06_2721_9196aba67680/vars/v2</x:v>
      </x:c>
      <x:c r="Q78" s="17" t="str"/>
      <x:c r="R78" s="17" t="str">
        <x:v>stock.financial_3_table</x:v>
      </x:c>
      <x:c r="S78" s="17" t="str"/>
      <x:c r="T78" s="17" t="str"/>
      <x:c r="U78" s="17" t="str">
        <x:v>r2</x:v>
      </x:c>
      <x:c r="V78" s="30" t="n">
        <x:v>0</x:v>
      </x:c>
      <x:c r="W78" s="17" t="str">
        <x:v>high</x:v>
      </x:c>
    </x:row>
    <x:row r="79" ht="54" customHeight="1">
      <x:c r="A79" s="17" t="str">
        <x:v>BUS026</x:v>
      </x:c>
      <x:c r="B79" s="17" t="str">
        <x:v>最新年报ROE最高的前20家公司有哪些？</x:v>
      </x:c>
      <x:c r="C79" s="17" t="n">
        <x:v>4</x:v>
      </x:c>
      <x:c r="D79" s="17" t="str"/>
      <x:c r="E79" s="17" t="str">
        <x:v>工具调用</x:v>
      </x:c>
      <x:c r="F79" s="17" t="str">
        <x:v>finance_query</x:v>
      </x:c>
      <x:c r="G79" s="17" t="str">
        <x:v>r3 = stock.financial_3_table(filter = "report_period = 2024-12-31 and statement_type = HB", order = "roe desc", limit = 20) -&gt; code, name, report_date, roe, roe_deducted</x:v>
      </x:c>
      <x:c r="H79" s="17" t="str"/>
      <x:c r="I79" s="17" t="str">
        <x:v>设计浪费</x:v>
      </x:c>
      <x:c r="J79" s="17" t="str">
        <x:v>否</x:v>
      </x:c>
      <x:c r="K79" s="18"/>
      <x:c r="L79" s="17" t="str">
        <x:v>否</x:v>
      </x:c>
      <x:c r="M79" s="17" t="str">
        <x:v>否</x:v>
      </x:c>
      <x:c r="N79" s="17" t="str">
        <x:v>requery_after_terminal_zero</x:v>
      </x:c>
      <x:c r="O79" s="17" t="str">
        <x:v>terminal_zero_requery</x:v>
      </x:c>
      <x:c r="P79" s="17" t="str">
        <x:v>session://financial_qa_33499cfa81de4d06_2721_9196aba67680/vars/v3</x:v>
      </x:c>
      <x:c r="Q79" s="17" t="str"/>
      <x:c r="R79" s="17" t="str">
        <x:v>stock.financial_3_table</x:v>
      </x:c>
      <x:c r="S79" s="17" t="str"/>
      <x:c r="T79" s="17" t="str"/>
      <x:c r="U79" s="17" t="str">
        <x:v>r3</x:v>
      </x:c>
      <x:c r="V79" s="30" t="n">
        <x:v>0</x:v>
      </x:c>
      <x:c r="W79" s="17" t="str">
        <x:v>high</x:v>
      </x:c>
    </x:row>
    <x:row r="80" ht="54" customHeight="1">
      <x:c r="A80" s="17" t="str">
        <x:v>BUS026</x:v>
      </x:c>
      <x:c r="B80" s="17" t="str">
        <x:v>最新年报ROE最高的前20家公司有哪些？</x:v>
      </x:c>
      <x:c r="C80" s="17" t="n">
        <x:v>5</x:v>
      </x:c>
      <x:c r="D80" s="17" t="str"/>
      <x:c r="E80" s="17" t="str">
        <x:v>工具调用</x:v>
      </x:c>
      <x:c r="F80" s="17" t="str">
        <x:v>finance_query</x:v>
      </x:c>
      <x:c r="G80" s="17" t="str">
        <x:v>r4 = stock.financial_3_table(filter = "code = 000858.SZ and report_period = 2024-12-31", order = "report_date desc", limit = 1) -&gt; code, name, report_date, roe</x:v>
      </x:c>
      <x:c r="H80" s="17" t="str"/>
      <x:c r="I80" s="17" t="str">
        <x:v>设计浪费</x:v>
      </x:c>
      <x:c r="J80" s="17" t="str">
        <x:v>否</x:v>
      </x:c>
      <x:c r="K80" s="18"/>
      <x:c r="L80" s="17" t="str">
        <x:v>否</x:v>
      </x:c>
      <x:c r="M80" s="17" t="str">
        <x:v>否</x:v>
      </x:c>
      <x:c r="N80" s="17" t="str">
        <x:v>requery_after_terminal_zero</x:v>
      </x:c>
      <x:c r="O80" s="17" t="str">
        <x:v>terminal_zero_requery</x:v>
      </x:c>
      <x:c r="P80" s="17" t="str">
        <x:v>session://financial_qa_33499cfa81de4d06_2721_9196aba67680/vars/v4</x:v>
      </x:c>
      <x:c r="Q80" s="17" t="str"/>
      <x:c r="R80" s="17" t="str">
        <x:v>stock.financial_3_table</x:v>
      </x:c>
      <x:c r="S80" s="17" t="str"/>
      <x:c r="T80" s="17" t="str"/>
      <x:c r="U80" s="17" t="str">
        <x:v>r4</x:v>
      </x:c>
      <x:c r="V80" s="30" t="n">
        <x:v>0</x:v>
      </x:c>
      <x:c r="W80" s="17" t="str">
        <x:v>high</x:v>
      </x:c>
    </x:row>
    <x:row r="81" ht="54" customHeight="1">
      <x:c r="A81" s="17" t="str">
        <x:v>BUS026</x:v>
      </x:c>
      <x:c r="B81" s="17" t="str">
        <x:v>最新年报ROE最高的前20家公司有哪些？</x:v>
      </x:c>
      <x:c r="C81" s="17" t="n">
        <x:v>6</x:v>
      </x:c>
      <x:c r="D81" s="17" t="str"/>
      <x:c r="E81" s="17" t="str">
        <x:v>工具调用</x:v>
      </x:c>
      <x:c r="F81" s="17" t="str">
        <x:v>read_finance_catalog</x:v>
      </x:c>
      <x:c r="G81" s="17" t="str"/>
      <x:c r="H81" s="17" t="str"/>
      <x:c r="I81" s="17" t="str">
        <x:v>合理操作</x:v>
      </x:c>
      <x:c r="J81" s="17" t="str">
        <x:v>是</x:v>
      </x:c>
      <x:c r="K81" s="18"/>
      <x:c r="L81" s="17" t="str">
        <x:v>否</x:v>
      </x:c>
      <x:c r="M81" s="17" t="str">
        <x:v>否</x:v>
      </x:c>
      <x:c r="N81" s="17" t="str">
        <x:v>subject_catalog_discovery</x:v>
      </x:c>
      <x:c r="O81" s="17" t="str">
        <x:v>expected_subject_catalog</x:v>
      </x:c>
      <x:c r="P81" s="17" t="str"/>
      <x:c r="Q81" s="17" t="str"/>
      <x:c r="R81" s="17" t="str"/>
      <x:c r="S81" s="17" t="str">
        <x:v>stock</x:v>
      </x:c>
      <x:c r="T81" s="17" t="str">
        <x:v>pricevalue</x:v>
      </x:c>
      <x:c r="U81" s="17" t="str"/>
      <x:c r="V81" s="30"/>
      <x:c r="W81" s="17" t="str">
        <x:v>medium</x:v>
      </x:c>
    </x:row>
    <x:row r="82" ht="54" customHeight="1">
      <x:c r="A82" s="17" t="str">
        <x:v>BUS026</x:v>
      </x:c>
      <x:c r="B82" s="17" t="str">
        <x:v>最新年报ROE最高的前20家公司有哪些？</x:v>
      </x:c>
      <x:c r="C82" s="17" t="n">
        <x:v>7</x:v>
      </x:c>
      <x:c r="D82" s="17" t="str"/>
      <x:c r="E82" s="17" t="str">
        <x:v>工具调用</x:v>
      </x:c>
      <x:c r="F82" s="17" t="str">
        <x:v>read_finance_catalog</x:v>
      </x:c>
      <x:c r="G82" s="17" t="str"/>
      <x:c r="H82" s="17" t="str"/>
      <x:c r="I82" s="17" t="str">
        <x:v>合理操作</x:v>
      </x:c>
      <x:c r="J82" s="17" t="str">
        <x:v>是</x:v>
      </x:c>
      <x:c r="K82" s="18"/>
      <x:c r="L82" s="17" t="str">
        <x:v>否</x:v>
      </x:c>
      <x:c r="M82" s="17" t="str">
        <x:v>否</x:v>
      </x:c>
      <x:c r="N82" s="17" t="str">
        <x:v>subject_catalog_discovery</x:v>
      </x:c>
      <x:c r="O82" s="17" t="str">
        <x:v>expected_subject_catalog</x:v>
      </x:c>
      <x:c r="P82" s="17" t="str"/>
      <x:c r="Q82" s="17" t="str"/>
      <x:c r="R82" s="17" t="str"/>
      <x:c r="S82" s="17" t="str">
        <x:v>stock</x:v>
      </x:c>
      <x:c r="T82" s="17" t="str">
        <x:v>performance_notice</x:v>
      </x:c>
      <x:c r="U82" s="17" t="str"/>
      <x:c r="V82" s="30"/>
      <x:c r="W82" s="17" t="str">
        <x:v>medium</x:v>
      </x:c>
    </x:row>
    <x:row r="83" ht="54" customHeight="1">
      <x:c r="A83" s="17" t="str">
        <x:v>BUS026</x:v>
      </x:c>
      <x:c r="B83" s="17" t="str">
        <x:v>最新年报ROE最高的前20家公司有哪些？</x:v>
      </x:c>
      <x:c r="C83" s="17" t="n">
        <x:v>8</x:v>
      </x:c>
      <x:c r="D83" s="17" t="str"/>
      <x:c r="E83" s="17" t="str">
        <x:v>工具调用</x:v>
      </x:c>
      <x:c r="F83" s="17" t="str">
        <x:v>finance_query</x:v>
      </x:c>
      <x:c r="G83" s="17" t="str">
        <x:v>r5 = stock.financial_3_table(filter = "code = 000858.SZ and report_period = 20241231", order = "report_date desc", limit = 1) -&gt; code, name, report_date, roe</x:v>
      </x:c>
      <x:c r="H83" s="17" t="str"/>
      <x:c r="I83" s="17" t="str">
        <x:v>设计浪费</x:v>
      </x:c>
      <x:c r="J83" s="17" t="str">
        <x:v>否</x:v>
      </x:c>
      <x:c r="K83" s="18"/>
      <x:c r="L83" s="17" t="str">
        <x:v>否</x:v>
      </x:c>
      <x:c r="M83" s="17" t="str">
        <x:v>否</x:v>
      </x:c>
      <x:c r="N83" s="17" t="str">
        <x:v>requery_after_terminal_zero</x:v>
      </x:c>
      <x:c r="O83" s="17" t="str">
        <x:v>terminal_zero_requery</x:v>
      </x:c>
      <x:c r="P83" s="17" t="str">
        <x:v>session://financial_qa_33499cfa81de4d06_2721_9196aba67680/vars/v5</x:v>
      </x:c>
      <x:c r="Q83" s="17" t="str"/>
      <x:c r="R83" s="17" t="str">
        <x:v>stock.financial_3_table</x:v>
      </x:c>
      <x:c r="S83" s="17" t="str"/>
      <x:c r="T83" s="17" t="str"/>
      <x:c r="U83" s="17" t="str">
        <x:v>r5</x:v>
      </x:c>
      <x:c r="V83" s="30" t="n">
        <x:v>0</x:v>
      </x:c>
      <x:c r="W83" s="17" t="str">
        <x:v>high</x:v>
      </x:c>
    </x:row>
    <x:row r="84" ht="54" customHeight="1">
      <x:c r="A84" s="17" t="str">
        <x:v>BUS026</x:v>
      </x:c>
      <x:c r="B84" s="17" t="str">
        <x:v>最新年报ROE最高的前20家公司有哪些？</x:v>
      </x:c>
      <x:c r="C84" s="17" t="n">
        <x:v>9</x:v>
      </x:c>
      <x:c r="D84" s="17" t="str"/>
      <x:c r="E84" s="17" t="str">
        <x:v>工具调用</x:v>
      </x:c>
      <x:c r="F84" s="17" t="str">
        <x:v>finance_query</x:v>
      </x:c>
      <x:c r="G84" s="17" t="str">
        <x:v>r6 = stock.financial_3_table(limit = 3) -&gt; code, name, report_date, roe</x:v>
      </x:c>
      <x:c r="H84" s="17" t="str"/>
      <x:c r="I84" s="17" t="str">
        <x:v>设计浪费</x:v>
      </x:c>
      <x:c r="J84" s="17" t="str">
        <x:v>否</x:v>
      </x:c>
      <x:c r="K84" s="18"/>
      <x:c r="L84" s="17" t="str">
        <x:v>否</x:v>
      </x:c>
      <x:c r="M84" s="17" t="str">
        <x:v>否</x:v>
      </x:c>
      <x:c r="N84" s="17" t="str">
        <x:v>requery_after_terminal_zero</x:v>
      </x:c>
      <x:c r="O84" s="17" t="str">
        <x:v>terminal_zero_requery</x:v>
      </x:c>
      <x:c r="P84" s="17" t="str">
        <x:v>session://financial_qa_33499cfa81de4d06_2721_9196aba67680/vars/v6</x:v>
      </x:c>
      <x:c r="Q84" s="17" t="str"/>
      <x:c r="R84" s="17" t="str">
        <x:v>stock.financial_3_table</x:v>
      </x:c>
      <x:c r="S84" s="17" t="str"/>
      <x:c r="T84" s="17" t="str"/>
      <x:c r="U84" s="17" t="str">
        <x:v>r6</x:v>
      </x:c>
      <x:c r="V84" s="30" t="n">
        <x:v>3</x:v>
      </x:c>
      <x:c r="W84" s="17" t="str">
        <x:v>high</x:v>
      </x:c>
    </x:row>
    <x:row r="85" ht="54" customHeight="1">
      <x:c r="A85" s="17" t="str">
        <x:v>BUS026</x:v>
      </x:c>
      <x:c r="B85" s="17" t="str">
        <x:v>最新年报ROE最高的前20家公司有哪些？</x:v>
      </x:c>
      <x:c r="C85" s="17" t="n">
        <x:v>10</x:v>
      </x:c>
      <x:c r="D85" s="17" t="str"/>
      <x:c r="E85" s="17" t="str">
        <x:v>工具调用</x:v>
      </x:c>
      <x:c r="F85" s="17" t="str">
        <x:v>finance_query</x:v>
      </x:c>
      <x:c r="G85" s="17" t="str">
        <x:v>r7 = stock.financial_3_table(order = "report_date desc", limit = 5) -&gt; code, name, report_date, report_period, roe</x:v>
      </x:c>
      <x:c r="H85" s="17" t="str"/>
      <x:c r="I85" s="17" t="str">
        <x:v>合理操作</x:v>
      </x:c>
      <x:c r="J85" s="17" t="str">
        <x:v>是</x:v>
      </x:c>
      <x:c r="K85" s="18"/>
      <x:c r="L85" s="17" t="str">
        <x:v>否</x:v>
      </x:c>
      <x:c r="M85" s="17" t="str">
        <x:v>否</x:v>
      </x:c>
      <x:c r="N85" s="17" t="str">
        <x:v>target_api_executed</x:v>
      </x:c>
      <x:c r="O85" s="17" t="str">
        <x:v>expected_dataview_coverage</x:v>
      </x:c>
      <x:c r="P85" s="17" t="str">
        <x:v>session://financial_qa_33499cfa81de4d06_2721_9196aba67680/vars/v7</x:v>
      </x:c>
      <x:c r="Q85" s="17" t="str"/>
      <x:c r="R85" s="17" t="str">
        <x:v>stock.financial_3_table</x:v>
      </x:c>
      <x:c r="S85" s="17" t="str"/>
      <x:c r="T85" s="17" t="str"/>
      <x:c r="U85" s="17" t="str">
        <x:v>r7</x:v>
      </x:c>
      <x:c r="V85" s="30" t="n">
        <x:v>5</x:v>
      </x:c>
      <x:c r="W85" s="17" t="str">
        <x:v>high</x:v>
      </x:c>
    </x:row>
    <x:row r="86" ht="54" customHeight="1">
      <x:c r="A86" s="17" t="str">
        <x:v>BUS026</x:v>
      </x:c>
      <x:c r="B86" s="17" t="str">
        <x:v>最新年报ROE最高的前20家公司有哪些？</x:v>
      </x:c>
      <x:c r="C86" s="17" t="n">
        <x:v>11</x:v>
      </x:c>
      <x:c r="D86" s="17" t="str"/>
      <x:c r="E86" s="17" t="str">
        <x:v>工具调用</x:v>
      </x:c>
      <x:c r="F86" s="17" t="str">
        <x:v>finance_query</x:v>
      </x:c>
      <x:c r="G86" s="17" t="str">
        <x:v>r8 = stock.financial_3_table(filter = "report_period = 2026-06-30", order = "roe desc", limit = 20) -&gt; code, name, report_date, roe, roe_deducted</x:v>
      </x:c>
      <x:c r="H86" s="17" t="str"/>
      <x:c r="I86" s="17" t="str">
        <x:v>合理操作</x:v>
      </x:c>
      <x:c r="J86" s="17" t="str">
        <x:v>是</x:v>
      </x:c>
      <x:c r="K86" s="18"/>
      <x:c r="L86" s="17" t="str">
        <x:v>否</x:v>
      </x:c>
      <x:c r="M86" s="17" t="str">
        <x:v>否</x:v>
      </x:c>
      <x:c r="N86" s="17" t="str">
        <x:v>target_api_executed</x:v>
      </x:c>
      <x:c r="O86" s="17" t="str">
        <x:v>expected_dataview_coverage</x:v>
      </x:c>
      <x:c r="P86" s="17" t="str">
        <x:v>session://financial_qa_33499cfa81de4d06_2721_9196aba67680/vars/v8</x:v>
      </x:c>
      <x:c r="Q86" s="17" t="str"/>
      <x:c r="R86" s="17" t="str">
        <x:v>stock.financial_3_table</x:v>
      </x:c>
      <x:c r="S86" s="17" t="str"/>
      <x:c r="T86" s="17" t="str"/>
      <x:c r="U86" s="17" t="str">
        <x:v>r8</x:v>
      </x:c>
      <x:c r="V86" s="30" t="n">
        <x:v>20</x:v>
      </x:c>
      <x:c r="W86" s="17" t="str">
        <x:v>high</x:v>
      </x:c>
    </x:row>
    <x:row r="87" ht="54" customHeight="1">
      <x:c r="A87" s="17" t="str">
        <x:v>BUS026</x:v>
      </x:c>
      <x:c r="B87" s="17" t="str">
        <x:v>最新年报ROE最高的前20家公司有哪些？</x:v>
      </x:c>
      <x:c r="C87" s="17" t="n">
        <x:v>12</x:v>
      </x:c>
      <x:c r="D87" s="17" t="str"/>
      <x:c r="E87" s="17" t="str">
        <x:v>工具调用</x:v>
      </x:c>
      <x:c r="F87" s="17" t="str">
        <x:v>load_finance_result</x:v>
      </x:c>
      <x:c r="G87" s="17" t="str"/>
      <x:c r="H87" s="17" t="str"/>
      <x:c r="I87" s="17" t="str">
        <x:v>合理操作</x:v>
      </x:c>
      <x:c r="J87" s="17" t="str">
        <x:v>是</x:v>
      </x:c>
      <x:c r="K87" s="18"/>
      <x:c r="L87" s="17" t="str">
        <x:v>否</x:v>
      </x:c>
      <x:c r="M87" s="17" t="str">
        <x:v>否</x:v>
      </x:c>
      <x:c r="N87" s="17" t="str">
        <x:v>load_truncated_result</x:v>
      </x:c>
      <x:c r="O87" s="17" t="str">
        <x:v>sample_incomplete_requires_full_result</x:v>
      </x:c>
      <x:c r="P87" s="17" t="str">
        <x:v>session://financial_qa_33499cfa81de4d06_2721_9196aba67680/vars/v8</x:v>
      </x:c>
      <x:c r="Q87" s="17" t="str"/>
      <x:c r="R87" s="17" t="str"/>
      <x:c r="S87" s="17" t="str"/>
      <x:c r="T87" s="17" t="str"/>
      <x:c r="U87" s="17" t="str"/>
      <x:c r="V87" s="30"/>
      <x:c r="W87" s="17" t="str">
        <x:v>high</x:v>
      </x:c>
    </x:row>
    <x:row r="88" ht="54" customHeight="1">
      <x:c r="A88" s="17" t="str">
        <x:v>BUS027</x:v>
      </x:c>
      <x:c r="B88" s="17" t="str">
        <x:v>筛选资产负债率低于40%且毛利率高于30%的公司。</x:v>
      </x:c>
      <x:c r="C88" s="17" t="n">
        <x:v>1</x:v>
      </x:c>
      <x:c r="D88" s="17" t="str"/>
      <x:c r="E88" s="17" t="str">
        <x:v>工具调用</x:v>
      </x:c>
      <x:c r="F88" s="17" t="str">
        <x:v>read_finance_catalog</x:v>
      </x:c>
      <x:c r="G88" s="17" t="str"/>
      <x:c r="H88" s="17" t="str"/>
      <x:c r="I88" s="17" t="str">
        <x:v>合理操作</x:v>
      </x:c>
      <x:c r="J88" s="17" t="str">
        <x:v>是</x:v>
      </x:c>
      <x:c r="K88" s="18"/>
      <x:c r="L88" s="17" t="str">
        <x:v>否</x:v>
      </x:c>
      <x:c r="M88" s="17" t="str">
        <x:v>否</x:v>
      </x:c>
      <x:c r="N88" s="17" t="str">
        <x:v>target_catalog_located</x:v>
      </x:c>
      <x:c r="O88" s="17" t="str">
        <x:v>expected_dataview_catalog</x:v>
      </x:c>
      <x:c r="P88" s="17" t="str"/>
      <x:c r="Q88" s="17" t="str"/>
      <x:c r="R88" s="17" t="str"/>
      <x:c r="S88" s="17" t="str">
        <x:v>stock</x:v>
      </x:c>
      <x:c r="T88" s="17" t="str">
        <x:v>financial_3_table</x:v>
      </x:c>
      <x:c r="U88" s="17" t="str"/>
      <x:c r="V88" s="30"/>
      <x:c r="W88" s="17" t="str">
        <x:v>high</x:v>
      </x:c>
    </x:row>
    <x:row r="89" ht="54" customHeight="1">
      <x:c r="A89" s="17" t="str">
        <x:v>BUS027</x:v>
      </x:c>
      <x:c r="B89" s="17" t="str">
        <x:v>筛选资产负债率低于40%且毛利率高于30%的公司。</x:v>
      </x:c>
      <x:c r="C89" s="17" t="n">
        <x:v>2</x:v>
      </x:c>
      <x:c r="D89" s="17" t="str"/>
      <x:c r="E89" s="17" t="str">
        <x:v>工具调用</x:v>
      </x:c>
      <x:c r="F89" s="17" t="str">
        <x:v>finance_query</x:v>
      </x:c>
      <x:c r="G89" s="17" t="str">
        <x:v>r1 = stock.financial_3_table(filter = "debt_ratio &lt; 40 and gross_margin &gt; 30", order = "gross_margin desc", limit = 50) -&gt; code, name, report_date, report_period, debt_ratio, gross_margin, revenue, net_profit</x:v>
      </x:c>
      <x:c r="H89" s="17" t="str"/>
      <x:c r="I89" s="17" t="str">
        <x:v>合理操作</x:v>
      </x:c>
      <x:c r="J89" s="17" t="str">
        <x:v>是</x:v>
      </x:c>
      <x:c r="K89" s="18"/>
      <x:c r="L89" s="17" t="str">
        <x:v>否</x:v>
      </x:c>
      <x:c r="M89" s="17" t="str">
        <x:v>否</x:v>
      </x:c>
      <x:c r="N89" s="17" t="str">
        <x:v>target_api_executed</x:v>
      </x:c>
      <x:c r="O89" s="17" t="str">
        <x:v>expected_dataview_coverage</x:v>
      </x:c>
      <x:c r="P89" s="17" t="str">
        <x:v>session://financial_qa_33499cfa81de4d06_2722_d2958a259881/vars/v1</x:v>
      </x:c>
      <x:c r="Q89" s="17" t="str"/>
      <x:c r="R89" s="17" t="str">
        <x:v>stock.financial_3_table</x:v>
      </x:c>
      <x:c r="S89" s="17" t="str"/>
      <x:c r="T89" s="17" t="str"/>
      <x:c r="U89" s="17" t="str">
        <x:v>r1</x:v>
      </x:c>
      <x:c r="V89" s="30" t="n">
        <x:v>21</x:v>
      </x:c>
      <x:c r="W89" s="17" t="str">
        <x:v>high</x:v>
      </x:c>
    </x:row>
    <x:row r="90" ht="54" customHeight="1">
      <x:c r="A90" s="17" t="str">
        <x:v>BUS027</x:v>
      </x:c>
      <x:c r="B90" s="17" t="str">
        <x:v>筛选资产负债率低于40%且毛利率高于30%的公司。</x:v>
      </x:c>
      <x:c r="C90" s="17" t="n">
        <x:v>3</x:v>
      </x:c>
      <x:c r="D90" s="17" t="str"/>
      <x:c r="E90" s="17" t="str">
        <x:v>工具调用</x:v>
      </x:c>
      <x:c r="F90" s="17" t="str">
        <x:v>load_finance_result</x:v>
      </x:c>
      <x:c r="G90" s="17" t="str"/>
      <x:c r="H90" s="17" t="str"/>
      <x:c r="I90" s="17" t="str">
        <x:v>合理操作</x:v>
      </x:c>
      <x:c r="J90" s="17" t="str">
        <x:v>是</x:v>
      </x:c>
      <x:c r="K90" s="18"/>
      <x:c r="L90" s="17" t="str">
        <x:v>否</x:v>
      </x:c>
      <x:c r="M90" s="17" t="str">
        <x:v>否</x:v>
      </x:c>
      <x:c r="N90" s="17" t="str">
        <x:v>load_truncated_result</x:v>
      </x:c>
      <x:c r="O90" s="17" t="str">
        <x:v>sample_incomplete_requires_full_result</x:v>
      </x:c>
      <x:c r="P90" s="17" t="str">
        <x:v>session://financial_qa_33499cfa81de4d06_2722_d2958a259881/vars/v1</x:v>
      </x:c>
      <x:c r="Q90" s="17" t="str"/>
      <x:c r="R90" s="17" t="str"/>
      <x:c r="S90" s="17" t="str"/>
      <x:c r="T90" s="17" t="str"/>
      <x:c r="U90" s="17" t="str"/>
      <x:c r="V90" s="30"/>
      <x:c r="W90" s="17" t="str">
        <x:v>high</x:v>
      </x:c>
    </x:row>
    <x:row r="91" ht="54" customHeight="1">
      <x:c r="A91" s="17" t="str">
        <x:v>BUS028</x:v>
      </x:c>
      <x:c r="B91" s="17" t="str">
        <x:v>查询宁德时代最近4个报告期研发费用和净利润。</x:v>
      </x:c>
      <x:c r="C91" s="17" t="n">
        <x:v>1</x:v>
      </x:c>
      <x:c r="D91" s="17" t="str"/>
      <x:c r="E91" s="17" t="str">
        <x:v>工具调用</x:v>
      </x:c>
      <x:c r="F91" s="17" t="str">
        <x:v>read_finance_catalog</x:v>
      </x:c>
      <x:c r="G91" s="17" t="str"/>
      <x:c r="H91" s="17" t="str"/>
      <x:c r="I91" s="17" t="str">
        <x:v>合理操作</x:v>
      </x:c>
      <x:c r="J91" s="17" t="str">
        <x:v>是</x:v>
      </x:c>
      <x:c r="K91" s="18"/>
      <x:c r="L91" s="17" t="str">
        <x:v>否</x:v>
      </x:c>
      <x:c r="M91" s="17" t="str">
        <x:v>否</x:v>
      </x:c>
      <x:c r="N91" s="17" t="str">
        <x:v>target_catalog_located</x:v>
      </x:c>
      <x:c r="O91" s="17" t="str">
        <x:v>expected_dataview_catalog</x:v>
      </x:c>
      <x:c r="P91" s="17" t="str"/>
      <x:c r="Q91" s="17" t="str"/>
      <x:c r="R91" s="17" t="str"/>
      <x:c r="S91" s="17" t="str">
        <x:v>stock</x:v>
      </x:c>
      <x:c r="T91" s="17" t="str">
        <x:v>financial_3_table</x:v>
      </x:c>
      <x:c r="U91" s="17" t="str"/>
      <x:c r="V91" s="30"/>
      <x:c r="W91" s="17" t="str">
        <x:v>high</x:v>
      </x:c>
    </x:row>
    <x:row r="92" ht="54" customHeight="1">
      <x:c r="A92" s="17" t="str">
        <x:v>BUS028</x:v>
      </x:c>
      <x:c r="B92" s="17" t="str">
        <x:v>查询宁德时代最近4个报告期研发费用和净利润。</x:v>
      </x:c>
      <x:c r="C92" s="17" t="n">
        <x:v>2</x:v>
      </x:c>
      <x:c r="D92" s="17" t="str"/>
      <x:c r="E92" s="17" t="str">
        <x:v>工具调用</x:v>
      </x:c>
      <x:c r="F92" s="17" t="str">
        <x:v>finance_query</x:v>
      </x:c>
      <x:c r="G92" s="17" t="str">
        <x:v>r1 = stock.financial_3_table(filter = "code = 300750.SZ", order = "report_date desc", limit = 4) -&gt; code, name, report_date, report_period, rd_expense, net_profit</x:v>
      </x:c>
      <x:c r="H92" s="17" t="str"/>
      <x:c r="I92" s="17" t="str">
        <x:v>合理操作</x:v>
      </x:c>
      <x:c r="J92" s="17" t="str">
        <x:v>是</x:v>
      </x:c>
      <x:c r="K92" s="18"/>
      <x:c r="L92" s="17" t="str">
        <x:v>否</x:v>
      </x:c>
      <x:c r="M92" s="17" t="str">
        <x:v>否</x:v>
      </x:c>
      <x:c r="N92" s="17" t="str">
        <x:v>target_api_executed</x:v>
      </x:c>
      <x:c r="O92" s="17" t="str">
        <x:v>expected_dataview_coverage</x:v>
      </x:c>
      <x:c r="P92" s="17" t="str">
        <x:v>session://financial_qa_33499cfa81de4d06_2723_0a0ff38ad568/vars/v1</x:v>
      </x:c>
      <x:c r="Q92" s="17" t="str"/>
      <x:c r="R92" s="17" t="str">
        <x:v>stock.financial_3_table</x:v>
      </x:c>
      <x:c r="S92" s="17" t="str"/>
      <x:c r="T92" s="17" t="str"/>
      <x:c r="U92" s="17" t="str">
        <x:v>r1</x:v>
      </x:c>
      <x:c r="V92" s="30" t="n">
        <x:v>1</x:v>
      </x:c>
      <x:c r="W92" s="17" t="str">
        <x:v>high</x:v>
      </x:c>
    </x:row>
    <x:row r="93" ht="54" customHeight="1">
      <x:c r="A93" s="17" t="str">
        <x:v>BUS028</x:v>
      </x:c>
      <x:c r="B93" s="17" t="str">
        <x:v>查询宁德时代最近4个报告期研发费用和净利润。</x:v>
      </x:c>
      <x:c r="C93" s="17" t="n">
        <x:v>3</x:v>
      </x:c>
      <x:c r="D93" s="17" t="str"/>
      <x:c r="E93" s="17" t="str">
        <x:v>工具调用</x:v>
      </x:c>
      <x:c r="F93" s="17" t="str">
        <x:v>finance_query</x:v>
      </x:c>
      <x:c r="G93" s="17" t="str">
        <x:v>r2 = stock.financial_3_table(filter = "code = 300750.SZ", order = "report_date desc", limit = 4, realtime = 0) -&gt; code, name, report_date, report_period, rd_expense, net_profit</x:v>
      </x:c>
      <x:c r="H93" s="17" t="str"/>
      <x:c r="I93" s="17" t="str">
        <x:v>合理操作</x:v>
      </x:c>
      <x:c r="J93" s="17" t="str">
        <x:v>是</x:v>
      </x:c>
      <x:c r="K93" s="18"/>
      <x:c r="L93" s="17" t="str">
        <x:v>否</x:v>
      </x:c>
      <x:c r="M93" s="17" t="str">
        <x:v>否</x:v>
      </x:c>
      <x:c r="N93" s="17" t="str">
        <x:v>target_api_executed</x:v>
      </x:c>
      <x:c r="O93" s="17" t="str">
        <x:v>expected_dataview_coverage</x:v>
      </x:c>
      <x:c r="P93" s="17" t="str">
        <x:v>session://financial_qa_33499cfa81de4d06_2723_0a0ff38ad568/vars/v2</x:v>
      </x:c>
      <x:c r="Q93" s="17" t="str"/>
      <x:c r="R93" s="17" t="str">
        <x:v>stock.financial_3_table</x:v>
      </x:c>
      <x:c r="S93" s="17" t="str"/>
      <x:c r="T93" s="17" t="str"/>
      <x:c r="U93" s="17" t="str">
        <x:v>r2</x:v>
      </x:c>
      <x:c r="V93" s="30" t="n">
        <x:v>1</x:v>
      </x:c>
      <x:c r="W93" s="17" t="str">
        <x:v>high</x:v>
      </x:c>
    </x:row>
    <x:row r="94" ht="54" customHeight="1">
      <x:c r="A94" s="17" t="str">
        <x:v>BUS028</x:v>
      </x:c>
      <x:c r="B94" s="17" t="str">
        <x:v>查询宁德时代最近4个报告期研发费用和净利润。</x:v>
      </x:c>
      <x:c r="C94" s="17" t="n">
        <x:v>4</x:v>
      </x:c>
      <x:c r="D94" s="17" t="str"/>
      <x:c r="E94" s="17" t="str">
        <x:v>工具调用</x:v>
      </x:c>
      <x:c r="F94" s="17" t="str">
        <x:v>finance_query</x:v>
      </x:c>
      <x:c r="G94" s="17" t="str">
        <x:v>r3 = stock.financial_3_table(filter = "code = 300750.SZ and report_period &gt;= 2025-01-01", order = "report_date desc", limit = 4) -&gt; code, name, report_date, report_period, rd_expense, net_profit</x:v>
      </x:c>
      <x:c r="H94" s="17" t="str"/>
      <x:c r="I94" s="17" t="str">
        <x:v>合理操作</x:v>
      </x:c>
      <x:c r="J94" s="17" t="str">
        <x:v>是</x:v>
      </x:c>
      <x:c r="K94" s="18"/>
      <x:c r="L94" s="17" t="str">
        <x:v>否</x:v>
      </x:c>
      <x:c r="M94" s="17" t="str">
        <x:v>否</x:v>
      </x:c>
      <x:c r="N94" s="17" t="str">
        <x:v>target_api_executed</x:v>
      </x:c>
      <x:c r="O94" s="17" t="str">
        <x:v>expected_dataview_coverage</x:v>
      </x:c>
      <x:c r="P94" s="17" t="str">
        <x:v>session://financial_qa_33499cfa81de4d06_2723_0a0ff38ad568/vars/v3</x:v>
      </x:c>
      <x:c r="Q94" s="17" t="str"/>
      <x:c r="R94" s="17" t="str">
        <x:v>stock.financial_3_table</x:v>
      </x:c>
      <x:c r="S94" s="17" t="str"/>
      <x:c r="T94" s="17" t="str"/>
      <x:c r="U94" s="17" t="str">
        <x:v>r3</x:v>
      </x:c>
      <x:c r="V94" s="30" t="n">
        <x:v>1</x:v>
      </x:c>
      <x:c r="W94" s="17" t="str">
        <x:v>high</x:v>
      </x:c>
    </x:row>
    <x:row r="95" ht="54" customHeight="1">
      <x:c r="A95" s="17" t="str">
        <x:v>BUS028</x:v>
      </x:c>
      <x:c r="B95" s="17" t="str">
        <x:v>查询宁德时代最近4个报告期研发费用和净利润。</x:v>
      </x:c>
      <x:c r="C95" s="17" t="n">
        <x:v>5</x:v>
      </x:c>
      <x:c r="D95" s="17" t="str"/>
      <x:c r="E95" s="17" t="str">
        <x:v>工具调用</x:v>
      </x:c>
      <x:c r="F95" s="17" t="str">
        <x:v>finance_query</x:v>
      </x:c>
      <x:c r="G95" s="17" t="str">
        <x:v>r4 = stock.financial_3_table(filter = "code = 300750.SZ and report_period &lt; 2026-06-30", order = "report_date desc", limit = 4) -&gt; code, name, report_date, report_period, rd_expense, net_profit</x:v>
      </x:c>
      <x:c r="H95" s="17" t="str"/>
      <x:c r="I95" s="17" t="str">
        <x:v>合理操作</x:v>
      </x:c>
      <x:c r="J95" s="17" t="str">
        <x:v>是</x:v>
      </x:c>
      <x:c r="K95" s="18"/>
      <x:c r="L95" s="17" t="str">
        <x:v>否</x:v>
      </x:c>
      <x:c r="M95" s="17" t="str">
        <x:v>否</x:v>
      </x:c>
      <x:c r="N95" s="17" t="str">
        <x:v>target_api_executed</x:v>
      </x:c>
      <x:c r="O95" s="17" t="str">
        <x:v>expected_dataview_coverage</x:v>
      </x:c>
      <x:c r="P95" s="17" t="str">
        <x:v>session://financial_qa_33499cfa81de4d06_2723_0a0ff38ad568/vars/v4</x:v>
      </x:c>
      <x:c r="Q95" s="17" t="str"/>
      <x:c r="R95" s="17" t="str">
        <x:v>stock.financial_3_table</x:v>
      </x:c>
      <x:c r="S95" s="17" t="str"/>
      <x:c r="T95" s="17" t="str"/>
      <x:c r="U95" s="17" t="str">
        <x:v>r4</x:v>
      </x:c>
      <x:c r="V95" s="30" t="n">
        <x:v>0</x:v>
      </x:c>
      <x:c r="W95" s="17" t="str">
        <x:v>high</x:v>
      </x:c>
    </x:row>
    <x:row r="96" ht="54" customHeight="1">
      <x:c r="A96" s="17" t="str">
        <x:v>BUS029</x:v>
      </x:c>
      <x:c r="B96" s="17" t="str">
        <x:v>筛选最新报告期经营现金流为正且净利润为正的公司。</x:v>
      </x:c>
      <x:c r="C96" s="17" t="n">
        <x:v>1</x:v>
      </x:c>
      <x:c r="D96" s="17" t="str"/>
      <x:c r="E96" s="17" t="str">
        <x:v>工具调用</x:v>
      </x:c>
      <x:c r="F96" s="17" t="str">
        <x:v>read_finance_catalog</x:v>
      </x:c>
      <x:c r="G96" s="17" t="str"/>
      <x:c r="H96" s="17" t="str"/>
      <x:c r="I96" s="17" t="str">
        <x:v>合理操作</x:v>
      </x:c>
      <x:c r="J96" s="17" t="str">
        <x:v>是</x:v>
      </x:c>
      <x:c r="K96" s="18"/>
      <x:c r="L96" s="17" t="str">
        <x:v>否</x:v>
      </x:c>
      <x:c r="M96" s="17" t="str">
        <x:v>否</x:v>
      </x:c>
      <x:c r="N96" s="17" t="str">
        <x:v>target_catalog_located</x:v>
      </x:c>
      <x:c r="O96" s="17" t="str">
        <x:v>expected_dataview_catalog</x:v>
      </x:c>
      <x:c r="P96" s="17" t="str"/>
      <x:c r="Q96" s="17" t="str"/>
      <x:c r="R96" s="17" t="str"/>
      <x:c r="S96" s="17" t="str">
        <x:v>stock</x:v>
      </x:c>
      <x:c r="T96" s="17" t="str">
        <x:v>financial_3_table</x:v>
      </x:c>
      <x:c r="U96" s="17" t="str"/>
      <x:c r="V96" s="30"/>
      <x:c r="W96" s="17" t="str">
        <x:v>high</x:v>
      </x:c>
    </x:row>
    <x:row r="97" ht="54" customHeight="1">
      <x:c r="A97" s="17" t="str">
        <x:v>BUS029</x:v>
      </x:c>
      <x:c r="B97" s="17" t="str">
        <x:v>筛选最新报告期经营现金流为正且净利润为正的公司。</x:v>
      </x:c>
      <x:c r="C97" s="17" t="n">
        <x:v>2</x:v>
      </x:c>
      <x:c r="D97" s="17" t="str"/>
      <x:c r="E97" s="17" t="str">
        <x:v>工具调用</x:v>
      </x:c>
      <x:c r="F97" s="17" t="str">
        <x:v>finance_query</x:v>
      </x:c>
      <x:c r="G97" s="17" t="str">
        <x:v>r1 = stock.financial_3_table(filter = "cashflow_operating &gt; 0 and net_profit &gt; 0", order = "report_date desc", limit = 1) -&gt; code, name, report_date, report_period, cashflow_operating, net_profit</x:v>
      </x:c>
      <x:c r="H97" s="17" t="str"/>
      <x:c r="I97" s="17" t="str">
        <x:v>合理操作</x:v>
      </x:c>
      <x:c r="J97" s="17" t="str">
        <x:v>是</x:v>
      </x:c>
      <x:c r="K97" s="18"/>
      <x:c r="L97" s="17" t="str">
        <x:v>否</x:v>
      </x:c>
      <x:c r="M97" s="17" t="str">
        <x:v>否</x:v>
      </x:c>
      <x:c r="N97" s="17" t="str">
        <x:v>target_api_executed</x:v>
      </x:c>
      <x:c r="O97" s="17" t="str">
        <x:v>expected_dataview_coverage</x:v>
      </x:c>
      <x:c r="P97" s="17" t="str">
        <x:v>session://financial_qa_33499cfa81de4d06_2724_b4a406f41a50/vars/v1</x:v>
      </x:c>
      <x:c r="Q97" s="17" t="str"/>
      <x:c r="R97" s="17" t="str">
        <x:v>stock.financial_3_table</x:v>
      </x:c>
      <x:c r="S97" s="17" t="str"/>
      <x:c r="T97" s="17" t="str"/>
      <x:c r="U97" s="17" t="str">
        <x:v>r1</x:v>
      </x:c>
      <x:c r="V97" s="30" t="n">
        <x:v>1</x:v>
      </x:c>
      <x:c r="W97" s="17" t="str">
        <x:v>high</x:v>
      </x:c>
    </x:row>
    <x:row r="98" ht="54" customHeight="1">
      <x:c r="A98" s="17" t="str">
        <x:v>BUS029</x:v>
      </x:c>
      <x:c r="B98" s="17" t="str">
        <x:v>筛选最新报告期经营现金流为正且净利润为正的公司。</x:v>
      </x:c>
      <x:c r="C98" s="17" t="n">
        <x:v>3</x:v>
      </x:c>
      <x:c r="D98" s="17" t="str"/>
      <x:c r="E98" s="17" t="str">
        <x:v>工具调用</x:v>
      </x:c>
      <x:c r="F98" s="17" t="str">
        <x:v>finance_query</x:v>
      </x:c>
      <x:c r="G98" s="17" t="str">
        <x:v>r2 = stock.financial_3_table(filter = "report_period = 2026-06-30 and cashflow_operating &gt; 0 and net_profit &gt; 0", limit = 20) -&gt; code, name, cashflow_operating, net_profit</x:v>
      </x:c>
      <x:c r="H98" s="17" t="str"/>
      <x:c r="I98" s="17" t="str">
        <x:v>合理操作</x:v>
      </x:c>
      <x:c r="J98" s="17" t="str">
        <x:v>是</x:v>
      </x:c>
      <x:c r="K98" s="18"/>
      <x:c r="L98" s="17" t="str">
        <x:v>否</x:v>
      </x:c>
      <x:c r="M98" s="17" t="str">
        <x:v>否</x:v>
      </x:c>
      <x:c r="N98" s="17" t="str">
        <x:v>target_api_executed</x:v>
      </x:c>
      <x:c r="O98" s="17" t="str">
        <x:v>expected_dataview_coverage</x:v>
      </x:c>
      <x:c r="P98" s="17" t="str">
        <x:v>session://financial_qa_33499cfa81de4d06_2724_b4a406f41a50/vars/v2</x:v>
      </x:c>
      <x:c r="Q98" s="17" t="str"/>
      <x:c r="R98" s="17" t="str">
        <x:v>stock.financial_3_table</x:v>
      </x:c>
      <x:c r="S98" s="17" t="str"/>
      <x:c r="T98" s="17" t="str"/>
      <x:c r="U98" s="17" t="str">
        <x:v>r2</x:v>
      </x:c>
      <x:c r="V98" s="30" t="n">
        <x:v>20</x:v>
      </x:c>
      <x:c r="W98" s="17" t="str">
        <x:v>high</x:v>
      </x:c>
    </x:row>
    <x:row r="99" ht="54" customHeight="1">
      <x:c r="A99" s="17" t="str">
        <x:v>BUS029</x:v>
      </x:c>
      <x:c r="B99" s="17" t="str">
        <x:v>筛选最新报告期经营现金流为正且净利润为正的公司。</x:v>
      </x:c>
      <x:c r="C99" s="17" t="n">
        <x:v>4</x:v>
      </x:c>
      <x:c r="D99" s="17" t="str"/>
      <x:c r="E99" s="17" t="str">
        <x:v>工具调用</x:v>
      </x:c>
      <x:c r="F99" s="17" t="str">
        <x:v>load_finance_result</x:v>
      </x:c>
      <x:c r="G99" s="17" t="str"/>
      <x:c r="H99" s="17" t="str"/>
      <x:c r="I99" s="17" t="str">
        <x:v>合理操作</x:v>
      </x:c>
      <x:c r="J99" s="17" t="str">
        <x:v>是</x:v>
      </x:c>
      <x:c r="K99" s="18"/>
      <x:c r="L99" s="17" t="str">
        <x:v>否</x:v>
      </x:c>
      <x:c r="M99" s="17" t="str">
        <x:v>否</x:v>
      </x:c>
      <x:c r="N99" s="17" t="str">
        <x:v>load_truncated_result</x:v>
      </x:c>
      <x:c r="O99" s="17" t="str">
        <x:v>sample_incomplete_requires_full_result</x:v>
      </x:c>
      <x:c r="P99" s="17" t="str">
        <x:v>session://financial_qa_33499cfa81de4d06_2724_b4a406f41a50/vars/v2</x:v>
      </x:c>
      <x:c r="Q99" s="17" t="str"/>
      <x:c r="R99" s="17" t="str"/>
      <x:c r="S99" s="17" t="str"/>
      <x:c r="T99" s="17" t="str"/>
      <x:c r="U99" s="17" t="str"/>
      <x:c r="V99" s="30"/>
      <x:c r="W99" s="17" t="str">
        <x:v>high</x:v>
      </x:c>
    </x:row>
    <x:row r="100" ht="54" customHeight="1">
      <x:c r="A100" s="17" t="str">
        <x:v>BUS030</x:v>
      </x:c>
      <x:c r="B100" s="17" t="str">
        <x:v>最新报告期净利率最高的前20家公司。</x:v>
      </x:c>
      <x:c r="C100" s="17" t="n">
        <x:v>1</x:v>
      </x:c>
      <x:c r="D100" s="17" t="str"/>
      <x:c r="E100" s="17" t="str">
        <x:v>工具调用</x:v>
      </x:c>
      <x:c r="F100" s="17" t="str">
        <x:v>read_finance_catalog</x:v>
      </x:c>
      <x:c r="G100" s="17" t="str"/>
      <x:c r="H100" s="17" t="str"/>
      <x:c r="I100" s="17" t="str">
        <x:v>合理操作</x:v>
      </x:c>
      <x:c r="J100" s="17" t="str">
        <x:v>是</x:v>
      </x:c>
      <x:c r="K100" s="18"/>
      <x:c r="L100" s="17" t="str">
        <x:v>否</x:v>
      </x:c>
      <x:c r="M100" s="17" t="str">
        <x:v>否</x:v>
      </x:c>
      <x:c r="N100" s="17" t="str">
        <x:v>target_catalog_located</x:v>
      </x:c>
      <x:c r="O100" s="17" t="str">
        <x:v>expected_dataview_catalog</x:v>
      </x:c>
      <x:c r="P100" s="17" t="str"/>
      <x:c r="Q100" s="17" t="str"/>
      <x:c r="R100" s="17" t="str"/>
      <x:c r="S100" s="17" t="str">
        <x:v>stock</x:v>
      </x:c>
      <x:c r="T100" s="17" t="str">
        <x:v>financial_3_table</x:v>
      </x:c>
      <x:c r="U100" s="17" t="str"/>
      <x:c r="V100" s="30"/>
      <x:c r="W100" s="17" t="str">
        <x:v>high</x:v>
      </x:c>
    </x:row>
    <x:row r="101" ht="54" customHeight="1">
      <x:c r="A101" s="17" t="str">
        <x:v>BUS030</x:v>
      </x:c>
      <x:c r="B101" s="17" t="str">
        <x:v>最新报告期净利率最高的前20家公司。</x:v>
      </x:c>
      <x:c r="C101" s="17" t="n">
        <x:v>2</x:v>
      </x:c>
      <x:c r="D101" s="17" t="str"/>
      <x:c r="E101" s="17" t="str">
        <x:v>工具调用</x:v>
      </x:c>
      <x:c r="F101" s="17" t="str">
        <x:v>finance_query</x:v>
      </x:c>
      <x:c r="G101" s="17" t="str">
        <x:v>r1 = stock.financial_3_table(order = "report_period desc", limit = 5) -&gt; code, name, report_period, net_margin</x:v>
      </x:c>
      <x:c r="H101" s="17" t="str"/>
      <x:c r="I101" s="17" t="str">
        <x:v>合理操作</x:v>
      </x:c>
      <x:c r="J101" s="17" t="str">
        <x:v>是</x:v>
      </x:c>
      <x:c r="K101" s="18"/>
      <x:c r="L101" s="17" t="str">
        <x:v>否</x:v>
      </x:c>
      <x:c r="M101" s="17" t="str">
        <x:v>否</x:v>
      </x:c>
      <x:c r="N101" s="17" t="str">
        <x:v>target_api_executed</x:v>
      </x:c>
      <x:c r="O101" s="17" t="str">
        <x:v>expected_dataview_coverage</x:v>
      </x:c>
      <x:c r="P101" s="17" t="str">
        <x:v>session://financial_qa_33499cfa81de4d06_2725_1f82e6db8625/vars/v1</x:v>
      </x:c>
      <x:c r="Q101" s="17" t="str"/>
      <x:c r="R101" s="17" t="str">
        <x:v>stock.financial_3_table</x:v>
      </x:c>
      <x:c r="S101" s="17" t="str"/>
      <x:c r="T101" s="17" t="str"/>
      <x:c r="U101" s="17" t="str">
        <x:v>r1</x:v>
      </x:c>
      <x:c r="V101" s="30" t="n">
        <x:v>5</x:v>
      </x:c>
      <x:c r="W101" s="17" t="str">
        <x:v>high</x:v>
      </x:c>
    </x:row>
    <x:row r="102" ht="54" customHeight="1">
      <x:c r="A102" s="17" t="str">
        <x:v>BUS030</x:v>
      </x:c>
      <x:c r="B102" s="17" t="str">
        <x:v>最新报告期净利率最高的前20家公司。</x:v>
      </x:c>
      <x:c r="C102" s="17" t="n">
        <x:v>3</x:v>
      </x:c>
      <x:c r="D102" s="17" t="str"/>
      <x:c r="E102" s="17" t="str">
        <x:v>工具调用</x:v>
      </x:c>
      <x:c r="F102" s="17" t="str">
        <x:v>finance_query</x:v>
      </x:c>
      <x:c r="G102" s="17" t="str">
        <x:v>r2 = stock.financial_3_table(filter = "report_period = 2026-06-30", order = "net_margin desc", limit = 20) -&gt; code, name, report_period, net_margin, revenue, net_profit</x:v>
      </x:c>
      <x:c r="H102" s="17" t="str"/>
      <x:c r="I102" s="17" t="str">
        <x:v>合理操作</x:v>
      </x:c>
      <x:c r="J102" s="17" t="str">
        <x:v>是</x:v>
      </x:c>
      <x:c r="K102" s="18"/>
      <x:c r="L102" s="17" t="str">
        <x:v>否</x:v>
      </x:c>
      <x:c r="M102" s="17" t="str">
        <x:v>否</x:v>
      </x:c>
      <x:c r="N102" s="17" t="str">
        <x:v>target_api_executed</x:v>
      </x:c>
      <x:c r="O102" s="17" t="str">
        <x:v>expected_dataview_coverage</x:v>
      </x:c>
      <x:c r="P102" s="17" t="str">
        <x:v>session://financial_qa_33499cfa81de4d06_2725_1f82e6db8625/vars/v2</x:v>
      </x:c>
      <x:c r="Q102" s="17" t="str"/>
      <x:c r="R102" s="17" t="str">
        <x:v>stock.financial_3_table</x:v>
      </x:c>
      <x:c r="S102" s="17" t="str"/>
      <x:c r="T102" s="17" t="str"/>
      <x:c r="U102" s="17" t="str">
        <x:v>r2</x:v>
      </x:c>
      <x:c r="V102" s="30" t="n">
        <x:v>20</x:v>
      </x:c>
      <x:c r="W102" s="17" t="str">
        <x:v>high</x:v>
      </x:c>
    </x:row>
    <x:row r="103" ht="54" customHeight="1">
      <x:c r="A103" s="17" t="str">
        <x:v>BUS030</x:v>
      </x:c>
      <x:c r="B103" s="17" t="str">
        <x:v>最新报告期净利率最高的前20家公司。</x:v>
      </x:c>
      <x:c r="C103" s="17" t="n">
        <x:v>4</x:v>
      </x:c>
      <x:c r="D103" s="17" t="str"/>
      <x:c r="E103" s="17" t="str">
        <x:v>工具调用</x:v>
      </x:c>
      <x:c r="F103" s="17" t="str">
        <x:v>load_finance_result</x:v>
      </x:c>
      <x:c r="G103" s="17" t="str"/>
      <x:c r="H103" s="17" t="str"/>
      <x:c r="I103" s="17" t="str">
        <x:v>合理操作</x:v>
      </x:c>
      <x:c r="J103" s="17" t="str">
        <x:v>是</x:v>
      </x:c>
      <x:c r="K103" s="18"/>
      <x:c r="L103" s="17" t="str">
        <x:v>否</x:v>
      </x:c>
      <x:c r="M103" s="17" t="str">
        <x:v>否</x:v>
      </x:c>
      <x:c r="N103" s="17" t="str">
        <x:v>load_truncated_result</x:v>
      </x:c>
      <x:c r="O103" s="17" t="str">
        <x:v>sample_incomplete_requires_full_result</x:v>
      </x:c>
      <x:c r="P103" s="17" t="str">
        <x:v>session://financial_qa_33499cfa81de4d06_2725_1f82e6db8625/vars/v2</x:v>
      </x:c>
      <x:c r="Q103" s="17" t="str"/>
      <x:c r="R103" s="17" t="str"/>
      <x:c r="S103" s="17" t="str"/>
      <x:c r="T103" s="17" t="str"/>
      <x:c r="U103" s="17" t="str"/>
      <x:c r="V103" s="30"/>
      <x:c r="W103" s="17" t="str">
        <x:v>high</x:v>
      </x:c>
    </x:row>
    <x:row r="104" ht="54" customHeight="1">
      <x:c r="A104" s="17" t="str">
        <x:v>BUS031</x:v>
      </x:c>
      <x:c r="B104" s="17" t="str">
        <x:v>贵州茅台最新融资余额、融资买入额和融资偿还额是多少？</x:v>
      </x:c>
      <x:c r="C104" s="17" t="n">
        <x:v>1</x:v>
      </x:c>
      <x:c r="D104" s="17" t="str"/>
      <x:c r="E104" s="17" t="str">
        <x:v>工具调用</x:v>
      </x:c>
      <x:c r="F104" s="17" t="str">
        <x:v>read_finance_catalog</x:v>
      </x:c>
      <x:c r="G104" s="17" t="str"/>
      <x:c r="H104" s="17" t="str"/>
      <x:c r="I104" s="17" t="str">
        <x:v>合理操作</x:v>
      </x:c>
      <x:c r="J104" s="17" t="str">
        <x:v>是</x:v>
      </x:c>
      <x:c r="K104" s="18"/>
      <x:c r="L104" s="17" t="str">
        <x:v>否</x:v>
      </x:c>
      <x:c r="M104" s="17" t="str">
        <x:v>否</x:v>
      </x:c>
      <x:c r="N104" s="17" t="str">
        <x:v>target_catalog_located</x:v>
      </x:c>
      <x:c r="O104" s="17" t="str">
        <x:v>expected_dataview_catalog</x:v>
      </x:c>
      <x:c r="P104" s="17" t="str"/>
      <x:c r="Q104" s="17" t="str"/>
      <x:c r="R104" s="17" t="str"/>
      <x:c r="S104" s="17" t="str">
        <x:v>stock</x:v>
      </x:c>
      <x:c r="T104" s="17" t="str">
        <x:v>margin</x:v>
      </x:c>
      <x:c r="U104" s="17" t="str"/>
      <x:c r="V104" s="30"/>
      <x:c r="W104" s="17" t="str">
        <x:v>high</x:v>
      </x:c>
    </x:row>
    <x:row r="105" ht="54" customHeight="1">
      <x:c r="A105" s="17" t="str">
        <x:v>BUS031</x:v>
      </x:c>
      <x:c r="B105" s="17" t="str">
        <x:v>贵州茅台最新融资余额、融资买入额和融资偿还额是多少？</x:v>
      </x:c>
      <x:c r="C105" s="17" t="n">
        <x:v>2</x:v>
      </x:c>
      <x:c r="D105" s="17" t="str"/>
      <x:c r="E105" s="17" t="str">
        <x:v>工具调用</x:v>
      </x:c>
      <x:c r="F105" s="17" t="str">
        <x:v>finance_query</x:v>
      </x:c>
      <x:c r="G105" s="17" t="str">
        <x:v>r1 = stock.margin(filter = "code = 600519.SH", order = "tradedate desc", limit = 1, realtime = 0) -&gt; code, name, tradedate, financing_balance, financing_buy, financing_repay</x:v>
      </x:c>
      <x:c r="H105" s="17" t="str"/>
      <x:c r="I105" s="17" t="str">
        <x:v>合理操作</x:v>
      </x:c>
      <x:c r="J105" s="17" t="str">
        <x:v>是</x:v>
      </x:c>
      <x:c r="K105" s="18"/>
      <x:c r="L105" s="17" t="str">
        <x:v>否</x:v>
      </x:c>
      <x:c r="M105" s="17" t="str">
        <x:v>否</x:v>
      </x:c>
      <x:c r="N105" s="17" t="str">
        <x:v>target_api_executed</x:v>
      </x:c>
      <x:c r="O105" s="17" t="str">
        <x:v>expected_dataview_coverage</x:v>
      </x:c>
      <x:c r="P105" s="17" t="str">
        <x:v>session://financial_qa_33499cfa81de4d06_2726_c3b26bb8ed6d/vars/v1</x:v>
      </x:c>
      <x:c r="Q105" s="17" t="str"/>
      <x:c r="R105" s="17" t="str">
        <x:v>stock.margin</x:v>
      </x:c>
      <x:c r="S105" s="17" t="str"/>
      <x:c r="T105" s="17" t="str"/>
      <x:c r="U105" s="17" t="str">
        <x:v>r1</x:v>
      </x:c>
      <x:c r="V105" s="30" t="n">
        <x:v>1</x:v>
      </x:c>
      <x:c r="W105" s="17" t="str">
        <x:v>high</x:v>
      </x:c>
    </x:row>
    <x:row r="106" ht="54" customHeight="1">
      <x:c r="A106" s="17" t="str">
        <x:v>BUS032</x:v>
      </x:c>
      <x:c r="B106" s="17" t="str">
        <x:v>最新融资余额最高的前20只股票有哪些？</x:v>
      </x:c>
      <x:c r="C106" s="17" t="n">
        <x:v>1</x:v>
      </x:c>
      <x:c r="D106" s="17" t="str"/>
      <x:c r="E106" s="17" t="str">
        <x:v>工具调用</x:v>
      </x:c>
      <x:c r="F106" s="17" t="str">
        <x:v>read_finance_catalog</x:v>
      </x:c>
      <x:c r="G106" s="17" t="str"/>
      <x:c r="H106" s="17" t="str"/>
      <x:c r="I106" s="17" t="str">
        <x:v>合理操作</x:v>
      </x:c>
      <x:c r="J106" s="17" t="str">
        <x:v>是</x:v>
      </x:c>
      <x:c r="K106" s="18"/>
      <x:c r="L106" s="17" t="str">
        <x:v>否</x:v>
      </x:c>
      <x:c r="M106" s="17" t="str">
        <x:v>否</x:v>
      </x:c>
      <x:c r="N106" s="17" t="str">
        <x:v>target_catalog_located</x:v>
      </x:c>
      <x:c r="O106" s="17" t="str">
        <x:v>expected_dataview_catalog</x:v>
      </x:c>
      <x:c r="P106" s="17" t="str"/>
      <x:c r="Q106" s="17" t="str"/>
      <x:c r="R106" s="17" t="str"/>
      <x:c r="S106" s="17" t="str">
        <x:v>stock</x:v>
      </x:c>
      <x:c r="T106" s="17" t="str">
        <x:v>margin</x:v>
      </x:c>
      <x:c r="U106" s="17" t="str"/>
      <x:c r="V106" s="30"/>
      <x:c r="W106" s="17" t="str">
        <x:v>high</x:v>
      </x:c>
    </x:row>
    <x:row r="107" ht="54" customHeight="1">
      <x:c r="A107" s="17" t="str">
        <x:v>BUS032</x:v>
      </x:c>
      <x:c r="B107" s="17" t="str">
        <x:v>最新融资余额最高的前20只股票有哪些？</x:v>
      </x:c>
      <x:c r="C107" s="17" t="n">
        <x:v>2</x:v>
      </x:c>
      <x:c r="D107" s="17" t="str"/>
      <x:c r="E107" s="17" t="str">
        <x:v>工具调用</x:v>
      </x:c>
      <x:c r="F107" s="17" t="str">
        <x:v>finance_query</x:v>
      </x:c>
      <x:c r="G107" s="17" t="str">
        <x:v>r1 = stock.margin(filter = "tradedate = -1", order = "financing_balance desc", limit = 20, realtime = 0) -&gt; code, name, tradedate, financing_balance, margin_balance, financing_balance_float_mv_ratio</x:v>
      </x:c>
      <x:c r="H107" s="17" t="str"/>
      <x:c r="I107" s="17" t="str">
        <x:v>合理操作</x:v>
      </x:c>
      <x:c r="J107" s="17" t="str">
        <x:v>是</x:v>
      </x:c>
      <x:c r="K107" s="18"/>
      <x:c r="L107" s="17" t="str">
        <x:v>否</x:v>
      </x:c>
      <x:c r="M107" s="17" t="str">
        <x:v>否</x:v>
      </x:c>
      <x:c r="N107" s="17" t="str">
        <x:v>target_api_executed</x:v>
      </x:c>
      <x:c r="O107" s="17" t="str">
        <x:v>expected_dataview_coverage</x:v>
      </x:c>
      <x:c r="P107" s="17" t="str">
        <x:v>session://financial_qa_33499cfa81de4d06_2727_ee0dc58d0d3e/vars/v1</x:v>
      </x:c>
      <x:c r="Q107" s="17" t="str"/>
      <x:c r="R107" s="17" t="str">
        <x:v>stock.margin</x:v>
      </x:c>
      <x:c r="S107" s="17" t="str"/>
      <x:c r="T107" s="17" t="str"/>
      <x:c r="U107" s="17" t="str">
        <x:v>r1</x:v>
      </x:c>
      <x:c r="V107" s="30" t="n">
        <x:v>0</x:v>
      </x:c>
      <x:c r="W107" s="17" t="str">
        <x:v>high</x:v>
      </x:c>
    </x:row>
    <x:row r="108" ht="54" customHeight="1">
      <x:c r="A108" s="17" t="str">
        <x:v>BUS032</x:v>
      </x:c>
      <x:c r="B108" s="17" t="str">
        <x:v>最新融资余额最高的前20只股票有哪些？</x:v>
      </x:c>
      <x:c r="C108" s="17" t="n">
        <x:v>3</x:v>
      </x:c>
      <x:c r="D108" s="17" t="str"/>
      <x:c r="E108" s="17" t="str">
        <x:v>工具调用</x:v>
      </x:c>
      <x:c r="F108" s="17" t="str">
        <x:v>finance_query</x:v>
      </x:c>
      <x:c r="G108" s="17" t="str">
        <x:v>r2 = stock.margin(order = "tradedate desc", limit = 5, realtime = 0) -&gt; code, name, tradedate, financing_balance</x:v>
      </x:c>
      <x:c r="H108" s="17" t="str"/>
      <x:c r="I108" s="17" t="str">
        <x:v>设计浪费</x:v>
      </x:c>
      <x:c r="J108" s="17" t="str">
        <x:v>否</x:v>
      </x:c>
      <x:c r="K108" s="18"/>
      <x:c r="L108" s="17" t="str">
        <x:v>否</x:v>
      </x:c>
      <x:c r="M108" s="17" t="str">
        <x:v>否</x:v>
      </x:c>
      <x:c r="N108" s="17" t="str">
        <x:v>requery_after_terminal_zero</x:v>
      </x:c>
      <x:c r="O108" s="17" t="str">
        <x:v>terminal_zero_requery</x:v>
      </x:c>
      <x:c r="P108" s="17" t="str">
        <x:v>session://financial_qa_33499cfa81de4d06_2727_ee0dc58d0d3e/vars/v2</x:v>
      </x:c>
      <x:c r="Q108" s="17" t="str"/>
      <x:c r="R108" s="17" t="str">
        <x:v>stock.margin</x:v>
      </x:c>
      <x:c r="S108" s="17" t="str"/>
      <x:c r="T108" s="17" t="str"/>
      <x:c r="U108" s="17" t="str">
        <x:v>r2</x:v>
      </x:c>
      <x:c r="V108" s="30" t="n">
        <x:v>5</x:v>
      </x:c>
      <x:c r="W108" s="17" t="str">
        <x:v>high</x:v>
      </x:c>
    </x:row>
    <x:row r="109" ht="54" customHeight="1">
      <x:c r="A109" s="17" t="str">
        <x:v>BUS032</x:v>
      </x:c>
      <x:c r="B109" s="17" t="str">
        <x:v>最新融资余额最高的前20只股票有哪些？</x:v>
      </x:c>
      <x:c r="C109" s="17" t="n">
        <x:v>4</x:v>
      </x:c>
      <x:c r="D109" s="17" t="str"/>
      <x:c r="E109" s="17" t="str">
        <x:v>工具调用</x:v>
      </x:c>
      <x:c r="F109" s="17" t="str">
        <x:v>finance_query</x:v>
      </x:c>
      <x:c r="G109" s="17" t="str">
        <x:v>r3 = stock.margin(filter = "tradedate = 2026-07-30", order = "financing_balance desc", limit = 20, realtime = 0) -&gt; code, name, tradedate, financing_balance, margin_balance, financing_balance_float_mv_ratio</x:v>
      </x:c>
      <x:c r="H109" s="17" t="str"/>
      <x:c r="I109" s="17" t="str">
        <x:v>设计浪费</x:v>
      </x:c>
      <x:c r="J109" s="17" t="str">
        <x:v>否</x:v>
      </x:c>
      <x:c r="K109" s="18"/>
      <x:c r="L109" s="17" t="str">
        <x:v>否</x:v>
      </x:c>
      <x:c r="M109" s="17" t="str">
        <x:v>否</x:v>
      </x:c>
      <x:c r="N109" s="17" t="str">
        <x:v>execution_error</x:v>
      </x:c>
      <x:c r="O109" s="17" t="str">
        <x:v>query_execution_error</x:v>
      </x:c>
      <x:c r="P109" s="17" t="str"/>
      <x:c r="Q109" s="17" t="str"/>
      <x:c r="R109" s="17" t="str">
        <x:v>stock.margin</x:v>
      </x:c>
      <x:c r="S109" s="17" t="str"/>
      <x:c r="T109" s="17" t="str"/>
      <x:c r="U109" s="17" t="str">
        <x:v>r3</x:v>
      </x:c>
      <x:c r="V109" s="30"/>
      <x:c r="W109" s="17" t="str">
        <x:v>high</x:v>
      </x:c>
    </x:row>
    <x:row r="110" ht="54" customHeight="1">
      <x:c r="A110" s="17" t="str">
        <x:v>BUS032</x:v>
      </x:c>
      <x:c r="B110" s="17" t="str">
        <x:v>最新融资余额最高的前20只股票有哪些？</x:v>
      </x:c>
      <x:c r="C110" s="17" t="n">
        <x:v>5</x:v>
      </x:c>
      <x:c r="D110" s="17" t="str"/>
      <x:c r="E110" s="17" t="str">
        <x:v>工具调用</x:v>
      </x:c>
      <x:c r="F110" s="17" t="str">
        <x:v>finance_query</x:v>
      </x:c>
      <x:c r="G110" s="17" t="str">
        <x:v>r3 = stock.margin(filter = "tradedate = '2026-07-30'", order = "financing_balance desc", limit = 20, realtime = 0) -&gt; code, name, tradedate, financing_balance, margin_balance, financing_balance_float_mv_ratio</x:v>
      </x:c>
      <x:c r="H110" s="17" t="str"/>
      <x:c r="I110" s="17" t="str">
        <x:v>可解释探索</x:v>
      </x:c>
      <x:c r="J110" s="17" t="str">
        <x:v>是</x:v>
      </x:c>
      <x:c r="K110" s="18"/>
      <x:c r="L110" s="17" t="str">
        <x:v>否</x:v>
      </x:c>
      <x:c r="M110" s="17" t="str">
        <x:v>否</x:v>
      </x:c>
      <x:c r="N110" s="17" t="str">
        <x:v>changed_query_after_failure</x:v>
      </x:c>
      <x:c r="O110" s="17" t="str">
        <x:v>successful_same_api_recovery</x:v>
      </x:c>
      <x:c r="P110" s="17" t="str">
        <x:v>session://financial_qa_33499cfa81de4d06_2727_ee0dc58d0d3e/vars/v3</x:v>
      </x:c>
      <x:c r="Q110" s="17" t="str"/>
      <x:c r="R110" s="17" t="str">
        <x:v>stock.margin</x:v>
      </x:c>
      <x:c r="S110" s="17" t="str"/>
      <x:c r="T110" s="17" t="str"/>
      <x:c r="U110" s="17" t="str">
        <x:v>r3</x:v>
      </x:c>
      <x:c r="V110" s="30" t="n">
        <x:v>20</x:v>
      </x:c>
      <x:c r="W110" s="17" t="str">
        <x:v>medium</x:v>
      </x:c>
    </x:row>
    <x:row r="111" ht="54" customHeight="1">
      <x:c r="A111" s="17" t="str">
        <x:v>BUS032</x:v>
      </x:c>
      <x:c r="B111" s="17" t="str">
        <x:v>最新融资余额最高的前20只股票有哪些？</x:v>
      </x:c>
      <x:c r="C111" s="17" t="n">
        <x:v>6</x:v>
      </x:c>
      <x:c r="D111" s="17" t="str"/>
      <x:c r="E111" s="17" t="str">
        <x:v>工具调用</x:v>
      </x:c>
      <x:c r="F111" s="17" t="str">
        <x:v>load_finance_result</x:v>
      </x:c>
      <x:c r="G111" s="17" t="str"/>
      <x:c r="H111" s="17" t="str"/>
      <x:c r="I111" s="17" t="str">
        <x:v>合理操作</x:v>
      </x:c>
      <x:c r="J111" s="17" t="str">
        <x:v>是</x:v>
      </x:c>
      <x:c r="K111" s="18"/>
      <x:c r="L111" s="17" t="str">
        <x:v>否</x:v>
      </x:c>
      <x:c r="M111" s="17" t="str">
        <x:v>否</x:v>
      </x:c>
      <x:c r="N111" s="17" t="str">
        <x:v>load_truncated_result</x:v>
      </x:c>
      <x:c r="O111" s="17" t="str">
        <x:v>sample_incomplete_requires_full_result</x:v>
      </x:c>
      <x:c r="P111" s="17" t="str">
        <x:v>session://financial_qa_33499cfa81de4d06_2727_ee0dc58d0d3e/vars/v3</x:v>
      </x:c>
      <x:c r="Q111" s="17" t="str"/>
      <x:c r="R111" s="17" t="str"/>
      <x:c r="S111" s="17" t="str"/>
      <x:c r="T111" s="17" t="str"/>
      <x:c r="U111" s="17" t="str"/>
      <x:c r="V111" s="30"/>
      <x:c r="W111" s="17" t="str">
        <x:v>high</x:v>
      </x:c>
    </x:row>
    <x:row r="112" ht="54" customHeight="1">
      <x:c r="A112" s="17" t="str">
        <x:v>BUS033</x:v>
      </x:c>
      <x:c r="B112" s="17" t="str">
        <x:v>近5个交易日融资净买入合计最高的前10只股票。</x:v>
      </x:c>
      <x:c r="C112" s="17" t="n">
        <x:v>1</x:v>
      </x:c>
      <x:c r="D112" s="17" t="str"/>
      <x:c r="E112" s="17" t="str">
        <x:v>工具调用</x:v>
      </x:c>
      <x:c r="F112" s="17" t="str">
        <x:v>read_finance_catalog</x:v>
      </x:c>
      <x:c r="G112" s="17" t="str"/>
      <x:c r="H112" s="17" t="str"/>
      <x:c r="I112" s="17" t="str">
        <x:v>合理操作</x:v>
      </x:c>
      <x:c r="J112" s="17" t="str">
        <x:v>是</x:v>
      </x:c>
      <x:c r="K112" s="18"/>
      <x:c r="L112" s="17" t="str">
        <x:v>否</x:v>
      </x:c>
      <x:c r="M112" s="17" t="str">
        <x:v>否</x:v>
      </x:c>
      <x:c r="N112" s="17" t="str">
        <x:v>target_catalog_located</x:v>
      </x:c>
      <x:c r="O112" s="17" t="str">
        <x:v>expected_dataview_catalog</x:v>
      </x:c>
      <x:c r="P112" s="17" t="str"/>
      <x:c r="Q112" s="17" t="str"/>
      <x:c r="R112" s="17" t="str"/>
      <x:c r="S112" s="17" t="str">
        <x:v>stock</x:v>
      </x:c>
      <x:c r="T112" s="17" t="str">
        <x:v>margin</x:v>
      </x:c>
      <x:c r="U112" s="17" t="str"/>
      <x:c r="V112" s="30"/>
      <x:c r="W112" s="17" t="str">
        <x:v>high</x:v>
      </x:c>
    </x:row>
    <x:row r="113" ht="54" customHeight="1">
      <x:c r="A113" s="17" t="str">
        <x:v>BUS033</x:v>
      </x:c>
      <x:c r="B113" s="17" t="str">
        <x:v>近5个交易日融资净买入合计最高的前10只股票。</x:v>
      </x:c>
      <x:c r="C113" s="17" t="n">
        <x:v>2</x:v>
      </x:c>
      <x:c r="D113" s="17" t="str"/>
      <x:c r="E113" s="17" t="str">
        <x:v>工具调用</x:v>
      </x:c>
      <x:c r="F113" s="17" t="str">
        <x:v>finance_query</x:v>
      </x:c>
      <x:c r="G113" s="17" t="str">
        <x:v>r1 = stock.margin.kd_financing_net_buy_sum(k = 5, order = "value desc", limit = 10, realtime = 0) -&gt; code, name, value as financing_net_buy_5d</x:v>
      </x:c>
      <x:c r="H113" s="17" t="str"/>
      <x:c r="I113" s="17" t="str">
        <x:v>合理操作</x:v>
      </x:c>
      <x:c r="J113" s="17" t="str">
        <x:v>是</x:v>
      </x:c>
      <x:c r="K113" s="18"/>
      <x:c r="L113" s="17" t="str">
        <x:v>否</x:v>
      </x:c>
      <x:c r="M113" s="17" t="str">
        <x:v>否</x:v>
      </x:c>
      <x:c r="N113" s="17" t="str">
        <x:v>target_api_executed</x:v>
      </x:c>
      <x:c r="O113" s="17" t="str">
        <x:v>expected_dataview_coverage</x:v>
      </x:c>
      <x:c r="P113" s="17" t="str">
        <x:v>session://financial_qa_33499cfa81de4d06_2728_ef58e21b67d2/vars/v1</x:v>
      </x:c>
      <x:c r="Q113" s="17" t="str"/>
      <x:c r="R113" s="17" t="str">
        <x:v>stock.margin.kd_financing_net_buy_sum</x:v>
      </x:c>
      <x:c r="S113" s="17" t="str"/>
      <x:c r="T113" s="17" t="str"/>
      <x:c r="U113" s="17" t="str">
        <x:v>r1</x:v>
      </x:c>
      <x:c r="V113" s="30" t="n">
        <x:v>10</x:v>
      </x:c>
      <x:c r="W113" s="17" t="str">
        <x:v>high</x:v>
      </x:c>
    </x:row>
    <x:row r="114" ht="54" customHeight="1">
      <x:c r="A114" s="17" t="str">
        <x:v>BUS033</x:v>
      </x:c>
      <x:c r="B114" s="17" t="str">
        <x:v>近5个交易日融资净买入合计最高的前10只股票。</x:v>
      </x:c>
      <x:c r="C114" s="17" t="n">
        <x:v>3</x:v>
      </x:c>
      <x:c r="D114" s="17" t="str"/>
      <x:c r="E114" s="17" t="str">
        <x:v>工具调用</x:v>
      </x:c>
      <x:c r="F114" s="17" t="str">
        <x:v>load_finance_result</x:v>
      </x:c>
      <x:c r="G114" s="17" t="str"/>
      <x:c r="H114" s="17" t="str"/>
      <x:c r="I114" s="17" t="str">
        <x:v>合理操作</x:v>
      </x:c>
      <x:c r="J114" s="17" t="str">
        <x:v>是</x:v>
      </x:c>
      <x:c r="K114" s="18"/>
      <x:c r="L114" s="17" t="str">
        <x:v>否</x:v>
      </x:c>
      <x:c r="M114" s="17" t="str">
        <x:v>否</x:v>
      </x:c>
      <x:c r="N114" s="17" t="str">
        <x:v>load_truncated_result</x:v>
      </x:c>
      <x:c r="O114" s="17" t="str">
        <x:v>sample_incomplete_requires_full_result</x:v>
      </x:c>
      <x:c r="P114" s="17" t="str">
        <x:v>session://financial_qa_33499cfa81de4d06_2728_ef58e21b67d2/vars/v1</x:v>
      </x:c>
      <x:c r="Q114" s="17" t="str"/>
      <x:c r="R114" s="17" t="str"/>
      <x:c r="S114" s="17" t="str"/>
      <x:c r="T114" s="17" t="str"/>
      <x:c r="U114" s="17" t="str"/>
      <x:c r="V114" s="30"/>
      <x:c r="W114" s="17" t="str">
        <x:v>high</x:v>
      </x:c>
    </x:row>
    <x:row r="115" ht="54" customHeight="1">
      <x:c r="A115" s="17" t="str">
        <x:v>BUS034</x:v>
      </x:c>
      <x:c r="B115" s="17" t="str">
        <x:v>最新融券余量最高的前20只股票。</x:v>
      </x:c>
      <x:c r="C115" s="17" t="n">
        <x:v>1</x:v>
      </x:c>
      <x:c r="D115" s="17" t="str"/>
      <x:c r="E115" s="17" t="str">
        <x:v>工具调用</x:v>
      </x:c>
      <x:c r="F115" s="17" t="str">
        <x:v>read_finance_catalog</x:v>
      </x:c>
      <x:c r="G115" s="17" t="str"/>
      <x:c r="H115" s="17" t="str"/>
      <x:c r="I115" s="17" t="str">
        <x:v>合理操作</x:v>
      </x:c>
      <x:c r="J115" s="17" t="str">
        <x:v>是</x:v>
      </x:c>
      <x:c r="K115" s="18"/>
      <x:c r="L115" s="17" t="str">
        <x:v>否</x:v>
      </x:c>
      <x:c r="M115" s="17" t="str">
        <x:v>否</x:v>
      </x:c>
      <x:c r="N115" s="17" t="str">
        <x:v>target_catalog_located</x:v>
      </x:c>
      <x:c r="O115" s="17" t="str">
        <x:v>expected_dataview_catalog</x:v>
      </x:c>
      <x:c r="P115" s="17" t="str"/>
      <x:c r="Q115" s="17" t="str"/>
      <x:c r="R115" s="17" t="str"/>
      <x:c r="S115" s="17" t="str">
        <x:v>stock</x:v>
      </x:c>
      <x:c r="T115" s="17" t="str">
        <x:v>margin</x:v>
      </x:c>
      <x:c r="U115" s="17" t="str"/>
      <x:c r="V115" s="30"/>
      <x:c r="W115" s="17" t="str">
        <x:v>high</x:v>
      </x:c>
    </x:row>
    <x:row r="116" ht="54" customHeight="1">
      <x:c r="A116" s="17" t="str">
        <x:v>BUS034</x:v>
      </x:c>
      <x:c r="B116" s="17" t="str">
        <x:v>最新融券余量最高的前20只股票。</x:v>
      </x:c>
      <x:c r="C116" s="17" t="n">
        <x:v>2</x:v>
      </x:c>
      <x:c r="D116" s="17" t="str"/>
      <x:c r="E116" s="17" t="str">
        <x:v>工具调用</x:v>
      </x:c>
      <x:c r="F116" s="17" t="str">
        <x:v>finance_query</x:v>
      </x:c>
      <x:c r="G116" s="17" t="str">
        <x:v>r1 = stock.margin(filter = "tradedate = -1", order = "securities_lending_balancevol desc", limit = 20, realtime = 0) -&gt; code, name, tradedate, securities_lending_balancevol</x:v>
      </x:c>
      <x:c r="H116" s="17" t="str"/>
      <x:c r="I116" s="17" t="str">
        <x:v>合理操作</x:v>
      </x:c>
      <x:c r="J116" s="17" t="str">
        <x:v>是</x:v>
      </x:c>
      <x:c r="K116" s="18"/>
      <x:c r="L116" s="17" t="str">
        <x:v>否</x:v>
      </x:c>
      <x:c r="M116" s="17" t="str">
        <x:v>否</x:v>
      </x:c>
      <x:c r="N116" s="17" t="str">
        <x:v>target_api_executed</x:v>
      </x:c>
      <x:c r="O116" s="17" t="str">
        <x:v>expected_dataview_coverage</x:v>
      </x:c>
      <x:c r="P116" s="17" t="str">
        <x:v>session://financial_qa_33499cfa81de4d06_2729_b40522799ebb/vars/v1</x:v>
      </x:c>
      <x:c r="Q116" s="17" t="str"/>
      <x:c r="R116" s="17" t="str">
        <x:v>stock.margin</x:v>
      </x:c>
      <x:c r="S116" s="17" t="str"/>
      <x:c r="T116" s="17" t="str"/>
      <x:c r="U116" s="17" t="str">
        <x:v>r1</x:v>
      </x:c>
      <x:c r="V116" s="30" t="n">
        <x:v>0</x:v>
      </x:c>
      <x:c r="W116" s="17" t="str">
        <x:v>high</x:v>
      </x:c>
    </x:row>
    <x:row r="117" ht="54" customHeight="1">
      <x:c r="A117" s="17" t="str">
        <x:v>BUS035</x:v>
      </x:c>
      <x:c r="B117" s="17" t="str">
        <x:v>筛选融资余额占流通市值比例超过5%的股票。</x:v>
      </x:c>
      <x:c r="C117" s="17" t="n">
        <x:v>1</x:v>
      </x:c>
      <x:c r="D117" s="17" t="str"/>
      <x:c r="E117" s="17" t="str">
        <x:v>工具调用</x:v>
      </x:c>
      <x:c r="F117" s="17" t="str">
        <x:v>read_finance_catalog</x:v>
      </x:c>
      <x:c r="G117" s="17" t="str"/>
      <x:c r="H117" s="17" t="str"/>
      <x:c r="I117" s="17" t="str">
        <x:v>合理操作</x:v>
      </x:c>
      <x:c r="J117" s="17" t="str">
        <x:v>是</x:v>
      </x:c>
      <x:c r="K117" s="18"/>
      <x:c r="L117" s="17" t="str">
        <x:v>否</x:v>
      </x:c>
      <x:c r="M117" s="17" t="str">
        <x:v>否</x:v>
      </x:c>
      <x:c r="N117" s="17" t="str">
        <x:v>target_catalog_located</x:v>
      </x:c>
      <x:c r="O117" s="17" t="str">
        <x:v>expected_dataview_catalog</x:v>
      </x:c>
      <x:c r="P117" s="17" t="str"/>
      <x:c r="Q117" s="17" t="str"/>
      <x:c r="R117" s="17" t="str"/>
      <x:c r="S117" s="17" t="str">
        <x:v>stock</x:v>
      </x:c>
      <x:c r="T117" s="17" t="str">
        <x:v>margin</x:v>
      </x:c>
      <x:c r="U117" s="17" t="str"/>
      <x:c r="V117" s="30"/>
      <x:c r="W117" s="17" t="str">
        <x:v>high</x:v>
      </x:c>
    </x:row>
    <x:row r="118" ht="54" customHeight="1">
      <x:c r="A118" s="17" t="str">
        <x:v>BUS035</x:v>
      </x:c>
      <x:c r="B118" s="17" t="str">
        <x:v>筛选融资余额占流通市值比例超过5%的股票。</x:v>
      </x:c>
      <x:c r="C118" s="17" t="n">
        <x:v>2</x:v>
      </x:c>
      <x:c r="D118" s="17" t="str"/>
      <x:c r="E118" s="17" t="str">
        <x:v>工具调用</x:v>
      </x:c>
      <x:c r="F118" s="17" t="str">
        <x:v>read_finance_catalog</x:v>
      </x:c>
      <x:c r="G118" s="17" t="str"/>
      <x:c r="H118" s="17" t="str"/>
      <x:c r="I118" s="17" t="str">
        <x:v>合理操作</x:v>
      </x:c>
      <x:c r="J118" s="17" t="str">
        <x:v>是</x:v>
      </x:c>
      <x:c r="K118" s="18"/>
      <x:c r="L118" s="17" t="str">
        <x:v>否</x:v>
      </x:c>
      <x:c r="M118" s="17" t="str">
        <x:v>否</x:v>
      </x:c>
      <x:c r="N118" s="17" t="str">
        <x:v>subject_catalog_discovery</x:v>
      </x:c>
      <x:c r="O118" s="17" t="str">
        <x:v>expected_subject_catalog</x:v>
      </x:c>
      <x:c r="P118" s="17" t="str"/>
      <x:c r="Q118" s="17" t="str"/>
      <x:c r="R118" s="17" t="str"/>
      <x:c r="S118" s="17" t="str">
        <x:v>stock</x:v>
      </x:c>
      <x:c r="T118" s="17" t="str">
        <x:v>quote</x:v>
      </x:c>
      <x:c r="U118" s="17" t="str"/>
      <x:c r="V118" s="30"/>
      <x:c r="W118" s="17" t="str">
        <x:v>medium</x:v>
      </x:c>
    </x:row>
    <x:row r="119" ht="54" customHeight="1">
      <x:c r="A119" s="17" t="str">
        <x:v>BUS035</x:v>
      </x:c>
      <x:c r="B119" s="17" t="str">
        <x:v>筛选融资余额占流通市值比例超过5%的股票。</x:v>
      </x:c>
      <x:c r="C119" s="17" t="n">
        <x:v>3</x:v>
      </x:c>
      <x:c r="D119" s="17" t="str"/>
      <x:c r="E119" s="17" t="str">
        <x:v>工具调用</x:v>
      </x:c>
      <x:c r="F119" s="17" t="str">
        <x:v>finance_query</x:v>
      </x:c>
      <x:c r="G119" s="17" t="str">
        <x:v>r1 = stock.margin(filter = "financing_balance_float_mv_ratio &gt; 5 and tradedate = -1", order = "financing_balance_float_mv_ratio desc", limit = -1, realtime = 0) -&gt; code, name, tradedate, financing_balance, financing_balance_float_mv_ratio</x:v>
      </x:c>
      <x:c r="H119" s="17" t="str"/>
      <x:c r="I119" s="17" t="str">
        <x:v>合理操作</x:v>
      </x:c>
      <x:c r="J119" s="17" t="str">
        <x:v>是</x:v>
      </x:c>
      <x:c r="K119" s="18"/>
      <x:c r="L119" s="17" t="str">
        <x:v>否</x:v>
      </x:c>
      <x:c r="M119" s="17" t="str">
        <x:v>否</x:v>
      </x:c>
      <x:c r="N119" s="17" t="str">
        <x:v>target_api_executed</x:v>
      </x:c>
      <x:c r="O119" s="17" t="str">
        <x:v>expected_dataview_coverage</x:v>
      </x:c>
      <x:c r="P119" s="17" t="str">
        <x:v>session://financial_qa_33499cfa81de4d06_2730_0590f1784921/vars/v1</x:v>
      </x:c>
      <x:c r="Q119" s="17" t="str"/>
      <x:c r="R119" s="17" t="str">
        <x:v>stock.margin</x:v>
      </x:c>
      <x:c r="S119" s="17" t="str"/>
      <x:c r="T119" s="17" t="str"/>
      <x:c r="U119" s="17" t="str">
        <x:v>r1</x:v>
      </x:c>
      <x:c r="V119" s="30" t="n">
        <x:v>0</x:v>
      </x:c>
      <x:c r="W119" s="17" t="str">
        <x:v>high</x:v>
      </x:c>
    </x:row>
    <x:row r="120" ht="54" customHeight="1">
      <x:c r="A120" s="17" t="str">
        <x:v>BUS036</x:v>
      </x:c>
      <x:c r="B120" s="17" t="str">
        <x:v>最新融资偿还额最高的前20只股票。</x:v>
      </x:c>
      <x:c r="C120" s="17" t="n">
        <x:v>1</x:v>
      </x:c>
      <x:c r="D120" s="17" t="str"/>
      <x:c r="E120" s="17" t="str">
        <x:v>工具调用</x:v>
      </x:c>
      <x:c r="F120" s="17" t="str">
        <x:v>read_finance_catalog</x:v>
      </x:c>
      <x:c r="G120" s="17" t="str"/>
      <x:c r="H120" s="17" t="str"/>
      <x:c r="I120" s="17" t="str">
        <x:v>合理操作</x:v>
      </x:c>
      <x:c r="J120" s="17" t="str">
        <x:v>是</x:v>
      </x:c>
      <x:c r="K120" s="18"/>
      <x:c r="L120" s="17" t="str">
        <x:v>否</x:v>
      </x:c>
      <x:c r="M120" s="17" t="str">
        <x:v>否</x:v>
      </x:c>
      <x:c r="N120" s="17" t="str">
        <x:v>target_catalog_located</x:v>
      </x:c>
      <x:c r="O120" s="17" t="str">
        <x:v>expected_dataview_catalog</x:v>
      </x:c>
      <x:c r="P120" s="17" t="str"/>
      <x:c r="Q120" s="17" t="str"/>
      <x:c r="R120" s="17" t="str"/>
      <x:c r="S120" s="17" t="str">
        <x:v>stock</x:v>
      </x:c>
      <x:c r="T120" s="17" t="str">
        <x:v>margin</x:v>
      </x:c>
      <x:c r="U120" s="17" t="str"/>
      <x:c r="V120" s="30"/>
      <x:c r="W120" s="17" t="str">
        <x:v>high</x:v>
      </x:c>
    </x:row>
    <x:row r="121" ht="54" customHeight="1">
      <x:c r="A121" s="17" t="str">
        <x:v>BUS036</x:v>
      </x:c>
      <x:c r="B121" s="17" t="str">
        <x:v>最新融资偿还额最高的前20只股票。</x:v>
      </x:c>
      <x:c r="C121" s="17" t="n">
        <x:v>2</x:v>
      </x:c>
      <x:c r="D121" s="17" t="str"/>
      <x:c r="E121" s="17" t="str">
        <x:v>工具调用</x:v>
      </x:c>
      <x:c r="F121" s="17" t="str">
        <x:v>finance_query</x:v>
      </x:c>
      <x:c r="G121" s="17" t="str">
        <x:v>r1 = stock.margin(filter = "tradedate = -1", order = "financing_repay desc", limit = 20, realtime = 0) -&gt; code, name, tradedate, financing_repay, financing_buy, financing_net_buy</x:v>
      </x:c>
      <x:c r="H121" s="17" t="str"/>
      <x:c r="I121" s="17" t="str">
        <x:v>合理操作</x:v>
      </x:c>
      <x:c r="J121" s="17" t="str">
        <x:v>是</x:v>
      </x:c>
      <x:c r="K121" s="18"/>
      <x:c r="L121" s="17" t="str">
        <x:v>否</x:v>
      </x:c>
      <x:c r="M121" s="17" t="str">
        <x:v>否</x:v>
      </x:c>
      <x:c r="N121" s="17" t="str">
        <x:v>target_api_executed</x:v>
      </x:c>
      <x:c r="O121" s="17" t="str">
        <x:v>expected_dataview_coverage</x:v>
      </x:c>
      <x:c r="P121" s="17" t="str">
        <x:v>session://financial_qa_33499cfa81de4d06_2731_1b0694f488ce/vars/v1</x:v>
      </x:c>
      <x:c r="Q121" s="17" t="str"/>
      <x:c r="R121" s="17" t="str">
        <x:v>stock.margin</x:v>
      </x:c>
      <x:c r="S121" s="17" t="str"/>
      <x:c r="T121" s="17" t="str"/>
      <x:c r="U121" s="17" t="str">
        <x:v>r1</x:v>
      </x:c>
      <x:c r="V121" s="30" t="n">
        <x:v>0</x:v>
      </x:c>
      <x:c r="W121" s="17" t="str">
        <x:v>high</x:v>
      </x:c>
    </x:row>
    <x:row r="122" ht="54" customHeight="1">
      <x:c r="A122" s="17" t="str">
        <x:v>BUS036</x:v>
      </x:c>
      <x:c r="B122" s="17" t="str">
        <x:v>最新融资偿还额最高的前20只股票。</x:v>
      </x:c>
      <x:c r="C122" s="17" t="n">
        <x:v>3</x:v>
      </x:c>
      <x:c r="D122" s="17" t="str"/>
      <x:c r="E122" s="17" t="str">
        <x:v>工具调用</x:v>
      </x:c>
      <x:c r="F122" s="17" t="str">
        <x:v>finance_query</x:v>
      </x:c>
      <x:c r="G122" s="17" t="str">
        <x:v>r2 = stock.margin(order = "tradedate desc, financing_repay desc", limit = 20, realtime = 0) -&gt; code, name, tradedate, financing_repay, financing_buy, financing_net_buy</x:v>
      </x:c>
      <x:c r="H122" s="17" t="str"/>
      <x:c r="I122" s="17" t="str">
        <x:v>设计浪费</x:v>
      </x:c>
      <x:c r="J122" s="17" t="str">
        <x:v>否</x:v>
      </x:c>
      <x:c r="K122" s="18"/>
      <x:c r="L122" s="17" t="str">
        <x:v>否</x:v>
      </x:c>
      <x:c r="M122" s="17" t="str">
        <x:v>否</x:v>
      </x:c>
      <x:c r="N122" s="17" t="str">
        <x:v>requery_after_terminal_zero</x:v>
      </x:c>
      <x:c r="O122" s="17" t="str">
        <x:v>terminal_zero_requery</x:v>
      </x:c>
      <x:c r="P122" s="17" t="str">
        <x:v>session://financial_qa_33499cfa81de4d06_2731_1b0694f488ce/vars/v2</x:v>
      </x:c>
      <x:c r="Q122" s="17" t="str"/>
      <x:c r="R122" s="17" t="str">
        <x:v>stock.margin</x:v>
      </x:c>
      <x:c r="S122" s="17" t="str"/>
      <x:c r="T122" s="17" t="str"/>
      <x:c r="U122" s="17" t="str">
        <x:v>r2</x:v>
      </x:c>
      <x:c r="V122" s="30" t="n">
        <x:v>20</x:v>
      </x:c>
      <x:c r="W122" s="17" t="str">
        <x:v>high</x:v>
      </x:c>
    </x:row>
    <x:row r="123" ht="54" customHeight="1">
      <x:c r="A123" s="17" t="str">
        <x:v>BUS036</x:v>
      </x:c>
      <x:c r="B123" s="17" t="str">
        <x:v>最新融资偿还额最高的前20只股票。</x:v>
      </x:c>
      <x:c r="C123" s="17" t="n">
        <x:v>4</x:v>
      </x:c>
      <x:c r="D123" s="17" t="str"/>
      <x:c r="E123" s="17" t="str">
        <x:v>工具调用</x:v>
      </x:c>
      <x:c r="F123" s="17" t="str">
        <x:v>load_finance_result</x:v>
      </x:c>
      <x:c r="G123" s="17" t="str"/>
      <x:c r="H123" s="17" t="str"/>
      <x:c r="I123" s="17" t="str">
        <x:v>合理操作</x:v>
      </x:c>
      <x:c r="J123" s="17" t="str">
        <x:v>是</x:v>
      </x:c>
      <x:c r="K123" s="18"/>
      <x:c r="L123" s="17" t="str">
        <x:v>否</x:v>
      </x:c>
      <x:c r="M123" s="17" t="str">
        <x:v>否</x:v>
      </x:c>
      <x:c r="N123" s="17" t="str">
        <x:v>load_truncated_result</x:v>
      </x:c>
      <x:c r="O123" s="17" t="str">
        <x:v>sample_incomplete_requires_full_result</x:v>
      </x:c>
      <x:c r="P123" s="17" t="str">
        <x:v>session://financial_qa_33499cfa81de4d06_2731_1b0694f488ce/vars/v2</x:v>
      </x:c>
      <x:c r="Q123" s="17" t="str"/>
      <x:c r="R123" s="17" t="str"/>
      <x:c r="S123" s="17" t="str"/>
      <x:c r="T123" s="17" t="str"/>
      <x:c r="U123" s="17" t="str"/>
      <x:c r="V123" s="30"/>
      <x:c r="W123" s="17" t="str">
        <x:v>high</x:v>
      </x:c>
    </x:row>
    <x:row r="124" ht="54" customHeight="1">
      <x:c r="A124" s="17" t="str">
        <x:v>BUS037</x:v>
      </x:c>
      <x:c r="B124" s="17" t="str">
        <x:v>查询贵州茅台最新一期股东户数和截止日期。</x:v>
      </x:c>
      <x:c r="C124" s="17" t="n">
        <x:v>1</x:v>
      </x:c>
      <x:c r="D124" s="17" t="str"/>
      <x:c r="E124" s="17" t="str">
        <x:v>工具调用</x:v>
      </x:c>
      <x:c r="F124" s="17" t="str">
        <x:v>read_finance_catalog</x:v>
      </x:c>
      <x:c r="G124" s="17" t="str"/>
      <x:c r="H124" s="17" t="str"/>
      <x:c r="I124" s="17" t="str">
        <x:v>合理操作</x:v>
      </x:c>
      <x:c r="J124" s="17" t="str">
        <x:v>是</x:v>
      </x:c>
      <x:c r="K124" s="18"/>
      <x:c r="L124" s="17" t="str">
        <x:v>否</x:v>
      </x:c>
      <x:c r="M124" s="17" t="str">
        <x:v>否</x:v>
      </x:c>
      <x:c r="N124" s="17" t="str">
        <x:v>target_catalog_located</x:v>
      </x:c>
      <x:c r="O124" s="17" t="str">
        <x:v>expected_dataview_catalog</x:v>
      </x:c>
      <x:c r="P124" s="17" t="str"/>
      <x:c r="Q124" s="17" t="str"/>
      <x:c r="R124" s="17" t="str"/>
      <x:c r="S124" s="17" t="str">
        <x:v>stock</x:v>
      </x:c>
      <x:c r="T124" s="17" t="str">
        <x:v>shareholder</x:v>
      </x:c>
      <x:c r="U124" s="17" t="str"/>
      <x:c r="V124" s="30"/>
      <x:c r="W124" s="17" t="str">
        <x:v>high</x:v>
      </x:c>
    </x:row>
    <x:row r="125" ht="54" customHeight="1">
      <x:c r="A125" s="17" t="str">
        <x:v>BUS037</x:v>
      </x:c>
      <x:c r="B125" s="17" t="str">
        <x:v>查询贵州茅台最新一期股东户数和截止日期。</x:v>
      </x:c>
      <x:c r="C125" s="17" t="n">
        <x:v>2</x:v>
      </x:c>
      <x:c r="D125" s="17" t="str"/>
      <x:c r="E125" s="17" t="str">
        <x:v>工具调用</x:v>
      </x:c>
      <x:c r="F125" s="17" t="str">
        <x:v>finance_query</x:v>
      </x:c>
      <x:c r="G125" s="17" t="str">
        <x:v>r1 = stock.shareholder(filter = "code = 600519.SH and source = holderqty", order = "end_date desc", limit = 1) -&gt; code, name, holder_num, end_date, report_period, ann_date</x:v>
      </x:c>
      <x:c r="H125" s="17" t="str"/>
      <x:c r="I125" s="17" t="str">
        <x:v>合理操作</x:v>
      </x:c>
      <x:c r="J125" s="17" t="str">
        <x:v>是</x:v>
      </x:c>
      <x:c r="K125" s="18"/>
      <x:c r="L125" s="17" t="str">
        <x:v>否</x:v>
      </x:c>
      <x:c r="M125" s="17" t="str">
        <x:v>否</x:v>
      </x:c>
      <x:c r="N125" s="17" t="str">
        <x:v>target_api_executed</x:v>
      </x:c>
      <x:c r="O125" s="17" t="str">
        <x:v>expected_dataview_coverage</x:v>
      </x:c>
      <x:c r="P125" s="17" t="str">
        <x:v>session://financial_qa_33499cfa81de4d06_2732_c2fa1ba01d05/vars/v1</x:v>
      </x:c>
      <x:c r="Q125" s="17" t="str"/>
      <x:c r="R125" s="17" t="str">
        <x:v>stock.shareholder</x:v>
      </x:c>
      <x:c r="S125" s="17" t="str"/>
      <x:c r="T125" s="17" t="str"/>
      <x:c r="U125" s="17" t="str">
        <x:v>r1</x:v>
      </x:c>
      <x:c r="V125" s="30" t="n">
        <x:v>1</x:v>
      </x:c>
      <x:c r="W125" s="17" t="str">
        <x:v>high</x:v>
      </x:c>
    </x:row>
    <x:row r="126" ht="54" customHeight="1">
      <x:c r="A126" s="17" t="str">
        <x:v>BUS038</x:v>
      </x:c>
      <x:c r="B126" s="17" t="str">
        <x:v>查询宁德时代最新前十大流通股东名称、持股数量和持股比例。</x:v>
      </x:c>
      <x:c r="C126" s="17" t="n">
        <x:v>1</x:v>
      </x:c>
      <x:c r="D126" s="17" t="str"/>
      <x:c r="E126" s="17" t="str">
        <x:v>工具调用</x:v>
      </x:c>
      <x:c r="F126" s="17" t="str">
        <x:v>read_finance_catalog</x:v>
      </x:c>
      <x:c r="G126" s="17" t="str"/>
      <x:c r="H126" s="17" t="str"/>
      <x:c r="I126" s="17" t="str">
        <x:v>合理操作</x:v>
      </x:c>
      <x:c r="J126" s="17" t="str">
        <x:v>是</x:v>
      </x:c>
      <x:c r="K126" s="18"/>
      <x:c r="L126" s="17" t="str">
        <x:v>否</x:v>
      </x:c>
      <x:c r="M126" s="17" t="str">
        <x:v>否</x:v>
      </x:c>
      <x:c r="N126" s="17" t="str">
        <x:v>target_catalog_located</x:v>
      </x:c>
      <x:c r="O126" s="17" t="str">
        <x:v>expected_dataview_catalog</x:v>
      </x:c>
      <x:c r="P126" s="17" t="str"/>
      <x:c r="Q126" s="17" t="str"/>
      <x:c r="R126" s="17" t="str"/>
      <x:c r="S126" s="17" t="str">
        <x:v>stock</x:v>
      </x:c>
      <x:c r="T126" s="17" t="str">
        <x:v>shareholder</x:v>
      </x:c>
      <x:c r="U126" s="17" t="str"/>
      <x:c r="V126" s="30"/>
      <x:c r="W126" s="17" t="str">
        <x:v>high</x:v>
      </x:c>
    </x:row>
    <x:row r="127" ht="54" customHeight="1">
      <x:c r="A127" s="17" t="str">
        <x:v>BUS038</x:v>
      </x:c>
      <x:c r="B127" s="17" t="str">
        <x:v>查询宁德时代最新前十大流通股东名称、持股数量和持股比例。</x:v>
      </x:c>
      <x:c r="C127" s="17" t="n">
        <x:v>2</x:v>
      </x:c>
      <x:c r="D127" s="17" t="str"/>
      <x:c r="E127" s="17" t="str">
        <x:v>工具调用</x:v>
      </x:c>
      <x:c r="F127" s="17" t="str">
        <x:v>finance_query</x:v>
      </x:c>
      <x:c r="G127" s="17" t="str">
        <x:v>r1 = stock.shareholder(filter = "code = 300750.SZ and source = holderfloat", order = "end_date desc, holder_rank asc", limit = 10) -&gt; code, name, end_date, holder_name, holder_rank, holder_quantity, holder_pct</x:v>
      </x:c>
      <x:c r="H127" s="17" t="str"/>
      <x:c r="I127" s="17" t="str">
        <x:v>合理操作</x:v>
      </x:c>
      <x:c r="J127" s="17" t="str">
        <x:v>是</x:v>
      </x:c>
      <x:c r="K127" s="18"/>
      <x:c r="L127" s="17" t="str">
        <x:v>否</x:v>
      </x:c>
      <x:c r="M127" s="17" t="str">
        <x:v>否</x:v>
      </x:c>
      <x:c r="N127" s="17" t="str">
        <x:v>target_api_executed</x:v>
      </x:c>
      <x:c r="O127" s="17" t="str">
        <x:v>expected_dataview_coverage</x:v>
      </x:c>
      <x:c r="P127" s="17" t="str">
        <x:v>session://financial_qa_33499cfa81de4d06_2733_82280235544c/vars/v1</x:v>
      </x:c>
      <x:c r="Q127" s="17" t="str"/>
      <x:c r="R127" s="17" t="str">
        <x:v>stock.shareholder</x:v>
      </x:c>
      <x:c r="S127" s="17" t="str"/>
      <x:c r="T127" s="17" t="str"/>
      <x:c r="U127" s="17" t="str">
        <x:v>r1</x:v>
      </x:c>
      <x:c r="V127" s="30" t="n">
        <x:v>10</x:v>
      </x:c>
      <x:c r="W127" s="17" t="str">
        <x:v>high</x:v>
      </x:c>
    </x:row>
    <x:row r="128" ht="54" customHeight="1">
      <x:c r="A128" s="17" t="str">
        <x:v>BUS038</x:v>
      </x:c>
      <x:c r="B128" s="17" t="str">
        <x:v>查询宁德时代最新前十大流通股东名称、持股数量和持股比例。</x:v>
      </x:c>
      <x:c r="C128" s="17" t="n">
        <x:v>3</x:v>
      </x:c>
      <x:c r="D128" s="17" t="str"/>
      <x:c r="E128" s="17" t="str">
        <x:v>工具调用</x:v>
      </x:c>
      <x:c r="F128" s="17" t="str">
        <x:v>load_finance_result</x:v>
      </x:c>
      <x:c r="G128" s="17" t="str"/>
      <x:c r="H128" s="17" t="str"/>
      <x:c r="I128" s="17" t="str">
        <x:v>合理操作</x:v>
      </x:c>
      <x:c r="J128" s="17" t="str">
        <x:v>是</x:v>
      </x:c>
      <x:c r="K128" s="18"/>
      <x:c r="L128" s="17" t="str">
        <x:v>否</x:v>
      </x:c>
      <x:c r="M128" s="17" t="str">
        <x:v>否</x:v>
      </x:c>
      <x:c r="N128" s="17" t="str">
        <x:v>load_truncated_result</x:v>
      </x:c>
      <x:c r="O128" s="17" t="str">
        <x:v>sample_incomplete_requires_full_result</x:v>
      </x:c>
      <x:c r="P128" s="17" t="str">
        <x:v>session://financial_qa_33499cfa81de4d06_2733_82280235544c/vars/v1</x:v>
      </x:c>
      <x:c r="Q128" s="17" t="str"/>
      <x:c r="R128" s="17" t="str"/>
      <x:c r="S128" s="17" t="str"/>
      <x:c r="T128" s="17" t="str"/>
      <x:c r="U128" s="17" t="str"/>
      <x:c r="V128" s="30"/>
      <x:c r="W128" s="17" t="str">
        <x:v>high</x:v>
      </x:c>
    </x:row>
    <x:row r="129" ht="54" customHeight="1">
      <x:c r="A129" s="17" t="str">
        <x:v>BUS039</x:v>
      </x:c>
      <x:c r="B129" s="17" t="str">
        <x:v>筛选最新股东户数最多的前20家公司。</x:v>
      </x:c>
      <x:c r="C129" s="17" t="n">
        <x:v>1</x:v>
      </x:c>
      <x:c r="D129" s="17" t="str"/>
      <x:c r="E129" s="17" t="str">
        <x:v>工具调用</x:v>
      </x:c>
      <x:c r="F129" s="17" t="str">
        <x:v>read_finance_catalog</x:v>
      </x:c>
      <x:c r="G129" s="17" t="str"/>
      <x:c r="H129" s="17" t="str"/>
      <x:c r="I129" s="17" t="str">
        <x:v>合理操作</x:v>
      </x:c>
      <x:c r="J129" s="17" t="str">
        <x:v>是</x:v>
      </x:c>
      <x:c r="K129" s="18"/>
      <x:c r="L129" s="17" t="str">
        <x:v>否</x:v>
      </x:c>
      <x:c r="M129" s="17" t="str">
        <x:v>否</x:v>
      </x:c>
      <x:c r="N129" s="17" t="str">
        <x:v>target_catalog_located</x:v>
      </x:c>
      <x:c r="O129" s="17" t="str">
        <x:v>expected_dataview_catalog</x:v>
      </x:c>
      <x:c r="P129" s="17" t="str"/>
      <x:c r="Q129" s="17" t="str"/>
      <x:c r="R129" s="17" t="str"/>
      <x:c r="S129" s="17" t="str">
        <x:v>stock</x:v>
      </x:c>
      <x:c r="T129" s="17" t="str">
        <x:v>shareholder</x:v>
      </x:c>
      <x:c r="U129" s="17" t="str"/>
      <x:c r="V129" s="30"/>
      <x:c r="W129" s="17" t="str">
        <x:v>high</x:v>
      </x:c>
    </x:row>
    <x:row r="130" ht="54" customHeight="1">
      <x:c r="A130" s="17" t="str">
        <x:v>BUS039</x:v>
      </x:c>
      <x:c r="B130" s="17" t="str">
        <x:v>筛选最新股东户数最多的前20家公司。</x:v>
      </x:c>
      <x:c r="C130" s="17" t="n">
        <x:v>2</x:v>
      </x:c>
      <x:c r="D130" s="17" t="str"/>
      <x:c r="E130" s="17" t="str">
        <x:v>工具调用</x:v>
      </x:c>
      <x:c r="F130" s="17" t="str">
        <x:v>finance_query</x:v>
      </x:c>
      <x:c r="G130" s="17" t="str">
        <x:v>r1 = stock.shareholder(source = "holderqty", order = "end_date desc, holder_num desc", limit = 20) -&gt; code, name, end_date, holder_num</x:v>
      </x:c>
      <x:c r="H130" s="17" t="str"/>
      <x:c r="I130" s="17" t="str">
        <x:v>合理操作</x:v>
      </x:c>
      <x:c r="J130" s="17" t="str">
        <x:v>是</x:v>
      </x:c>
      <x:c r="K130" s="18"/>
      <x:c r="L130" s="17" t="str">
        <x:v>否</x:v>
      </x:c>
      <x:c r="M130" s="17" t="str">
        <x:v>否</x:v>
      </x:c>
      <x:c r="N130" s="17" t="str">
        <x:v>target_api_executed</x:v>
      </x:c>
      <x:c r="O130" s="17" t="str">
        <x:v>expected_dataview_coverage</x:v>
      </x:c>
      <x:c r="P130" s="17" t="str">
        <x:v>session://financial_qa_33499cfa81de4d06_2734_0fb079893b97/vars/v1</x:v>
      </x:c>
      <x:c r="Q130" s="17" t="str"/>
      <x:c r="R130" s="17" t="str">
        <x:v>stock.shareholder</x:v>
      </x:c>
      <x:c r="S130" s="17" t="str"/>
      <x:c r="T130" s="17" t="str"/>
      <x:c r="U130" s="17" t="str">
        <x:v>r1</x:v>
      </x:c>
      <x:c r="V130" s="30" t="n">
        <x:v>20</x:v>
      </x:c>
      <x:c r="W130" s="17" t="str">
        <x:v>high</x:v>
      </x:c>
    </x:row>
    <x:row r="131" ht="54" customHeight="1">
      <x:c r="A131" s="17" t="str">
        <x:v>BUS039</x:v>
      </x:c>
      <x:c r="B131" s="17" t="str">
        <x:v>筛选最新股东户数最多的前20家公司。</x:v>
      </x:c>
      <x:c r="C131" s="17" t="n">
        <x:v>3</x:v>
      </x:c>
      <x:c r="D131" s="17" t="str"/>
      <x:c r="E131" s="17" t="str">
        <x:v>工具调用</x:v>
      </x:c>
      <x:c r="F131" s="17" t="str">
        <x:v>load_finance_result</x:v>
      </x:c>
      <x:c r="G131" s="17" t="str"/>
      <x:c r="H131" s="17" t="str"/>
      <x:c r="I131" s="17" t="str">
        <x:v>合理操作</x:v>
      </x:c>
      <x:c r="J131" s="17" t="str">
        <x:v>是</x:v>
      </x:c>
      <x:c r="K131" s="18"/>
      <x:c r="L131" s="17" t="str">
        <x:v>否</x:v>
      </x:c>
      <x:c r="M131" s="17" t="str">
        <x:v>否</x:v>
      </x:c>
      <x:c r="N131" s="17" t="str">
        <x:v>load_truncated_result</x:v>
      </x:c>
      <x:c r="O131" s="17" t="str">
        <x:v>sample_incomplete_requires_full_result</x:v>
      </x:c>
      <x:c r="P131" s="17" t="str">
        <x:v>session://financial_qa_33499cfa81de4d06_2734_0fb079893b97/vars/v1</x:v>
      </x:c>
      <x:c r="Q131" s="17" t="str"/>
      <x:c r="R131" s="17" t="str"/>
      <x:c r="S131" s="17" t="str"/>
      <x:c r="T131" s="17" t="str"/>
      <x:c r="U131" s="17" t="str"/>
      <x:c r="V131" s="30"/>
      <x:c r="W131" s="17" t="str">
        <x:v>high</x:v>
      </x:c>
    </x:row>
    <x:row r="132" ht="54" customHeight="1">
      <x:c r="A132" s="17" t="str">
        <x:v>BUS039</x:v>
      </x:c>
      <x:c r="B132" s="17" t="str">
        <x:v>筛选最新股东户数最多的前20家公司。</x:v>
      </x:c>
      <x:c r="C132" s="17" t="n">
        <x:v>4</x:v>
      </x:c>
      <x:c r="D132" s="17" t="str"/>
      <x:c r="E132" s="17" t="str">
        <x:v>工具调用</x:v>
      </x:c>
      <x:c r="F132" s="17" t="str">
        <x:v>finance_query</x:v>
      </x:c>
      <x:c r="G132" s="17" t="str">
        <x:v>r2 = stock.shareholder(source = "holderqty", order = "holder_num desc", limit = 20) -&gt; code, name, end_date, holder_num</x:v>
      </x:c>
      <x:c r="H132" s="17" t="str"/>
      <x:c r="I132" s="17" t="str">
        <x:v>合理操作</x:v>
      </x:c>
      <x:c r="J132" s="17" t="str">
        <x:v>是</x:v>
      </x:c>
      <x:c r="K132" s="18"/>
      <x:c r="L132" s="17" t="str">
        <x:v>否</x:v>
      </x:c>
      <x:c r="M132" s="17" t="str">
        <x:v>否</x:v>
      </x:c>
      <x:c r="N132" s="17" t="str">
        <x:v>target_api_executed</x:v>
      </x:c>
      <x:c r="O132" s="17" t="str">
        <x:v>expected_dataview_coverage</x:v>
      </x:c>
      <x:c r="P132" s="17" t="str">
        <x:v>session://financial_qa_33499cfa81de4d06_2734_0fb079893b97/vars/v2</x:v>
      </x:c>
      <x:c r="Q132" s="17" t="str"/>
      <x:c r="R132" s="17" t="str">
        <x:v>stock.shareholder</x:v>
      </x:c>
      <x:c r="S132" s="17" t="str"/>
      <x:c r="T132" s="17" t="str"/>
      <x:c r="U132" s="17" t="str">
        <x:v>r2</x:v>
      </x:c>
      <x:c r="V132" s="30" t="n">
        <x:v>20</x:v>
      </x:c>
      <x:c r="W132" s="17" t="str">
        <x:v>high</x:v>
      </x:c>
    </x:row>
    <x:row r="133" ht="54" customHeight="1">
      <x:c r="A133" s="17" t="str">
        <x:v>BUS039</x:v>
      </x:c>
      <x:c r="B133" s="17" t="str">
        <x:v>筛选最新股东户数最多的前20家公司。</x:v>
      </x:c>
      <x:c r="C133" s="17" t="n">
        <x:v>5</x:v>
      </x:c>
      <x:c r="D133" s="17" t="str"/>
      <x:c r="E133" s="17" t="str">
        <x:v>工具调用</x:v>
      </x:c>
      <x:c r="F133" s="17" t="str">
        <x:v>load_finance_result</x:v>
      </x:c>
      <x:c r="G133" s="17" t="str"/>
      <x:c r="H133" s="17" t="str"/>
      <x:c r="I133" s="17" t="str">
        <x:v>合理操作</x:v>
      </x:c>
      <x:c r="J133" s="17" t="str">
        <x:v>是</x:v>
      </x:c>
      <x:c r="K133" s="18"/>
      <x:c r="L133" s="17" t="str">
        <x:v>否</x:v>
      </x:c>
      <x:c r="M133" s="17" t="str">
        <x:v>否</x:v>
      </x:c>
      <x:c r="N133" s="17" t="str">
        <x:v>load_truncated_result</x:v>
      </x:c>
      <x:c r="O133" s="17" t="str">
        <x:v>sample_incomplete_requires_full_result</x:v>
      </x:c>
      <x:c r="P133" s="17" t="str">
        <x:v>session://financial_qa_33499cfa81de4d06_2734_0fb079893b97/vars/v2</x:v>
      </x:c>
      <x:c r="Q133" s="17" t="str"/>
      <x:c r="R133" s="17" t="str"/>
      <x:c r="S133" s="17" t="str"/>
      <x:c r="T133" s="17" t="str"/>
      <x:c r="U133" s="17" t="str"/>
      <x:c r="V133" s="30"/>
      <x:c r="W133" s="17" t="str">
        <x:v>high</x:v>
      </x:c>
    </x:row>
    <x:row r="134" ht="54" customHeight="1">
      <x:c r="A134" s="17" t="str">
        <x:v>BUS039</x:v>
      </x:c>
      <x:c r="B134" s="17" t="str">
        <x:v>筛选最新股东户数最多的前20家公司。</x:v>
      </x:c>
      <x:c r="C134" s="17" t="n">
        <x:v>6</x:v>
      </x:c>
      <x:c r="D134" s="17" t="str"/>
      <x:c r="E134" s="17" t="str">
        <x:v>工具调用</x:v>
      </x:c>
      <x:c r="F134" s="17" t="str">
        <x:v>finance_query</x:v>
      </x:c>
      <x:c r="G134" s="17" t="str">
        <x:v>r3 = stock.shareholder(filter = "source = holderqty and end_date &gt;= 2026-01-01", order = "end_date desc, holder_num desc", limit = 20) -&gt; code, name, end_date, holder_num</x:v>
      </x:c>
      <x:c r="H134" s="17" t="str"/>
      <x:c r="I134" s="17" t="str">
        <x:v>合理操作</x:v>
      </x:c>
      <x:c r="J134" s="17" t="str">
        <x:v>是</x:v>
      </x:c>
      <x:c r="K134" s="18"/>
      <x:c r="L134" s="17" t="str">
        <x:v>否</x:v>
      </x:c>
      <x:c r="M134" s="17" t="str">
        <x:v>否</x:v>
      </x:c>
      <x:c r="N134" s="17" t="str">
        <x:v>target_api_executed</x:v>
      </x:c>
      <x:c r="O134" s="17" t="str">
        <x:v>expected_dataview_coverage</x:v>
      </x:c>
      <x:c r="P134" s="17" t="str">
        <x:v>session://financial_qa_33499cfa81de4d06_2734_0fb079893b97/vars/v3</x:v>
      </x:c>
      <x:c r="Q134" s="17" t="str"/>
      <x:c r="R134" s="17" t="str">
        <x:v>stock.shareholder</x:v>
      </x:c>
      <x:c r="S134" s="17" t="str"/>
      <x:c r="T134" s="17" t="str"/>
      <x:c r="U134" s="17" t="str">
        <x:v>r3</x:v>
      </x:c>
      <x:c r="V134" s="30" t="n">
        <x:v>20</x:v>
      </x:c>
      <x:c r="W134" s="17" t="str">
        <x:v>high</x:v>
      </x:c>
    </x:row>
    <x:row r="135" ht="54" customHeight="1">
      <x:c r="A135" s="17" t="str">
        <x:v>BUS039</x:v>
      </x:c>
      <x:c r="B135" s="17" t="str">
        <x:v>筛选最新股东户数最多的前20家公司。</x:v>
      </x:c>
      <x:c r="C135" s="17" t="n">
        <x:v>7</x:v>
      </x:c>
      <x:c r="D135" s="17" t="str"/>
      <x:c r="E135" s="17" t="str">
        <x:v>工具调用</x:v>
      </x:c>
      <x:c r="F135" s="17" t="str">
        <x:v>load_finance_result</x:v>
      </x:c>
      <x:c r="G135" s="17" t="str"/>
      <x:c r="H135" s="17" t="str"/>
      <x:c r="I135" s="17" t="str">
        <x:v>合理操作</x:v>
      </x:c>
      <x:c r="J135" s="17" t="str">
        <x:v>是</x:v>
      </x:c>
      <x:c r="K135" s="18"/>
      <x:c r="L135" s="17" t="str">
        <x:v>否</x:v>
      </x:c>
      <x:c r="M135" s="17" t="str">
        <x:v>否</x:v>
      </x:c>
      <x:c r="N135" s="17" t="str">
        <x:v>load_truncated_result</x:v>
      </x:c>
      <x:c r="O135" s="17" t="str">
        <x:v>sample_incomplete_requires_full_result</x:v>
      </x:c>
      <x:c r="P135" s="17" t="str">
        <x:v>session://financial_qa_33499cfa81de4d06_2734_0fb079893b97/vars/v3</x:v>
      </x:c>
      <x:c r="Q135" s="17" t="str"/>
      <x:c r="R135" s="17" t="str"/>
      <x:c r="S135" s="17" t="str"/>
      <x:c r="T135" s="17" t="str"/>
      <x:c r="U135" s="17" t="str"/>
      <x:c r="V135" s="30"/>
      <x:c r="W135" s="17" t="str">
        <x:v>high</x:v>
      </x:c>
    </x:row>
    <x:row r="136" ht="54" customHeight="1">
      <x:c r="A136" s="17" t="str">
        <x:v>BUS040</x:v>
      </x:c>
      <x:c r="B136" s="17" t="str">
        <x:v>查询中央汇金持有的上市公司、持股比例和报告期。</x:v>
      </x:c>
      <x:c r="C136" s="17" t="n">
        <x:v>1</x:v>
      </x:c>
      <x:c r="D136" s="17" t="str"/>
      <x:c r="E136" s="17" t="str">
        <x:v>工具调用</x:v>
      </x:c>
      <x:c r="F136" s="17" t="str">
        <x:v>read_finance_catalog</x:v>
      </x:c>
      <x:c r="G136" s="17" t="str"/>
      <x:c r="H136" s="17" t="str"/>
      <x:c r="I136" s="17" t="str">
        <x:v>合理操作</x:v>
      </x:c>
      <x:c r="J136" s="17" t="str">
        <x:v>是</x:v>
      </x:c>
      <x:c r="K136" s="18"/>
      <x:c r="L136" s="17" t="str">
        <x:v>否</x:v>
      </x:c>
      <x:c r="M136" s="17" t="str">
        <x:v>否</x:v>
      </x:c>
      <x:c r="N136" s="17" t="str">
        <x:v>target_catalog_located</x:v>
      </x:c>
      <x:c r="O136" s="17" t="str">
        <x:v>expected_dataview_catalog</x:v>
      </x:c>
      <x:c r="P136" s="17" t="str"/>
      <x:c r="Q136" s="17" t="str"/>
      <x:c r="R136" s="17" t="str"/>
      <x:c r="S136" s="17" t="str">
        <x:v>stock</x:v>
      </x:c>
      <x:c r="T136" s="17" t="str">
        <x:v>shareholder</x:v>
      </x:c>
      <x:c r="U136" s="17" t="str"/>
      <x:c r="V136" s="30"/>
      <x:c r="W136" s="17" t="str">
        <x:v>high</x:v>
      </x:c>
    </x:row>
    <x:row r="137" ht="54" customHeight="1">
      <x:c r="A137" s="17" t="str">
        <x:v>BUS040</x:v>
      </x:c>
      <x:c r="B137" s="17" t="str">
        <x:v>查询中央汇金持有的上市公司、持股比例和报告期。</x:v>
      </x:c>
      <x:c r="C137" s="17" t="n">
        <x:v>2</x:v>
      </x:c>
      <x:c r="D137" s="17" t="str"/>
      <x:c r="E137" s="17" t="str">
        <x:v>工具调用</x:v>
      </x:c>
      <x:c r="F137" s="17" t="str">
        <x:v>finance_query</x:v>
      </x:c>
      <x:c r="G137" s="17" t="str">
        <x:v>r1 = stock.shareholder(filter = "source = 'holdertop' and holder_name like '%中央汇金%'", limit = 100) -&gt; code, name, holder_name, holder_rank, holder_pct, holder_quantity, report_period, end_date</x:v>
      </x:c>
      <x:c r="H137" s="17" t="str"/>
      <x:c r="I137" s="17" t="str">
        <x:v>合理操作</x:v>
      </x:c>
      <x:c r="J137" s="17" t="str">
        <x:v>是</x:v>
      </x:c>
      <x:c r="K137" s="18"/>
      <x:c r="L137" s="17" t="str">
        <x:v>否</x:v>
      </x:c>
      <x:c r="M137" s="17" t="str">
        <x:v>否</x:v>
      </x:c>
      <x:c r="N137" s="17" t="str">
        <x:v>target_api_executed</x:v>
      </x:c>
      <x:c r="O137" s="17" t="str">
        <x:v>expected_dataview_coverage</x:v>
      </x:c>
      <x:c r="P137" s="17" t="str">
        <x:v>session://financial_qa_33499cfa81de4d06_2735_0cb48bb5867f/vars/v1</x:v>
      </x:c>
      <x:c r="Q137" s="17" t="str"/>
      <x:c r="R137" s="17" t="str">
        <x:v>stock.shareholder</x:v>
      </x:c>
      <x:c r="S137" s="17" t="str"/>
      <x:c r="T137" s="17" t="str"/>
      <x:c r="U137" s="17" t="str">
        <x:v>r1</x:v>
      </x:c>
      <x:c r="V137" s="30" t="n">
        <x:v>100</x:v>
      </x:c>
      <x:c r="W137" s="17" t="str">
        <x:v>high</x:v>
      </x:c>
    </x:row>
    <x:row r="138" ht="54" customHeight="1">
      <x:c r="A138" s="17" t="str">
        <x:v>BUS040</x:v>
      </x:c>
      <x:c r="B138" s="17" t="str">
        <x:v>查询中央汇金持有的上市公司、持股比例和报告期。</x:v>
      </x:c>
      <x:c r="C138" s="17" t="n">
        <x:v>3</x:v>
      </x:c>
      <x:c r="D138" s="17" t="str"/>
      <x:c r="E138" s="17" t="str">
        <x:v>工具调用</x:v>
      </x:c>
      <x:c r="F138" s="17" t="str">
        <x:v>load_finance_result</x:v>
      </x:c>
      <x:c r="G138" s="17" t="str"/>
      <x:c r="H138" s="17" t="str"/>
      <x:c r="I138" s="17" t="str">
        <x:v>合理操作</x:v>
      </x:c>
      <x:c r="J138" s="17" t="str">
        <x:v>是</x:v>
      </x:c>
      <x:c r="K138" s="18"/>
      <x:c r="L138" s="17" t="str">
        <x:v>否</x:v>
      </x:c>
      <x:c r="M138" s="17" t="str">
        <x:v>否</x:v>
      </x:c>
      <x:c r="N138" s="17" t="str">
        <x:v>load_truncated_result</x:v>
      </x:c>
      <x:c r="O138" s="17" t="str">
        <x:v>sample_incomplete_requires_full_result</x:v>
      </x:c>
      <x:c r="P138" s="17" t="str">
        <x:v>session://financial_qa_33499cfa81de4d06_2735_0cb48bb5867f/vars/v1</x:v>
      </x:c>
      <x:c r="Q138" s="17" t="str"/>
      <x:c r="R138" s="17" t="str"/>
      <x:c r="S138" s="17" t="str"/>
      <x:c r="T138" s="17" t="str"/>
      <x:c r="U138" s="17" t="str"/>
      <x:c r="V138" s="30"/>
      <x:c r="W138" s="17" t="str">
        <x:v>high</x:v>
      </x:c>
    </x:row>
    <x:row r="139" ht="54" customHeight="1">
      <x:c r="A139" s="17" t="str">
        <x:v>BUS041</x:v>
      </x:c>
      <x:c r="B139" s="17" t="str">
        <x:v>筛选最新持股比例超过5%的股东记录。</x:v>
      </x:c>
      <x:c r="C139" s="17" t="n">
        <x:v>1</x:v>
      </x:c>
      <x:c r="D139" s="17" t="str"/>
      <x:c r="E139" s="17" t="str">
        <x:v>工具调用</x:v>
      </x:c>
      <x:c r="F139" s="17" t="str">
        <x:v>read_finance_catalog</x:v>
      </x:c>
      <x:c r="G139" s="17" t="str"/>
      <x:c r="H139" s="17" t="str"/>
      <x:c r="I139" s="17" t="str">
        <x:v>合理操作</x:v>
      </x:c>
      <x:c r="J139" s="17" t="str">
        <x:v>是</x:v>
      </x:c>
      <x:c r="K139" s="18"/>
      <x:c r="L139" s="17" t="str">
        <x:v>否</x:v>
      </x:c>
      <x:c r="M139" s="17" t="str">
        <x:v>否</x:v>
      </x:c>
      <x:c r="N139" s="17" t="str">
        <x:v>target_catalog_located</x:v>
      </x:c>
      <x:c r="O139" s="17" t="str">
        <x:v>expected_dataview_catalog</x:v>
      </x:c>
      <x:c r="P139" s="17" t="str"/>
      <x:c r="Q139" s="17" t="str"/>
      <x:c r="R139" s="17" t="str"/>
      <x:c r="S139" s="17" t="str">
        <x:v>stock</x:v>
      </x:c>
      <x:c r="T139" s="17" t="str">
        <x:v>shareholder</x:v>
      </x:c>
      <x:c r="U139" s="17" t="str"/>
      <x:c r="V139" s="30"/>
      <x:c r="W139" s="17" t="str">
        <x:v>high</x:v>
      </x:c>
    </x:row>
    <x:row r="140" ht="54" customHeight="1">
      <x:c r="A140" s="17" t="str">
        <x:v>BUS042</x:v>
      </x:c>
      <x:c r="B140" s="17" t="str">
        <x:v>查询万科A最新前十大股东及其股份性质。</x:v>
      </x:c>
      <x:c r="C140" s="17" t="n">
        <x:v>1</x:v>
      </x:c>
      <x:c r="D140" s="17" t="str"/>
      <x:c r="E140" s="17" t="str">
        <x:v>工具调用</x:v>
      </x:c>
      <x:c r="F140" s="17" t="str">
        <x:v>read_finance_catalog</x:v>
      </x:c>
      <x:c r="G140" s="17" t="str"/>
      <x:c r="H140" s="17" t="str"/>
      <x:c r="I140" s="17" t="str">
        <x:v>合理操作</x:v>
      </x:c>
      <x:c r="J140" s="17" t="str">
        <x:v>是</x:v>
      </x:c>
      <x:c r="K140" s="18"/>
      <x:c r="L140" s="17" t="str">
        <x:v>否</x:v>
      </x:c>
      <x:c r="M140" s="17" t="str">
        <x:v>否</x:v>
      </x:c>
      <x:c r="N140" s="17" t="str">
        <x:v>target_catalog_located</x:v>
      </x:c>
      <x:c r="O140" s="17" t="str">
        <x:v>expected_dataview_catalog</x:v>
      </x:c>
      <x:c r="P140" s="17" t="str"/>
      <x:c r="Q140" s="17" t="str"/>
      <x:c r="R140" s="17" t="str"/>
      <x:c r="S140" s="17" t="str">
        <x:v>stock</x:v>
      </x:c>
      <x:c r="T140" s="17" t="str">
        <x:v>shareholder</x:v>
      </x:c>
      <x:c r="U140" s="17" t="str"/>
      <x:c r="V140" s="30"/>
      <x:c r="W140" s="17" t="str">
        <x:v>high</x:v>
      </x:c>
    </x:row>
    <x:row r="141" ht="54" customHeight="1">
      <x:c r="A141" s="17" t="str">
        <x:v>BUS042</x:v>
      </x:c>
      <x:c r="B141" s="17" t="str">
        <x:v>查询万科A最新前十大股东及其股份性质。</x:v>
      </x:c>
      <x:c r="C141" s="17" t="n">
        <x:v>2</x:v>
      </x:c>
      <x:c r="D141" s="17" t="str"/>
      <x:c r="E141" s="17" t="str">
        <x:v>工具调用</x:v>
      </x:c>
      <x:c r="F141" s="17" t="str">
        <x:v>finance_query</x:v>
      </x:c>
      <x:c r="G141" s="17" t="str">
        <x:v>r1 = stock.shareholder(filter = "code = 000002.SZ and source = 'holdertop' and holder_rank &lt;= 10", order = "end_date desc, holder_rank asc", limit = 10) -&gt; code, name, end_date, report_period, holder_rank, holder_name, holder_type, holder_quantity, holder_pct, share_type</x:v>
      </x:c>
      <x:c r="H141" s="17" t="str"/>
      <x:c r="I141" s="17" t="str">
        <x:v>合理操作</x:v>
      </x:c>
      <x:c r="J141" s="17" t="str">
        <x:v>是</x:v>
      </x:c>
      <x:c r="K141" s="18"/>
      <x:c r="L141" s="17" t="str">
        <x:v>否</x:v>
      </x:c>
      <x:c r="M141" s="17" t="str">
        <x:v>否</x:v>
      </x:c>
      <x:c r="N141" s="17" t="str">
        <x:v>target_api_executed</x:v>
      </x:c>
      <x:c r="O141" s="17" t="str">
        <x:v>expected_dataview_coverage</x:v>
      </x:c>
      <x:c r="P141" s="17" t="str">
        <x:v>session://financial_qa_33499cfa81de4d06_2737_70c05ff6ffe7/vars/v1</x:v>
      </x:c>
      <x:c r="Q141" s="17" t="str"/>
      <x:c r="R141" s="17" t="str">
        <x:v>stock.shareholder</x:v>
      </x:c>
      <x:c r="S141" s="17" t="str"/>
      <x:c r="T141" s="17" t="str"/>
      <x:c r="U141" s="17" t="str">
        <x:v>r1</x:v>
      </x:c>
      <x:c r="V141" s="30" t="n">
        <x:v>10</x:v>
      </x:c>
      <x:c r="W141" s="17" t="str">
        <x:v>high</x:v>
      </x:c>
    </x:row>
    <x:row r="142" ht="54" customHeight="1">
      <x:c r="A142" s="17" t="str">
        <x:v>BUS042</x:v>
      </x:c>
      <x:c r="B142" s="17" t="str">
        <x:v>查询万科A最新前十大股东及其股份性质。</x:v>
      </x:c>
      <x:c r="C142" s="17" t="n">
        <x:v>3</x:v>
      </x:c>
      <x:c r="D142" s="17" t="str"/>
      <x:c r="E142" s="17" t="str">
        <x:v>工具调用</x:v>
      </x:c>
      <x:c r="F142" s="17" t="str">
        <x:v>load_finance_result</x:v>
      </x:c>
      <x:c r="G142" s="17" t="str"/>
      <x:c r="H142" s="17" t="str"/>
      <x:c r="I142" s="17" t="str">
        <x:v>合理操作</x:v>
      </x:c>
      <x:c r="J142" s="17" t="str">
        <x:v>是</x:v>
      </x:c>
      <x:c r="K142" s="18"/>
      <x:c r="L142" s="17" t="str">
        <x:v>否</x:v>
      </x:c>
      <x:c r="M142" s="17" t="str">
        <x:v>否</x:v>
      </x:c>
      <x:c r="N142" s="17" t="str">
        <x:v>load_truncated_result</x:v>
      </x:c>
      <x:c r="O142" s="17" t="str">
        <x:v>sample_incomplete_requires_full_result</x:v>
      </x:c>
      <x:c r="P142" s="17" t="str">
        <x:v>session://financial_qa_33499cfa81de4d06_2737_70c05ff6ffe7/vars/v1</x:v>
      </x:c>
      <x:c r="Q142" s="17" t="str"/>
      <x:c r="R142" s="17" t="str"/>
      <x:c r="S142" s="17" t="str"/>
      <x:c r="T142" s="17" t="str"/>
      <x:c r="U142" s="17" t="str"/>
      <x:c r="V142" s="30"/>
      <x:c r="W142" s="17" t="str">
        <x:v>high</x:v>
      </x:c>
    </x:row>
    <x:row r="143" ht="54" customHeight="1">
      <x:c r="A143" s="17" t="str">
        <x:v>BUS043</x:v>
      </x:c>
      <x:c r="B143" s="17" t="str">
        <x:v>查询万科A最新股权质押比例和累计质押股数。</x:v>
      </x:c>
      <x:c r="C143" s="17" t="n">
        <x:v>1</x:v>
      </x:c>
      <x:c r="D143" s="17" t="str"/>
      <x:c r="E143" s="17" t="str">
        <x:v>工具调用</x:v>
      </x:c>
      <x:c r="F143" s="17" t="str">
        <x:v>read_finance_catalog</x:v>
      </x:c>
      <x:c r="G143" s="17" t="str"/>
      <x:c r="H143" s="17" t="str"/>
      <x:c r="I143" s="17" t="str">
        <x:v>合理操作</x:v>
      </x:c>
      <x:c r="J143" s="17" t="str">
        <x:v>是</x:v>
      </x:c>
      <x:c r="K143" s="18"/>
      <x:c r="L143" s="17" t="str">
        <x:v>否</x:v>
      </x:c>
      <x:c r="M143" s="17" t="str">
        <x:v>否</x:v>
      </x:c>
      <x:c r="N143" s="17" t="str">
        <x:v>target_catalog_located</x:v>
      </x:c>
      <x:c r="O143" s="17" t="str">
        <x:v>expected_dataview_catalog</x:v>
      </x:c>
      <x:c r="P143" s="17" t="str"/>
      <x:c r="Q143" s="17" t="str"/>
      <x:c r="R143" s="17" t="str"/>
      <x:c r="S143" s="17" t="str">
        <x:v>stock</x:v>
      </x:c>
      <x:c r="T143" s="17" t="str">
        <x:v>pledge</x:v>
      </x:c>
      <x:c r="U143" s="17" t="str"/>
      <x:c r="V143" s="30"/>
      <x:c r="W143" s="17" t="str">
        <x:v>high</x:v>
      </x:c>
    </x:row>
    <x:row r="144" ht="54" customHeight="1">
      <x:c r="A144" s="17" t="str">
        <x:v>BUS043</x:v>
      </x:c>
      <x:c r="B144" s="17" t="str">
        <x:v>查询万科A最新股权质押比例和累计质押股数。</x:v>
      </x:c>
      <x:c r="C144" s="17" t="n">
        <x:v>2</x:v>
      </x:c>
      <x:c r="D144" s="17" t="str"/>
      <x:c r="E144" s="17" t="str">
        <x:v>工具调用</x:v>
      </x:c>
      <x:c r="F144" s="17" t="str">
        <x:v>finance_query</x:v>
      </x:c>
      <x:c r="G144" s="17" t="str">
        <x:v>r1 = stock.pledge(filter = "code = 000002.SZ and source = pledgeratio", order = "end_date desc", limit = 1) -&gt; code, name, end_date, pledge_ratio, pledge_total_num</x:v>
      </x:c>
      <x:c r="H144" s="17" t="str"/>
      <x:c r="I144" s="17" t="str">
        <x:v>合理操作</x:v>
      </x:c>
      <x:c r="J144" s="17" t="str">
        <x:v>是</x:v>
      </x:c>
      <x:c r="K144" s="18"/>
      <x:c r="L144" s="17" t="str">
        <x:v>否</x:v>
      </x:c>
      <x:c r="M144" s="17" t="str">
        <x:v>否</x:v>
      </x:c>
      <x:c r="N144" s="17" t="str">
        <x:v>target_api_executed</x:v>
      </x:c>
      <x:c r="O144" s="17" t="str">
        <x:v>expected_dataview_coverage</x:v>
      </x:c>
      <x:c r="P144" s="17" t="str">
        <x:v>session://financial_qa_33499cfa81de4d06_2738_4143c24dea25/vars/v1</x:v>
      </x:c>
      <x:c r="Q144" s="17" t="str"/>
      <x:c r="R144" s="17" t="str">
        <x:v>stock.pledge</x:v>
      </x:c>
      <x:c r="S144" s="17" t="str"/>
      <x:c r="T144" s="17" t="str"/>
      <x:c r="U144" s="17" t="str">
        <x:v>r1</x:v>
      </x:c>
      <x:c r="V144" s="30" t="n">
        <x:v>1</x:v>
      </x:c>
      <x:c r="W144" s="17" t="str">
        <x:v>high</x:v>
      </x:c>
    </x:row>
    <x:row r="145" ht="54" customHeight="1">
      <x:c r="A145" s="17" t="str">
        <x:v>BUS044</x:v>
      </x:c>
      <x:c r="B145" s="17" t="str">
        <x:v>最新公司累计质押比例最高的前20只股票。</x:v>
      </x:c>
      <x:c r="C145" s="17" t="n">
        <x:v>1</x:v>
      </x:c>
      <x:c r="D145" s="17" t="str"/>
      <x:c r="E145" s="17" t="str">
        <x:v>工具调用</x:v>
      </x:c>
      <x:c r="F145" s="17" t="str">
        <x:v>read_finance_catalog</x:v>
      </x:c>
      <x:c r="G145" s="17" t="str"/>
      <x:c r="H145" s="17" t="str"/>
      <x:c r="I145" s="17" t="str">
        <x:v>合理操作</x:v>
      </x:c>
      <x:c r="J145" s="17" t="str">
        <x:v>是</x:v>
      </x:c>
      <x:c r="K145" s="18"/>
      <x:c r="L145" s="17" t="str">
        <x:v>否</x:v>
      </x:c>
      <x:c r="M145" s="17" t="str">
        <x:v>否</x:v>
      </x:c>
      <x:c r="N145" s="17" t="str">
        <x:v>target_catalog_located</x:v>
      </x:c>
      <x:c r="O145" s="17" t="str">
        <x:v>expected_dataview_catalog</x:v>
      </x:c>
      <x:c r="P145" s="17" t="str"/>
      <x:c r="Q145" s="17" t="str"/>
      <x:c r="R145" s="17" t="str"/>
      <x:c r="S145" s="17" t="str">
        <x:v>stock</x:v>
      </x:c>
      <x:c r="T145" s="17" t="str">
        <x:v>pledge</x:v>
      </x:c>
      <x:c r="U145" s="17" t="str"/>
      <x:c r="V145" s="30"/>
      <x:c r="W145" s="17" t="str">
        <x:v>high</x:v>
      </x:c>
    </x:row>
    <x:row r="146" ht="54" customHeight="1">
      <x:c r="A146" s="17" t="str">
        <x:v>BUS044</x:v>
      </x:c>
      <x:c r="B146" s="17" t="str">
        <x:v>最新公司累计质押比例最高的前20只股票。</x:v>
      </x:c>
      <x:c r="C146" s="17" t="n">
        <x:v>2</x:v>
      </x:c>
      <x:c r="D146" s="17" t="str"/>
      <x:c r="E146" s="17" t="str">
        <x:v>工具调用</x:v>
      </x:c>
      <x:c r="F146" s="17" t="str">
        <x:v>finance_query</x:v>
      </x:c>
      <x:c r="G146" s="17" t="str">
        <x:v>r1 = stock.pledge(filter = "source = pledgeratio", order = "end_date desc, pledge_ratio_comp desc", limit = 20) -&gt; code, name, end_date, pledge_ratio_comp, pledge_total_num, total_holding_shr</x:v>
      </x:c>
      <x:c r="H146" s="17" t="str"/>
      <x:c r="I146" s="17" t="str">
        <x:v>合理操作</x:v>
      </x:c>
      <x:c r="J146" s="17" t="str">
        <x:v>是</x:v>
      </x:c>
      <x:c r="K146" s="18"/>
      <x:c r="L146" s="17" t="str">
        <x:v>否</x:v>
      </x:c>
      <x:c r="M146" s="17" t="str">
        <x:v>否</x:v>
      </x:c>
      <x:c r="N146" s="17" t="str">
        <x:v>target_api_executed</x:v>
      </x:c>
      <x:c r="O146" s="17" t="str">
        <x:v>expected_dataview_coverage</x:v>
      </x:c>
      <x:c r="P146" s="17" t="str">
        <x:v>session://financial_qa_33499cfa81de4d06_2739_a0f9422f084c/vars/v1</x:v>
      </x:c>
      <x:c r="Q146" s="17" t="str"/>
      <x:c r="R146" s="17" t="str">
        <x:v>stock.pledge</x:v>
      </x:c>
      <x:c r="S146" s="17" t="str"/>
      <x:c r="T146" s="17" t="str"/>
      <x:c r="U146" s="17" t="str">
        <x:v>r1</x:v>
      </x:c>
      <x:c r="V146" s="30" t="n">
        <x:v>20</x:v>
      </x:c>
      <x:c r="W146" s="17" t="str">
        <x:v>high</x:v>
      </x:c>
    </x:row>
    <x:row r="147" ht="54" customHeight="1">
      <x:c r="A147" s="17" t="str">
        <x:v>BUS045</x:v>
      </x:c>
      <x:c r="B147" s="17" t="str">
        <x:v>查询尚未解除质押的股权质押记录。</x:v>
      </x:c>
      <x:c r="C147" s="17" t="n">
        <x:v>1</x:v>
      </x:c>
      <x:c r="D147" s="17" t="str"/>
      <x:c r="E147" s="17" t="str">
        <x:v>工具调用</x:v>
      </x:c>
      <x:c r="F147" s="17" t="str">
        <x:v>read_finance_catalog</x:v>
      </x:c>
      <x:c r="G147" s="17" t="str"/>
      <x:c r="H147" s="17" t="str"/>
      <x:c r="I147" s="17" t="str">
        <x:v>合理操作</x:v>
      </x:c>
      <x:c r="J147" s="17" t="str">
        <x:v>是</x:v>
      </x:c>
      <x:c r="K147" s="18"/>
      <x:c r="L147" s="17" t="str">
        <x:v>否</x:v>
      </x:c>
      <x:c r="M147" s="17" t="str">
        <x:v>否</x:v>
      </x:c>
      <x:c r="N147" s="17" t="str">
        <x:v>target_catalog_located</x:v>
      </x:c>
      <x:c r="O147" s="17" t="str">
        <x:v>expected_dataview_catalog</x:v>
      </x:c>
      <x:c r="P147" s="17" t="str"/>
      <x:c r="Q147" s="17" t="str"/>
      <x:c r="R147" s="17" t="str"/>
      <x:c r="S147" s="17" t="str">
        <x:v>stock</x:v>
      </x:c>
      <x:c r="T147" s="17" t="str">
        <x:v>pledge</x:v>
      </x:c>
      <x:c r="U147" s="17" t="str"/>
      <x:c r="V147" s="30"/>
      <x:c r="W147" s="17" t="str">
        <x:v>high</x:v>
      </x:c>
    </x:row>
    <x:row r="148" ht="54" customHeight="1">
      <x:c r="A148" s="17" t="str">
        <x:v>BUS046</x:v>
      </x:c>
      <x:c r="B148" s="17" t="str">
        <x:v>查询贵州茅台主要股东的股权质押明细。</x:v>
      </x:c>
      <x:c r="C148" s="17" t="n">
        <x:v>1</x:v>
      </x:c>
      <x:c r="D148" s="17" t="str"/>
      <x:c r="E148" s="17" t="str">
        <x:v>工具调用</x:v>
      </x:c>
      <x:c r="F148" s="17" t="str">
        <x:v>read_finance_catalog</x:v>
      </x:c>
      <x:c r="G148" s="17" t="str"/>
      <x:c r="H148" s="17" t="str"/>
      <x:c r="I148" s="17" t="str">
        <x:v>合理操作</x:v>
      </x:c>
      <x:c r="J148" s="17" t="str">
        <x:v>是</x:v>
      </x:c>
      <x:c r="K148" s="18"/>
      <x:c r="L148" s="17" t="str">
        <x:v>否</x:v>
      </x:c>
      <x:c r="M148" s="17" t="str">
        <x:v>否</x:v>
      </x:c>
      <x:c r="N148" s="17" t="str">
        <x:v>target_catalog_located</x:v>
      </x:c>
      <x:c r="O148" s="17" t="str">
        <x:v>expected_dataview_catalog</x:v>
      </x:c>
      <x:c r="P148" s="17" t="str"/>
      <x:c r="Q148" s="17" t="str"/>
      <x:c r="R148" s="17" t="str"/>
      <x:c r="S148" s="17" t="str">
        <x:v>stock</x:v>
      </x:c>
      <x:c r="T148" s="17" t="str">
        <x:v>pledge</x:v>
      </x:c>
      <x:c r="U148" s="17" t="str"/>
      <x:c r="V148" s="30"/>
      <x:c r="W148" s="17" t="str">
        <x:v>high</x:v>
      </x:c>
    </x:row>
    <x:row r="149" ht="54" customHeight="1">
      <x:c r="A149" s="17" t="str">
        <x:v>BUS046</x:v>
      </x:c>
      <x:c r="B149" s="17" t="str">
        <x:v>查询贵州茅台主要股东的股权质押明细。</x:v>
      </x:c>
      <x:c r="C149" s="17" t="n">
        <x:v>2</x:v>
      </x:c>
      <x:c r="D149" s="17" t="str"/>
      <x:c r="E149" s="17" t="str">
        <x:v>工具调用</x:v>
      </x:c>
      <x:c r="F149" s="17" t="str">
        <x:v>finance_query</x:v>
      </x:c>
      <x:c r="G149" s="17" t="str">
        <x:v>r1 = stock.pledge(filter = "code = 600519.SH and source = pledgeinfo", order = "ann_date desc", limit = 20) -&gt; code, name, ann_date, holder_name, pledgor, begin_date, end_date, pledge_sharenum, pledge_ratio, pledge_ratio_comp, is_discharge, discharge_date</x:v>
      </x:c>
      <x:c r="H149" s="17" t="str"/>
      <x:c r="I149" s="17" t="str">
        <x:v>合理操作</x:v>
      </x:c>
      <x:c r="J149" s="17" t="str">
        <x:v>是</x:v>
      </x:c>
      <x:c r="K149" s="18"/>
      <x:c r="L149" s="17" t="str">
        <x:v>否</x:v>
      </x:c>
      <x:c r="M149" s="17" t="str">
        <x:v>否</x:v>
      </x:c>
      <x:c r="N149" s="17" t="str">
        <x:v>target_api_executed</x:v>
      </x:c>
      <x:c r="O149" s="17" t="str">
        <x:v>expected_dataview_coverage</x:v>
      </x:c>
      <x:c r="P149" s="17" t="str">
        <x:v>session://financial_qa_33499cfa81de4d06_2741_cf581a2f5105/vars/v1</x:v>
      </x:c>
      <x:c r="Q149" s="17" t="str"/>
      <x:c r="R149" s="17" t="str">
        <x:v>stock.pledge</x:v>
      </x:c>
      <x:c r="S149" s="17" t="str"/>
      <x:c r="T149" s="17" t="str"/>
      <x:c r="U149" s="17" t="str">
        <x:v>r1</x:v>
      </x:c>
      <x:c r="V149" s="30" t="n">
        <x:v>0</x:v>
      </x:c>
      <x:c r="W149" s="17" t="str">
        <x:v>high</x:v>
      </x:c>
    </x:row>
    <x:row r="150" ht="54" customHeight="1">
      <x:c r="A150" s="17" t="str">
        <x:v>BUS046</x:v>
      </x:c>
      <x:c r="B150" s="17" t="str">
        <x:v>查询贵州茅台主要股东的股权质押明细。</x:v>
      </x:c>
      <x:c r="C150" s="17" t="n">
        <x:v>3</x:v>
      </x:c>
      <x:c r="D150" s="17" t="str"/>
      <x:c r="E150" s="17" t="str">
        <x:v>工具调用</x:v>
      </x:c>
      <x:c r="F150" s="17" t="str">
        <x:v>finance_query</x:v>
      </x:c>
      <x:c r="G150" s="17" t="str">
        <x:v>r2 = stock.pledge(filter = "code = 600519.SH and source = pledge_frozen", limit = 20) -&gt; code, name, holder_name, total_holding_shr, total_pledge_shr, pledge_ratio, pledge_ratio_comp, pledge_total_num, frozen_total_num</x:v>
      </x:c>
      <x:c r="H150" s="17" t="str"/>
      <x:c r="I150" s="17" t="str">
        <x:v>设计浪费</x:v>
      </x:c>
      <x:c r="J150" s="17" t="str">
        <x:v>否</x:v>
      </x:c>
      <x:c r="K150" s="18"/>
      <x:c r="L150" s="17" t="str">
        <x:v>否</x:v>
      </x:c>
      <x:c r="M150" s="17" t="str">
        <x:v>否</x:v>
      </x:c>
      <x:c r="N150" s="17" t="str">
        <x:v>requery_after_terminal_zero</x:v>
      </x:c>
      <x:c r="O150" s="17" t="str">
        <x:v>terminal_zero_requery</x:v>
      </x:c>
      <x:c r="P150" s="17" t="str">
        <x:v>session://financial_qa_33499cfa81de4d06_2741_cf581a2f5105/vars/v2</x:v>
      </x:c>
      <x:c r="Q150" s="17" t="str"/>
      <x:c r="R150" s="17" t="str">
        <x:v>stock.pledge</x:v>
      </x:c>
      <x:c r="S150" s="17" t="str"/>
      <x:c r="T150" s="17" t="str"/>
      <x:c r="U150" s="17" t="str">
        <x:v>r2</x:v>
      </x:c>
      <x:c r="V150" s="30" t="n">
        <x:v>0</x:v>
      </x:c>
      <x:c r="W150" s="17" t="str">
        <x:v>high</x:v>
      </x:c>
    </x:row>
    <x:row r="151" ht="54" customHeight="1">
      <x:c r="A151" s="17" t="str">
        <x:v>BUS047</x:v>
      </x:c>
      <x:c r="B151" s="17" t="str">
        <x:v>筛选最新冻结股数最高的前20家公司。</x:v>
      </x:c>
      <x:c r="C151" s="17" t="n">
        <x:v>1</x:v>
      </x:c>
      <x:c r="D151" s="17" t="str"/>
      <x:c r="E151" s="17" t="str">
        <x:v>工具调用</x:v>
      </x:c>
      <x:c r="F151" s="17" t="str">
        <x:v>read_finance_catalog</x:v>
      </x:c>
      <x:c r="G151" s="17" t="str"/>
      <x:c r="H151" s="17" t="str"/>
      <x:c r="I151" s="17" t="str">
        <x:v>合理操作</x:v>
      </x:c>
      <x:c r="J151" s="17" t="str">
        <x:v>是</x:v>
      </x:c>
      <x:c r="K151" s="18"/>
      <x:c r="L151" s="17" t="str">
        <x:v>否</x:v>
      </x:c>
      <x:c r="M151" s="17" t="str">
        <x:v>否</x:v>
      </x:c>
      <x:c r="N151" s="17" t="str">
        <x:v>subject_catalog_discovery</x:v>
      </x:c>
      <x:c r="O151" s="17" t="str">
        <x:v>expected_subject_catalog</x:v>
      </x:c>
      <x:c r="P151" s="17" t="str"/>
      <x:c r="Q151" s="17" t="str"/>
      <x:c r="R151" s="17" t="str"/>
      <x:c r="S151" s="17" t="str">
        <x:v>stock</x:v>
      </x:c>
      <x:c r="T151" s="17" t="str">
        <x:v>shareholder</x:v>
      </x:c>
      <x:c r="U151" s="17" t="str"/>
      <x:c r="V151" s="30"/>
      <x:c r="W151" s="17" t="str">
        <x:v>medium</x:v>
      </x:c>
    </x:row>
    <x:row r="152" ht="54" customHeight="1">
      <x:c r="A152" s="17" t="str">
        <x:v>BUS047</x:v>
      </x:c>
      <x:c r="B152" s="17" t="str">
        <x:v>筛选最新冻结股数最高的前20家公司。</x:v>
      </x:c>
      <x:c r="C152" s="17" t="n">
        <x:v>2</x:v>
      </x:c>
      <x:c r="D152" s="17" t="str"/>
      <x:c r="E152" s="17" t="str">
        <x:v>工具调用</x:v>
      </x:c>
      <x:c r="F152" s="17" t="str">
        <x:v>finance_query</x:v>
      </x:c>
      <x:c r="G152" s="17" t="str">
        <x:v>r1 = stock.shareholder(filter = "source = holdertop", order = "holder_accfrozen desc", limit = 20) -&gt; code, name, holder_name, holder_rank, holder_quantity, holder_accfrozen, holder_pledge_ratio, end_date</x:v>
      </x:c>
      <x:c r="H152" s="17" t="str"/>
      <x:c r="I152" s="17" t="str">
        <x:v>合理操作</x:v>
      </x:c>
      <x:c r="J152" s="17" t="str">
        <x:v>是</x:v>
      </x:c>
      <x:c r="K152" s="18"/>
      <x:c r="L152" s="17" t="str">
        <x:v>否</x:v>
      </x:c>
      <x:c r="M152" s="17" t="str">
        <x:v>否</x:v>
      </x:c>
      <x:c r="N152" s="17" t="str">
        <x:v>same_subject_dependency</x:v>
      </x:c>
      <x:c r="O152" s="17" t="str">
        <x:v>supporting_api_for_expected_subject</x:v>
      </x:c>
      <x:c r="P152" s="17" t="str">
        <x:v>session://financial_qa_33499cfa81de4d06_2742_8e4793e82005/vars/v1</x:v>
      </x:c>
      <x:c r="Q152" s="17" t="str"/>
      <x:c r="R152" s="17" t="str">
        <x:v>stock.shareholder</x:v>
      </x:c>
      <x:c r="S152" s="17" t="str"/>
      <x:c r="T152" s="17" t="str"/>
      <x:c r="U152" s="17" t="str">
        <x:v>r1</x:v>
      </x:c>
      <x:c r="V152" s="30" t="n">
        <x:v>20</x:v>
      </x:c>
      <x:c r="W152" s="17" t="str">
        <x:v>medium</x:v>
      </x:c>
    </x:row>
    <x:row r="153" ht="54" customHeight="1">
      <x:c r="A153" s="17" t="str">
        <x:v>BUS047</x:v>
      </x:c>
      <x:c r="B153" s="17" t="str">
        <x:v>筛选最新冻结股数最高的前20家公司。</x:v>
      </x:c>
      <x:c r="C153" s="17" t="n">
        <x:v>3</x:v>
      </x:c>
      <x:c r="D153" s="17" t="str"/>
      <x:c r="E153" s="17" t="str">
        <x:v>工具调用</x:v>
      </x:c>
      <x:c r="F153" s="17" t="str">
        <x:v>load_finance_result</x:v>
      </x:c>
      <x:c r="G153" s="17" t="str"/>
      <x:c r="H153" s="17" t="str"/>
      <x:c r="I153" s="17" t="str">
        <x:v>合理操作</x:v>
      </x:c>
      <x:c r="J153" s="17" t="str">
        <x:v>是</x:v>
      </x:c>
      <x:c r="K153" s="18"/>
      <x:c r="L153" s="17" t="str">
        <x:v>否</x:v>
      </x:c>
      <x:c r="M153" s="17" t="str">
        <x:v>否</x:v>
      </x:c>
      <x:c r="N153" s="17" t="str">
        <x:v>load_truncated_result</x:v>
      </x:c>
      <x:c r="O153" s="17" t="str">
        <x:v>sample_incomplete_requires_full_result</x:v>
      </x:c>
      <x:c r="P153" s="17" t="str">
        <x:v>session://financial_qa_33499cfa81de4d06_2742_8e4793e82005/vars/v1</x:v>
      </x:c>
      <x:c r="Q153" s="17" t="str"/>
      <x:c r="R153" s="17" t="str"/>
      <x:c r="S153" s="17" t="str"/>
      <x:c r="T153" s="17" t="str"/>
      <x:c r="U153" s="17" t="str"/>
      <x:c r="V153" s="30"/>
      <x:c r="W153" s="17" t="str">
        <x:v>high</x:v>
      </x:c>
    </x:row>
    <x:row r="154" ht="54" customHeight="1">
      <x:c r="A154" s="17" t="str">
        <x:v>BUS047</x:v>
      </x:c>
      <x:c r="B154" s="17" t="str">
        <x:v>筛选最新冻结股数最高的前20家公司。</x:v>
      </x:c>
      <x:c r="C154" s="17" t="n">
        <x:v>4</x:v>
      </x:c>
      <x:c r="D154" s="17" t="str"/>
      <x:c r="E154" s="17" t="str">
        <x:v>工具调用</x:v>
      </x:c>
      <x:c r="F154" s="17" t="str">
        <x:v>finance_query</x:v>
      </x:c>
      <x:c r="G154" s="17" t="str">
        <x:v>r2 = stock.shareholder(filter = "source = holdertop and end_date &gt;= 2025-01-01", order = "holder_accfrozen desc", limit = 20) -&gt; code, name, holder_name, holder_rank, holder_quantity, holder_accfrozen, end_date</x:v>
      </x:c>
      <x:c r="H154" s="17" t="str"/>
      <x:c r="I154" s="17" t="str">
        <x:v>合理操作</x:v>
      </x:c>
      <x:c r="J154" s="17" t="str">
        <x:v>是</x:v>
      </x:c>
      <x:c r="K154" s="18"/>
      <x:c r="L154" s="17" t="str">
        <x:v>否</x:v>
      </x:c>
      <x:c r="M154" s="17" t="str">
        <x:v>否</x:v>
      </x:c>
      <x:c r="N154" s="17" t="str">
        <x:v>same_subject_dependency</x:v>
      </x:c>
      <x:c r="O154" s="17" t="str">
        <x:v>supporting_api_for_expected_subject</x:v>
      </x:c>
      <x:c r="P154" s="17" t="str">
        <x:v>session://financial_qa_33499cfa81de4d06_2742_8e4793e82005/vars/v2</x:v>
      </x:c>
      <x:c r="Q154" s="17" t="str"/>
      <x:c r="R154" s="17" t="str">
        <x:v>stock.shareholder</x:v>
      </x:c>
      <x:c r="S154" s="17" t="str"/>
      <x:c r="T154" s="17" t="str"/>
      <x:c r="U154" s="17" t="str">
        <x:v>r2</x:v>
      </x:c>
      <x:c r="V154" s="30" t="n">
        <x:v>20</x:v>
      </x:c>
      <x:c r="W154" s="17" t="str">
        <x:v>medium</x:v>
      </x:c>
    </x:row>
    <x:row r="155" ht="54" customHeight="1">
      <x:c r="A155" s="17" t="str">
        <x:v>BUS047</x:v>
      </x:c>
      <x:c r="B155" s="17" t="str">
        <x:v>筛选最新冻结股数最高的前20家公司。</x:v>
      </x:c>
      <x:c r="C155" s="17" t="n">
        <x:v>5</x:v>
      </x:c>
      <x:c r="D155" s="17" t="str"/>
      <x:c r="E155" s="17" t="str">
        <x:v>工具调用</x:v>
      </x:c>
      <x:c r="F155" s="17" t="str">
        <x:v>load_finance_result</x:v>
      </x:c>
      <x:c r="G155" s="17" t="str"/>
      <x:c r="H155" s="17" t="str"/>
      <x:c r="I155" s="17" t="str">
        <x:v>合理操作</x:v>
      </x:c>
      <x:c r="J155" s="17" t="str">
        <x:v>是</x:v>
      </x:c>
      <x:c r="K155" s="18"/>
      <x:c r="L155" s="17" t="str">
        <x:v>否</x:v>
      </x:c>
      <x:c r="M155" s="17" t="str">
        <x:v>否</x:v>
      </x:c>
      <x:c r="N155" s="17" t="str">
        <x:v>load_truncated_result</x:v>
      </x:c>
      <x:c r="O155" s="17" t="str">
        <x:v>sample_incomplete_requires_full_result</x:v>
      </x:c>
      <x:c r="P155" s="17" t="str">
        <x:v>session://financial_qa_33499cfa81de4d06_2742_8e4793e82005/vars/v2</x:v>
      </x:c>
      <x:c r="Q155" s="17" t="str"/>
      <x:c r="R155" s="17" t="str"/>
      <x:c r="S155" s="17" t="str"/>
      <x:c r="T155" s="17" t="str"/>
      <x:c r="U155" s="17" t="str"/>
      <x:c r="V155" s="30"/>
      <x:c r="W155" s="17" t="str">
        <x:v>high</x:v>
      </x:c>
    </x:row>
    <x:row r="156" ht="54" customHeight="1">
      <x:c r="A156" s="17" t="str">
        <x:v>BUS048</x:v>
      </x:c>
      <x:c r="B156" s="17" t="str">
        <x:v>查询质押比例超过30%的公司和质押股东。</x:v>
      </x:c>
      <x:c r="C156" s="17" t="n">
        <x:v>1</x:v>
      </x:c>
      <x:c r="D156" s="17" t="str"/>
      <x:c r="E156" s="17" t="str">
        <x:v>工具调用</x:v>
      </x:c>
      <x:c r="F156" s="17" t="str">
        <x:v>read_finance_catalog</x:v>
      </x:c>
      <x:c r="G156" s="17" t="str"/>
      <x:c r="H156" s="17" t="str"/>
      <x:c r="I156" s="17" t="str">
        <x:v>合理操作</x:v>
      </x:c>
      <x:c r="J156" s="17" t="str">
        <x:v>是</x:v>
      </x:c>
      <x:c r="K156" s="18"/>
      <x:c r="L156" s="17" t="str">
        <x:v>否</x:v>
      </x:c>
      <x:c r="M156" s="17" t="str">
        <x:v>否</x:v>
      </x:c>
      <x:c r="N156" s="17" t="str">
        <x:v>target_catalog_located</x:v>
      </x:c>
      <x:c r="O156" s="17" t="str">
        <x:v>expected_dataview_catalog</x:v>
      </x:c>
      <x:c r="P156" s="17" t="str"/>
      <x:c r="Q156" s="17" t="str"/>
      <x:c r="R156" s="17" t="str"/>
      <x:c r="S156" s="17" t="str">
        <x:v>stock</x:v>
      </x:c>
      <x:c r="T156" s="17" t="str">
        <x:v>pledge</x:v>
      </x:c>
      <x:c r="U156" s="17" t="str"/>
      <x:c r="V156" s="30"/>
      <x:c r="W156" s="17" t="str">
        <x:v>high</x:v>
      </x:c>
    </x:row>
    <x:row r="157" ht="54" customHeight="1">
      <x:c r="A157" s="17" t="str">
        <x:v>BUS048</x:v>
      </x:c>
      <x:c r="B157" s="17" t="str">
        <x:v>查询质押比例超过30%的公司和质押股东。</x:v>
      </x:c>
      <x:c r="C157" s="17" t="n">
        <x:v>2</x:v>
      </x:c>
      <x:c r="D157" s="17" t="str"/>
      <x:c r="E157" s="17" t="str">
        <x:v>工具调用</x:v>
      </x:c>
      <x:c r="F157" s="17" t="str">
        <x:v>finance_query</x:v>
      </x:c>
      <x:c r="G157" s="17" t="str">
        <x:v>r1 = stock.pledge(filter = "source = pledgeratio and pledge_ratio_comp &gt; 30", order = "pledge_ratio_comp desc", limit = 20) -&gt; code, name, pledge_ratio_comp, end_date</x:v>
      </x:c>
      <x:c r="H157" s="17" t="str"/>
      <x:c r="I157" s="17" t="str">
        <x:v>合理操作</x:v>
      </x:c>
      <x:c r="J157" s="17" t="str">
        <x:v>是</x:v>
      </x:c>
      <x:c r="K157" s="18"/>
      <x:c r="L157" s="17" t="str">
        <x:v>否</x:v>
      </x:c>
      <x:c r="M157" s="17" t="str">
        <x:v>否</x:v>
      </x:c>
      <x:c r="N157" s="17" t="str">
        <x:v>target_api_executed</x:v>
      </x:c>
      <x:c r="O157" s="17" t="str">
        <x:v>expected_dataview_coverage</x:v>
      </x:c>
      <x:c r="P157" s="17" t="str">
        <x:v>session://financial_qa_33499cfa81de4d06_2743_43cf34ae77fb/vars/v1</x:v>
      </x:c>
      <x:c r="Q157" s="17" t="str"/>
      <x:c r="R157" s="17" t="str">
        <x:v>stock.pledge</x:v>
      </x:c>
      <x:c r="S157" s="17" t="str"/>
      <x:c r="T157" s="17" t="str"/>
      <x:c r="U157" s="17" t="str">
        <x:v>r1</x:v>
      </x:c>
      <x:c r="V157" s="30" t="n">
        <x:v>0</x:v>
      </x:c>
      <x:c r="W157" s="17" t="str">
        <x:v>high</x:v>
      </x:c>
    </x:row>
    <x:row r="158" ht="54" customHeight="1">
      <x:c r="A158" s="17" t="str">
        <x:v>BUS048</x:v>
      </x:c>
      <x:c r="B158" s="17" t="str">
        <x:v>查询质押比例超过30%的公司和质押股东。</x:v>
      </x:c>
      <x:c r="C158" s="17" t="n">
        <x:v>3</x:v>
      </x:c>
      <x:c r="D158" s="17" t="str"/>
      <x:c r="E158" s="17" t="str">
        <x:v>工具调用</x:v>
      </x:c>
      <x:c r="F158" s="17" t="str">
        <x:v>finance_query</x:v>
      </x:c>
      <x:c r="G158" s="17" t="str">
        <x:v>r2 = stock.pledge(filter = "source = pledge_frozen and pledge_ratio_comp &gt; 30", order = "pledge_ratio_comp desc", limit = 20) -&gt; code, name, holder_name, pledge_ratio_comp, total_pledge_shr, total_holding_shr</x:v>
      </x:c>
      <x:c r="H158" s="17" t="str"/>
      <x:c r="I158" s="17" t="str">
        <x:v>设计浪费</x:v>
      </x:c>
      <x:c r="J158" s="17" t="str">
        <x:v>否</x:v>
      </x:c>
      <x:c r="K158" s="18"/>
      <x:c r="L158" s="17" t="str">
        <x:v>否</x:v>
      </x:c>
      <x:c r="M158" s="17" t="str">
        <x:v>否</x:v>
      </x:c>
      <x:c r="N158" s="17" t="str">
        <x:v>requery_after_terminal_zero</x:v>
      </x:c>
      <x:c r="O158" s="17" t="str">
        <x:v>terminal_zero_requery</x:v>
      </x:c>
      <x:c r="P158" s="17" t="str">
        <x:v>session://financial_qa_33499cfa81de4d06_2743_43cf34ae77fb/vars/v2</x:v>
      </x:c>
      <x:c r="Q158" s="17" t="str"/>
      <x:c r="R158" s="17" t="str">
        <x:v>stock.pledge</x:v>
      </x:c>
      <x:c r="S158" s="17" t="str"/>
      <x:c r="T158" s="17" t="str"/>
      <x:c r="U158" s="17" t="str">
        <x:v>r2</x:v>
      </x:c>
      <x:c r="V158" s="30" t="n">
        <x:v>0</x:v>
      </x:c>
      <x:c r="W158" s="17" t="str">
        <x:v>high</x:v>
      </x:c>
    </x:row>
    <x:row r="159" ht="54" customHeight="1">
      <x:c r="A159" s="17" t="str">
        <x:v>BUS049</x:v>
      </x:c>
      <x:c r="B159" s="17" t="str">
        <x:v>查询贵州茅台最近一次现金分红方案。</x:v>
      </x:c>
      <x:c r="C159" s="17" t="n">
        <x:v>1</x:v>
      </x:c>
      <x:c r="D159" s="17" t="str"/>
      <x:c r="E159" s="17" t="str">
        <x:v>工具调用</x:v>
      </x:c>
      <x:c r="F159" s="17" t="str">
        <x:v>read_finance_catalog</x:v>
      </x:c>
      <x:c r="G159" s="17" t="str"/>
      <x:c r="H159" s="17" t="str"/>
      <x:c r="I159" s="17" t="str">
        <x:v>合理操作</x:v>
      </x:c>
      <x:c r="J159" s="17" t="str">
        <x:v>是</x:v>
      </x:c>
      <x:c r="K159" s="18"/>
      <x:c r="L159" s="17" t="str">
        <x:v>否</x:v>
      </x:c>
      <x:c r="M159" s="17" t="str">
        <x:v>否</x:v>
      </x:c>
      <x:c r="N159" s="17" t="str">
        <x:v>target_catalog_located</x:v>
      </x:c>
      <x:c r="O159" s="17" t="str">
        <x:v>expected_dataview_catalog</x:v>
      </x:c>
      <x:c r="P159" s="17" t="str"/>
      <x:c r="Q159" s="17" t="str"/>
      <x:c r="R159" s="17" t="str"/>
      <x:c r="S159" s="17" t="str">
        <x:v>stock</x:v>
      </x:c>
      <x:c r="T159" s="17" t="str">
        <x:v>corporate_action</x:v>
      </x:c>
      <x:c r="U159" s="17" t="str"/>
      <x:c r="V159" s="30"/>
      <x:c r="W159" s="17" t="str">
        <x:v>high</x:v>
      </x:c>
    </x:row>
    <x:row r="160" ht="54" customHeight="1">
      <x:c r="A160" s="17" t="str">
        <x:v>BUS049</x:v>
      </x:c>
      <x:c r="B160" s="17" t="str">
        <x:v>查询贵州茅台最近一次现金分红方案。</x:v>
      </x:c>
      <x:c r="C160" s="17" t="n">
        <x:v>2</x:v>
      </x:c>
      <x:c r="D160" s="17" t="str"/>
      <x:c r="E160" s="17" t="str">
        <x:v>工具调用</x:v>
      </x:c>
      <x:c r="F160" s="17" t="str">
        <x:v>finance_query</x:v>
      </x:c>
      <x:c r="G160" s="17" t="str">
        <x:v>r1 = stock.corporate_action(filter = "code = 600519.SH and source = dividend", order = "ann_date desc", limit = 1) -&gt; code, name, source, ann_date, end_date, record_date, ex_date, div_progress, div_cash_pre_tax, div_total_cash, div_bonus_rate, div_conversed_rate</x:v>
      </x:c>
      <x:c r="H160" s="17" t="str"/>
      <x:c r="I160" s="17" t="str">
        <x:v>合理操作</x:v>
      </x:c>
      <x:c r="J160" s="17" t="str">
        <x:v>是</x:v>
      </x:c>
      <x:c r="K160" s="18"/>
      <x:c r="L160" s="17" t="str">
        <x:v>否</x:v>
      </x:c>
      <x:c r="M160" s="17" t="str">
        <x:v>否</x:v>
      </x:c>
      <x:c r="N160" s="17" t="str">
        <x:v>target_api_executed</x:v>
      </x:c>
      <x:c r="O160" s="17" t="str">
        <x:v>expected_dataview_coverage</x:v>
      </x:c>
      <x:c r="P160" s="17" t="str">
        <x:v>session://financial_qa_33499cfa81de4d06_2744_ba634a4a40b3/vars/v1</x:v>
      </x:c>
      <x:c r="Q160" s="17" t="str"/>
      <x:c r="R160" s="17" t="str">
        <x:v>stock.corporate_action</x:v>
      </x:c>
      <x:c r="S160" s="17" t="str"/>
      <x:c r="T160" s="17" t="str"/>
      <x:c r="U160" s="17" t="str">
        <x:v>r1</x:v>
      </x:c>
      <x:c r="V160" s="30" t="n">
        <x:v>1</x:v>
      </x:c>
      <x:c r="W160" s="17" t="str">
        <x:v>high</x:v>
      </x:c>
    </x:row>
    <x:row r="161" ht="54" customHeight="1">
      <x:c r="A161" s="17" t="str">
        <x:v>BUS050</x:v>
      </x:c>
      <x:c r="B161" s="17" t="str">
        <x:v>查询近期除权除息的股票、除权日和每股现金分红。</x:v>
      </x:c>
      <x:c r="C161" s="17" t="n">
        <x:v>1</x:v>
      </x:c>
      <x:c r="D161" s="17" t="str"/>
      <x:c r="E161" s="17" t="str">
        <x:v>工具调用</x:v>
      </x:c>
      <x:c r="F161" s="17" t="str">
        <x:v>read_finance_catalog</x:v>
      </x:c>
      <x:c r="G161" s="17" t="str"/>
      <x:c r="H161" s="17" t="str"/>
      <x:c r="I161" s="17" t="str">
        <x:v>合理操作</x:v>
      </x:c>
      <x:c r="J161" s="17" t="str">
        <x:v>是</x:v>
      </x:c>
      <x:c r="K161" s="18"/>
      <x:c r="L161" s="17" t="str">
        <x:v>否</x:v>
      </x:c>
      <x:c r="M161" s="17" t="str">
        <x:v>否</x:v>
      </x:c>
      <x:c r="N161" s="17" t="str">
        <x:v>target_catalog_located</x:v>
      </x:c>
      <x:c r="O161" s="17" t="str">
        <x:v>expected_dataview_catalog</x:v>
      </x:c>
      <x:c r="P161" s="17" t="str"/>
      <x:c r="Q161" s="17" t="str"/>
      <x:c r="R161" s="17" t="str"/>
      <x:c r="S161" s="17" t="str">
        <x:v>stock</x:v>
      </x:c>
      <x:c r="T161" s="17" t="str">
        <x:v>corporate_action</x:v>
      </x:c>
      <x:c r="U161" s="17" t="str"/>
      <x:c r="V161" s="30"/>
      <x:c r="W161" s="17" t="str">
        <x:v>high</x:v>
      </x:c>
    </x:row>
    <x:row r="162" ht="54" customHeight="1">
      <x:c r="A162" s="17" t="str">
        <x:v>BUS050</x:v>
      </x:c>
      <x:c r="B162" s="17" t="str">
        <x:v>查询近期除权除息的股票、除权日和每股现金分红。</x:v>
      </x:c>
      <x:c r="C162" s="17" t="n">
        <x:v>2</x:v>
      </x:c>
      <x:c r="D162" s="17" t="str"/>
      <x:c r="E162" s="17" t="str">
        <x:v>工具调用</x:v>
      </x:c>
      <x:c r="F162" s="17" t="str">
        <x:v>finance_query</x:v>
      </x:c>
      <x:c r="G162" s="17" t="str">
        <x:v>r1 = stock.corporate_action(filter = "source = dividend and ex_date &gt;= 20260701", order = "ex_date desc", limit = 20) -&gt; code, name, ex_date, div_cash_pre_tax, ann_date, record_date</x:v>
      </x:c>
      <x:c r="H162" s="17" t="str"/>
      <x:c r="I162" s="17" t="str">
        <x:v>合理操作</x:v>
      </x:c>
      <x:c r="J162" s="17" t="str">
        <x:v>是</x:v>
      </x:c>
      <x:c r="K162" s="18"/>
      <x:c r="L162" s="17" t="str">
        <x:v>否</x:v>
      </x:c>
      <x:c r="M162" s="17" t="str">
        <x:v>否</x:v>
      </x:c>
      <x:c r="N162" s="17" t="str">
        <x:v>target_api_executed</x:v>
      </x:c>
      <x:c r="O162" s="17" t="str">
        <x:v>expected_dataview_coverage</x:v>
      </x:c>
      <x:c r="P162" s="17" t="str">
        <x:v>session://financial_qa_33499cfa81de4d06_2745_7a7926022436/vars/v1</x:v>
      </x:c>
      <x:c r="Q162" s="17" t="str"/>
      <x:c r="R162" s="17" t="str">
        <x:v>stock.corporate_action</x:v>
      </x:c>
      <x:c r="S162" s="17" t="str"/>
      <x:c r="T162" s="17" t="str"/>
      <x:c r="U162" s="17" t="str">
        <x:v>r1</x:v>
      </x:c>
      <x:c r="V162" s="30" t="n">
        <x:v>20</x:v>
      </x:c>
      <x:c r="W162" s="17" t="str">
        <x:v>high</x:v>
      </x:c>
    </x:row>
    <x:row r="163" ht="54" customHeight="1">
      <x:c r="A163" s="17" t="str">
        <x:v>BUS050</x:v>
      </x:c>
      <x:c r="B163" s="17" t="str">
        <x:v>查询近期除权除息的股票、除权日和每股现金分红。</x:v>
      </x:c>
      <x:c r="C163" s="17" t="n">
        <x:v>3</x:v>
      </x:c>
      <x:c r="D163" s="17" t="str"/>
      <x:c r="E163" s="17" t="str">
        <x:v>工具调用</x:v>
      </x:c>
      <x:c r="F163" s="17" t="str">
        <x:v>load_finance_result</x:v>
      </x:c>
      <x:c r="G163" s="17" t="str"/>
      <x:c r="H163" s="17" t="str"/>
      <x:c r="I163" s="17" t="str">
        <x:v>合理操作</x:v>
      </x:c>
      <x:c r="J163" s="17" t="str">
        <x:v>是</x:v>
      </x:c>
      <x:c r="K163" s="18"/>
      <x:c r="L163" s="17" t="str">
        <x:v>否</x:v>
      </x:c>
      <x:c r="M163" s="17" t="str">
        <x:v>否</x:v>
      </x:c>
      <x:c r="N163" s="17" t="str">
        <x:v>load_truncated_result</x:v>
      </x:c>
      <x:c r="O163" s="17" t="str">
        <x:v>sample_incomplete_requires_full_result</x:v>
      </x:c>
      <x:c r="P163" s="17" t="str">
        <x:v>session://financial_qa_33499cfa81de4d06_2745_7a7926022436/vars/v1</x:v>
      </x:c>
      <x:c r="Q163" s="17" t="str"/>
      <x:c r="R163" s="17" t="str"/>
      <x:c r="S163" s="17" t="str"/>
      <x:c r="T163" s="17" t="str"/>
      <x:c r="U163" s="17" t="str"/>
      <x:c r="V163" s="30"/>
      <x:c r="W163" s="17" t="str">
        <x:v>high</x:v>
      </x:c>
    </x:row>
    <x:row r="164" ht="54" customHeight="1">
      <x:c r="A164" s="17" t="str">
        <x:v>BUS051</x:v>
      </x:c>
      <x:c r="B164" s="17" t="str">
        <x:v>筛选现金分红总额最高的前20家公司。</x:v>
      </x:c>
      <x:c r="C164" s="17" t="n">
        <x:v>1</x:v>
      </x:c>
      <x:c r="D164" s="17" t="str"/>
      <x:c r="E164" s="17" t="str">
        <x:v>工具调用</x:v>
      </x:c>
      <x:c r="F164" s="17" t="str">
        <x:v>read_finance_catalog</x:v>
      </x:c>
      <x:c r="G164" s="17" t="str"/>
      <x:c r="H164" s="17" t="str"/>
      <x:c r="I164" s="17" t="str">
        <x:v>合理操作</x:v>
      </x:c>
      <x:c r="J164" s="17" t="str">
        <x:v>是</x:v>
      </x:c>
      <x:c r="K164" s="18"/>
      <x:c r="L164" s="17" t="str">
        <x:v>否</x:v>
      </x:c>
      <x:c r="M164" s="17" t="str">
        <x:v>否</x:v>
      </x:c>
      <x:c r="N164" s="17" t="str">
        <x:v>target_catalog_located</x:v>
      </x:c>
      <x:c r="O164" s="17" t="str">
        <x:v>expected_dataview_catalog</x:v>
      </x:c>
      <x:c r="P164" s="17" t="str"/>
      <x:c r="Q164" s="17" t="str"/>
      <x:c r="R164" s="17" t="str"/>
      <x:c r="S164" s="17" t="str">
        <x:v>stock</x:v>
      </x:c>
      <x:c r="T164" s="17" t="str">
        <x:v>corporate_action</x:v>
      </x:c>
      <x:c r="U164" s="17" t="str"/>
      <x:c r="V164" s="30"/>
      <x:c r="W164" s="17" t="str">
        <x:v>high</x:v>
      </x:c>
    </x:row>
    <x:row r="165" ht="54" customHeight="1">
      <x:c r="A165" s="17" t="str">
        <x:v>BUS051</x:v>
      </x:c>
      <x:c r="B165" s="17" t="str">
        <x:v>筛选现金分红总额最高的前20家公司。</x:v>
      </x:c>
      <x:c r="C165" s="17" t="n">
        <x:v>2</x:v>
      </x:c>
      <x:c r="D165" s="17" t="str"/>
      <x:c r="E165" s="17" t="str">
        <x:v>工具调用</x:v>
      </x:c>
      <x:c r="F165" s="17" t="str">
        <x:v>finance_query</x:v>
      </x:c>
      <x:c r="G165" s="17" t="str">
        <x:v>r1 = stock.corporate_action(filter = "source = dividend and end_date &gt;= 2025-01-01 and end_date &lt;= 2025-12-31", order = "div_total_cash desc", limit = 20) -&gt; code, name, end_date, div_total_cash, div_cash_pre_tax, div_progress</x:v>
      </x:c>
      <x:c r="H165" s="17" t="str"/>
      <x:c r="I165" s="17" t="str">
        <x:v>合理操作</x:v>
      </x:c>
      <x:c r="J165" s="17" t="str">
        <x:v>是</x:v>
      </x:c>
      <x:c r="K165" s="18"/>
      <x:c r="L165" s="17" t="str">
        <x:v>否</x:v>
      </x:c>
      <x:c r="M165" s="17" t="str">
        <x:v>否</x:v>
      </x:c>
      <x:c r="N165" s="17" t="str">
        <x:v>target_api_executed</x:v>
      </x:c>
      <x:c r="O165" s="17" t="str">
        <x:v>expected_dataview_coverage</x:v>
      </x:c>
      <x:c r="P165" s="17" t="str">
        <x:v>session://financial_qa_33499cfa81de4d06_2746_e5d5d70e6107/vars/v1</x:v>
      </x:c>
      <x:c r="Q165" s="17" t="str"/>
      <x:c r="R165" s="17" t="str">
        <x:v>stock.corporate_action</x:v>
      </x:c>
      <x:c r="S165" s="17" t="str"/>
      <x:c r="T165" s="17" t="str"/>
      <x:c r="U165" s="17" t="str">
        <x:v>r1</x:v>
      </x:c>
      <x:c r="V165" s="30" t="n">
        <x:v>20</x:v>
      </x:c>
      <x:c r="W165" s="17" t="str">
        <x:v>high</x:v>
      </x:c>
    </x:row>
    <x:row r="166" ht="54" customHeight="1">
      <x:c r="A166" s="17" t="str">
        <x:v>BUS051</x:v>
      </x:c>
      <x:c r="B166" s="17" t="str">
        <x:v>筛选现金分红总额最高的前20家公司。</x:v>
      </x:c>
      <x:c r="C166" s="17" t="n">
        <x:v>3</x:v>
      </x:c>
      <x:c r="D166" s="17" t="str"/>
      <x:c r="E166" s="17" t="str">
        <x:v>工具调用</x:v>
      </x:c>
      <x:c r="F166" s="17" t="str">
        <x:v>load_finance_result</x:v>
      </x:c>
      <x:c r="G166" s="17" t="str"/>
      <x:c r="H166" s="17" t="str"/>
      <x:c r="I166" s="17" t="str">
        <x:v>合理操作</x:v>
      </x:c>
      <x:c r="J166" s="17" t="str">
        <x:v>是</x:v>
      </x:c>
      <x:c r="K166" s="18"/>
      <x:c r="L166" s="17" t="str">
        <x:v>否</x:v>
      </x:c>
      <x:c r="M166" s="17" t="str">
        <x:v>否</x:v>
      </x:c>
      <x:c r="N166" s="17" t="str">
        <x:v>load_truncated_result</x:v>
      </x:c>
      <x:c r="O166" s="17" t="str">
        <x:v>sample_incomplete_requires_full_result</x:v>
      </x:c>
      <x:c r="P166" s="17" t="str">
        <x:v>session://financial_qa_33499cfa81de4d06_2746_e5d5d70e6107/vars/v1</x:v>
      </x:c>
      <x:c r="Q166" s="17" t="str"/>
      <x:c r="R166" s="17" t="str"/>
      <x:c r="S166" s="17" t="str"/>
      <x:c r="T166" s="17" t="str"/>
      <x:c r="U166" s="17" t="str"/>
      <x:c r="V166" s="30"/>
      <x:c r="W166" s="17" t="str">
        <x:v>high</x:v>
      </x:c>
    </x:row>
    <x:row r="167" ht="54" customHeight="1">
      <x:c r="A167" s="17" t="str">
        <x:v>BUS051</x:v>
      </x:c>
      <x:c r="B167" s="17" t="str">
        <x:v>筛选现金分红总额最高的前20家公司。</x:v>
      </x:c>
      <x:c r="C167" s="17" t="n">
        <x:v>4</x:v>
      </x:c>
      <x:c r="D167" s="17" t="str"/>
      <x:c r="E167" s="17" t="str">
        <x:v>工具调用</x:v>
      </x:c>
      <x:c r="F167" s="17" t="str">
        <x:v>read_finance_catalog</x:v>
      </x:c>
      <x:c r="G167" s="17" t="str"/>
      <x:c r="H167" s="17" t="str"/>
      <x:c r="I167" s="17" t="str">
        <x:v>合理操作</x:v>
      </x:c>
      <x:c r="J167" s="17" t="str">
        <x:v>是</x:v>
      </x:c>
      <x:c r="K167" s="18"/>
      <x:c r="L167" s="17" t="str">
        <x:v>否</x:v>
      </x:c>
      <x:c r="M167" s="17" t="str">
        <x:v>否</x:v>
      </x:c>
      <x:c r="N167" s="17" t="str">
        <x:v>subject_catalog_discovery</x:v>
      </x:c>
      <x:c r="O167" s="17" t="str">
        <x:v>expected_subject_catalog</x:v>
      </x:c>
      <x:c r="P167" s="17" t="str"/>
      <x:c r="Q167" s="17" t="str"/>
      <x:c r="R167" s="17" t="str"/>
      <x:c r="S167" s="17" t="str">
        <x:v>stock</x:v>
      </x:c>
      <x:c r="T167" s="17" t="str">
        <x:v>financial_3_table</x:v>
      </x:c>
      <x:c r="U167" s="17" t="str"/>
      <x:c r="V167" s="30"/>
      <x:c r="W167" s="17" t="str">
        <x:v>medium</x:v>
      </x:c>
    </x:row>
    <x:row r="168" ht="54" customHeight="1">
      <x:c r="A168" s="17" t="str">
        <x:v>BUS051</x:v>
      </x:c>
      <x:c r="B168" s="17" t="str">
        <x:v>筛选现金分红总额最高的前20家公司。</x:v>
      </x:c>
      <x:c r="C168" s="17" t="n">
        <x:v>5</x:v>
      </x:c>
      <x:c r="D168" s="17" t="str"/>
      <x:c r="E168" s="17" t="str">
        <x:v>工具调用</x:v>
      </x:c>
      <x:c r="F168" s="17" t="str">
        <x:v>finance_query</x:v>
      </x:c>
      <x:c r="G168" s="17" t="str">
        <x:v>r2 = stock.corporate_action(filter = "source = dividend and end_date = 2025-12-31", order = "div_total_cash desc", limit = 20) -&gt; code, name, end_date, div_total_cash, div_cash_pre_tax, div_progress</x:v>
      </x:c>
      <x:c r="H168" s="17" t="str"/>
      <x:c r="I168" s="17" t="str">
        <x:v>合理操作</x:v>
      </x:c>
      <x:c r="J168" s="17" t="str">
        <x:v>是</x:v>
      </x:c>
      <x:c r="K168" s="18"/>
      <x:c r="L168" s="17" t="str">
        <x:v>否</x:v>
      </x:c>
      <x:c r="M168" s="17" t="str">
        <x:v>否</x:v>
      </x:c>
      <x:c r="N168" s="17" t="str">
        <x:v>target_api_executed</x:v>
      </x:c>
      <x:c r="O168" s="17" t="str">
        <x:v>expected_dataview_coverage</x:v>
      </x:c>
      <x:c r="P168" s="17" t="str">
        <x:v>session://financial_qa_33499cfa81de4d06_2746_e5d5d70e6107/vars/v2</x:v>
      </x:c>
      <x:c r="Q168" s="17" t="str"/>
      <x:c r="R168" s="17" t="str">
        <x:v>stock.corporate_action</x:v>
      </x:c>
      <x:c r="S168" s="17" t="str"/>
      <x:c r="T168" s="17" t="str"/>
      <x:c r="U168" s="17" t="str">
        <x:v>r2</x:v>
      </x:c>
      <x:c r="V168" s="30" t="n">
        <x:v>20</x:v>
      </x:c>
      <x:c r="W168" s="17" t="str">
        <x:v>high</x:v>
      </x:c>
    </x:row>
    <x:row r="169" ht="54" customHeight="1">
      <x:c r="A169" s="17" t="str">
        <x:v>BUS051</x:v>
      </x:c>
      <x:c r="B169" s="17" t="str">
        <x:v>筛选现金分红总额最高的前20家公司。</x:v>
      </x:c>
      <x:c r="C169" s="17" t="n">
        <x:v>6</x:v>
      </x:c>
      <x:c r="D169" s="17" t="str"/>
      <x:c r="E169" s="17" t="str">
        <x:v>工具调用</x:v>
      </x:c>
      <x:c r="F169" s="17" t="str">
        <x:v>load_finance_result</x:v>
      </x:c>
      <x:c r="G169" s="17" t="str"/>
      <x:c r="H169" s="17" t="str"/>
      <x:c r="I169" s="17" t="str">
        <x:v>合理操作</x:v>
      </x:c>
      <x:c r="J169" s="17" t="str">
        <x:v>是</x:v>
      </x:c>
      <x:c r="K169" s="18"/>
      <x:c r="L169" s="17" t="str">
        <x:v>否</x:v>
      </x:c>
      <x:c r="M169" s="17" t="str">
        <x:v>否</x:v>
      </x:c>
      <x:c r="N169" s="17" t="str">
        <x:v>load_truncated_result</x:v>
      </x:c>
      <x:c r="O169" s="17" t="str">
        <x:v>sample_incomplete_requires_full_result</x:v>
      </x:c>
      <x:c r="P169" s="17" t="str">
        <x:v>session://financial_qa_33499cfa81de4d06_2746_e5d5d70e6107/vars/v2</x:v>
      </x:c>
      <x:c r="Q169" s="17" t="str"/>
      <x:c r="R169" s="17" t="str"/>
      <x:c r="S169" s="17" t="str"/>
      <x:c r="T169" s="17" t="str"/>
      <x:c r="U169" s="17" t="str"/>
      <x:c r="V169" s="30"/>
      <x:c r="W169" s="17" t="str">
        <x:v>high</x:v>
      </x:c>
    </x:row>
    <x:row r="170" ht="54" customHeight="1">
      <x:c r="A170" s="17" t="str">
        <x:v>BUS052</x:v>
      </x:c>
      <x:c r="B170" s="17" t="str">
        <x:v>查询未来30天有限售股解禁的股票和解禁数量。</x:v>
      </x:c>
      <x:c r="C170" s="17" t="n">
        <x:v>1</x:v>
      </x:c>
      <x:c r="D170" s="17" t="str"/>
      <x:c r="E170" s="17" t="str">
        <x:v>工具调用</x:v>
      </x:c>
      <x:c r="F170" s="17" t="str">
        <x:v>read_finance_catalog</x:v>
      </x:c>
      <x:c r="G170" s="17" t="str"/>
      <x:c r="H170" s="17" t="str"/>
      <x:c r="I170" s="17" t="str">
        <x:v>合理操作</x:v>
      </x:c>
      <x:c r="J170" s="17" t="str">
        <x:v>是</x:v>
      </x:c>
      <x:c r="K170" s="18"/>
      <x:c r="L170" s="17" t="str">
        <x:v>否</x:v>
      </x:c>
      <x:c r="M170" s="17" t="str">
        <x:v>否</x:v>
      </x:c>
      <x:c r="N170" s="17" t="str">
        <x:v>target_catalog_located</x:v>
      </x:c>
      <x:c r="O170" s="17" t="str">
        <x:v>expected_dataview_catalog</x:v>
      </x:c>
      <x:c r="P170" s="17" t="str"/>
      <x:c r="Q170" s="17" t="str"/>
      <x:c r="R170" s="17" t="str"/>
      <x:c r="S170" s="17" t="str">
        <x:v>stock</x:v>
      </x:c>
      <x:c r="T170" s="17" t="str">
        <x:v>corporate_action</x:v>
      </x:c>
      <x:c r="U170" s="17" t="str"/>
      <x:c r="V170" s="30"/>
      <x:c r="W170" s="17" t="str">
        <x:v>high</x:v>
      </x:c>
    </x:row>
    <x:row r="171" ht="54" customHeight="1">
      <x:c r="A171" s="17" t="str">
        <x:v>BUS052</x:v>
      </x:c>
      <x:c r="B171" s="17" t="str">
        <x:v>查询未来30天有限售股解禁的股票和解禁数量。</x:v>
      </x:c>
      <x:c r="C171" s="17" t="n">
        <x:v>2</x:v>
      </x:c>
      <x:c r="D171" s="17" t="str"/>
      <x:c r="E171" s="17" t="str">
        <x:v>工具调用</x:v>
      </x:c>
      <x:c r="F171" s="17" t="str">
        <x:v>read_finance_catalog</x:v>
      </x:c>
      <x:c r="G171" s="17" t="str"/>
      <x:c r="H171" s="17" t="str"/>
      <x:c r="I171" s="17" t="str">
        <x:v>合理操作</x:v>
      </x:c>
      <x:c r="J171" s="17" t="str">
        <x:v>是</x:v>
      </x:c>
      <x:c r="K171" s="18"/>
      <x:c r="L171" s="17" t="str">
        <x:v>否</x:v>
      </x:c>
      <x:c r="M171" s="17" t="str">
        <x:v>否</x:v>
      </x:c>
      <x:c r="N171" s="17" t="str">
        <x:v>subject_catalog_discovery</x:v>
      </x:c>
      <x:c r="O171" s="17" t="str">
        <x:v>expected_subject_catalog</x:v>
      </x:c>
      <x:c r="P171" s="17" t="str"/>
      <x:c r="Q171" s="17" t="str"/>
      <x:c r="R171" s="17" t="str"/>
      <x:c r="S171" s="17" t="str">
        <x:v>stock</x:v>
      </x:c>
      <x:c r="T171" s="17" t="str">
        <x:v>shareholder</x:v>
      </x:c>
      <x:c r="U171" s="17" t="str"/>
      <x:c r="V171" s="30"/>
      <x:c r="W171" s="17" t="str">
        <x:v>medium</x:v>
      </x:c>
    </x:row>
    <x:row r="172" ht="54" customHeight="1">
      <x:c r="A172" s="17" t="str">
        <x:v>BUS052</x:v>
      </x:c>
      <x:c r="B172" s="17" t="str">
        <x:v>查询未来30天有限售股解禁的股票和解禁数量。</x:v>
      </x:c>
      <x:c r="C172" s="17" t="n">
        <x:v>3</x:v>
      </x:c>
      <x:c r="D172" s="17" t="str"/>
      <x:c r="E172" s="17" t="str">
        <x:v>工具调用</x:v>
      </x:c>
      <x:c r="F172" s="17" t="str">
        <x:v>finance_query</x:v>
      </x:c>
      <x:c r="G172" s="17" t="str">
        <x:v>r1 = stock.corporate_action(filter = "source = limit_share and free_date &gt;= 2026-08-02 and free_date &lt;= 2026-09-01", order = "free_date asc, free_num desc", limit = -1) -&gt; code, name, free_date, free_num, holder_name</x:v>
      </x:c>
      <x:c r="H172" s="17" t="str"/>
      <x:c r="I172" s="17" t="str">
        <x:v>合理操作</x:v>
      </x:c>
      <x:c r="J172" s="17" t="str">
        <x:v>是</x:v>
      </x:c>
      <x:c r="K172" s="18"/>
      <x:c r="L172" s="17" t="str">
        <x:v>否</x:v>
      </x:c>
      <x:c r="M172" s="17" t="str">
        <x:v>否</x:v>
      </x:c>
      <x:c r="N172" s="17" t="str">
        <x:v>target_api_executed</x:v>
      </x:c>
      <x:c r="O172" s="17" t="str">
        <x:v>expected_dataview_coverage</x:v>
      </x:c>
      <x:c r="P172" s="17" t="str">
        <x:v>session://financial_qa_33499cfa81de4d06_2747_fde2fe860e1f/vars/v1</x:v>
      </x:c>
      <x:c r="Q172" s="17" t="str"/>
      <x:c r="R172" s="17" t="str">
        <x:v>stock.corporate_action</x:v>
      </x:c>
      <x:c r="S172" s="17" t="str"/>
      <x:c r="T172" s="17" t="str"/>
      <x:c r="U172" s="17" t="str">
        <x:v>r1</x:v>
      </x:c>
      <x:c r="V172" s="30" t="n">
        <x:v>100</x:v>
      </x:c>
      <x:c r="W172" s="17" t="str">
        <x:v>high</x:v>
      </x:c>
    </x:row>
    <x:row r="173" ht="54" customHeight="1">
      <x:c r="A173" s="17" t="str">
        <x:v>BUS052</x:v>
      </x:c>
      <x:c r="B173" s="17" t="str">
        <x:v>查询未来30天有限售股解禁的股票和解禁数量。</x:v>
      </x:c>
      <x:c r="C173" s="17" t="n">
        <x:v>4</x:v>
      </x:c>
      <x:c r="D173" s="17" t="str"/>
      <x:c r="E173" s="17" t="str">
        <x:v>工具调用</x:v>
      </x:c>
      <x:c r="F173" s="17" t="str">
        <x:v>load_finance_result</x:v>
      </x:c>
      <x:c r="G173" s="17" t="str"/>
      <x:c r="H173" s="17" t="str"/>
      <x:c r="I173" s="17" t="str">
        <x:v>合理操作</x:v>
      </x:c>
      <x:c r="J173" s="17" t="str">
        <x:v>是</x:v>
      </x:c>
      <x:c r="K173" s="18"/>
      <x:c r="L173" s="17" t="str">
        <x:v>否</x:v>
      </x:c>
      <x:c r="M173" s="17" t="str">
        <x:v>否</x:v>
      </x:c>
      <x:c r="N173" s="17" t="str">
        <x:v>load_truncated_result</x:v>
      </x:c>
      <x:c r="O173" s="17" t="str">
        <x:v>sample_incomplete_requires_full_result</x:v>
      </x:c>
      <x:c r="P173" s="17" t="str">
        <x:v>session://financial_qa_33499cfa81de4d06_2747_fde2fe860e1f/vars/v1</x:v>
      </x:c>
      <x:c r="Q173" s="17" t="str"/>
      <x:c r="R173" s="17" t="str"/>
      <x:c r="S173" s="17" t="str"/>
      <x:c r="T173" s="17" t="str"/>
      <x:c r="U173" s="17" t="str"/>
      <x:c r="V173" s="30"/>
      <x:c r="W173" s="17" t="str">
        <x:v>high</x:v>
      </x:c>
    </x:row>
    <x:row r="174" ht="54" customHeight="1">
      <x:c r="A174" s="17" t="str">
        <x:v>BUS054</x:v>
      </x:c>
      <x:c r="B174" s="17" t="str">
        <x:v>查询配股比例最高的股票及配股价格。</x:v>
      </x:c>
      <x:c r="C174" s="17" t="n">
        <x:v>1</x:v>
      </x:c>
      <x:c r="D174" s="17" t="str"/>
      <x:c r="E174" s="17" t="str">
        <x:v>工具调用</x:v>
      </x:c>
      <x:c r="F174" s="17" t="str">
        <x:v>read_finance_catalog</x:v>
      </x:c>
      <x:c r="G174" s="17" t="str"/>
      <x:c r="H174" s="17" t="str"/>
      <x:c r="I174" s="17" t="str">
        <x:v>合理操作</x:v>
      </x:c>
      <x:c r="J174" s="17" t="str">
        <x:v>是</x:v>
      </x:c>
      <x:c r="K174" s="18"/>
      <x:c r="L174" s="17" t="str">
        <x:v>否</x:v>
      </x:c>
      <x:c r="M174" s="17" t="str">
        <x:v>否</x:v>
      </x:c>
      <x:c r="N174" s="17" t="str">
        <x:v>target_catalog_located</x:v>
      </x:c>
      <x:c r="O174" s="17" t="str">
        <x:v>expected_dataview_catalog</x:v>
      </x:c>
      <x:c r="P174" s="17" t="str"/>
      <x:c r="Q174" s="17" t="str"/>
      <x:c r="R174" s="17" t="str"/>
      <x:c r="S174" s="17" t="str">
        <x:v>stock</x:v>
      </x:c>
      <x:c r="T174" s="17" t="str">
        <x:v>corporate_action</x:v>
      </x:c>
      <x:c r="U174" s="17" t="str"/>
      <x:c r="V174" s="30"/>
      <x:c r="W174" s="17" t="str">
        <x:v>high</x:v>
      </x:c>
    </x:row>
    <x:row r="175" ht="54" customHeight="1">
      <x:c r="A175" s="17" t="str">
        <x:v>BUS054</x:v>
      </x:c>
      <x:c r="B175" s="17" t="str">
        <x:v>查询配股比例最高的股票及配股价格。</x:v>
      </x:c>
      <x:c r="C175" s="17" t="n">
        <x:v>2</x:v>
      </x:c>
      <x:c r="D175" s="17" t="str"/>
      <x:c r="E175" s="17" t="str">
        <x:v>工具调用</x:v>
      </x:c>
      <x:c r="F175" s="17" t="str">
        <x:v>finance_query</x:v>
      </x:c>
      <x:c r="G175" s="17" t="str">
        <x:v>r1 = stock.corporate_action(filter = "source = rights_issue and ri_ratio &gt; 0", order = "ri_ratio desc", limit = 10) -&gt; code, name, source, ri_progress, ri_price, ri_ratio, ann_date, record_date, end_date</x:v>
      </x:c>
      <x:c r="H175" s="17" t="str"/>
      <x:c r="I175" s="17" t="str">
        <x:v>合理操作</x:v>
      </x:c>
      <x:c r="J175" s="17" t="str">
        <x:v>是</x:v>
      </x:c>
      <x:c r="K175" s="18"/>
      <x:c r="L175" s="17" t="str">
        <x:v>否</x:v>
      </x:c>
      <x:c r="M175" s="17" t="str">
        <x:v>否</x:v>
      </x:c>
      <x:c r="N175" s="17" t="str">
        <x:v>target_api_executed</x:v>
      </x:c>
      <x:c r="O175" s="17" t="str">
        <x:v>expected_dataview_coverage</x:v>
      </x:c>
      <x:c r="P175" s="17" t="str">
        <x:v>session://financial_qa_33499cfa81de4d06_2749_5d9b17a77161/vars/v1</x:v>
      </x:c>
      <x:c r="Q175" s="17" t="str"/>
      <x:c r="R175" s="17" t="str">
        <x:v>stock.corporate_action</x:v>
      </x:c>
      <x:c r="S175" s="17" t="str"/>
      <x:c r="T175" s="17" t="str"/>
      <x:c r="U175" s="17" t="str">
        <x:v>r1</x:v>
      </x:c>
      <x:c r="V175" s="30" t="n">
        <x:v>10</x:v>
      </x:c>
      <x:c r="W175" s="17" t="str">
        <x:v>high</x:v>
      </x:c>
    </x:row>
    <x:row r="176" ht="54" customHeight="1">
      <x:c r="A176" s="17" t="str">
        <x:v>BUS054</x:v>
      </x:c>
      <x:c r="B176" s="17" t="str">
        <x:v>查询配股比例最高的股票及配股价格。</x:v>
      </x:c>
      <x:c r="C176" s="17" t="n">
        <x:v>3</x:v>
      </x:c>
      <x:c r="D176" s="17" t="str"/>
      <x:c r="E176" s="17" t="str">
        <x:v>工具调用</x:v>
      </x:c>
      <x:c r="F176" s="17" t="str">
        <x:v>load_finance_result</x:v>
      </x:c>
      <x:c r="G176" s="17" t="str"/>
      <x:c r="H176" s="17" t="str"/>
      <x:c r="I176" s="17" t="str">
        <x:v>合理操作</x:v>
      </x:c>
      <x:c r="J176" s="17" t="str">
        <x:v>是</x:v>
      </x:c>
      <x:c r="K176" s="18"/>
      <x:c r="L176" s="17" t="str">
        <x:v>否</x:v>
      </x:c>
      <x:c r="M176" s="17" t="str">
        <x:v>否</x:v>
      </x:c>
      <x:c r="N176" s="17" t="str">
        <x:v>load_truncated_result</x:v>
      </x:c>
      <x:c r="O176" s="17" t="str">
        <x:v>sample_incomplete_requires_full_result</x:v>
      </x:c>
      <x:c r="P176" s="17" t="str">
        <x:v>session://financial_qa_33499cfa81de4d06_2749_5d9b17a77161/vars/v1</x:v>
      </x:c>
      <x:c r="Q176" s="17" t="str"/>
      <x:c r="R176" s="17" t="str"/>
      <x:c r="S176" s="17" t="str"/>
      <x:c r="T176" s="17" t="str"/>
      <x:c r="U176" s="17" t="str"/>
      <x:c r="V176" s="30"/>
      <x:c r="W176" s="17" t="str">
        <x:v>high</x:v>
      </x:c>
    </x:row>
    <x:row r="177" ht="54" customHeight="1">
      <x:c r="A177" s="17" t="str">
        <x:v>BUS055</x:v>
      </x:c>
      <x:c r="B177" s="17" t="str">
        <x:v>查询宁德时代最新业绩预告类型、预告摘要和公告日期。</x:v>
      </x:c>
      <x:c r="C177" s="17" t="n">
        <x:v>1</x:v>
      </x:c>
      <x:c r="D177" s="17" t="str"/>
      <x:c r="E177" s="17" t="str">
        <x:v>工具调用</x:v>
      </x:c>
      <x:c r="F177" s="17" t="str">
        <x:v>read_finance_catalog</x:v>
      </x:c>
      <x:c r="G177" s="17" t="str"/>
      <x:c r="H177" s="17" t="str"/>
      <x:c r="I177" s="17" t="str">
        <x:v>合理操作</x:v>
      </x:c>
      <x:c r="J177" s="17" t="str">
        <x:v>是</x:v>
      </x:c>
      <x:c r="K177" s="18"/>
      <x:c r="L177" s="17" t="str">
        <x:v>否</x:v>
      </x:c>
      <x:c r="M177" s="17" t="str">
        <x:v>否</x:v>
      </x:c>
      <x:c r="N177" s="17" t="str">
        <x:v>target_catalog_located</x:v>
      </x:c>
      <x:c r="O177" s="17" t="str">
        <x:v>expected_dataview_catalog</x:v>
      </x:c>
      <x:c r="P177" s="17" t="str"/>
      <x:c r="Q177" s="17" t="str"/>
      <x:c r="R177" s="17" t="str"/>
      <x:c r="S177" s="17" t="str">
        <x:v>stock</x:v>
      </x:c>
      <x:c r="T177" s="17" t="str">
        <x:v>performance_notice</x:v>
      </x:c>
      <x:c r="U177" s="17" t="str"/>
      <x:c r="V177" s="30"/>
      <x:c r="W177" s="17" t="str">
        <x:v>high</x:v>
      </x:c>
    </x:row>
    <x:row r="178" ht="54" customHeight="1">
      <x:c r="A178" s="17" t="str">
        <x:v>BUS055</x:v>
      </x:c>
      <x:c r="B178" s="17" t="str">
        <x:v>查询宁德时代最新业绩预告类型、预告摘要和公告日期。</x:v>
      </x:c>
      <x:c r="C178" s="17" t="n">
        <x:v>2</x:v>
      </x:c>
      <x:c r="D178" s="17" t="str"/>
      <x:c r="E178" s="17" t="str">
        <x:v>工具调用</x:v>
      </x:c>
      <x:c r="F178" s="17" t="str">
        <x:v>finance_query</x:v>
      </x:c>
      <x:c r="G178" s="17" t="str">
        <x:v>r1 = stock.performance_notice(filter = "code = 300750.SZ", order = "ann_date desc", limit = 1) -&gt; code, name, report_period, ann_date, performance_type, performance_summary, performance_content, performance_reason, net_profit_chg_lower, net_profit_chg_upper</x:v>
      </x:c>
      <x:c r="H178" s="17" t="str"/>
      <x:c r="I178" s="17" t="str">
        <x:v>合理操作</x:v>
      </x:c>
      <x:c r="J178" s="17" t="str">
        <x:v>是</x:v>
      </x:c>
      <x:c r="K178" s="18"/>
      <x:c r="L178" s="17" t="str">
        <x:v>否</x:v>
      </x:c>
      <x:c r="M178" s="17" t="str">
        <x:v>否</x:v>
      </x:c>
      <x:c r="N178" s="17" t="str">
        <x:v>target_api_executed</x:v>
      </x:c>
      <x:c r="O178" s="17" t="str">
        <x:v>expected_dataview_coverage</x:v>
      </x:c>
      <x:c r="P178" s="17" t="str">
        <x:v>session://financial_qa_33499cfa81de4d06_2750_1c54394d5403/vars/v1</x:v>
      </x:c>
      <x:c r="Q178" s="17" t="str"/>
      <x:c r="R178" s="17" t="str">
        <x:v>stock.performance_notice</x:v>
      </x:c>
      <x:c r="S178" s="17" t="str"/>
      <x:c r="T178" s="17" t="str"/>
      <x:c r="U178" s="17" t="str">
        <x:v>r1</x:v>
      </x:c>
      <x:c r="V178" s="30" t="n">
        <x:v>1</x:v>
      </x:c>
      <x:c r="W178" s="17" t="str">
        <x:v>high</x:v>
      </x:c>
    </x:row>
    <x:row r="179" ht="54" customHeight="1">
      <x:c r="A179" s="17" t="str">
        <x:v>BUS056</x:v>
      </x:c>
      <x:c r="B179" s="17" t="str">
        <x:v>筛选最新业绩预告为预增的公司。</x:v>
      </x:c>
      <x:c r="C179" s="17" t="n">
        <x:v>1</x:v>
      </x:c>
      <x:c r="D179" s="17" t="str"/>
      <x:c r="E179" s="17" t="str">
        <x:v>工具调用</x:v>
      </x:c>
      <x:c r="F179" s="17" t="str">
        <x:v>read_finance_catalog</x:v>
      </x:c>
      <x:c r="G179" s="17" t="str"/>
      <x:c r="H179" s="17" t="str"/>
      <x:c r="I179" s="17" t="str">
        <x:v>合理操作</x:v>
      </x:c>
      <x:c r="J179" s="17" t="str">
        <x:v>是</x:v>
      </x:c>
      <x:c r="K179" s="18"/>
      <x:c r="L179" s="17" t="str">
        <x:v>否</x:v>
      </x:c>
      <x:c r="M179" s="17" t="str">
        <x:v>否</x:v>
      </x:c>
      <x:c r="N179" s="17" t="str">
        <x:v>target_catalog_located</x:v>
      </x:c>
      <x:c r="O179" s="17" t="str">
        <x:v>expected_dataview_catalog</x:v>
      </x:c>
      <x:c r="P179" s="17" t="str"/>
      <x:c r="Q179" s="17" t="str"/>
      <x:c r="R179" s="17" t="str"/>
      <x:c r="S179" s="17" t="str">
        <x:v>stock</x:v>
      </x:c>
      <x:c r="T179" s="17" t="str">
        <x:v>performance_notice</x:v>
      </x:c>
      <x:c r="U179" s="17" t="str"/>
      <x:c r="V179" s="30"/>
      <x:c r="W179" s="17" t="str">
        <x:v>high</x:v>
      </x:c>
    </x:row>
    <x:row r="180" ht="54" customHeight="1">
      <x:c r="A180" s="17" t="str">
        <x:v>BUS056</x:v>
      </x:c>
      <x:c r="B180" s="17" t="str">
        <x:v>筛选最新业绩预告为预增的公司。</x:v>
      </x:c>
      <x:c r="C180" s="17" t="n">
        <x:v>2</x:v>
      </x:c>
      <x:c r="D180" s="17" t="str"/>
      <x:c r="E180" s="17" t="str">
        <x:v>工具调用</x:v>
      </x:c>
      <x:c r="F180" s="17" t="str">
        <x:v>finance_query</x:v>
      </x:c>
      <x:c r="G180" s="17" t="str">
        <x:v>r1 = stock.performance_notice(filter = "performance_type like '%预增%'", order = "ann_date desc", limit = 50) -&gt; code, name, report_period, ann_date, performance_type, net_profit_chg_lower, net_profit_chg_upper</x:v>
      </x:c>
      <x:c r="H180" s="17" t="str"/>
      <x:c r="I180" s="17" t="str">
        <x:v>合理操作</x:v>
      </x:c>
      <x:c r="J180" s="17" t="str">
        <x:v>是</x:v>
      </x:c>
      <x:c r="K180" s="18"/>
      <x:c r="L180" s="17" t="str">
        <x:v>否</x:v>
      </x:c>
      <x:c r="M180" s="17" t="str">
        <x:v>否</x:v>
      </x:c>
      <x:c r="N180" s="17" t="str">
        <x:v>target_api_executed</x:v>
      </x:c>
      <x:c r="O180" s="17" t="str">
        <x:v>expected_dataview_coverage</x:v>
      </x:c>
      <x:c r="P180" s="17" t="str">
        <x:v>session://financial_qa_33499cfa81de4d06_2751_88cc50c04484/vars/v1</x:v>
      </x:c>
      <x:c r="Q180" s="17" t="str"/>
      <x:c r="R180" s="17" t="str">
        <x:v>stock.performance_notice</x:v>
      </x:c>
      <x:c r="S180" s="17" t="str"/>
      <x:c r="T180" s="17" t="str"/>
      <x:c r="U180" s="17" t="str">
        <x:v>r1</x:v>
      </x:c>
      <x:c r="V180" s="30" t="n">
        <x:v>50</x:v>
      </x:c>
      <x:c r="W180" s="17" t="str">
        <x:v>high</x:v>
      </x:c>
    </x:row>
    <x:row r="181" ht="54" customHeight="1">
      <x:c r="A181" s="17" t="str">
        <x:v>BUS056</x:v>
      </x:c>
      <x:c r="B181" s="17" t="str">
        <x:v>筛选最新业绩预告为预增的公司。</x:v>
      </x:c>
      <x:c r="C181" s="17" t="n">
        <x:v>3</x:v>
      </x:c>
      <x:c r="D181" s="17" t="str"/>
      <x:c r="E181" s="17" t="str">
        <x:v>工具调用</x:v>
      </x:c>
      <x:c r="F181" s="17" t="str">
        <x:v>load_finance_result</x:v>
      </x:c>
      <x:c r="G181" s="17" t="str"/>
      <x:c r="H181" s="17" t="str"/>
      <x:c r="I181" s="17" t="str">
        <x:v>合理操作</x:v>
      </x:c>
      <x:c r="J181" s="17" t="str">
        <x:v>是</x:v>
      </x:c>
      <x:c r="K181" s="18"/>
      <x:c r="L181" s="17" t="str">
        <x:v>否</x:v>
      </x:c>
      <x:c r="M181" s="17" t="str">
        <x:v>否</x:v>
      </x:c>
      <x:c r="N181" s="17" t="str">
        <x:v>load_truncated_result</x:v>
      </x:c>
      <x:c r="O181" s="17" t="str">
        <x:v>sample_incomplete_requires_full_result</x:v>
      </x:c>
      <x:c r="P181" s="17" t="str">
        <x:v>session://financial_qa_33499cfa81de4d06_2751_88cc50c04484/vars/v1</x:v>
      </x:c>
      <x:c r="Q181" s="17" t="str"/>
      <x:c r="R181" s="17" t="str"/>
      <x:c r="S181" s="17" t="str"/>
      <x:c r="T181" s="17" t="str"/>
      <x:c r="U181" s="17" t="str"/>
      <x:c r="V181" s="30"/>
      <x:c r="W181" s="17" t="str">
        <x:v>high</x:v>
      </x:c>
    </x:row>
    <x:row r="182" ht="54" customHeight="1">
      <x:c r="A182" s="17" t="str">
        <x:v>BUS057</x:v>
      </x:c>
      <x:c r="B182" s="17" t="str">
        <x:v>最新业绩预告净利润同比上限最高的前20家公司。</x:v>
      </x:c>
      <x:c r="C182" s="17" t="n">
        <x:v>1</x:v>
      </x:c>
      <x:c r="D182" s="17" t="str"/>
      <x:c r="E182" s="17" t="str">
        <x:v>工具调用</x:v>
      </x:c>
      <x:c r="F182" s="17" t="str">
        <x:v>read_finance_catalog</x:v>
      </x:c>
      <x:c r="G182" s="17" t="str"/>
      <x:c r="H182" s="17" t="str"/>
      <x:c r="I182" s="17" t="str">
        <x:v>合理操作</x:v>
      </x:c>
      <x:c r="J182" s="17" t="str">
        <x:v>是</x:v>
      </x:c>
      <x:c r="K182" s="18"/>
      <x:c r="L182" s="17" t="str">
        <x:v>否</x:v>
      </x:c>
      <x:c r="M182" s="17" t="str">
        <x:v>否</x:v>
      </x:c>
      <x:c r="N182" s="17" t="str">
        <x:v>target_catalog_located</x:v>
      </x:c>
      <x:c r="O182" s="17" t="str">
        <x:v>expected_dataview_catalog</x:v>
      </x:c>
      <x:c r="P182" s="17" t="str"/>
      <x:c r="Q182" s="17" t="str"/>
      <x:c r="R182" s="17" t="str"/>
      <x:c r="S182" s="17" t="str">
        <x:v>stock</x:v>
      </x:c>
      <x:c r="T182" s="17" t="str">
        <x:v>performance_notice</x:v>
      </x:c>
      <x:c r="U182" s="17" t="str"/>
      <x:c r="V182" s="30"/>
      <x:c r="W182" s="17" t="str">
        <x:v>high</x:v>
      </x:c>
    </x:row>
    <x:row r="183" ht="54" customHeight="1">
      <x:c r="A183" s="17" t="str">
        <x:v>BUS057</x:v>
      </x:c>
      <x:c r="B183" s="17" t="str">
        <x:v>最新业绩预告净利润同比上限最高的前20家公司。</x:v>
      </x:c>
      <x:c r="C183" s="17" t="n">
        <x:v>2</x:v>
      </x:c>
      <x:c r="D183" s="17" t="str"/>
      <x:c r="E183" s="17" t="str">
        <x:v>工具调用</x:v>
      </x:c>
      <x:c r="F183" s="17" t="str">
        <x:v>finance_query</x:v>
      </x:c>
      <x:c r="G183" s="17" t="str">
        <x:v>r1 = stock.performance_notice(order = "ann_date desc, net_profit_chg_upper desc", limit = 20) -&gt; code, name, report_period, ann_date, net_profit_chg_upper, net_profit_chg_lower, performance_type, performance_summary</x:v>
      </x:c>
      <x:c r="H183" s="17" t="str"/>
      <x:c r="I183" s="17" t="str">
        <x:v>合理操作</x:v>
      </x:c>
      <x:c r="J183" s="17" t="str">
        <x:v>是</x:v>
      </x:c>
      <x:c r="K183" s="18"/>
      <x:c r="L183" s="17" t="str">
        <x:v>否</x:v>
      </x:c>
      <x:c r="M183" s="17" t="str">
        <x:v>否</x:v>
      </x:c>
      <x:c r="N183" s="17" t="str">
        <x:v>target_api_executed</x:v>
      </x:c>
      <x:c r="O183" s="17" t="str">
        <x:v>expected_dataview_coverage</x:v>
      </x:c>
      <x:c r="P183" s="17" t="str">
        <x:v>session://financial_qa_33499cfa81de4d06_2752_e5cc4d4acd55/vars/v1</x:v>
      </x:c>
      <x:c r="Q183" s="17" t="str"/>
      <x:c r="R183" s="17" t="str">
        <x:v>stock.performance_notice</x:v>
      </x:c>
      <x:c r="S183" s="17" t="str"/>
      <x:c r="T183" s="17" t="str"/>
      <x:c r="U183" s="17" t="str">
        <x:v>r1</x:v>
      </x:c>
      <x:c r="V183" s="30" t="n">
        <x:v>20</x:v>
      </x:c>
      <x:c r="W183" s="17" t="str">
        <x:v>high</x:v>
      </x:c>
    </x:row>
    <x:row r="184" ht="54" customHeight="1">
      <x:c r="A184" s="17" t="str">
        <x:v>BUS057</x:v>
      </x:c>
      <x:c r="B184" s="17" t="str">
        <x:v>最新业绩预告净利润同比上限最高的前20家公司。</x:v>
      </x:c>
      <x:c r="C184" s="17" t="n">
        <x:v>3</x:v>
      </x:c>
      <x:c r="D184" s="17" t="str"/>
      <x:c r="E184" s="17" t="str">
        <x:v>工具调用</x:v>
      </x:c>
      <x:c r="F184" s="17" t="str">
        <x:v>load_finance_result</x:v>
      </x:c>
      <x:c r="G184" s="17" t="str"/>
      <x:c r="H184" s="17" t="str"/>
      <x:c r="I184" s="17" t="str">
        <x:v>合理操作</x:v>
      </x:c>
      <x:c r="J184" s="17" t="str">
        <x:v>是</x:v>
      </x:c>
      <x:c r="K184" s="18"/>
      <x:c r="L184" s="17" t="str">
        <x:v>否</x:v>
      </x:c>
      <x:c r="M184" s="17" t="str">
        <x:v>否</x:v>
      </x:c>
      <x:c r="N184" s="17" t="str">
        <x:v>load_truncated_result</x:v>
      </x:c>
      <x:c r="O184" s="17" t="str">
        <x:v>sample_incomplete_requires_full_result</x:v>
      </x:c>
      <x:c r="P184" s="17" t="str">
        <x:v>session://financial_qa_33499cfa81de4d06_2752_e5cc4d4acd55/vars/v1</x:v>
      </x:c>
      <x:c r="Q184" s="17" t="str"/>
      <x:c r="R184" s="17" t="str"/>
      <x:c r="S184" s="17" t="str"/>
      <x:c r="T184" s="17" t="str"/>
      <x:c r="U184" s="17" t="str"/>
      <x:c r="V184" s="30"/>
      <x:c r="W184" s="17" t="str">
        <x:v>high</x:v>
      </x:c>
    </x:row>
    <x:row r="185" ht="54" customHeight="1">
      <x:c r="A185" s="17" t="str">
        <x:v>BUS058</x:v>
      </x:c>
      <x:c r="B185" s="17" t="str">
        <x:v>筛选最新业绩预告为亏损或预减的公司。</x:v>
      </x:c>
      <x:c r="C185" s="17" t="n">
        <x:v>1</x:v>
      </x:c>
      <x:c r="D185" s="17" t="str"/>
      <x:c r="E185" s="17" t="str">
        <x:v>工具调用</x:v>
      </x:c>
      <x:c r="F185" s="17" t="str">
        <x:v>read_finance_catalog</x:v>
      </x:c>
      <x:c r="G185" s="17" t="str"/>
      <x:c r="H185" s="17" t="str"/>
      <x:c r="I185" s="17" t="str">
        <x:v>合理操作</x:v>
      </x:c>
      <x:c r="J185" s="17" t="str">
        <x:v>是</x:v>
      </x:c>
      <x:c r="K185" s="18"/>
      <x:c r="L185" s="17" t="str">
        <x:v>否</x:v>
      </x:c>
      <x:c r="M185" s="17" t="str">
        <x:v>否</x:v>
      </x:c>
      <x:c r="N185" s="17" t="str">
        <x:v>target_catalog_located</x:v>
      </x:c>
      <x:c r="O185" s="17" t="str">
        <x:v>expected_dataview_catalog</x:v>
      </x:c>
      <x:c r="P185" s="17" t="str"/>
      <x:c r="Q185" s="17" t="str"/>
      <x:c r="R185" s="17" t="str"/>
      <x:c r="S185" s="17" t="str">
        <x:v>stock</x:v>
      </x:c>
      <x:c r="T185" s="17" t="str">
        <x:v>performance_notice</x:v>
      </x:c>
      <x:c r="U185" s="17" t="str"/>
      <x:c r="V185" s="30"/>
      <x:c r="W185" s="17" t="str">
        <x:v>high</x:v>
      </x:c>
    </x:row>
    <x:row r="186" ht="54" customHeight="1">
      <x:c r="A186" s="17" t="str">
        <x:v>BUS058</x:v>
      </x:c>
      <x:c r="B186" s="17" t="str">
        <x:v>筛选最新业绩预告为亏损或预减的公司。</x:v>
      </x:c>
      <x:c r="C186" s="17" t="n">
        <x:v>2</x:v>
      </x:c>
      <x:c r="D186" s="17" t="str"/>
      <x:c r="E186" s="17" t="str">
        <x:v>工具调用</x:v>
      </x:c>
      <x:c r="F186" s="17" t="str">
        <x:v>finance_query</x:v>
      </x:c>
      <x:c r="G186" s="17" t="str">
        <x:v>r1 = stock.performance_notice(order = "report_period desc", limit = 1) -&gt; report_period</x:v>
      </x:c>
      <x:c r="H186" s="17" t="str"/>
      <x:c r="I186" s="17" t="str">
        <x:v>合理操作</x:v>
      </x:c>
      <x:c r="J186" s="17" t="str">
        <x:v>是</x:v>
      </x:c>
      <x:c r="K186" s="18"/>
      <x:c r="L186" s="17" t="str">
        <x:v>否</x:v>
      </x:c>
      <x:c r="M186" s="17" t="str">
        <x:v>否</x:v>
      </x:c>
      <x:c r="N186" s="17" t="str">
        <x:v>target_api_executed</x:v>
      </x:c>
      <x:c r="O186" s="17" t="str">
        <x:v>expected_dataview_coverage</x:v>
      </x:c>
      <x:c r="P186" s="17" t="str">
        <x:v>session://financial_qa_33499cfa81de4d06_2753_899faab99d21/vars/v1</x:v>
      </x:c>
      <x:c r="Q186" s="17" t="str"/>
      <x:c r="R186" s="17" t="str">
        <x:v>stock.performance_notice</x:v>
      </x:c>
      <x:c r="S186" s="17" t="str"/>
      <x:c r="T186" s="17" t="str"/>
      <x:c r="U186" s="17" t="str">
        <x:v>r1</x:v>
      </x:c>
      <x:c r="V186" s="30" t="n">
        <x:v>1</x:v>
      </x:c>
      <x:c r="W186" s="17" t="str">
        <x:v>high</x:v>
      </x:c>
    </x:row>
    <x:row r="187" ht="54" customHeight="1">
      <x:c r="A187" s="17" t="str">
        <x:v>BUS058</x:v>
      </x:c>
      <x:c r="B187" s="17" t="str">
        <x:v>筛选最新业绩预告为亏损或预减的公司。</x:v>
      </x:c>
      <x:c r="C187" s="17" t="n">
        <x:v>3</x:v>
      </x:c>
      <x:c r="D187" s="17" t="str"/>
      <x:c r="E187" s="17" t="str">
        <x:v>工具调用</x:v>
      </x:c>
      <x:c r="F187" s="17" t="str">
        <x:v>finance_query</x:v>
      </x:c>
      <x:c r="G187" s="17" t="str">
        <x:v>r2 = stock.performance_notice(filter = "report_period = 2026-12-31 and (performance_type like '%亏%' or performance_type like '%预降%' or performance_type like '%预减%')", order = "ann_date desc", limit = 50) -&gt; code, name, report_period, ann_date, performance_type, performance_summary, net_profit_chg_ratio, net_profit_chg_lower, net_profit_chg_upper</x:v>
      </x:c>
      <x:c r="H187" s="17" t="str"/>
      <x:c r="I187" s="17" t="str">
        <x:v>合理操作</x:v>
      </x:c>
      <x:c r="J187" s="17" t="str">
        <x:v>是</x:v>
      </x:c>
      <x:c r="K187" s="18"/>
      <x:c r="L187" s="17" t="str">
        <x:v>否</x:v>
      </x:c>
      <x:c r="M187" s="17" t="str">
        <x:v>否</x:v>
      </x:c>
      <x:c r="N187" s="17" t="str">
        <x:v>target_api_executed</x:v>
      </x:c>
      <x:c r="O187" s="17" t="str">
        <x:v>expected_dataview_coverage</x:v>
      </x:c>
      <x:c r="P187" s="17" t="str">
        <x:v>session://financial_qa_33499cfa81de4d06_2753_899faab99d21/vars/v2</x:v>
      </x:c>
      <x:c r="Q187" s="17" t="str"/>
      <x:c r="R187" s="17" t="str">
        <x:v>stock.performance_notice</x:v>
      </x:c>
      <x:c r="S187" s="17" t="str"/>
      <x:c r="T187" s="17" t="str"/>
      <x:c r="U187" s="17" t="str">
        <x:v>r2</x:v>
      </x:c>
      <x:c r="V187" s="30" t="n">
        <x:v>50</x:v>
      </x:c>
      <x:c r="W187" s="17" t="str">
        <x:v>high</x:v>
      </x:c>
    </x:row>
    <x:row r="188" ht="54" customHeight="1">
      <x:c r="A188" s="17" t="str">
        <x:v>BUS058</x:v>
      </x:c>
      <x:c r="B188" s="17" t="str">
        <x:v>筛选最新业绩预告为亏损或预减的公司。</x:v>
      </x:c>
      <x:c r="C188" s="17" t="n">
        <x:v>4</x:v>
      </x:c>
      <x:c r="D188" s="17" t="str"/>
      <x:c r="E188" s="17" t="str">
        <x:v>工具调用</x:v>
      </x:c>
      <x:c r="F188" s="17" t="str">
        <x:v>load_finance_result</x:v>
      </x:c>
      <x:c r="G188" s="17" t="str"/>
      <x:c r="H188" s="17" t="str"/>
      <x:c r="I188" s="17" t="str">
        <x:v>合理操作</x:v>
      </x:c>
      <x:c r="J188" s="17" t="str">
        <x:v>是</x:v>
      </x:c>
      <x:c r="K188" s="18"/>
      <x:c r="L188" s="17" t="str">
        <x:v>否</x:v>
      </x:c>
      <x:c r="M188" s="17" t="str">
        <x:v>否</x:v>
      </x:c>
      <x:c r="N188" s="17" t="str">
        <x:v>load_truncated_result</x:v>
      </x:c>
      <x:c r="O188" s="17" t="str">
        <x:v>sample_incomplete_requires_full_result</x:v>
      </x:c>
      <x:c r="P188" s="17" t="str">
        <x:v>session://financial_qa_33499cfa81de4d06_2753_899faab99d21/vars/v2</x:v>
      </x:c>
      <x:c r="Q188" s="17" t="str"/>
      <x:c r="R188" s="17" t="str"/>
      <x:c r="S188" s="17" t="str"/>
      <x:c r="T188" s="17" t="str"/>
      <x:c r="U188" s="17" t="str"/>
      <x:c r="V188" s="30"/>
      <x:c r="W188" s="17" t="str">
        <x:v>high</x:v>
      </x:c>
    </x:row>
    <x:row r="189" ht="54" customHeight="1">
      <x:c r="A189" s="17" t="str">
        <x:v>BUS058</x:v>
      </x:c>
      <x:c r="B189" s="17" t="str">
        <x:v>筛选最新业绩预告为亏损或预减的公司。</x:v>
      </x:c>
      <x:c r="C189" s="17" t="n">
        <x:v>5</x:v>
      </x:c>
      <x:c r="D189" s="17" t="str"/>
      <x:c r="E189" s="17" t="str">
        <x:v>工具调用</x:v>
      </x:c>
      <x:c r="F189" s="17" t="str">
        <x:v>finance_query</x:v>
      </x:c>
      <x:c r="G189" s="17" t="str">
        <x:v>r3 = stock.performance_notice(filter = "report_period = 2026-06-30 and (performance_type like '%亏%' or performance_type like '%预降%' or performance_type like '%预减%')", order = "net_profit_chg_ratio asc", limit = 50) -&gt; code, name, report_period, ann_date, performance_type, performance_summary, net_profit_chg_ratio, net_profit_chg_lower, net_profit_chg_upper</x:v>
      </x:c>
      <x:c r="H189" s="17" t="str"/>
      <x:c r="I189" s="17" t="str">
        <x:v>合理操作</x:v>
      </x:c>
      <x:c r="J189" s="17" t="str">
        <x:v>是</x:v>
      </x:c>
      <x:c r="K189" s="18"/>
      <x:c r="L189" s="17" t="str">
        <x:v>否</x:v>
      </x:c>
      <x:c r="M189" s="17" t="str">
        <x:v>否</x:v>
      </x:c>
      <x:c r="N189" s="17" t="str">
        <x:v>target_api_executed</x:v>
      </x:c>
      <x:c r="O189" s="17" t="str">
        <x:v>expected_dataview_coverage</x:v>
      </x:c>
      <x:c r="P189" s="17" t="str">
        <x:v>session://financial_qa_33499cfa81de4d06_2753_899faab99d21/vars/v3</x:v>
      </x:c>
      <x:c r="Q189" s="17" t="str"/>
      <x:c r="R189" s="17" t="str">
        <x:v>stock.performance_notice</x:v>
      </x:c>
      <x:c r="S189" s="17" t="str"/>
      <x:c r="T189" s="17" t="str"/>
      <x:c r="U189" s="17" t="str">
        <x:v>r3</x:v>
      </x:c>
      <x:c r="V189" s="30" t="n">
        <x:v>50</x:v>
      </x:c>
      <x:c r="W189" s="17" t="str">
        <x:v>high</x:v>
      </x:c>
    </x:row>
    <x:row r="190" ht="54" customHeight="1">
      <x:c r="A190" s="17" t="str">
        <x:v>BUS058</x:v>
      </x:c>
      <x:c r="B190" s="17" t="str">
        <x:v>筛选最新业绩预告为亏损或预减的公司。</x:v>
      </x:c>
      <x:c r="C190" s="17" t="n">
        <x:v>6</x:v>
      </x:c>
      <x:c r="D190" s="17" t="str"/>
      <x:c r="E190" s="17" t="str">
        <x:v>工具调用</x:v>
      </x:c>
      <x:c r="F190" s="17" t="str">
        <x:v>load_finance_result</x:v>
      </x:c>
      <x:c r="G190" s="17" t="str"/>
      <x:c r="H190" s="17" t="str"/>
      <x:c r="I190" s="17" t="str">
        <x:v>合理操作</x:v>
      </x:c>
      <x:c r="J190" s="17" t="str">
        <x:v>是</x:v>
      </x:c>
      <x:c r="K190" s="18"/>
      <x:c r="L190" s="17" t="str">
        <x:v>否</x:v>
      </x:c>
      <x:c r="M190" s="17" t="str">
        <x:v>否</x:v>
      </x:c>
      <x:c r="N190" s="17" t="str">
        <x:v>load_truncated_result</x:v>
      </x:c>
      <x:c r="O190" s="17" t="str">
        <x:v>sample_incomplete_requires_full_result</x:v>
      </x:c>
      <x:c r="P190" s="17" t="str">
        <x:v>session://financial_qa_33499cfa81de4d06_2753_899faab99d21/vars/v3</x:v>
      </x:c>
      <x:c r="Q190" s="17" t="str"/>
      <x:c r="R190" s="17" t="str"/>
      <x:c r="S190" s="17" t="str"/>
      <x:c r="T190" s="17" t="str"/>
      <x:c r="U190" s="17" t="str"/>
      <x:c r="V190" s="30"/>
      <x:c r="W190" s="17" t="str">
        <x:v>high</x:v>
      </x:c>
    </x:row>
    <x:row r="191" ht="54" customHeight="1">
      <x:c r="A191" s="17" t="str">
        <x:v>BUS058</x:v>
      </x:c>
      <x:c r="B191" s="17" t="str">
        <x:v>筛选最新业绩预告为亏损或预减的公司。</x:v>
      </x:c>
      <x:c r="C191" s="17" t="n">
        <x:v>7</x:v>
      </x:c>
      <x:c r="D191" s="17" t="str"/>
      <x:c r="E191" s="17" t="str">
        <x:v>工具调用</x:v>
      </x:c>
      <x:c r="F191" s="17" t="str">
        <x:v>finance_query</x:v>
      </x:c>
      <x:c r="G191" s="17" t="str">
        <x:v>r4 = stock.performance_notice(filter = "report_period = 2026-06-30 and performance_type = '业绩预降'", order = "net_profit_chg_ratio asc", limit = 50) -&gt; code, name, report_period, ann_date, performance_type, performance_summary, net_profit_chg_ratio</x:v>
      </x:c>
      <x:c r="H191" s="17" t="str"/>
      <x:c r="I191" s="17" t="str">
        <x:v>合理操作</x:v>
      </x:c>
      <x:c r="J191" s="17" t="str">
        <x:v>是</x:v>
      </x:c>
      <x:c r="K191" s="18"/>
      <x:c r="L191" s="17" t="str">
        <x:v>否</x:v>
      </x:c>
      <x:c r="M191" s="17" t="str">
        <x:v>否</x:v>
      </x:c>
      <x:c r="N191" s="17" t="str">
        <x:v>target_api_executed</x:v>
      </x:c>
      <x:c r="O191" s="17" t="str">
        <x:v>expected_dataview_coverage</x:v>
      </x:c>
      <x:c r="P191" s="17" t="str">
        <x:v>session://financial_qa_33499cfa81de4d06_2753_899faab99d21/vars/v4</x:v>
      </x:c>
      <x:c r="Q191" s="17" t="str"/>
      <x:c r="R191" s="17" t="str">
        <x:v>stock.performance_notice</x:v>
      </x:c>
      <x:c r="S191" s="17" t="str"/>
      <x:c r="T191" s="17" t="str"/>
      <x:c r="U191" s="17" t="str">
        <x:v>r4</x:v>
      </x:c>
      <x:c r="V191" s="30" t="n">
        <x:v>15</x:v>
      </x:c>
      <x:c r="W191" s="17" t="str">
        <x:v>high</x:v>
      </x:c>
    </x:row>
    <x:row r="192" ht="54" customHeight="1">
      <x:c r="A192" s="17" t="str">
        <x:v>BUS058</x:v>
      </x:c>
      <x:c r="B192" s="17" t="str">
        <x:v>筛选最新业绩预告为亏损或预减的公司。</x:v>
      </x:c>
      <x:c r="C192" s="17" t="n">
        <x:v>8</x:v>
      </x:c>
      <x:c r="D192" s="17" t="str"/>
      <x:c r="E192" s="17" t="str">
        <x:v>工具调用</x:v>
      </x:c>
      <x:c r="F192" s="17" t="str">
        <x:v>load_finance_result</x:v>
      </x:c>
      <x:c r="G192" s="17" t="str"/>
      <x:c r="H192" s="17" t="str"/>
      <x:c r="I192" s="17" t="str">
        <x:v>合理操作</x:v>
      </x:c>
      <x:c r="J192" s="17" t="str">
        <x:v>是</x:v>
      </x:c>
      <x:c r="K192" s="18"/>
      <x:c r="L192" s="17" t="str">
        <x:v>否</x:v>
      </x:c>
      <x:c r="M192" s="17" t="str">
        <x:v>否</x:v>
      </x:c>
      <x:c r="N192" s="17" t="str">
        <x:v>load_truncated_result</x:v>
      </x:c>
      <x:c r="O192" s="17" t="str">
        <x:v>sample_incomplete_requires_full_result</x:v>
      </x:c>
      <x:c r="P192" s="17" t="str">
        <x:v>session://financial_qa_33499cfa81de4d06_2753_899faab99d21/vars/v4</x:v>
      </x:c>
      <x:c r="Q192" s="17" t="str"/>
      <x:c r="R192" s="17" t="str"/>
      <x:c r="S192" s="17" t="str"/>
      <x:c r="T192" s="17" t="str"/>
      <x:c r="U192" s="17" t="str"/>
      <x:c r="V192" s="30"/>
      <x:c r="W192" s="17" t="str">
        <x:v>high</x:v>
      </x:c>
    </x:row>
    <x:row r="193" ht="54" customHeight="1">
      <x:c r="A193" s="17" t="str">
        <x:v>BUS059</x:v>
      </x:c>
      <x:c r="B193" s="17" t="str">
        <x:v>查询贵州茅台最近一次业绩预告的净利润区间。</x:v>
      </x:c>
      <x:c r="C193" s="17" t="n">
        <x:v>1</x:v>
      </x:c>
      <x:c r="D193" s="17" t="str"/>
      <x:c r="E193" s="17" t="str">
        <x:v>工具调用</x:v>
      </x:c>
      <x:c r="F193" s="17" t="str">
        <x:v>read_finance_catalog</x:v>
      </x:c>
      <x:c r="G193" s="17" t="str"/>
      <x:c r="H193" s="17" t="str"/>
      <x:c r="I193" s="17" t="str">
        <x:v>合理操作</x:v>
      </x:c>
      <x:c r="J193" s="17" t="str">
        <x:v>是</x:v>
      </x:c>
      <x:c r="K193" s="18"/>
      <x:c r="L193" s="17" t="str">
        <x:v>否</x:v>
      </x:c>
      <x:c r="M193" s="17" t="str">
        <x:v>否</x:v>
      </x:c>
      <x:c r="N193" s="17" t="str">
        <x:v>target_catalog_located</x:v>
      </x:c>
      <x:c r="O193" s="17" t="str">
        <x:v>expected_dataview_catalog</x:v>
      </x:c>
      <x:c r="P193" s="17" t="str"/>
      <x:c r="Q193" s="17" t="str"/>
      <x:c r="R193" s="17" t="str"/>
      <x:c r="S193" s="17" t="str">
        <x:v>stock</x:v>
      </x:c>
      <x:c r="T193" s="17" t="str">
        <x:v>performance_notice</x:v>
      </x:c>
      <x:c r="U193" s="17" t="str"/>
      <x:c r="V193" s="30"/>
      <x:c r="W193" s="17" t="str">
        <x:v>high</x:v>
      </x:c>
    </x:row>
    <x:row r="194" ht="54" customHeight="1">
      <x:c r="A194" s="17" t="str">
        <x:v>BUS059</x:v>
      </x:c>
      <x:c r="B194" s="17" t="str">
        <x:v>查询贵州茅台最近一次业绩预告的净利润区间。</x:v>
      </x:c>
      <x:c r="C194" s="17" t="n">
        <x:v>2</x:v>
      </x:c>
      <x:c r="D194" s="17" t="str"/>
      <x:c r="E194" s="17" t="str">
        <x:v>工具调用</x:v>
      </x:c>
      <x:c r="F194" s="17" t="str">
        <x:v>finance_query</x:v>
      </x:c>
      <x:c r="G194" s="17" t="str">
        <x:v>r1 = stock.performance_notice(filter = "code = 600519.SH", order = "ann_date desc", limit = 1) -&gt; code, name, report_period, ann_date, performance_type, performance_summary, net_profit_lower, net_profit_upper, currency</x:v>
      </x:c>
      <x:c r="H194" s="17" t="str"/>
      <x:c r="I194" s="17" t="str">
        <x:v>合理操作</x:v>
      </x:c>
      <x:c r="J194" s="17" t="str">
        <x:v>是</x:v>
      </x:c>
      <x:c r="K194" s="18"/>
      <x:c r="L194" s="17" t="str">
        <x:v>否</x:v>
      </x:c>
      <x:c r="M194" s="17" t="str">
        <x:v>否</x:v>
      </x:c>
      <x:c r="N194" s="17" t="str">
        <x:v>target_api_executed</x:v>
      </x:c>
      <x:c r="O194" s="17" t="str">
        <x:v>expected_dataview_coverage</x:v>
      </x:c>
      <x:c r="P194" s="17" t="str">
        <x:v>session://financial_qa_33499cfa81de4d06_2754_760a6781ac5c/vars/v1</x:v>
      </x:c>
      <x:c r="Q194" s="17" t="str"/>
      <x:c r="R194" s="17" t="str">
        <x:v>stock.performance_notice</x:v>
      </x:c>
      <x:c r="S194" s="17" t="str"/>
      <x:c r="T194" s="17" t="str"/>
      <x:c r="U194" s="17" t="str">
        <x:v>r1</x:v>
      </x:c>
      <x:c r="V194" s="30" t="n">
        <x:v>1</x:v>
      </x:c>
      <x:c r="W194" s="17" t="str">
        <x:v>high</x:v>
      </x:c>
    </x:row>
    <x:row r="195" ht="54" customHeight="1">
      <x:c r="A195" s="17" t="str">
        <x:v>BUS060</x:v>
      </x:c>
      <x:c r="B195" s="17" t="str">
        <x:v>最新业绩预告收入上限最高的前20家公司。</x:v>
      </x:c>
      <x:c r="C195" s="17" t="n">
        <x:v>1</x:v>
      </x:c>
      <x:c r="D195" s="17" t="str"/>
      <x:c r="E195" s="17" t="str">
        <x:v>工具调用</x:v>
      </x:c>
      <x:c r="F195" s="17" t="str">
        <x:v>read_finance_catalog</x:v>
      </x:c>
      <x:c r="G195" s="17" t="str"/>
      <x:c r="H195" s="17" t="str"/>
      <x:c r="I195" s="17" t="str">
        <x:v>合理操作</x:v>
      </x:c>
      <x:c r="J195" s="17" t="str">
        <x:v>是</x:v>
      </x:c>
      <x:c r="K195" s="18"/>
      <x:c r="L195" s="17" t="str">
        <x:v>否</x:v>
      </x:c>
      <x:c r="M195" s="17" t="str">
        <x:v>否</x:v>
      </x:c>
      <x:c r="N195" s="17" t="str">
        <x:v>target_catalog_located</x:v>
      </x:c>
      <x:c r="O195" s="17" t="str">
        <x:v>expected_dataview_catalog</x:v>
      </x:c>
      <x:c r="P195" s="17" t="str"/>
      <x:c r="Q195" s="17" t="str"/>
      <x:c r="R195" s="17" t="str"/>
      <x:c r="S195" s="17" t="str">
        <x:v>stock</x:v>
      </x:c>
      <x:c r="T195" s="17" t="str">
        <x:v>performance_notice</x:v>
      </x:c>
      <x:c r="U195" s="17" t="str"/>
      <x:c r="V195" s="30"/>
      <x:c r="W195" s="17" t="str">
        <x:v>high</x:v>
      </x:c>
    </x:row>
    <x:row r="196" ht="54" customHeight="1">
      <x:c r="A196" s="17" t="str">
        <x:v>BUS060</x:v>
      </x:c>
      <x:c r="B196" s="17" t="str">
        <x:v>最新业绩预告收入上限最高的前20家公司。</x:v>
      </x:c>
      <x:c r="C196" s="17" t="n">
        <x:v>2</x:v>
      </x:c>
      <x:c r="D196" s="17" t="str"/>
      <x:c r="E196" s="17" t="str">
        <x:v>工具调用</x:v>
      </x:c>
      <x:c r="F196" s="17" t="str">
        <x:v>finance_query</x:v>
      </x:c>
      <x:c r="G196" s="17" t="str">
        <x:v>r1 = stock.performance_notice(filter = "revenue_upper is not null", order = "revenue_upper desc", limit = 20, realtime = 0) -&gt; code, name, report_period, ann_date, revenue_lower, revenue_upper, performance_type</x:v>
      </x:c>
      <x:c r="H196" s="17" t="str"/>
      <x:c r="I196" s="17" t="str">
        <x:v>合理操作</x:v>
      </x:c>
      <x:c r="J196" s="17" t="str">
        <x:v>是</x:v>
      </x:c>
      <x:c r="K196" s="18"/>
      <x:c r="L196" s="17" t="str">
        <x:v>否</x:v>
      </x:c>
      <x:c r="M196" s="17" t="str">
        <x:v>否</x:v>
      </x:c>
      <x:c r="N196" s="17" t="str">
        <x:v>target_api_executed</x:v>
      </x:c>
      <x:c r="O196" s="17" t="str">
        <x:v>expected_dataview_coverage</x:v>
      </x:c>
      <x:c r="P196" s="17" t="str">
        <x:v>session://financial_qa_33499cfa81de4d06_2755_7159f7c74ecf/vars/v1</x:v>
      </x:c>
      <x:c r="Q196" s="17" t="str"/>
      <x:c r="R196" s="17" t="str">
        <x:v>stock.performance_notice</x:v>
      </x:c>
      <x:c r="S196" s="17" t="str"/>
      <x:c r="T196" s="17" t="str"/>
      <x:c r="U196" s="17" t="str">
        <x:v>r1</x:v>
      </x:c>
      <x:c r="V196" s="30" t="n">
        <x:v>20</x:v>
      </x:c>
      <x:c r="W196" s="17" t="str">
        <x:v>high</x:v>
      </x:c>
    </x:row>
    <x:row r="197" ht="54" customHeight="1">
      <x:c r="A197" s="17" t="str">
        <x:v>BUS060</x:v>
      </x:c>
      <x:c r="B197" s="17" t="str">
        <x:v>最新业绩预告收入上限最高的前20家公司。</x:v>
      </x:c>
      <x:c r="C197" s="17" t="n">
        <x:v>3</x:v>
      </x:c>
      <x:c r="D197" s="17" t="str"/>
      <x:c r="E197" s="17" t="str">
        <x:v>工具调用</x:v>
      </x:c>
      <x:c r="F197" s="17" t="str">
        <x:v>load_finance_result</x:v>
      </x:c>
      <x:c r="G197" s="17" t="str"/>
      <x:c r="H197" s="17" t="str"/>
      <x:c r="I197" s="17" t="str">
        <x:v>合理操作</x:v>
      </x:c>
      <x:c r="J197" s="17" t="str">
        <x:v>是</x:v>
      </x:c>
      <x:c r="K197" s="18"/>
      <x:c r="L197" s="17" t="str">
        <x:v>否</x:v>
      </x:c>
      <x:c r="M197" s="17" t="str">
        <x:v>否</x:v>
      </x:c>
      <x:c r="N197" s="17" t="str">
        <x:v>load_truncated_result</x:v>
      </x:c>
      <x:c r="O197" s="17" t="str">
        <x:v>sample_incomplete_requires_full_result</x:v>
      </x:c>
      <x:c r="P197" s="17" t="str">
        <x:v>session://financial_qa_33499cfa81de4d06_2755_7159f7c74ecf/vars/v1</x:v>
      </x:c>
      <x:c r="Q197" s="17" t="str"/>
      <x:c r="R197" s="17" t="str"/>
      <x:c r="S197" s="17" t="str"/>
      <x:c r="T197" s="17" t="str"/>
      <x:c r="U197" s="17" t="str"/>
      <x:c r="V197" s="30"/>
      <x:c r="W197" s="17" t="str">
        <x:v>high</x:v>
      </x:c>
    </x:row>
    <x:row r="198" ht="54" customHeight="1">
      <x:c r="A198" s="17" t="str">
        <x:v>BUS060</x:v>
      </x:c>
      <x:c r="B198" s="17" t="str">
        <x:v>最新业绩预告收入上限最高的前20家公司。</x:v>
      </x:c>
      <x:c r="C198" s="17" t="n">
        <x:v>4</x:v>
      </x:c>
      <x:c r="D198" s="17" t="str"/>
      <x:c r="E198" s="17" t="str">
        <x:v>工具调用</x:v>
      </x:c>
      <x:c r="F198" s="17" t="str">
        <x:v>finance_query</x:v>
      </x:c>
      <x:c r="G198" s="17" t="str">
        <x:v>r2 = stock.performance_notice(filter = "report_period = '2026-06-30' and revenue_upper is not null", order = "revenue_upper desc", limit = 20, realtime = 0) -&gt; code, name, report_period, ann_date, revenue_lower, revenue_upper, performance_type</x:v>
      </x:c>
      <x:c r="H198" s="17" t="str"/>
      <x:c r="I198" s="17" t="str">
        <x:v>合理操作</x:v>
      </x:c>
      <x:c r="J198" s="17" t="str">
        <x:v>是</x:v>
      </x:c>
      <x:c r="K198" s="18"/>
      <x:c r="L198" s="17" t="str">
        <x:v>否</x:v>
      </x:c>
      <x:c r="M198" s="17" t="str">
        <x:v>否</x:v>
      </x:c>
      <x:c r="N198" s="17" t="str">
        <x:v>target_api_executed</x:v>
      </x:c>
      <x:c r="O198" s="17" t="str">
        <x:v>expected_dataview_coverage</x:v>
      </x:c>
      <x:c r="P198" s="17" t="str">
        <x:v>session://financial_qa_33499cfa81de4d06_2755_7159f7c74ecf/vars/v2</x:v>
      </x:c>
      <x:c r="Q198" s="17" t="str"/>
      <x:c r="R198" s="17" t="str">
        <x:v>stock.performance_notice</x:v>
      </x:c>
      <x:c r="S198" s="17" t="str"/>
      <x:c r="T198" s="17" t="str"/>
      <x:c r="U198" s="17" t="str">
        <x:v>r2</x:v>
      </x:c>
      <x:c r="V198" s="30" t="n">
        <x:v>20</x:v>
      </x:c>
      <x:c r="W198" s="17" t="str">
        <x:v>high</x:v>
      </x:c>
    </x:row>
    <x:row r="199" ht="54" customHeight="1">
      <x:c r="A199" s="17" t="str">
        <x:v>BUS060</x:v>
      </x:c>
      <x:c r="B199" s="17" t="str">
        <x:v>最新业绩预告收入上限最高的前20家公司。</x:v>
      </x:c>
      <x:c r="C199" s="17" t="n">
        <x:v>5</x:v>
      </x:c>
      <x:c r="D199" s="17" t="str"/>
      <x:c r="E199" s="17" t="str">
        <x:v>工具调用</x:v>
      </x:c>
      <x:c r="F199" s="17" t="str">
        <x:v>load_finance_result</x:v>
      </x:c>
      <x:c r="G199" s="17" t="str"/>
      <x:c r="H199" s="17" t="str"/>
      <x:c r="I199" s="17" t="str">
        <x:v>合理操作</x:v>
      </x:c>
      <x:c r="J199" s="17" t="str">
        <x:v>是</x:v>
      </x:c>
      <x:c r="K199" s="18"/>
      <x:c r="L199" s="17" t="str">
        <x:v>否</x:v>
      </x:c>
      <x:c r="M199" s="17" t="str">
        <x:v>否</x:v>
      </x:c>
      <x:c r="N199" s="17" t="str">
        <x:v>load_truncated_result</x:v>
      </x:c>
      <x:c r="O199" s="17" t="str">
        <x:v>sample_incomplete_requires_full_result</x:v>
      </x:c>
      <x:c r="P199" s="17" t="str">
        <x:v>session://financial_qa_33499cfa81de4d06_2755_7159f7c74ecf/vars/v2</x:v>
      </x:c>
      <x:c r="Q199" s="17" t="str"/>
      <x:c r="R199" s="17" t="str"/>
      <x:c r="S199" s="17" t="str"/>
      <x:c r="T199" s="17" t="str"/>
      <x:c r="U199" s="17" t="str"/>
      <x:c r="V199" s="30"/>
      <x:c r="W199" s="17" t="str">
        <x:v>high</x:v>
      </x:c>
    </x:row>
    <x:row r="200" ht="54" customHeight="1">
      <x:c r="A200" s="17" t="str">
        <x:v>BUS061</x:v>
      </x:c>
      <x:c r="B200" s="17" t="str">
        <x:v>查询贵州茅台最新主营业务分部收入、成本和毛利率。</x:v>
      </x:c>
      <x:c r="C200" s="17" t="n">
        <x:v>1</x:v>
      </x:c>
      <x:c r="D200" s="17" t="str"/>
      <x:c r="E200" s="17" t="str">
        <x:v>工具调用</x:v>
      </x:c>
      <x:c r="F200" s="17" t="str">
        <x:v>read_finance_catalog</x:v>
      </x:c>
      <x:c r="G200" s="17" t="str"/>
      <x:c r="H200" s="17" t="str"/>
      <x:c r="I200" s="17" t="str">
        <x:v>合理操作</x:v>
      </x:c>
      <x:c r="J200" s="17" t="str">
        <x:v>是</x:v>
      </x:c>
      <x:c r="K200" s="18"/>
      <x:c r="L200" s="17" t="str">
        <x:v>否</x:v>
      </x:c>
      <x:c r="M200" s="17" t="str">
        <x:v>否</x:v>
      </x:c>
      <x:c r="N200" s="17" t="str">
        <x:v>target_catalog_located</x:v>
      </x:c>
      <x:c r="O200" s="17" t="str">
        <x:v>expected_dataview_catalog</x:v>
      </x:c>
      <x:c r="P200" s="17" t="str"/>
      <x:c r="Q200" s="17" t="str"/>
      <x:c r="R200" s="17" t="str"/>
      <x:c r="S200" s="17" t="str">
        <x:v>stock</x:v>
      </x:c>
      <x:c r="T200" s="17" t="str">
        <x:v>business_segment</x:v>
      </x:c>
      <x:c r="U200" s="17" t="str"/>
      <x:c r="V200" s="30"/>
      <x:c r="W200" s="17" t="str">
        <x:v>high</x:v>
      </x:c>
    </x:row>
    <x:row r="201" ht="54" customHeight="1">
      <x:c r="A201" s="17" t="str">
        <x:v>BUS061</x:v>
      </x:c>
      <x:c r="B201" s="17" t="str">
        <x:v>查询贵州茅台最新主营业务分部收入、成本和毛利率。</x:v>
      </x:c>
      <x:c r="C201" s="17" t="n">
        <x:v>2</x:v>
      </x:c>
      <x:c r="D201" s="17" t="str"/>
      <x:c r="E201" s="17" t="str">
        <x:v>工具调用</x:v>
      </x:c>
      <x:c r="F201" s="17" t="str">
        <x:v>finance_query</x:v>
      </x:c>
      <x:c r="G201" s="17" t="str">
        <x:v>r1 = stock.business_segment(filter = "code = 600519.SH and source = salessegment", order = "report_period desc", limit = 20) -&gt; code, name, report_period, segment_type, project_name, segment_sales, segment_cost, segment_profit, gross_profit_margin</x:v>
      </x:c>
      <x:c r="H201" s="17" t="str"/>
      <x:c r="I201" s="17" t="str">
        <x:v>合理操作</x:v>
      </x:c>
      <x:c r="J201" s="17" t="str">
        <x:v>是</x:v>
      </x:c>
      <x:c r="K201" s="18"/>
      <x:c r="L201" s="17" t="str">
        <x:v>否</x:v>
      </x:c>
      <x:c r="M201" s="17" t="str">
        <x:v>否</x:v>
      </x:c>
      <x:c r="N201" s="17" t="str">
        <x:v>target_api_executed</x:v>
      </x:c>
      <x:c r="O201" s="17" t="str">
        <x:v>expected_dataview_coverage</x:v>
      </x:c>
      <x:c r="P201" s="17" t="str">
        <x:v>session://financial_qa_33499cfa81de4d06_2756_b25439ba9bdf/vars/v1</x:v>
      </x:c>
      <x:c r="Q201" s="17" t="str"/>
      <x:c r="R201" s="17" t="str">
        <x:v>stock.business_segment</x:v>
      </x:c>
      <x:c r="S201" s="17" t="str"/>
      <x:c r="T201" s="17" t="str"/>
      <x:c r="U201" s="17" t="str">
        <x:v>r1</x:v>
      </x:c>
      <x:c r="V201" s="30" t="n">
        <x:v>20</x:v>
      </x:c>
      <x:c r="W201" s="17" t="str">
        <x:v>high</x:v>
      </x:c>
    </x:row>
    <x:row r="202" ht="54" customHeight="1">
      <x:c r="A202" s="17" t="str">
        <x:v>BUS061</x:v>
      </x:c>
      <x:c r="B202" s="17" t="str">
        <x:v>查询贵州茅台最新主营业务分部收入、成本和毛利率。</x:v>
      </x:c>
      <x:c r="C202" s="17" t="n">
        <x:v>3</x:v>
      </x:c>
      <x:c r="D202" s="17" t="str"/>
      <x:c r="E202" s="17" t="str">
        <x:v>工具调用</x:v>
      </x:c>
      <x:c r="F202" s="17" t="str">
        <x:v>load_finance_result</x:v>
      </x:c>
      <x:c r="G202" s="17" t="str"/>
      <x:c r="H202" s="17" t="str"/>
      <x:c r="I202" s="17" t="str">
        <x:v>合理操作</x:v>
      </x:c>
      <x:c r="J202" s="17" t="str">
        <x:v>是</x:v>
      </x:c>
      <x:c r="K202" s="18"/>
      <x:c r="L202" s="17" t="str">
        <x:v>否</x:v>
      </x:c>
      <x:c r="M202" s="17" t="str">
        <x:v>否</x:v>
      </x:c>
      <x:c r="N202" s="17" t="str">
        <x:v>load_truncated_result</x:v>
      </x:c>
      <x:c r="O202" s="17" t="str">
        <x:v>sample_incomplete_requires_full_result</x:v>
      </x:c>
      <x:c r="P202" s="17" t="str">
        <x:v>session://financial_qa_33499cfa81de4d06_2756_b25439ba9bdf/vars/v1</x:v>
      </x:c>
      <x:c r="Q202" s="17" t="str"/>
      <x:c r="R202" s="17" t="str"/>
      <x:c r="S202" s="17" t="str"/>
      <x:c r="T202" s="17" t="str"/>
      <x:c r="U202" s="17" t="str"/>
      <x:c r="V202" s="30"/>
      <x:c r="W202" s="17" t="str">
        <x:v>high</x:v>
      </x:c>
    </x:row>
    <x:row r="203" ht="54" customHeight="1">
      <x:c r="A203" s="17" t="str">
        <x:v>BUS062</x:v>
      </x:c>
      <x:c r="B203" s="17" t="str">
        <x:v>查询宁德时代按产品分部的销售收入和收入占比。</x:v>
      </x:c>
      <x:c r="C203" s="17" t="n">
        <x:v>1</x:v>
      </x:c>
      <x:c r="D203" s="17" t="str"/>
      <x:c r="E203" s="17" t="str">
        <x:v>工具调用</x:v>
      </x:c>
      <x:c r="F203" s="17" t="str">
        <x:v>read_finance_catalog</x:v>
      </x:c>
      <x:c r="G203" s="17" t="str"/>
      <x:c r="H203" s="17" t="str"/>
      <x:c r="I203" s="17" t="str">
        <x:v>合理操作</x:v>
      </x:c>
      <x:c r="J203" s="17" t="str">
        <x:v>是</x:v>
      </x:c>
      <x:c r="K203" s="18"/>
      <x:c r="L203" s="17" t="str">
        <x:v>否</x:v>
      </x:c>
      <x:c r="M203" s="17" t="str">
        <x:v>否</x:v>
      </x:c>
      <x:c r="N203" s="17" t="str">
        <x:v>target_catalog_located</x:v>
      </x:c>
      <x:c r="O203" s="17" t="str">
        <x:v>expected_dataview_catalog</x:v>
      </x:c>
      <x:c r="P203" s="17" t="str"/>
      <x:c r="Q203" s="17" t="str"/>
      <x:c r="R203" s="17" t="str"/>
      <x:c r="S203" s="17" t="str">
        <x:v>stock</x:v>
      </x:c>
      <x:c r="T203" s="17" t="str">
        <x:v>business_segment</x:v>
      </x:c>
      <x:c r="U203" s="17" t="str"/>
      <x:c r="V203" s="30"/>
      <x:c r="W203" s="17" t="str">
        <x:v>high</x:v>
      </x:c>
    </x:row>
    <x:row r="204" ht="54" customHeight="1">
      <x:c r="A204" s="17" t="str">
        <x:v>BUS062</x:v>
      </x:c>
      <x:c r="B204" s="17" t="str">
        <x:v>查询宁德时代按产品分部的销售收入和收入占比。</x:v>
      </x:c>
      <x:c r="C204" s="17" t="n">
        <x:v>2</x:v>
      </x:c>
      <x:c r="D204" s="17" t="str"/>
      <x:c r="E204" s="17" t="str">
        <x:v>工具调用</x:v>
      </x:c>
      <x:c r="F204" s="17" t="str">
        <x:v>finance_query</x:v>
      </x:c>
      <x:c r="G204" s="17" t="str">
        <x:v>r1 = stock.business_segment(filter = "code = 300750.SZ and source = 'salessegment' and segment_type = 'product'", order = "report_period desc", limit = 20) -&gt; code, name, report_period, ann_date, segment_type, project_name, project_speci_name, segment_sales, pct_segment_sales</x:v>
      </x:c>
      <x:c r="H204" s="17" t="str"/>
      <x:c r="I204" s="17" t="str">
        <x:v>合理操作</x:v>
      </x:c>
      <x:c r="J204" s="17" t="str">
        <x:v>是</x:v>
      </x:c>
      <x:c r="K204" s="18"/>
      <x:c r="L204" s="17" t="str">
        <x:v>否</x:v>
      </x:c>
      <x:c r="M204" s="17" t="str">
        <x:v>否</x:v>
      </x:c>
      <x:c r="N204" s="17" t="str">
        <x:v>target_api_executed</x:v>
      </x:c>
      <x:c r="O204" s="17" t="str">
        <x:v>expected_dataview_coverage</x:v>
      </x:c>
      <x:c r="P204" s="17" t="str">
        <x:v>session://financial_qa_33499cfa81de4d06_2757_9a13e91036f7/vars/v1</x:v>
      </x:c>
      <x:c r="Q204" s="17" t="str"/>
      <x:c r="R204" s="17" t="str">
        <x:v>stock.business_segment</x:v>
      </x:c>
      <x:c r="S204" s="17" t="str"/>
      <x:c r="T204" s="17" t="str"/>
      <x:c r="U204" s="17" t="str">
        <x:v>r1</x:v>
      </x:c>
      <x:c r="V204" s="30" t="n">
        <x:v>0</x:v>
      </x:c>
      <x:c r="W204" s="17" t="str">
        <x:v>high</x:v>
      </x:c>
    </x:row>
    <x:row r="205" ht="54" customHeight="1">
      <x:c r="A205" s="17" t="str">
        <x:v>BUS062</x:v>
      </x:c>
      <x:c r="B205" s="17" t="str">
        <x:v>查询宁德时代按产品分部的销售收入和收入占比。</x:v>
      </x:c>
      <x:c r="C205" s="17" t="n">
        <x:v>3</x:v>
      </x:c>
      <x:c r="D205" s="17" t="str"/>
      <x:c r="E205" s="17" t="str">
        <x:v>工具调用</x:v>
      </x:c>
      <x:c r="F205" s="17" t="str">
        <x:v>finance_query</x:v>
      </x:c>
      <x:c r="G205" s="17" t="str">
        <x:v>r2 = stock.business_segment(filter = "code = 300750.SZ and source = 'salessegment'", order = "report_period desc", limit = 30) -&gt; code, name, report_period, segment_type, project_name, project_speci_name, segment_sales, pct_segment_sales</x:v>
      </x:c>
      <x:c r="H205" s="17" t="str"/>
      <x:c r="I205" s="17" t="str">
        <x:v>设计浪费</x:v>
      </x:c>
      <x:c r="J205" s="17" t="str">
        <x:v>否</x:v>
      </x:c>
      <x:c r="K205" s="18"/>
      <x:c r="L205" s="17" t="str">
        <x:v>否</x:v>
      </x:c>
      <x:c r="M205" s="17" t="str">
        <x:v>否</x:v>
      </x:c>
      <x:c r="N205" s="17" t="str">
        <x:v>requery_after_terminal_zero</x:v>
      </x:c>
      <x:c r="O205" s="17" t="str">
        <x:v>terminal_zero_requery</x:v>
      </x:c>
      <x:c r="P205" s="17" t="str">
        <x:v>session://financial_qa_33499cfa81de4d06_2757_9a13e91036f7/vars/v2</x:v>
      </x:c>
      <x:c r="Q205" s="17" t="str"/>
      <x:c r="R205" s="17" t="str">
        <x:v>stock.business_segment</x:v>
      </x:c>
      <x:c r="S205" s="17" t="str"/>
      <x:c r="T205" s="17" t="str"/>
      <x:c r="U205" s="17" t="str">
        <x:v>r2</x:v>
      </x:c>
      <x:c r="V205" s="30" t="n">
        <x:v>30</x:v>
      </x:c>
      <x:c r="W205" s="17" t="str">
        <x:v>high</x:v>
      </x:c>
    </x:row>
    <x:row r="206" ht="54" customHeight="1">
      <x:c r="A206" s="17" t="str">
        <x:v>BUS062</x:v>
      </x:c>
      <x:c r="B206" s="17" t="str">
        <x:v>查询宁德时代按产品分部的销售收入和收入占比。</x:v>
      </x:c>
      <x:c r="C206" s="17" t="n">
        <x:v>4</x:v>
      </x:c>
      <x:c r="D206" s="17" t="str"/>
      <x:c r="E206" s="17" t="str">
        <x:v>工具调用</x:v>
      </x:c>
      <x:c r="F206" s="17" t="str">
        <x:v>load_finance_result</x:v>
      </x:c>
      <x:c r="G206" s="17" t="str"/>
      <x:c r="H206" s="17" t="str"/>
      <x:c r="I206" s="17" t="str">
        <x:v>合理操作</x:v>
      </x:c>
      <x:c r="J206" s="17" t="str">
        <x:v>是</x:v>
      </x:c>
      <x:c r="K206" s="18"/>
      <x:c r="L206" s="17" t="str">
        <x:v>否</x:v>
      </x:c>
      <x:c r="M206" s="17" t="str">
        <x:v>否</x:v>
      </x:c>
      <x:c r="N206" s="17" t="str">
        <x:v>load_truncated_result</x:v>
      </x:c>
      <x:c r="O206" s="17" t="str">
        <x:v>sample_incomplete_requires_full_result</x:v>
      </x:c>
      <x:c r="P206" s="17" t="str">
        <x:v>session://financial_qa_33499cfa81de4d06_2757_9a13e91036f7/vars/v2</x:v>
      </x:c>
      <x:c r="Q206" s="17" t="str"/>
      <x:c r="R206" s="17" t="str"/>
      <x:c r="S206" s="17" t="str"/>
      <x:c r="T206" s="17" t="str"/>
      <x:c r="U206" s="17" t="str"/>
      <x:c r="V206" s="30"/>
      <x:c r="W206" s="17" t="str">
        <x:v>high</x:v>
      </x:c>
    </x:row>
    <x:row r="207" ht="54" customHeight="1">
      <x:c r="A207" s="17" t="str">
        <x:v>BUS063</x:v>
      </x:c>
      <x:c r="B207" s="17" t="str">
        <x:v>筛选最新报告期毛利率最高的业务分部记录。</x:v>
      </x:c>
      <x:c r="C207" s="17" t="n">
        <x:v>1</x:v>
      </x:c>
      <x:c r="D207" s="17" t="str"/>
      <x:c r="E207" s="17" t="str">
        <x:v>工具调用</x:v>
      </x:c>
      <x:c r="F207" s="17" t="str">
        <x:v>read_finance_catalog</x:v>
      </x:c>
      <x:c r="G207" s="17" t="str"/>
      <x:c r="H207" s="17" t="str"/>
      <x:c r="I207" s="17" t="str">
        <x:v>合理操作</x:v>
      </x:c>
      <x:c r="J207" s="17" t="str">
        <x:v>是</x:v>
      </x:c>
      <x:c r="K207" s="18"/>
      <x:c r="L207" s="17" t="str">
        <x:v>否</x:v>
      </x:c>
      <x:c r="M207" s="17" t="str">
        <x:v>否</x:v>
      </x:c>
      <x:c r="N207" s="17" t="str">
        <x:v>target_catalog_located</x:v>
      </x:c>
      <x:c r="O207" s="17" t="str">
        <x:v>expected_dataview_catalog</x:v>
      </x:c>
      <x:c r="P207" s="17" t="str"/>
      <x:c r="Q207" s="17" t="str"/>
      <x:c r="R207" s="17" t="str"/>
      <x:c r="S207" s="17" t="str">
        <x:v>stock</x:v>
      </x:c>
      <x:c r="T207" s="17" t="str">
        <x:v>business_segment</x:v>
      </x:c>
      <x:c r="U207" s="17" t="str"/>
      <x:c r="V207" s="30"/>
      <x:c r="W207" s="17" t="str">
        <x:v>high</x:v>
      </x:c>
    </x:row>
    <x:row r="208" ht="54" customHeight="1">
      <x:c r="A208" s="17" t="str">
        <x:v>BUS063</x:v>
      </x:c>
      <x:c r="B208" s="17" t="str">
        <x:v>筛选最新报告期毛利率最高的业务分部记录。</x:v>
      </x:c>
      <x:c r="C208" s="17" t="n">
        <x:v>2</x:v>
      </x:c>
      <x:c r="D208" s="17" t="str"/>
      <x:c r="E208" s="17" t="str">
        <x:v>工具调用</x:v>
      </x:c>
      <x:c r="F208" s="17" t="str">
        <x:v>finance_query</x:v>
      </x:c>
      <x:c r="G208" s="17" t="str">
        <x:v>r1 = stock.business_segment(filter = "source = salessegment", order = "report_period desc, gross_profit_margin desc", limit = 20) -&gt; code, name, report_period, project_name, segment_sales, segment_cost, segment_profit, gross_profit_margin, segment_type</x:v>
      </x:c>
      <x:c r="H208" s="17" t="str"/>
      <x:c r="I208" s="17" t="str">
        <x:v>合理操作</x:v>
      </x:c>
      <x:c r="J208" s="17" t="str">
        <x:v>是</x:v>
      </x:c>
      <x:c r="K208" s="18"/>
      <x:c r="L208" s="17" t="str">
        <x:v>否</x:v>
      </x:c>
      <x:c r="M208" s="17" t="str">
        <x:v>否</x:v>
      </x:c>
      <x:c r="N208" s="17" t="str">
        <x:v>target_api_executed</x:v>
      </x:c>
      <x:c r="O208" s="17" t="str">
        <x:v>expected_dataview_coverage</x:v>
      </x:c>
      <x:c r="P208" s="17" t="str">
        <x:v>session://financial_qa_33499cfa81de4d06_2758_ef20de34c5c4/vars/v1</x:v>
      </x:c>
      <x:c r="Q208" s="17" t="str"/>
      <x:c r="R208" s="17" t="str">
        <x:v>stock.business_segment</x:v>
      </x:c>
      <x:c r="S208" s="17" t="str"/>
      <x:c r="T208" s="17" t="str"/>
      <x:c r="U208" s="17" t="str">
        <x:v>r1</x:v>
      </x:c>
      <x:c r="V208" s="30" t="n">
        <x:v>20</x:v>
      </x:c>
      <x:c r="W208" s="17" t="str">
        <x:v>high</x:v>
      </x:c>
    </x:row>
    <x:row r="209" ht="54" customHeight="1">
      <x:c r="A209" s="17" t="str">
        <x:v>BUS063</x:v>
      </x:c>
      <x:c r="B209" s="17" t="str">
        <x:v>筛选最新报告期毛利率最高的业务分部记录。</x:v>
      </x:c>
      <x:c r="C209" s="17" t="n">
        <x:v>3</x:v>
      </x:c>
      <x:c r="D209" s="17" t="str"/>
      <x:c r="E209" s="17" t="str">
        <x:v>工具调用</x:v>
      </x:c>
      <x:c r="F209" s="17" t="str">
        <x:v>load_finance_result</x:v>
      </x:c>
      <x:c r="G209" s="17" t="str"/>
      <x:c r="H209" s="17" t="str"/>
      <x:c r="I209" s="17" t="str">
        <x:v>合理操作</x:v>
      </x:c>
      <x:c r="J209" s="17" t="str">
        <x:v>是</x:v>
      </x:c>
      <x:c r="K209" s="18"/>
      <x:c r="L209" s="17" t="str">
        <x:v>否</x:v>
      </x:c>
      <x:c r="M209" s="17" t="str">
        <x:v>否</x:v>
      </x:c>
      <x:c r="N209" s="17" t="str">
        <x:v>load_truncated_result</x:v>
      </x:c>
      <x:c r="O209" s="17" t="str">
        <x:v>sample_incomplete_requires_full_result</x:v>
      </x:c>
      <x:c r="P209" s="17" t="str">
        <x:v>session://financial_qa_33499cfa81de4d06_2758_ef20de34c5c4/vars/v1</x:v>
      </x:c>
      <x:c r="Q209" s="17" t="str"/>
      <x:c r="R209" s="17" t="str"/>
      <x:c r="S209" s="17" t="str"/>
      <x:c r="T209" s="17" t="str"/>
      <x:c r="U209" s="17" t="str"/>
      <x:c r="V209" s="30"/>
      <x:c r="W209" s="17" t="str">
        <x:v>high</x:v>
      </x:c>
    </x:row>
    <x:row r="210" ht="54" customHeight="1">
      <x:c r="A210" s="17" t="str">
        <x:v>BUS064</x:v>
      </x:c>
      <x:c r="B210" s="17" t="str">
        <x:v>查询美的集团按地区分部的收入占比。</x:v>
      </x:c>
      <x:c r="C210" s="17" t="n">
        <x:v>1</x:v>
      </x:c>
      <x:c r="D210" s="17" t="str"/>
      <x:c r="E210" s="17" t="str">
        <x:v>工具调用</x:v>
      </x:c>
      <x:c r="F210" s="17" t="str">
        <x:v>read_finance_catalog</x:v>
      </x:c>
      <x:c r="G210" s="17" t="str"/>
      <x:c r="H210" s="17" t="str"/>
      <x:c r="I210" s="17" t="str">
        <x:v>合理操作</x:v>
      </x:c>
      <x:c r="J210" s="17" t="str">
        <x:v>是</x:v>
      </x:c>
      <x:c r="K210" s="18"/>
      <x:c r="L210" s="17" t="str">
        <x:v>否</x:v>
      </x:c>
      <x:c r="M210" s="17" t="str">
        <x:v>否</x:v>
      </x:c>
      <x:c r="N210" s="17" t="str">
        <x:v>target_catalog_located</x:v>
      </x:c>
      <x:c r="O210" s="17" t="str">
        <x:v>expected_dataview_catalog</x:v>
      </x:c>
      <x:c r="P210" s="17" t="str"/>
      <x:c r="Q210" s="17" t="str"/>
      <x:c r="R210" s="17" t="str"/>
      <x:c r="S210" s="17" t="str">
        <x:v>stock</x:v>
      </x:c>
      <x:c r="T210" s="17" t="str">
        <x:v>business_segment</x:v>
      </x:c>
      <x:c r="U210" s="17" t="str"/>
      <x:c r="V210" s="30"/>
      <x:c r="W210" s="17" t="str">
        <x:v>high</x:v>
      </x:c>
    </x:row>
    <x:row r="211" ht="54" customHeight="1">
      <x:c r="A211" s="17" t="str">
        <x:v>BUS064</x:v>
      </x:c>
      <x:c r="B211" s="17" t="str">
        <x:v>查询美的集团按地区分部的收入占比。</x:v>
      </x:c>
      <x:c r="C211" s="17" t="n">
        <x:v>2</x:v>
      </x:c>
      <x:c r="D211" s="17" t="str"/>
      <x:c r="E211" s="17" t="str">
        <x:v>工具调用</x:v>
      </x:c>
      <x:c r="F211" s="17" t="str">
        <x:v>finance_query</x:v>
      </x:c>
      <x:c r="G211" s="17" t="str">
        <x:v>r1 = stock.business_segment(filter="code = 000333.SZ and source = salessegment and segment_type = 地区", order="report_period desc, project_name asc", limit=20) -&gt; code, name, report_period, segment_type, project_name, segment_sales, pct_segment_sales</x:v>
      </x:c>
      <x:c r="H211" s="17" t="str"/>
      <x:c r="I211" s="17" t="str">
        <x:v>合理操作</x:v>
      </x:c>
      <x:c r="J211" s="17" t="str">
        <x:v>是</x:v>
      </x:c>
      <x:c r="K211" s="18"/>
      <x:c r="L211" s="17" t="str">
        <x:v>否</x:v>
      </x:c>
      <x:c r="M211" s="17" t="str">
        <x:v>否</x:v>
      </x:c>
      <x:c r="N211" s="17" t="str">
        <x:v>target_api_executed</x:v>
      </x:c>
      <x:c r="O211" s="17" t="str">
        <x:v>expected_dataview_coverage</x:v>
      </x:c>
      <x:c r="P211" s="17" t="str">
        <x:v>session://financial_qa_33499cfa81de4d06_2759_3b9e123562ac/vars/v1</x:v>
      </x:c>
      <x:c r="Q211" s="17" t="str"/>
      <x:c r="R211" s="17" t="str">
        <x:v>stock.business_segment</x:v>
      </x:c>
      <x:c r="S211" s="17" t="str"/>
      <x:c r="T211" s="17" t="str"/>
      <x:c r="U211" s="17" t="str">
        <x:v>r1</x:v>
      </x:c>
      <x:c r="V211" s="30" t="n">
        <x:v>0</x:v>
      </x:c>
      <x:c r="W211" s="17" t="str">
        <x:v>high</x:v>
      </x:c>
    </x:row>
    <x:row r="212" ht="54" customHeight="1">
      <x:c r="A212" s="17" t="str">
        <x:v>BUS064</x:v>
      </x:c>
      <x:c r="B212" s="17" t="str">
        <x:v>查询美的集团按地区分部的收入占比。</x:v>
      </x:c>
      <x:c r="C212" s="17" t="n">
        <x:v>3</x:v>
      </x:c>
      <x:c r="D212" s="17" t="str"/>
      <x:c r="E212" s="17" t="str">
        <x:v>工具调用</x:v>
      </x:c>
      <x:c r="F212" s="17" t="str">
        <x:v>finance_query</x:v>
      </x:c>
      <x:c r="G212" s="17" t="str">
        <x:v>r2 = stock.business_segment(filter="code = 000333.SZ and source = salessegment", order="report_period desc", limit=50) -&gt; code, name, report_period, segment_type, project_name, segment_sales, pct_segment_sales</x:v>
      </x:c>
      <x:c r="H212" s="17" t="str"/>
      <x:c r="I212" s="17" t="str">
        <x:v>设计浪费</x:v>
      </x:c>
      <x:c r="J212" s="17" t="str">
        <x:v>否</x:v>
      </x:c>
      <x:c r="K212" s="18"/>
      <x:c r="L212" s="17" t="str">
        <x:v>否</x:v>
      </x:c>
      <x:c r="M212" s="17" t="str">
        <x:v>否</x:v>
      </x:c>
      <x:c r="N212" s="17" t="str">
        <x:v>requery_after_terminal_zero</x:v>
      </x:c>
      <x:c r="O212" s="17" t="str">
        <x:v>terminal_zero_requery</x:v>
      </x:c>
      <x:c r="P212" s="17" t="str">
        <x:v>session://financial_qa_33499cfa81de4d06_2759_3b9e123562ac/vars/v2</x:v>
      </x:c>
      <x:c r="Q212" s="17" t="str"/>
      <x:c r="R212" s="17" t="str">
        <x:v>stock.business_segment</x:v>
      </x:c>
      <x:c r="S212" s="17" t="str"/>
      <x:c r="T212" s="17" t="str"/>
      <x:c r="U212" s="17" t="str">
        <x:v>r2</x:v>
      </x:c>
      <x:c r="V212" s="30" t="n">
        <x:v>50</x:v>
      </x:c>
      <x:c r="W212" s="17" t="str">
        <x:v>high</x:v>
      </x:c>
    </x:row>
    <x:row r="213" ht="54" customHeight="1">
      <x:c r="A213" s="17" t="str">
        <x:v>BUS064</x:v>
      </x:c>
      <x:c r="B213" s="17" t="str">
        <x:v>查询美的集团按地区分部的收入占比。</x:v>
      </x:c>
      <x:c r="C213" s="17" t="n">
        <x:v>4</x:v>
      </x:c>
      <x:c r="D213" s="17" t="str"/>
      <x:c r="E213" s="17" t="str">
        <x:v>工具调用</x:v>
      </x:c>
      <x:c r="F213" s="17" t="str">
        <x:v>load_finance_result</x:v>
      </x:c>
      <x:c r="G213" s="17" t="str"/>
      <x:c r="H213" s="17" t="str"/>
      <x:c r="I213" s="17" t="str">
        <x:v>合理操作</x:v>
      </x:c>
      <x:c r="J213" s="17" t="str">
        <x:v>是</x:v>
      </x:c>
      <x:c r="K213" s="18"/>
      <x:c r="L213" s="17" t="str">
        <x:v>否</x:v>
      </x:c>
      <x:c r="M213" s="17" t="str">
        <x:v>否</x:v>
      </x:c>
      <x:c r="N213" s="17" t="str">
        <x:v>load_truncated_result</x:v>
      </x:c>
      <x:c r="O213" s="17" t="str">
        <x:v>sample_incomplete_requires_full_result</x:v>
      </x:c>
      <x:c r="P213" s="17" t="str">
        <x:v>session://financial_qa_33499cfa81de4d06_2759_3b9e123562ac/vars/v2</x:v>
      </x:c>
      <x:c r="Q213" s="17" t="str"/>
      <x:c r="R213" s="17" t="str"/>
      <x:c r="S213" s="17" t="str"/>
      <x:c r="T213" s="17" t="str"/>
      <x:c r="U213" s="17" t="str"/>
      <x:c r="V213" s="30"/>
      <x:c r="W213" s="17" t="str">
        <x:v>high</x:v>
      </x:c>
    </x:row>
    <x:row r="214" ht="54" customHeight="1">
      <x:c r="A214" s="17" t="str">
        <x:v>BUS064</x:v>
      </x:c>
      <x:c r="B214" s="17" t="str">
        <x:v>查询美的集团按地区分部的收入占比。</x:v>
      </x:c>
      <x:c r="C214" s="17" t="n">
        <x:v>5</x:v>
      </x:c>
      <x:c r="D214" s="17" t="str"/>
      <x:c r="E214" s="17" t="str">
        <x:v>工具调用</x:v>
      </x:c>
      <x:c r="F214" s="17" t="str">
        <x:v>finance_query</x:v>
      </x:c>
      <x:c r="G214" s="17" t="str">
        <x:v>r3 = stock.business_segment(filter="code = 000333.SZ and source = salessegment and segment_type = 3", order="report_period desc, project_name asc", limit=20) -&gt; code, name, report_period, segment_type, project_name, segment_sales, pct_segment_sales</x:v>
      </x:c>
      <x:c r="H214" s="17" t="str"/>
      <x:c r="I214" s="17" t="str">
        <x:v>合理操作</x:v>
      </x:c>
      <x:c r="J214" s="17" t="str">
        <x:v>是</x:v>
      </x:c>
      <x:c r="K214" s="18"/>
      <x:c r="L214" s="17" t="str">
        <x:v>否</x:v>
      </x:c>
      <x:c r="M214" s="17" t="str">
        <x:v>否</x:v>
      </x:c>
      <x:c r="N214" s="17" t="str">
        <x:v>target_api_executed</x:v>
      </x:c>
      <x:c r="O214" s="17" t="str">
        <x:v>expected_dataview_coverage</x:v>
      </x:c>
      <x:c r="P214" s="17" t="str">
        <x:v>session://financial_qa_33499cfa81de4d06_2759_3b9e123562ac/vars/v3</x:v>
      </x:c>
      <x:c r="Q214" s="17" t="str"/>
      <x:c r="R214" s="17" t="str">
        <x:v>stock.business_segment</x:v>
      </x:c>
      <x:c r="S214" s="17" t="str"/>
      <x:c r="T214" s="17" t="str"/>
      <x:c r="U214" s="17" t="str">
        <x:v>r3</x:v>
      </x:c>
      <x:c r="V214" s="30" t="n">
        <x:v>20</x:v>
      </x:c>
      <x:c r="W214" s="17" t="str">
        <x:v>high</x:v>
      </x:c>
    </x:row>
    <x:row r="215" ht="54" customHeight="1">
      <x:c r="A215" s="17" t="str">
        <x:v>BUS064</x:v>
      </x:c>
      <x:c r="B215" s="17" t="str">
        <x:v>查询美的集团按地区分部的收入占比。</x:v>
      </x:c>
      <x:c r="C215" s="17" t="n">
        <x:v>6</x:v>
      </x:c>
      <x:c r="D215" s="17" t="str"/>
      <x:c r="E215" s="17" t="str">
        <x:v>工具调用</x:v>
      </x:c>
      <x:c r="F215" s="17" t="str">
        <x:v>load_finance_result</x:v>
      </x:c>
      <x:c r="G215" s="17" t="str"/>
      <x:c r="H215" s="17" t="str"/>
      <x:c r="I215" s="17" t="str">
        <x:v>合理操作</x:v>
      </x:c>
      <x:c r="J215" s="17" t="str">
        <x:v>是</x:v>
      </x:c>
      <x:c r="K215" s="18"/>
      <x:c r="L215" s="17" t="str">
        <x:v>否</x:v>
      </x:c>
      <x:c r="M215" s="17" t="str">
        <x:v>否</x:v>
      </x:c>
      <x:c r="N215" s="17" t="str">
        <x:v>load_truncated_result</x:v>
      </x:c>
      <x:c r="O215" s="17" t="str">
        <x:v>sample_incomplete_requires_full_result</x:v>
      </x:c>
      <x:c r="P215" s="17" t="str">
        <x:v>session://financial_qa_33499cfa81de4d06_2759_3b9e123562ac/vars/v3</x:v>
      </x:c>
      <x:c r="Q215" s="17" t="str"/>
      <x:c r="R215" s="17" t="str"/>
      <x:c r="S215" s="17" t="str"/>
      <x:c r="T215" s="17" t="str"/>
      <x:c r="U215" s="17" t="str"/>
      <x:c r="V215" s="30"/>
      <x:c r="W215" s="17" t="str">
        <x:v>high</x:v>
      </x:c>
    </x:row>
    <x:row r="216" ht="54" customHeight="1">
      <x:c r="A216" s="17" t="str">
        <x:v>BUS065</x:v>
      </x:c>
      <x:c r="B216" s="17" t="str">
        <x:v>最新报告期业务分部销售收入最高的前20条记录。</x:v>
      </x:c>
      <x:c r="C216" s="17" t="n">
        <x:v>1</x:v>
      </x:c>
      <x:c r="D216" s="17" t="str"/>
      <x:c r="E216" s="17" t="str">
        <x:v>工具调用</x:v>
      </x:c>
      <x:c r="F216" s="17" t="str">
        <x:v>read_finance_catalog</x:v>
      </x:c>
      <x:c r="G216" s="17" t="str"/>
      <x:c r="H216" s="17" t="str"/>
      <x:c r="I216" s="17" t="str">
        <x:v>合理操作</x:v>
      </x:c>
      <x:c r="J216" s="17" t="str">
        <x:v>是</x:v>
      </x:c>
      <x:c r="K216" s="18"/>
      <x:c r="L216" s="17" t="str">
        <x:v>否</x:v>
      </x:c>
      <x:c r="M216" s="17" t="str">
        <x:v>否</x:v>
      </x:c>
      <x:c r="N216" s="17" t="str">
        <x:v>target_catalog_located</x:v>
      </x:c>
      <x:c r="O216" s="17" t="str">
        <x:v>expected_dataview_catalog</x:v>
      </x:c>
      <x:c r="P216" s="17" t="str"/>
      <x:c r="Q216" s="17" t="str"/>
      <x:c r="R216" s="17" t="str"/>
      <x:c r="S216" s="17" t="str">
        <x:v>stock</x:v>
      </x:c>
      <x:c r="T216" s="17" t="str">
        <x:v>business_segment</x:v>
      </x:c>
      <x:c r="U216" s="17" t="str"/>
      <x:c r="V216" s="30"/>
      <x:c r="W216" s="17" t="str">
        <x:v>high</x:v>
      </x:c>
    </x:row>
    <x:row r="217" ht="54" customHeight="1">
      <x:c r="A217" s="17" t="str">
        <x:v>BUS065</x:v>
      </x:c>
      <x:c r="B217" s="17" t="str">
        <x:v>最新报告期业务分部销售收入最高的前20条记录。</x:v>
      </x:c>
      <x:c r="C217" s="17" t="n">
        <x:v>2</x:v>
      </x:c>
      <x:c r="D217" s="17" t="str"/>
      <x:c r="E217" s="17" t="str">
        <x:v>工具调用</x:v>
      </x:c>
      <x:c r="F217" s="17" t="str">
        <x:v>finance_query</x:v>
      </x:c>
      <x:c r="G217" s="17" t="str">
        <x:v>r1 = stock.business_segment(filter = "source = 'salessegment'", order = "report_period desc", limit = 1) -&gt; report_period</x:v>
      </x:c>
      <x:c r="H217" s="17" t="str"/>
      <x:c r="I217" s="17" t="str">
        <x:v>合理操作</x:v>
      </x:c>
      <x:c r="J217" s="17" t="str">
        <x:v>是</x:v>
      </x:c>
      <x:c r="K217" s="18"/>
      <x:c r="L217" s="17" t="str">
        <x:v>否</x:v>
      </x:c>
      <x:c r="M217" s="17" t="str">
        <x:v>否</x:v>
      </x:c>
      <x:c r="N217" s="17" t="str">
        <x:v>target_api_executed</x:v>
      </x:c>
      <x:c r="O217" s="17" t="str">
        <x:v>expected_dataview_coverage</x:v>
      </x:c>
      <x:c r="P217" s="17" t="str">
        <x:v>session://financial_qa_33499cfa81de4d06_2760_b88b8b386fbe/vars/v1</x:v>
      </x:c>
      <x:c r="Q217" s="17" t="str"/>
      <x:c r="R217" s="17" t="str">
        <x:v>stock.business_segment</x:v>
      </x:c>
      <x:c r="S217" s="17" t="str"/>
      <x:c r="T217" s="17" t="str"/>
      <x:c r="U217" s="17" t="str">
        <x:v>r1</x:v>
      </x:c>
      <x:c r="V217" s="30" t="n">
        <x:v>1</x:v>
      </x:c>
      <x:c r="W217" s="17" t="str">
        <x:v>high</x:v>
      </x:c>
    </x:row>
    <x:row r="218" ht="54" customHeight="1">
      <x:c r="A218" s="17" t="str">
        <x:v>BUS065</x:v>
      </x:c>
      <x:c r="B218" s="17" t="str">
        <x:v>最新报告期业务分部销售收入最高的前20条记录。</x:v>
      </x:c>
      <x:c r="C218" s="17" t="n">
        <x:v>3</x:v>
      </x:c>
      <x:c r="D218" s="17" t="str"/>
      <x:c r="E218" s="17" t="str">
        <x:v>工具调用</x:v>
      </x:c>
      <x:c r="F218" s="17" t="str">
        <x:v>finance_query</x:v>
      </x:c>
      <x:c r="G218" s="17" t="str">
        <x:v>r2 = stock.business_segment(filter = "source = 'salessegment' and report_period = r1.report_period", order = "segment_sales desc", limit = 20) -&gt; code, name, report_period, segment_type, project_name, segment_sales, pct_segment_sales</x:v>
      </x:c>
      <x:c r="H218" s="17" t="str"/>
      <x:c r="I218" s="17" t="str">
        <x:v>设计浪费</x:v>
      </x:c>
      <x:c r="J218" s="17" t="str">
        <x:v>否</x:v>
      </x:c>
      <x:c r="K218" s="18"/>
      <x:c r="L218" s="17" t="str">
        <x:v>否</x:v>
      </x:c>
      <x:c r="M218" s="17" t="str">
        <x:v>否</x:v>
      </x:c>
      <x:c r="N218" s="17" t="str">
        <x:v>validation_error</x:v>
      </x:c>
      <x:c r="O218" s="17" t="str">
        <x:v>query_validation_error</x:v>
      </x:c>
      <x:c r="P218" s="17" t="str"/>
      <x:c r="Q218" s="17" t="str"/>
      <x:c r="R218" s="17" t="str">
        <x:v>stock.business_segment</x:v>
      </x:c>
      <x:c r="S218" s="17" t="str"/>
      <x:c r="T218" s="17" t="str"/>
      <x:c r="U218" s="17" t="str">
        <x:v>r2</x:v>
      </x:c>
      <x:c r="V218" s="30"/>
      <x:c r="W218" s="17" t="str">
        <x:v>high</x:v>
      </x:c>
    </x:row>
    <x:row r="219" ht="54" customHeight="1">
      <x:c r="A219" s="17" t="str">
        <x:v>BUS065</x:v>
      </x:c>
      <x:c r="B219" s="17" t="str">
        <x:v>最新报告期业务分部销售收入最高的前20条记录。</x:v>
      </x:c>
      <x:c r="C219" s="17" t="n">
        <x:v>4</x:v>
      </x:c>
      <x:c r="D219" s="17" t="str"/>
      <x:c r="E219" s="17" t="str">
        <x:v>工具调用</x:v>
      </x:c>
      <x:c r="F219" s="17" t="str">
        <x:v>finance_query</x:v>
      </x:c>
      <x:c r="G219" s="17" t="str">
        <x:v>r2 = stock.business_segment(filter = "source = 'salessegment' and report_period in r1.report_period", order = "segment_sales desc", limit = 20) -&gt; code, name, report_period, segment_type, project_name, segment_sales, pct_segment_sales</x:v>
      </x:c>
      <x:c r="H219" s="17" t="str"/>
      <x:c r="I219" s="17" t="str">
        <x:v>可解释探索</x:v>
      </x:c>
      <x:c r="J219" s="17" t="str">
        <x:v>是</x:v>
      </x:c>
      <x:c r="K219" s="18"/>
      <x:c r="L219" s="17" t="str">
        <x:v>否</x:v>
      </x:c>
      <x:c r="M219" s="17" t="str">
        <x:v>否</x:v>
      </x:c>
      <x:c r="N219" s="17" t="str">
        <x:v>changed_query_after_failure</x:v>
      </x:c>
      <x:c r="O219" s="17" t="str">
        <x:v>successful_same_api_recovery</x:v>
      </x:c>
      <x:c r="P219" s="17" t="str">
        <x:v>session://financial_qa_33499cfa81de4d06_2760_b88b8b386fbe/vars/v2</x:v>
      </x:c>
      <x:c r="Q219" s="17" t="str"/>
      <x:c r="R219" s="17" t="str">
        <x:v>stock.business_segment</x:v>
      </x:c>
      <x:c r="S219" s="17" t="str"/>
      <x:c r="T219" s="17" t="str"/>
      <x:c r="U219" s="17" t="str">
        <x:v>r2</x:v>
      </x:c>
      <x:c r="V219" s="30" t="n">
        <x:v>20</x:v>
      </x:c>
      <x:c r="W219" s="17" t="str">
        <x:v>medium</x:v>
      </x:c>
    </x:row>
    <x:row r="220" ht="54" customHeight="1">
      <x:c r="A220" s="17" t="str">
        <x:v>BUS065</x:v>
      </x:c>
      <x:c r="B220" s="17" t="str">
        <x:v>最新报告期业务分部销售收入最高的前20条记录。</x:v>
      </x:c>
      <x:c r="C220" s="17" t="n">
        <x:v>5</x:v>
      </x:c>
      <x:c r="D220" s="17" t="str"/>
      <x:c r="E220" s="17" t="str">
        <x:v>工具调用</x:v>
      </x:c>
      <x:c r="F220" s="17" t="str">
        <x:v>load_finance_result</x:v>
      </x:c>
      <x:c r="G220" s="17" t="str"/>
      <x:c r="H220" s="17" t="str"/>
      <x:c r="I220" s="17" t="str">
        <x:v>合理操作</x:v>
      </x:c>
      <x:c r="J220" s="17" t="str">
        <x:v>是</x:v>
      </x:c>
      <x:c r="K220" s="18"/>
      <x:c r="L220" s="17" t="str">
        <x:v>否</x:v>
      </x:c>
      <x:c r="M220" s="17" t="str">
        <x:v>否</x:v>
      </x:c>
      <x:c r="N220" s="17" t="str">
        <x:v>load_truncated_result</x:v>
      </x:c>
      <x:c r="O220" s="17" t="str">
        <x:v>sample_incomplete_requires_full_result</x:v>
      </x:c>
      <x:c r="P220" s="17" t="str">
        <x:v>session://financial_qa_33499cfa81de4d06_2760_b88b8b386fbe/vars/v2</x:v>
      </x:c>
      <x:c r="Q220" s="17" t="str"/>
      <x:c r="R220" s="17" t="str"/>
      <x:c r="S220" s="17" t="str"/>
      <x:c r="T220" s="17" t="str"/>
      <x:c r="U220" s="17" t="str"/>
      <x:c r="V220" s="30"/>
      <x:c r="W220" s="17" t="str">
        <x:v>high</x:v>
      </x:c>
    </x:row>
    <x:row r="221" ht="54" customHeight="1">
      <x:c r="A221" s="17" t="str">
        <x:v>BUS066</x:v>
      </x:c>
      <x:c r="B221" s="17" t="str">
        <x:v>查询项目名称包含新能源的业务分部销售收入和毛利率。</x:v>
      </x:c>
      <x:c r="C221" s="17" t="n">
        <x:v>1</x:v>
      </x:c>
      <x:c r="D221" s="17" t="str"/>
      <x:c r="E221" s="17" t="str">
        <x:v>工具调用</x:v>
      </x:c>
      <x:c r="F221" s="17" t="str">
        <x:v>read_finance_catalog</x:v>
      </x:c>
      <x:c r="G221" s="17" t="str"/>
      <x:c r="H221" s="17" t="str"/>
      <x:c r="I221" s="17" t="str">
        <x:v>合理操作</x:v>
      </x:c>
      <x:c r="J221" s="17" t="str">
        <x:v>是</x:v>
      </x:c>
      <x:c r="K221" s="18"/>
      <x:c r="L221" s="17" t="str">
        <x:v>否</x:v>
      </x:c>
      <x:c r="M221" s="17" t="str">
        <x:v>否</x:v>
      </x:c>
      <x:c r="N221" s="17" t="str">
        <x:v>target_catalog_located</x:v>
      </x:c>
      <x:c r="O221" s="17" t="str">
        <x:v>expected_dataview_catalog</x:v>
      </x:c>
      <x:c r="P221" s="17" t="str"/>
      <x:c r="Q221" s="17" t="str"/>
      <x:c r="R221" s="17" t="str"/>
      <x:c r="S221" s="17" t="str">
        <x:v>stock</x:v>
      </x:c>
      <x:c r="T221" s="17" t="str">
        <x:v>business_segment</x:v>
      </x:c>
      <x:c r="U221" s="17" t="str"/>
      <x:c r="V221" s="30"/>
      <x:c r="W221" s="17" t="str">
        <x:v>high</x:v>
      </x:c>
    </x:row>
    <x:row r="222" ht="54" customHeight="1">
      <x:c r="A222" s="17" t="str">
        <x:v>BUS066</x:v>
      </x:c>
      <x:c r="B222" s="17" t="str">
        <x:v>查询项目名称包含新能源的业务分部销售收入和毛利率。</x:v>
      </x:c>
      <x:c r="C222" s="17" t="n">
        <x:v>2</x:v>
      </x:c>
      <x:c r="D222" s="17" t="str"/>
      <x:c r="E222" s="17" t="str">
        <x:v>工具调用</x:v>
      </x:c>
      <x:c r="F222" s="17" t="str">
        <x:v>finance_query</x:v>
      </x:c>
      <x:c r="G222" s="17" t="str">
        <x:v>r1 = stock.business_segment(filter = "project_name like '%新能源%'", order = "report_period desc", limit = 50) -&gt; code, name, report_period, project_name, segment_sales, gross_profit_margin</x:v>
      </x:c>
      <x:c r="H222" s="17" t="str"/>
      <x:c r="I222" s="17" t="str">
        <x:v>合理操作</x:v>
      </x:c>
      <x:c r="J222" s="17" t="str">
        <x:v>是</x:v>
      </x:c>
      <x:c r="K222" s="18"/>
      <x:c r="L222" s="17" t="str">
        <x:v>否</x:v>
      </x:c>
      <x:c r="M222" s="17" t="str">
        <x:v>否</x:v>
      </x:c>
      <x:c r="N222" s="17" t="str">
        <x:v>target_api_executed</x:v>
      </x:c>
      <x:c r="O222" s="17" t="str">
        <x:v>expected_dataview_coverage</x:v>
      </x:c>
      <x:c r="P222" s="17" t="str">
        <x:v>session://financial_qa_33499cfa81de4d06_2761_581a63d109f5/vars/v1</x:v>
      </x:c>
      <x:c r="Q222" s="17" t="str"/>
      <x:c r="R222" s="17" t="str">
        <x:v>stock.business_segment</x:v>
      </x:c>
      <x:c r="S222" s="17" t="str"/>
      <x:c r="T222" s="17" t="str"/>
      <x:c r="U222" s="17" t="str">
        <x:v>r1</x:v>
      </x:c>
      <x:c r="V222" s="30" t="n">
        <x:v>50</x:v>
      </x:c>
      <x:c r="W222" s="17" t="str">
        <x:v>high</x:v>
      </x:c>
    </x:row>
    <x:row r="223" ht="54" customHeight="1">
      <x:c r="A223" s="17" t="str">
        <x:v>BUS066</x:v>
      </x:c>
      <x:c r="B223" s="17" t="str">
        <x:v>查询项目名称包含新能源的业务分部销售收入和毛利率。</x:v>
      </x:c>
      <x:c r="C223" s="17" t="n">
        <x:v>3</x:v>
      </x:c>
      <x:c r="D223" s="17" t="str"/>
      <x:c r="E223" s="17" t="str">
        <x:v>工具调用</x:v>
      </x:c>
      <x:c r="F223" s="17" t="str">
        <x:v>load_finance_result</x:v>
      </x:c>
      <x:c r="G223" s="17" t="str"/>
      <x:c r="H223" s="17" t="str"/>
      <x:c r="I223" s="17" t="str">
        <x:v>合理操作</x:v>
      </x:c>
      <x:c r="J223" s="17" t="str">
        <x:v>是</x:v>
      </x:c>
      <x:c r="K223" s="18"/>
      <x:c r="L223" s="17" t="str">
        <x:v>否</x:v>
      </x:c>
      <x:c r="M223" s="17" t="str">
        <x:v>否</x:v>
      </x:c>
      <x:c r="N223" s="17" t="str">
        <x:v>load_truncated_result</x:v>
      </x:c>
      <x:c r="O223" s="17" t="str">
        <x:v>sample_incomplete_requires_full_result</x:v>
      </x:c>
      <x:c r="P223" s="17" t="str">
        <x:v>session://financial_qa_33499cfa81de4d06_2761_581a63d109f5/vars/v1</x:v>
      </x:c>
      <x:c r="Q223" s="17" t="str"/>
      <x:c r="R223" s="17" t="str"/>
      <x:c r="S223" s="17" t="str"/>
      <x:c r="T223" s="17" t="str"/>
      <x:c r="U223" s="17" t="str"/>
      <x:c r="V223" s="30"/>
      <x:c r="W223" s="17" t="str">
        <x:v>high</x:v>
      </x:c>
    </x:row>
    <x:row r="224" ht="54" customHeight="1">
      <x:c r="A224" s="17" t="str">
        <x:v>BUS067</x:v>
      </x:c>
      <x:c r="B224" s="17" t="str">
        <x:v>按申万一级行业统计今天股票平均涨跌幅和上涨家数。</x:v>
      </x:c>
      <x:c r="C224" s="17" t="n">
        <x:v>1</x:v>
      </x:c>
      <x:c r="D224" s="17" t="str"/>
      <x:c r="E224" s="17" t="str">
        <x:v>工具调用</x:v>
      </x:c>
      <x:c r="F224" s="17" t="str">
        <x:v>read_finance_catalog</x:v>
      </x:c>
      <x:c r="G224" s="17" t="str"/>
      <x:c r="H224" s="17" t="str"/>
      <x:c r="I224" s="17" t="str">
        <x:v>合理操作</x:v>
      </x:c>
      <x:c r="J224" s="17" t="str">
        <x:v>是</x:v>
      </x:c>
      <x:c r="K224" s="18"/>
      <x:c r="L224" s="17" t="str">
        <x:v>否</x:v>
      </x:c>
      <x:c r="M224" s="17" t="str">
        <x:v>否</x:v>
      </x:c>
      <x:c r="N224" s="17" t="str">
        <x:v>target_catalog_located</x:v>
      </x:c>
      <x:c r="O224" s="17" t="str">
        <x:v>expected_dataview_catalog</x:v>
      </x:c>
      <x:c r="P224" s="17" t="str"/>
      <x:c r="Q224" s="17" t="str"/>
      <x:c r="R224" s="17" t="str"/>
      <x:c r="S224" s="17" t="str">
        <x:v>industry</x:v>
      </x:c>
      <x:c r="T224" s="17" t="str">
        <x:v>constitution</x:v>
      </x:c>
      <x:c r="U224" s="17" t="str"/>
      <x:c r="V224" s="30"/>
      <x:c r="W224" s="17" t="str">
        <x:v>high</x:v>
      </x:c>
    </x:row>
    <x:row r="225" ht="54" customHeight="1">
      <x:c r="A225" s="17" t="str">
        <x:v>BUS067</x:v>
      </x:c>
      <x:c r="B225" s="17" t="str">
        <x:v>按申万一级行业统计今天股票平均涨跌幅和上涨家数。</x:v>
      </x:c>
      <x:c r="C225" s="17" t="n">
        <x:v>2</x:v>
      </x:c>
      <x:c r="D225" s="17" t="str"/>
      <x:c r="E225" s="17" t="str">
        <x:v>工具调用</x:v>
      </x:c>
      <x:c r="F225" s="17" t="str">
        <x:v>finance_query</x:v>
      </x:c>
      <x:c r="G225" s="17" t="str">
        <x:v>r1 = industry.constitution.agg(filter = "level = 1 and tradedate = -1", agg = avg(stock.quote.pct), group_by = "level1_industry_name", order = "avg_pct desc", limit = -1, realtime = 0) -&gt; level1_industry_name, avg_pct</x:v>
      </x:c>
      <x:c r="H225" s="17" t="str"/>
      <x:c r="I225" s="17" t="str">
        <x:v>合理操作</x:v>
      </x:c>
      <x:c r="J225" s="17" t="str">
        <x:v>是</x:v>
      </x:c>
      <x:c r="K225" s="18"/>
      <x:c r="L225" s="17" t="str">
        <x:v>否</x:v>
      </x:c>
      <x:c r="M225" s="17" t="str">
        <x:v>否</x:v>
      </x:c>
      <x:c r="N225" s="17" t="str">
        <x:v>target_api_executed</x:v>
      </x:c>
      <x:c r="O225" s="17" t="str">
        <x:v>expected_dataview_coverage</x:v>
      </x:c>
      <x:c r="P225" s="17" t="str">
        <x:v>session://financial_qa_33499cfa81de4d06_2762_0f9b6d738c27/vars/v1</x:v>
      </x:c>
      <x:c r="Q225" s="17" t="str"/>
      <x:c r="R225" s="17" t="str">
        <x:v>industry.constitution.agg</x:v>
      </x:c>
      <x:c r="S225" s="17" t="str"/>
      <x:c r="T225" s="17" t="str"/>
      <x:c r="U225" s="17" t="str">
        <x:v>r1</x:v>
      </x:c>
      <x:c r="V225" s="30" t="n">
        <x:v>0</x:v>
      </x:c>
      <x:c r="W225" s="17" t="str">
        <x:v>high</x:v>
      </x:c>
    </x:row>
    <x:row r="226" ht="54" customHeight="1">
      <x:c r="A226" s="17" t="str">
        <x:v>BUS067</x:v>
      </x:c>
      <x:c r="B226" s="17" t="str">
        <x:v>按申万一级行业统计今天股票平均涨跌幅和上涨家数。</x:v>
      </x:c>
      <x:c r="C226" s="17" t="n">
        <x:v>3</x:v>
      </x:c>
      <x:c r="D226" s="17" t="str"/>
      <x:c r="E226" s="17" t="str">
        <x:v>工具调用</x:v>
      </x:c>
      <x:c r="F226" s="17" t="str">
        <x:v>finance_query</x:v>
      </x:c>
      <x:c r="G226" s="17" t="str">
        <x:v>r2 = industry.constitution.agg(filter = "level = 1 and tradedate = -1 and pct &gt; 0", agg = count(stock.quote.code), group_by = "level1_industry_name", order = "up_count desc", limit = -1, realtime = 0) -&gt; level1_industry_name, up_count</x:v>
      </x:c>
      <x:c r="H226" s="17" t="str"/>
      <x:c r="I226" s="17" t="str">
        <x:v>设计浪费</x:v>
      </x:c>
      <x:c r="J226" s="17" t="str">
        <x:v>否</x:v>
      </x:c>
      <x:c r="K226" s="18"/>
      <x:c r="L226" s="17" t="str">
        <x:v>否</x:v>
      </x:c>
      <x:c r="M226" s="17" t="str">
        <x:v>否</x:v>
      </x:c>
      <x:c r="N226" s="17" t="str">
        <x:v>requery_after_terminal_zero</x:v>
      </x:c>
      <x:c r="O226" s="17" t="str">
        <x:v>terminal_zero_requery</x:v>
      </x:c>
      <x:c r="P226" s="17" t="str">
        <x:v>session://financial_qa_33499cfa81de4d06_2762_0f9b6d738c27/vars/v2</x:v>
      </x:c>
      <x:c r="Q226" s="17" t="str"/>
      <x:c r="R226" s="17" t="str">
        <x:v>industry.constitution.agg</x:v>
      </x:c>
      <x:c r="S226" s="17" t="str"/>
      <x:c r="T226" s="17" t="str"/>
      <x:c r="U226" s="17" t="str">
        <x:v>r2</x:v>
      </x:c>
      <x:c r="V226" s="30" t="n">
        <x:v>0</x:v>
      </x:c>
      <x:c r="W226" s="17" t="str">
        <x:v>high</x:v>
      </x:c>
    </x:row>
    <x:row r="227" ht="54" customHeight="1">
      <x:c r="A227" s="17" t="str">
        <x:v>BUS067</x:v>
      </x:c>
      <x:c r="B227" s="17" t="str">
        <x:v>按申万一级行业统计今天股票平均涨跌幅和上涨家数。</x:v>
      </x:c>
      <x:c r="C227" s="17" t="n">
        <x:v>4</x:v>
      </x:c>
      <x:c r="D227" s="17" t="str"/>
      <x:c r="E227" s="17" t="str">
        <x:v>工具调用</x:v>
      </x:c>
      <x:c r="F227" s="17" t="str">
        <x:v>finance_query</x:v>
      </x:c>
      <x:c r="G227" s="17" t="str">
        <x:v>r3 = industry.constitution(filter = "level = 1", limit = 10) -&gt; level1_industry_name, stock_code, stock_name</x:v>
      </x:c>
      <x:c r="H227" s="17" t="str"/>
      <x:c r="I227" s="17" t="str">
        <x:v>合理操作</x:v>
      </x:c>
      <x:c r="J227" s="17" t="str">
        <x:v>是</x:v>
      </x:c>
      <x:c r="K227" s="18"/>
      <x:c r="L227" s="17" t="str">
        <x:v>否</x:v>
      </x:c>
      <x:c r="M227" s="17" t="str">
        <x:v>否</x:v>
      </x:c>
      <x:c r="N227" s="17" t="str">
        <x:v>target_api_executed</x:v>
      </x:c>
      <x:c r="O227" s="17" t="str">
        <x:v>expected_dataview_coverage</x:v>
      </x:c>
      <x:c r="P227" s="17" t="str">
        <x:v>session://financial_qa_33499cfa81de4d06_2762_0f9b6d738c27/vars/v3</x:v>
      </x:c>
      <x:c r="Q227" s="17" t="str"/>
      <x:c r="R227" s="17" t="str">
        <x:v>industry.constitution</x:v>
      </x:c>
      <x:c r="S227" s="17" t="str"/>
      <x:c r="T227" s="17" t="str"/>
      <x:c r="U227" s="17" t="str">
        <x:v>r3</x:v>
      </x:c>
      <x:c r="V227" s="30" t="n">
        <x:v>0</x:v>
      </x:c>
      <x:c r="W227" s="17" t="str">
        <x:v>high</x:v>
      </x:c>
    </x:row>
    <x:row r="228" ht="54" customHeight="1">
      <x:c r="A228" s="17" t="str">
        <x:v>BUS067</x:v>
      </x:c>
      <x:c r="B228" s="17" t="str">
        <x:v>按申万一级行业统计今天股票平均涨跌幅和上涨家数。</x:v>
      </x:c>
      <x:c r="C228" s="17" t="n">
        <x:v>5</x:v>
      </x:c>
      <x:c r="D228" s="17" t="str"/>
      <x:c r="E228" s="17" t="str">
        <x:v>工具调用</x:v>
      </x:c>
      <x:c r="F228" s="17" t="str">
        <x:v>read_finance_catalog</x:v>
      </x:c>
      <x:c r="G228" s="17" t="str"/>
      <x:c r="H228" s="17" t="str"/>
      <x:c r="I228" s="17" t="str">
        <x:v>合理操作</x:v>
      </x:c>
      <x:c r="J228" s="17" t="str">
        <x:v>是</x:v>
      </x:c>
      <x:c r="K228" s="18"/>
      <x:c r="L228" s="17" t="str">
        <x:v>否</x:v>
      </x:c>
      <x:c r="M228" s="17" t="str">
        <x:v>否</x:v>
      </x:c>
      <x:c r="N228" s="17" t="str">
        <x:v>target_catalog_located</x:v>
      </x:c>
      <x:c r="O228" s="17" t="str">
        <x:v>expected_dataview_catalog</x:v>
      </x:c>
      <x:c r="P228" s="17" t="str"/>
      <x:c r="Q228" s="17" t="str"/>
      <x:c r="R228" s="17" t="str"/>
      <x:c r="S228" s="17" t="str">
        <x:v>industry</x:v>
      </x:c>
      <x:c r="T228" s="17" t="str">
        <x:v>basic_info</x:v>
      </x:c>
      <x:c r="U228" s="17" t="str"/>
      <x:c r="V228" s="30"/>
      <x:c r="W228" s="17" t="str">
        <x:v>high</x:v>
      </x:c>
    </x:row>
    <x:row r="229" ht="54" customHeight="1">
      <x:c r="A229" s="17" t="str">
        <x:v>BUS067</x:v>
      </x:c>
      <x:c r="B229" s="17" t="str">
        <x:v>按申万一级行业统计今天股票平均涨跌幅和上涨家数。</x:v>
      </x:c>
      <x:c r="C229" s="17" t="n">
        <x:v>6</x:v>
      </x:c>
      <x:c r="D229" s="17" t="str"/>
      <x:c r="E229" s="17" t="str">
        <x:v>工具调用</x:v>
      </x:c>
      <x:c r="F229" s="17" t="str">
        <x:v>finance_query</x:v>
      </x:c>
      <x:c r="G229" s="17" t="str">
        <x:v>r4 = industry.basic_info(filter = "level = 1", limit = 31) -&gt; industry_code, industry_name, level1_industry_name</x:v>
      </x:c>
      <x:c r="H229" s="17" t="str"/>
      <x:c r="I229" s="17" t="str">
        <x:v>合理操作</x:v>
      </x:c>
      <x:c r="J229" s="17" t="str">
        <x:v>是</x:v>
      </x:c>
      <x:c r="K229" s="18"/>
      <x:c r="L229" s="17" t="str">
        <x:v>否</x:v>
      </x:c>
      <x:c r="M229" s="17" t="str">
        <x:v>否</x:v>
      </x:c>
      <x:c r="N229" s="17" t="str">
        <x:v>target_api_executed</x:v>
      </x:c>
      <x:c r="O229" s="17" t="str">
        <x:v>expected_dataview_coverage</x:v>
      </x:c>
      <x:c r="P229" s="17" t="str">
        <x:v>session://financial_qa_33499cfa81de4d06_2762_0f9b6d738c27/vars/v4</x:v>
      </x:c>
      <x:c r="Q229" s="17" t="str"/>
      <x:c r="R229" s="17" t="str">
        <x:v>industry.basic_info</x:v>
      </x:c>
      <x:c r="S229" s="17" t="str"/>
      <x:c r="T229" s="17" t="str"/>
      <x:c r="U229" s="17" t="str">
        <x:v>r4</x:v>
      </x:c>
      <x:c r="V229" s="30" t="n">
        <x:v>31</x:v>
      </x:c>
      <x:c r="W229" s="17" t="str">
        <x:v>high</x:v>
      </x:c>
    </x:row>
    <x:row r="230" ht="54" customHeight="1">
      <x:c r="A230" s="17" t="str">
        <x:v>BUS067</x:v>
      </x:c>
      <x:c r="B230" s="17" t="str">
        <x:v>按申万一级行业统计今天股票平均涨跌幅和上涨家数。</x:v>
      </x:c>
      <x:c r="C230" s="17" t="n">
        <x:v>7</x:v>
      </x:c>
      <x:c r="D230" s="17" t="str"/>
      <x:c r="E230" s="17" t="str">
        <x:v>工具调用</x:v>
      </x:c>
      <x:c r="F230" s="17" t="str">
        <x:v>finance_query</x:v>
      </x:c>
      <x:c r="G230" s="17" t="str">
        <x:v>r5 = industry.constitution(filter = "industry_name = 银行", limit = 5) -&gt; industry_code, industry_name, stock_code, stock_name</x:v>
      </x:c>
      <x:c r="H230" s="17" t="str"/>
      <x:c r="I230" s="17" t="str">
        <x:v>设计浪费</x:v>
      </x:c>
      <x:c r="J230" s="17" t="str">
        <x:v>否</x:v>
      </x:c>
      <x:c r="K230" s="18"/>
      <x:c r="L230" s="17" t="str">
        <x:v>否</x:v>
      </x:c>
      <x:c r="M230" s="17" t="str">
        <x:v>否</x:v>
      </x:c>
      <x:c r="N230" s="17" t="str">
        <x:v>requery_after_terminal_zero</x:v>
      </x:c>
      <x:c r="O230" s="17" t="str">
        <x:v>terminal_zero_requery</x:v>
      </x:c>
      <x:c r="P230" s="17" t="str">
        <x:v>session://financial_qa_33499cfa81de4d06_2762_0f9b6d738c27/vars/v5</x:v>
      </x:c>
      <x:c r="Q230" s="17" t="str"/>
      <x:c r="R230" s="17" t="str">
        <x:v>industry.constitution</x:v>
      </x:c>
      <x:c r="S230" s="17" t="str"/>
      <x:c r="T230" s="17" t="str"/>
      <x:c r="U230" s="17" t="str">
        <x:v>r5</x:v>
      </x:c>
      <x:c r="V230" s="30" t="n">
        <x:v>5</x:v>
      </x:c>
      <x:c r="W230" s="17" t="str">
        <x:v>high</x:v>
      </x:c>
    </x:row>
    <x:row r="231" ht="54" customHeight="1">
      <x:c r="A231" s="17" t="str">
        <x:v>BUS067</x:v>
      </x:c>
      <x:c r="B231" s="17" t="str">
        <x:v>按申万一级行业统计今天股票平均涨跌幅和上涨家数。</x:v>
      </x:c>
      <x:c r="C231" s="17" t="n">
        <x:v>8</x:v>
      </x:c>
      <x:c r="D231" s="17" t="str"/>
      <x:c r="E231" s="17" t="str">
        <x:v>工具调用</x:v>
      </x:c>
      <x:c r="F231" s="17" t="str">
        <x:v>finance_query</x:v>
      </x:c>
      <x:c r="G231" s="17" t="str">
        <x:v>r6 = industry.constitution.agg(filter = "tradedate = -1", agg = avg(stock.quote.pct), group_by = "level1_industry_name", order = "avg_pct desc", limit = -1, realtime = 0) -&gt; level1_industry_name, avg_pct</x:v>
      </x:c>
      <x:c r="H231" s="17" t="str"/>
      <x:c r="I231" s="17" t="str">
        <x:v>设计浪费</x:v>
      </x:c>
      <x:c r="J231" s="17" t="str">
        <x:v>否</x:v>
      </x:c>
      <x:c r="K231" s="18"/>
      <x:c r="L231" s="17" t="str">
        <x:v>否</x:v>
      </x:c>
      <x:c r="M231" s="17" t="str">
        <x:v>否</x:v>
      </x:c>
      <x:c r="N231" s="17" t="str">
        <x:v>requery_after_terminal_zero</x:v>
      </x:c>
      <x:c r="O231" s="17" t="str">
        <x:v>terminal_zero_requery</x:v>
      </x:c>
      <x:c r="P231" s="17" t="str">
        <x:v>session://financial_qa_33499cfa81de4d06_2762_0f9b6d738c27/vars/v6</x:v>
      </x:c>
      <x:c r="Q231" s="17" t="str"/>
      <x:c r="R231" s="17" t="str">
        <x:v>industry.constitution.agg</x:v>
      </x:c>
      <x:c r="S231" s="17" t="str"/>
      <x:c r="T231" s="17" t="str"/>
      <x:c r="U231" s="17" t="str">
        <x:v>r6</x:v>
      </x:c>
      <x:c r="V231" s="30" t="n">
        <x:v>31</x:v>
      </x:c>
      <x:c r="W231" s="17" t="str">
        <x:v>high</x:v>
      </x:c>
    </x:row>
    <x:row r="232" ht="54" customHeight="1">
      <x:c r="A232" s="17" t="str">
        <x:v>BUS067</x:v>
      </x:c>
      <x:c r="B232" s="17" t="str">
        <x:v>按申万一级行业统计今天股票平均涨跌幅和上涨家数。</x:v>
      </x:c>
      <x:c r="C232" s="17" t="n">
        <x:v>9</x:v>
      </x:c>
      <x:c r="D232" s="17" t="str"/>
      <x:c r="E232" s="17" t="str">
        <x:v>工具调用</x:v>
      </x:c>
      <x:c r="F232" s="17" t="str">
        <x:v>finance_query</x:v>
      </x:c>
      <x:c r="G232" s="17" t="str">
        <x:v>r7 = industry.constitution.agg(filter = "tradedate = -1 and pct &gt; 0", agg = count(stock.quote.code), group_by = "level1_industry_name", order = "up_count desc", limit = -1, realtime = 0) -&gt; level1_industry_name, up_count</x:v>
      </x:c>
      <x:c r="H232" s="17" t="str"/>
      <x:c r="I232" s="17" t="str">
        <x:v>合理操作</x:v>
      </x:c>
      <x:c r="J232" s="17" t="str">
        <x:v>是</x:v>
      </x:c>
      <x:c r="K232" s="18"/>
      <x:c r="L232" s="17" t="str">
        <x:v>否</x:v>
      </x:c>
      <x:c r="M232" s="17" t="str">
        <x:v>否</x:v>
      </x:c>
      <x:c r="N232" s="17" t="str">
        <x:v>target_api_executed</x:v>
      </x:c>
      <x:c r="O232" s="17" t="str">
        <x:v>expected_dataview_coverage</x:v>
      </x:c>
      <x:c r="P232" s="17" t="str">
        <x:v>session://financial_qa_33499cfa81de4d06_2762_0f9b6d738c27/vars/v7</x:v>
      </x:c>
      <x:c r="Q232" s="17" t="str"/>
      <x:c r="R232" s="17" t="str">
        <x:v>industry.constitution.agg</x:v>
      </x:c>
      <x:c r="S232" s="17" t="str"/>
      <x:c r="T232" s="17" t="str"/>
      <x:c r="U232" s="17" t="str">
        <x:v>r7</x:v>
      </x:c>
      <x:c r="V232" s="30" t="n">
        <x:v>31</x:v>
      </x:c>
      <x:c r="W232" s="17" t="str">
        <x:v>high</x:v>
      </x:c>
    </x:row>
    <x:row r="233" ht="54" customHeight="1">
      <x:c r="A233" s="17" t="str">
        <x:v>BUS067</x:v>
      </x:c>
      <x:c r="B233" s="17" t="str">
        <x:v>按申万一级行业统计今天股票平均涨跌幅和上涨家数。</x:v>
      </x:c>
      <x:c r="C233" s="17" t="n">
        <x:v>10</x:v>
      </x:c>
      <x:c r="D233" s="17" t="str"/>
      <x:c r="E233" s="17" t="str">
        <x:v>工具调用</x:v>
      </x:c>
      <x:c r="F233" s="17" t="str">
        <x:v>load_finance_result</x:v>
      </x:c>
      <x:c r="G233" s="17" t="str"/>
      <x:c r="H233" s="17" t="str"/>
      <x:c r="I233" s="17" t="str">
        <x:v>合理操作</x:v>
      </x:c>
      <x:c r="J233" s="17" t="str">
        <x:v>是</x:v>
      </x:c>
      <x:c r="K233" s="18"/>
      <x:c r="L233" s="17" t="str">
        <x:v>否</x:v>
      </x:c>
      <x:c r="M233" s="17" t="str">
        <x:v>否</x:v>
      </x:c>
      <x:c r="N233" s="17" t="str">
        <x:v>load_truncated_result</x:v>
      </x:c>
      <x:c r="O233" s="17" t="str">
        <x:v>sample_incomplete_requires_full_result</x:v>
      </x:c>
      <x:c r="P233" s="17" t="str">
        <x:v>session://financial_qa_33499cfa81de4d06_2762_0f9b6d738c27/vars/v6</x:v>
      </x:c>
      <x:c r="Q233" s="17" t="str"/>
      <x:c r="R233" s="17" t="str"/>
      <x:c r="S233" s="17" t="str"/>
      <x:c r="T233" s="17" t="str"/>
      <x:c r="U233" s="17" t="str"/>
      <x:c r="V233" s="30"/>
      <x:c r="W233" s="17" t="str">
        <x:v>high</x:v>
      </x:c>
    </x:row>
    <x:row r="234" ht="54" customHeight="1">
      <x:c r="A234" s="17" t="str">
        <x:v>BUS067</x:v>
      </x:c>
      <x:c r="B234" s="17" t="str">
        <x:v>按申万一级行业统计今天股票平均涨跌幅和上涨家数。</x:v>
      </x:c>
      <x:c r="C234" s="17" t="n">
        <x:v>11</x:v>
      </x:c>
      <x:c r="D234" s="17" t="str"/>
      <x:c r="E234" s="17" t="str">
        <x:v>工具调用</x:v>
      </x:c>
      <x:c r="F234" s="17" t="str">
        <x:v>load_finance_result</x:v>
      </x:c>
      <x:c r="G234" s="17" t="str"/>
      <x:c r="H234" s="17" t="str"/>
      <x:c r="I234" s="17" t="str">
        <x:v>合理操作</x:v>
      </x:c>
      <x:c r="J234" s="17" t="str">
        <x:v>是</x:v>
      </x:c>
      <x:c r="K234" s="18"/>
      <x:c r="L234" s="17" t="str">
        <x:v>否</x:v>
      </x:c>
      <x:c r="M234" s="17" t="str">
        <x:v>否</x:v>
      </x:c>
      <x:c r="N234" s="17" t="str">
        <x:v>load_truncated_result</x:v>
      </x:c>
      <x:c r="O234" s="17" t="str">
        <x:v>sample_incomplete_requires_full_result</x:v>
      </x:c>
      <x:c r="P234" s="17" t="str">
        <x:v>session://financial_qa_33499cfa81de4d06_2762_0f9b6d738c27/vars/v7</x:v>
      </x:c>
      <x:c r="Q234" s="17" t="str"/>
      <x:c r="R234" s="17" t="str"/>
      <x:c r="S234" s="17" t="str"/>
      <x:c r="T234" s="17" t="str"/>
      <x:c r="U234" s="17" t="str"/>
      <x:c r="V234" s="30"/>
      <x:c r="W234" s="17" t="str">
        <x:v>high</x:v>
      </x:c>
    </x:row>
    <x:row r="235" ht="54" customHeight="1">
      <x:c r="A235" s="17" t="str">
        <x:v>BUS068</x:v>
      </x:c>
      <x:c r="B235" s="17" t="str">
        <x:v>筛选近20个交易日累计涨幅超过30%且当前成交额超过10亿元的股票。</x:v>
      </x:c>
      <x:c r="C235" s="17" t="n">
        <x:v>1</x:v>
      </x:c>
      <x:c r="D235" s="17" t="str"/>
      <x:c r="E235" s="17" t="str">
        <x:v>工具调用</x:v>
      </x:c>
      <x:c r="F235" s="17" t="str">
        <x:v>read_finance_catalog</x:v>
      </x:c>
      <x:c r="G235" s="17" t="str"/>
      <x:c r="H235" s="17" t="str"/>
      <x:c r="I235" s="17" t="str">
        <x:v>合理操作</x:v>
      </x:c>
      <x:c r="J235" s="17" t="str">
        <x:v>是</x:v>
      </x:c>
      <x:c r="K235" s="18"/>
      <x:c r="L235" s="17" t="str">
        <x:v>否</x:v>
      </x:c>
      <x:c r="M235" s="17" t="str">
        <x:v>否</x:v>
      </x:c>
      <x:c r="N235" s="17" t="str">
        <x:v>target_catalog_located</x:v>
      </x:c>
      <x:c r="O235" s="17" t="str">
        <x:v>expected_dataview_catalog</x:v>
      </x:c>
      <x:c r="P235" s="17" t="str"/>
      <x:c r="Q235" s="17" t="str"/>
      <x:c r="R235" s="17" t="str"/>
      <x:c r="S235" s="17" t="str">
        <x:v>stock</x:v>
      </x:c>
      <x:c r="T235" s="17" t="str">
        <x:v>quote</x:v>
      </x:c>
      <x:c r="U235" s="17" t="str"/>
      <x:c r="V235" s="30"/>
      <x:c r="W235" s="17" t="str">
        <x:v>high</x:v>
      </x:c>
    </x:row>
    <x:row r="236" ht="54" customHeight="1">
      <x:c r="A236" s="17" t="str">
        <x:v>BUS068</x:v>
      </x:c>
      <x:c r="B236" s="17" t="str">
        <x:v>筛选近20个交易日累计涨幅超过30%且当前成交额超过10亿元的股票。</x:v>
      </x:c>
      <x:c r="C236" s="17" t="n">
        <x:v>2</x:v>
      </x:c>
      <x:c r="D236" s="17" t="str"/>
      <x:c r="E236" s="17" t="str">
        <x:v>工具调用</x:v>
      </x:c>
      <x:c r="F236" s="17" t="str">
        <x:v>finance_query</x:v>
      </x:c>
      <x:c r="G236" s="17" t="str">
        <x:v>r1 = stock.quote.kd_pct_sum(k=20, filter="value &gt; 30", order="value desc", limit=-1, realtime=0) -&gt; code, name, value as pct_20d</x:v>
      </x:c>
      <x:c r="H236" s="17" t="str"/>
      <x:c r="I236" s="17" t="str">
        <x:v>合理操作</x:v>
      </x:c>
      <x:c r="J236" s="17" t="str">
        <x:v>是</x:v>
      </x:c>
      <x:c r="K236" s="18"/>
      <x:c r="L236" s="17" t="str">
        <x:v>否</x:v>
      </x:c>
      <x:c r="M236" s="17" t="str">
        <x:v>否</x:v>
      </x:c>
      <x:c r="N236" s="17" t="str">
        <x:v>target_api_executed</x:v>
      </x:c>
      <x:c r="O236" s="17" t="str">
        <x:v>expected_dataview_coverage</x:v>
      </x:c>
      <x:c r="P236" s="17" t="str">
        <x:v>session://financial_qa_33499cfa81de4d06_2763_935baf407459/vars/v1</x:v>
      </x:c>
      <x:c r="Q236" s="17" t="str"/>
      <x:c r="R236" s="17" t="str">
        <x:v>stock.quote.kd_pct_sum</x:v>
      </x:c>
      <x:c r="S236" s="17" t="str"/>
      <x:c r="T236" s="17" t="str"/>
      <x:c r="U236" s="17" t="str">
        <x:v>r1</x:v>
      </x:c>
      <x:c r="V236" s="30" t="n">
        <x:v>41</x:v>
      </x:c>
      <x:c r="W236" s="17" t="str">
        <x:v>high</x:v>
      </x:c>
    </x:row>
    <x:row r="237" ht="54" customHeight="1">
      <x:c r="A237" s="17" t="str">
        <x:v>BUS068</x:v>
      </x:c>
      <x:c r="B237" s="17" t="str">
        <x:v>筛选近20个交易日累计涨幅超过30%且当前成交额超过10亿元的股票。</x:v>
      </x:c>
      <x:c r="C237" s="17" t="n">
        <x:v>3</x:v>
      </x:c>
      <x:c r="D237" s="17" t="str"/>
      <x:c r="E237" s="17" t="str">
        <x:v>工具调用</x:v>
      </x:c>
      <x:c r="F237" s="17" t="str">
        <x:v>finance_query</x:v>
      </x:c>
      <x:c r="G237" s="17" t="str">
        <x:v>r2 = stock.quote(filter="code in r1.code and tradedate = -1 and amount &gt; 1000000000", order="amount desc", limit=-1, realtime=0) -&gt; code, name, tradedate, close, pct, amount</x:v>
      </x:c>
      <x:c r="H237" s="17" t="str"/>
      <x:c r="I237" s="17" t="str">
        <x:v>合理操作</x:v>
      </x:c>
      <x:c r="J237" s="17" t="str">
        <x:v>是</x:v>
      </x:c>
      <x:c r="K237" s="18"/>
      <x:c r="L237" s="17" t="str">
        <x:v>否</x:v>
      </x:c>
      <x:c r="M237" s="17" t="str">
        <x:v>否</x:v>
      </x:c>
      <x:c r="N237" s="17" t="str">
        <x:v>target_api_executed</x:v>
      </x:c>
      <x:c r="O237" s="17" t="str">
        <x:v>expected_dataview_coverage</x:v>
      </x:c>
      <x:c r="P237" s="17" t="str">
        <x:v>session://financial_qa_33499cfa81de4d06_2763_935baf407459/vars/v2</x:v>
      </x:c>
      <x:c r="Q237" s="17" t="str"/>
      <x:c r="R237" s="17" t="str">
        <x:v>stock.quote</x:v>
      </x:c>
      <x:c r="S237" s="17" t="str"/>
      <x:c r="T237" s="17" t="str"/>
      <x:c r="U237" s="17" t="str">
        <x:v>r2</x:v>
      </x:c>
      <x:c r="V237" s="30" t="n">
        <x:v>14</x:v>
      </x:c>
      <x:c r="W237" s="17" t="str">
        <x:v>high</x:v>
      </x:c>
    </x:row>
    <x:row r="238" ht="54" customHeight="1">
      <x:c r="A238" s="17" t="str">
        <x:v>BUS068</x:v>
      </x:c>
      <x:c r="B238" s="17" t="str">
        <x:v>筛选近20个交易日累计涨幅超过30%且当前成交额超过10亿元的股票。</x:v>
      </x:c>
      <x:c r="C238" s="17" t="n">
        <x:v>4</x:v>
      </x:c>
      <x:c r="D238" s="17" t="str"/>
      <x:c r="E238" s="17" t="str">
        <x:v>工具调用</x:v>
      </x:c>
      <x:c r="F238" s="17" t="str">
        <x:v>load_finance_result</x:v>
      </x:c>
      <x:c r="G238" s="17" t="str"/>
      <x:c r="H238" s="17" t="str"/>
      <x:c r="I238" s="17" t="str">
        <x:v>合理操作</x:v>
      </x:c>
      <x:c r="J238" s="17" t="str">
        <x:v>是</x:v>
      </x:c>
      <x:c r="K238" s="18"/>
      <x:c r="L238" s="17" t="str">
        <x:v>否</x:v>
      </x:c>
      <x:c r="M238" s="17" t="str">
        <x:v>否</x:v>
      </x:c>
      <x:c r="N238" s="17" t="str">
        <x:v>load_truncated_result</x:v>
      </x:c>
      <x:c r="O238" s="17" t="str">
        <x:v>sample_incomplete_requires_full_result</x:v>
      </x:c>
      <x:c r="P238" s="17" t="str">
        <x:v>session://financial_qa_33499cfa81de4d06_2763_935baf407459/vars/v2</x:v>
      </x:c>
      <x:c r="Q238" s="17" t="str"/>
      <x:c r="R238" s="17" t="str"/>
      <x:c r="S238" s="17" t="str"/>
      <x:c r="T238" s="17" t="str"/>
      <x:c r="U238" s="17" t="str"/>
      <x:c r="V238" s="30"/>
      <x:c r="W238" s="17" t="str">
        <x:v>high</x:v>
      </x:c>
    </x:row>
    <x:row r="239" ht="54" customHeight="1">
      <x:c r="A239" s="17" t="str">
        <x:v>BUS068</x:v>
      </x:c>
      <x:c r="B239" s="17" t="str">
        <x:v>筛选近20个交易日累计涨幅超过30%且当前成交额超过10亿元的股票。</x:v>
      </x:c>
      <x:c r="C239" s="17" t="n">
        <x:v>5</x:v>
      </x:c>
      <x:c r="D239" s="17" t="str"/>
      <x:c r="E239" s="17" t="str">
        <x:v>工具调用</x:v>
      </x:c>
      <x:c r="F239" s="17" t="str">
        <x:v>load_finance_result</x:v>
      </x:c>
      <x:c r="G239" s="17" t="str"/>
      <x:c r="H239" s="17" t="str"/>
      <x:c r="I239" s="17" t="str">
        <x:v>合理操作</x:v>
      </x:c>
      <x:c r="J239" s="17" t="str">
        <x:v>是</x:v>
      </x:c>
      <x:c r="K239" s="18"/>
      <x:c r="L239" s="17" t="str">
        <x:v>否</x:v>
      </x:c>
      <x:c r="M239" s="17" t="str">
        <x:v>否</x:v>
      </x:c>
      <x:c r="N239" s="17" t="str">
        <x:v>load_truncated_result</x:v>
      </x:c>
      <x:c r="O239" s="17" t="str">
        <x:v>sample_incomplete_requires_full_result</x:v>
      </x:c>
      <x:c r="P239" s="17" t="str">
        <x:v>session://financial_qa_33499cfa81de4d06_2763_935baf407459/vars/v1</x:v>
      </x:c>
      <x:c r="Q239" s="17" t="str"/>
      <x:c r="R239" s="17" t="str"/>
      <x:c r="S239" s="17" t="str"/>
      <x:c r="T239" s="17" t="str"/>
      <x:c r="U239" s="17" t="str"/>
      <x:c r="V239" s="30"/>
      <x:c r="W239" s="17" t="str">
        <x:v>high</x:v>
      </x:c>
    </x:row>
    <x:row r="240" ht="54" customHeight="1">
      <x:c r="A240" s="17" t="str">
        <x:v>BUS069</x:v>
      </x:c>
      <x:c r="B240" s="17" t="str">
        <x:v>找出近5日主力净流入合计最高且今天涨幅为正的前20只股票。</x:v>
      </x:c>
      <x:c r="C240" s="17" t="n">
        <x:v>1</x:v>
      </x:c>
      <x:c r="D240" s="17" t="str"/>
      <x:c r="E240" s="17" t="str">
        <x:v>工具调用</x:v>
      </x:c>
      <x:c r="F240" s="17" t="str">
        <x:v>read_finance_catalog</x:v>
      </x:c>
      <x:c r="G240" s="17" t="str"/>
      <x:c r="H240" s="17" t="str"/>
      <x:c r="I240" s="17" t="str">
        <x:v>合理操作</x:v>
      </x:c>
      <x:c r="J240" s="17" t="str">
        <x:v>是</x:v>
      </x:c>
      <x:c r="K240" s="18"/>
      <x:c r="L240" s="17" t="str">
        <x:v>否</x:v>
      </x:c>
      <x:c r="M240" s="17" t="str">
        <x:v>否</x:v>
      </x:c>
      <x:c r="N240" s="17" t="str">
        <x:v>target_catalog_located</x:v>
      </x:c>
      <x:c r="O240" s="17" t="str">
        <x:v>expected_dataview_catalog</x:v>
      </x:c>
      <x:c r="P240" s="17" t="str"/>
      <x:c r="Q240" s="17" t="str"/>
      <x:c r="R240" s="17" t="str"/>
      <x:c r="S240" s="17" t="str">
        <x:v>stock</x:v>
      </x:c>
      <x:c r="T240" s="17" t="str">
        <x:v>moneyflow</x:v>
      </x:c>
      <x:c r="U240" s="17" t="str"/>
      <x:c r="V240" s="30"/>
      <x:c r="W240" s="17" t="str">
        <x:v>high</x:v>
      </x:c>
    </x:row>
    <x:row r="241" ht="54" customHeight="1">
      <x:c r="A241" s="17" t="str">
        <x:v>BUS069</x:v>
      </x:c>
      <x:c r="B241" s="17" t="str">
        <x:v>找出近5日主力净流入合计最高且今天涨幅为正的前20只股票。</x:v>
      </x:c>
      <x:c r="C241" s="17" t="n">
        <x:v>2</x:v>
      </x:c>
      <x:c r="D241" s="17" t="str"/>
      <x:c r="E241" s="17" t="str">
        <x:v>工具调用</x:v>
      </x:c>
      <x:c r="F241" s="17" t="str">
        <x:v>read_finance_catalog</x:v>
      </x:c>
      <x:c r="G241" s="17" t="str"/>
      <x:c r="H241" s="17" t="str"/>
      <x:c r="I241" s="17" t="str">
        <x:v>合理操作</x:v>
      </x:c>
      <x:c r="J241" s="17" t="str">
        <x:v>是</x:v>
      </x:c>
      <x:c r="K241" s="18"/>
      <x:c r="L241" s="17" t="str">
        <x:v>否</x:v>
      </x:c>
      <x:c r="M241" s="17" t="str">
        <x:v>否</x:v>
      </x:c>
      <x:c r="N241" s="17" t="str">
        <x:v>target_catalog_located</x:v>
      </x:c>
      <x:c r="O241" s="17" t="str">
        <x:v>expected_dataview_catalog</x:v>
      </x:c>
      <x:c r="P241" s="17" t="str"/>
      <x:c r="Q241" s="17" t="str"/>
      <x:c r="R241" s="17" t="str"/>
      <x:c r="S241" s="17" t="str">
        <x:v>stock</x:v>
      </x:c>
      <x:c r="T241" s="17" t="str">
        <x:v>quote</x:v>
      </x:c>
      <x:c r="U241" s="17" t="str"/>
      <x:c r="V241" s="30"/>
      <x:c r="W241" s="17" t="str">
        <x:v>high</x:v>
      </x:c>
    </x:row>
    <x:row r="242" ht="54" customHeight="1">
      <x:c r="A242" s="17" t="str">
        <x:v>BUS069</x:v>
      </x:c>
      <x:c r="B242" s="17" t="str">
        <x:v>找出近5日主力净流入合计最高且今天涨幅为正的前20只股票。</x:v>
      </x:c>
      <x:c r="C242" s="17" t="n">
        <x:v>3</x:v>
      </x:c>
      <x:c r="D242" s="17" t="str"/>
      <x:c r="E242" s="17" t="str">
        <x:v>工具调用</x:v>
      </x:c>
      <x:c r="F242" s="17" t="str">
        <x:v>finance_query</x:v>
      </x:c>
      <x:c r="G242" s="17" t="str">
        <x:v>r1 = stock.moneyflow.kd_main_net_sum(k = 5, order = "value desc", limit = 200, realtime = 0) -&gt; code, name, value as main_net_5d_sum</x:v>
      </x:c>
      <x:c r="H242" s="17" t="str"/>
      <x:c r="I242" s="17" t="str">
        <x:v>合理操作</x:v>
      </x:c>
      <x:c r="J242" s="17" t="str">
        <x:v>是</x:v>
      </x:c>
      <x:c r="K242" s="18"/>
      <x:c r="L242" s="17" t="str">
        <x:v>否</x:v>
      </x:c>
      <x:c r="M242" s="17" t="str">
        <x:v>否</x:v>
      </x:c>
      <x:c r="N242" s="17" t="str">
        <x:v>target_api_executed</x:v>
      </x:c>
      <x:c r="O242" s="17" t="str">
        <x:v>expected_dataview_coverage</x:v>
      </x:c>
      <x:c r="P242" s="17" t="str">
        <x:v>session://financial_qa_33499cfa81de4d06_2764_ed8a059845d0/vars/v1</x:v>
      </x:c>
      <x:c r="Q242" s="17" t="str"/>
      <x:c r="R242" s="17" t="str">
        <x:v>stock.moneyflow.kd_main_net_sum</x:v>
      </x:c>
      <x:c r="S242" s="17" t="str"/>
      <x:c r="T242" s="17" t="str"/>
      <x:c r="U242" s="17" t="str">
        <x:v>r1</x:v>
      </x:c>
      <x:c r="V242" s="30" t="n">
        <x:v>200</x:v>
      </x:c>
      <x:c r="W242" s="17" t="str">
        <x:v>high</x:v>
      </x:c>
    </x:row>
    <x:row r="243" ht="54" customHeight="1">
      <x:c r="A243" s="17" t="str">
        <x:v>BUS069</x:v>
      </x:c>
      <x:c r="B243" s="17" t="str">
        <x:v>找出近5日主力净流入合计最高且今天涨幅为正的前20只股票。</x:v>
      </x:c>
      <x:c r="C243" s="17" t="n">
        <x:v>4</x:v>
      </x:c>
      <x:c r="D243" s="17" t="str"/>
      <x:c r="E243" s="17" t="str">
        <x:v>工具调用</x:v>
      </x:c>
      <x:c r="F243" s="17" t="str">
        <x:v>finance_query</x:v>
      </x:c>
      <x:c r="G243" s="17" t="str">
        <x:v>r2 = stock.quote(filter = "code in r1.code and pct &gt; 0", order = "pct desc", limit = 200, realtime = 2) -&gt; code, name, pct</x:v>
      </x:c>
      <x:c r="H243" s="17" t="str"/>
      <x:c r="I243" s="17" t="str">
        <x:v>合理操作</x:v>
      </x:c>
      <x:c r="J243" s="17" t="str">
        <x:v>是</x:v>
      </x:c>
      <x:c r="K243" s="18"/>
      <x:c r="L243" s="17" t="str">
        <x:v>否</x:v>
      </x:c>
      <x:c r="M243" s="17" t="str">
        <x:v>否</x:v>
      </x:c>
      <x:c r="N243" s="17" t="str">
        <x:v>target_api_executed</x:v>
      </x:c>
      <x:c r="O243" s="17" t="str">
        <x:v>expected_dataview_coverage</x:v>
      </x:c>
      <x:c r="P243" s="17" t="str">
        <x:v>session://financial_qa_33499cfa81de4d06_2764_ed8a059845d0/vars/v2</x:v>
      </x:c>
      <x:c r="Q243" s="17" t="str"/>
      <x:c r="R243" s="17" t="str">
        <x:v>stock.quote</x:v>
      </x:c>
      <x:c r="S243" s="17" t="str"/>
      <x:c r="T243" s="17" t="str"/>
      <x:c r="U243" s="17" t="str">
        <x:v>r2</x:v>
      </x:c>
      <x:c r="V243" s="30" t="n">
        <x:v>156</x:v>
      </x:c>
      <x:c r="W243" s="17" t="str">
        <x:v>high</x:v>
      </x:c>
    </x:row>
    <x:row r="244" ht="54" customHeight="1">
      <x:c r="A244" s="17" t="str">
        <x:v>BUS069</x:v>
      </x:c>
      <x:c r="B244" s="17" t="str">
        <x:v>找出近5日主力净流入合计最高且今天涨幅为正的前20只股票。</x:v>
      </x:c>
      <x:c r="C244" s="17" t="n">
        <x:v>5</x:v>
      </x:c>
      <x:c r="D244" s="17" t="str"/>
      <x:c r="E244" s="17" t="str">
        <x:v>工具调用</x:v>
      </x:c>
      <x:c r="F244" s="17" t="str">
        <x:v>load_finance_result</x:v>
      </x:c>
      <x:c r="G244" s="17" t="str"/>
      <x:c r="H244" s="17" t="str"/>
      <x:c r="I244" s="17" t="str">
        <x:v>合理操作</x:v>
      </x:c>
      <x:c r="J244" s="17" t="str">
        <x:v>是</x:v>
      </x:c>
      <x:c r="K244" s="18"/>
      <x:c r="L244" s="17" t="str">
        <x:v>否</x:v>
      </x:c>
      <x:c r="M244" s="17" t="str">
        <x:v>否</x:v>
      </x:c>
      <x:c r="N244" s="17" t="str">
        <x:v>load_truncated_result</x:v>
      </x:c>
      <x:c r="O244" s="17" t="str">
        <x:v>sample_incomplete_requires_full_result</x:v>
      </x:c>
      <x:c r="P244" s="17" t="str">
        <x:v>session://financial_qa_33499cfa81de4d06_2764_ed8a059845d0/vars/v1</x:v>
      </x:c>
      <x:c r="Q244" s="17" t="str"/>
      <x:c r="R244" s="17" t="str"/>
      <x:c r="S244" s="17" t="str"/>
      <x:c r="T244" s="17" t="str"/>
      <x:c r="U244" s="17" t="str"/>
      <x:c r="V244" s="30"/>
      <x:c r="W244" s="17" t="str">
        <x:v>high</x:v>
      </x:c>
    </x:row>
    <x:row r="245" ht="54" customHeight="1">
      <x:c r="A245" s="17" t="str">
        <x:v>BUS069</x:v>
      </x:c>
      <x:c r="B245" s="17" t="str">
        <x:v>找出近5日主力净流入合计最高且今天涨幅为正的前20只股票。</x:v>
      </x:c>
      <x:c r="C245" s="17" t="n">
        <x:v>6</x:v>
      </x:c>
      <x:c r="D245" s="17" t="str"/>
      <x:c r="E245" s="17" t="str">
        <x:v>工具调用</x:v>
      </x:c>
      <x:c r="F245" s="17" t="str">
        <x:v>load_finance_result</x:v>
      </x:c>
      <x:c r="G245" s="17" t="str"/>
      <x:c r="H245" s="17" t="str"/>
      <x:c r="I245" s="17" t="str">
        <x:v>设计浪费</x:v>
      </x:c>
      <x:c r="J245" s="17" t="str">
        <x:v>否</x:v>
      </x:c>
      <x:c r="K245" s="18"/>
      <x:c r="L245" s="17" t="str">
        <x:v>否</x:v>
      </x:c>
      <x:c r="M245" s="17" t="str">
        <x:v>否</x:v>
      </x:c>
      <x:c r="N245" s="17" t="str">
        <x:v>duplicate_result_load</x:v>
      </x:c>
      <x:c r="O245" s="17" t="str">
        <x:v>repeated_identical_result_load</x:v>
      </x:c>
      <x:c r="P245" s="17" t="str">
        <x:v>session://financial_qa_33499cfa81de4d06_2764_ed8a059845d0/vars/v1</x:v>
      </x:c>
      <x:c r="Q245" s="17" t="str"/>
      <x:c r="R245" s="17" t="str"/>
      <x:c r="S245" s="17" t="str"/>
      <x:c r="T245" s="17" t="str"/>
      <x:c r="U245" s="17" t="str"/>
      <x:c r="V245" s="30"/>
      <x:c r="W245" s="17" t="str">
        <x:v>high</x:v>
      </x:c>
    </x:row>
    <x:row r="246" ht="54" customHeight="1">
      <x:c r="A246" s="17" t="str">
        <x:v>BUS069</x:v>
      </x:c>
      <x:c r="B246" s="17" t="str">
        <x:v>找出近5日主力净流入合计最高且今天涨幅为正的前20只股票。</x:v>
      </x:c>
      <x:c r="C246" s="17" t="n">
        <x:v>7</x:v>
      </x:c>
      <x:c r="D246" s="17" t="str"/>
      <x:c r="E246" s="17" t="str">
        <x:v>工具调用</x:v>
      </x:c>
      <x:c r="F246" s="17" t="str">
        <x:v>load_finance_result</x:v>
      </x:c>
      <x:c r="G246" s="17" t="str"/>
      <x:c r="H246" s="17" t="str"/>
      <x:c r="I246" s="17" t="str">
        <x:v>合理操作</x:v>
      </x:c>
      <x:c r="J246" s="17" t="str">
        <x:v>是</x:v>
      </x:c>
      <x:c r="K246" s="18"/>
      <x:c r="L246" s="17" t="str">
        <x:v>否</x:v>
      </x:c>
      <x:c r="M246" s="17" t="str">
        <x:v>否</x:v>
      </x:c>
      <x:c r="N246" s="17" t="str">
        <x:v>load_truncated_result</x:v>
      </x:c>
      <x:c r="O246" s="17" t="str">
        <x:v>sample_incomplete_requires_full_result</x:v>
      </x:c>
      <x:c r="P246" s="17" t="str">
        <x:v>session://financial_qa_33499cfa81de4d06_2764_ed8a059845d0/vars/v2</x:v>
      </x:c>
      <x:c r="Q246" s="17" t="str"/>
      <x:c r="R246" s="17" t="str"/>
      <x:c r="S246" s="17" t="str"/>
      <x:c r="T246" s="17" t="str"/>
      <x:c r="U246" s="17" t="str"/>
      <x:c r="V246" s="30"/>
      <x:c r="W246" s="17" t="str">
        <x:v>high</x:v>
      </x:c>
    </x:row>
    <x:row r="247" ht="54" customHeight="1">
      <x:c r="A247" s="17" t="str">
        <x:v>BUS069</x:v>
      </x:c>
      <x:c r="B247" s="17" t="str">
        <x:v>找出近5日主力净流入合计最高且今天涨幅为正的前20只股票。</x:v>
      </x:c>
      <x:c r="C247" s="17" t="n">
        <x:v>8</x:v>
      </x:c>
      <x:c r="D247" s="17" t="str"/>
      <x:c r="E247" s="17" t="str">
        <x:v>工具调用</x:v>
      </x:c>
      <x:c r="F247" s="17" t="str">
        <x:v>load_finance_result</x:v>
      </x:c>
      <x:c r="G247" s="17" t="str"/>
      <x:c r="H247" s="17" t="str"/>
      <x:c r="I247" s="17" t="str">
        <x:v>设计浪费</x:v>
      </x:c>
      <x:c r="J247" s="17" t="str">
        <x:v>否</x:v>
      </x:c>
      <x:c r="K247" s="18"/>
      <x:c r="L247" s="17" t="str">
        <x:v>否</x:v>
      </x:c>
      <x:c r="M247" s="17" t="str">
        <x:v>否</x:v>
      </x:c>
      <x:c r="N247" s="17" t="str">
        <x:v>duplicate_result_load</x:v>
      </x:c>
      <x:c r="O247" s="17" t="str">
        <x:v>repeated_identical_result_load</x:v>
      </x:c>
      <x:c r="P247" s="17" t="str">
        <x:v>session://financial_qa_33499cfa81de4d06_2764_ed8a059845d0/vars/v2</x:v>
      </x:c>
      <x:c r="Q247" s="17" t="str"/>
      <x:c r="R247" s="17" t="str"/>
      <x:c r="S247" s="17" t="str"/>
      <x:c r="T247" s="17" t="str"/>
      <x:c r="U247" s="17" t="str"/>
      <x:c r="V247" s="30"/>
      <x:c r="W247" s="17" t="str">
        <x:v>high</x:v>
      </x:c>
    </x:row>
    <x:row r="248" ht="54" customHeight="1">
      <x:c r="A248" s="17" t="str">
        <x:v>BUS070</x:v>
      </x:c>
      <x:c r="B248" s="17" t="str">
        <x:v>筛选ROE高于15%、PE_TTM低于25且最新涨幅为正的股票。</x:v>
      </x:c>
      <x:c r="C248" s="17" t="n">
        <x:v>1</x:v>
      </x:c>
      <x:c r="D248" s="17" t="str"/>
      <x:c r="E248" s="17" t="str">
        <x:v>工具调用</x:v>
      </x:c>
      <x:c r="F248" s="17" t="str">
        <x:v>read_finance_catalog</x:v>
      </x:c>
      <x:c r="G248" s="17" t="str"/>
      <x:c r="H248" s="17" t="str"/>
      <x:c r="I248" s="17" t="str">
        <x:v>合理操作</x:v>
      </x:c>
      <x:c r="J248" s="17" t="str">
        <x:v>是</x:v>
      </x:c>
      <x:c r="K248" s="18"/>
      <x:c r="L248" s="17" t="str">
        <x:v>否</x:v>
      </x:c>
      <x:c r="M248" s="17" t="str">
        <x:v>否</x:v>
      </x:c>
      <x:c r="N248" s="17" t="str">
        <x:v>target_catalog_located</x:v>
      </x:c>
      <x:c r="O248" s="17" t="str">
        <x:v>expected_dataview_catalog</x:v>
      </x:c>
      <x:c r="P248" s="17" t="str"/>
      <x:c r="Q248" s="17" t="str"/>
      <x:c r="R248" s="17" t="str"/>
      <x:c r="S248" s="17" t="str">
        <x:v>stock</x:v>
      </x:c>
      <x:c r="T248" s="17" t="str">
        <x:v>pricevalue</x:v>
      </x:c>
      <x:c r="U248" s="17" t="str"/>
      <x:c r="V248" s="30"/>
      <x:c r="W248" s="17" t="str">
        <x:v>high</x:v>
      </x:c>
    </x:row>
    <x:row r="249" ht="54" customHeight="1">
      <x:c r="A249" s="17" t="str">
        <x:v>BUS070</x:v>
      </x:c>
      <x:c r="B249" s="17" t="str">
        <x:v>筛选ROE高于15%、PE_TTM低于25且最新涨幅为正的股票。</x:v>
      </x:c>
      <x:c r="C249" s="17" t="n">
        <x:v>2</x:v>
      </x:c>
      <x:c r="D249" s="17" t="str"/>
      <x:c r="E249" s="17" t="str">
        <x:v>工具调用</x:v>
      </x:c>
      <x:c r="F249" s="17" t="str">
        <x:v>read_finance_catalog</x:v>
      </x:c>
      <x:c r="G249" s="17" t="str"/>
      <x:c r="H249" s="17" t="str"/>
      <x:c r="I249" s="17" t="str">
        <x:v>合理操作</x:v>
      </x:c>
      <x:c r="J249" s="17" t="str">
        <x:v>是</x:v>
      </x:c>
      <x:c r="K249" s="18"/>
      <x:c r="L249" s="17" t="str">
        <x:v>否</x:v>
      </x:c>
      <x:c r="M249" s="17" t="str">
        <x:v>否</x:v>
      </x:c>
      <x:c r="N249" s="17" t="str">
        <x:v>target_catalog_located</x:v>
      </x:c>
      <x:c r="O249" s="17" t="str">
        <x:v>expected_dataview_catalog</x:v>
      </x:c>
      <x:c r="P249" s="17" t="str"/>
      <x:c r="Q249" s="17" t="str"/>
      <x:c r="R249" s="17" t="str"/>
      <x:c r="S249" s="17" t="str">
        <x:v>stock</x:v>
      </x:c>
      <x:c r="T249" s="17" t="str">
        <x:v>financial_3_table</x:v>
      </x:c>
      <x:c r="U249" s="17" t="str"/>
      <x:c r="V249" s="30"/>
      <x:c r="W249" s="17" t="str">
        <x:v>high</x:v>
      </x:c>
    </x:row>
    <x:row r="250" ht="54" customHeight="1">
      <x:c r="A250" s="17" t="str">
        <x:v>BUS070</x:v>
      </x:c>
      <x:c r="B250" s="17" t="str">
        <x:v>筛选ROE高于15%、PE_TTM低于25且最新涨幅为正的股票。</x:v>
      </x:c>
      <x:c r="C250" s="17" t="n">
        <x:v>3</x:v>
      </x:c>
      <x:c r="D250" s="17" t="str"/>
      <x:c r="E250" s="17" t="str">
        <x:v>工具调用</x:v>
      </x:c>
      <x:c r="F250" s="17" t="str">
        <x:v>read_finance_catalog</x:v>
      </x:c>
      <x:c r="G250" s="17" t="str"/>
      <x:c r="H250" s="17" t="str"/>
      <x:c r="I250" s="17" t="str">
        <x:v>合理操作</x:v>
      </x:c>
      <x:c r="J250" s="17" t="str">
        <x:v>是</x:v>
      </x:c>
      <x:c r="K250" s="18"/>
      <x:c r="L250" s="17" t="str">
        <x:v>否</x:v>
      </x:c>
      <x:c r="M250" s="17" t="str">
        <x:v>否</x:v>
      </x:c>
      <x:c r="N250" s="17" t="str">
        <x:v>target_catalog_located</x:v>
      </x:c>
      <x:c r="O250" s="17" t="str">
        <x:v>expected_dataview_catalog</x:v>
      </x:c>
      <x:c r="P250" s="17" t="str"/>
      <x:c r="Q250" s="17" t="str"/>
      <x:c r="R250" s="17" t="str"/>
      <x:c r="S250" s="17" t="str">
        <x:v>stock</x:v>
      </x:c>
      <x:c r="T250" s="17" t="str">
        <x:v>quote</x:v>
      </x:c>
      <x:c r="U250" s="17" t="str"/>
      <x:c r="V250" s="30"/>
      <x:c r="W250" s="17" t="str">
        <x:v>high</x:v>
      </x:c>
    </x:row>
    <x:row r="251" ht="54" customHeight="1">
      <x:c r="A251" s="17" t="str">
        <x:v>BUS070</x:v>
      </x:c>
      <x:c r="B251" s="17" t="str">
        <x:v>筛选ROE高于15%、PE_TTM低于25且最新涨幅为正的股票。</x:v>
      </x:c>
      <x:c r="C251" s="17" t="n">
        <x:v>4</x:v>
      </x:c>
      <x:c r="D251" s="17" t="str"/>
      <x:c r="E251" s="17" t="str">
        <x:v>工具调用</x:v>
      </x:c>
      <x:c r="F251" s="17" t="str">
        <x:v>finance_query</x:v>
      </x:c>
      <x:c r="G251" s="17" t="str">
        <x:v>r1 = stock.financial_3_table(filter = "roe &gt; 15", order = "report_date desc", limit = 200) -&gt; code, name, report_date, roe</x:v>
      </x:c>
      <x:c r="H251" s="17" t="str"/>
      <x:c r="I251" s="17" t="str">
        <x:v>合理操作</x:v>
      </x:c>
      <x:c r="J251" s="17" t="str">
        <x:v>是</x:v>
      </x:c>
      <x:c r="K251" s="18"/>
      <x:c r="L251" s="17" t="str">
        <x:v>否</x:v>
      </x:c>
      <x:c r="M251" s="17" t="str">
        <x:v>否</x:v>
      </x:c>
      <x:c r="N251" s="17" t="str">
        <x:v>target_api_executed</x:v>
      </x:c>
      <x:c r="O251" s="17" t="str">
        <x:v>expected_dataview_coverage</x:v>
      </x:c>
      <x:c r="P251" s="17" t="str">
        <x:v>session://financial_qa_33499cfa81de4d06_2765_dd75276cb696/vars/v1</x:v>
      </x:c>
      <x:c r="Q251" s="17" t="str"/>
      <x:c r="R251" s="17" t="str">
        <x:v>stock.financial_3_table</x:v>
      </x:c>
      <x:c r="S251" s="17" t="str"/>
      <x:c r="T251" s="17" t="str"/>
      <x:c r="U251" s="17" t="str">
        <x:v>r1</x:v>
      </x:c>
      <x:c r="V251" s="30" t="n">
        <x:v>11</x:v>
      </x:c>
      <x:c r="W251" s="17" t="str">
        <x:v>high</x:v>
      </x:c>
    </x:row>
    <x:row r="252" ht="54" customHeight="1">
      <x:c r="A252" s="17" t="str">
        <x:v>BUS070</x:v>
      </x:c>
      <x:c r="B252" s="17" t="str">
        <x:v>筛选ROE高于15%、PE_TTM低于25且最新涨幅为正的股票。</x:v>
      </x:c>
      <x:c r="C252" s="17" t="n">
        <x:v>5</x:v>
      </x:c>
      <x:c r="D252" s="17" t="str"/>
      <x:c r="E252" s="17" t="str">
        <x:v>工具调用</x:v>
      </x:c>
      <x:c r="F252" s="17" t="str">
        <x:v>finance_query</x:v>
      </x:c>
      <x:c r="G252" s="17" t="str">
        <x:v>r2 = stock.pricevalue(filter = "code in r1.code and pe_ttm &lt; 25", limit = 200) -&gt; code, name, pe_ttm</x:v>
      </x:c>
      <x:c r="H252" s="17" t="str"/>
      <x:c r="I252" s="17" t="str">
        <x:v>合理操作</x:v>
      </x:c>
      <x:c r="J252" s="17" t="str">
        <x:v>是</x:v>
      </x:c>
      <x:c r="K252" s="18"/>
      <x:c r="L252" s="17" t="str">
        <x:v>否</x:v>
      </x:c>
      <x:c r="M252" s="17" t="str">
        <x:v>否</x:v>
      </x:c>
      <x:c r="N252" s="17" t="str">
        <x:v>target_api_executed</x:v>
      </x:c>
      <x:c r="O252" s="17" t="str">
        <x:v>expected_dataview_coverage</x:v>
      </x:c>
      <x:c r="P252" s="17" t="str">
        <x:v>session://financial_qa_33499cfa81de4d06_2765_dd75276cb696/vars/v2</x:v>
      </x:c>
      <x:c r="Q252" s="17" t="str"/>
      <x:c r="R252" s="17" t="str">
        <x:v>stock.pricevalue</x:v>
      </x:c>
      <x:c r="S252" s="17" t="str"/>
      <x:c r="T252" s="17" t="str"/>
      <x:c r="U252" s="17" t="str">
        <x:v>r2</x:v>
      </x:c>
      <x:c r="V252" s="30" t="n">
        <x:v>5</x:v>
      </x:c>
      <x:c r="W252" s="17" t="str">
        <x:v>high</x:v>
      </x:c>
    </x:row>
    <x:row r="253" ht="54" customHeight="1">
      <x:c r="A253" s="17" t="str">
        <x:v>BUS070</x:v>
      </x:c>
      <x:c r="B253" s="17" t="str">
        <x:v>筛选ROE高于15%、PE_TTM低于25且最新涨幅为正的股票。</x:v>
      </x:c>
      <x:c r="C253" s="17" t="n">
        <x:v>6</x:v>
      </x:c>
      <x:c r="D253" s="17" t="str"/>
      <x:c r="E253" s="17" t="str">
        <x:v>工具调用</x:v>
      </x:c>
      <x:c r="F253" s="17" t="str">
        <x:v>finance_query</x:v>
      </x:c>
      <x:c r="G253" s="17" t="str">
        <x:v>r3 = stock.quote(filter = "code in r2.code and pct &gt; 0", limit = 200, realtime = 2) -&gt; code, name, pct, close</x:v>
      </x:c>
      <x:c r="H253" s="17" t="str"/>
      <x:c r="I253" s="17" t="str">
        <x:v>合理操作</x:v>
      </x:c>
      <x:c r="J253" s="17" t="str">
        <x:v>是</x:v>
      </x:c>
      <x:c r="K253" s="18"/>
      <x:c r="L253" s="17" t="str">
        <x:v>否</x:v>
      </x:c>
      <x:c r="M253" s="17" t="str">
        <x:v>否</x:v>
      </x:c>
      <x:c r="N253" s="17" t="str">
        <x:v>target_api_executed</x:v>
      </x:c>
      <x:c r="O253" s="17" t="str">
        <x:v>expected_dataview_coverage</x:v>
      </x:c>
      <x:c r="P253" s="17" t="str">
        <x:v>session://financial_qa_33499cfa81de4d06_2765_dd75276cb696/vars/v3</x:v>
      </x:c>
      <x:c r="Q253" s="17" t="str"/>
      <x:c r="R253" s="17" t="str">
        <x:v>stock.quote</x:v>
      </x:c>
      <x:c r="S253" s="17" t="str"/>
      <x:c r="T253" s="17" t="str"/>
      <x:c r="U253" s="17" t="str">
        <x:v>r3</x:v>
      </x:c>
      <x:c r="V253" s="30" t="n">
        <x:v>2</x:v>
      </x:c>
      <x:c r="W253" s="17" t="str">
        <x:v>high</x:v>
      </x:c>
    </x:row>
    <x:row r="254" ht="54" customHeight="1">
      <x:c r="A254" s="17" t="str">
        <x:v>BUS070</x:v>
      </x:c>
      <x:c r="B254" s="17" t="str">
        <x:v>筛选ROE高于15%、PE_TTM低于25且最新涨幅为正的股票。</x:v>
      </x:c>
      <x:c r="C254" s="17" t="n">
        <x:v>7</x:v>
      </x:c>
      <x:c r="D254" s="17" t="str"/>
      <x:c r="E254" s="17" t="str">
        <x:v>工具调用</x:v>
      </x:c>
      <x:c r="F254" s="17" t="str">
        <x:v>load_finance_result</x:v>
      </x:c>
      <x:c r="G254" s="17" t="str"/>
      <x:c r="H254" s="17" t="str"/>
      <x:c r="I254" s="17" t="str">
        <x:v>合理操作</x:v>
      </x:c>
      <x:c r="J254" s="17" t="str">
        <x:v>是</x:v>
      </x:c>
      <x:c r="K254" s="18"/>
      <x:c r="L254" s="17" t="str">
        <x:v>否</x:v>
      </x:c>
      <x:c r="M254" s="17" t="str">
        <x:v>否</x:v>
      </x:c>
      <x:c r="N254" s="17" t="str">
        <x:v>load_truncated_result</x:v>
      </x:c>
      <x:c r="O254" s="17" t="str">
        <x:v>sample_incomplete_requires_full_result</x:v>
      </x:c>
      <x:c r="P254" s="17" t="str">
        <x:v>session://financial_qa_33499cfa81de4d06_2765_dd75276cb696/vars/v1</x:v>
      </x:c>
      <x:c r="Q254" s="17" t="str"/>
      <x:c r="R254" s="17" t="str"/>
      <x:c r="S254" s="17" t="str"/>
      <x:c r="T254" s="17" t="str"/>
      <x:c r="U254" s="17" t="str"/>
      <x:c r="V254" s="30"/>
      <x:c r="W254" s="17" t="str">
        <x:v>high</x:v>
      </x:c>
    </x:row>
    <x:row r="255" ht="54" customHeight="1">
      <x:c r="A255" s="17" t="str">
        <x:v>BUS070</x:v>
      </x:c>
      <x:c r="B255" s="17" t="str">
        <x:v>筛选ROE高于15%、PE_TTM低于25且最新涨幅为正的股票。</x:v>
      </x:c>
      <x:c r="C255" s="17" t="n">
        <x:v>8</x:v>
      </x:c>
      <x:c r="D255" s="17" t="str"/>
      <x:c r="E255" s="17" t="str">
        <x:v>工具调用</x:v>
      </x:c>
      <x:c r="F255" s="17" t="str">
        <x:v>load_finance_result</x:v>
      </x:c>
      <x:c r="G255" s="17" t="str"/>
      <x:c r="H255" s="17" t="str"/>
      <x:c r="I255" s="17" t="str">
        <x:v>合理操作</x:v>
      </x:c>
      <x:c r="J255" s="17" t="str">
        <x:v>是</x:v>
      </x:c>
      <x:c r="K255" s="18"/>
      <x:c r="L255" s="17" t="str">
        <x:v>否</x:v>
      </x:c>
      <x:c r="M255" s="17" t="str">
        <x:v>否</x:v>
      </x:c>
      <x:c r="N255" s="17" t="str">
        <x:v>load_truncated_result</x:v>
      </x:c>
      <x:c r="O255" s="17" t="str">
        <x:v>sample_incomplete_requires_full_result</x:v>
      </x:c>
      <x:c r="P255" s="17" t="str">
        <x:v>session://financial_qa_33499cfa81de4d06_2765_dd75276cb696/vars/v2</x:v>
      </x:c>
      <x:c r="Q255" s="17" t="str"/>
      <x:c r="R255" s="17" t="str"/>
      <x:c r="S255" s="17" t="str"/>
      <x:c r="T255" s="17" t="str"/>
      <x:c r="U255" s="17" t="str"/>
      <x:c r="V255" s="30"/>
      <x:c r="W255" s="17" t="str">
        <x:v>high</x:v>
      </x:c>
    </x:row>
    <x:row r="256" ht="54" customHeight="1">
      <x:c r="A256" s="17" t="str">
        <x:v>BUS071</x:v>
      </x:c>
      <x:c r="B256" s="17" t="str">
        <x:v>同时查询贵州茅台当前行情、最新PE/PB和最新股东户数。</x:v>
      </x:c>
      <x:c r="C256" s="17" t="n">
        <x:v>1</x:v>
      </x:c>
      <x:c r="D256" s="17" t="str"/>
      <x:c r="E256" s="17" t="str">
        <x:v>工具调用</x:v>
      </x:c>
      <x:c r="F256" s="17" t="str">
        <x:v>read_finance_catalog</x:v>
      </x:c>
      <x:c r="G256" s="17" t="str"/>
      <x:c r="H256" s="17" t="str"/>
      <x:c r="I256" s="17" t="str">
        <x:v>合理操作</x:v>
      </x:c>
      <x:c r="J256" s="17" t="str">
        <x:v>是</x:v>
      </x:c>
      <x:c r="K256" s="18"/>
      <x:c r="L256" s="17" t="str">
        <x:v>否</x:v>
      </x:c>
      <x:c r="M256" s="17" t="str">
        <x:v>否</x:v>
      </x:c>
      <x:c r="N256" s="17" t="str">
        <x:v>target_catalog_located</x:v>
      </x:c>
      <x:c r="O256" s="17" t="str">
        <x:v>expected_dataview_catalog</x:v>
      </x:c>
      <x:c r="P256" s="17" t="str"/>
      <x:c r="Q256" s="17" t="str"/>
      <x:c r="R256" s="17" t="str"/>
      <x:c r="S256" s="17" t="str">
        <x:v>stock</x:v>
      </x:c>
      <x:c r="T256" s="17" t="str">
        <x:v>quote</x:v>
      </x:c>
      <x:c r="U256" s="17" t="str"/>
      <x:c r="V256" s="30"/>
      <x:c r="W256" s="17" t="str">
        <x:v>high</x:v>
      </x:c>
    </x:row>
    <x:row r="257" ht="54" customHeight="1">
      <x:c r="A257" s="17" t="str">
        <x:v>BUS071</x:v>
      </x:c>
      <x:c r="B257" s="17" t="str">
        <x:v>同时查询贵州茅台当前行情、最新PE/PB和最新股东户数。</x:v>
      </x:c>
      <x:c r="C257" s="17" t="n">
        <x:v>2</x:v>
      </x:c>
      <x:c r="D257" s="17" t="str"/>
      <x:c r="E257" s="17" t="str">
        <x:v>工具调用</x:v>
      </x:c>
      <x:c r="F257" s="17" t="str">
        <x:v>read_finance_catalog</x:v>
      </x:c>
      <x:c r="G257" s="17" t="str"/>
      <x:c r="H257" s="17" t="str"/>
      <x:c r="I257" s="17" t="str">
        <x:v>合理操作</x:v>
      </x:c>
      <x:c r="J257" s="17" t="str">
        <x:v>是</x:v>
      </x:c>
      <x:c r="K257" s="18"/>
      <x:c r="L257" s="17" t="str">
        <x:v>否</x:v>
      </x:c>
      <x:c r="M257" s="17" t="str">
        <x:v>否</x:v>
      </x:c>
      <x:c r="N257" s="17" t="str">
        <x:v>target_catalog_located</x:v>
      </x:c>
      <x:c r="O257" s="17" t="str">
        <x:v>expected_dataview_catalog</x:v>
      </x:c>
      <x:c r="P257" s="17" t="str"/>
      <x:c r="Q257" s="17" t="str"/>
      <x:c r="R257" s="17" t="str"/>
      <x:c r="S257" s="17" t="str">
        <x:v>stock</x:v>
      </x:c>
      <x:c r="T257" s="17" t="str">
        <x:v>pricevalue</x:v>
      </x:c>
      <x:c r="U257" s="17" t="str"/>
      <x:c r="V257" s="30"/>
      <x:c r="W257" s="17" t="str">
        <x:v>high</x:v>
      </x:c>
    </x:row>
    <x:row r="258" ht="54" customHeight="1">
      <x:c r="A258" s="17" t="str">
        <x:v>BUS071</x:v>
      </x:c>
      <x:c r="B258" s="17" t="str">
        <x:v>同时查询贵州茅台当前行情、最新PE/PB和最新股东户数。</x:v>
      </x:c>
      <x:c r="C258" s="17" t="n">
        <x:v>3</x:v>
      </x:c>
      <x:c r="D258" s="17" t="str"/>
      <x:c r="E258" s="17" t="str">
        <x:v>工具调用</x:v>
      </x:c>
      <x:c r="F258" s="17" t="str">
        <x:v>read_finance_catalog</x:v>
      </x:c>
      <x:c r="G258" s="17" t="str"/>
      <x:c r="H258" s="17" t="str"/>
      <x:c r="I258" s="17" t="str">
        <x:v>合理操作</x:v>
      </x:c>
      <x:c r="J258" s="17" t="str">
        <x:v>是</x:v>
      </x:c>
      <x:c r="K258" s="18"/>
      <x:c r="L258" s="17" t="str">
        <x:v>否</x:v>
      </x:c>
      <x:c r="M258" s="17" t="str">
        <x:v>否</x:v>
      </x:c>
      <x:c r="N258" s="17" t="str">
        <x:v>target_catalog_located</x:v>
      </x:c>
      <x:c r="O258" s="17" t="str">
        <x:v>expected_dataview_catalog</x:v>
      </x:c>
      <x:c r="P258" s="17" t="str"/>
      <x:c r="Q258" s="17" t="str"/>
      <x:c r="R258" s="17" t="str"/>
      <x:c r="S258" s="17" t="str">
        <x:v>stock</x:v>
      </x:c>
      <x:c r="T258" s="17" t="str">
        <x:v>shareholder</x:v>
      </x:c>
      <x:c r="U258" s="17" t="str"/>
      <x:c r="V258" s="30"/>
      <x:c r="W258" s="17" t="str">
        <x:v>high</x:v>
      </x:c>
    </x:row>
    <x:row r="259" ht="54" customHeight="1">
      <x:c r="A259" s="17" t="str">
        <x:v>BUS071</x:v>
      </x:c>
      <x:c r="B259" s="17" t="str">
        <x:v>同时查询贵州茅台当前行情、最新PE/PB和最新股东户数。</x:v>
      </x:c>
      <x:c r="C259" s="17" t="n">
        <x:v>4</x:v>
      </x:c>
      <x:c r="D259" s="17" t="str"/>
      <x:c r="E259" s="17" t="str">
        <x:v>工具调用</x:v>
      </x:c>
      <x:c r="F259" s="17" t="str">
        <x:v>finance_query</x:v>
      </x:c>
      <x:c r="G259" s="17" t="str">
        <x:v>r1 = stock.quote(filter = "code = 600519.SH and tradedate = -1", realtime = 0, limit = 1) -&gt; code, name, tradedate, close, pct, amount, turn_ratio</x:v>
      </x:c>
      <x:c r="H259" s="17" t="str"/>
      <x:c r="I259" s="17" t="str">
        <x:v>合理操作</x:v>
      </x:c>
      <x:c r="J259" s="17" t="str">
        <x:v>是</x:v>
      </x:c>
      <x:c r="K259" s="18"/>
      <x:c r="L259" s="17" t="str">
        <x:v>否</x:v>
      </x:c>
      <x:c r="M259" s="17" t="str">
        <x:v>否</x:v>
      </x:c>
      <x:c r="N259" s="17" t="str">
        <x:v>target_api_executed</x:v>
      </x:c>
      <x:c r="O259" s="17" t="str">
        <x:v>expected_dataview_coverage</x:v>
      </x:c>
      <x:c r="P259" s="17" t="str">
        <x:v>session://financial_qa_33499cfa81de4d06_2766_616b0b592774/vars/v1</x:v>
      </x:c>
      <x:c r="Q259" s="17" t="str"/>
      <x:c r="R259" s="17" t="str">
        <x:v>stock.quote</x:v>
      </x:c>
      <x:c r="S259" s="17" t="str"/>
      <x:c r="T259" s="17" t="str"/>
      <x:c r="U259" s="17" t="str">
        <x:v>r1</x:v>
      </x:c>
      <x:c r="V259" s="30" t="n">
        <x:v>1</x:v>
      </x:c>
      <x:c r="W259" s="17" t="str">
        <x:v>high</x:v>
      </x:c>
    </x:row>
    <x:row r="260" ht="54" customHeight="1">
      <x:c r="A260" s="17" t="str">
        <x:v>BUS071</x:v>
      </x:c>
      <x:c r="B260" s="17" t="str">
        <x:v>同时查询贵州茅台当前行情、最新PE/PB和最新股东户数。</x:v>
      </x:c>
      <x:c r="C260" s="17" t="n">
        <x:v>5</x:v>
      </x:c>
      <x:c r="D260" s="17" t="str"/>
      <x:c r="E260" s="17" t="str">
        <x:v>工具调用</x:v>
      </x:c>
      <x:c r="F260" s="17" t="str">
        <x:v>finance_query</x:v>
      </x:c>
      <x:c r="G260" s="17" t="str">
        <x:v>r2 = stock.pricevalue(filter = "code = 600519.SH", order = "tradedate desc", limit = 1, realtime = 0) -&gt; code, name, tradedate, pe, pe_ttm, pb, market_value</x:v>
      </x:c>
      <x:c r="H260" s="17" t="str"/>
      <x:c r="I260" s="17" t="str">
        <x:v>合理操作</x:v>
      </x:c>
      <x:c r="J260" s="17" t="str">
        <x:v>是</x:v>
      </x:c>
      <x:c r="K260" s="18"/>
      <x:c r="L260" s="17" t="str">
        <x:v>否</x:v>
      </x:c>
      <x:c r="M260" s="17" t="str">
        <x:v>否</x:v>
      </x:c>
      <x:c r="N260" s="17" t="str">
        <x:v>target_api_executed</x:v>
      </x:c>
      <x:c r="O260" s="17" t="str">
        <x:v>expected_dataview_coverage</x:v>
      </x:c>
      <x:c r="P260" s="17" t="str">
        <x:v>session://financial_qa_33499cfa81de4d06_2766_616b0b592774/vars/v2</x:v>
      </x:c>
      <x:c r="Q260" s="17" t="str"/>
      <x:c r="R260" s="17" t="str">
        <x:v>stock.pricevalue</x:v>
      </x:c>
      <x:c r="S260" s="17" t="str"/>
      <x:c r="T260" s="17" t="str"/>
      <x:c r="U260" s="17" t="str">
        <x:v>r2</x:v>
      </x:c>
      <x:c r="V260" s="30" t="n">
        <x:v>1</x:v>
      </x:c>
      <x:c r="W260" s="17" t="str">
        <x:v>high</x:v>
      </x:c>
    </x:row>
    <x:row r="261" ht="54" customHeight="1">
      <x:c r="A261" s="17" t="str">
        <x:v>BUS071</x:v>
      </x:c>
      <x:c r="B261" s="17" t="str">
        <x:v>同时查询贵州茅台当前行情、最新PE/PB和最新股东户数。</x:v>
      </x:c>
      <x:c r="C261" s="17" t="n">
        <x:v>6</x:v>
      </x:c>
      <x:c r="D261" s="17" t="str"/>
      <x:c r="E261" s="17" t="str">
        <x:v>工具调用</x:v>
      </x:c>
      <x:c r="F261" s="17" t="str">
        <x:v>finance_query</x:v>
      </x:c>
      <x:c r="G261" s="17" t="str">
        <x:v>r3 = stock.shareholder(filter = "code = 600519.SH and source = holderqty", order = "end_date desc", limit = 1) -&gt; code, name, end_date, holder_num</x:v>
      </x:c>
      <x:c r="H261" s="17" t="str"/>
      <x:c r="I261" s="17" t="str">
        <x:v>合理操作</x:v>
      </x:c>
      <x:c r="J261" s="17" t="str">
        <x:v>是</x:v>
      </x:c>
      <x:c r="K261" s="18"/>
      <x:c r="L261" s="17" t="str">
        <x:v>否</x:v>
      </x:c>
      <x:c r="M261" s="17" t="str">
        <x:v>否</x:v>
      </x:c>
      <x:c r="N261" s="17" t="str">
        <x:v>target_api_executed</x:v>
      </x:c>
      <x:c r="O261" s="17" t="str">
        <x:v>expected_dataview_coverage</x:v>
      </x:c>
      <x:c r="P261" s="17" t="str">
        <x:v>session://financial_qa_33499cfa81de4d06_2766_616b0b592774/vars/v3</x:v>
      </x:c>
      <x:c r="Q261" s="17" t="str"/>
      <x:c r="R261" s="17" t="str">
        <x:v>stock.shareholder</x:v>
      </x:c>
      <x:c r="S261" s="17" t="str"/>
      <x:c r="T261" s="17" t="str"/>
      <x:c r="U261" s="17" t="str">
        <x:v>r3</x:v>
      </x:c>
      <x:c r="V261" s="30" t="n">
        <x:v>1</x:v>
      </x:c>
      <x:c r="W261" s="17" t="str">
        <x:v>high</x:v>
      </x:c>
    </x:row>
    <x:row r="262" ht="54" customHeight="1">
      <x:c r="A262" s="17" t="str">
        <x:v>BUS072</x:v>
      </x:c>
      <x:c r="B262" s="17" t="str">
        <x:v>找出今天主力净流入前20只股票，并返回它们的融资余额和涨跌幅。</x:v>
      </x:c>
      <x:c r="C262" s="17" t="n">
        <x:v>1</x:v>
      </x:c>
      <x:c r="D262" s="17" t="str"/>
      <x:c r="E262" s="17" t="str">
        <x:v>工具调用</x:v>
      </x:c>
      <x:c r="F262" s="17" t="str">
        <x:v>read_finance_catalog</x:v>
      </x:c>
      <x:c r="G262" s="17" t="str"/>
      <x:c r="H262" s="17" t="str"/>
      <x:c r="I262" s="17" t="str">
        <x:v>合理操作</x:v>
      </x:c>
      <x:c r="J262" s="17" t="str">
        <x:v>是</x:v>
      </x:c>
      <x:c r="K262" s="18"/>
      <x:c r="L262" s="17" t="str">
        <x:v>否</x:v>
      </x:c>
      <x:c r="M262" s="17" t="str">
        <x:v>否</x:v>
      </x:c>
      <x:c r="N262" s="17" t="str">
        <x:v>target_catalog_located</x:v>
      </x:c>
      <x:c r="O262" s="17" t="str">
        <x:v>expected_dataview_catalog</x:v>
      </x:c>
      <x:c r="P262" s="17" t="str"/>
      <x:c r="Q262" s="17" t="str"/>
      <x:c r="R262" s="17" t="str"/>
      <x:c r="S262" s="17" t="str">
        <x:v>stock</x:v>
      </x:c>
      <x:c r="T262" s="17" t="str">
        <x:v>moneyflow</x:v>
      </x:c>
      <x:c r="U262" s="17" t="str"/>
      <x:c r="V262" s="30"/>
      <x:c r="W262" s="17" t="str">
        <x:v>high</x:v>
      </x:c>
    </x:row>
    <x:row r="263" ht="54" customHeight="1">
      <x:c r="A263" s="17" t="str">
        <x:v>BUS072</x:v>
      </x:c>
      <x:c r="B263" s="17" t="str">
        <x:v>找出今天主力净流入前20只股票，并返回它们的融资余额和涨跌幅。</x:v>
      </x:c>
      <x:c r="C263" s="17" t="n">
        <x:v>2</x:v>
      </x:c>
      <x:c r="D263" s="17" t="str"/>
      <x:c r="E263" s="17" t="str">
        <x:v>工具调用</x:v>
      </x:c>
      <x:c r="F263" s="17" t="str">
        <x:v>read_finance_catalog</x:v>
      </x:c>
      <x:c r="G263" s="17" t="str"/>
      <x:c r="H263" s="17" t="str"/>
      <x:c r="I263" s="17" t="str">
        <x:v>合理操作</x:v>
      </x:c>
      <x:c r="J263" s="17" t="str">
        <x:v>是</x:v>
      </x:c>
      <x:c r="K263" s="18"/>
      <x:c r="L263" s="17" t="str">
        <x:v>否</x:v>
      </x:c>
      <x:c r="M263" s="17" t="str">
        <x:v>否</x:v>
      </x:c>
      <x:c r="N263" s="17" t="str">
        <x:v>target_catalog_located</x:v>
      </x:c>
      <x:c r="O263" s="17" t="str">
        <x:v>expected_dataview_catalog</x:v>
      </x:c>
      <x:c r="P263" s="17" t="str"/>
      <x:c r="Q263" s="17" t="str"/>
      <x:c r="R263" s="17" t="str"/>
      <x:c r="S263" s="17" t="str">
        <x:v>stock</x:v>
      </x:c>
      <x:c r="T263" s="17" t="str">
        <x:v>margin</x:v>
      </x:c>
      <x:c r="U263" s="17" t="str"/>
      <x:c r="V263" s="30"/>
      <x:c r="W263" s="17" t="str">
        <x:v>high</x:v>
      </x:c>
    </x:row>
    <x:row r="264" ht="54" customHeight="1">
      <x:c r="A264" s="17" t="str">
        <x:v>BUS072</x:v>
      </x:c>
      <x:c r="B264" s="17" t="str">
        <x:v>找出今天主力净流入前20只股票，并返回它们的融资余额和涨跌幅。</x:v>
      </x:c>
      <x:c r="C264" s="17" t="n">
        <x:v>3</x:v>
      </x:c>
      <x:c r="D264" s="17" t="str"/>
      <x:c r="E264" s="17" t="str">
        <x:v>工具调用</x:v>
      </x:c>
      <x:c r="F264" s="17" t="str">
        <x:v>read_finance_catalog</x:v>
      </x:c>
      <x:c r="G264" s="17" t="str"/>
      <x:c r="H264" s="17" t="str"/>
      <x:c r="I264" s="17" t="str">
        <x:v>合理操作</x:v>
      </x:c>
      <x:c r="J264" s="17" t="str">
        <x:v>是</x:v>
      </x:c>
      <x:c r="K264" s="18"/>
      <x:c r="L264" s="17" t="str">
        <x:v>否</x:v>
      </x:c>
      <x:c r="M264" s="17" t="str">
        <x:v>否</x:v>
      </x:c>
      <x:c r="N264" s="17" t="str">
        <x:v>target_catalog_located</x:v>
      </x:c>
      <x:c r="O264" s="17" t="str">
        <x:v>expected_dataview_catalog</x:v>
      </x:c>
      <x:c r="P264" s="17" t="str"/>
      <x:c r="Q264" s="17" t="str"/>
      <x:c r="R264" s="17" t="str"/>
      <x:c r="S264" s="17" t="str">
        <x:v>stock</x:v>
      </x:c>
      <x:c r="T264" s="17" t="str">
        <x:v>quote</x:v>
      </x:c>
      <x:c r="U264" s="17" t="str"/>
      <x:c r="V264" s="30"/>
      <x:c r="W264" s="17" t="str">
        <x:v>high</x:v>
      </x:c>
    </x:row>
    <x:row r="265" ht="54" customHeight="1">
      <x:c r="A265" s="17" t="str">
        <x:v>BUS072</x:v>
      </x:c>
      <x:c r="B265" s="17" t="str">
        <x:v>找出今天主力净流入前20只股票，并返回它们的融资余额和涨跌幅。</x:v>
      </x:c>
      <x:c r="C265" s="17" t="n">
        <x:v>4</x:v>
      </x:c>
      <x:c r="D265" s="17" t="str"/>
      <x:c r="E265" s="17" t="str">
        <x:v>工具调用</x:v>
      </x:c>
      <x:c r="F265" s="17" t="str">
        <x:v>finance_query</x:v>
      </x:c>
      <x:c r="G265" s="17" t="str">
        <x:v>r1 = stock.moneyflow(filter = "tradedate = -1", order = "main_net desc", limit = 20, realtime = 0) -&gt; code, name, main_net, tradedate</x:v>
      </x:c>
      <x:c r="H265" s="17" t="str"/>
      <x:c r="I265" s="17" t="str">
        <x:v>合理操作</x:v>
      </x:c>
      <x:c r="J265" s="17" t="str">
        <x:v>是</x:v>
      </x:c>
      <x:c r="K265" s="18"/>
      <x:c r="L265" s="17" t="str">
        <x:v>否</x:v>
      </x:c>
      <x:c r="M265" s="17" t="str">
        <x:v>否</x:v>
      </x:c>
      <x:c r="N265" s="17" t="str">
        <x:v>target_api_executed</x:v>
      </x:c>
      <x:c r="O265" s="17" t="str">
        <x:v>expected_dataview_coverage</x:v>
      </x:c>
      <x:c r="P265" s="17" t="str">
        <x:v>session://financial_qa_33499cfa81de4d06_2767_f49ee0d32fdc/vars/v1</x:v>
      </x:c>
      <x:c r="Q265" s="17" t="str"/>
      <x:c r="R265" s="17" t="str">
        <x:v>stock.moneyflow</x:v>
      </x:c>
      <x:c r="S265" s="17" t="str"/>
      <x:c r="T265" s="17" t="str"/>
      <x:c r="U265" s="17" t="str">
        <x:v>r1</x:v>
      </x:c>
      <x:c r="V265" s="30" t="n">
        <x:v>20</x:v>
      </x:c>
      <x:c r="W265" s="17" t="str">
        <x:v>high</x:v>
      </x:c>
    </x:row>
    <x:row r="266" ht="54" customHeight="1">
      <x:c r="A266" s="17" t="str">
        <x:v>BUS072</x:v>
      </x:c>
      <x:c r="B266" s="17" t="str">
        <x:v>找出今天主力净流入前20只股票，并返回它们的融资余额和涨跌幅。</x:v>
      </x:c>
      <x:c r="C266" s="17" t="n">
        <x:v>5</x:v>
      </x:c>
      <x:c r="D266" s="17" t="str"/>
      <x:c r="E266" s="17" t="str">
        <x:v>工具调用</x:v>
      </x:c>
      <x:c r="F266" s="17" t="str">
        <x:v>finance_query</x:v>
      </x:c>
      <x:c r="G266" s="17" t="str">
        <x:v>r2 = stock.margin(filter = "code in r1.code and tradedate = -1", order = "financing_balance desc", limit = 20, realtime = 0) -&gt; code, name, financing_balance, tradedate</x:v>
      </x:c>
      <x:c r="H266" s="17" t="str"/>
      <x:c r="I266" s="17" t="str">
        <x:v>合理操作</x:v>
      </x:c>
      <x:c r="J266" s="17" t="str">
        <x:v>是</x:v>
      </x:c>
      <x:c r="K266" s="18"/>
      <x:c r="L266" s="17" t="str">
        <x:v>否</x:v>
      </x:c>
      <x:c r="M266" s="17" t="str">
        <x:v>否</x:v>
      </x:c>
      <x:c r="N266" s="17" t="str">
        <x:v>target_api_executed</x:v>
      </x:c>
      <x:c r="O266" s="17" t="str">
        <x:v>expected_dataview_coverage</x:v>
      </x:c>
      <x:c r="P266" s="17" t="str">
        <x:v>session://financial_qa_33499cfa81de4d06_2767_f49ee0d32fdc/vars/v2</x:v>
      </x:c>
      <x:c r="Q266" s="17" t="str"/>
      <x:c r="R266" s="17" t="str">
        <x:v>stock.margin</x:v>
      </x:c>
      <x:c r="S266" s="17" t="str"/>
      <x:c r="T266" s="17" t="str"/>
      <x:c r="U266" s="17" t="str">
        <x:v>r2</x:v>
      </x:c>
      <x:c r="V266" s="30" t="n">
        <x:v>0</x:v>
      </x:c>
      <x:c r="W266" s="17" t="str">
        <x:v>high</x:v>
      </x:c>
    </x:row>
    <x:row r="267" ht="54" customHeight="1">
      <x:c r="A267" s="17" t="str">
        <x:v>BUS072</x:v>
      </x:c>
      <x:c r="B267" s="17" t="str">
        <x:v>找出今天主力净流入前20只股票，并返回它们的融资余额和涨跌幅。</x:v>
      </x:c>
      <x:c r="C267" s="17" t="n">
        <x:v>6</x:v>
      </x:c>
      <x:c r="D267" s="17" t="str"/>
      <x:c r="E267" s="17" t="str">
        <x:v>工具调用</x:v>
      </x:c>
      <x:c r="F267" s="17" t="str">
        <x:v>finance_query</x:v>
      </x:c>
      <x:c r="G267" s="17" t="str">
        <x:v>r3 = stock.quote(filter = "code in r1.code and tradedate = -1", order = "pct desc", limit = 20, realtime = 0) -&gt; code, name, pct, tradedate</x:v>
      </x:c>
      <x:c r="H267" s="17" t="str"/>
      <x:c r="I267" s="17" t="str">
        <x:v>合理操作</x:v>
      </x:c>
      <x:c r="J267" s="17" t="str">
        <x:v>是</x:v>
      </x:c>
      <x:c r="K267" s="18"/>
      <x:c r="L267" s="17" t="str">
        <x:v>否</x:v>
      </x:c>
      <x:c r="M267" s="17" t="str">
        <x:v>否</x:v>
      </x:c>
      <x:c r="N267" s="17" t="str">
        <x:v>target_api_executed</x:v>
      </x:c>
      <x:c r="O267" s="17" t="str">
        <x:v>expected_dataview_coverage</x:v>
      </x:c>
      <x:c r="P267" s="17" t="str">
        <x:v>session://financial_qa_33499cfa81de4d06_2767_f49ee0d32fdc/vars/v3</x:v>
      </x:c>
      <x:c r="Q267" s="17" t="str"/>
      <x:c r="R267" s="17" t="str">
        <x:v>stock.quote</x:v>
      </x:c>
      <x:c r="S267" s="17" t="str"/>
      <x:c r="T267" s="17" t="str"/>
      <x:c r="U267" s="17" t="str">
        <x:v>r3</x:v>
      </x:c>
      <x:c r="V267" s="30" t="n">
        <x:v>20</x:v>
      </x:c>
      <x:c r="W267" s="17" t="str">
        <x:v>high</x:v>
      </x:c>
    </x:row>
    <x:row r="268" ht="54" customHeight="1">
      <x:c r="A268" s="17" t="str">
        <x:v>BUS072</x:v>
      </x:c>
      <x:c r="B268" s="17" t="str">
        <x:v>找出今天主力净流入前20只股票，并返回它们的融资余额和涨跌幅。</x:v>
      </x:c>
      <x:c r="C268" s="17" t="n">
        <x:v>7</x:v>
      </x:c>
      <x:c r="D268" s="17" t="str"/>
      <x:c r="E268" s="17" t="str">
        <x:v>工具调用</x:v>
      </x:c>
      <x:c r="F268" s="17" t="str">
        <x:v>load_finance_result</x:v>
      </x:c>
      <x:c r="G268" s="17" t="str"/>
      <x:c r="H268" s="17" t="str"/>
      <x:c r="I268" s="17" t="str">
        <x:v>合理操作</x:v>
      </x:c>
      <x:c r="J268" s="17" t="str">
        <x:v>是</x:v>
      </x:c>
      <x:c r="K268" s="18"/>
      <x:c r="L268" s="17" t="str">
        <x:v>否</x:v>
      </x:c>
      <x:c r="M268" s="17" t="str">
        <x:v>否</x:v>
      </x:c>
      <x:c r="N268" s="17" t="str">
        <x:v>load_truncated_result</x:v>
      </x:c>
      <x:c r="O268" s="17" t="str">
        <x:v>sample_incomplete_requires_full_result</x:v>
      </x:c>
      <x:c r="P268" s="17" t="str">
        <x:v>session://financial_qa_33499cfa81de4d06_2767_f49ee0d32fdc/vars/v1</x:v>
      </x:c>
      <x:c r="Q268" s="17" t="str"/>
      <x:c r="R268" s="17" t="str"/>
      <x:c r="S268" s="17" t="str"/>
      <x:c r="T268" s="17" t="str"/>
      <x:c r="U268" s="17" t="str"/>
      <x:c r="V268" s="30"/>
      <x:c r="W268" s="17" t="str">
        <x:v>high</x:v>
      </x:c>
    </x:row>
    <x:row r="269" ht="54" customHeight="1">
      <x:c r="A269" s="17" t="str">
        <x:v>BUS072</x:v>
      </x:c>
      <x:c r="B269" s="17" t="str">
        <x:v>找出今天主力净流入前20只股票，并返回它们的融资余额和涨跌幅。</x:v>
      </x:c>
      <x:c r="C269" s="17" t="n">
        <x:v>8</x:v>
      </x:c>
      <x:c r="D269" s="17" t="str"/>
      <x:c r="E269" s="17" t="str">
        <x:v>工具调用</x:v>
      </x:c>
      <x:c r="F269" s="17" t="str">
        <x:v>load_finance_result</x:v>
      </x:c>
      <x:c r="G269" s="17" t="str"/>
      <x:c r="H269" s="17" t="str"/>
      <x:c r="I269" s="17" t="str">
        <x:v>合理操作</x:v>
      </x:c>
      <x:c r="J269" s="17" t="str">
        <x:v>是</x:v>
      </x:c>
      <x:c r="K269" s="18"/>
      <x:c r="L269" s="17" t="str">
        <x:v>否</x:v>
      </x:c>
      <x:c r="M269" s="17" t="str">
        <x:v>否</x:v>
      </x:c>
      <x:c r="N269" s="17" t="str">
        <x:v>load_truncated_result</x:v>
      </x:c>
      <x:c r="O269" s="17" t="str">
        <x:v>sample_incomplete_requires_full_result</x:v>
      </x:c>
      <x:c r="P269" s="17" t="str">
        <x:v>session://financial_qa_33499cfa81de4d06_2767_f49ee0d32fdc/vars/v3</x:v>
      </x:c>
      <x:c r="Q269" s="17" t="str"/>
      <x:c r="R269" s="17" t="str"/>
      <x:c r="S269" s="17" t="str"/>
      <x:c r="T269" s="17" t="str"/>
      <x:c r="U269" s="17" t="str"/>
      <x:c r="V269" s="30"/>
      <x:c r="W269" s="17" t="str">
        <x:v>high</x:v>
      </x:c>
    </x:row>
    <x:row r="270" ht="54" customHeight="1">
      <x:c r="A270" s="17" t="str">
        <x:v>BUS073</x:v>
      </x:c>
      <x:c r="B270" s="17" t="str">
        <x:v>查询宁德时代最新财务ROE、当前估值和最近10日股价表现。</x:v>
      </x:c>
      <x:c r="C270" s="17" t="n">
        <x:v>1</x:v>
      </x:c>
      <x:c r="D270" s="17" t="str"/>
      <x:c r="E270" s="17" t="str">
        <x:v>工具调用</x:v>
      </x:c>
      <x:c r="F270" s="17" t="str">
        <x:v>read_finance_catalog</x:v>
      </x:c>
      <x:c r="G270" s="17" t="str"/>
      <x:c r="H270" s="17" t="str"/>
      <x:c r="I270" s="17" t="str">
        <x:v>合理操作</x:v>
      </x:c>
      <x:c r="J270" s="17" t="str">
        <x:v>是</x:v>
      </x:c>
      <x:c r="K270" s="18"/>
      <x:c r="L270" s="17" t="str">
        <x:v>否</x:v>
      </x:c>
      <x:c r="M270" s="17" t="str">
        <x:v>否</x:v>
      </x:c>
      <x:c r="N270" s="17" t="str">
        <x:v>target_catalog_located</x:v>
      </x:c>
      <x:c r="O270" s="17" t="str">
        <x:v>expected_dataview_catalog</x:v>
      </x:c>
      <x:c r="P270" s="17" t="str"/>
      <x:c r="Q270" s="17" t="str"/>
      <x:c r="R270" s="17" t="str"/>
      <x:c r="S270" s="17" t="str">
        <x:v>stock</x:v>
      </x:c>
      <x:c r="T270" s="17" t="str">
        <x:v>financial_3_table</x:v>
      </x:c>
      <x:c r="U270" s="17" t="str"/>
      <x:c r="V270" s="30"/>
      <x:c r="W270" s="17" t="str">
        <x:v>high</x:v>
      </x:c>
    </x:row>
    <x:row r="271" ht="54" customHeight="1">
      <x:c r="A271" s="17" t="str">
        <x:v>BUS073</x:v>
      </x:c>
      <x:c r="B271" s="17" t="str">
        <x:v>查询宁德时代最新财务ROE、当前估值和最近10日股价表现。</x:v>
      </x:c>
      <x:c r="C271" s="17" t="n">
        <x:v>2</x:v>
      </x:c>
      <x:c r="D271" s="17" t="str"/>
      <x:c r="E271" s="17" t="str">
        <x:v>工具调用</x:v>
      </x:c>
      <x:c r="F271" s="17" t="str">
        <x:v>read_finance_catalog</x:v>
      </x:c>
      <x:c r="G271" s="17" t="str"/>
      <x:c r="H271" s="17" t="str"/>
      <x:c r="I271" s="17" t="str">
        <x:v>合理操作</x:v>
      </x:c>
      <x:c r="J271" s="17" t="str">
        <x:v>是</x:v>
      </x:c>
      <x:c r="K271" s="18"/>
      <x:c r="L271" s="17" t="str">
        <x:v>否</x:v>
      </x:c>
      <x:c r="M271" s="17" t="str">
        <x:v>否</x:v>
      </x:c>
      <x:c r="N271" s="17" t="str">
        <x:v>target_catalog_located</x:v>
      </x:c>
      <x:c r="O271" s="17" t="str">
        <x:v>expected_dataview_catalog</x:v>
      </x:c>
      <x:c r="P271" s="17" t="str"/>
      <x:c r="Q271" s="17" t="str"/>
      <x:c r="R271" s="17" t="str"/>
      <x:c r="S271" s="17" t="str">
        <x:v>stock</x:v>
      </x:c>
      <x:c r="T271" s="17" t="str">
        <x:v>pricevalue</x:v>
      </x:c>
      <x:c r="U271" s="17" t="str"/>
      <x:c r="V271" s="30"/>
      <x:c r="W271" s="17" t="str">
        <x:v>high</x:v>
      </x:c>
    </x:row>
    <x:row r="272" ht="54" customHeight="1">
      <x:c r="A272" s="17" t="str">
        <x:v>BUS073</x:v>
      </x:c>
      <x:c r="B272" s="17" t="str">
        <x:v>查询宁德时代最新财务ROE、当前估值和最近10日股价表现。</x:v>
      </x:c>
      <x:c r="C272" s="17" t="n">
        <x:v>3</x:v>
      </x:c>
      <x:c r="D272" s="17" t="str"/>
      <x:c r="E272" s="17" t="str">
        <x:v>工具调用</x:v>
      </x:c>
      <x:c r="F272" s="17" t="str">
        <x:v>read_finance_catalog</x:v>
      </x:c>
      <x:c r="G272" s="17" t="str"/>
      <x:c r="H272" s="17" t="str"/>
      <x:c r="I272" s="17" t="str">
        <x:v>合理操作</x:v>
      </x:c>
      <x:c r="J272" s="17" t="str">
        <x:v>是</x:v>
      </x:c>
      <x:c r="K272" s="18"/>
      <x:c r="L272" s="17" t="str">
        <x:v>否</x:v>
      </x:c>
      <x:c r="M272" s="17" t="str">
        <x:v>否</x:v>
      </x:c>
      <x:c r="N272" s="17" t="str">
        <x:v>target_catalog_located</x:v>
      </x:c>
      <x:c r="O272" s="17" t="str">
        <x:v>expected_dataview_catalog</x:v>
      </x:c>
      <x:c r="P272" s="17" t="str"/>
      <x:c r="Q272" s="17" t="str"/>
      <x:c r="R272" s="17" t="str"/>
      <x:c r="S272" s="17" t="str">
        <x:v>stock</x:v>
      </x:c>
      <x:c r="T272" s="17" t="str">
        <x:v>quote</x:v>
      </x:c>
      <x:c r="U272" s="17" t="str"/>
      <x:c r="V272" s="30"/>
      <x:c r="W272" s="17" t="str">
        <x:v>high</x:v>
      </x:c>
    </x:row>
    <x:row r="273" ht="54" customHeight="1">
      <x:c r="A273" s="17" t="str">
        <x:v>BUS073</x:v>
      </x:c>
      <x:c r="B273" s="17" t="str">
        <x:v>查询宁德时代最新财务ROE、当前估值和最近10日股价表现。</x:v>
      </x:c>
      <x:c r="C273" s="17" t="n">
        <x:v>4</x:v>
      </x:c>
      <x:c r="D273" s="17" t="str"/>
      <x:c r="E273" s="17" t="str">
        <x:v>工具调用</x:v>
      </x:c>
      <x:c r="F273" s="17" t="str">
        <x:v>finance_query</x:v>
      </x:c>
      <x:c r="G273" s="17" t="str">
        <x:v>r1 = stock.financial_3_table(filter = "code = 300750.SZ", order = "report_date desc", limit = 1) -&gt; code, name, report_date, report_period, roe, roe_deducted, parent_net_profit, parent_equity</x:v>
      </x:c>
      <x:c r="H273" s="17" t="str"/>
      <x:c r="I273" s="17" t="str">
        <x:v>合理操作</x:v>
      </x:c>
      <x:c r="J273" s="17" t="str">
        <x:v>是</x:v>
      </x:c>
      <x:c r="K273" s="18"/>
      <x:c r="L273" s="17" t="str">
        <x:v>否</x:v>
      </x:c>
      <x:c r="M273" s="17" t="str">
        <x:v>否</x:v>
      </x:c>
      <x:c r="N273" s="17" t="str">
        <x:v>target_api_executed</x:v>
      </x:c>
      <x:c r="O273" s="17" t="str">
        <x:v>expected_dataview_coverage</x:v>
      </x:c>
      <x:c r="P273" s="17" t="str">
        <x:v>session://financial_qa_33499cfa81de4d06_2768_6426b0637c65/vars/v1</x:v>
      </x:c>
      <x:c r="Q273" s="17" t="str"/>
      <x:c r="R273" s="17" t="str">
        <x:v>stock.financial_3_table</x:v>
      </x:c>
      <x:c r="S273" s="17" t="str"/>
      <x:c r="T273" s="17" t="str"/>
      <x:c r="U273" s="17" t="str">
        <x:v>r1</x:v>
      </x:c>
      <x:c r="V273" s="30" t="n">
        <x:v>1</x:v>
      </x:c>
      <x:c r="W273" s="17" t="str">
        <x:v>high</x:v>
      </x:c>
    </x:row>
    <x:row r="274" ht="54" customHeight="1">
      <x:c r="A274" s="17" t="str">
        <x:v>BUS073</x:v>
      </x:c>
      <x:c r="B274" s="17" t="str">
        <x:v>查询宁德时代最新财务ROE、当前估值和最近10日股价表现。</x:v>
      </x:c>
      <x:c r="C274" s="17" t="n">
        <x:v>5</x:v>
      </x:c>
      <x:c r="D274" s="17" t="str"/>
      <x:c r="E274" s="17" t="str">
        <x:v>工具调用</x:v>
      </x:c>
      <x:c r="F274" s="17" t="str">
        <x:v>finance_query</x:v>
      </x:c>
      <x:c r="G274" s="17" t="str">
        <x:v>r2 = stock.pricevalue(filter = "code = 300750.SZ", order = "tradedate desc", limit = 1, realtime = 0) -&gt; code, name, tradedate, pe_ttm, pb_mrq, market_value</x:v>
      </x:c>
      <x:c r="H274" s="17" t="str"/>
      <x:c r="I274" s="17" t="str">
        <x:v>合理操作</x:v>
      </x:c>
      <x:c r="J274" s="17" t="str">
        <x:v>是</x:v>
      </x:c>
      <x:c r="K274" s="18"/>
      <x:c r="L274" s="17" t="str">
        <x:v>否</x:v>
      </x:c>
      <x:c r="M274" s="17" t="str">
        <x:v>否</x:v>
      </x:c>
      <x:c r="N274" s="17" t="str">
        <x:v>target_api_executed</x:v>
      </x:c>
      <x:c r="O274" s="17" t="str">
        <x:v>expected_dataview_coverage</x:v>
      </x:c>
      <x:c r="P274" s="17" t="str">
        <x:v>session://financial_qa_33499cfa81de4d06_2768_6426b0637c65/vars/v2</x:v>
      </x:c>
      <x:c r="Q274" s="17" t="str"/>
      <x:c r="R274" s="17" t="str">
        <x:v>stock.pricevalue</x:v>
      </x:c>
      <x:c r="S274" s="17" t="str"/>
      <x:c r="T274" s="17" t="str"/>
      <x:c r="U274" s="17" t="str">
        <x:v>r2</x:v>
      </x:c>
      <x:c r="V274" s="30" t="n">
        <x:v>1</x:v>
      </x:c>
      <x:c r="W274" s="17" t="str">
        <x:v>high</x:v>
      </x:c>
    </x:row>
    <x:row r="275" ht="54" customHeight="1">
      <x:c r="A275" s="17" t="str">
        <x:v>BUS073</x:v>
      </x:c>
      <x:c r="B275" s="17" t="str">
        <x:v>查询宁德时代最新财务ROE、当前估值和最近10日股价表现。</x:v>
      </x:c>
      <x:c r="C275" s="17" t="n">
        <x:v>6</x:v>
      </x:c>
      <x:c r="D275" s="17" t="str"/>
      <x:c r="E275" s="17" t="str">
        <x:v>工具调用</x:v>
      </x:c>
      <x:c r="F275" s="17" t="str">
        <x:v>finance_query</x:v>
      </x:c>
      <x:c r="G275" s="17" t="str">
        <x:v>r3 = stock.quote(filter = "code = 300750.SZ", order = "tradedate desc", limit = 10, realtime = 0) -&gt; code, name, tradedate, close, pct, amount, volumn</x:v>
      </x:c>
      <x:c r="H275" s="17" t="str"/>
      <x:c r="I275" s="17" t="str">
        <x:v>合理操作</x:v>
      </x:c>
      <x:c r="J275" s="17" t="str">
        <x:v>是</x:v>
      </x:c>
      <x:c r="K275" s="18"/>
      <x:c r="L275" s="17" t="str">
        <x:v>否</x:v>
      </x:c>
      <x:c r="M275" s="17" t="str">
        <x:v>否</x:v>
      </x:c>
      <x:c r="N275" s="17" t="str">
        <x:v>target_api_executed</x:v>
      </x:c>
      <x:c r="O275" s="17" t="str">
        <x:v>expected_dataview_coverage</x:v>
      </x:c>
      <x:c r="P275" s="17" t="str">
        <x:v>session://financial_qa_33499cfa81de4d06_2768_6426b0637c65/vars/v3</x:v>
      </x:c>
      <x:c r="Q275" s="17" t="str"/>
      <x:c r="R275" s="17" t="str">
        <x:v>stock.quote</x:v>
      </x:c>
      <x:c r="S275" s="17" t="str"/>
      <x:c r="T275" s="17" t="str"/>
      <x:c r="U275" s="17" t="str">
        <x:v>r3</x:v>
      </x:c>
      <x:c r="V275" s="30" t="n">
        <x:v>10</x:v>
      </x:c>
      <x:c r="W275" s="17" t="str">
        <x:v>high</x:v>
      </x:c>
    </x:row>
    <x:row r="276" ht="54" customHeight="1">
      <x:c r="A276" s="17" t="str">
        <x:v>BUS073</x:v>
      </x:c>
      <x:c r="B276" s="17" t="str">
        <x:v>查询宁德时代最新财务ROE、当前估值和最近10日股价表现。</x:v>
      </x:c>
      <x:c r="C276" s="17" t="n">
        <x:v>7</x:v>
      </x:c>
      <x:c r="D276" s="17" t="str"/>
      <x:c r="E276" s="17" t="str">
        <x:v>工具调用</x:v>
      </x:c>
      <x:c r="F276" s="17" t="str">
        <x:v>load_finance_result</x:v>
      </x:c>
      <x:c r="G276" s="17" t="str"/>
      <x:c r="H276" s="17" t="str"/>
      <x:c r="I276" s="17" t="str">
        <x:v>合理操作</x:v>
      </x:c>
      <x:c r="J276" s="17" t="str">
        <x:v>是</x:v>
      </x:c>
      <x:c r="K276" s="18"/>
      <x:c r="L276" s="17" t="str">
        <x:v>否</x:v>
      </x:c>
      <x:c r="M276" s="17" t="str">
        <x:v>否</x:v>
      </x:c>
      <x:c r="N276" s="17" t="str">
        <x:v>load_truncated_result</x:v>
      </x:c>
      <x:c r="O276" s="17" t="str">
        <x:v>sample_incomplete_requires_full_result</x:v>
      </x:c>
      <x:c r="P276" s="17" t="str">
        <x:v>session://financial_qa_33499cfa81de4d06_2768_6426b0637c65/vars/v3</x:v>
      </x:c>
      <x:c r="Q276" s="17" t="str"/>
      <x:c r="R276" s="17" t="str"/>
      <x:c r="S276" s="17" t="str"/>
      <x:c r="T276" s="17" t="str"/>
      <x:c r="U276" s="17" t="str"/>
      <x:c r="V276" s="30"/>
      <x:c r="W276" s="17" t="str">
        <x:v>high</x:v>
      </x:c>
    </x:row>
    <x:row r="277" ht="54" customHeight="1">
      <x:c r="A277" s="17" t="str">
        <x:v>BUS074</x:v>
      </x:c>
      <x:c r="B277" s="17" t="str">
        <x:v>筛选最新现金分红较高且当前PE_TTM低于20的股票。</x:v>
      </x:c>
      <x:c r="C277" s="17" t="n">
        <x:v>1</x:v>
      </x:c>
      <x:c r="D277" s="17" t="str"/>
      <x:c r="E277" s="17" t="str">
        <x:v>工具调用</x:v>
      </x:c>
      <x:c r="F277" s="17" t="str">
        <x:v>read_finance_catalog</x:v>
      </x:c>
      <x:c r="G277" s="17" t="str"/>
      <x:c r="H277" s="17" t="str"/>
      <x:c r="I277" s="17" t="str">
        <x:v>合理操作</x:v>
      </x:c>
      <x:c r="J277" s="17" t="str">
        <x:v>是</x:v>
      </x:c>
      <x:c r="K277" s="18"/>
      <x:c r="L277" s="17" t="str">
        <x:v>否</x:v>
      </x:c>
      <x:c r="M277" s="17" t="str">
        <x:v>否</x:v>
      </x:c>
      <x:c r="N277" s="17" t="str">
        <x:v>target_catalog_located</x:v>
      </x:c>
      <x:c r="O277" s="17" t="str">
        <x:v>expected_dataview_catalog</x:v>
      </x:c>
      <x:c r="P277" s="17" t="str"/>
      <x:c r="Q277" s="17" t="str"/>
      <x:c r="R277" s="17" t="str"/>
      <x:c r="S277" s="17" t="str">
        <x:v>stock</x:v>
      </x:c>
      <x:c r="T277" s="17" t="str">
        <x:v>pricevalue</x:v>
      </x:c>
      <x:c r="U277" s="17" t="str"/>
      <x:c r="V277" s="30"/>
      <x:c r="W277" s="17" t="str">
        <x:v>high</x:v>
      </x:c>
    </x:row>
    <x:row r="278" ht="54" customHeight="1">
      <x:c r="A278" s="17" t="str">
        <x:v>BUS074</x:v>
      </x:c>
      <x:c r="B278" s="17" t="str">
        <x:v>筛选最新现金分红较高且当前PE_TTM低于20的股票。</x:v>
      </x:c>
      <x:c r="C278" s="17" t="n">
        <x:v>2</x:v>
      </x:c>
      <x:c r="D278" s="17" t="str"/>
      <x:c r="E278" s="17" t="str">
        <x:v>工具调用</x:v>
      </x:c>
      <x:c r="F278" s="17" t="str">
        <x:v>read_finance_catalog</x:v>
      </x:c>
      <x:c r="G278" s="17" t="str"/>
      <x:c r="H278" s="17" t="str"/>
      <x:c r="I278" s="17" t="str">
        <x:v>合理操作</x:v>
      </x:c>
      <x:c r="J278" s="17" t="str">
        <x:v>是</x:v>
      </x:c>
      <x:c r="K278" s="18"/>
      <x:c r="L278" s="17" t="str">
        <x:v>否</x:v>
      </x:c>
      <x:c r="M278" s="17" t="str">
        <x:v>否</x:v>
      </x:c>
      <x:c r="N278" s="17" t="str">
        <x:v>target_catalog_located</x:v>
      </x:c>
      <x:c r="O278" s="17" t="str">
        <x:v>expected_dataview_catalog</x:v>
      </x:c>
      <x:c r="P278" s="17" t="str"/>
      <x:c r="Q278" s="17" t="str"/>
      <x:c r="R278" s="17" t="str"/>
      <x:c r="S278" s="17" t="str">
        <x:v>stock</x:v>
      </x:c>
      <x:c r="T278" s="17" t="str">
        <x:v>corporate_action</x:v>
      </x:c>
      <x:c r="U278" s="17" t="str"/>
      <x:c r="V278" s="30"/>
      <x:c r="W278" s="17" t="str">
        <x:v>high</x:v>
      </x:c>
    </x:row>
    <x:row r="279" ht="54" customHeight="1">
      <x:c r="A279" s="17" t="str">
        <x:v>BUS074</x:v>
      </x:c>
      <x:c r="B279" s="17" t="str">
        <x:v>筛选最新现金分红较高且当前PE_TTM低于20的股票。</x:v>
      </x:c>
      <x:c r="C279" s="17" t="n">
        <x:v>3</x:v>
      </x:c>
      <x:c r="D279" s="17" t="str"/>
      <x:c r="E279" s="17" t="str">
        <x:v>工具调用</x:v>
      </x:c>
      <x:c r="F279" s="17" t="str">
        <x:v>read_finance_catalog</x:v>
      </x:c>
      <x:c r="G279" s="17" t="str"/>
      <x:c r="H279" s="17" t="str"/>
      <x:c r="I279" s="17" t="str">
        <x:v>合理操作</x:v>
      </x:c>
      <x:c r="J279" s="17" t="str">
        <x:v>是</x:v>
      </x:c>
      <x:c r="K279" s="18"/>
      <x:c r="L279" s="17" t="str">
        <x:v>否</x:v>
      </x:c>
      <x:c r="M279" s="17" t="str">
        <x:v>否</x:v>
      </x:c>
      <x:c r="N279" s="17" t="str">
        <x:v>subject_catalog_discovery</x:v>
      </x:c>
      <x:c r="O279" s="17" t="str">
        <x:v>expected_subject_catalog</x:v>
      </x:c>
      <x:c r="P279" s="17" t="str"/>
      <x:c r="Q279" s="17" t="str"/>
      <x:c r="R279" s="17" t="str"/>
      <x:c r="S279" s="17" t="str">
        <x:v>stock</x:v>
      </x:c>
      <x:c r="T279" s="17" t="str">
        <x:v>basic_info</x:v>
      </x:c>
      <x:c r="U279" s="17" t="str"/>
      <x:c r="V279" s="30"/>
      <x:c r="W279" s="17" t="str">
        <x:v>medium</x:v>
      </x:c>
    </x:row>
    <x:row r="280" ht="54" customHeight="1">
      <x:c r="A280" s="17" t="str">
        <x:v>BUS074</x:v>
      </x:c>
      <x:c r="B280" s="17" t="str">
        <x:v>筛选最新现金分红较高且当前PE_TTM低于20的股票。</x:v>
      </x:c>
      <x:c r="C280" s="17" t="n">
        <x:v>4</x:v>
      </x:c>
      <x:c r="D280" s="17" t="str"/>
      <x:c r="E280" s="17" t="str">
        <x:v>工具调用</x:v>
      </x:c>
      <x:c r="F280" s="17" t="str">
        <x:v>finance_query</x:v>
      </x:c>
      <x:c r="G280" s="17" t="str">
        <x:v>r1 = stock.pricevalue(filter = "pe_ttm &lt; 20 and pe_ttm &gt; 0", order = "pe_ttm asc", limit = 1000, realtime = 0) -&gt; code, name, pe_ttm, market_value</x:v>
      </x:c>
      <x:c r="H280" s="17" t="str"/>
      <x:c r="I280" s="17" t="str">
        <x:v>合理操作</x:v>
      </x:c>
      <x:c r="J280" s="17" t="str">
        <x:v>是</x:v>
      </x:c>
      <x:c r="K280" s="18"/>
      <x:c r="L280" s="17" t="str">
        <x:v>否</x:v>
      </x:c>
      <x:c r="M280" s="17" t="str">
        <x:v>否</x:v>
      </x:c>
      <x:c r="N280" s="17" t="str">
        <x:v>target_api_executed</x:v>
      </x:c>
      <x:c r="O280" s="17" t="str">
        <x:v>expected_dataview_coverage</x:v>
      </x:c>
      <x:c r="P280" s="17" t="str">
        <x:v>session://financial_qa_33499cfa81de4d06_2769_c1cfcf9c936d/vars/v1</x:v>
      </x:c>
      <x:c r="Q280" s="17" t="str"/>
      <x:c r="R280" s="17" t="str">
        <x:v>stock.pricevalue</x:v>
      </x:c>
      <x:c r="S280" s="17" t="str"/>
      <x:c r="T280" s="17" t="str"/>
      <x:c r="U280" s="17" t="str">
        <x:v>r1</x:v>
      </x:c>
      <x:c r="V280" s="30" t="n">
        <x:v>500</x:v>
      </x:c>
      <x:c r="W280" s="17" t="str">
        <x:v>high</x:v>
      </x:c>
    </x:row>
    <x:row r="281" ht="54" customHeight="1">
      <x:c r="A281" s="17" t="str">
        <x:v>BUS074</x:v>
      </x:c>
      <x:c r="B281" s="17" t="str">
        <x:v>筛选最新现金分红较高且当前PE_TTM低于20的股票。</x:v>
      </x:c>
      <x:c r="C281" s="17" t="n">
        <x:v>5</x:v>
      </x:c>
      <x:c r="D281" s="17" t="str"/>
      <x:c r="E281" s="17" t="str">
        <x:v>工具调用</x:v>
      </x:c>
      <x:c r="F281" s="17" t="str">
        <x:v>finance_query</x:v>
      </x:c>
      <x:c r="G281" s="17" t="str">
        <x:v>r2 = stock.corporate_action(filter = "code in r1.code and source = 'dividend'", order = "ann_date desc, div_cash_pre_tax desc", limit = 200, realtime = 0) -&gt; code, name, ann_date, div_cash_pre_tax, div_total_cash, div_progress</x:v>
      </x:c>
      <x:c r="H281" s="17" t="str"/>
      <x:c r="I281" s="17" t="str">
        <x:v>合理操作</x:v>
      </x:c>
      <x:c r="J281" s="17" t="str">
        <x:v>是</x:v>
      </x:c>
      <x:c r="K281" s="18"/>
      <x:c r="L281" s="17" t="str">
        <x:v>否</x:v>
      </x:c>
      <x:c r="M281" s="17" t="str">
        <x:v>否</x:v>
      </x:c>
      <x:c r="N281" s="17" t="str">
        <x:v>target_api_executed</x:v>
      </x:c>
      <x:c r="O281" s="17" t="str">
        <x:v>expected_dataview_coverage</x:v>
      </x:c>
      <x:c r="P281" s="17" t="str">
        <x:v>session://financial_qa_33499cfa81de4d06_2769_c1cfcf9c936d/vars/v2</x:v>
      </x:c>
      <x:c r="Q281" s="17" t="str"/>
      <x:c r="R281" s="17" t="str">
        <x:v>stock.corporate_action</x:v>
      </x:c>
      <x:c r="S281" s="17" t="str"/>
      <x:c r="T281" s="17" t="str"/>
      <x:c r="U281" s="17" t="str">
        <x:v>r2</x:v>
      </x:c>
      <x:c r="V281" s="30" t="n">
        <x:v>200</x:v>
      </x:c>
      <x:c r="W281" s="17" t="str">
        <x:v>high</x:v>
      </x:c>
    </x:row>
    <x:row r="282" ht="54" customHeight="1">
      <x:c r="A282" s="17" t="str">
        <x:v>BUS074</x:v>
      </x:c>
      <x:c r="B282" s="17" t="str">
        <x:v>筛选最新现金分红较高且当前PE_TTM低于20的股票。</x:v>
      </x:c>
      <x:c r="C282" s="17" t="n">
        <x:v>6</x:v>
      </x:c>
      <x:c r="D282" s="17" t="str"/>
      <x:c r="E282" s="17" t="str">
        <x:v>工具调用</x:v>
      </x:c>
      <x:c r="F282" s="17" t="str">
        <x:v>load_finance_result</x:v>
      </x:c>
      <x:c r="G282" s="17" t="str"/>
      <x:c r="H282" s="17" t="str"/>
      <x:c r="I282" s="17" t="str">
        <x:v>合理操作</x:v>
      </x:c>
      <x:c r="J282" s="17" t="str">
        <x:v>是</x:v>
      </x:c>
      <x:c r="K282" s="18"/>
      <x:c r="L282" s="17" t="str">
        <x:v>否</x:v>
      </x:c>
      <x:c r="M282" s="17" t="str">
        <x:v>否</x:v>
      </x:c>
      <x:c r="N282" s="17" t="str">
        <x:v>load_truncated_result</x:v>
      </x:c>
      <x:c r="O282" s="17" t="str">
        <x:v>sample_incomplete_requires_full_result</x:v>
      </x:c>
      <x:c r="P282" s="17" t="str">
        <x:v>session://financial_qa_33499cfa81de4d06_2769_c1cfcf9c936d/vars/v2</x:v>
      </x:c>
      <x:c r="Q282" s="17" t="str"/>
      <x:c r="R282" s="17" t="str"/>
      <x:c r="S282" s="17" t="str"/>
      <x:c r="T282" s="17" t="str"/>
      <x:c r="U282" s="17" t="str"/>
      <x:c r="V282" s="30"/>
      <x:c r="W282" s="17" t="str">
        <x:v>high</x:v>
      </x:c>
    </x:row>
    <x:row r="283" ht="54" customHeight="1">
      <x:c r="A283" s="17" t="str">
        <x:v>BUS074</x:v>
      </x:c>
      <x:c r="B283" s="17" t="str">
        <x:v>筛选最新现金分红较高且当前PE_TTM低于20的股票。</x:v>
      </x:c>
      <x:c r="C283" s="17" t="n">
        <x:v>7</x:v>
      </x:c>
      <x:c r="D283" s="17" t="str"/>
      <x:c r="E283" s="17" t="str">
        <x:v>工具调用</x:v>
      </x:c>
      <x:c r="F283" s="17" t="str">
        <x:v>finance_query</x:v>
      </x:c>
      <x:c r="G283" s="17" t="str">
        <x:v>r3 = stock.pricevalue(filter = "code in ('600809.SH','600329.SH','601336.SH','600612.SH','601601.SH','600036.SH','600060.SH','601838.SH','002142.SZ','600323.SH','600803.SH','601628.SH','600741.SH','600104.SH','000776.SZ','601668.SH','600000.SH','600642.SH','600795.SH')", order = "pe_ttm asc", limit = 50, realtime = 0) -&gt; code, name, pe_ttm, market_value</x:v>
      </x:c>
      <x:c r="H283" s="17" t="str"/>
      <x:c r="I283" s="17" t="str">
        <x:v>合理操作</x:v>
      </x:c>
      <x:c r="J283" s="17" t="str">
        <x:v>是</x:v>
      </x:c>
      <x:c r="K283" s="18"/>
      <x:c r="L283" s="17" t="str">
        <x:v>否</x:v>
      </x:c>
      <x:c r="M283" s="17" t="str">
        <x:v>否</x:v>
      </x:c>
      <x:c r="N283" s="17" t="str">
        <x:v>target_api_executed</x:v>
      </x:c>
      <x:c r="O283" s="17" t="str">
        <x:v>expected_dataview_coverage</x:v>
      </x:c>
      <x:c r="P283" s="17" t="str">
        <x:v>session://financial_qa_33499cfa81de4d06_2769_c1cfcf9c936d/vars/v3</x:v>
      </x:c>
      <x:c r="Q283" s="17" t="str"/>
      <x:c r="R283" s="17" t="str">
        <x:v>stock.pricevalue</x:v>
      </x:c>
      <x:c r="S283" s="17" t="str"/>
      <x:c r="T283" s="17" t="str"/>
      <x:c r="U283" s="17" t="str">
        <x:v>r3</x:v>
      </x:c>
      <x:c r="V283" s="30" t="n">
        <x:v>19</x:v>
      </x:c>
      <x:c r="W283" s="17" t="str">
        <x:v>high</x:v>
      </x:c>
    </x:row>
    <x:row r="284" ht="54" customHeight="1">
      <x:c r="A284" s="17" t="str">
        <x:v>BUS074</x:v>
      </x:c>
      <x:c r="B284" s="17" t="str">
        <x:v>筛选最新现金分红较高且当前PE_TTM低于20的股票。</x:v>
      </x:c>
      <x:c r="C284" s="17" t="n">
        <x:v>8</x:v>
      </x:c>
      <x:c r="D284" s="17" t="str"/>
      <x:c r="E284" s="17" t="str">
        <x:v>工具调用</x:v>
      </x:c>
      <x:c r="F284" s="17" t="str">
        <x:v>load_finance_result</x:v>
      </x:c>
      <x:c r="G284" s="17" t="str"/>
      <x:c r="H284" s="17" t="str"/>
      <x:c r="I284" s="17" t="str">
        <x:v>合理操作</x:v>
      </x:c>
      <x:c r="J284" s="17" t="str">
        <x:v>是</x:v>
      </x:c>
      <x:c r="K284" s="18"/>
      <x:c r="L284" s="17" t="str">
        <x:v>否</x:v>
      </x:c>
      <x:c r="M284" s="17" t="str">
        <x:v>否</x:v>
      </x:c>
      <x:c r="N284" s="17" t="str">
        <x:v>load_truncated_result</x:v>
      </x:c>
      <x:c r="O284" s="17" t="str">
        <x:v>sample_incomplete_requires_full_result</x:v>
      </x:c>
      <x:c r="P284" s="17" t="str">
        <x:v>session://financial_qa_33499cfa81de4d06_2769_c1cfcf9c936d/vars/v3</x:v>
      </x:c>
      <x:c r="Q284" s="17" t="str"/>
      <x:c r="R284" s="17" t="str"/>
      <x:c r="S284" s="17" t="str"/>
      <x:c r="T284" s="17" t="str"/>
      <x:c r="U284" s="17" t="str"/>
      <x:c r="V284" s="30"/>
      <x:c r="W284" s="17" t="str">
        <x:v>high</x:v>
      </x:c>
    </x:row>
    <x:row r="285" ht="54" customHeight="1">
      <x:c r="A285" s="17" t="str">
        <x:v>BUS075</x:v>
      </x:c>
      <x:c r="B285" s="17" t="str">
        <x:v>查询沪深300指数代码和指数名称。</x:v>
      </x:c>
      <x:c r="C285" s="17" t="n">
        <x:v>1</x:v>
      </x:c>
      <x:c r="D285" s="17" t="str"/>
      <x:c r="E285" s="17" t="str">
        <x:v>工具调用</x:v>
      </x:c>
      <x:c r="F285" s="17" t="str">
        <x:v>read_finance_catalog</x:v>
      </x:c>
      <x:c r="G285" s="17" t="str"/>
      <x:c r="H285" s="17" t="str"/>
      <x:c r="I285" s="17" t="str">
        <x:v>合理操作</x:v>
      </x:c>
      <x:c r="J285" s="17" t="str">
        <x:v>是</x:v>
      </x:c>
      <x:c r="K285" s="18"/>
      <x:c r="L285" s="17" t="str">
        <x:v>否</x:v>
      </x:c>
      <x:c r="M285" s="17" t="str">
        <x:v>否</x:v>
      </x:c>
      <x:c r="N285" s="17" t="str">
        <x:v>target_catalog_located</x:v>
      </x:c>
      <x:c r="O285" s="17" t="str">
        <x:v>expected_dataview_catalog</x:v>
      </x:c>
      <x:c r="P285" s="17" t="str"/>
      <x:c r="Q285" s="17" t="str"/>
      <x:c r="R285" s="17" t="str"/>
      <x:c r="S285" s="17" t="str">
        <x:v>index</x:v>
      </x:c>
      <x:c r="T285" s="17" t="str">
        <x:v>basic_info</x:v>
      </x:c>
      <x:c r="U285" s="17" t="str"/>
      <x:c r="V285" s="30"/>
      <x:c r="W285" s="17" t="str">
        <x:v>high</x:v>
      </x:c>
    </x:row>
    <x:row r="286" ht="54" customHeight="1">
      <x:c r="A286" s="17" t="str">
        <x:v>BUS075</x:v>
      </x:c>
      <x:c r="B286" s="17" t="str">
        <x:v>查询沪深300指数代码和指数名称。</x:v>
      </x:c>
      <x:c r="C286" s="17" t="n">
        <x:v>2</x:v>
      </x:c>
      <x:c r="D286" s="17" t="str"/>
      <x:c r="E286" s="17" t="str">
        <x:v>工具调用</x:v>
      </x:c>
      <x:c r="F286" s="17" t="str">
        <x:v>finance_query</x:v>
      </x:c>
      <x:c r="G286" s="17" t="str">
        <x:v>r1 = index.basic_info(filter = "code = 000300.SH", limit = 1) -&gt; code, name</x:v>
      </x:c>
      <x:c r="H286" s="17" t="str"/>
      <x:c r="I286" s="17" t="str">
        <x:v>合理操作</x:v>
      </x:c>
      <x:c r="J286" s="17" t="str">
        <x:v>是</x:v>
      </x:c>
      <x:c r="K286" s="18"/>
      <x:c r="L286" s="17" t="str">
        <x:v>否</x:v>
      </x:c>
      <x:c r="M286" s="17" t="str">
        <x:v>否</x:v>
      </x:c>
      <x:c r="N286" s="17" t="str">
        <x:v>target_api_executed</x:v>
      </x:c>
      <x:c r="O286" s="17" t="str">
        <x:v>expected_dataview_coverage</x:v>
      </x:c>
      <x:c r="P286" s="17" t="str">
        <x:v>session://financial_qa_33499cfa81de4d06_2770_4a75ce6cdf37/vars/v1</x:v>
      </x:c>
      <x:c r="Q286" s="17" t="str"/>
      <x:c r="R286" s="17" t="str">
        <x:v>index.basic_info</x:v>
      </x:c>
      <x:c r="S286" s="17" t="str"/>
      <x:c r="T286" s="17" t="str"/>
      <x:c r="U286" s="17" t="str">
        <x:v>r1</x:v>
      </x:c>
      <x:c r="V286" s="30" t="n">
        <x:v>1</x:v>
      </x:c>
      <x:c r="W286" s="17" t="str">
        <x:v>high</x:v>
      </x:c>
    </x:row>
    <x:row r="287" ht="54" customHeight="1">
      <x:c r="A287" s="17" t="str">
        <x:v>BUS076</x:v>
      </x:c>
      <x:c r="B287" s="17" t="str">
        <x:v>列出名称包含中证的指数代码和名称。</x:v>
      </x:c>
      <x:c r="C287" s="17" t="n">
        <x:v>1</x:v>
      </x:c>
      <x:c r="D287" s="17" t="str"/>
      <x:c r="E287" s="17" t="str">
        <x:v>工具调用</x:v>
      </x:c>
      <x:c r="F287" s="17" t="str">
        <x:v>read_finance_catalog</x:v>
      </x:c>
      <x:c r="G287" s="17" t="str"/>
      <x:c r="H287" s="17" t="str"/>
      <x:c r="I287" s="17" t="str">
        <x:v>合理操作</x:v>
      </x:c>
      <x:c r="J287" s="17" t="str">
        <x:v>是</x:v>
      </x:c>
      <x:c r="K287" s="18"/>
      <x:c r="L287" s="17" t="str">
        <x:v>否</x:v>
      </x:c>
      <x:c r="M287" s="17" t="str">
        <x:v>否</x:v>
      </x:c>
      <x:c r="N287" s="17" t="str">
        <x:v>target_catalog_located</x:v>
      </x:c>
      <x:c r="O287" s="17" t="str">
        <x:v>expected_dataview_catalog</x:v>
      </x:c>
      <x:c r="P287" s="17" t="str"/>
      <x:c r="Q287" s="17" t="str"/>
      <x:c r="R287" s="17" t="str"/>
      <x:c r="S287" s="17" t="str">
        <x:v>index</x:v>
      </x:c>
      <x:c r="T287" s="17" t="str">
        <x:v>basic_info</x:v>
      </x:c>
      <x:c r="U287" s="17" t="str"/>
      <x:c r="V287" s="30"/>
      <x:c r="W287" s="17" t="str">
        <x:v>high</x:v>
      </x:c>
    </x:row>
    <x:row r="288" ht="54" customHeight="1">
      <x:c r="A288" s="17" t="str">
        <x:v>BUS076</x:v>
      </x:c>
      <x:c r="B288" s="17" t="str">
        <x:v>列出名称包含中证的指数代码和名称。</x:v>
      </x:c>
      <x:c r="C288" s="17" t="n">
        <x:v>2</x:v>
      </x:c>
      <x:c r="D288" s="17" t="str"/>
      <x:c r="E288" s="17" t="str">
        <x:v>工具调用</x:v>
      </x:c>
      <x:c r="F288" s="17" t="str">
        <x:v>finance_query</x:v>
      </x:c>
      <x:c r="G288" s="17" t="str">
        <x:v>r1 = index.basic_info(filter = "name like '%中证%'", limit = 100) -&gt; code, name</x:v>
      </x:c>
      <x:c r="H288" s="17" t="str"/>
      <x:c r="I288" s="17" t="str">
        <x:v>合理操作</x:v>
      </x:c>
      <x:c r="J288" s="17" t="str">
        <x:v>是</x:v>
      </x:c>
      <x:c r="K288" s="18"/>
      <x:c r="L288" s="17" t="str">
        <x:v>否</x:v>
      </x:c>
      <x:c r="M288" s="17" t="str">
        <x:v>否</x:v>
      </x:c>
      <x:c r="N288" s="17" t="str">
        <x:v>target_api_executed</x:v>
      </x:c>
      <x:c r="O288" s="17" t="str">
        <x:v>expected_dataview_coverage</x:v>
      </x:c>
      <x:c r="P288" s="17" t="str">
        <x:v>session://financial_qa_33499cfa81de4d06_2771_8332c132e0eb/vars/v1</x:v>
      </x:c>
      <x:c r="Q288" s="17" t="str"/>
      <x:c r="R288" s="17" t="str">
        <x:v>index.basic_info</x:v>
      </x:c>
      <x:c r="S288" s="17" t="str"/>
      <x:c r="T288" s="17" t="str"/>
      <x:c r="U288" s="17" t="str">
        <x:v>r1</x:v>
      </x:c>
      <x:c r="V288" s="30" t="n">
        <x:v>100</x:v>
      </x:c>
      <x:c r="W288" s="17" t="str">
        <x:v>high</x:v>
      </x:c>
    </x:row>
    <x:row r="289" ht="54" customHeight="1">
      <x:c r="A289" s="17" t="str">
        <x:v>BUS076</x:v>
      </x:c>
      <x:c r="B289" s="17" t="str">
        <x:v>列出名称包含中证的指数代码和名称。</x:v>
      </x:c>
      <x:c r="C289" s="17" t="n">
        <x:v>3</x:v>
      </x:c>
      <x:c r="D289" s="17" t="str"/>
      <x:c r="E289" s="17" t="str">
        <x:v>工具调用</x:v>
      </x:c>
      <x:c r="F289" s="17" t="str">
        <x:v>load_finance_result</x:v>
      </x:c>
      <x:c r="G289" s="17" t="str"/>
      <x:c r="H289" s="17" t="str"/>
      <x:c r="I289" s="17" t="str">
        <x:v>合理操作</x:v>
      </x:c>
      <x:c r="J289" s="17" t="str">
        <x:v>是</x:v>
      </x:c>
      <x:c r="K289" s="18"/>
      <x:c r="L289" s="17" t="str">
        <x:v>否</x:v>
      </x:c>
      <x:c r="M289" s="17" t="str">
        <x:v>否</x:v>
      </x:c>
      <x:c r="N289" s="17" t="str">
        <x:v>load_truncated_result</x:v>
      </x:c>
      <x:c r="O289" s="17" t="str">
        <x:v>sample_incomplete_requires_full_result</x:v>
      </x:c>
      <x:c r="P289" s="17" t="str">
        <x:v>session://financial_qa_33499cfa81de4d06_2771_8332c132e0eb/vars/v1</x:v>
      </x:c>
      <x:c r="Q289" s="17" t="str"/>
      <x:c r="R289" s="17" t="str"/>
      <x:c r="S289" s="17" t="str"/>
      <x:c r="T289" s="17" t="str"/>
      <x:c r="U289" s="17" t="str"/>
      <x:c r="V289" s="30"/>
      <x:c r="W289" s="17" t="str">
        <x:v>high</x:v>
      </x:c>
    </x:row>
    <x:row r="290" ht="54" customHeight="1">
      <x:c r="A290" s="17" t="str">
        <x:v>BUS077</x:v>
      </x:c>
      <x:c r="B290" s="17" t="str">
        <x:v>查询上证指数、深证成指、创业板指的代码和名称。</x:v>
      </x:c>
      <x:c r="C290" s="17" t="n">
        <x:v>1</x:v>
      </x:c>
      <x:c r="D290" s="17" t="str"/>
      <x:c r="E290" s="17" t="str">
        <x:v>工具调用</x:v>
      </x:c>
      <x:c r="F290" s="17" t="str">
        <x:v>read_finance_catalog</x:v>
      </x:c>
      <x:c r="G290" s="17" t="str"/>
      <x:c r="H290" s="17" t="str"/>
      <x:c r="I290" s="17" t="str">
        <x:v>合理操作</x:v>
      </x:c>
      <x:c r="J290" s="17" t="str">
        <x:v>是</x:v>
      </x:c>
      <x:c r="K290" s="18"/>
      <x:c r="L290" s="17" t="str">
        <x:v>否</x:v>
      </x:c>
      <x:c r="M290" s="17" t="str">
        <x:v>否</x:v>
      </x:c>
      <x:c r="N290" s="17" t="str">
        <x:v>target_catalog_located</x:v>
      </x:c>
      <x:c r="O290" s="17" t="str">
        <x:v>expected_dataview_catalog</x:v>
      </x:c>
      <x:c r="P290" s="17" t="str"/>
      <x:c r="Q290" s="17" t="str"/>
      <x:c r="R290" s="17" t="str"/>
      <x:c r="S290" s="17" t="str">
        <x:v>index</x:v>
      </x:c>
      <x:c r="T290" s="17" t="str">
        <x:v>basic_info</x:v>
      </x:c>
      <x:c r="U290" s="17" t="str"/>
      <x:c r="V290" s="30"/>
      <x:c r="W290" s="17" t="str">
        <x:v>high</x:v>
      </x:c>
    </x:row>
    <x:row r="291" ht="54" customHeight="1">
      <x:c r="A291" s="17" t="str">
        <x:v>BUS077</x:v>
      </x:c>
      <x:c r="B291" s="17" t="str">
        <x:v>查询上证指数、深证成指、创业板指的代码和名称。</x:v>
      </x:c>
      <x:c r="C291" s="17" t="n">
        <x:v>2</x:v>
      </x:c>
      <x:c r="D291" s="17" t="str"/>
      <x:c r="E291" s="17" t="str">
        <x:v>工具调用</x:v>
      </x:c>
      <x:c r="F291" s="17" t="str">
        <x:v>finance_query</x:v>
      </x:c>
      <x:c r="G291" s="17" t="str">
        <x:v>r1 = index.basic_info(filter = "name in ('上证指数','深证成指','创业板指')", limit = 10) -&gt; code, name</x:v>
      </x:c>
      <x:c r="H291" s="17" t="str"/>
      <x:c r="I291" s="17" t="str">
        <x:v>合理操作</x:v>
      </x:c>
      <x:c r="J291" s="17" t="str">
        <x:v>是</x:v>
      </x:c>
      <x:c r="K291" s="18"/>
      <x:c r="L291" s="17" t="str">
        <x:v>否</x:v>
      </x:c>
      <x:c r="M291" s="17" t="str">
        <x:v>否</x:v>
      </x:c>
      <x:c r="N291" s="17" t="str">
        <x:v>target_api_executed</x:v>
      </x:c>
      <x:c r="O291" s="17" t="str">
        <x:v>expected_dataview_coverage</x:v>
      </x:c>
      <x:c r="P291" s="17" t="str">
        <x:v>session://financial_qa_33499cfa81de4d06_2772_a1d2843bc02b/vars/v1</x:v>
      </x:c>
      <x:c r="Q291" s="17" t="str"/>
      <x:c r="R291" s="17" t="str">
        <x:v>index.basic_info</x:v>
      </x:c>
      <x:c r="S291" s="17" t="str"/>
      <x:c r="T291" s="17" t="str"/>
      <x:c r="U291" s="17" t="str">
        <x:v>r1</x:v>
      </x:c>
      <x:c r="V291" s="30" t="n">
        <x:v>3</x:v>
      </x:c>
      <x:c r="W291" s="17" t="str">
        <x:v>high</x:v>
      </x:c>
    </x:row>
    <x:row r="292" ht="54" customHeight="1">
      <x:c r="A292" s="17" t="str">
        <x:v>BUS078</x:v>
      </x:c>
      <x:c r="B292" s="17" t="str">
        <x:v>列出名称包含红利的指数代码和名称。</x:v>
      </x:c>
      <x:c r="C292" s="17" t="n">
        <x:v>1</x:v>
      </x:c>
      <x:c r="D292" s="17" t="str"/>
      <x:c r="E292" s="17" t="str">
        <x:v>工具调用</x:v>
      </x:c>
      <x:c r="F292" s="17" t="str">
        <x:v>read_finance_catalog</x:v>
      </x:c>
      <x:c r="G292" s="17" t="str"/>
      <x:c r="H292" s="17" t="str"/>
      <x:c r="I292" s="17" t="str">
        <x:v>合理操作</x:v>
      </x:c>
      <x:c r="J292" s="17" t="str">
        <x:v>是</x:v>
      </x:c>
      <x:c r="K292" s="18"/>
      <x:c r="L292" s="17" t="str">
        <x:v>否</x:v>
      </x:c>
      <x:c r="M292" s="17" t="str">
        <x:v>否</x:v>
      </x:c>
      <x:c r="N292" s="17" t="str">
        <x:v>target_catalog_located</x:v>
      </x:c>
      <x:c r="O292" s="17" t="str">
        <x:v>expected_dataview_catalog</x:v>
      </x:c>
      <x:c r="P292" s="17" t="str"/>
      <x:c r="Q292" s="17" t="str"/>
      <x:c r="R292" s="17" t="str"/>
      <x:c r="S292" s="17" t="str">
        <x:v>index</x:v>
      </x:c>
      <x:c r="T292" s="17" t="str">
        <x:v>basic_info</x:v>
      </x:c>
      <x:c r="U292" s="17" t="str"/>
      <x:c r="V292" s="30"/>
      <x:c r="W292" s="17" t="str">
        <x:v>high</x:v>
      </x:c>
    </x:row>
    <x:row r="293" ht="54" customHeight="1">
      <x:c r="A293" s="17" t="str">
        <x:v>BUS078</x:v>
      </x:c>
      <x:c r="B293" s="17" t="str">
        <x:v>列出名称包含红利的指数代码和名称。</x:v>
      </x:c>
      <x:c r="C293" s="17" t="n">
        <x:v>2</x:v>
      </x:c>
      <x:c r="D293" s="17" t="str"/>
      <x:c r="E293" s="17" t="str">
        <x:v>工具调用</x:v>
      </x:c>
      <x:c r="F293" s="17" t="str">
        <x:v>finance_query</x:v>
      </x:c>
      <x:c r="G293" s="17" t="str">
        <x:v>r1 = index.basic_info(filter = "name like '%红利%'", limit = 100, realtime = 0) -&gt; code, name</x:v>
      </x:c>
      <x:c r="H293" s="17" t="str"/>
      <x:c r="I293" s="17" t="str">
        <x:v>合理操作</x:v>
      </x:c>
      <x:c r="J293" s="17" t="str">
        <x:v>是</x:v>
      </x:c>
      <x:c r="K293" s="18"/>
      <x:c r="L293" s="17" t="str">
        <x:v>否</x:v>
      </x:c>
      <x:c r="M293" s="17" t="str">
        <x:v>否</x:v>
      </x:c>
      <x:c r="N293" s="17" t="str">
        <x:v>target_api_executed</x:v>
      </x:c>
      <x:c r="O293" s="17" t="str">
        <x:v>expected_dataview_coverage</x:v>
      </x:c>
      <x:c r="P293" s="17" t="str">
        <x:v>session://financial_qa_33499cfa81de4d06_2773_efc436515f69/vars/v1</x:v>
      </x:c>
      <x:c r="Q293" s="17" t="str"/>
      <x:c r="R293" s="17" t="str">
        <x:v>index.basic_info</x:v>
      </x:c>
      <x:c r="S293" s="17" t="str"/>
      <x:c r="T293" s="17" t="str"/>
      <x:c r="U293" s="17" t="str">
        <x:v>r1</x:v>
      </x:c>
      <x:c r="V293" s="30" t="n">
        <x:v>100</x:v>
      </x:c>
      <x:c r="W293" s="17" t="str">
        <x:v>high</x:v>
      </x:c>
    </x:row>
    <x:row r="294" ht="54" customHeight="1">
      <x:c r="A294" s="17" t="str">
        <x:v>BUS078</x:v>
      </x:c>
      <x:c r="B294" s="17" t="str">
        <x:v>列出名称包含红利的指数代码和名称。</x:v>
      </x:c>
      <x:c r="C294" s="17" t="n">
        <x:v>3</x:v>
      </x:c>
      <x:c r="D294" s="17" t="str"/>
      <x:c r="E294" s="17" t="str">
        <x:v>工具调用</x:v>
      </x:c>
      <x:c r="F294" s="17" t="str">
        <x:v>load_finance_result</x:v>
      </x:c>
      <x:c r="G294" s="17" t="str"/>
      <x:c r="H294" s="17" t="str"/>
      <x:c r="I294" s="17" t="str">
        <x:v>合理操作</x:v>
      </x:c>
      <x:c r="J294" s="17" t="str">
        <x:v>是</x:v>
      </x:c>
      <x:c r="K294" s="18"/>
      <x:c r="L294" s="17" t="str">
        <x:v>否</x:v>
      </x:c>
      <x:c r="M294" s="17" t="str">
        <x:v>否</x:v>
      </x:c>
      <x:c r="N294" s="17" t="str">
        <x:v>load_truncated_result</x:v>
      </x:c>
      <x:c r="O294" s="17" t="str">
        <x:v>sample_incomplete_requires_full_result</x:v>
      </x:c>
      <x:c r="P294" s="17" t="str">
        <x:v>session://financial_qa_33499cfa81de4d06_2773_efc436515f69/vars/v1</x:v>
      </x:c>
      <x:c r="Q294" s="17" t="str"/>
      <x:c r="R294" s="17" t="str"/>
      <x:c r="S294" s="17" t="str"/>
      <x:c r="T294" s="17" t="str"/>
      <x:c r="U294" s="17" t="str"/>
      <x:c r="V294" s="30"/>
      <x:c r="W294" s="17" t="str">
        <x:v>high</x:v>
      </x:c>
    </x:row>
    <x:row r="295" ht="54" customHeight="1">
      <x:c r="A295" s="17" t="str">
        <x:v>BUS079</x:v>
      </x:c>
      <x:c r="B295" s="17" t="str">
        <x:v>查询科创50指数的代码和名称。</x:v>
      </x:c>
      <x:c r="C295" s="17" t="n">
        <x:v>1</x:v>
      </x:c>
      <x:c r="D295" s="17" t="str"/>
      <x:c r="E295" s="17" t="str">
        <x:v>工具调用</x:v>
      </x:c>
      <x:c r="F295" s="17" t="str">
        <x:v>read_finance_catalog</x:v>
      </x:c>
      <x:c r="G295" s="17" t="str"/>
      <x:c r="H295" s="17" t="str"/>
      <x:c r="I295" s="17" t="str">
        <x:v>合理操作</x:v>
      </x:c>
      <x:c r="J295" s="17" t="str">
        <x:v>是</x:v>
      </x:c>
      <x:c r="K295" s="18"/>
      <x:c r="L295" s="17" t="str">
        <x:v>否</x:v>
      </x:c>
      <x:c r="M295" s="17" t="str">
        <x:v>否</x:v>
      </x:c>
      <x:c r="N295" s="17" t="str">
        <x:v>target_catalog_located</x:v>
      </x:c>
      <x:c r="O295" s="17" t="str">
        <x:v>expected_dataview_catalog</x:v>
      </x:c>
      <x:c r="P295" s="17" t="str"/>
      <x:c r="Q295" s="17" t="str"/>
      <x:c r="R295" s="17" t="str"/>
      <x:c r="S295" s="17" t="str">
        <x:v>index</x:v>
      </x:c>
      <x:c r="T295" s="17" t="str">
        <x:v>basic_info</x:v>
      </x:c>
      <x:c r="U295" s="17" t="str"/>
      <x:c r="V295" s="30"/>
      <x:c r="W295" s="17" t="str">
        <x:v>high</x:v>
      </x:c>
    </x:row>
    <x:row r="296" ht="54" customHeight="1">
      <x:c r="A296" s="17" t="str">
        <x:v>BUS079</x:v>
      </x:c>
      <x:c r="B296" s="17" t="str">
        <x:v>查询科创50指数的代码和名称。</x:v>
      </x:c>
      <x:c r="C296" s="17" t="n">
        <x:v>2</x:v>
      </x:c>
      <x:c r="D296" s="17" t="str"/>
      <x:c r="E296" s="17" t="str">
        <x:v>工具调用</x:v>
      </x:c>
      <x:c r="F296" s="17" t="str">
        <x:v>finance_query</x:v>
      </x:c>
      <x:c r="G296" s="17" t="str">
        <x:v>r1 = index.basic_info(filter = "code = 000688.SH", limit = 1) -&gt; code, name</x:v>
      </x:c>
      <x:c r="H296" s="17" t="str"/>
      <x:c r="I296" s="17" t="str">
        <x:v>合理操作</x:v>
      </x:c>
      <x:c r="J296" s="17" t="str">
        <x:v>是</x:v>
      </x:c>
      <x:c r="K296" s="18"/>
      <x:c r="L296" s="17" t="str">
        <x:v>否</x:v>
      </x:c>
      <x:c r="M296" s="17" t="str">
        <x:v>否</x:v>
      </x:c>
      <x:c r="N296" s="17" t="str">
        <x:v>target_api_executed</x:v>
      </x:c>
      <x:c r="O296" s="17" t="str">
        <x:v>expected_dataview_coverage</x:v>
      </x:c>
      <x:c r="P296" s="17" t="str">
        <x:v>session://financial_qa_33499cfa81de4d06_2774_216719a37f48/vars/v1</x:v>
      </x:c>
      <x:c r="Q296" s="17" t="str"/>
      <x:c r="R296" s="17" t="str">
        <x:v>index.basic_info</x:v>
      </x:c>
      <x:c r="S296" s="17" t="str"/>
      <x:c r="T296" s="17" t="str"/>
      <x:c r="U296" s="17" t="str">
        <x:v>r1</x:v>
      </x:c>
      <x:c r="V296" s="30" t="n">
        <x:v>1</x:v>
      </x:c>
      <x:c r="W296" s="17" t="str">
        <x:v>high</x:v>
      </x:c>
    </x:row>
    <x:row r="297" ht="54" customHeight="1">
      <x:c r="A297" s="17" t="str">
        <x:v>BUS080</x:v>
      </x:c>
      <x:c r="B297" s="17" t="str">
        <x:v>查询名称包含医药的指数代码和名称。</x:v>
      </x:c>
      <x:c r="C297" s="17" t="n">
        <x:v>1</x:v>
      </x:c>
      <x:c r="D297" s="17" t="str"/>
      <x:c r="E297" s="17" t="str">
        <x:v>工具调用</x:v>
      </x:c>
      <x:c r="F297" s="17" t="str">
        <x:v>read_finance_catalog</x:v>
      </x:c>
      <x:c r="G297" s="17" t="str"/>
      <x:c r="H297" s="17" t="str"/>
      <x:c r="I297" s="17" t="str">
        <x:v>合理操作</x:v>
      </x:c>
      <x:c r="J297" s="17" t="str">
        <x:v>是</x:v>
      </x:c>
      <x:c r="K297" s="18"/>
      <x:c r="L297" s="17" t="str">
        <x:v>否</x:v>
      </x:c>
      <x:c r="M297" s="17" t="str">
        <x:v>否</x:v>
      </x:c>
      <x:c r="N297" s="17" t="str">
        <x:v>target_catalog_located</x:v>
      </x:c>
      <x:c r="O297" s="17" t="str">
        <x:v>expected_dataview_catalog</x:v>
      </x:c>
      <x:c r="P297" s="17" t="str"/>
      <x:c r="Q297" s="17" t="str"/>
      <x:c r="R297" s="17" t="str"/>
      <x:c r="S297" s="17" t="str">
        <x:v>index</x:v>
      </x:c>
      <x:c r="T297" s="17" t="str">
        <x:v>basic_info</x:v>
      </x:c>
      <x:c r="U297" s="17" t="str"/>
      <x:c r="V297" s="30"/>
      <x:c r="W297" s="17" t="str">
        <x:v>high</x:v>
      </x:c>
    </x:row>
    <x:row r="298" ht="54" customHeight="1">
      <x:c r="A298" s="17" t="str">
        <x:v>BUS080</x:v>
      </x:c>
      <x:c r="B298" s="17" t="str">
        <x:v>查询名称包含医药的指数代码和名称。</x:v>
      </x:c>
      <x:c r="C298" s="17" t="n">
        <x:v>2</x:v>
      </x:c>
      <x:c r="D298" s="17" t="str"/>
      <x:c r="E298" s="17" t="str">
        <x:v>工具调用</x:v>
      </x:c>
      <x:c r="F298" s="17" t="str">
        <x:v>finance_query</x:v>
      </x:c>
      <x:c r="G298" s="17" t="str">
        <x:v>r1 = index.basic_info(filter = "name like 医药", limit = 50) -&gt; code, name</x:v>
      </x:c>
      <x:c r="H298" s="17" t="str"/>
      <x:c r="I298" s="17" t="str">
        <x:v>合理操作</x:v>
      </x:c>
      <x:c r="J298" s="17" t="str">
        <x:v>是</x:v>
      </x:c>
      <x:c r="K298" s="18"/>
      <x:c r="L298" s="17" t="str">
        <x:v>否</x:v>
      </x:c>
      <x:c r="M298" s="17" t="str">
        <x:v>否</x:v>
      </x:c>
      <x:c r="N298" s="17" t="str">
        <x:v>target_api_executed</x:v>
      </x:c>
      <x:c r="O298" s="17" t="str">
        <x:v>expected_dataview_coverage</x:v>
      </x:c>
      <x:c r="P298" s="17" t="str">
        <x:v>session://financial_qa_33499cfa81de4d06_2775_c99e8cc037ec/vars/v1</x:v>
      </x:c>
      <x:c r="Q298" s="17" t="str"/>
      <x:c r="R298" s="17" t="str">
        <x:v>index.basic_info</x:v>
      </x:c>
      <x:c r="S298" s="17" t="str"/>
      <x:c r="T298" s="17" t="str"/>
      <x:c r="U298" s="17" t="str">
        <x:v>r1</x:v>
      </x:c>
      <x:c r="V298" s="30" t="n">
        <x:v>0</x:v>
      </x:c>
      <x:c r="W298" s="17" t="str">
        <x:v>high</x:v>
      </x:c>
    </x:row>
    <x:row r="299" ht="54" customHeight="1">
      <x:c r="A299" s="17" t="str">
        <x:v>BUS080</x:v>
      </x:c>
      <x:c r="B299" s="17" t="str">
        <x:v>查询名称包含医药的指数代码和名称。</x:v>
      </x:c>
      <x:c r="C299" s="17" t="n">
        <x:v>3</x:v>
      </x:c>
      <x:c r="D299" s="17" t="str"/>
      <x:c r="E299" s="17" t="str">
        <x:v>工具调用</x:v>
      </x:c>
      <x:c r="F299" s="17" t="str">
        <x:v>finance_query</x:v>
      </x:c>
      <x:c r="G299" s="17" t="str">
        <x:v>r2 = index.basic_info(filter = "name like %医药%", limit = 50) -&gt; code, name</x:v>
      </x:c>
      <x:c r="H299" s="17" t="str"/>
      <x:c r="I299" s="17" t="str">
        <x:v>设计浪费</x:v>
      </x:c>
      <x:c r="J299" s="17" t="str">
        <x:v>否</x:v>
      </x:c>
      <x:c r="K299" s="18"/>
      <x:c r="L299" s="17" t="str">
        <x:v>否</x:v>
      </x:c>
      <x:c r="M299" s="17" t="str">
        <x:v>否</x:v>
      </x:c>
      <x:c r="N299" s="17" t="str">
        <x:v>requery_after_terminal_zero</x:v>
      </x:c>
      <x:c r="O299" s="17" t="str">
        <x:v>terminal_zero_requery</x:v>
      </x:c>
      <x:c r="P299" s="17" t="str">
        <x:v>session://financial_qa_33499cfa81de4d06_2775_c99e8cc037ec/vars/v2</x:v>
      </x:c>
      <x:c r="Q299" s="17" t="str"/>
      <x:c r="R299" s="17" t="str">
        <x:v>index.basic_info</x:v>
      </x:c>
      <x:c r="S299" s="17" t="str"/>
      <x:c r="T299" s="17" t="str"/>
      <x:c r="U299" s="17" t="str">
        <x:v>r2</x:v>
      </x:c>
      <x:c r="V299" s="30" t="n">
        <x:v>50</x:v>
      </x:c>
      <x:c r="W299" s="17" t="str">
        <x:v>high</x:v>
      </x:c>
    </x:row>
    <x:row r="300" ht="54" customHeight="1">
      <x:c r="A300" s="17" t="str">
        <x:v>BUS080</x:v>
      </x:c>
      <x:c r="B300" s="17" t="str">
        <x:v>查询名称包含医药的指数代码和名称。</x:v>
      </x:c>
      <x:c r="C300" s="17" t="n">
        <x:v>4</x:v>
      </x:c>
      <x:c r="D300" s="17" t="str"/>
      <x:c r="E300" s="17" t="str">
        <x:v>工具调用</x:v>
      </x:c>
      <x:c r="F300" s="17" t="str">
        <x:v>load_finance_result</x:v>
      </x:c>
      <x:c r="G300" s="17" t="str"/>
      <x:c r="H300" s="17" t="str"/>
      <x:c r="I300" s="17" t="str">
        <x:v>合理操作</x:v>
      </x:c>
      <x:c r="J300" s="17" t="str">
        <x:v>是</x:v>
      </x:c>
      <x:c r="K300" s="18"/>
      <x:c r="L300" s="17" t="str">
        <x:v>否</x:v>
      </x:c>
      <x:c r="M300" s="17" t="str">
        <x:v>否</x:v>
      </x:c>
      <x:c r="N300" s="17" t="str">
        <x:v>load_truncated_result</x:v>
      </x:c>
      <x:c r="O300" s="17" t="str">
        <x:v>sample_incomplete_requires_full_result</x:v>
      </x:c>
      <x:c r="P300" s="17" t="str">
        <x:v>session://financial_qa_33499cfa81de4d06_2775_c99e8cc037ec/vars/v2</x:v>
      </x:c>
      <x:c r="Q300" s="17" t="str"/>
      <x:c r="R300" s="17" t="str"/>
      <x:c r="S300" s="17" t="str"/>
      <x:c r="T300" s="17" t="str"/>
      <x:c r="U300" s="17" t="str"/>
      <x:c r="V300" s="30"/>
      <x:c r="W300" s="17" t="str">
        <x:v>high</x:v>
      </x:c>
    </x:row>
    <x:row r="301" ht="54" customHeight="1">
      <x:c r="A301" s="17" t="str">
        <x:v>BUS081</x:v>
      </x:c>
      <x:c r="B301" s="17" t="str">
        <x:v>沪深300当前点位、涨跌幅和成交额是多少？</x:v>
      </x:c>
      <x:c r="C301" s="17" t="n">
        <x:v>1</x:v>
      </x:c>
      <x:c r="D301" s="17" t="str"/>
      <x:c r="E301" s="17" t="str">
        <x:v>工具调用</x:v>
      </x:c>
      <x:c r="F301" s="17" t="str">
        <x:v>read_finance_catalog</x:v>
      </x:c>
      <x:c r="G301" s="17" t="str"/>
      <x:c r="H301" s="17" t="str"/>
      <x:c r="I301" s="17" t="str">
        <x:v>合理操作</x:v>
      </x:c>
      <x:c r="J301" s="17" t="str">
        <x:v>是</x:v>
      </x:c>
      <x:c r="K301" s="18"/>
      <x:c r="L301" s="17" t="str">
        <x:v>否</x:v>
      </x:c>
      <x:c r="M301" s="17" t="str">
        <x:v>否</x:v>
      </x:c>
      <x:c r="N301" s="17" t="str">
        <x:v>target_catalog_located</x:v>
      </x:c>
      <x:c r="O301" s="17" t="str">
        <x:v>expected_dataview_catalog</x:v>
      </x:c>
      <x:c r="P301" s="17" t="str"/>
      <x:c r="Q301" s="17" t="str"/>
      <x:c r="R301" s="17" t="str"/>
      <x:c r="S301" s="17" t="str">
        <x:v>index</x:v>
      </x:c>
      <x:c r="T301" s="17" t="str">
        <x:v>quote</x:v>
      </x:c>
      <x:c r="U301" s="17" t="str"/>
      <x:c r="V301" s="30"/>
      <x:c r="W301" s="17" t="str">
        <x:v>high</x:v>
      </x:c>
    </x:row>
    <x:row r="302" ht="54" customHeight="1">
      <x:c r="A302" s="17" t="str">
        <x:v>BUS081</x:v>
      </x:c>
      <x:c r="B302" s="17" t="str">
        <x:v>沪深300当前点位、涨跌幅和成交额是多少？</x:v>
      </x:c>
      <x:c r="C302" s="17" t="n">
        <x:v>2</x:v>
      </x:c>
      <x:c r="D302" s="17" t="str"/>
      <x:c r="E302" s="17" t="str">
        <x:v>工具调用</x:v>
      </x:c>
      <x:c r="F302" s="17" t="str">
        <x:v>finance_query</x:v>
      </x:c>
      <x:c r="G302" s="17" t="str">
        <x:v>r1 = index.quote(filter = "code = 000300.SH", realtime = 2, limit = 1) -&gt; code, name, tradedate, close, pct, amount, open, high, low, differ</x:v>
      </x:c>
      <x:c r="H302" s="17" t="str"/>
      <x:c r="I302" s="17" t="str">
        <x:v>合理操作</x:v>
      </x:c>
      <x:c r="J302" s="17" t="str">
        <x:v>是</x:v>
      </x:c>
      <x:c r="K302" s="18"/>
      <x:c r="L302" s="17" t="str">
        <x:v>否</x:v>
      </x:c>
      <x:c r="M302" s="17" t="str">
        <x:v>否</x:v>
      </x:c>
      <x:c r="N302" s="17" t="str">
        <x:v>target_api_executed</x:v>
      </x:c>
      <x:c r="O302" s="17" t="str">
        <x:v>expected_dataview_coverage</x:v>
      </x:c>
      <x:c r="P302" s="17" t="str">
        <x:v>session://financial_qa_33499cfa81de4d06_2776_7fbd8ba211f6/vars/v1</x:v>
      </x:c>
      <x:c r="Q302" s="17" t="str"/>
      <x:c r="R302" s="17" t="str">
        <x:v>index.quote</x:v>
      </x:c>
      <x:c r="S302" s="17" t="str"/>
      <x:c r="T302" s="17" t="str"/>
      <x:c r="U302" s="17" t="str">
        <x:v>r1</x:v>
      </x:c>
      <x:c r="V302" s="30" t="n">
        <x:v>1</x:v>
      </x:c>
      <x:c r="W302" s="17" t="str">
        <x:v>high</x:v>
      </x:c>
    </x:row>
    <x:row r="303" ht="54" customHeight="1">
      <x:c r="A303" s="17" t="str">
        <x:v>BUS082</x:v>
      </x:c>
      <x:c r="B303" s="17" t="str">
        <x:v>今天涨幅最高的指数前20名。</x:v>
      </x:c>
      <x:c r="C303" s="17" t="n">
        <x:v>1</x:v>
      </x:c>
      <x:c r="D303" s="17" t="str"/>
      <x:c r="E303" s="17" t="str">
        <x:v>工具调用</x:v>
      </x:c>
      <x:c r="F303" s="17" t="str">
        <x:v>read_finance_catalog</x:v>
      </x:c>
      <x:c r="G303" s="17" t="str"/>
      <x:c r="H303" s="17" t="str"/>
      <x:c r="I303" s="17" t="str">
        <x:v>合理操作</x:v>
      </x:c>
      <x:c r="J303" s="17" t="str">
        <x:v>是</x:v>
      </x:c>
      <x:c r="K303" s="18"/>
      <x:c r="L303" s="17" t="str">
        <x:v>否</x:v>
      </x:c>
      <x:c r="M303" s="17" t="str">
        <x:v>否</x:v>
      </x:c>
      <x:c r="N303" s="17" t="str">
        <x:v>target_catalog_located</x:v>
      </x:c>
      <x:c r="O303" s="17" t="str">
        <x:v>expected_dataview_catalog</x:v>
      </x:c>
      <x:c r="P303" s="17" t="str"/>
      <x:c r="Q303" s="17" t="str"/>
      <x:c r="R303" s="17" t="str"/>
      <x:c r="S303" s="17" t="str">
        <x:v>index</x:v>
      </x:c>
      <x:c r="T303" s="17" t="str">
        <x:v>quote</x:v>
      </x:c>
      <x:c r="U303" s="17" t="str"/>
      <x:c r="V303" s="30"/>
      <x:c r="W303" s="17" t="str">
        <x:v>high</x:v>
      </x:c>
    </x:row>
    <x:row r="304" ht="54" customHeight="1">
      <x:c r="A304" s="17" t="str">
        <x:v>BUS082</x:v>
      </x:c>
      <x:c r="B304" s="17" t="str">
        <x:v>今天涨幅最高的指数前20名。</x:v>
      </x:c>
      <x:c r="C304" s="17" t="n">
        <x:v>2</x:v>
      </x:c>
      <x:c r="D304" s="17" t="str"/>
      <x:c r="E304" s="17" t="str">
        <x:v>工具调用</x:v>
      </x:c>
      <x:c r="F304" s="17" t="str">
        <x:v>finance_query</x:v>
      </x:c>
      <x:c r="G304" s="17" t="str">
        <x:v>r1 = index.quote(filter = "1=1", order = "pct desc", limit = 20, realtime = 1) -&gt; code, name, close, pct, amount</x:v>
      </x:c>
      <x:c r="H304" s="17" t="str"/>
      <x:c r="I304" s="17" t="str">
        <x:v>合理操作</x:v>
      </x:c>
      <x:c r="J304" s="17" t="str">
        <x:v>是</x:v>
      </x:c>
      <x:c r="K304" s="18"/>
      <x:c r="L304" s="17" t="str">
        <x:v>否</x:v>
      </x:c>
      <x:c r="M304" s="17" t="str">
        <x:v>否</x:v>
      </x:c>
      <x:c r="N304" s="17" t="str">
        <x:v>target_api_executed</x:v>
      </x:c>
      <x:c r="O304" s="17" t="str">
        <x:v>expected_dataview_coverage</x:v>
      </x:c>
      <x:c r="P304" s="17" t="str">
        <x:v>session://financial_qa_33499cfa81de4d06_2777_9b896e7079b9/vars/v1</x:v>
      </x:c>
      <x:c r="Q304" s="17" t="str"/>
      <x:c r="R304" s="17" t="str">
        <x:v>index.quote</x:v>
      </x:c>
      <x:c r="S304" s="17" t="str"/>
      <x:c r="T304" s="17" t="str"/>
      <x:c r="U304" s="17" t="str">
        <x:v>r1</x:v>
      </x:c>
      <x:c r="V304" s="30" t="n">
        <x:v>20</x:v>
      </x:c>
      <x:c r="W304" s="17" t="str">
        <x:v>high</x:v>
      </x:c>
    </x:row>
    <x:row r="305" ht="54" customHeight="1">
      <x:c r="A305" s="17" t="str">
        <x:v>BUS082</x:v>
      </x:c>
      <x:c r="B305" s="17" t="str">
        <x:v>今天涨幅最高的指数前20名。</x:v>
      </x:c>
      <x:c r="C305" s="17" t="n">
        <x:v>3</x:v>
      </x:c>
      <x:c r="D305" s="17" t="str"/>
      <x:c r="E305" s="17" t="str">
        <x:v>工具调用</x:v>
      </x:c>
      <x:c r="F305" s="17" t="str">
        <x:v>load_finance_result</x:v>
      </x:c>
      <x:c r="G305" s="17" t="str"/>
      <x:c r="H305" s="17" t="str"/>
      <x:c r="I305" s="17" t="str">
        <x:v>合理操作</x:v>
      </x:c>
      <x:c r="J305" s="17" t="str">
        <x:v>是</x:v>
      </x:c>
      <x:c r="K305" s="18"/>
      <x:c r="L305" s="17" t="str">
        <x:v>否</x:v>
      </x:c>
      <x:c r="M305" s="17" t="str">
        <x:v>否</x:v>
      </x:c>
      <x:c r="N305" s="17" t="str">
        <x:v>load_truncated_result</x:v>
      </x:c>
      <x:c r="O305" s="17" t="str">
        <x:v>sample_incomplete_requires_full_result</x:v>
      </x:c>
      <x:c r="P305" s="17" t="str">
        <x:v>session://financial_qa_33499cfa81de4d06_2777_9b896e7079b9/vars/v1</x:v>
      </x:c>
      <x:c r="Q305" s="17" t="str"/>
      <x:c r="R305" s="17" t="str"/>
      <x:c r="S305" s="17" t="str"/>
      <x:c r="T305" s="17" t="str"/>
      <x:c r="U305" s="17" t="str"/>
      <x:c r="V305" s="30"/>
      <x:c r="W305" s="17" t="str">
        <x:v>high</x:v>
      </x:c>
    </x:row>
    <x:row r="306" ht="54" customHeight="1">
      <x:c r="A306" s="17" t="str">
        <x:v>BUS083</x:v>
      </x:c>
      <x:c r="B306" s="17" t="str">
        <x:v>查询上证指数最近10个交易日收盘点位和涨跌幅。</x:v>
      </x:c>
      <x:c r="C306" s="17" t="n">
        <x:v>1</x:v>
      </x:c>
      <x:c r="D306" s="17" t="str"/>
      <x:c r="E306" s="17" t="str">
        <x:v>工具调用</x:v>
      </x:c>
      <x:c r="F306" s="17" t="str">
        <x:v>read_finance_catalog</x:v>
      </x:c>
      <x:c r="G306" s="17" t="str"/>
      <x:c r="H306" s="17" t="str"/>
      <x:c r="I306" s="17" t="str">
        <x:v>合理操作</x:v>
      </x:c>
      <x:c r="J306" s="17" t="str">
        <x:v>是</x:v>
      </x:c>
      <x:c r="K306" s="18"/>
      <x:c r="L306" s="17" t="str">
        <x:v>否</x:v>
      </x:c>
      <x:c r="M306" s="17" t="str">
        <x:v>否</x:v>
      </x:c>
      <x:c r="N306" s="17" t="str">
        <x:v>target_catalog_located</x:v>
      </x:c>
      <x:c r="O306" s="17" t="str">
        <x:v>expected_dataview_catalog</x:v>
      </x:c>
      <x:c r="P306" s="17" t="str"/>
      <x:c r="Q306" s="17" t="str"/>
      <x:c r="R306" s="17" t="str"/>
      <x:c r="S306" s="17" t="str">
        <x:v>index</x:v>
      </x:c>
      <x:c r="T306" s="17" t="str">
        <x:v>quote</x:v>
      </x:c>
      <x:c r="U306" s="17" t="str"/>
      <x:c r="V306" s="30"/>
      <x:c r="W306" s="17" t="str">
        <x:v>high</x:v>
      </x:c>
    </x:row>
    <x:row r="307" ht="54" customHeight="1">
      <x:c r="A307" s="17" t="str">
        <x:v>BUS083</x:v>
      </x:c>
      <x:c r="B307" s="17" t="str">
        <x:v>查询上证指数最近10个交易日收盘点位和涨跌幅。</x:v>
      </x:c>
      <x:c r="C307" s="17" t="n">
        <x:v>2</x:v>
      </x:c>
      <x:c r="D307" s="17" t="str"/>
      <x:c r="E307" s="17" t="str">
        <x:v>工具调用</x:v>
      </x:c>
      <x:c r="F307" s="17" t="str">
        <x:v>finance_query</x:v>
      </x:c>
      <x:c r="G307" s="17" t="str">
        <x:v>r1 = index.quote(filter = "code = 000001.SH", order = "tradedate desc", limit = 10, realtime = 0) -&gt; code, name, tradedate, close, pct</x:v>
      </x:c>
      <x:c r="H307" s="17" t="str"/>
      <x:c r="I307" s="17" t="str">
        <x:v>合理操作</x:v>
      </x:c>
      <x:c r="J307" s="17" t="str">
        <x:v>是</x:v>
      </x:c>
      <x:c r="K307" s="18"/>
      <x:c r="L307" s="17" t="str">
        <x:v>否</x:v>
      </x:c>
      <x:c r="M307" s="17" t="str">
        <x:v>否</x:v>
      </x:c>
      <x:c r="N307" s="17" t="str">
        <x:v>target_api_executed</x:v>
      </x:c>
      <x:c r="O307" s="17" t="str">
        <x:v>expected_dataview_coverage</x:v>
      </x:c>
      <x:c r="P307" s="17" t="str">
        <x:v>session://financial_qa_33499cfa81de4d06_2778_85c7c13632b4/vars/v1</x:v>
      </x:c>
      <x:c r="Q307" s="17" t="str"/>
      <x:c r="R307" s="17" t="str">
        <x:v>index.quote</x:v>
      </x:c>
      <x:c r="S307" s="17" t="str"/>
      <x:c r="T307" s="17" t="str"/>
      <x:c r="U307" s="17" t="str">
        <x:v>r1</x:v>
      </x:c>
      <x:c r="V307" s="30" t="n">
        <x:v>10</x:v>
      </x:c>
      <x:c r="W307" s="17" t="str">
        <x:v>high</x:v>
      </x:c>
    </x:row>
    <x:row r="308" ht="54" customHeight="1">
      <x:c r="A308" s="17" t="str">
        <x:v>BUS083</x:v>
      </x:c>
      <x:c r="B308" s="17" t="str">
        <x:v>查询上证指数最近10个交易日收盘点位和涨跌幅。</x:v>
      </x:c>
      <x:c r="C308" s="17" t="n">
        <x:v>3</x:v>
      </x:c>
      <x:c r="D308" s="17" t="str"/>
      <x:c r="E308" s="17" t="str">
        <x:v>工具调用</x:v>
      </x:c>
      <x:c r="F308" s="17" t="str">
        <x:v>load_finance_result</x:v>
      </x:c>
      <x:c r="G308" s="17" t="str"/>
      <x:c r="H308" s="17" t="str"/>
      <x:c r="I308" s="17" t="str">
        <x:v>合理操作</x:v>
      </x:c>
      <x:c r="J308" s="17" t="str">
        <x:v>是</x:v>
      </x:c>
      <x:c r="K308" s="18"/>
      <x:c r="L308" s="17" t="str">
        <x:v>否</x:v>
      </x:c>
      <x:c r="M308" s="17" t="str">
        <x:v>否</x:v>
      </x:c>
      <x:c r="N308" s="17" t="str">
        <x:v>load_truncated_result</x:v>
      </x:c>
      <x:c r="O308" s="17" t="str">
        <x:v>sample_incomplete_requires_full_result</x:v>
      </x:c>
      <x:c r="P308" s="17" t="str">
        <x:v>session://financial_qa_33499cfa81de4d06_2778_85c7c13632b4/vars/v1</x:v>
      </x:c>
      <x:c r="Q308" s="17" t="str"/>
      <x:c r="R308" s="17" t="str"/>
      <x:c r="S308" s="17" t="str"/>
      <x:c r="T308" s="17" t="str"/>
      <x:c r="U308" s="17" t="str"/>
      <x:c r="V308" s="30"/>
      <x:c r="W308" s="17" t="str">
        <x:v>high</x:v>
      </x:c>
    </x:row>
    <x:row r="309" ht="54" customHeight="1">
      <x:c r="A309" s="17" t="str">
        <x:v>BUS085</x:v>
      </x:c>
      <x:c r="B309" s="17" t="str">
        <x:v>过去20个交易日跌幅最大的指数前10名。</x:v>
      </x:c>
      <x:c r="C309" s="17" t="n">
        <x:v>1</x:v>
      </x:c>
      <x:c r="D309" s="17" t="str"/>
      <x:c r="E309" s="17" t="str">
        <x:v>工具调用</x:v>
      </x:c>
      <x:c r="F309" s="17" t="str">
        <x:v>read_finance_catalog</x:v>
      </x:c>
      <x:c r="G309" s="17" t="str"/>
      <x:c r="H309" s="17" t="str"/>
      <x:c r="I309" s="17" t="str">
        <x:v>合理操作</x:v>
      </x:c>
      <x:c r="J309" s="17" t="str">
        <x:v>是</x:v>
      </x:c>
      <x:c r="K309" s="18"/>
      <x:c r="L309" s="17" t="str">
        <x:v>否</x:v>
      </x:c>
      <x:c r="M309" s="17" t="str">
        <x:v>否</x:v>
      </x:c>
      <x:c r="N309" s="17" t="str">
        <x:v>target_catalog_located</x:v>
      </x:c>
      <x:c r="O309" s="17" t="str">
        <x:v>expected_dataview_catalog</x:v>
      </x:c>
      <x:c r="P309" s="17" t="str"/>
      <x:c r="Q309" s="17" t="str"/>
      <x:c r="R309" s="17" t="str"/>
      <x:c r="S309" s="17" t="str">
        <x:v>index</x:v>
      </x:c>
      <x:c r="T309" s="17" t="str">
        <x:v>quote</x:v>
      </x:c>
      <x:c r="U309" s="17" t="str"/>
      <x:c r="V309" s="30"/>
      <x:c r="W309" s="17" t="str">
        <x:v>high</x:v>
      </x:c>
    </x:row>
    <x:row r="310" ht="54" customHeight="1">
      <x:c r="A310" s="17" t="str">
        <x:v>BUS085</x:v>
      </x:c>
      <x:c r="B310" s="17" t="str">
        <x:v>过去20个交易日跌幅最大的指数前10名。</x:v>
      </x:c>
      <x:c r="C310" s="17" t="n">
        <x:v>2</x:v>
      </x:c>
      <x:c r="D310" s="17" t="str"/>
      <x:c r="E310" s="17" t="str">
        <x:v>工具调用</x:v>
      </x:c>
      <x:c r="F310" s="17" t="str">
        <x:v>finance_query</x:v>
      </x:c>
      <x:c r="G310" s="17" t="str">
        <x:v>r1 = index.quote.kd_pct_sum(k = 20, filter = "1=1", order = "value asc", limit = 10, realtime = 0) -&gt; code, name, value as pct_20d</x:v>
      </x:c>
      <x:c r="H310" s="17" t="str"/>
      <x:c r="I310" s="17" t="str">
        <x:v>合理操作</x:v>
      </x:c>
      <x:c r="J310" s="17" t="str">
        <x:v>是</x:v>
      </x:c>
      <x:c r="K310" s="18"/>
      <x:c r="L310" s="17" t="str">
        <x:v>否</x:v>
      </x:c>
      <x:c r="M310" s="17" t="str">
        <x:v>否</x:v>
      </x:c>
      <x:c r="N310" s="17" t="str">
        <x:v>target_api_executed</x:v>
      </x:c>
      <x:c r="O310" s="17" t="str">
        <x:v>expected_dataview_coverage</x:v>
      </x:c>
      <x:c r="P310" s="17" t="str">
        <x:v>session://financial_qa_33499cfa81de4d06_2780_6f906fcfacfb/vars/v1</x:v>
      </x:c>
      <x:c r="Q310" s="17" t="str"/>
      <x:c r="R310" s="17" t="str">
        <x:v>index.quote.kd_pct_sum</x:v>
      </x:c>
      <x:c r="S310" s="17" t="str"/>
      <x:c r="T310" s="17" t="str"/>
      <x:c r="U310" s="17" t="str">
        <x:v>r1</x:v>
      </x:c>
      <x:c r="V310" s="30" t="n">
        <x:v>10</x:v>
      </x:c>
      <x:c r="W310" s="17" t="str">
        <x:v>high</x:v>
      </x:c>
    </x:row>
    <x:row r="311" ht="54" customHeight="1">
      <x:c r="A311" s="17" t="str">
        <x:v>BUS085</x:v>
      </x:c>
      <x:c r="B311" s="17" t="str">
        <x:v>过去20个交易日跌幅最大的指数前10名。</x:v>
      </x:c>
      <x:c r="C311" s="17" t="n">
        <x:v>3</x:v>
      </x:c>
      <x:c r="D311" s="17" t="str"/>
      <x:c r="E311" s="17" t="str">
        <x:v>工具调用</x:v>
      </x:c>
      <x:c r="F311" s="17" t="str">
        <x:v>load_finance_result</x:v>
      </x:c>
      <x:c r="G311" s="17" t="str"/>
      <x:c r="H311" s="17" t="str"/>
      <x:c r="I311" s="17" t="str">
        <x:v>合理操作</x:v>
      </x:c>
      <x:c r="J311" s="17" t="str">
        <x:v>是</x:v>
      </x:c>
      <x:c r="K311" s="18"/>
      <x:c r="L311" s="17" t="str">
        <x:v>否</x:v>
      </x:c>
      <x:c r="M311" s="17" t="str">
        <x:v>否</x:v>
      </x:c>
      <x:c r="N311" s="17" t="str">
        <x:v>load_truncated_result</x:v>
      </x:c>
      <x:c r="O311" s="17" t="str">
        <x:v>sample_incomplete_requires_full_result</x:v>
      </x:c>
      <x:c r="P311" s="17" t="str">
        <x:v>session://financial_qa_33499cfa81de4d06_2780_6f906fcfacfb/vars/v1</x:v>
      </x:c>
      <x:c r="Q311" s="17" t="str"/>
      <x:c r="R311" s="17" t="str"/>
      <x:c r="S311" s="17" t="str"/>
      <x:c r="T311" s="17" t="str"/>
      <x:c r="U311" s="17" t="str"/>
      <x:c r="V311" s="30"/>
      <x:c r="W311" s="17" t="str">
        <x:v>high</x:v>
      </x:c>
    </x:row>
    <x:row r="312" ht="54" customHeight="1">
      <x:c r="A312" s="17" t="str">
        <x:v>BUS086</x:v>
      </x:c>
      <x:c r="B312" s="17" t="str">
        <x:v>查询创业板指当前开盘价、最高价、最低价和最新点位。</x:v>
      </x:c>
      <x:c r="C312" s="17" t="n">
        <x:v>1</x:v>
      </x:c>
      <x:c r="D312" s="17" t="str"/>
      <x:c r="E312" s="17" t="str">
        <x:v>工具调用</x:v>
      </x:c>
      <x:c r="F312" s="17" t="str">
        <x:v>read_finance_catalog</x:v>
      </x:c>
      <x:c r="G312" s="17" t="str"/>
      <x:c r="H312" s="17" t="str"/>
      <x:c r="I312" s="17" t="str">
        <x:v>合理操作</x:v>
      </x:c>
      <x:c r="J312" s="17" t="str">
        <x:v>是</x:v>
      </x:c>
      <x:c r="K312" s="18"/>
      <x:c r="L312" s="17" t="str">
        <x:v>否</x:v>
      </x:c>
      <x:c r="M312" s="17" t="str">
        <x:v>否</x:v>
      </x:c>
      <x:c r="N312" s="17" t="str">
        <x:v>target_catalog_located</x:v>
      </x:c>
      <x:c r="O312" s="17" t="str">
        <x:v>expected_dataview_catalog</x:v>
      </x:c>
      <x:c r="P312" s="17" t="str"/>
      <x:c r="Q312" s="17" t="str"/>
      <x:c r="R312" s="17" t="str"/>
      <x:c r="S312" s="17" t="str">
        <x:v>index</x:v>
      </x:c>
      <x:c r="T312" s="17" t="str">
        <x:v>quote</x:v>
      </x:c>
      <x:c r="U312" s="17" t="str"/>
      <x:c r="V312" s="30"/>
      <x:c r="W312" s="17" t="str">
        <x:v>high</x:v>
      </x:c>
    </x:row>
    <x:row r="313" ht="54" customHeight="1">
      <x:c r="A313" s="17" t="str">
        <x:v>BUS086</x:v>
      </x:c>
      <x:c r="B313" s="17" t="str">
        <x:v>查询创业板指当前开盘价、最高价、最低价和最新点位。</x:v>
      </x:c>
      <x:c r="C313" s="17" t="n">
        <x:v>2</x:v>
      </x:c>
      <x:c r="D313" s="17" t="str"/>
      <x:c r="E313" s="17" t="str">
        <x:v>工具调用</x:v>
      </x:c>
      <x:c r="F313" s="17" t="str">
        <x:v>finance_query</x:v>
      </x:c>
      <x:c r="G313" s="17" t="str">
        <x:v>r1 = index.quote(filter = "code = 399006.SZ", realtime = 2, limit = 1) -&gt; code, name, tradedate, open, high, low, close</x:v>
      </x:c>
      <x:c r="H313" s="17" t="str"/>
      <x:c r="I313" s="17" t="str">
        <x:v>合理操作</x:v>
      </x:c>
      <x:c r="J313" s="17" t="str">
        <x:v>是</x:v>
      </x:c>
      <x:c r="K313" s="18"/>
      <x:c r="L313" s="17" t="str">
        <x:v>否</x:v>
      </x:c>
      <x:c r="M313" s="17" t="str">
        <x:v>否</x:v>
      </x:c>
      <x:c r="N313" s="17" t="str">
        <x:v>target_api_executed</x:v>
      </x:c>
      <x:c r="O313" s="17" t="str">
        <x:v>expected_dataview_coverage</x:v>
      </x:c>
      <x:c r="P313" s="17" t="str">
        <x:v>session://financial_qa_33499cfa81de4d06_2781_0f88bf9a95c2/vars/v1</x:v>
      </x:c>
      <x:c r="Q313" s="17" t="str"/>
      <x:c r="R313" s="17" t="str">
        <x:v>index.quote</x:v>
      </x:c>
      <x:c r="S313" s="17" t="str"/>
      <x:c r="T313" s="17" t="str"/>
      <x:c r="U313" s="17" t="str">
        <x:v>r1</x:v>
      </x:c>
      <x:c r="V313" s="30" t="n">
        <x:v>1</x:v>
      </x:c>
      <x:c r="W313" s="17" t="str">
        <x:v>high</x:v>
      </x:c>
    </x:row>
    <x:row r="314" ht="54" customHeight="1">
      <x:c r="A314" s="17" t="str">
        <x:v>BUS087</x:v>
      </x:c>
      <x:c r="B314" s="17" t="str">
        <x:v>查询沪深300最新PE、PB和总市值。</x:v>
      </x:c>
      <x:c r="C314" s="17" t="n">
        <x:v>1</x:v>
      </x:c>
      <x:c r="D314" s="17" t="str"/>
      <x:c r="E314" s="17" t="str">
        <x:v>工具调用</x:v>
      </x:c>
      <x:c r="F314" s="17" t="str">
        <x:v>read_finance_catalog</x:v>
      </x:c>
      <x:c r="G314" s="17" t="str"/>
      <x:c r="H314" s="17" t="str"/>
      <x:c r="I314" s="17" t="str">
        <x:v>合理操作</x:v>
      </x:c>
      <x:c r="J314" s="17" t="str">
        <x:v>是</x:v>
      </x:c>
      <x:c r="K314" s="18"/>
      <x:c r="L314" s="17" t="str">
        <x:v>否</x:v>
      </x:c>
      <x:c r="M314" s="17" t="str">
        <x:v>否</x:v>
      </x:c>
      <x:c r="N314" s="17" t="str">
        <x:v>target_catalog_located</x:v>
      </x:c>
      <x:c r="O314" s="17" t="str">
        <x:v>expected_dataview_catalog</x:v>
      </x:c>
      <x:c r="P314" s="17" t="str"/>
      <x:c r="Q314" s="17" t="str"/>
      <x:c r="R314" s="17" t="str"/>
      <x:c r="S314" s="17" t="str">
        <x:v>index</x:v>
      </x:c>
      <x:c r="T314" s="17" t="str">
        <x:v>pricevalue</x:v>
      </x:c>
      <x:c r="U314" s="17" t="str"/>
      <x:c r="V314" s="30"/>
      <x:c r="W314" s="17" t="str">
        <x:v>high</x:v>
      </x:c>
    </x:row>
    <x:row r="315" ht="54" customHeight="1">
      <x:c r="A315" s="17" t="str">
        <x:v>BUS087</x:v>
      </x:c>
      <x:c r="B315" s="17" t="str">
        <x:v>查询沪深300最新PE、PB和总市值。</x:v>
      </x:c>
      <x:c r="C315" s="17" t="n">
        <x:v>2</x:v>
      </x:c>
      <x:c r="D315" s="17" t="str"/>
      <x:c r="E315" s="17" t="str">
        <x:v>工具调用</x:v>
      </x:c>
      <x:c r="F315" s="17" t="str">
        <x:v>finance_query</x:v>
      </x:c>
      <x:c r="G315" s="17" t="str">
        <x:v>r1 = index.pricevalue(filter = "code = 000300.SH", order = "tradedate desc", limit = 1, realtime = 0) -&gt; code, name, tradedate, pe_ttm, pb_mrq, market_value</x:v>
      </x:c>
      <x:c r="H315" s="17" t="str"/>
      <x:c r="I315" s="17" t="str">
        <x:v>合理操作</x:v>
      </x:c>
      <x:c r="J315" s="17" t="str">
        <x:v>是</x:v>
      </x:c>
      <x:c r="K315" s="18"/>
      <x:c r="L315" s="17" t="str">
        <x:v>否</x:v>
      </x:c>
      <x:c r="M315" s="17" t="str">
        <x:v>否</x:v>
      </x:c>
      <x:c r="N315" s="17" t="str">
        <x:v>target_api_executed</x:v>
      </x:c>
      <x:c r="O315" s="17" t="str">
        <x:v>expected_dataview_coverage</x:v>
      </x:c>
      <x:c r="P315" s="17" t="str">
        <x:v>session://financial_qa_33499cfa81de4d06_2782_4d2635dd6c75/vars/v1</x:v>
      </x:c>
      <x:c r="Q315" s="17" t="str"/>
      <x:c r="R315" s="17" t="str">
        <x:v>index.pricevalue</x:v>
      </x:c>
      <x:c r="S315" s="17" t="str"/>
      <x:c r="T315" s="17" t="str"/>
      <x:c r="U315" s="17" t="str">
        <x:v>r1</x:v>
      </x:c>
      <x:c r="V315" s="30" t="n">
        <x:v>1</x:v>
      </x:c>
      <x:c r="W315" s="17" t="str">
        <x:v>high</x:v>
      </x:c>
    </x:row>
    <x:row r="316" ht="54" customHeight="1">
      <x:c r="A316" s="17" t="str">
        <x:v>BUS087</x:v>
      </x:c>
      <x:c r="B316" s="17" t="str">
        <x:v>查询沪深300最新PE、PB和总市值。</x:v>
      </x:c>
      <x:c r="C316" s="17" t="n">
        <x:v>3</x:v>
      </x:c>
      <x:c r="D316" s="17" t="str"/>
      <x:c r="E316" s="17" t="str">
        <x:v>工具调用</x:v>
      </x:c>
      <x:c r="F316" s="17" t="str">
        <x:v>finance_query</x:v>
      </x:c>
      <x:c r="G316" s="17" t="str">
        <x:v>r2 = index.pricevalue(filter = "code = 000300.SH", order = "tradedate desc", limit = 1, realtime = 0) -&gt; code, name, tradedate, pe, pb, market_value</x:v>
      </x:c>
      <x:c r="H316" s="17" t="str"/>
      <x:c r="I316" s="17" t="str">
        <x:v>合理操作</x:v>
      </x:c>
      <x:c r="J316" s="17" t="str">
        <x:v>是</x:v>
      </x:c>
      <x:c r="K316" s="18"/>
      <x:c r="L316" s="17" t="str">
        <x:v>否</x:v>
      </x:c>
      <x:c r="M316" s="17" t="str">
        <x:v>否</x:v>
      </x:c>
      <x:c r="N316" s="17" t="str">
        <x:v>target_api_executed</x:v>
      </x:c>
      <x:c r="O316" s="17" t="str">
        <x:v>expected_dataview_coverage</x:v>
      </x:c>
      <x:c r="P316" s="17" t="str">
        <x:v>session://financial_qa_33499cfa81de4d06_2782_4d2635dd6c75/vars/v2</x:v>
      </x:c>
      <x:c r="Q316" s="17" t="str"/>
      <x:c r="R316" s="17" t="str">
        <x:v>index.pricevalue</x:v>
      </x:c>
      <x:c r="S316" s="17" t="str"/>
      <x:c r="T316" s="17" t="str"/>
      <x:c r="U316" s="17" t="str">
        <x:v>r2</x:v>
      </x:c>
      <x:c r="V316" s="30" t="n">
        <x:v>1</x:v>
      </x:c>
      <x:c r="W316" s="17" t="str">
        <x:v>high</x:v>
      </x:c>
    </x:row>
    <x:row r="317" ht="54" customHeight="1">
      <x:c r="A317" s="17" t="str">
        <x:v>BUS088</x:v>
      </x:c>
      <x:c r="B317" s="17" t="str">
        <x:v>当前PE_TTM最低的指数前20名。</x:v>
      </x:c>
      <x:c r="C317" s="17" t="n">
        <x:v>1</x:v>
      </x:c>
      <x:c r="D317" s="17" t="str"/>
      <x:c r="E317" s="17" t="str">
        <x:v>工具调用</x:v>
      </x:c>
      <x:c r="F317" s="17" t="str">
        <x:v>read_finance_catalog</x:v>
      </x:c>
      <x:c r="G317" s="17" t="str"/>
      <x:c r="H317" s="17" t="str"/>
      <x:c r="I317" s="17" t="str">
        <x:v>合理操作</x:v>
      </x:c>
      <x:c r="J317" s="17" t="str">
        <x:v>是</x:v>
      </x:c>
      <x:c r="K317" s="18"/>
      <x:c r="L317" s="17" t="str">
        <x:v>否</x:v>
      </x:c>
      <x:c r="M317" s="17" t="str">
        <x:v>否</x:v>
      </x:c>
      <x:c r="N317" s="17" t="str">
        <x:v>target_catalog_located</x:v>
      </x:c>
      <x:c r="O317" s="17" t="str">
        <x:v>expected_dataview_catalog</x:v>
      </x:c>
      <x:c r="P317" s="17" t="str"/>
      <x:c r="Q317" s="17" t="str"/>
      <x:c r="R317" s="17" t="str"/>
      <x:c r="S317" s="17" t="str">
        <x:v>index</x:v>
      </x:c>
      <x:c r="T317" s="17" t="str">
        <x:v>pricevalue</x:v>
      </x:c>
      <x:c r="U317" s="17" t="str"/>
      <x:c r="V317" s="30"/>
      <x:c r="W317" s="17" t="str">
        <x:v>high</x:v>
      </x:c>
    </x:row>
    <x:row r="318" ht="54" customHeight="1">
      <x:c r="A318" s="17" t="str">
        <x:v>BUS088</x:v>
      </x:c>
      <x:c r="B318" s="17" t="str">
        <x:v>当前PE_TTM最低的指数前20名。</x:v>
      </x:c>
      <x:c r="C318" s="17" t="n">
        <x:v>2</x:v>
      </x:c>
      <x:c r="D318" s="17" t="str"/>
      <x:c r="E318" s="17" t="str">
        <x:v>工具调用</x:v>
      </x:c>
      <x:c r="F318" s="17" t="str">
        <x:v>finance_query</x:v>
      </x:c>
      <x:c r="G318" s="17" t="str">
        <x:v>r1 = index.pricevalue(filter = "pe_ttm &gt; 0", order = "pe_ttm asc", limit = 20, realtime = 0) -&gt; code, name, pe_ttm, pe, pb</x:v>
      </x:c>
      <x:c r="H318" s="17" t="str"/>
      <x:c r="I318" s="17" t="str">
        <x:v>合理操作</x:v>
      </x:c>
      <x:c r="J318" s="17" t="str">
        <x:v>是</x:v>
      </x:c>
      <x:c r="K318" s="18"/>
      <x:c r="L318" s="17" t="str">
        <x:v>否</x:v>
      </x:c>
      <x:c r="M318" s="17" t="str">
        <x:v>否</x:v>
      </x:c>
      <x:c r="N318" s="17" t="str">
        <x:v>target_api_executed</x:v>
      </x:c>
      <x:c r="O318" s="17" t="str">
        <x:v>expected_dataview_coverage</x:v>
      </x:c>
      <x:c r="P318" s="17" t="str">
        <x:v>session://financial_qa_33499cfa81de4d06_2783_1903ea6ef4de/vars/v1</x:v>
      </x:c>
      <x:c r="Q318" s="17" t="str"/>
      <x:c r="R318" s="17" t="str">
        <x:v>index.pricevalue</x:v>
      </x:c>
      <x:c r="S318" s="17" t="str"/>
      <x:c r="T318" s="17" t="str"/>
      <x:c r="U318" s="17" t="str">
        <x:v>r1</x:v>
      </x:c>
      <x:c r="V318" s="30" t="n">
        <x:v>0</x:v>
      </x:c>
      <x:c r="W318" s="17" t="str">
        <x:v>high</x:v>
      </x:c>
    </x:row>
    <x:row r="319" ht="54" customHeight="1">
      <x:c r="A319" s="17" t="str">
        <x:v>BUS088</x:v>
      </x:c>
      <x:c r="B319" s="17" t="str">
        <x:v>当前PE_TTM最低的指数前20名。</x:v>
      </x:c>
      <x:c r="C319" s="17" t="n">
        <x:v>3</x:v>
      </x:c>
      <x:c r="D319" s="17" t="str"/>
      <x:c r="E319" s="17" t="str">
        <x:v>工具调用</x:v>
      </x:c>
      <x:c r="F319" s="17" t="str">
        <x:v>finance_query</x:v>
      </x:c>
      <x:c r="G319" s="17" t="str">
        <x:v>r2 = index.pricevalue(order = "pe_ttm asc", limit = 20, realtime = 0) -&gt; code, name, pe_ttm, pe, pb</x:v>
      </x:c>
      <x:c r="H319" s="17" t="str"/>
      <x:c r="I319" s="17" t="str">
        <x:v>设计浪费</x:v>
      </x:c>
      <x:c r="J319" s="17" t="str">
        <x:v>否</x:v>
      </x:c>
      <x:c r="K319" s="18"/>
      <x:c r="L319" s="17" t="str">
        <x:v>否</x:v>
      </x:c>
      <x:c r="M319" s="17" t="str">
        <x:v>否</x:v>
      </x:c>
      <x:c r="N319" s="17" t="str">
        <x:v>requery_after_terminal_zero</x:v>
      </x:c>
      <x:c r="O319" s="17" t="str">
        <x:v>terminal_zero_requery</x:v>
      </x:c>
      <x:c r="P319" s="17" t="str">
        <x:v>session://financial_qa_33499cfa81de4d06_2783_1903ea6ef4de/vars/v2</x:v>
      </x:c>
      <x:c r="Q319" s="17" t="str"/>
      <x:c r="R319" s="17" t="str">
        <x:v>index.pricevalue</x:v>
      </x:c>
      <x:c r="S319" s="17" t="str"/>
      <x:c r="T319" s="17" t="str"/>
      <x:c r="U319" s="17" t="str">
        <x:v>r2</x:v>
      </x:c>
      <x:c r="V319" s="30" t="n">
        <x:v>20</x:v>
      </x:c>
      <x:c r="W319" s="17" t="str">
        <x:v>high</x:v>
      </x:c>
    </x:row>
    <x:row r="320" ht="54" customHeight="1">
      <x:c r="A320" s="17" t="str">
        <x:v>BUS088</x:v>
      </x:c>
      <x:c r="B320" s="17" t="str">
        <x:v>当前PE_TTM最低的指数前20名。</x:v>
      </x:c>
      <x:c r="C320" s="17" t="n">
        <x:v>4</x:v>
      </x:c>
      <x:c r="D320" s="17" t="str"/>
      <x:c r="E320" s="17" t="str">
        <x:v>工具调用</x:v>
      </x:c>
      <x:c r="F320" s="17" t="str">
        <x:v>load_finance_result</x:v>
      </x:c>
      <x:c r="G320" s="17" t="str"/>
      <x:c r="H320" s="17" t="str"/>
      <x:c r="I320" s="17" t="str">
        <x:v>合理操作</x:v>
      </x:c>
      <x:c r="J320" s="17" t="str">
        <x:v>是</x:v>
      </x:c>
      <x:c r="K320" s="18"/>
      <x:c r="L320" s="17" t="str">
        <x:v>否</x:v>
      </x:c>
      <x:c r="M320" s="17" t="str">
        <x:v>否</x:v>
      </x:c>
      <x:c r="N320" s="17" t="str">
        <x:v>load_truncated_result</x:v>
      </x:c>
      <x:c r="O320" s="17" t="str">
        <x:v>sample_incomplete_requires_full_result</x:v>
      </x:c>
      <x:c r="P320" s="17" t="str">
        <x:v>session://financial_qa_33499cfa81de4d06_2783_1903ea6ef4de/vars/v2</x:v>
      </x:c>
      <x:c r="Q320" s="17" t="str"/>
      <x:c r="R320" s="17" t="str"/>
      <x:c r="S320" s="17" t="str"/>
      <x:c r="T320" s="17" t="str"/>
      <x:c r="U320" s="17" t="str"/>
      <x:c r="V320" s="30"/>
      <x:c r="W320" s="17" t="str">
        <x:v>high</x:v>
      </x:c>
    </x:row>
    <x:row r="321" ht="54" customHeight="1">
      <x:c r="A321" s="17" t="str">
        <x:v>BUS089</x:v>
      </x:c>
      <x:c r="B321" s="17" t="str">
        <x:v>筛选PB低于1.5的指数。</x:v>
      </x:c>
      <x:c r="C321" s="17" t="n">
        <x:v>1</x:v>
      </x:c>
      <x:c r="D321" s="17" t="str"/>
      <x:c r="E321" s="17" t="str">
        <x:v>工具调用</x:v>
      </x:c>
      <x:c r="F321" s="17" t="str">
        <x:v>read_finance_catalog</x:v>
      </x:c>
      <x:c r="G321" s="17" t="str"/>
      <x:c r="H321" s="17" t="str"/>
      <x:c r="I321" s="17" t="str">
        <x:v>合理操作</x:v>
      </x:c>
      <x:c r="J321" s="17" t="str">
        <x:v>是</x:v>
      </x:c>
      <x:c r="K321" s="18"/>
      <x:c r="L321" s="17" t="str">
        <x:v>否</x:v>
      </x:c>
      <x:c r="M321" s="17" t="str">
        <x:v>否</x:v>
      </x:c>
      <x:c r="N321" s="17" t="str">
        <x:v>target_catalog_located</x:v>
      </x:c>
      <x:c r="O321" s="17" t="str">
        <x:v>expected_dataview_catalog</x:v>
      </x:c>
      <x:c r="P321" s="17" t="str"/>
      <x:c r="Q321" s="17" t="str"/>
      <x:c r="R321" s="17" t="str"/>
      <x:c r="S321" s="17" t="str">
        <x:v>index</x:v>
      </x:c>
      <x:c r="T321" s="17" t="str">
        <x:v>pricevalue</x:v>
      </x:c>
      <x:c r="U321" s="17" t="str"/>
      <x:c r="V321" s="30"/>
      <x:c r="W321" s="17" t="str">
        <x:v>high</x:v>
      </x:c>
    </x:row>
    <x:row r="322" ht="54" customHeight="1">
      <x:c r="A322" s="17" t="str">
        <x:v>BUS089</x:v>
      </x:c>
      <x:c r="B322" s="17" t="str">
        <x:v>筛选PB低于1.5的指数。</x:v>
      </x:c>
      <x:c r="C322" s="17" t="n">
        <x:v>2</x:v>
      </x:c>
      <x:c r="D322" s="17" t="str"/>
      <x:c r="E322" s="17" t="str">
        <x:v>工具调用</x:v>
      </x:c>
      <x:c r="F322" s="17" t="str">
        <x:v>finance_query</x:v>
      </x:c>
      <x:c r="G322" s="17" t="str">
        <x:v>r1 = index.pricevalue(filter = "pb &lt; 1.5 and pb &gt; 0", order = "pb asc", limit = 50, realtime = 0) -&gt; code, name, pb, pb_mrq, pe, pe_ttm, tradedate</x:v>
      </x:c>
      <x:c r="H322" s="17" t="str"/>
      <x:c r="I322" s="17" t="str">
        <x:v>合理操作</x:v>
      </x:c>
      <x:c r="J322" s="17" t="str">
        <x:v>是</x:v>
      </x:c>
      <x:c r="K322" s="18"/>
      <x:c r="L322" s="17" t="str">
        <x:v>否</x:v>
      </x:c>
      <x:c r="M322" s="17" t="str">
        <x:v>否</x:v>
      </x:c>
      <x:c r="N322" s="17" t="str">
        <x:v>target_api_executed</x:v>
      </x:c>
      <x:c r="O322" s="17" t="str">
        <x:v>expected_dataview_coverage</x:v>
      </x:c>
      <x:c r="P322" s="17" t="str">
        <x:v>session://financial_qa_33499cfa81de4d06_2784_3bfc67d37bbc/vars/v1</x:v>
      </x:c>
      <x:c r="Q322" s="17" t="str"/>
      <x:c r="R322" s="17" t="str">
        <x:v>index.pricevalue</x:v>
      </x:c>
      <x:c r="S322" s="17" t="str"/>
      <x:c r="T322" s="17" t="str"/>
      <x:c r="U322" s="17" t="str">
        <x:v>r1</x:v>
      </x:c>
      <x:c r="V322" s="30" t="n">
        <x:v>0</x:v>
      </x:c>
      <x:c r="W322" s="17" t="str">
        <x:v>high</x:v>
      </x:c>
    </x:row>
    <x:row r="323" ht="54" customHeight="1">
      <x:c r="A323" s="17" t="str">
        <x:v>BUS089</x:v>
      </x:c>
      <x:c r="B323" s="17" t="str">
        <x:v>筛选PB低于1.5的指数。</x:v>
      </x:c>
      <x:c r="C323" s="17" t="n">
        <x:v>3</x:v>
      </x:c>
      <x:c r="D323" s="17" t="str"/>
      <x:c r="E323" s="17" t="str">
        <x:v>工具调用</x:v>
      </x:c>
      <x:c r="F323" s="17" t="str">
        <x:v>finance_query</x:v>
      </x:c>
      <x:c r="G323" s="17" t="str">
        <x:v>r2 = index.pricevalue(filter = "pb &gt; 0", order = "pb asc", limit = 30, realtime = 0) -&gt; code, name, pb, tradedate</x:v>
      </x:c>
      <x:c r="H323" s="17" t="str"/>
      <x:c r="I323" s="17" t="str">
        <x:v>设计浪费</x:v>
      </x:c>
      <x:c r="J323" s="17" t="str">
        <x:v>否</x:v>
      </x:c>
      <x:c r="K323" s="18"/>
      <x:c r="L323" s="17" t="str">
        <x:v>否</x:v>
      </x:c>
      <x:c r="M323" s="17" t="str">
        <x:v>否</x:v>
      </x:c>
      <x:c r="N323" s="17" t="str">
        <x:v>requery_after_terminal_zero</x:v>
      </x:c>
      <x:c r="O323" s="17" t="str">
        <x:v>terminal_zero_requery</x:v>
      </x:c>
      <x:c r="P323" s="17" t="str">
        <x:v>session://financial_qa_33499cfa81de4d06_2784_3bfc67d37bbc/vars/v2</x:v>
      </x:c>
      <x:c r="Q323" s="17" t="str"/>
      <x:c r="R323" s="17" t="str">
        <x:v>index.pricevalue</x:v>
      </x:c>
      <x:c r="S323" s="17" t="str"/>
      <x:c r="T323" s="17" t="str"/>
      <x:c r="U323" s="17" t="str">
        <x:v>r2</x:v>
      </x:c>
      <x:c r="V323" s="30" t="n">
        <x:v>0</x:v>
      </x:c>
      <x:c r="W323" s="17" t="str">
        <x:v>high</x:v>
      </x:c>
    </x:row>
    <x:row r="324" ht="54" customHeight="1">
      <x:c r="A324" s="17" t="str">
        <x:v>BUS089</x:v>
      </x:c>
      <x:c r="B324" s="17" t="str">
        <x:v>筛选PB低于1.5的指数。</x:v>
      </x:c>
      <x:c r="C324" s="17" t="n">
        <x:v>4</x:v>
      </x:c>
      <x:c r="D324" s="17" t="str"/>
      <x:c r="E324" s="17" t="str">
        <x:v>工具调用</x:v>
      </x:c>
      <x:c r="F324" s="17" t="str">
        <x:v>finance_query</x:v>
      </x:c>
      <x:c r="G324" s="17" t="str">
        <x:v>r3 = index.pricevalue(limit = 10, realtime = 0) -&gt; code, name, pb, tradedate</x:v>
      </x:c>
      <x:c r="H324" s="17" t="str"/>
      <x:c r="I324" s="17" t="str">
        <x:v>设计浪费</x:v>
      </x:c>
      <x:c r="J324" s="17" t="str">
        <x:v>否</x:v>
      </x:c>
      <x:c r="K324" s="18"/>
      <x:c r="L324" s="17" t="str">
        <x:v>否</x:v>
      </x:c>
      <x:c r="M324" s="17" t="str">
        <x:v>否</x:v>
      </x:c>
      <x:c r="N324" s="17" t="str">
        <x:v>requery_after_terminal_zero</x:v>
      </x:c>
      <x:c r="O324" s="17" t="str">
        <x:v>terminal_zero_requery</x:v>
      </x:c>
      <x:c r="P324" s="17" t="str">
        <x:v>session://financial_qa_33499cfa81de4d06_2784_3bfc67d37bbc/vars/v3</x:v>
      </x:c>
      <x:c r="Q324" s="17" t="str"/>
      <x:c r="R324" s="17" t="str">
        <x:v>index.pricevalue</x:v>
      </x:c>
      <x:c r="S324" s="17" t="str"/>
      <x:c r="T324" s="17" t="str"/>
      <x:c r="U324" s="17" t="str">
        <x:v>r3</x:v>
      </x:c>
      <x:c r="V324" s="30" t="n">
        <x:v>10</x:v>
      </x:c>
      <x:c r="W324" s="17" t="str">
        <x:v>high</x:v>
      </x:c>
    </x:row>
    <x:row r="325" ht="54" customHeight="1">
      <x:c r="A325" s="17" t="str">
        <x:v>BUS090</x:v>
      </x:c>
      <x:c r="B325" s="17" t="str">
        <x:v>查询中证500最近估值PE和PB。</x:v>
      </x:c>
      <x:c r="C325" s="17" t="n">
        <x:v>1</x:v>
      </x:c>
      <x:c r="D325" s="17" t="str"/>
      <x:c r="E325" s="17" t="str">
        <x:v>工具调用</x:v>
      </x:c>
      <x:c r="F325" s="17" t="str">
        <x:v>read_finance_catalog</x:v>
      </x:c>
      <x:c r="G325" s="17" t="str"/>
      <x:c r="H325" s="17" t="str"/>
      <x:c r="I325" s="17" t="str">
        <x:v>合理操作</x:v>
      </x:c>
      <x:c r="J325" s="17" t="str">
        <x:v>是</x:v>
      </x:c>
      <x:c r="K325" s="18"/>
      <x:c r="L325" s="17" t="str">
        <x:v>否</x:v>
      </x:c>
      <x:c r="M325" s="17" t="str">
        <x:v>否</x:v>
      </x:c>
      <x:c r="N325" s="17" t="str">
        <x:v>target_catalog_located</x:v>
      </x:c>
      <x:c r="O325" s="17" t="str">
        <x:v>expected_dataview_catalog</x:v>
      </x:c>
      <x:c r="P325" s="17" t="str"/>
      <x:c r="Q325" s="17" t="str"/>
      <x:c r="R325" s="17" t="str"/>
      <x:c r="S325" s="17" t="str">
        <x:v>index</x:v>
      </x:c>
      <x:c r="T325" s="17" t="str">
        <x:v>pricevalue</x:v>
      </x:c>
      <x:c r="U325" s="17" t="str"/>
      <x:c r="V325" s="30"/>
      <x:c r="W325" s="17" t="str">
        <x:v>high</x:v>
      </x:c>
    </x:row>
    <x:row r="326" ht="54" customHeight="1">
      <x:c r="A326" s="17" t="str">
        <x:v>BUS090</x:v>
      </x:c>
      <x:c r="B326" s="17" t="str">
        <x:v>查询中证500最近估值PE和PB。</x:v>
      </x:c>
      <x:c r="C326" s="17" t="n">
        <x:v>2</x:v>
      </x:c>
      <x:c r="D326" s="17" t="str"/>
      <x:c r="E326" s="17" t="str">
        <x:v>工具调用</x:v>
      </x:c>
      <x:c r="F326" s="17" t="str">
        <x:v>finance_query</x:v>
      </x:c>
      <x:c r="G326" s="17" t="str">
        <x:v>r1 = index.pricevalue(filter = "code = 000905.SH", order = "tradedate desc", limit = 1, realtime = 0) -&gt; code, name, tradedate, pe, pe_ttm, pb, pb_mrq</x:v>
      </x:c>
      <x:c r="H326" s="17" t="str"/>
      <x:c r="I326" s="17" t="str">
        <x:v>合理操作</x:v>
      </x:c>
      <x:c r="J326" s="17" t="str">
        <x:v>是</x:v>
      </x:c>
      <x:c r="K326" s="18"/>
      <x:c r="L326" s="17" t="str">
        <x:v>否</x:v>
      </x:c>
      <x:c r="M326" s="17" t="str">
        <x:v>否</x:v>
      </x:c>
      <x:c r="N326" s="17" t="str">
        <x:v>target_api_executed</x:v>
      </x:c>
      <x:c r="O326" s="17" t="str">
        <x:v>expected_dataview_coverage</x:v>
      </x:c>
      <x:c r="P326" s="17" t="str">
        <x:v>session://financial_qa_33499cfa81de4d06_2785_ac7fbc2963c8/vars/v1</x:v>
      </x:c>
      <x:c r="Q326" s="17" t="str"/>
      <x:c r="R326" s="17" t="str">
        <x:v>index.pricevalue</x:v>
      </x:c>
      <x:c r="S326" s="17" t="str"/>
      <x:c r="T326" s="17" t="str"/>
      <x:c r="U326" s="17" t="str">
        <x:v>r1</x:v>
      </x:c>
      <x:c r="V326" s="30" t="n">
        <x:v>1</x:v>
      </x:c>
      <x:c r="W326" s="17" t="str">
        <x:v>high</x:v>
      </x:c>
    </x:row>
    <x:row r="327" ht="54" customHeight="1">
      <x:c r="A327" s="17" t="str">
        <x:v>BUS090</x:v>
      </x:c>
      <x:c r="B327" s="17" t="str">
        <x:v>查询中证500最近估值PE和PB。</x:v>
      </x:c>
      <x:c r="C327" s="17" t="n">
        <x:v>3</x:v>
      </x:c>
      <x:c r="D327" s="17" t="str"/>
      <x:c r="E327" s="17" t="str">
        <x:v>工具调用</x:v>
      </x:c>
      <x:c r="F327" s="17" t="str">
        <x:v>finance_query</x:v>
      </x:c>
      <x:c r="G327" s="17" t="str">
        <x:v>r2 = index.pricevalue(filter = "code = 000905.SH and tradedate = -1", order = "tradedate desc", limit = 1, realtime = 0) -&gt; code, name, tradedate, pe, pe_ttm, pb, pb_mrq</x:v>
      </x:c>
      <x:c r="H327" s="17" t="str"/>
      <x:c r="I327" s="17" t="str">
        <x:v>合理操作</x:v>
      </x:c>
      <x:c r="J327" s="17" t="str">
        <x:v>是</x:v>
      </x:c>
      <x:c r="K327" s="18"/>
      <x:c r="L327" s="17" t="str">
        <x:v>否</x:v>
      </x:c>
      <x:c r="M327" s="17" t="str">
        <x:v>否</x:v>
      </x:c>
      <x:c r="N327" s="17" t="str">
        <x:v>target_api_executed</x:v>
      </x:c>
      <x:c r="O327" s="17" t="str">
        <x:v>expected_dataview_coverage</x:v>
      </x:c>
      <x:c r="P327" s="17" t="str">
        <x:v>session://financial_qa_33499cfa81de4d06_2785_ac7fbc2963c8/vars/v2</x:v>
      </x:c>
      <x:c r="Q327" s="17" t="str"/>
      <x:c r="R327" s="17" t="str">
        <x:v>index.pricevalue</x:v>
      </x:c>
      <x:c r="S327" s="17" t="str"/>
      <x:c r="T327" s="17" t="str"/>
      <x:c r="U327" s="17" t="str">
        <x:v>r2</x:v>
      </x:c>
      <x:c r="V327" s="30" t="n">
        <x:v>0</x:v>
      </x:c>
      <x:c r="W327" s="17" t="str">
        <x:v>high</x:v>
      </x:c>
    </x:row>
    <x:row r="328" ht="54" customHeight="1">
      <x:c r="A328" s="17" t="str">
        <x:v>BUS090</x:v>
      </x:c>
      <x:c r="B328" s="17" t="str">
        <x:v>查询中证500最近估值PE和PB。</x:v>
      </x:c>
      <x:c r="C328" s="17" t="n">
        <x:v>4</x:v>
      </x:c>
      <x:c r="D328" s="17" t="str"/>
      <x:c r="E328" s="17" t="str">
        <x:v>工具调用</x:v>
      </x:c>
      <x:c r="F328" s="17" t="str">
        <x:v>finance_query</x:v>
      </x:c>
      <x:c r="G328" s="17" t="str">
        <x:v>r3 = index.pricevalue(filter = "code = 000905.SH", order = "tradedate desc", limit = 5, realtime = 0) -&gt; code, name, tradedate, pe, pe_ttm, pb, pb_mrq</x:v>
      </x:c>
      <x:c r="H328" s="17" t="str"/>
      <x:c r="I328" s="17" t="str">
        <x:v>设计浪费</x:v>
      </x:c>
      <x:c r="J328" s="17" t="str">
        <x:v>否</x:v>
      </x:c>
      <x:c r="K328" s="18"/>
      <x:c r="L328" s="17" t="str">
        <x:v>否</x:v>
      </x:c>
      <x:c r="M328" s="17" t="str">
        <x:v>否</x:v>
      </x:c>
      <x:c r="N328" s="17" t="str">
        <x:v>requery_after_terminal_zero</x:v>
      </x:c>
      <x:c r="O328" s="17" t="str">
        <x:v>terminal_zero_requery</x:v>
      </x:c>
      <x:c r="P328" s="17" t="str">
        <x:v>session://financial_qa_33499cfa81de4d06_2785_ac7fbc2963c8/vars/v3</x:v>
      </x:c>
      <x:c r="Q328" s="17" t="str"/>
      <x:c r="R328" s="17" t="str">
        <x:v>index.pricevalue</x:v>
      </x:c>
      <x:c r="S328" s="17" t="str"/>
      <x:c r="T328" s="17" t="str"/>
      <x:c r="U328" s="17" t="str">
        <x:v>r3</x:v>
      </x:c>
      <x:c r="V328" s="30" t="n">
        <x:v>1</x:v>
      </x:c>
      <x:c r="W328" s="17" t="str">
        <x:v>high</x:v>
      </x:c>
    </x:row>
    <x:row r="329" ht="54" customHeight="1">
      <x:c r="A329" s="17" t="str">
        <x:v>BUS091</x:v>
      </x:c>
      <x:c r="B329" s="17" t="str">
        <x:v>当前市场规模最大的指数前20名。</x:v>
      </x:c>
      <x:c r="C329" s="17" t="n">
        <x:v>1</x:v>
      </x:c>
      <x:c r="D329" s="17" t="str"/>
      <x:c r="E329" s="17" t="str">
        <x:v>工具调用</x:v>
      </x:c>
      <x:c r="F329" s="17" t="str">
        <x:v>read_finance_catalog</x:v>
      </x:c>
      <x:c r="G329" s="17" t="str"/>
      <x:c r="H329" s="17" t="str"/>
      <x:c r="I329" s="17" t="str">
        <x:v>合理操作</x:v>
      </x:c>
      <x:c r="J329" s="17" t="str">
        <x:v>是</x:v>
      </x:c>
      <x:c r="K329" s="18"/>
      <x:c r="L329" s="17" t="str">
        <x:v>否</x:v>
      </x:c>
      <x:c r="M329" s="17" t="str">
        <x:v>否</x:v>
      </x:c>
      <x:c r="N329" s="17" t="str">
        <x:v>subject_catalog_discovery</x:v>
      </x:c>
      <x:c r="O329" s="17" t="str">
        <x:v>expected_subject_catalog</x:v>
      </x:c>
      <x:c r="P329" s="17" t="str"/>
      <x:c r="Q329" s="17" t="str"/>
      <x:c r="R329" s="17" t="str"/>
      <x:c r="S329" s="17" t="str">
        <x:v>index</x:v>
      </x:c>
      <x:c r="T329" s="17" t="str">
        <x:v>basic_info</x:v>
      </x:c>
      <x:c r="U329" s="17" t="str"/>
      <x:c r="V329" s="30"/>
      <x:c r="W329" s="17" t="str">
        <x:v>medium</x:v>
      </x:c>
    </x:row>
    <x:row r="330" ht="54" customHeight="1">
      <x:c r="A330" s="17" t="str">
        <x:v>BUS091</x:v>
      </x:c>
      <x:c r="B330" s="17" t="str">
        <x:v>当前市场规模最大的指数前20名。</x:v>
      </x:c>
      <x:c r="C330" s="17" t="n">
        <x:v>2</x:v>
      </x:c>
      <x:c r="D330" s="17" t="str"/>
      <x:c r="E330" s="17" t="str">
        <x:v>工具调用</x:v>
      </x:c>
      <x:c r="F330" s="17" t="str">
        <x:v>read_finance_catalog</x:v>
      </x:c>
      <x:c r="G330" s="17" t="str"/>
      <x:c r="H330" s="17" t="str"/>
      <x:c r="I330" s="17" t="str">
        <x:v>合理操作</x:v>
      </x:c>
      <x:c r="J330" s="17" t="str">
        <x:v>是</x:v>
      </x:c>
      <x:c r="K330" s="18"/>
      <x:c r="L330" s="17" t="str">
        <x:v>否</x:v>
      </x:c>
      <x:c r="M330" s="17" t="str">
        <x:v>否</x:v>
      </x:c>
      <x:c r="N330" s="17" t="str">
        <x:v>subject_catalog_discovery</x:v>
      </x:c>
      <x:c r="O330" s="17" t="str">
        <x:v>expected_subject_catalog</x:v>
      </x:c>
      <x:c r="P330" s="17" t="str"/>
      <x:c r="Q330" s="17" t="str"/>
      <x:c r="R330" s="17" t="str"/>
      <x:c r="S330" s="17" t="str">
        <x:v>index</x:v>
      </x:c>
      <x:c r="T330" s="17" t="str">
        <x:v>quote</x:v>
      </x:c>
      <x:c r="U330" s="17" t="str"/>
      <x:c r="V330" s="30"/>
      <x:c r="W330" s="17" t="str">
        <x:v>medium</x:v>
      </x:c>
    </x:row>
    <x:row r="331" ht="54" customHeight="1">
      <x:c r="A331" s="17" t="str">
        <x:v>BUS091</x:v>
      </x:c>
      <x:c r="B331" s="17" t="str">
        <x:v>当前市场规模最大的指数前20名。</x:v>
      </x:c>
      <x:c r="C331" s="17" t="n">
        <x:v>3</x:v>
      </x:c>
      <x:c r="D331" s="17" t="str"/>
      <x:c r="E331" s="17" t="str">
        <x:v>工具调用</x:v>
      </x:c>
      <x:c r="F331" s="17" t="str">
        <x:v>read_finance_catalog</x:v>
      </x:c>
      <x:c r="G331" s="17" t="str"/>
      <x:c r="H331" s="17" t="str"/>
      <x:c r="I331" s="17" t="str">
        <x:v>合理操作</x:v>
      </x:c>
      <x:c r="J331" s="17" t="str">
        <x:v>是</x:v>
      </x:c>
      <x:c r="K331" s="18"/>
      <x:c r="L331" s="17" t="str">
        <x:v>否</x:v>
      </x:c>
      <x:c r="M331" s="17" t="str">
        <x:v>否</x:v>
      </x:c>
      <x:c r="N331" s="17" t="str">
        <x:v>subject_catalog_discovery</x:v>
      </x:c>
      <x:c r="O331" s="17" t="str">
        <x:v>expected_subject_catalog</x:v>
      </x:c>
      <x:c r="P331" s="17" t="str"/>
      <x:c r="Q331" s="17" t="str"/>
      <x:c r="R331" s="17" t="str"/>
      <x:c r="S331" s="17" t="str">
        <x:v>index</x:v>
      </x:c>
      <x:c r="T331" s="17" t="str">
        <x:v>constitution</x:v>
      </x:c>
      <x:c r="U331" s="17" t="str"/>
      <x:c r="V331" s="30"/>
      <x:c r="W331" s="17" t="str">
        <x:v>medium</x:v>
      </x:c>
    </x:row>
    <x:row r="332" ht="54" customHeight="1">
      <x:c r="A332" s="17" t="str">
        <x:v>BUS091</x:v>
      </x:c>
      <x:c r="B332" s="17" t="str">
        <x:v>当前市场规模最大的指数前20名。</x:v>
      </x:c>
      <x:c r="C332" s="17" t="n">
        <x:v>4</x:v>
      </x:c>
      <x:c r="D332" s="17" t="str"/>
      <x:c r="E332" s="17" t="str">
        <x:v>工具调用</x:v>
      </x:c>
      <x:c r="F332" s="17" t="str">
        <x:v>read_finance_catalog</x:v>
      </x:c>
      <x:c r="G332" s="17" t="str"/>
      <x:c r="H332" s="17" t="str"/>
      <x:c r="I332" s="17" t="str">
        <x:v>合理操作</x:v>
      </x:c>
      <x:c r="J332" s="17" t="str">
        <x:v>是</x:v>
      </x:c>
      <x:c r="K332" s="18"/>
      <x:c r="L332" s="17" t="str">
        <x:v>否</x:v>
      </x:c>
      <x:c r="M332" s="17" t="str">
        <x:v>否</x:v>
      </x:c>
      <x:c r="N332" s="17" t="str">
        <x:v>target_catalog_located</x:v>
      </x:c>
      <x:c r="O332" s="17" t="str">
        <x:v>expected_dataview_catalog</x:v>
      </x:c>
      <x:c r="P332" s="17" t="str"/>
      <x:c r="Q332" s="17" t="str"/>
      <x:c r="R332" s="17" t="str"/>
      <x:c r="S332" s="17" t="str">
        <x:v>index</x:v>
      </x:c>
      <x:c r="T332" s="17" t="str">
        <x:v>pricevalue</x:v>
      </x:c>
      <x:c r="U332" s="17" t="str"/>
      <x:c r="V332" s="30"/>
      <x:c r="W332" s="17" t="str">
        <x:v>high</x:v>
      </x:c>
    </x:row>
    <x:row r="333" ht="54" customHeight="1">
      <x:c r="A333" s="17" t="str">
        <x:v>BUS091</x:v>
      </x:c>
      <x:c r="B333" s="17" t="str">
        <x:v>当前市场规模最大的指数前20名。</x:v>
      </x:c>
      <x:c r="C333" s="17" t="n">
        <x:v>5</x:v>
      </x:c>
      <x:c r="D333" s="17" t="str"/>
      <x:c r="E333" s="17" t="str">
        <x:v>工具调用</x:v>
      </x:c>
      <x:c r="F333" s="17" t="str">
        <x:v>read_finance_catalog</x:v>
      </x:c>
      <x:c r="G333" s="17" t="str"/>
      <x:c r="H333" s="17" t="str"/>
      <x:c r="I333" s="17" t="str">
        <x:v>未判定</x:v>
      </x:c>
      <x:c r="J333" s="17" t="str">
        <x:v>未判定</x:v>
      </x:c>
      <x:c r="K333" s="18"/>
      <x:c r="L333" s="17" t="str">
        <x:v>否</x:v>
      </x:c>
      <x:c r="M333" s="17" t="str">
        <x:v>否</x:v>
      </x:c>
      <x:c r="N333" s="17" t="str">
        <x:v>catalog_relevance_not_provable</x:v>
      </x:c>
      <x:c r="O333" s="17" t="str">
        <x:v>catalog_outside_expected_dataview</x:v>
      </x:c>
      <x:c r="P333" s="17" t="str"/>
      <x:c r="Q333" s="17" t="str"/>
      <x:c r="R333" s="17" t="str"/>
      <x:c r="S333" s="17" t="str">
        <x:v>stock</x:v>
      </x:c>
      <x:c r="T333" s="17" t="str">
        <x:v>pricevalue</x:v>
      </x:c>
      <x:c r="U333" s="17" t="str"/>
      <x:c r="V333" s="30"/>
      <x:c r="W333" s="17" t="str">
        <x:v>low</x:v>
      </x:c>
    </x:row>
    <x:row r="334" ht="54" customHeight="1">
      <x:c r="A334" s="17" t="str">
        <x:v>BUS091</x:v>
      </x:c>
      <x:c r="B334" s="17" t="str">
        <x:v>当前市场规模最大的指数前20名。</x:v>
      </x:c>
      <x:c r="C334" s="17" t="n">
        <x:v>6</x:v>
      </x:c>
      <x:c r="D334" s="17" t="str"/>
      <x:c r="E334" s="17" t="str">
        <x:v>工具调用</x:v>
      </x:c>
      <x:c r="F334" s="17" t="str">
        <x:v>finance_query</x:v>
      </x:c>
      <x:c r="G334" s="17" t="str">
        <x:v>r1 = index.pricevalue(filter = "market_value &gt; 0", order = "market_value desc", limit = 20, realtime = 0) -&gt; code, name, tradedate, market_value, pe, pb</x:v>
      </x:c>
      <x:c r="H334" s="17" t="str"/>
      <x:c r="I334" s="17" t="str">
        <x:v>合理操作</x:v>
      </x:c>
      <x:c r="J334" s="17" t="str">
        <x:v>是</x:v>
      </x:c>
      <x:c r="K334" s="18"/>
      <x:c r="L334" s="17" t="str">
        <x:v>否</x:v>
      </x:c>
      <x:c r="M334" s="17" t="str">
        <x:v>否</x:v>
      </x:c>
      <x:c r="N334" s="17" t="str">
        <x:v>target_api_executed</x:v>
      </x:c>
      <x:c r="O334" s="17" t="str">
        <x:v>expected_dataview_coverage</x:v>
      </x:c>
      <x:c r="P334" s="17" t="str">
        <x:v>session://financial_qa_33499cfa81de4d06_2786_8f1d3d2a3824/vars/v1</x:v>
      </x:c>
      <x:c r="Q334" s="17" t="str"/>
      <x:c r="R334" s="17" t="str">
        <x:v>index.pricevalue</x:v>
      </x:c>
      <x:c r="S334" s="17" t="str"/>
      <x:c r="T334" s="17" t="str"/>
      <x:c r="U334" s="17" t="str">
        <x:v>r1</x:v>
      </x:c>
      <x:c r="V334" s="30" t="n">
        <x:v>0</x:v>
      </x:c>
      <x:c r="W334" s="17" t="str">
        <x:v>high</x:v>
      </x:c>
    </x:row>
    <x:row r="335" ht="54" customHeight="1">
      <x:c r="A335" s="17" t="str">
        <x:v>BUS091</x:v>
      </x:c>
      <x:c r="B335" s="17" t="str">
        <x:v>当前市场规模最大的指数前20名。</x:v>
      </x:c>
      <x:c r="C335" s="17" t="n">
        <x:v>7</x:v>
      </x:c>
      <x:c r="D335" s="17" t="str"/>
      <x:c r="E335" s="17" t="str">
        <x:v>工具调用</x:v>
      </x:c>
      <x:c r="F335" s="17" t="str">
        <x:v>finance_query</x:v>
      </x:c>
      <x:c r="G335" s="17" t="str">
        <x:v>r2 = index.pricevalue(limit = 5, realtime = 0) -&gt; code, name, tradedate, market_value, pe, pb</x:v>
      </x:c>
      <x:c r="H335" s="17" t="str"/>
      <x:c r="I335" s="17" t="str">
        <x:v>设计浪费</x:v>
      </x:c>
      <x:c r="J335" s="17" t="str">
        <x:v>否</x:v>
      </x:c>
      <x:c r="K335" s="18"/>
      <x:c r="L335" s="17" t="str">
        <x:v>否</x:v>
      </x:c>
      <x:c r="M335" s="17" t="str">
        <x:v>否</x:v>
      </x:c>
      <x:c r="N335" s="17" t="str">
        <x:v>requery_after_terminal_zero</x:v>
      </x:c>
      <x:c r="O335" s="17" t="str">
        <x:v>terminal_zero_requery</x:v>
      </x:c>
      <x:c r="P335" s="17" t="str">
        <x:v>session://financial_qa_33499cfa81de4d06_2786_8f1d3d2a3824/vars/v2</x:v>
      </x:c>
      <x:c r="Q335" s="17" t="str"/>
      <x:c r="R335" s="17" t="str">
        <x:v>index.pricevalue</x:v>
      </x:c>
      <x:c r="S335" s="17" t="str"/>
      <x:c r="T335" s="17" t="str"/>
      <x:c r="U335" s="17" t="str">
        <x:v>r2</x:v>
      </x:c>
      <x:c r="V335" s="30" t="n">
        <x:v>5</x:v>
      </x:c>
      <x:c r="W335" s="17" t="str">
        <x:v>high</x:v>
      </x:c>
    </x:row>
    <x:row r="336" ht="54" customHeight="1">
      <x:c r="A336" s="17" t="str">
        <x:v>BUS091</x:v>
      </x:c>
      <x:c r="B336" s="17" t="str">
        <x:v>当前市场规模最大的指数前20名。</x:v>
      </x:c>
      <x:c r="C336" s="17" t="n">
        <x:v>8</x:v>
      </x:c>
      <x:c r="D336" s="17" t="str"/>
      <x:c r="E336" s="17" t="str">
        <x:v>工具调用</x:v>
      </x:c>
      <x:c r="F336" s="17" t="str">
        <x:v>finance_query</x:v>
      </x:c>
      <x:c r="G336" s="17" t="str">
        <x:v>r3 = index.quote(filter = "tradedate = -1", order = "amount desc", limit = 20, realtime = 0) -&gt; code, name, tradedate, close, pct, amount</x:v>
      </x:c>
      <x:c r="H336" s="17" t="str"/>
      <x:c r="I336" s="17" t="str">
        <x:v>合理操作</x:v>
      </x:c>
      <x:c r="J336" s="17" t="str">
        <x:v>是</x:v>
      </x:c>
      <x:c r="K336" s="18"/>
      <x:c r="L336" s="17" t="str">
        <x:v>否</x:v>
      </x:c>
      <x:c r="M336" s="17" t="str">
        <x:v>否</x:v>
      </x:c>
      <x:c r="N336" s="17" t="str">
        <x:v>same_subject_dependency</x:v>
      </x:c>
      <x:c r="O336" s="17" t="str">
        <x:v>supporting_api_for_expected_subject</x:v>
      </x:c>
      <x:c r="P336" s="17" t="str">
        <x:v>session://financial_qa_33499cfa81de4d06_2786_8f1d3d2a3824/vars/v3</x:v>
      </x:c>
      <x:c r="Q336" s="17" t="str"/>
      <x:c r="R336" s="17" t="str">
        <x:v>index.quote</x:v>
      </x:c>
      <x:c r="S336" s="17" t="str"/>
      <x:c r="T336" s="17" t="str"/>
      <x:c r="U336" s="17" t="str">
        <x:v>r3</x:v>
      </x:c>
      <x:c r="V336" s="30" t="n">
        <x:v>20</x:v>
      </x:c>
      <x:c r="W336" s="17" t="str">
        <x:v>medium</x:v>
      </x:c>
    </x:row>
    <x:row r="337" ht="54" customHeight="1">
      <x:c r="A337" s="17" t="str">
        <x:v>BUS091</x:v>
      </x:c>
      <x:c r="B337" s="17" t="str">
        <x:v>当前市场规模最大的指数前20名。</x:v>
      </x:c>
      <x:c r="C337" s="17" t="n">
        <x:v>9</x:v>
      </x:c>
      <x:c r="D337" s="17" t="str"/>
      <x:c r="E337" s="17" t="str">
        <x:v>工具调用</x:v>
      </x:c>
      <x:c r="F337" s="17" t="str">
        <x:v>finance_query</x:v>
      </x:c>
      <x:c r="G337" s="17" t="str">
        <x:v>r4 = index.basic_info(limit = 100) -&gt; code, name</x:v>
      </x:c>
      <x:c r="H337" s="17" t="str"/>
      <x:c r="I337" s="17" t="str">
        <x:v>合理操作</x:v>
      </x:c>
      <x:c r="J337" s="17" t="str">
        <x:v>是</x:v>
      </x:c>
      <x:c r="K337" s="18"/>
      <x:c r="L337" s="17" t="str">
        <x:v>否</x:v>
      </x:c>
      <x:c r="M337" s="17" t="str">
        <x:v>否</x:v>
      </x:c>
      <x:c r="N337" s="17" t="str">
        <x:v>same_subject_dependency</x:v>
      </x:c>
      <x:c r="O337" s="17" t="str">
        <x:v>supporting_api_for_expected_subject</x:v>
      </x:c>
      <x:c r="P337" s="17" t="str">
        <x:v>session://financial_qa_33499cfa81de4d06_2786_8f1d3d2a3824/vars/v4</x:v>
      </x:c>
      <x:c r="Q337" s="17" t="str"/>
      <x:c r="R337" s="17" t="str">
        <x:v>index.basic_info</x:v>
      </x:c>
      <x:c r="S337" s="17" t="str"/>
      <x:c r="T337" s="17" t="str"/>
      <x:c r="U337" s="17" t="str">
        <x:v>r4</x:v>
      </x:c>
      <x:c r="V337" s="30" t="n">
        <x:v>100</x:v>
      </x:c>
      <x:c r="W337" s="17" t="str">
        <x:v>medium</x:v>
      </x:c>
    </x:row>
    <x:row r="338" ht="54" customHeight="1">
      <x:c r="A338" s="17" t="str">
        <x:v>BUS091</x:v>
      </x:c>
      <x:c r="B338" s="17" t="str">
        <x:v>当前市场规模最大的指数前20名。</x:v>
      </x:c>
      <x:c r="C338" s="17" t="n">
        <x:v>10</x:v>
      </x:c>
      <x:c r="D338" s="17" t="str"/>
      <x:c r="E338" s="17" t="str">
        <x:v>工具调用</x:v>
      </x:c>
      <x:c r="F338" s="17" t="str">
        <x:v>load_finance_result</x:v>
      </x:c>
      <x:c r="G338" s="17" t="str"/>
      <x:c r="H338" s="17" t="str"/>
      <x:c r="I338" s="17" t="str">
        <x:v>合理操作</x:v>
      </x:c>
      <x:c r="J338" s="17" t="str">
        <x:v>是</x:v>
      </x:c>
      <x:c r="K338" s="18"/>
      <x:c r="L338" s="17" t="str">
        <x:v>否</x:v>
      </x:c>
      <x:c r="M338" s="17" t="str">
        <x:v>否</x:v>
      </x:c>
      <x:c r="N338" s="17" t="str">
        <x:v>load_truncated_result</x:v>
      </x:c>
      <x:c r="O338" s="17" t="str">
        <x:v>sample_incomplete_requires_full_result</x:v>
      </x:c>
      <x:c r="P338" s="17" t="str">
        <x:v>session://financial_qa_33499cfa81de4d06_2786_8f1d3d2a3824/vars/v4</x:v>
      </x:c>
      <x:c r="Q338" s="17" t="str"/>
      <x:c r="R338" s="17" t="str"/>
      <x:c r="S338" s="17" t="str"/>
      <x:c r="T338" s="17" t="str"/>
      <x:c r="U338" s="17" t="str"/>
      <x:c r="V338" s="30"/>
      <x:c r="W338" s="17" t="str">
        <x:v>high</x:v>
      </x:c>
    </x:row>
    <x:row r="339" ht="54" customHeight="1">
      <x:c r="A339" s="17" t="str">
        <x:v>BUS091</x:v>
      </x:c>
      <x:c r="B339" s="17" t="str">
        <x:v>当前市场规模最大的指数前20名。</x:v>
      </x:c>
      <x:c r="C339" s="17" t="n">
        <x:v>11</x:v>
      </x:c>
      <x:c r="D339" s="17" t="str"/>
      <x:c r="E339" s="17" t="str">
        <x:v>工具调用</x:v>
      </x:c>
      <x:c r="F339" s="17" t="str">
        <x:v>finance_query</x:v>
      </x:c>
      <x:c r="G339" s="17" t="str">
        <x:v>r5 = index.basic_info(limit = 200, order = "code asc") -&gt; code, name</x:v>
      </x:c>
      <x:c r="H339" s="17" t="str"/>
      <x:c r="I339" s="17" t="str">
        <x:v>合理操作</x:v>
      </x:c>
      <x:c r="J339" s="17" t="str">
        <x:v>是</x:v>
      </x:c>
      <x:c r="K339" s="18"/>
      <x:c r="L339" s="17" t="str">
        <x:v>否</x:v>
      </x:c>
      <x:c r="M339" s="17" t="str">
        <x:v>否</x:v>
      </x:c>
      <x:c r="N339" s="17" t="str">
        <x:v>same_subject_dependency</x:v>
      </x:c>
      <x:c r="O339" s="17" t="str">
        <x:v>supporting_api_for_expected_subject</x:v>
      </x:c>
      <x:c r="P339" s="17" t="str">
        <x:v>session://financial_qa_33499cfa81de4d06_2786_8f1d3d2a3824/vars/v5</x:v>
      </x:c>
      <x:c r="Q339" s="17" t="str"/>
      <x:c r="R339" s="17" t="str">
        <x:v>index.basic_info</x:v>
      </x:c>
      <x:c r="S339" s="17" t="str"/>
      <x:c r="T339" s="17" t="str"/>
      <x:c r="U339" s="17" t="str">
        <x:v>r5</x:v>
      </x:c>
      <x:c r="V339" s="30" t="n">
        <x:v>200</x:v>
      </x:c>
      <x:c r="W339" s="17" t="str">
        <x:v>medium</x:v>
      </x:c>
    </x:row>
    <x:row r="340" ht="54" customHeight="1">
      <x:c r="A340" s="17" t="str">
        <x:v>BUS091</x:v>
      </x:c>
      <x:c r="B340" s="17" t="str">
        <x:v>当前市场规模最大的指数前20名。</x:v>
      </x:c>
      <x:c r="C340" s="17" t="n">
        <x:v>12</x:v>
      </x:c>
      <x:c r="D340" s="17" t="str"/>
      <x:c r="E340" s="17" t="str">
        <x:v>工具调用</x:v>
      </x:c>
      <x:c r="F340" s="17" t="str">
        <x:v>load_finance_result</x:v>
      </x:c>
      <x:c r="G340" s="17" t="str"/>
      <x:c r="H340" s="17" t="str"/>
      <x:c r="I340" s="17" t="str">
        <x:v>合理操作</x:v>
      </x:c>
      <x:c r="J340" s="17" t="str">
        <x:v>是</x:v>
      </x:c>
      <x:c r="K340" s="18"/>
      <x:c r="L340" s="17" t="str">
        <x:v>否</x:v>
      </x:c>
      <x:c r="M340" s="17" t="str">
        <x:v>否</x:v>
      </x:c>
      <x:c r="N340" s="17" t="str">
        <x:v>load_truncated_result</x:v>
      </x:c>
      <x:c r="O340" s="17" t="str">
        <x:v>sample_incomplete_requires_full_result</x:v>
      </x:c>
      <x:c r="P340" s="17" t="str">
        <x:v>session://financial_qa_33499cfa81de4d06_2786_8f1d3d2a3824/vars/v5</x:v>
      </x:c>
      <x:c r="Q340" s="17" t="str"/>
      <x:c r="R340" s="17" t="str"/>
      <x:c r="S340" s="17" t="str"/>
      <x:c r="T340" s="17" t="str"/>
      <x:c r="U340" s="17" t="str"/>
      <x:c r="V340" s="30"/>
      <x:c r="W340" s="17" t="str">
        <x:v>high</x:v>
      </x:c>
    </x:row>
    <x:row r="341" ht="54" customHeight="1">
      <x:c r="A341" s="17" t="str">
        <x:v>BUS091</x:v>
      </x:c>
      <x:c r="B341" s="17" t="str">
        <x:v>当前市场规模最大的指数前20名。</x:v>
      </x:c>
      <x:c r="C341" s="17" t="n">
        <x:v>13</x:v>
      </x:c>
      <x:c r="D341" s="17" t="str"/>
      <x:c r="E341" s="17" t="str">
        <x:v>工具调用</x:v>
      </x:c>
      <x:c r="F341" s="17" t="str">
        <x:v>finance_query</x:v>
      </x:c>
      <x:c r="G341" s="17" t="str">
        <x:v>r6 = index.constitution.agg(filter = "index_code = 000300.SH", agg = sum(stock.pricevalue.market_value), group_by = "index_code, index_name", realtime = 0) -&gt; index_code, index_name, total_market_value</x:v>
      </x:c>
      <x:c r="H341" s="17" t="str"/>
      <x:c r="I341" s="17" t="str">
        <x:v>设计浪费</x:v>
      </x:c>
      <x:c r="J341" s="17" t="str">
        <x:v>否</x:v>
      </x:c>
      <x:c r="K341" s="18"/>
      <x:c r="L341" s="17" t="str">
        <x:v>否</x:v>
      </x:c>
      <x:c r="M341" s="17" t="str">
        <x:v>否</x:v>
      </x:c>
      <x:c r="N341" s="17" t="str">
        <x:v>execution_error</x:v>
      </x:c>
      <x:c r="O341" s="17" t="str">
        <x:v>query_execution_error</x:v>
      </x:c>
      <x:c r="P341" s="17" t="str"/>
      <x:c r="Q341" s="17" t="str"/>
      <x:c r="R341" s="17" t="str">
        <x:v>index.constitution.agg</x:v>
      </x:c>
      <x:c r="S341" s="17" t="str"/>
      <x:c r="T341" s="17" t="str"/>
      <x:c r="U341" s="17" t="str">
        <x:v>r6</x:v>
      </x:c>
      <x:c r="V341" s="30"/>
      <x:c r="W341" s="17" t="str">
        <x:v>high</x:v>
      </x:c>
    </x:row>
    <x:row r="342" ht="54" customHeight="1">
      <x:c r="A342" s="17" t="str">
        <x:v>BUS091</x:v>
      </x:c>
      <x:c r="B342" s="17" t="str">
        <x:v>当前市场规模最大的指数前20名。</x:v>
      </x:c>
      <x:c r="C342" s="17" t="n">
        <x:v>14</x:v>
      </x:c>
      <x:c r="D342" s="17" t="str"/>
      <x:c r="E342" s="17" t="str">
        <x:v>工具调用</x:v>
      </x:c>
      <x:c r="F342" s="17" t="str">
        <x:v>load_finance_result</x:v>
      </x:c>
      <x:c r="G342" s="17" t="str"/>
      <x:c r="H342" s="17" t="str"/>
      <x:c r="I342" s="17" t="str">
        <x:v>合理操作</x:v>
      </x:c>
      <x:c r="J342" s="17" t="str">
        <x:v>是</x:v>
      </x:c>
      <x:c r="K342" s="18"/>
      <x:c r="L342" s="17" t="str">
        <x:v>否</x:v>
      </x:c>
      <x:c r="M342" s="17" t="str">
        <x:v>否</x:v>
      </x:c>
      <x:c r="N342" s="17" t="str">
        <x:v>load_truncated_result</x:v>
      </x:c>
      <x:c r="O342" s="17" t="str">
        <x:v>sample_incomplete_requires_full_result</x:v>
      </x:c>
      <x:c r="P342" s="17" t="str">
        <x:v>session://financial_qa_33499cfa81de4d06_2786_8f1d3d2a3824/vars/v3</x:v>
      </x:c>
      <x:c r="Q342" s="17" t="str"/>
      <x:c r="R342" s="17" t="str"/>
      <x:c r="S342" s="17" t="str"/>
      <x:c r="T342" s="17" t="str"/>
      <x:c r="U342" s="17" t="str"/>
      <x:c r="V342" s="30"/>
      <x:c r="W342" s="17" t="str">
        <x:v>high</x:v>
      </x:c>
    </x:row>
    <x:row r="343" ht="54" customHeight="1">
      <x:c r="A343" s="17" t="str">
        <x:v>BUS091</x:v>
      </x:c>
      <x:c r="B343" s="17" t="str">
        <x:v>当前市场规模最大的指数前20名。</x:v>
      </x:c>
      <x:c r="C343" s="17" t="n">
        <x:v>15</x:v>
      </x:c>
      <x:c r="D343" s="17" t="str"/>
      <x:c r="E343" s="17" t="str">
        <x:v>工具调用</x:v>
      </x:c>
      <x:c r="F343" s="17" t="str">
        <x:v>finance_query</x:v>
      </x:c>
      <x:c r="G343" s="17" t="str">
        <x:v>r6 = index.constitution.agg(filter = "index_code in ('000016.SH', '000300.SH', '000905.CSI', '000906.CSI', '000688.SH', '399006.SZ', '000510.CSI', '000001.SH', '000985.CSI', '000902.CSI')", agg = count(stock.quote.code), group_by = "index_code, index_name", order = "count desc", limit = 20) -&gt; index_code, index_name, stock_count</x:v>
      </x:c>
      <x:c r="H343" s="17" t="str"/>
      <x:c r="I343" s="17" t="str">
        <x:v>可解释探索</x:v>
      </x:c>
      <x:c r="J343" s="17" t="str">
        <x:v>是</x:v>
      </x:c>
      <x:c r="K343" s="18"/>
      <x:c r="L343" s="17" t="str">
        <x:v>否</x:v>
      </x:c>
      <x:c r="M343" s="17" t="str">
        <x:v>否</x:v>
      </x:c>
      <x:c r="N343" s="17" t="str">
        <x:v>changed_query_after_failure</x:v>
      </x:c>
      <x:c r="O343" s="17" t="str">
        <x:v>successful_same_api_recovery</x:v>
      </x:c>
      <x:c r="P343" s="17" t="str">
        <x:v>session://financial_qa_33499cfa81de4d06_2786_8f1d3d2a3824/vars/v6</x:v>
      </x:c>
      <x:c r="Q343" s="17" t="str"/>
      <x:c r="R343" s="17" t="str">
        <x:v>index.constitution.agg</x:v>
      </x:c>
      <x:c r="S343" s="17" t="str"/>
      <x:c r="T343" s="17" t="str"/>
      <x:c r="U343" s="17" t="str">
        <x:v>r6</x:v>
      </x:c>
      <x:c r="V343" s="30" t="n">
        <x:v>5</x:v>
      </x:c>
      <x:c r="W343" s="17" t="str">
        <x:v>medium</x:v>
      </x:c>
    </x:row>
    <x:row r="344" ht="54" customHeight="1">
      <x:c r="A344" s="17" t="str">
        <x:v>BUS091</x:v>
      </x:c>
      <x:c r="B344" s="17" t="str">
        <x:v>当前市场规模最大的指数前20名。</x:v>
      </x:c>
      <x:c r="C344" s="17" t="n">
        <x:v>16</x:v>
      </x:c>
      <x:c r="D344" s="17" t="str"/>
      <x:c r="E344" s="17" t="str">
        <x:v>工具调用</x:v>
      </x:c>
      <x:c r="F344" s="17" t="str">
        <x:v>load_finance_result</x:v>
      </x:c>
      <x:c r="G344" s="17" t="str"/>
      <x:c r="H344" s="17" t="str"/>
      <x:c r="I344" s="17" t="str">
        <x:v>合理操作</x:v>
      </x:c>
      <x:c r="J344" s="17" t="str">
        <x:v>是</x:v>
      </x:c>
      <x:c r="K344" s="18"/>
      <x:c r="L344" s="17" t="str">
        <x:v>否</x:v>
      </x:c>
      <x:c r="M344" s="17" t="str">
        <x:v>否</x:v>
      </x:c>
      <x:c r="N344" s="17" t="str">
        <x:v>load_truncated_result</x:v>
      </x:c>
      <x:c r="O344" s="17" t="str">
        <x:v>sample_incomplete_requires_full_result</x:v>
      </x:c>
      <x:c r="P344" s="17" t="str">
        <x:v>session://financial_qa_33499cfa81de4d06_2786_8f1d3d2a3824/vars/v6</x:v>
      </x:c>
      <x:c r="Q344" s="17" t="str"/>
      <x:c r="R344" s="17" t="str"/>
      <x:c r="S344" s="17" t="str"/>
      <x:c r="T344" s="17" t="str"/>
      <x:c r="U344" s="17" t="str"/>
      <x:c r="V344" s="30"/>
      <x:c r="W344" s="17" t="str">
        <x:v>high</x:v>
      </x:c>
    </x:row>
    <x:row r="345" ht="54" customHeight="1">
      <x:c r="A345" s="17" t="str">
        <x:v>BUS092</x:v>
      </x:c>
      <x:c r="B345" s="17" t="str">
        <x:v>筛选PS_TTM低于2的指数。</x:v>
      </x:c>
      <x:c r="C345" s="17" t="n">
        <x:v>1</x:v>
      </x:c>
      <x:c r="D345" s="17" t="str"/>
      <x:c r="E345" s="17" t="str">
        <x:v>工具调用</x:v>
      </x:c>
      <x:c r="F345" s="17" t="str">
        <x:v>read_finance_catalog</x:v>
      </x:c>
      <x:c r="G345" s="17" t="str"/>
      <x:c r="H345" s="17" t="str"/>
      <x:c r="I345" s="17" t="str">
        <x:v>合理操作</x:v>
      </x:c>
      <x:c r="J345" s="17" t="str">
        <x:v>是</x:v>
      </x:c>
      <x:c r="K345" s="18"/>
      <x:c r="L345" s="17" t="str">
        <x:v>否</x:v>
      </x:c>
      <x:c r="M345" s="17" t="str">
        <x:v>否</x:v>
      </x:c>
      <x:c r="N345" s="17" t="str">
        <x:v>target_catalog_located</x:v>
      </x:c>
      <x:c r="O345" s="17" t="str">
        <x:v>expected_dataview_catalog</x:v>
      </x:c>
      <x:c r="P345" s="17" t="str"/>
      <x:c r="Q345" s="17" t="str"/>
      <x:c r="R345" s="17" t="str"/>
      <x:c r="S345" s="17" t="str">
        <x:v>index</x:v>
      </x:c>
      <x:c r="T345" s="17" t="str">
        <x:v>pricevalue</x:v>
      </x:c>
      <x:c r="U345" s="17" t="str"/>
      <x:c r="V345" s="30"/>
      <x:c r="W345" s="17" t="str">
        <x:v>high</x:v>
      </x:c>
    </x:row>
    <x:row r="346" ht="54" customHeight="1">
      <x:c r="A346" s="17" t="str">
        <x:v>BUS092</x:v>
      </x:c>
      <x:c r="B346" s="17" t="str">
        <x:v>筛选PS_TTM低于2的指数。</x:v>
      </x:c>
      <x:c r="C346" s="17" t="n">
        <x:v>2</x:v>
      </x:c>
      <x:c r="D346" s="17" t="str"/>
      <x:c r="E346" s="17" t="str">
        <x:v>工具调用</x:v>
      </x:c>
      <x:c r="F346" s="17" t="str">
        <x:v>finance_query</x:v>
      </x:c>
      <x:c r="G346" s="17" t="str">
        <x:v>r1 = index.pricevalue(filter = "ps_ttm &lt; 2", order = "ps_ttm asc", limit = 50, realtime = 0) -&gt; code, name, tradedate, ps_ttm, pe_ttm, pb</x:v>
      </x:c>
      <x:c r="H346" s="17" t="str"/>
      <x:c r="I346" s="17" t="str">
        <x:v>合理操作</x:v>
      </x:c>
      <x:c r="J346" s="17" t="str">
        <x:v>是</x:v>
      </x:c>
      <x:c r="K346" s="18"/>
      <x:c r="L346" s="17" t="str">
        <x:v>否</x:v>
      </x:c>
      <x:c r="M346" s="17" t="str">
        <x:v>否</x:v>
      </x:c>
      <x:c r="N346" s="17" t="str">
        <x:v>target_api_executed</x:v>
      </x:c>
      <x:c r="O346" s="17" t="str">
        <x:v>expected_dataview_coverage</x:v>
      </x:c>
      <x:c r="P346" s="17" t="str">
        <x:v>session://financial_qa_33499cfa81de4d06_2787_f947a3499f73/vars/v1</x:v>
      </x:c>
      <x:c r="Q346" s="17" t="str"/>
      <x:c r="R346" s="17" t="str">
        <x:v>index.pricevalue</x:v>
      </x:c>
      <x:c r="S346" s="17" t="str"/>
      <x:c r="T346" s="17" t="str"/>
      <x:c r="U346" s="17" t="str">
        <x:v>r1</x:v>
      </x:c>
      <x:c r="V346" s="30" t="n">
        <x:v>0</x:v>
      </x:c>
      <x:c r="W346" s="17" t="str">
        <x:v>high</x:v>
      </x:c>
    </x:row>
    <x:row r="347" ht="54" customHeight="1">
      <x:c r="A347" s="17" t="str">
        <x:v>BUS093</x:v>
      </x:c>
      <x:c r="B347" s="17" t="str">
        <x:v>列出沪深300当前成分股和权重。</x:v>
      </x:c>
      <x:c r="C347" s="17" t="n">
        <x:v>1</x:v>
      </x:c>
      <x:c r="D347" s="17" t="str"/>
      <x:c r="E347" s="17" t="str">
        <x:v>工具调用</x:v>
      </x:c>
      <x:c r="F347" s="17" t="str">
        <x:v>read_finance_catalog</x:v>
      </x:c>
      <x:c r="G347" s="17" t="str"/>
      <x:c r="H347" s="17" t="str"/>
      <x:c r="I347" s="17" t="str">
        <x:v>合理操作</x:v>
      </x:c>
      <x:c r="J347" s="17" t="str">
        <x:v>是</x:v>
      </x:c>
      <x:c r="K347" s="18"/>
      <x:c r="L347" s="17" t="str">
        <x:v>否</x:v>
      </x:c>
      <x:c r="M347" s="17" t="str">
        <x:v>否</x:v>
      </x:c>
      <x:c r="N347" s="17" t="str">
        <x:v>target_catalog_located</x:v>
      </x:c>
      <x:c r="O347" s="17" t="str">
        <x:v>expected_dataview_catalog</x:v>
      </x:c>
      <x:c r="P347" s="17" t="str"/>
      <x:c r="Q347" s="17" t="str"/>
      <x:c r="R347" s="17" t="str"/>
      <x:c r="S347" s="17" t="str">
        <x:v>index</x:v>
      </x:c>
      <x:c r="T347" s="17" t="str">
        <x:v>constitution</x:v>
      </x:c>
      <x:c r="U347" s="17" t="str"/>
      <x:c r="V347" s="30"/>
      <x:c r="W347" s="17" t="str">
        <x:v>high</x:v>
      </x:c>
    </x:row>
    <x:row r="348" ht="54" customHeight="1">
      <x:c r="A348" s="17" t="str">
        <x:v>BUS093</x:v>
      </x:c>
      <x:c r="B348" s="17" t="str">
        <x:v>列出沪深300当前成分股和权重。</x:v>
      </x:c>
      <x:c r="C348" s="17" t="n">
        <x:v>2</x:v>
      </x:c>
      <x:c r="D348" s="17" t="str"/>
      <x:c r="E348" s="17" t="str">
        <x:v>工具调用</x:v>
      </x:c>
      <x:c r="F348" s="17" t="str">
        <x:v>finance_query</x:v>
      </x:c>
      <x:c r="G348" s="17" t="str">
        <x:v>r1 = index.constitution(filter = "index_name = 沪深300", limit = -1) -&gt; index_code, index_name, stock_code, stock_name, weight</x:v>
      </x:c>
      <x:c r="H348" s="17" t="str"/>
      <x:c r="I348" s="17" t="str">
        <x:v>合理操作</x:v>
      </x:c>
      <x:c r="J348" s="17" t="str">
        <x:v>是</x:v>
      </x:c>
      <x:c r="K348" s="18"/>
      <x:c r="L348" s="17" t="str">
        <x:v>否</x:v>
      </x:c>
      <x:c r="M348" s="17" t="str">
        <x:v>否</x:v>
      </x:c>
      <x:c r="N348" s="17" t="str">
        <x:v>target_api_executed</x:v>
      </x:c>
      <x:c r="O348" s="17" t="str">
        <x:v>expected_dataview_coverage</x:v>
      </x:c>
      <x:c r="P348" s="17" t="str">
        <x:v>session://financial_qa_33499cfa81de4d06_2788_5c4c2df35145/vars/v1</x:v>
      </x:c>
      <x:c r="Q348" s="17" t="str"/>
      <x:c r="R348" s="17" t="str">
        <x:v>index.constitution</x:v>
      </x:c>
      <x:c r="S348" s="17" t="str"/>
      <x:c r="T348" s="17" t="str"/>
      <x:c r="U348" s="17" t="str">
        <x:v>r1</x:v>
      </x:c>
      <x:c r="V348" s="30" t="n">
        <x:v>100</x:v>
      </x:c>
      <x:c r="W348" s="17" t="str">
        <x:v>high</x:v>
      </x:c>
    </x:row>
    <x:row r="349" ht="54" customHeight="1">
      <x:c r="A349" s="17" t="str">
        <x:v>BUS093</x:v>
      </x:c>
      <x:c r="B349" s="17" t="str">
        <x:v>列出沪深300当前成分股和权重。</x:v>
      </x:c>
      <x:c r="C349" s="17" t="n">
        <x:v>3</x:v>
      </x:c>
      <x:c r="D349" s="17" t="str"/>
      <x:c r="E349" s="17" t="str">
        <x:v>工具调用</x:v>
      </x:c>
      <x:c r="F349" s="17" t="str">
        <x:v>load_finance_result</x:v>
      </x:c>
      <x:c r="G349" s="17" t="str"/>
      <x:c r="H349" s="17" t="str"/>
      <x:c r="I349" s="17" t="str">
        <x:v>合理操作</x:v>
      </x:c>
      <x:c r="J349" s="17" t="str">
        <x:v>是</x:v>
      </x:c>
      <x:c r="K349" s="18"/>
      <x:c r="L349" s="17" t="str">
        <x:v>否</x:v>
      </x:c>
      <x:c r="M349" s="17" t="str">
        <x:v>否</x:v>
      </x:c>
      <x:c r="N349" s="17" t="str">
        <x:v>load_truncated_result</x:v>
      </x:c>
      <x:c r="O349" s="17" t="str">
        <x:v>sample_incomplete_requires_full_result</x:v>
      </x:c>
      <x:c r="P349" s="17" t="str">
        <x:v>session://financial_qa_33499cfa81de4d06_2788_5c4c2df35145/vars/v1</x:v>
      </x:c>
      <x:c r="Q349" s="17" t="str"/>
      <x:c r="R349" s="17" t="str"/>
      <x:c r="S349" s="17" t="str"/>
      <x:c r="T349" s="17" t="str"/>
      <x:c r="U349" s="17" t="str"/>
      <x:c r="V349" s="30"/>
      <x:c r="W349" s="17" t="str">
        <x:v>high</x:v>
      </x:c>
    </x:row>
    <x:row r="350" ht="54" customHeight="1">
      <x:c r="A350" s="17" t="str">
        <x:v>BUS094</x:v>
      </x:c>
      <x:c r="B350" s="17" t="str">
        <x:v>查询沪深300前10大权重股。</x:v>
      </x:c>
      <x:c r="C350" s="17" t="n">
        <x:v>1</x:v>
      </x:c>
      <x:c r="D350" s="17" t="str"/>
      <x:c r="E350" s="17" t="str">
        <x:v>工具调用</x:v>
      </x:c>
      <x:c r="F350" s="17" t="str">
        <x:v>read_finance_catalog</x:v>
      </x:c>
      <x:c r="G350" s="17" t="str"/>
      <x:c r="H350" s="17" t="str"/>
      <x:c r="I350" s="17" t="str">
        <x:v>合理操作</x:v>
      </x:c>
      <x:c r="J350" s="17" t="str">
        <x:v>是</x:v>
      </x:c>
      <x:c r="K350" s="18"/>
      <x:c r="L350" s="17" t="str">
        <x:v>否</x:v>
      </x:c>
      <x:c r="M350" s="17" t="str">
        <x:v>否</x:v>
      </x:c>
      <x:c r="N350" s="17" t="str">
        <x:v>target_catalog_located</x:v>
      </x:c>
      <x:c r="O350" s="17" t="str">
        <x:v>expected_dataview_catalog</x:v>
      </x:c>
      <x:c r="P350" s="17" t="str"/>
      <x:c r="Q350" s="17" t="str"/>
      <x:c r="R350" s="17" t="str"/>
      <x:c r="S350" s="17" t="str">
        <x:v>index</x:v>
      </x:c>
      <x:c r="T350" s="17" t="str">
        <x:v>constitution</x:v>
      </x:c>
      <x:c r="U350" s="17" t="str"/>
      <x:c r="V350" s="30"/>
      <x:c r="W350" s="17" t="str">
        <x:v>high</x:v>
      </x:c>
    </x:row>
    <x:row r="351" ht="54" customHeight="1">
      <x:c r="A351" s="17" t="str">
        <x:v>BUS094</x:v>
      </x:c>
      <x:c r="B351" s="17" t="str">
        <x:v>查询沪深300前10大权重股。</x:v>
      </x:c>
      <x:c r="C351" s="17" t="n">
        <x:v>2</x:v>
      </x:c>
      <x:c r="D351" s="17" t="str"/>
      <x:c r="E351" s="17" t="str">
        <x:v>工具调用</x:v>
      </x:c>
      <x:c r="F351" s="17" t="str">
        <x:v>finance_query</x:v>
      </x:c>
      <x:c r="G351" s="17" t="str">
        <x:v>r1 = index.constitution(filter = "index_name = 沪深300", order = "weight desc", limit = 10) -&gt; index_code, index_name, stock_code, stock_name, weight</x:v>
      </x:c>
      <x:c r="H351" s="17" t="str"/>
      <x:c r="I351" s="17" t="str">
        <x:v>合理操作</x:v>
      </x:c>
      <x:c r="J351" s="17" t="str">
        <x:v>是</x:v>
      </x:c>
      <x:c r="K351" s="18"/>
      <x:c r="L351" s="17" t="str">
        <x:v>否</x:v>
      </x:c>
      <x:c r="M351" s="17" t="str">
        <x:v>否</x:v>
      </x:c>
      <x:c r="N351" s="17" t="str">
        <x:v>target_api_executed</x:v>
      </x:c>
      <x:c r="O351" s="17" t="str">
        <x:v>expected_dataview_coverage</x:v>
      </x:c>
      <x:c r="P351" s="17" t="str">
        <x:v>session://financial_qa_33499cfa81de4d06_2789_d81e0b499653/vars/v1</x:v>
      </x:c>
      <x:c r="Q351" s="17" t="str"/>
      <x:c r="R351" s="17" t="str">
        <x:v>index.constitution</x:v>
      </x:c>
      <x:c r="S351" s="17" t="str"/>
      <x:c r="T351" s="17" t="str"/>
      <x:c r="U351" s="17" t="str">
        <x:v>r1</x:v>
      </x:c>
      <x:c r="V351" s="30" t="n">
        <x:v>10</x:v>
      </x:c>
      <x:c r="W351" s="17" t="str">
        <x:v>high</x:v>
      </x:c>
    </x:row>
    <x:row r="352" ht="54" customHeight="1">
      <x:c r="A352" s="17" t="str">
        <x:v>BUS094</x:v>
      </x:c>
      <x:c r="B352" s="17" t="str">
        <x:v>查询沪深300前10大权重股。</x:v>
      </x:c>
      <x:c r="C352" s="17" t="n">
        <x:v>3</x:v>
      </x:c>
      <x:c r="D352" s="17" t="str"/>
      <x:c r="E352" s="17" t="str">
        <x:v>工具调用</x:v>
      </x:c>
      <x:c r="F352" s="17" t="str">
        <x:v>load_finance_result</x:v>
      </x:c>
      <x:c r="G352" s="17" t="str"/>
      <x:c r="H352" s="17" t="str"/>
      <x:c r="I352" s="17" t="str">
        <x:v>合理操作</x:v>
      </x:c>
      <x:c r="J352" s="17" t="str">
        <x:v>是</x:v>
      </x:c>
      <x:c r="K352" s="18"/>
      <x:c r="L352" s="17" t="str">
        <x:v>否</x:v>
      </x:c>
      <x:c r="M352" s="17" t="str">
        <x:v>否</x:v>
      </x:c>
      <x:c r="N352" s="17" t="str">
        <x:v>load_truncated_result</x:v>
      </x:c>
      <x:c r="O352" s="17" t="str">
        <x:v>sample_incomplete_requires_full_result</x:v>
      </x:c>
      <x:c r="P352" s="17" t="str">
        <x:v>session://financial_qa_33499cfa81de4d06_2789_d81e0b499653/vars/v1</x:v>
      </x:c>
      <x:c r="Q352" s="17" t="str"/>
      <x:c r="R352" s="17" t="str"/>
      <x:c r="S352" s="17" t="str"/>
      <x:c r="T352" s="17" t="str"/>
      <x:c r="U352" s="17" t="str"/>
      <x:c r="V352" s="30"/>
      <x:c r="W352" s="17" t="str">
        <x:v>high</x:v>
      </x:c>
    </x:row>
    <x:row r="353" ht="54" customHeight="1">
      <x:c r="A353" s="17" t="str">
        <x:v>BUS096</x:v>
      </x:c>
      <x:c r="B353" s="17" t="str">
        <x:v>查询中证500当前成分股数量。</x:v>
      </x:c>
      <x:c r="C353" s="17" t="n">
        <x:v>1</x:v>
      </x:c>
      <x:c r="D353" s="17" t="str"/>
      <x:c r="E353" s="17" t="str">
        <x:v>工具调用</x:v>
      </x:c>
      <x:c r="F353" s="17" t="str">
        <x:v>read_finance_catalog</x:v>
      </x:c>
      <x:c r="G353" s="17" t="str"/>
      <x:c r="H353" s="17" t="str"/>
      <x:c r="I353" s="17" t="str">
        <x:v>合理操作</x:v>
      </x:c>
      <x:c r="J353" s="17" t="str">
        <x:v>是</x:v>
      </x:c>
      <x:c r="K353" s="18"/>
      <x:c r="L353" s="17" t="str">
        <x:v>否</x:v>
      </x:c>
      <x:c r="M353" s="17" t="str">
        <x:v>否</x:v>
      </x:c>
      <x:c r="N353" s="17" t="str">
        <x:v>target_catalog_located</x:v>
      </x:c>
      <x:c r="O353" s="17" t="str">
        <x:v>expected_dataview_catalog</x:v>
      </x:c>
      <x:c r="P353" s="17" t="str"/>
      <x:c r="Q353" s="17" t="str"/>
      <x:c r="R353" s="17" t="str"/>
      <x:c r="S353" s="17" t="str">
        <x:v>index</x:v>
      </x:c>
      <x:c r="T353" s="17" t="str">
        <x:v>constitution</x:v>
      </x:c>
      <x:c r="U353" s="17" t="str"/>
      <x:c r="V353" s="30"/>
      <x:c r="W353" s="17" t="str">
        <x:v>high</x:v>
      </x:c>
    </x:row>
    <x:row r="354" ht="54" customHeight="1">
      <x:c r="A354" s="17" t="str">
        <x:v>BUS096</x:v>
      </x:c>
      <x:c r="B354" s="17" t="str">
        <x:v>查询中证500当前成分股数量。</x:v>
      </x:c>
      <x:c r="C354" s="17" t="n">
        <x:v>2</x:v>
      </x:c>
      <x:c r="D354" s="17" t="str"/>
      <x:c r="E354" s="17" t="str">
        <x:v>工具调用</x:v>
      </x:c>
      <x:c r="F354" s="17" t="str">
        <x:v>finance_query</x:v>
      </x:c>
      <x:c r="G354" s="17" t="str">
        <x:v>r1 = index.constitution.agg(filter = "index_name = 中证500", agg = count(stock.quote.code), group_by = "index_code, index_name") -&gt; index_code, index_name, stock_count</x:v>
      </x:c>
      <x:c r="H354" s="17" t="str"/>
      <x:c r="I354" s="17" t="str">
        <x:v>合理操作</x:v>
      </x:c>
      <x:c r="J354" s="17" t="str">
        <x:v>是</x:v>
      </x:c>
      <x:c r="K354" s="18"/>
      <x:c r="L354" s="17" t="str">
        <x:v>否</x:v>
      </x:c>
      <x:c r="M354" s="17" t="str">
        <x:v>否</x:v>
      </x:c>
      <x:c r="N354" s="17" t="str">
        <x:v>target_api_executed</x:v>
      </x:c>
      <x:c r="O354" s="17" t="str">
        <x:v>expected_dataview_coverage</x:v>
      </x:c>
      <x:c r="P354" s="17" t="str">
        <x:v>session://financial_qa_33499cfa81de4d06_2791_1b3c2bb9be35/vars/v1</x:v>
      </x:c>
      <x:c r="Q354" s="17" t="str"/>
      <x:c r="R354" s="17" t="str">
        <x:v>index.constitution.agg</x:v>
      </x:c>
      <x:c r="S354" s="17" t="str"/>
      <x:c r="T354" s="17" t="str"/>
      <x:c r="U354" s="17" t="str">
        <x:v>r1</x:v>
      </x:c>
      <x:c r="V354" s="30" t="n">
        <x:v>2</x:v>
      </x:c>
      <x:c r="W354" s="17" t="str">
        <x:v>high</x:v>
      </x:c>
    </x:row>
    <x:row r="355" ht="54" customHeight="1">
      <x:c r="A355" s="17" t="str">
        <x:v>BUS097</x:v>
      </x:c>
      <x:c r="B355" s="17" t="str">
        <x:v>查询创业板指权重最高的前20只成分股。</x:v>
      </x:c>
      <x:c r="C355" s="17" t="n">
        <x:v>1</x:v>
      </x:c>
      <x:c r="D355" s="17" t="str"/>
      <x:c r="E355" s="17" t="str">
        <x:v>工具调用</x:v>
      </x:c>
      <x:c r="F355" s="17" t="str">
        <x:v>read_finance_catalog</x:v>
      </x:c>
      <x:c r="G355" s="17" t="str"/>
      <x:c r="H355" s="17" t="str"/>
      <x:c r="I355" s="17" t="str">
        <x:v>合理操作</x:v>
      </x:c>
      <x:c r="J355" s="17" t="str">
        <x:v>是</x:v>
      </x:c>
      <x:c r="K355" s="18"/>
      <x:c r="L355" s="17" t="str">
        <x:v>否</x:v>
      </x:c>
      <x:c r="M355" s="17" t="str">
        <x:v>否</x:v>
      </x:c>
      <x:c r="N355" s="17" t="str">
        <x:v>target_catalog_located</x:v>
      </x:c>
      <x:c r="O355" s="17" t="str">
        <x:v>expected_dataview_catalog</x:v>
      </x:c>
      <x:c r="P355" s="17" t="str"/>
      <x:c r="Q355" s="17" t="str"/>
      <x:c r="R355" s="17" t="str"/>
      <x:c r="S355" s="17" t="str">
        <x:v>index</x:v>
      </x:c>
      <x:c r="T355" s="17" t="str">
        <x:v>constitution</x:v>
      </x:c>
      <x:c r="U355" s="17" t="str"/>
      <x:c r="V355" s="30"/>
      <x:c r="W355" s="17" t="str">
        <x:v>high</x:v>
      </x:c>
    </x:row>
    <x:row r="356" ht="54" customHeight="1">
      <x:c r="A356" s="17" t="str">
        <x:v>BUS097</x:v>
      </x:c>
      <x:c r="B356" s="17" t="str">
        <x:v>查询创业板指权重最高的前20只成分股。</x:v>
      </x:c>
      <x:c r="C356" s="17" t="n">
        <x:v>2</x:v>
      </x:c>
      <x:c r="D356" s="17" t="str"/>
      <x:c r="E356" s="17" t="str">
        <x:v>工具调用</x:v>
      </x:c>
      <x:c r="F356" s="17" t="str">
        <x:v>finance_query</x:v>
      </x:c>
      <x:c r="G356" s="17" t="str">
        <x:v>r1 = index.constitution(filter = "index_name = 创业板指", order = "weight desc", limit = 20) -&gt; index_code, index_name, stock_code, stock_name, weight</x:v>
      </x:c>
      <x:c r="H356" s="17" t="str"/>
      <x:c r="I356" s="17" t="str">
        <x:v>合理操作</x:v>
      </x:c>
      <x:c r="J356" s="17" t="str">
        <x:v>是</x:v>
      </x:c>
      <x:c r="K356" s="18"/>
      <x:c r="L356" s="17" t="str">
        <x:v>否</x:v>
      </x:c>
      <x:c r="M356" s="17" t="str">
        <x:v>否</x:v>
      </x:c>
      <x:c r="N356" s="17" t="str">
        <x:v>target_api_executed</x:v>
      </x:c>
      <x:c r="O356" s="17" t="str">
        <x:v>expected_dataview_coverage</x:v>
      </x:c>
      <x:c r="P356" s="17" t="str">
        <x:v>session://financial_qa_33499cfa81de4d06_2792_690b5e8493af/vars/v1</x:v>
      </x:c>
      <x:c r="Q356" s="17" t="str"/>
      <x:c r="R356" s="17" t="str">
        <x:v>index.constitution</x:v>
      </x:c>
      <x:c r="S356" s="17" t="str"/>
      <x:c r="T356" s="17" t="str"/>
      <x:c r="U356" s="17" t="str">
        <x:v>r1</x:v>
      </x:c>
      <x:c r="V356" s="30" t="n">
        <x:v>20</x:v>
      </x:c>
      <x:c r="W356" s="17" t="str">
        <x:v>high</x:v>
      </x:c>
    </x:row>
    <x:row r="357" ht="54" customHeight="1">
      <x:c r="A357" s="17" t="str">
        <x:v>BUS097</x:v>
      </x:c>
      <x:c r="B357" s="17" t="str">
        <x:v>查询创业板指权重最高的前20只成分股。</x:v>
      </x:c>
      <x:c r="C357" s="17" t="n">
        <x:v>3</x:v>
      </x:c>
      <x:c r="D357" s="17" t="str"/>
      <x:c r="E357" s="17" t="str">
        <x:v>工具调用</x:v>
      </x:c>
      <x:c r="F357" s="17" t="str">
        <x:v>load_finance_result</x:v>
      </x:c>
      <x:c r="G357" s="17" t="str"/>
      <x:c r="H357" s="17" t="str"/>
      <x:c r="I357" s="17" t="str">
        <x:v>合理操作</x:v>
      </x:c>
      <x:c r="J357" s="17" t="str">
        <x:v>是</x:v>
      </x:c>
      <x:c r="K357" s="18"/>
      <x:c r="L357" s="17" t="str">
        <x:v>否</x:v>
      </x:c>
      <x:c r="M357" s="17" t="str">
        <x:v>否</x:v>
      </x:c>
      <x:c r="N357" s="17" t="str">
        <x:v>load_truncated_result</x:v>
      </x:c>
      <x:c r="O357" s="17" t="str">
        <x:v>sample_incomplete_requires_full_result</x:v>
      </x:c>
      <x:c r="P357" s="17" t="str">
        <x:v>session://financial_qa_33499cfa81de4d06_2792_690b5e8493af/vars/v1</x:v>
      </x:c>
      <x:c r="Q357" s="17" t="str"/>
      <x:c r="R357" s="17" t="str"/>
      <x:c r="S357" s="17" t="str"/>
      <x:c r="T357" s="17" t="str"/>
      <x:c r="U357" s="17" t="str"/>
      <x:c r="V357" s="30"/>
      <x:c r="W357" s="17" t="str">
        <x:v>high</x:v>
      </x:c>
    </x:row>
    <x:row r="358" ht="54" customHeight="1">
      <x:c r="A358" s="17" t="str">
        <x:v>BUS098</x:v>
      </x:c>
      <x:c r="B358" s="17" t="str">
        <x:v>查询贵州茅台是否属于沪深300成分股。</x:v>
      </x:c>
      <x:c r="C358" s="17" t="n">
        <x:v>1</x:v>
      </x:c>
      <x:c r="D358" s="17" t="str"/>
      <x:c r="E358" s="17" t="str">
        <x:v>工具调用</x:v>
      </x:c>
      <x:c r="F358" s="17" t="str">
        <x:v>read_finance_catalog</x:v>
      </x:c>
      <x:c r="G358" s="17" t="str"/>
      <x:c r="H358" s="17" t="str"/>
      <x:c r="I358" s="17" t="str">
        <x:v>合理操作</x:v>
      </x:c>
      <x:c r="J358" s="17" t="str">
        <x:v>是</x:v>
      </x:c>
      <x:c r="K358" s="18"/>
      <x:c r="L358" s="17" t="str">
        <x:v>否</x:v>
      </x:c>
      <x:c r="M358" s="17" t="str">
        <x:v>否</x:v>
      </x:c>
      <x:c r="N358" s="17" t="str">
        <x:v>target_catalog_located</x:v>
      </x:c>
      <x:c r="O358" s="17" t="str">
        <x:v>expected_dataview_catalog</x:v>
      </x:c>
      <x:c r="P358" s="17" t="str"/>
      <x:c r="Q358" s="17" t="str"/>
      <x:c r="R358" s="17" t="str"/>
      <x:c r="S358" s="17" t="str">
        <x:v>index</x:v>
      </x:c>
      <x:c r="T358" s="17" t="str">
        <x:v>constitution</x:v>
      </x:c>
      <x:c r="U358" s="17" t="str"/>
      <x:c r="V358" s="30"/>
      <x:c r="W358" s="17" t="str">
        <x:v>high</x:v>
      </x:c>
    </x:row>
    <x:row r="359" ht="54" customHeight="1">
      <x:c r="A359" s="17" t="str">
        <x:v>BUS098</x:v>
      </x:c>
      <x:c r="B359" s="17" t="str">
        <x:v>查询贵州茅台是否属于沪深300成分股。</x:v>
      </x:c>
      <x:c r="C359" s="17" t="n">
        <x:v>2</x:v>
      </x:c>
      <x:c r="D359" s="17" t="str"/>
      <x:c r="E359" s="17" t="str">
        <x:v>工具调用</x:v>
      </x:c>
      <x:c r="F359" s="17" t="str">
        <x:v>finance_query</x:v>
      </x:c>
      <x:c r="G359" s="17" t="str">
        <x:v>r1 = index.constitution(filter = "index_name = 沪深300 and stock_name = 贵州茅台", limit = 5) -&gt; index_code, index_name, stock_code, stock_name</x:v>
      </x:c>
      <x:c r="H359" s="17" t="str"/>
      <x:c r="I359" s="17" t="str">
        <x:v>合理操作</x:v>
      </x:c>
      <x:c r="J359" s="17" t="str">
        <x:v>是</x:v>
      </x:c>
      <x:c r="K359" s="18"/>
      <x:c r="L359" s="17" t="str">
        <x:v>否</x:v>
      </x:c>
      <x:c r="M359" s="17" t="str">
        <x:v>否</x:v>
      </x:c>
      <x:c r="N359" s="17" t="str">
        <x:v>target_api_executed</x:v>
      </x:c>
      <x:c r="O359" s="17" t="str">
        <x:v>expected_dataview_coverage</x:v>
      </x:c>
      <x:c r="P359" s="17" t="str">
        <x:v>session://financial_qa_33499cfa81de4d06_2793_db0d670ed296/vars/v1</x:v>
      </x:c>
      <x:c r="Q359" s="17" t="str"/>
      <x:c r="R359" s="17" t="str">
        <x:v>index.constitution</x:v>
      </x:c>
      <x:c r="S359" s="17" t="str"/>
      <x:c r="T359" s="17" t="str"/>
      <x:c r="U359" s="17" t="str">
        <x:v>r1</x:v>
      </x:c>
      <x:c r="V359" s="30" t="n">
        <x:v>2</x:v>
      </x:c>
      <x:c r="W359" s="17" t="str">
        <x:v>high</x:v>
      </x:c>
    </x:row>
    <x:row r="360" ht="54" customHeight="1">
      <x:c r="A360" s="17" t="str">
        <x:v>BUS099</x:v>
      </x:c>
      <x:c r="B360" s="17" t="str">
        <x:v>计算沪深300成分股今天平均涨跌幅和上涨家数。</x:v>
      </x:c>
      <x:c r="C360" s="17" t="n">
        <x:v>1</x:v>
      </x:c>
      <x:c r="D360" s="17" t="str"/>
      <x:c r="E360" s="17" t="str">
        <x:v>工具调用</x:v>
      </x:c>
      <x:c r="F360" s="17" t="str">
        <x:v>read_finance_catalog</x:v>
      </x:c>
      <x:c r="G360" s="17" t="str"/>
      <x:c r="H360" s="17" t="str"/>
      <x:c r="I360" s="17" t="str">
        <x:v>合理操作</x:v>
      </x:c>
      <x:c r="J360" s="17" t="str">
        <x:v>是</x:v>
      </x:c>
      <x:c r="K360" s="18"/>
      <x:c r="L360" s="17" t="str">
        <x:v>否</x:v>
      </x:c>
      <x:c r="M360" s="17" t="str">
        <x:v>否</x:v>
      </x:c>
      <x:c r="N360" s="17" t="str">
        <x:v>target_catalog_located</x:v>
      </x:c>
      <x:c r="O360" s="17" t="str">
        <x:v>expected_dataview_catalog</x:v>
      </x:c>
      <x:c r="P360" s="17" t="str"/>
      <x:c r="Q360" s="17" t="str"/>
      <x:c r="R360" s="17" t="str"/>
      <x:c r="S360" s="17" t="str">
        <x:v>index</x:v>
      </x:c>
      <x:c r="T360" s="17" t="str">
        <x:v>constitution</x:v>
      </x:c>
      <x:c r="U360" s="17" t="str"/>
      <x:c r="V360" s="30"/>
      <x:c r="W360" s="17" t="str">
        <x:v>high</x:v>
      </x:c>
    </x:row>
    <x:row r="361" ht="54" customHeight="1">
      <x:c r="A361" s="17" t="str">
        <x:v>BUS099</x:v>
      </x:c>
      <x:c r="B361" s="17" t="str">
        <x:v>计算沪深300成分股今天平均涨跌幅和上涨家数。</x:v>
      </x:c>
      <x:c r="C361" s="17" t="n">
        <x:v>2</x:v>
      </x:c>
      <x:c r="D361" s="17" t="str"/>
      <x:c r="E361" s="17" t="str">
        <x:v>工具调用</x:v>
      </x:c>
      <x:c r="F361" s="17" t="str">
        <x:v>finance_query</x:v>
      </x:c>
      <x:c r="G361" s="17" t="str">
        <x:v>r1 = index.constitution.agg(filter = "index_name = 沪深300 and tradedate = -1", agg = avg(stock.quote.pct), group_by = "index_code, index_name", realtime = 0) -&gt; index_code, index_name, avg_pct</x:v>
      </x:c>
      <x:c r="H361" s="17" t="str"/>
      <x:c r="I361" s="17" t="str">
        <x:v>合理操作</x:v>
      </x:c>
      <x:c r="J361" s="17" t="str">
        <x:v>是</x:v>
      </x:c>
      <x:c r="K361" s="18"/>
      <x:c r="L361" s="17" t="str">
        <x:v>否</x:v>
      </x:c>
      <x:c r="M361" s="17" t="str">
        <x:v>否</x:v>
      </x:c>
      <x:c r="N361" s="17" t="str">
        <x:v>target_api_executed</x:v>
      </x:c>
      <x:c r="O361" s="17" t="str">
        <x:v>expected_dataview_coverage</x:v>
      </x:c>
      <x:c r="P361" s="17" t="str">
        <x:v>session://financial_qa_33499cfa81de4d06_2794_66d0596e092d/vars/v1</x:v>
      </x:c>
      <x:c r="Q361" s="17" t="str"/>
      <x:c r="R361" s="17" t="str">
        <x:v>index.constitution.agg</x:v>
      </x:c>
      <x:c r="S361" s="17" t="str"/>
      <x:c r="T361" s="17" t="str"/>
      <x:c r="U361" s="17" t="str">
        <x:v>r1</x:v>
      </x:c>
      <x:c r="V361" s="30" t="n">
        <x:v>2</x:v>
      </x:c>
      <x:c r="W361" s="17" t="str">
        <x:v>high</x:v>
      </x:c>
    </x:row>
    <x:row r="362" ht="54" customHeight="1">
      <x:c r="A362" s="17" t="str">
        <x:v>BUS099</x:v>
      </x:c>
      <x:c r="B362" s="17" t="str">
        <x:v>计算沪深300成分股今天平均涨跌幅和上涨家数。</x:v>
      </x:c>
      <x:c r="C362" s="17" t="n">
        <x:v>3</x:v>
      </x:c>
      <x:c r="D362" s="17" t="str"/>
      <x:c r="E362" s="17" t="str">
        <x:v>工具调用</x:v>
      </x:c>
      <x:c r="F362" s="17" t="str">
        <x:v>finance_query</x:v>
      </x:c>
      <x:c r="G362" s="17" t="str">
        <x:v>r2 = index.constitution.agg(filter = "index_name = 沪深300 and tradedate = -1 and pct &gt; 0", agg = count(stock.quote.code), group_by = "index_code, index_name", realtime = 0) -&gt; index_code, index_name, up_count</x:v>
      </x:c>
      <x:c r="H362" s="17" t="str"/>
      <x:c r="I362" s="17" t="str">
        <x:v>合理操作</x:v>
      </x:c>
      <x:c r="J362" s="17" t="str">
        <x:v>是</x:v>
      </x:c>
      <x:c r="K362" s="18"/>
      <x:c r="L362" s="17" t="str">
        <x:v>否</x:v>
      </x:c>
      <x:c r="M362" s="17" t="str">
        <x:v>否</x:v>
      </x:c>
      <x:c r="N362" s="17" t="str">
        <x:v>target_api_executed</x:v>
      </x:c>
      <x:c r="O362" s="17" t="str">
        <x:v>expected_dataview_coverage</x:v>
      </x:c>
      <x:c r="P362" s="17" t="str">
        <x:v>session://financial_qa_33499cfa81de4d06_2794_66d0596e092d/vars/v2</x:v>
      </x:c>
      <x:c r="Q362" s="17" t="str"/>
      <x:c r="R362" s="17" t="str">
        <x:v>index.constitution.agg</x:v>
      </x:c>
      <x:c r="S362" s="17" t="str"/>
      <x:c r="T362" s="17" t="str"/>
      <x:c r="U362" s="17" t="str">
        <x:v>r2</x:v>
      </x:c>
      <x:c r="V362" s="30" t="n">
        <x:v>2</x:v>
      </x:c>
      <x:c r="W362" s="17" t="str">
        <x:v>high</x:v>
      </x:c>
    </x:row>
    <x:row r="363" ht="54" customHeight="1">
      <x:c r="A363" s="17" t="str">
        <x:v>BUS100</x:v>
      </x:c>
      <x:c r="B363" s="17" t="str">
        <x:v>比较沪深300和中证500最近20个交易日累计涨幅。</x:v>
      </x:c>
      <x:c r="C363" s="17" t="n">
        <x:v>1</x:v>
      </x:c>
      <x:c r="D363" s="17" t="str"/>
      <x:c r="E363" s="17" t="str">
        <x:v>工具调用</x:v>
      </x:c>
      <x:c r="F363" s="17" t="str">
        <x:v>read_finance_catalog</x:v>
      </x:c>
      <x:c r="G363" s="17" t="str"/>
      <x:c r="H363" s="17" t="str"/>
      <x:c r="I363" s="17" t="str">
        <x:v>合理操作</x:v>
      </x:c>
      <x:c r="J363" s="17" t="str">
        <x:v>是</x:v>
      </x:c>
      <x:c r="K363" s="18"/>
      <x:c r="L363" s="17" t="str">
        <x:v>否</x:v>
      </x:c>
      <x:c r="M363" s="17" t="str">
        <x:v>否</x:v>
      </x:c>
      <x:c r="N363" s="17" t="str">
        <x:v>target_catalog_located</x:v>
      </x:c>
      <x:c r="O363" s="17" t="str">
        <x:v>expected_dataview_catalog</x:v>
      </x:c>
      <x:c r="P363" s="17" t="str"/>
      <x:c r="Q363" s="17" t="str"/>
      <x:c r="R363" s="17" t="str"/>
      <x:c r="S363" s="17" t="str">
        <x:v>index</x:v>
      </x:c>
      <x:c r="T363" s="17" t="str">
        <x:v>quote</x:v>
      </x:c>
      <x:c r="U363" s="17" t="str"/>
      <x:c r="V363" s="30"/>
      <x:c r="W363" s="17" t="str">
        <x:v>high</x:v>
      </x:c>
    </x:row>
    <x:row r="364" ht="54" customHeight="1">
      <x:c r="A364" s="17" t="str">
        <x:v>BUS100</x:v>
      </x:c>
      <x:c r="B364" s="17" t="str">
        <x:v>比较沪深300和中证500最近20个交易日累计涨幅。</x:v>
      </x:c>
      <x:c r="C364" s="17" t="n">
        <x:v>2</x:v>
      </x:c>
      <x:c r="D364" s="17" t="str"/>
      <x:c r="E364" s="17" t="str">
        <x:v>工具调用</x:v>
      </x:c>
      <x:c r="F364" s="17" t="str">
        <x:v>finance_query</x:v>
      </x:c>
      <x:c r="G364" s="17" t="str">
        <x:v>r1 = index.quote.kd_pct_sum(k = 20, filter = "code in ('000300.SH', '000905.SH')", realtime = 0) -&gt; code, name, value as cumulative_pct_20d</x:v>
      </x:c>
      <x:c r="H364" s="17" t="str"/>
      <x:c r="I364" s="17" t="str">
        <x:v>合理操作</x:v>
      </x:c>
      <x:c r="J364" s="17" t="str">
        <x:v>是</x:v>
      </x:c>
      <x:c r="K364" s="18"/>
      <x:c r="L364" s="17" t="str">
        <x:v>否</x:v>
      </x:c>
      <x:c r="M364" s="17" t="str">
        <x:v>否</x:v>
      </x:c>
      <x:c r="N364" s="17" t="str">
        <x:v>target_api_executed</x:v>
      </x:c>
      <x:c r="O364" s="17" t="str">
        <x:v>expected_dataview_coverage</x:v>
      </x:c>
      <x:c r="P364" s="17" t="str">
        <x:v>session://financial_qa_33499cfa81de4d06_2795_20d0e898ce9b/vars/v1</x:v>
      </x:c>
      <x:c r="Q364" s="17" t="str"/>
      <x:c r="R364" s="17" t="str">
        <x:v>index.quote.kd_pct_sum</x:v>
      </x:c>
      <x:c r="S364" s="17" t="str"/>
      <x:c r="T364" s="17" t="str"/>
      <x:c r="U364" s="17" t="str">
        <x:v>r1</x:v>
      </x:c>
      <x:c r="V364" s="30" t="n">
        <x:v>2</x:v>
      </x:c>
      <x:c r="W364" s="17" t="str">
        <x:v>high</x:v>
      </x:c>
    </x:row>
    <x:row r="365" ht="54" customHeight="1">
      <x:c r="A365" s="17" t="str">
        <x:v>BUS101</x:v>
      </x:c>
      <x:c r="B365" s="17" t="str">
        <x:v>筛选沪深300成分股中PE_TTM低于20且今天上涨的股票。</x:v>
      </x:c>
      <x:c r="C365" s="17" t="n">
        <x:v>1</x:v>
      </x:c>
      <x:c r="D365" s="17" t="str"/>
      <x:c r="E365" s="17" t="str">
        <x:v>工具调用</x:v>
      </x:c>
      <x:c r="F365" s="17" t="str">
        <x:v>read_finance_catalog</x:v>
      </x:c>
      <x:c r="G365" s="17" t="str"/>
      <x:c r="H365" s="17" t="str"/>
      <x:c r="I365" s="17" t="str">
        <x:v>合理操作</x:v>
      </x:c>
      <x:c r="J365" s="17" t="str">
        <x:v>是</x:v>
      </x:c>
      <x:c r="K365" s="18"/>
      <x:c r="L365" s="17" t="str">
        <x:v>否</x:v>
      </x:c>
      <x:c r="M365" s="17" t="str">
        <x:v>否</x:v>
      </x:c>
      <x:c r="N365" s="17" t="str">
        <x:v>target_catalog_located</x:v>
      </x:c>
      <x:c r="O365" s="17" t="str">
        <x:v>expected_dataview_catalog</x:v>
      </x:c>
      <x:c r="P365" s="17" t="str"/>
      <x:c r="Q365" s="17" t="str"/>
      <x:c r="R365" s="17" t="str"/>
      <x:c r="S365" s="17" t="str">
        <x:v>index</x:v>
      </x:c>
      <x:c r="T365" s="17" t="str">
        <x:v>constitution</x:v>
      </x:c>
      <x:c r="U365" s="17" t="str"/>
      <x:c r="V365" s="30"/>
      <x:c r="W365" s="17" t="str">
        <x:v>high</x:v>
      </x:c>
    </x:row>
    <x:row r="366" ht="54" customHeight="1">
      <x:c r="A366" s="17" t="str">
        <x:v>BUS101</x:v>
      </x:c>
      <x:c r="B366" s="17" t="str">
        <x:v>筛选沪深300成分股中PE_TTM低于20且今天上涨的股票。</x:v>
      </x:c>
      <x:c r="C366" s="17" t="n">
        <x:v>2</x:v>
      </x:c>
      <x:c r="D366" s="17" t="str"/>
      <x:c r="E366" s="17" t="str">
        <x:v>工具调用</x:v>
      </x:c>
      <x:c r="F366" s="17" t="str">
        <x:v>read_finance_catalog</x:v>
      </x:c>
      <x:c r="G366" s="17" t="str"/>
      <x:c r="H366" s="17" t="str"/>
      <x:c r="I366" s="17" t="str">
        <x:v>合理操作</x:v>
      </x:c>
      <x:c r="J366" s="17" t="str">
        <x:v>是</x:v>
      </x:c>
      <x:c r="K366" s="18"/>
      <x:c r="L366" s="17" t="str">
        <x:v>否</x:v>
      </x:c>
      <x:c r="M366" s="17" t="str">
        <x:v>否</x:v>
      </x:c>
      <x:c r="N366" s="17" t="str">
        <x:v>target_catalog_located</x:v>
      </x:c>
      <x:c r="O366" s="17" t="str">
        <x:v>expected_dataview_catalog</x:v>
      </x:c>
      <x:c r="P366" s="17" t="str"/>
      <x:c r="Q366" s="17" t="str"/>
      <x:c r="R366" s="17" t="str"/>
      <x:c r="S366" s="17" t="str">
        <x:v>stock</x:v>
      </x:c>
      <x:c r="T366" s="17" t="str">
        <x:v>quote</x:v>
      </x:c>
      <x:c r="U366" s="17" t="str"/>
      <x:c r="V366" s="30"/>
      <x:c r="W366" s="17" t="str">
        <x:v>high</x:v>
      </x:c>
    </x:row>
    <x:row r="367" ht="54" customHeight="1">
      <x:c r="A367" s="17" t="str">
        <x:v>BUS101</x:v>
      </x:c>
      <x:c r="B367" s="17" t="str">
        <x:v>筛选沪深300成分股中PE_TTM低于20且今天上涨的股票。</x:v>
      </x:c>
      <x:c r="C367" s="17" t="n">
        <x:v>3</x:v>
      </x:c>
      <x:c r="D367" s="17" t="str"/>
      <x:c r="E367" s="17" t="str">
        <x:v>工具调用</x:v>
      </x:c>
      <x:c r="F367" s="17" t="str">
        <x:v>read_finance_catalog</x:v>
      </x:c>
      <x:c r="G367" s="17" t="str"/>
      <x:c r="H367" s="17" t="str"/>
      <x:c r="I367" s="17" t="str">
        <x:v>合理操作</x:v>
      </x:c>
      <x:c r="J367" s="17" t="str">
        <x:v>是</x:v>
      </x:c>
      <x:c r="K367" s="18"/>
      <x:c r="L367" s="17" t="str">
        <x:v>否</x:v>
      </x:c>
      <x:c r="M367" s="17" t="str">
        <x:v>否</x:v>
      </x:c>
      <x:c r="N367" s="17" t="str">
        <x:v>target_catalog_located</x:v>
      </x:c>
      <x:c r="O367" s="17" t="str">
        <x:v>expected_dataview_catalog</x:v>
      </x:c>
      <x:c r="P367" s="17" t="str"/>
      <x:c r="Q367" s="17" t="str"/>
      <x:c r="R367" s="17" t="str"/>
      <x:c r="S367" s="17" t="str">
        <x:v>stock</x:v>
      </x:c>
      <x:c r="T367" s="17" t="str">
        <x:v>pricevalue</x:v>
      </x:c>
      <x:c r="U367" s="17" t="str"/>
      <x:c r="V367" s="30"/>
      <x:c r="W367" s="17" t="str">
        <x:v>high</x:v>
      </x:c>
    </x:row>
    <x:row r="368" ht="54" customHeight="1">
      <x:c r="A368" s="17" t="str">
        <x:v>BUS101</x:v>
      </x:c>
      <x:c r="B368" s="17" t="str">
        <x:v>筛选沪深300成分股中PE_TTM低于20且今天上涨的股票。</x:v>
      </x:c>
      <x:c r="C368" s="17" t="n">
        <x:v>4</x:v>
      </x:c>
      <x:c r="D368" s="17" t="str"/>
      <x:c r="E368" s="17" t="str">
        <x:v>工具调用</x:v>
      </x:c>
      <x:c r="F368" s="17" t="str">
        <x:v>finance_query</x:v>
      </x:c>
      <x:c r="G368" s="17" t="str">
        <x:v>r1 = index.constitution(filter = "index_name = 沪深300", limit = -1) -&gt; stock_code, stock_name</x:v>
      </x:c>
      <x:c r="H368" s="17" t="str"/>
      <x:c r="I368" s="17" t="str">
        <x:v>合理操作</x:v>
      </x:c>
      <x:c r="J368" s="17" t="str">
        <x:v>是</x:v>
      </x:c>
      <x:c r="K368" s="18"/>
      <x:c r="L368" s="17" t="str">
        <x:v>否</x:v>
      </x:c>
      <x:c r="M368" s="17" t="str">
        <x:v>否</x:v>
      </x:c>
      <x:c r="N368" s="17" t="str">
        <x:v>target_api_executed</x:v>
      </x:c>
      <x:c r="O368" s="17" t="str">
        <x:v>expected_dataview_coverage</x:v>
      </x:c>
      <x:c r="P368" s="17" t="str">
        <x:v>session://financial_qa_33499cfa81de4d06_2796_2055835371e4/vars/v1</x:v>
      </x:c>
      <x:c r="Q368" s="17" t="str"/>
      <x:c r="R368" s="17" t="str">
        <x:v>index.constitution</x:v>
      </x:c>
      <x:c r="S368" s="17" t="str"/>
      <x:c r="T368" s="17" t="str"/>
      <x:c r="U368" s="17" t="str">
        <x:v>r1</x:v>
      </x:c>
      <x:c r="V368" s="30" t="n">
        <x:v>100</x:v>
      </x:c>
      <x:c r="W368" s="17" t="str">
        <x:v>high</x:v>
      </x:c>
    </x:row>
    <x:row r="369" ht="54" customHeight="1">
      <x:c r="A369" s="17" t="str">
        <x:v>BUS101</x:v>
      </x:c>
      <x:c r="B369" s="17" t="str">
        <x:v>筛选沪深300成分股中PE_TTM低于20且今天上涨的股票。</x:v>
      </x:c>
      <x:c r="C369" s="17" t="n">
        <x:v>5</x:v>
      </x:c>
      <x:c r="D369" s="17" t="str"/>
      <x:c r="E369" s="17" t="str">
        <x:v>工具调用</x:v>
      </x:c>
      <x:c r="F369" s="17" t="str">
        <x:v>finance_query</x:v>
      </x:c>
      <x:c r="G369" s="17" t="str">
        <x:v>r2 = stock.pricevalue(filter = "code in r1.stock_code and pe_ttm &lt; 20", order = "pe_ttm asc", limit = -1, realtime = 0) -&gt; code, name, tradedate, pe_ttm</x:v>
      </x:c>
      <x:c r="H369" s="17" t="str"/>
      <x:c r="I369" s="17" t="str">
        <x:v>合理操作</x:v>
      </x:c>
      <x:c r="J369" s="17" t="str">
        <x:v>是</x:v>
      </x:c>
      <x:c r="K369" s="18"/>
      <x:c r="L369" s="17" t="str">
        <x:v>否</x:v>
      </x:c>
      <x:c r="M369" s="17" t="str">
        <x:v>否</x:v>
      </x:c>
      <x:c r="N369" s="17" t="str">
        <x:v>target_api_executed</x:v>
      </x:c>
      <x:c r="O369" s="17" t="str">
        <x:v>expected_dataview_coverage</x:v>
      </x:c>
      <x:c r="P369" s="17" t="str">
        <x:v>session://financial_qa_33499cfa81de4d06_2796_2055835371e4/vars/v2</x:v>
      </x:c>
      <x:c r="Q369" s="17" t="str"/>
      <x:c r="R369" s="17" t="str">
        <x:v>stock.pricevalue</x:v>
      </x:c>
      <x:c r="S369" s="17" t="str"/>
      <x:c r="T369" s="17" t="str"/>
      <x:c r="U369" s="17" t="str">
        <x:v>r2</x:v>
      </x:c>
      <x:c r="V369" s="30" t="n">
        <x:v>35</x:v>
      </x:c>
      <x:c r="W369" s="17" t="str">
        <x:v>high</x:v>
      </x:c>
    </x:row>
    <x:row r="370" ht="54" customHeight="1">
      <x:c r="A370" s="17" t="str">
        <x:v>BUS101</x:v>
      </x:c>
      <x:c r="B370" s="17" t="str">
        <x:v>筛选沪深300成分股中PE_TTM低于20且今天上涨的股票。</x:v>
      </x:c>
      <x:c r="C370" s="17" t="n">
        <x:v>6</x:v>
      </x:c>
      <x:c r="D370" s="17" t="str"/>
      <x:c r="E370" s="17" t="str">
        <x:v>工具调用</x:v>
      </x:c>
      <x:c r="F370" s="17" t="str">
        <x:v>finance_query</x:v>
      </x:c>
      <x:c r="G370" s="17" t="str">
        <x:v>r3 = stock.quote(filter = "code in r2.code and pct &gt; 0", order = "pct desc", limit = -1, realtime = 0) -&gt; code, name, tradedate, close, pct</x:v>
      </x:c>
      <x:c r="H370" s="17" t="str"/>
      <x:c r="I370" s="17" t="str">
        <x:v>合理操作</x:v>
      </x:c>
      <x:c r="J370" s="17" t="str">
        <x:v>是</x:v>
      </x:c>
      <x:c r="K370" s="18"/>
      <x:c r="L370" s="17" t="str">
        <x:v>否</x:v>
      </x:c>
      <x:c r="M370" s="17" t="str">
        <x:v>否</x:v>
      </x:c>
      <x:c r="N370" s="17" t="str">
        <x:v>target_api_executed</x:v>
      </x:c>
      <x:c r="O370" s="17" t="str">
        <x:v>expected_dataview_coverage</x:v>
      </x:c>
      <x:c r="P370" s="17" t="str">
        <x:v>session://financial_qa_33499cfa81de4d06_2796_2055835371e4/vars/v3</x:v>
      </x:c>
      <x:c r="Q370" s="17" t="str"/>
      <x:c r="R370" s="17" t="str">
        <x:v>stock.quote</x:v>
      </x:c>
      <x:c r="S370" s="17" t="str"/>
      <x:c r="T370" s="17" t="str"/>
      <x:c r="U370" s="17" t="str">
        <x:v>r3</x:v>
      </x:c>
      <x:c r="V370" s="30" t="n">
        <x:v>18</x:v>
      </x:c>
      <x:c r="W370" s="17" t="str">
        <x:v>high</x:v>
      </x:c>
    </x:row>
    <x:row r="371" ht="54" customHeight="1">
      <x:c r="A371" s="17" t="str">
        <x:v>BUS101</x:v>
      </x:c>
      <x:c r="B371" s="17" t="str">
        <x:v>筛选沪深300成分股中PE_TTM低于20且今天上涨的股票。</x:v>
      </x:c>
      <x:c r="C371" s="17" t="n">
        <x:v>7</x:v>
      </x:c>
      <x:c r="D371" s="17" t="str"/>
      <x:c r="E371" s="17" t="str">
        <x:v>工具调用</x:v>
      </x:c>
      <x:c r="F371" s="17" t="str">
        <x:v>load_finance_result</x:v>
      </x:c>
      <x:c r="G371" s="17" t="str"/>
      <x:c r="H371" s="17" t="str"/>
      <x:c r="I371" s="17" t="str">
        <x:v>合理操作</x:v>
      </x:c>
      <x:c r="J371" s="17" t="str">
        <x:v>是</x:v>
      </x:c>
      <x:c r="K371" s="18"/>
      <x:c r="L371" s="17" t="str">
        <x:v>否</x:v>
      </x:c>
      <x:c r="M371" s="17" t="str">
        <x:v>否</x:v>
      </x:c>
      <x:c r="N371" s="17" t="str">
        <x:v>load_truncated_result</x:v>
      </x:c>
      <x:c r="O371" s="17" t="str">
        <x:v>sample_incomplete_requires_full_result</x:v>
      </x:c>
      <x:c r="P371" s="17" t="str">
        <x:v>session://financial_qa_33499cfa81de4d06_2796_2055835371e4/vars/v3</x:v>
      </x:c>
      <x:c r="Q371" s="17" t="str"/>
      <x:c r="R371" s="17" t="str"/>
      <x:c r="S371" s="17" t="str"/>
      <x:c r="T371" s="17" t="str"/>
      <x:c r="U371" s="17" t="str"/>
      <x:c r="V371" s="30"/>
      <x:c r="W371" s="17" t="str">
        <x:v>high</x:v>
      </x:c>
    </x:row>
    <x:row r="372" ht="54" customHeight="1">
      <x:c r="A372" s="17" t="str">
        <x:v>BUS101</x:v>
      </x:c>
      <x:c r="B372" s="17" t="str">
        <x:v>筛选沪深300成分股中PE_TTM低于20且今天上涨的股票。</x:v>
      </x:c>
      <x:c r="C372" s="17" t="n">
        <x:v>8</x:v>
      </x:c>
      <x:c r="D372" s="17" t="str"/>
      <x:c r="E372" s="17" t="str">
        <x:v>工具调用</x:v>
      </x:c>
      <x:c r="F372" s="17" t="str">
        <x:v>load_finance_result</x:v>
      </x:c>
      <x:c r="G372" s="17" t="str"/>
      <x:c r="H372" s="17" t="str"/>
      <x:c r="I372" s="17" t="str">
        <x:v>合理操作</x:v>
      </x:c>
      <x:c r="J372" s="17" t="str">
        <x:v>是</x:v>
      </x:c>
      <x:c r="K372" s="18"/>
      <x:c r="L372" s="17" t="str">
        <x:v>否</x:v>
      </x:c>
      <x:c r="M372" s="17" t="str">
        <x:v>否</x:v>
      </x:c>
      <x:c r="N372" s="17" t="str">
        <x:v>load_truncated_result</x:v>
      </x:c>
      <x:c r="O372" s="17" t="str">
        <x:v>sample_incomplete_requires_full_result</x:v>
      </x:c>
      <x:c r="P372" s="17" t="str">
        <x:v>session://financial_qa_33499cfa81de4d06_2796_2055835371e4/vars/v2</x:v>
      </x:c>
      <x:c r="Q372" s="17" t="str"/>
      <x:c r="R372" s="17" t="str"/>
      <x:c r="S372" s="17" t="str"/>
      <x:c r="T372" s="17" t="str"/>
      <x:c r="U372" s="17" t="str"/>
      <x:c r="V372" s="30"/>
      <x:c r="W372" s="17" t="str">
        <x:v>high</x:v>
      </x:c>
    </x:row>
    <x:row r="373" ht="54" customHeight="1">
      <x:c r="A373" s="17" t="str">
        <x:v>BUS102</x:v>
      </x:c>
      <x:c r="B373" s="17" t="str">
        <x:v>统计中证500成分股当前总市值最大的前10只股票。</x:v>
      </x:c>
      <x:c r="C373" s="17" t="n">
        <x:v>1</x:v>
      </x:c>
      <x:c r="D373" s="17" t="str"/>
      <x:c r="E373" s="17" t="str">
        <x:v>工具调用</x:v>
      </x:c>
      <x:c r="F373" s="17" t="str">
        <x:v>read_finance_catalog</x:v>
      </x:c>
      <x:c r="G373" s="17" t="str"/>
      <x:c r="H373" s="17" t="str"/>
      <x:c r="I373" s="17" t="str">
        <x:v>合理操作</x:v>
      </x:c>
      <x:c r="J373" s="17" t="str">
        <x:v>是</x:v>
      </x:c>
      <x:c r="K373" s="18"/>
      <x:c r="L373" s="17" t="str">
        <x:v>否</x:v>
      </x:c>
      <x:c r="M373" s="17" t="str">
        <x:v>否</x:v>
      </x:c>
      <x:c r="N373" s="17" t="str">
        <x:v>target_catalog_located</x:v>
      </x:c>
      <x:c r="O373" s="17" t="str">
        <x:v>expected_dataview_catalog</x:v>
      </x:c>
      <x:c r="P373" s="17" t="str"/>
      <x:c r="Q373" s="17" t="str"/>
      <x:c r="R373" s="17" t="str"/>
      <x:c r="S373" s="17" t="str">
        <x:v>index</x:v>
      </x:c>
      <x:c r="T373" s="17" t="str">
        <x:v>constitution</x:v>
      </x:c>
      <x:c r="U373" s="17" t="str"/>
      <x:c r="V373" s="30"/>
      <x:c r="W373" s="17" t="str">
        <x:v>high</x:v>
      </x:c>
    </x:row>
    <x:row r="374" ht="54" customHeight="1">
      <x:c r="A374" s="17" t="str">
        <x:v>BUS102</x:v>
      </x:c>
      <x:c r="B374" s="17" t="str">
        <x:v>统计中证500成分股当前总市值最大的前10只股票。</x:v>
      </x:c>
      <x:c r="C374" s="17" t="n">
        <x:v>2</x:v>
      </x:c>
      <x:c r="D374" s="17" t="str"/>
      <x:c r="E374" s="17" t="str">
        <x:v>工具调用</x:v>
      </x:c>
      <x:c r="F374" s="17" t="str">
        <x:v>read_finance_catalog</x:v>
      </x:c>
      <x:c r="G374" s="17" t="str"/>
      <x:c r="H374" s="17" t="str"/>
      <x:c r="I374" s="17" t="str">
        <x:v>合理操作</x:v>
      </x:c>
      <x:c r="J374" s="17" t="str">
        <x:v>是</x:v>
      </x:c>
      <x:c r="K374" s="18"/>
      <x:c r="L374" s="17" t="str">
        <x:v>否</x:v>
      </x:c>
      <x:c r="M374" s="17" t="str">
        <x:v>否</x:v>
      </x:c>
      <x:c r="N374" s="17" t="str">
        <x:v>target_catalog_located</x:v>
      </x:c>
      <x:c r="O374" s="17" t="str">
        <x:v>expected_dataview_catalog</x:v>
      </x:c>
      <x:c r="P374" s="17" t="str"/>
      <x:c r="Q374" s="17" t="str"/>
      <x:c r="R374" s="17" t="str"/>
      <x:c r="S374" s="17" t="str">
        <x:v>stock</x:v>
      </x:c>
      <x:c r="T374" s="17" t="str">
        <x:v>pricevalue</x:v>
      </x:c>
      <x:c r="U374" s="17" t="str"/>
      <x:c r="V374" s="30"/>
      <x:c r="W374" s="17" t="str">
        <x:v>high</x:v>
      </x:c>
    </x:row>
    <x:row r="375" ht="54" customHeight="1">
      <x:c r="A375" s="17" t="str">
        <x:v>BUS102</x:v>
      </x:c>
      <x:c r="B375" s="17" t="str">
        <x:v>统计中证500成分股当前总市值最大的前10只股票。</x:v>
      </x:c>
      <x:c r="C375" s="17" t="n">
        <x:v>3</x:v>
      </x:c>
      <x:c r="D375" s="17" t="str"/>
      <x:c r="E375" s="17" t="str">
        <x:v>工具调用</x:v>
      </x:c>
      <x:c r="F375" s="17" t="str">
        <x:v>finance_query</x:v>
      </x:c>
      <x:c r="G375" s="17" t="str">
        <x:v>r1 = index.constitution(filter = "index_name = 中证500", limit = -1) -&gt; index_code, index_name, stock_code, stock_name</x:v>
      </x:c>
      <x:c r="H375" s="17" t="str"/>
      <x:c r="I375" s="17" t="str">
        <x:v>合理操作</x:v>
      </x:c>
      <x:c r="J375" s="17" t="str">
        <x:v>是</x:v>
      </x:c>
      <x:c r="K375" s="18"/>
      <x:c r="L375" s="17" t="str">
        <x:v>否</x:v>
      </x:c>
      <x:c r="M375" s="17" t="str">
        <x:v>否</x:v>
      </x:c>
      <x:c r="N375" s="17" t="str">
        <x:v>target_api_executed</x:v>
      </x:c>
      <x:c r="O375" s="17" t="str">
        <x:v>expected_dataview_coverage</x:v>
      </x:c>
      <x:c r="P375" s="17" t="str">
        <x:v>session://financial_qa_33499cfa81de4d06_2797_5a4a8eb37d04/vars/v1</x:v>
      </x:c>
      <x:c r="Q375" s="17" t="str"/>
      <x:c r="R375" s="17" t="str">
        <x:v>index.constitution</x:v>
      </x:c>
      <x:c r="S375" s="17" t="str"/>
      <x:c r="T375" s="17" t="str"/>
      <x:c r="U375" s="17" t="str">
        <x:v>r1</x:v>
      </x:c>
      <x:c r="V375" s="30" t="n">
        <x:v>100</x:v>
      </x:c>
      <x:c r="W375" s="17" t="str">
        <x:v>high</x:v>
      </x:c>
    </x:row>
    <x:row r="376" ht="54" customHeight="1">
      <x:c r="A376" s="17" t="str">
        <x:v>BUS102</x:v>
      </x:c>
      <x:c r="B376" s="17" t="str">
        <x:v>统计中证500成分股当前总市值最大的前10只股票。</x:v>
      </x:c>
      <x:c r="C376" s="17" t="n">
        <x:v>4</x:v>
      </x:c>
      <x:c r="D376" s="17" t="str"/>
      <x:c r="E376" s="17" t="str">
        <x:v>工具调用</x:v>
      </x:c>
      <x:c r="F376" s="17" t="str">
        <x:v>finance_query</x:v>
      </x:c>
      <x:c r="G376" s="17" t="str">
        <x:v>r2 = stock.pricevalue(filter = "code in r1.stock_code", order = "market_value desc", limit = 10, realtime = 0) -&gt; code, name, market_value</x:v>
      </x:c>
      <x:c r="H376" s="17" t="str"/>
      <x:c r="I376" s="17" t="str">
        <x:v>合理操作</x:v>
      </x:c>
      <x:c r="J376" s="17" t="str">
        <x:v>是</x:v>
      </x:c>
      <x:c r="K376" s="18"/>
      <x:c r="L376" s="17" t="str">
        <x:v>否</x:v>
      </x:c>
      <x:c r="M376" s="17" t="str">
        <x:v>否</x:v>
      </x:c>
      <x:c r="N376" s="17" t="str">
        <x:v>target_api_executed</x:v>
      </x:c>
      <x:c r="O376" s="17" t="str">
        <x:v>expected_dataview_coverage</x:v>
      </x:c>
      <x:c r="P376" s="17" t="str">
        <x:v>session://financial_qa_33499cfa81de4d06_2797_5a4a8eb37d04/vars/v2</x:v>
      </x:c>
      <x:c r="Q376" s="17" t="str"/>
      <x:c r="R376" s="17" t="str">
        <x:v>stock.pricevalue</x:v>
      </x:c>
      <x:c r="S376" s="17" t="str"/>
      <x:c r="T376" s="17" t="str"/>
      <x:c r="U376" s="17" t="str">
        <x:v>r2</x:v>
      </x:c>
      <x:c r="V376" s="30" t="n">
        <x:v>10</x:v>
      </x:c>
      <x:c r="W376" s="17" t="str">
        <x:v>high</x:v>
      </x:c>
    </x:row>
    <x:row r="377" ht="54" customHeight="1">
      <x:c r="A377" s="17" t="str">
        <x:v>BUS102</x:v>
      </x:c>
      <x:c r="B377" s="17" t="str">
        <x:v>统计中证500成分股当前总市值最大的前10只股票。</x:v>
      </x:c>
      <x:c r="C377" s="17" t="n">
        <x:v>5</x:v>
      </x:c>
      <x:c r="D377" s="17" t="str"/>
      <x:c r="E377" s="17" t="str">
        <x:v>工具调用</x:v>
      </x:c>
      <x:c r="F377" s="17" t="str">
        <x:v>load_finance_result</x:v>
      </x:c>
      <x:c r="G377" s="17" t="str"/>
      <x:c r="H377" s="17" t="str"/>
      <x:c r="I377" s="17" t="str">
        <x:v>合理操作</x:v>
      </x:c>
      <x:c r="J377" s="17" t="str">
        <x:v>是</x:v>
      </x:c>
      <x:c r="K377" s="18"/>
      <x:c r="L377" s="17" t="str">
        <x:v>否</x:v>
      </x:c>
      <x:c r="M377" s="17" t="str">
        <x:v>否</x:v>
      </x:c>
      <x:c r="N377" s="17" t="str">
        <x:v>load_truncated_result</x:v>
      </x:c>
      <x:c r="O377" s="17" t="str">
        <x:v>sample_incomplete_requires_full_result</x:v>
      </x:c>
      <x:c r="P377" s="17" t="str">
        <x:v>session://financial_qa_33499cfa81de4d06_2797_5a4a8eb37d04/vars/v2</x:v>
      </x:c>
      <x:c r="Q377" s="17" t="str"/>
      <x:c r="R377" s="17" t="str"/>
      <x:c r="S377" s="17" t="str"/>
      <x:c r="T377" s="17" t="str"/>
      <x:c r="U377" s="17" t="str"/>
      <x:c r="V377" s="30"/>
      <x:c r="W377" s="17" t="str">
        <x:v>high</x:v>
      </x:c>
    </x:row>
    <x:row r="378" ht="54" customHeight="1">
      <x:c r="A378" s="17" t="str">
        <x:v>BUS103</x:v>
      </x:c>
      <x:c r="B378" s="17" t="str">
        <x:v>同时查询沪深300当前点位、最新估值和前十大权重股。</x:v>
      </x:c>
      <x:c r="C378" s="17" t="n">
        <x:v>1</x:v>
      </x:c>
      <x:c r="D378" s="17" t="str"/>
      <x:c r="E378" s="17" t="str">
        <x:v>工具调用</x:v>
      </x:c>
      <x:c r="F378" s="17" t="str">
        <x:v>read_finance_catalog</x:v>
      </x:c>
      <x:c r="G378" s="17" t="str"/>
      <x:c r="H378" s="17" t="str"/>
      <x:c r="I378" s="17" t="str">
        <x:v>合理操作</x:v>
      </x:c>
      <x:c r="J378" s="17" t="str">
        <x:v>是</x:v>
      </x:c>
      <x:c r="K378" s="18"/>
      <x:c r="L378" s="17" t="str">
        <x:v>否</x:v>
      </x:c>
      <x:c r="M378" s="17" t="str">
        <x:v>否</x:v>
      </x:c>
      <x:c r="N378" s="17" t="str">
        <x:v>target_catalog_located</x:v>
      </x:c>
      <x:c r="O378" s="17" t="str">
        <x:v>expected_dataview_catalog</x:v>
      </x:c>
      <x:c r="P378" s="17" t="str"/>
      <x:c r="Q378" s="17" t="str"/>
      <x:c r="R378" s="17" t="str"/>
      <x:c r="S378" s="17" t="str">
        <x:v>index</x:v>
      </x:c>
      <x:c r="T378" s="17" t="str">
        <x:v>quote</x:v>
      </x:c>
      <x:c r="U378" s="17" t="str"/>
      <x:c r="V378" s="30"/>
      <x:c r="W378" s="17" t="str">
        <x:v>high</x:v>
      </x:c>
    </x:row>
    <x:row r="379" ht="54" customHeight="1">
      <x:c r="A379" s="17" t="str">
        <x:v>BUS103</x:v>
      </x:c>
      <x:c r="B379" s="17" t="str">
        <x:v>同时查询沪深300当前点位、最新估值和前十大权重股。</x:v>
      </x:c>
      <x:c r="C379" s="17" t="n">
        <x:v>2</x:v>
      </x:c>
      <x:c r="D379" s="17" t="str"/>
      <x:c r="E379" s="17" t="str">
        <x:v>工具调用</x:v>
      </x:c>
      <x:c r="F379" s="17" t="str">
        <x:v>read_finance_catalog</x:v>
      </x:c>
      <x:c r="G379" s="17" t="str"/>
      <x:c r="H379" s="17" t="str"/>
      <x:c r="I379" s="17" t="str">
        <x:v>合理操作</x:v>
      </x:c>
      <x:c r="J379" s="17" t="str">
        <x:v>是</x:v>
      </x:c>
      <x:c r="K379" s="18"/>
      <x:c r="L379" s="17" t="str">
        <x:v>否</x:v>
      </x:c>
      <x:c r="M379" s="17" t="str">
        <x:v>否</x:v>
      </x:c>
      <x:c r="N379" s="17" t="str">
        <x:v>target_catalog_located</x:v>
      </x:c>
      <x:c r="O379" s="17" t="str">
        <x:v>expected_dataview_catalog</x:v>
      </x:c>
      <x:c r="P379" s="17" t="str"/>
      <x:c r="Q379" s="17" t="str"/>
      <x:c r="R379" s="17" t="str"/>
      <x:c r="S379" s="17" t="str">
        <x:v>index</x:v>
      </x:c>
      <x:c r="T379" s="17" t="str">
        <x:v>pricevalue</x:v>
      </x:c>
      <x:c r="U379" s="17" t="str"/>
      <x:c r="V379" s="30"/>
      <x:c r="W379" s="17" t="str">
        <x:v>high</x:v>
      </x:c>
    </x:row>
    <x:row r="380" ht="54" customHeight="1">
      <x:c r="A380" s="17" t="str">
        <x:v>BUS103</x:v>
      </x:c>
      <x:c r="B380" s="17" t="str">
        <x:v>同时查询沪深300当前点位、最新估值和前十大权重股。</x:v>
      </x:c>
      <x:c r="C380" s="17" t="n">
        <x:v>3</x:v>
      </x:c>
      <x:c r="D380" s="17" t="str"/>
      <x:c r="E380" s="17" t="str">
        <x:v>工具调用</x:v>
      </x:c>
      <x:c r="F380" s="17" t="str">
        <x:v>read_finance_catalog</x:v>
      </x:c>
      <x:c r="G380" s="17" t="str"/>
      <x:c r="H380" s="17" t="str"/>
      <x:c r="I380" s="17" t="str">
        <x:v>合理操作</x:v>
      </x:c>
      <x:c r="J380" s="17" t="str">
        <x:v>是</x:v>
      </x:c>
      <x:c r="K380" s="18"/>
      <x:c r="L380" s="17" t="str">
        <x:v>否</x:v>
      </x:c>
      <x:c r="M380" s="17" t="str">
        <x:v>否</x:v>
      </x:c>
      <x:c r="N380" s="17" t="str">
        <x:v>target_catalog_located</x:v>
      </x:c>
      <x:c r="O380" s="17" t="str">
        <x:v>expected_dataview_catalog</x:v>
      </x:c>
      <x:c r="P380" s="17" t="str"/>
      <x:c r="Q380" s="17" t="str"/>
      <x:c r="R380" s="17" t="str"/>
      <x:c r="S380" s="17" t="str">
        <x:v>index</x:v>
      </x:c>
      <x:c r="T380" s="17" t="str">
        <x:v>constitution</x:v>
      </x:c>
      <x:c r="U380" s="17" t="str"/>
      <x:c r="V380" s="30"/>
      <x:c r="W380" s="17" t="str">
        <x:v>high</x:v>
      </x:c>
    </x:row>
    <x:row r="381" ht="54" customHeight="1">
      <x:c r="A381" s="17" t="str">
        <x:v>BUS103</x:v>
      </x:c>
      <x:c r="B381" s="17" t="str">
        <x:v>同时查询沪深300当前点位、最新估值和前十大权重股。</x:v>
      </x:c>
      <x:c r="C381" s="17" t="n">
        <x:v>4</x:v>
      </x:c>
      <x:c r="D381" s="17" t="str"/>
      <x:c r="E381" s="17" t="str">
        <x:v>工具调用</x:v>
      </x:c>
      <x:c r="F381" s="17" t="str">
        <x:v>finance_query</x:v>
      </x:c>
      <x:c r="G381" s="17" t="str">
        <x:v>r1 = index.quote(filter = "code = 000300.SH", limit = 1, realtime = 2) -&gt; code, name, tradedate, close, pct</x:v>
      </x:c>
      <x:c r="H381" s="17" t="str"/>
      <x:c r="I381" s="17" t="str">
        <x:v>合理操作</x:v>
      </x:c>
      <x:c r="J381" s="17" t="str">
        <x:v>是</x:v>
      </x:c>
      <x:c r="K381" s="18"/>
      <x:c r="L381" s="17" t="str">
        <x:v>否</x:v>
      </x:c>
      <x:c r="M381" s="17" t="str">
        <x:v>否</x:v>
      </x:c>
      <x:c r="N381" s="17" t="str">
        <x:v>target_api_executed</x:v>
      </x:c>
      <x:c r="O381" s="17" t="str">
        <x:v>expected_dataview_coverage</x:v>
      </x:c>
      <x:c r="P381" s="17" t="str">
        <x:v>session://financial_qa_33499cfa81de4d06_2798_80d4ddaf3286/vars/v1</x:v>
      </x:c>
      <x:c r="Q381" s="17" t="str"/>
      <x:c r="R381" s="17" t="str">
        <x:v>index.quote</x:v>
      </x:c>
      <x:c r="S381" s="17" t="str"/>
      <x:c r="T381" s="17" t="str"/>
      <x:c r="U381" s="17" t="str">
        <x:v>r1</x:v>
      </x:c>
      <x:c r="V381" s="30" t="n">
        <x:v>1</x:v>
      </x:c>
      <x:c r="W381" s="17" t="str">
        <x:v>high</x:v>
      </x:c>
    </x:row>
    <x:row r="382" ht="54" customHeight="1">
      <x:c r="A382" s="17" t="str">
        <x:v>BUS103</x:v>
      </x:c>
      <x:c r="B382" s="17" t="str">
        <x:v>同时查询沪深300当前点位、最新估值和前十大权重股。</x:v>
      </x:c>
      <x:c r="C382" s="17" t="n">
        <x:v>5</x:v>
      </x:c>
      <x:c r="D382" s="17" t="str"/>
      <x:c r="E382" s="17" t="str">
        <x:v>工具调用</x:v>
      </x:c>
      <x:c r="F382" s="17" t="str">
        <x:v>finance_query</x:v>
      </x:c>
      <x:c r="G382" s="17" t="str">
        <x:v>r2 = index.pricevalue(filter = "code = 000300.SH", limit = 1, realtime = 2) -&gt; code, name, tradedate, pe_ttm, pb_mrq</x:v>
      </x:c>
      <x:c r="H382" s="17" t="str"/>
      <x:c r="I382" s="17" t="str">
        <x:v>合理操作</x:v>
      </x:c>
      <x:c r="J382" s="17" t="str">
        <x:v>是</x:v>
      </x:c>
      <x:c r="K382" s="18"/>
      <x:c r="L382" s="17" t="str">
        <x:v>否</x:v>
      </x:c>
      <x:c r="M382" s="17" t="str">
        <x:v>否</x:v>
      </x:c>
      <x:c r="N382" s="17" t="str">
        <x:v>target_api_executed</x:v>
      </x:c>
      <x:c r="O382" s="17" t="str">
        <x:v>expected_dataview_coverage</x:v>
      </x:c>
      <x:c r="P382" s="17" t="str">
        <x:v>session://financial_qa_33499cfa81de4d06_2798_80d4ddaf3286/vars/v2</x:v>
      </x:c>
      <x:c r="Q382" s="17" t="str"/>
      <x:c r="R382" s="17" t="str">
        <x:v>index.pricevalue</x:v>
      </x:c>
      <x:c r="S382" s="17" t="str"/>
      <x:c r="T382" s="17" t="str"/>
      <x:c r="U382" s="17" t="str">
        <x:v>r2</x:v>
      </x:c>
      <x:c r="V382" s="30" t="n">
        <x:v>1</x:v>
      </x:c>
      <x:c r="W382" s="17" t="str">
        <x:v>high</x:v>
      </x:c>
    </x:row>
    <x:row r="383" ht="54" customHeight="1">
      <x:c r="A383" s="17" t="str">
        <x:v>BUS103</x:v>
      </x:c>
      <x:c r="B383" s="17" t="str">
        <x:v>同时查询沪深300当前点位、最新估值和前十大权重股。</x:v>
      </x:c>
      <x:c r="C383" s="17" t="n">
        <x:v>6</x:v>
      </x:c>
      <x:c r="D383" s="17" t="str"/>
      <x:c r="E383" s="17" t="str">
        <x:v>工具调用</x:v>
      </x:c>
      <x:c r="F383" s="17" t="str">
        <x:v>finance_query</x:v>
      </x:c>
      <x:c r="G383" s="17" t="str">
        <x:v>r3 = index.constitution(filter = "index_code = 000300.SH", order = "weight desc", limit = 10) -&gt; index_code, index_name, stock_code, stock_name, weight</x:v>
      </x:c>
      <x:c r="H383" s="17" t="str"/>
      <x:c r="I383" s="17" t="str">
        <x:v>合理操作</x:v>
      </x:c>
      <x:c r="J383" s="17" t="str">
        <x:v>是</x:v>
      </x:c>
      <x:c r="K383" s="18"/>
      <x:c r="L383" s="17" t="str">
        <x:v>否</x:v>
      </x:c>
      <x:c r="M383" s="17" t="str">
        <x:v>否</x:v>
      </x:c>
      <x:c r="N383" s="17" t="str">
        <x:v>target_api_executed</x:v>
      </x:c>
      <x:c r="O383" s="17" t="str">
        <x:v>expected_dataview_coverage</x:v>
      </x:c>
      <x:c r="P383" s="17" t="str">
        <x:v>session://financial_qa_33499cfa81de4d06_2798_80d4ddaf3286/vars/v3</x:v>
      </x:c>
      <x:c r="Q383" s="17" t="str"/>
      <x:c r="R383" s="17" t="str">
        <x:v>index.constitution</x:v>
      </x:c>
      <x:c r="S383" s="17" t="str"/>
      <x:c r="T383" s="17" t="str"/>
      <x:c r="U383" s="17" t="str">
        <x:v>r3</x:v>
      </x:c>
      <x:c r="V383" s="30" t="n">
        <x:v>10</x:v>
      </x:c>
      <x:c r="W383" s="17" t="str">
        <x:v>high</x:v>
      </x:c>
    </x:row>
    <x:row r="384" ht="54" customHeight="1">
      <x:c r="A384" s="17" t="str">
        <x:v>BUS103</x:v>
      </x:c>
      <x:c r="B384" s="17" t="str">
        <x:v>同时查询沪深300当前点位、最新估值和前十大权重股。</x:v>
      </x:c>
      <x:c r="C384" s="17" t="n">
        <x:v>7</x:v>
      </x:c>
      <x:c r="D384" s="17" t="str"/>
      <x:c r="E384" s="17" t="str">
        <x:v>工具调用</x:v>
      </x:c>
      <x:c r="F384" s="17" t="str">
        <x:v>load_finance_result</x:v>
      </x:c>
      <x:c r="G384" s="17" t="str"/>
      <x:c r="H384" s="17" t="str"/>
      <x:c r="I384" s="17" t="str">
        <x:v>合理操作</x:v>
      </x:c>
      <x:c r="J384" s="17" t="str">
        <x:v>是</x:v>
      </x:c>
      <x:c r="K384" s="18"/>
      <x:c r="L384" s="17" t="str">
        <x:v>否</x:v>
      </x:c>
      <x:c r="M384" s="17" t="str">
        <x:v>否</x:v>
      </x:c>
      <x:c r="N384" s="17" t="str">
        <x:v>load_truncated_result</x:v>
      </x:c>
      <x:c r="O384" s="17" t="str">
        <x:v>sample_incomplete_requires_full_result</x:v>
      </x:c>
      <x:c r="P384" s="17" t="str">
        <x:v>session://financial_qa_33499cfa81de4d06_2798_80d4ddaf3286/vars/v3</x:v>
      </x:c>
      <x:c r="Q384" s="17" t="str"/>
      <x:c r="R384" s="17" t="str"/>
      <x:c r="S384" s="17" t="str"/>
      <x:c r="T384" s="17" t="str"/>
      <x:c r="U384" s="17" t="str"/>
      <x:c r="V384" s="30"/>
      <x:c r="W384" s="17" t="str">
        <x:v>high</x:v>
      </x:c>
    </x:row>
    <x:row r="385" ht="54" customHeight="1">
      <x:c r="A385" s="17" t="str">
        <x:v>BUS104</x:v>
      </x:c>
      <x:c r="B385" s="17" t="str">
        <x:v>查询创业板指涨跌幅，并列出其权重最高的成分股当前涨跌幅。</x:v>
      </x:c>
      <x:c r="C385" s="17" t="n">
        <x:v>1</x:v>
      </x:c>
      <x:c r="D385" s="17" t="str"/>
      <x:c r="E385" s="17" t="str">
        <x:v>工具调用</x:v>
      </x:c>
      <x:c r="F385" s="17" t="str">
        <x:v>read_finance_catalog</x:v>
      </x:c>
      <x:c r="G385" s="17" t="str"/>
      <x:c r="H385" s="17" t="str"/>
      <x:c r="I385" s="17" t="str">
        <x:v>合理操作</x:v>
      </x:c>
      <x:c r="J385" s="17" t="str">
        <x:v>是</x:v>
      </x:c>
      <x:c r="K385" s="18"/>
      <x:c r="L385" s="17" t="str">
        <x:v>否</x:v>
      </x:c>
      <x:c r="M385" s="17" t="str">
        <x:v>否</x:v>
      </x:c>
      <x:c r="N385" s="17" t="str">
        <x:v>target_catalog_located</x:v>
      </x:c>
      <x:c r="O385" s="17" t="str">
        <x:v>expected_dataview_catalog</x:v>
      </x:c>
      <x:c r="P385" s="17" t="str"/>
      <x:c r="Q385" s="17" t="str"/>
      <x:c r="R385" s="17" t="str"/>
      <x:c r="S385" s="17" t="str">
        <x:v>index</x:v>
      </x:c>
      <x:c r="T385" s="17" t="str">
        <x:v>quote</x:v>
      </x:c>
      <x:c r="U385" s="17" t="str"/>
      <x:c r="V385" s="30"/>
      <x:c r="W385" s="17" t="str">
        <x:v>high</x:v>
      </x:c>
    </x:row>
    <x:row r="386" ht="54" customHeight="1">
      <x:c r="A386" s="17" t="str">
        <x:v>BUS104</x:v>
      </x:c>
      <x:c r="B386" s="17" t="str">
        <x:v>查询创业板指涨跌幅，并列出其权重最高的成分股当前涨跌幅。</x:v>
      </x:c>
      <x:c r="C386" s="17" t="n">
        <x:v>2</x:v>
      </x:c>
      <x:c r="D386" s="17" t="str"/>
      <x:c r="E386" s="17" t="str">
        <x:v>工具调用</x:v>
      </x:c>
      <x:c r="F386" s="17" t="str">
        <x:v>read_finance_catalog</x:v>
      </x:c>
      <x:c r="G386" s="17" t="str"/>
      <x:c r="H386" s="17" t="str"/>
      <x:c r="I386" s="17" t="str">
        <x:v>合理操作</x:v>
      </x:c>
      <x:c r="J386" s="17" t="str">
        <x:v>是</x:v>
      </x:c>
      <x:c r="K386" s="18"/>
      <x:c r="L386" s="17" t="str">
        <x:v>否</x:v>
      </x:c>
      <x:c r="M386" s="17" t="str">
        <x:v>否</x:v>
      </x:c>
      <x:c r="N386" s="17" t="str">
        <x:v>target_catalog_located</x:v>
      </x:c>
      <x:c r="O386" s="17" t="str">
        <x:v>expected_dataview_catalog</x:v>
      </x:c>
      <x:c r="P386" s="17" t="str"/>
      <x:c r="Q386" s="17" t="str"/>
      <x:c r="R386" s="17" t="str"/>
      <x:c r="S386" s="17" t="str">
        <x:v>index</x:v>
      </x:c>
      <x:c r="T386" s="17" t="str">
        <x:v>constitution</x:v>
      </x:c>
      <x:c r="U386" s="17" t="str"/>
      <x:c r="V386" s="30"/>
      <x:c r="W386" s="17" t="str">
        <x:v>high</x:v>
      </x:c>
    </x:row>
    <x:row r="387" ht="54" customHeight="1">
      <x:c r="A387" s="17" t="str">
        <x:v>BUS104</x:v>
      </x:c>
      <x:c r="B387" s="17" t="str">
        <x:v>查询创业板指涨跌幅，并列出其权重最高的成分股当前涨跌幅。</x:v>
      </x:c>
      <x:c r="C387" s="17" t="n">
        <x:v>3</x:v>
      </x:c>
      <x:c r="D387" s="17" t="str"/>
      <x:c r="E387" s="17" t="str">
        <x:v>工具调用</x:v>
      </x:c>
      <x:c r="F387" s="17" t="str">
        <x:v>finance_query</x:v>
      </x:c>
      <x:c r="G387" s="17" t="str">
        <x:v>r1 = index.quote(filter = "code = 399006.SZ", limit = 1, realtime = 0) -&gt; code, name, tradedate, close, pct, amount</x:v>
      </x:c>
      <x:c r="H387" s="17" t="str"/>
      <x:c r="I387" s="17" t="str">
        <x:v>合理操作</x:v>
      </x:c>
      <x:c r="J387" s="17" t="str">
        <x:v>是</x:v>
      </x:c>
      <x:c r="K387" s="18"/>
      <x:c r="L387" s="17" t="str">
        <x:v>否</x:v>
      </x:c>
      <x:c r="M387" s="17" t="str">
        <x:v>否</x:v>
      </x:c>
      <x:c r="N387" s="17" t="str">
        <x:v>target_api_executed</x:v>
      </x:c>
      <x:c r="O387" s="17" t="str">
        <x:v>expected_dataview_coverage</x:v>
      </x:c>
      <x:c r="P387" s="17" t="str">
        <x:v>session://financial_qa_33499cfa81de4d06_2799_958c20241523/vars/v1</x:v>
      </x:c>
      <x:c r="Q387" s="17" t="str"/>
      <x:c r="R387" s="17" t="str">
        <x:v>index.quote</x:v>
      </x:c>
      <x:c r="S387" s="17" t="str"/>
      <x:c r="T387" s="17" t="str"/>
      <x:c r="U387" s="17" t="str">
        <x:v>r1</x:v>
      </x:c>
      <x:c r="V387" s="30" t="n">
        <x:v>1</x:v>
      </x:c>
      <x:c r="W387" s="17" t="str">
        <x:v>high</x:v>
      </x:c>
    </x:row>
    <x:row r="388" ht="54" customHeight="1">
      <x:c r="A388" s="17" t="str">
        <x:v>BUS104</x:v>
      </x:c>
      <x:c r="B388" s="17" t="str">
        <x:v>查询创业板指涨跌幅，并列出其权重最高的成分股当前涨跌幅。</x:v>
      </x:c>
      <x:c r="C388" s="17" t="n">
        <x:v>4</x:v>
      </x:c>
      <x:c r="D388" s="17" t="str"/>
      <x:c r="E388" s="17" t="str">
        <x:v>工具调用</x:v>
      </x:c>
      <x:c r="F388" s="17" t="str">
        <x:v>finance_query</x:v>
      </x:c>
      <x:c r="G388" s="17" t="str">
        <x:v>r2 = index.constitution(filter = "index_code = 399006.SZ", order = "weight desc", limit = 10) -&gt; index_code, index_name, stock_code, stock_name, weight</x:v>
      </x:c>
      <x:c r="H388" s="17" t="str"/>
      <x:c r="I388" s="17" t="str">
        <x:v>合理操作</x:v>
      </x:c>
      <x:c r="J388" s="17" t="str">
        <x:v>是</x:v>
      </x:c>
      <x:c r="K388" s="18"/>
      <x:c r="L388" s="17" t="str">
        <x:v>否</x:v>
      </x:c>
      <x:c r="M388" s="17" t="str">
        <x:v>否</x:v>
      </x:c>
      <x:c r="N388" s="17" t="str">
        <x:v>target_api_executed</x:v>
      </x:c>
      <x:c r="O388" s="17" t="str">
        <x:v>expected_dataview_coverage</x:v>
      </x:c>
      <x:c r="P388" s="17" t="str">
        <x:v>session://financial_qa_33499cfa81de4d06_2799_958c20241523/vars/v2</x:v>
      </x:c>
      <x:c r="Q388" s="17" t="str"/>
      <x:c r="R388" s="17" t="str">
        <x:v>index.constitution</x:v>
      </x:c>
      <x:c r="S388" s="17" t="str"/>
      <x:c r="T388" s="17" t="str"/>
      <x:c r="U388" s="17" t="str">
        <x:v>r2</x:v>
      </x:c>
      <x:c r="V388" s="30" t="n">
        <x:v>10</x:v>
      </x:c>
      <x:c r="W388" s="17" t="str">
        <x:v>high</x:v>
      </x:c>
    </x:row>
    <x:row r="389" ht="54" customHeight="1">
      <x:c r="A389" s="17" t="str">
        <x:v>BUS104</x:v>
      </x:c>
      <x:c r="B389" s="17" t="str">
        <x:v>查询创业板指涨跌幅，并列出其权重最高的成分股当前涨跌幅。</x:v>
      </x:c>
      <x:c r="C389" s="17" t="n">
        <x:v>5</x:v>
      </x:c>
      <x:c r="D389" s="17" t="str"/>
      <x:c r="E389" s="17" t="str">
        <x:v>工具调用</x:v>
      </x:c>
      <x:c r="F389" s="17" t="str">
        <x:v>finance_query</x:v>
      </x:c>
      <x:c r="G389" s="17" t="str">
        <x:v>r3 = stock.quote(filter = "code in r2.stock_code", realtime = 0, limit = 10) -&gt; code, name, tradedate, pct, close</x:v>
      </x:c>
      <x:c r="H389" s="17" t="str"/>
      <x:c r="I389" s="17" t="str">
        <x:v>合理操作</x:v>
      </x:c>
      <x:c r="J389" s="17" t="str">
        <x:v>是</x:v>
      </x:c>
      <x:c r="K389" s="18"/>
      <x:c r="L389" s="17" t="str">
        <x:v>否</x:v>
      </x:c>
      <x:c r="M389" s="17" t="str">
        <x:v>否</x:v>
      </x:c>
      <x:c r="N389" s="17" t="str">
        <x:v>cross_subject_dependency</x:v>
      </x:c>
      <x:c r="O389" s="17" t="str">
        <x:v>supporting_api_relevance_requires_semantic_review</x:v>
      </x:c>
      <x:c r="P389" s="17" t="str">
        <x:v>session://financial_qa_33499cfa81de4d06_2799_958c20241523/vars/v3</x:v>
      </x:c>
      <x:c r="Q389" s="17" t="str"/>
      <x:c r="R389" s="17" t="str">
        <x:v>stock.quote</x:v>
      </x:c>
      <x:c r="S389" s="17" t="str"/>
      <x:c r="T389" s="17" t="str"/>
      <x:c r="U389" s="17" t="str">
        <x:v>r3</x:v>
      </x:c>
      <x:c r="V389" s="30" t="n">
        <x:v>10</x:v>
      </x:c>
      <x:c r="W389" s="17" t="str">
        <x:v>low</x:v>
      </x:c>
    </x:row>
    <x:row r="390" ht="54" customHeight="1">
      <x:c r="A390" s="17" t="str">
        <x:v>BUS104</x:v>
      </x:c>
      <x:c r="B390" s="17" t="str">
        <x:v>查询创业板指涨跌幅，并列出其权重最高的成分股当前涨跌幅。</x:v>
      </x:c>
      <x:c r="C390" s="17" t="n">
        <x:v>6</x:v>
      </x:c>
      <x:c r="D390" s="17" t="str"/>
      <x:c r="E390" s="17" t="str">
        <x:v>工具调用</x:v>
      </x:c>
      <x:c r="F390" s="17" t="str">
        <x:v>load_finance_result</x:v>
      </x:c>
      <x:c r="G390" s="17" t="str"/>
      <x:c r="H390" s="17" t="str"/>
      <x:c r="I390" s="17" t="str">
        <x:v>合理操作</x:v>
      </x:c>
      <x:c r="J390" s="17" t="str">
        <x:v>是</x:v>
      </x:c>
      <x:c r="K390" s="18"/>
      <x:c r="L390" s="17" t="str">
        <x:v>否</x:v>
      </x:c>
      <x:c r="M390" s="17" t="str">
        <x:v>否</x:v>
      </x:c>
      <x:c r="N390" s="17" t="str">
        <x:v>load_truncated_result</x:v>
      </x:c>
      <x:c r="O390" s="17" t="str">
        <x:v>sample_incomplete_requires_full_result</x:v>
      </x:c>
      <x:c r="P390" s="17" t="str">
        <x:v>session://financial_qa_33499cfa81de4d06_2799_958c20241523/vars/v2</x:v>
      </x:c>
      <x:c r="Q390" s="17" t="str"/>
      <x:c r="R390" s="17" t="str"/>
      <x:c r="S390" s="17" t="str"/>
      <x:c r="T390" s="17" t="str"/>
      <x:c r="U390" s="17" t="str"/>
      <x:c r="V390" s="30"/>
      <x:c r="W390" s="17" t="str">
        <x:v>high</x:v>
      </x:c>
    </x:row>
    <x:row r="391" ht="54" customHeight="1">
      <x:c r="A391" s="17" t="str">
        <x:v>BUS104</x:v>
      </x:c>
      <x:c r="B391" s="17" t="str">
        <x:v>查询创业板指涨跌幅，并列出其权重最高的成分股当前涨跌幅。</x:v>
      </x:c>
      <x:c r="C391" s="17" t="n">
        <x:v>7</x:v>
      </x:c>
      <x:c r="D391" s="17" t="str"/>
      <x:c r="E391" s="17" t="str">
        <x:v>工具调用</x:v>
      </x:c>
      <x:c r="F391" s="17" t="str">
        <x:v>load_finance_result</x:v>
      </x:c>
      <x:c r="G391" s="17" t="str"/>
      <x:c r="H391" s="17" t="str"/>
      <x:c r="I391" s="17" t="str">
        <x:v>合理操作</x:v>
      </x:c>
      <x:c r="J391" s="17" t="str">
        <x:v>是</x:v>
      </x:c>
      <x:c r="K391" s="18"/>
      <x:c r="L391" s="17" t="str">
        <x:v>否</x:v>
      </x:c>
      <x:c r="M391" s="17" t="str">
        <x:v>否</x:v>
      </x:c>
      <x:c r="N391" s="17" t="str">
        <x:v>load_truncated_result</x:v>
      </x:c>
      <x:c r="O391" s="17" t="str">
        <x:v>sample_incomplete_requires_full_result</x:v>
      </x:c>
      <x:c r="P391" s="17" t="str">
        <x:v>session://financial_qa_33499cfa81de4d06_2799_958c20241523/vars/v3</x:v>
      </x:c>
      <x:c r="Q391" s="17" t="str"/>
      <x:c r="R391" s="17" t="str"/>
      <x:c r="S391" s="17" t="str"/>
      <x:c r="T391" s="17" t="str"/>
      <x:c r="U391" s="17" t="str"/>
      <x:c r="V391" s="30"/>
      <x:c r="W391" s="17" t="str">
        <x:v>high</x:v>
      </x:c>
    </x:row>
    <x:row r="392" ht="54" customHeight="1">
      <x:c r="A392" s="17" t="str">
        <x:v>BUS105</x:v>
      </x:c>
      <x:c r="B392" s="17" t="str">
        <x:v>对比沪深300指数和沪深300ETF今天的涨跌幅。</x:v>
      </x:c>
      <x:c r="C392" s="17" t="n">
        <x:v>1</x:v>
      </x:c>
      <x:c r="D392" s="17" t="str"/>
      <x:c r="E392" s="17" t="str">
        <x:v>工具调用</x:v>
      </x:c>
      <x:c r="F392" s="17" t="str">
        <x:v>read_finance_catalog</x:v>
      </x:c>
      <x:c r="G392" s="17" t="str"/>
      <x:c r="H392" s="17" t="str"/>
      <x:c r="I392" s="17" t="str">
        <x:v>合理操作</x:v>
      </x:c>
      <x:c r="J392" s="17" t="str">
        <x:v>是</x:v>
      </x:c>
      <x:c r="K392" s="18"/>
      <x:c r="L392" s="17" t="str">
        <x:v>否</x:v>
      </x:c>
      <x:c r="M392" s="17" t="str">
        <x:v>否</x:v>
      </x:c>
      <x:c r="N392" s="17" t="str">
        <x:v>target_catalog_located</x:v>
      </x:c>
      <x:c r="O392" s="17" t="str">
        <x:v>expected_dataview_catalog</x:v>
      </x:c>
      <x:c r="P392" s="17" t="str"/>
      <x:c r="Q392" s="17" t="str"/>
      <x:c r="R392" s="17" t="str"/>
      <x:c r="S392" s="17" t="str">
        <x:v>index</x:v>
      </x:c>
      <x:c r="T392" s="17" t="str">
        <x:v>quote</x:v>
      </x:c>
      <x:c r="U392" s="17" t="str"/>
      <x:c r="V392" s="30"/>
      <x:c r="W392" s="17" t="str">
        <x:v>high</x:v>
      </x:c>
    </x:row>
    <x:row r="393" ht="54" customHeight="1">
      <x:c r="A393" s="17" t="str">
        <x:v>BUS105</x:v>
      </x:c>
      <x:c r="B393" s="17" t="str">
        <x:v>对比沪深300指数和沪深300ETF今天的涨跌幅。</x:v>
      </x:c>
      <x:c r="C393" s="17" t="n">
        <x:v>2</x:v>
      </x:c>
      <x:c r="D393" s="17" t="str"/>
      <x:c r="E393" s="17" t="str">
        <x:v>工具调用</x:v>
      </x:c>
      <x:c r="F393" s="17" t="str">
        <x:v>read_finance_catalog</x:v>
      </x:c>
      <x:c r="G393" s="17" t="str"/>
      <x:c r="H393" s="17" t="str"/>
      <x:c r="I393" s="17" t="str">
        <x:v>合理操作</x:v>
      </x:c>
      <x:c r="J393" s="17" t="str">
        <x:v>是</x:v>
      </x:c>
      <x:c r="K393" s="18"/>
      <x:c r="L393" s="17" t="str">
        <x:v>否</x:v>
      </x:c>
      <x:c r="M393" s="17" t="str">
        <x:v>否</x:v>
      </x:c>
      <x:c r="N393" s="17" t="str">
        <x:v>target_catalog_located</x:v>
      </x:c>
      <x:c r="O393" s="17" t="str">
        <x:v>expected_dataview_catalog</x:v>
      </x:c>
      <x:c r="P393" s="17" t="str"/>
      <x:c r="Q393" s="17" t="str"/>
      <x:c r="R393" s="17" t="str"/>
      <x:c r="S393" s="17" t="str">
        <x:v>fund</x:v>
      </x:c>
      <x:c r="T393" s="17" t="str">
        <x:v>quote</x:v>
      </x:c>
      <x:c r="U393" s="17" t="str"/>
      <x:c r="V393" s="30"/>
      <x:c r="W393" s="17" t="str">
        <x:v>high</x:v>
      </x:c>
    </x:row>
    <x:row r="394" ht="54" customHeight="1">
      <x:c r="A394" s="17" t="str">
        <x:v>BUS105</x:v>
      </x:c>
      <x:c r="B394" s="17" t="str">
        <x:v>对比沪深300指数和沪深300ETF今天的涨跌幅。</x:v>
      </x:c>
      <x:c r="C394" s="17" t="n">
        <x:v>3</x:v>
      </x:c>
      <x:c r="D394" s="17" t="str"/>
      <x:c r="E394" s="17" t="str">
        <x:v>工具调用</x:v>
      </x:c>
      <x:c r="F394" s="17" t="str">
        <x:v>finance_query</x:v>
      </x:c>
      <x:c r="G394" s="17" t="str">
        <x:v>r1 = index.quote(filter = "code = 000300.SH", limit = 1, realtime = 0) -&gt; code, name, tradedate, close, pct</x:v>
      </x:c>
      <x:c r="H394" s="17" t="str"/>
      <x:c r="I394" s="17" t="str">
        <x:v>合理操作</x:v>
      </x:c>
      <x:c r="J394" s="17" t="str">
        <x:v>是</x:v>
      </x:c>
      <x:c r="K394" s="18"/>
      <x:c r="L394" s="17" t="str">
        <x:v>否</x:v>
      </x:c>
      <x:c r="M394" s="17" t="str">
        <x:v>否</x:v>
      </x:c>
      <x:c r="N394" s="17" t="str">
        <x:v>target_api_executed</x:v>
      </x:c>
      <x:c r="O394" s="17" t="str">
        <x:v>expected_dataview_coverage</x:v>
      </x:c>
      <x:c r="P394" s="17" t="str">
        <x:v>session://financial_qa_33499cfa81de4d06_2800_387da0806272/vars/v1</x:v>
      </x:c>
      <x:c r="Q394" s="17" t="str"/>
      <x:c r="R394" s="17" t="str">
        <x:v>index.quote</x:v>
      </x:c>
      <x:c r="S394" s="17" t="str"/>
      <x:c r="T394" s="17" t="str"/>
      <x:c r="U394" s="17" t="str">
        <x:v>r1</x:v>
      </x:c>
      <x:c r="V394" s="30" t="n">
        <x:v>1</x:v>
      </x:c>
      <x:c r="W394" s="17" t="str">
        <x:v>high</x:v>
      </x:c>
    </x:row>
    <x:row r="395" ht="54" customHeight="1">
      <x:c r="A395" s="17" t="str">
        <x:v>BUS105</x:v>
      </x:c>
      <x:c r="B395" s="17" t="str">
        <x:v>对比沪深300指数和沪深300ETF今天的涨跌幅。</x:v>
      </x:c>
      <x:c r="C395" s="17" t="n">
        <x:v>4</x:v>
      </x:c>
      <x:c r="D395" s="17" t="str"/>
      <x:c r="E395" s="17" t="str">
        <x:v>工具调用</x:v>
      </x:c>
      <x:c r="F395" s="17" t="str">
        <x:v>finance_query</x:v>
      </x:c>
      <x:c r="G395" s="17" t="str">
        <x:v>r2 = fund.quote(filter = "code = 510300.SH", limit = 1, realtime = 0) -&gt; code, name, tradedate, close, pct</x:v>
      </x:c>
      <x:c r="H395" s="17" t="str"/>
      <x:c r="I395" s="17" t="str">
        <x:v>合理操作</x:v>
      </x:c>
      <x:c r="J395" s="17" t="str">
        <x:v>是</x:v>
      </x:c>
      <x:c r="K395" s="18"/>
      <x:c r="L395" s="17" t="str">
        <x:v>否</x:v>
      </x:c>
      <x:c r="M395" s="17" t="str">
        <x:v>否</x:v>
      </x:c>
      <x:c r="N395" s="17" t="str">
        <x:v>target_api_executed</x:v>
      </x:c>
      <x:c r="O395" s="17" t="str">
        <x:v>expected_dataview_coverage</x:v>
      </x:c>
      <x:c r="P395" s="17" t="str">
        <x:v>session://financial_qa_33499cfa81de4d06_2800_387da0806272/vars/v2</x:v>
      </x:c>
      <x:c r="Q395" s="17" t="str"/>
      <x:c r="R395" s="17" t="str">
        <x:v>fund.quote</x:v>
      </x:c>
      <x:c r="S395" s="17" t="str"/>
      <x:c r="T395" s="17" t="str"/>
      <x:c r="U395" s="17" t="str">
        <x:v>r2</x:v>
      </x:c>
      <x:c r="V395" s="30" t="n">
        <x:v>1</x:v>
      </x:c>
      <x:c r="W395" s="17" t="str">
        <x:v>high</x:v>
      </x:c>
    </x:row>
    <x:row r="396" ht="54" customHeight="1">
      <x:c r="A396" s="17" t="str">
        <x:v>BUS106</x:v>
      </x:c>
      <x:c r="B396" s="17" t="str">
        <x:v>查询中证500当前估值，并统计其成分股主力净流入前10名。</x:v>
      </x:c>
      <x:c r="C396" s="17" t="n">
        <x:v>1</x:v>
      </x:c>
      <x:c r="D396" s="17" t="str"/>
      <x:c r="E396" s="17" t="str">
        <x:v>工具调用</x:v>
      </x:c>
      <x:c r="F396" s="17" t="str">
        <x:v>read_finance_catalog</x:v>
      </x:c>
      <x:c r="G396" s="17" t="str"/>
      <x:c r="H396" s="17" t="str"/>
      <x:c r="I396" s="17" t="str">
        <x:v>合理操作</x:v>
      </x:c>
      <x:c r="J396" s="17" t="str">
        <x:v>是</x:v>
      </x:c>
      <x:c r="K396" s="18"/>
      <x:c r="L396" s="17" t="str">
        <x:v>否</x:v>
      </x:c>
      <x:c r="M396" s="17" t="str">
        <x:v>否</x:v>
      </x:c>
      <x:c r="N396" s="17" t="str">
        <x:v>target_catalog_located</x:v>
      </x:c>
      <x:c r="O396" s="17" t="str">
        <x:v>expected_dataview_catalog</x:v>
      </x:c>
      <x:c r="P396" s="17" t="str"/>
      <x:c r="Q396" s="17" t="str"/>
      <x:c r="R396" s="17" t="str"/>
      <x:c r="S396" s="17" t="str">
        <x:v>index</x:v>
      </x:c>
      <x:c r="T396" s="17" t="str">
        <x:v>pricevalue</x:v>
      </x:c>
      <x:c r="U396" s="17" t="str"/>
      <x:c r="V396" s="30"/>
      <x:c r="W396" s="17" t="str">
        <x:v>high</x:v>
      </x:c>
    </x:row>
    <x:row r="397" ht="54" customHeight="1">
      <x:c r="A397" s="17" t="str">
        <x:v>BUS106</x:v>
      </x:c>
      <x:c r="B397" s="17" t="str">
        <x:v>查询中证500当前估值，并统计其成分股主力净流入前10名。</x:v>
      </x:c>
      <x:c r="C397" s="17" t="n">
        <x:v>2</x:v>
      </x:c>
      <x:c r="D397" s="17" t="str"/>
      <x:c r="E397" s="17" t="str">
        <x:v>工具调用</x:v>
      </x:c>
      <x:c r="F397" s="17" t="str">
        <x:v>read_finance_catalog</x:v>
      </x:c>
      <x:c r="G397" s="17" t="str"/>
      <x:c r="H397" s="17" t="str"/>
      <x:c r="I397" s="17" t="str">
        <x:v>合理操作</x:v>
      </x:c>
      <x:c r="J397" s="17" t="str">
        <x:v>是</x:v>
      </x:c>
      <x:c r="K397" s="18"/>
      <x:c r="L397" s="17" t="str">
        <x:v>否</x:v>
      </x:c>
      <x:c r="M397" s="17" t="str">
        <x:v>否</x:v>
      </x:c>
      <x:c r="N397" s="17" t="str">
        <x:v>target_catalog_located</x:v>
      </x:c>
      <x:c r="O397" s="17" t="str">
        <x:v>expected_dataview_catalog</x:v>
      </x:c>
      <x:c r="P397" s="17" t="str"/>
      <x:c r="Q397" s="17" t="str"/>
      <x:c r="R397" s="17" t="str"/>
      <x:c r="S397" s="17" t="str">
        <x:v>index</x:v>
      </x:c>
      <x:c r="T397" s="17" t="str">
        <x:v>constitution</x:v>
      </x:c>
      <x:c r="U397" s="17" t="str"/>
      <x:c r="V397" s="30"/>
      <x:c r="W397" s="17" t="str">
        <x:v>high</x:v>
      </x:c>
    </x:row>
    <x:row r="398" ht="54" customHeight="1">
      <x:c r="A398" s="17" t="str">
        <x:v>BUS106</x:v>
      </x:c>
      <x:c r="B398" s="17" t="str">
        <x:v>查询中证500当前估值，并统计其成分股主力净流入前10名。</x:v>
      </x:c>
      <x:c r="C398" s="17" t="n">
        <x:v>3</x:v>
      </x:c>
      <x:c r="D398" s="17" t="str"/>
      <x:c r="E398" s="17" t="str">
        <x:v>工具调用</x:v>
      </x:c>
      <x:c r="F398" s="17" t="str">
        <x:v>read_finance_catalog</x:v>
      </x:c>
      <x:c r="G398" s="17" t="str"/>
      <x:c r="H398" s="17" t="str"/>
      <x:c r="I398" s="17" t="str">
        <x:v>未判定</x:v>
      </x:c>
      <x:c r="J398" s="17" t="str">
        <x:v>未判定</x:v>
      </x:c>
      <x:c r="K398" s="18"/>
      <x:c r="L398" s="17" t="str">
        <x:v>否</x:v>
      </x:c>
      <x:c r="M398" s="17" t="str">
        <x:v>否</x:v>
      </x:c>
      <x:c r="N398" s="17" t="str">
        <x:v>catalog_relevance_not_provable</x:v>
      </x:c>
      <x:c r="O398" s="17" t="str">
        <x:v>catalog_outside_expected_dataview</x:v>
      </x:c>
      <x:c r="P398" s="17" t="str"/>
      <x:c r="Q398" s="17" t="str"/>
      <x:c r="R398" s="17" t="str"/>
      <x:c r="S398" s="17" t="str">
        <x:v>stock</x:v>
      </x:c>
      <x:c r="T398" s="17" t="str">
        <x:v>moneyflow</x:v>
      </x:c>
      <x:c r="U398" s="17" t="str"/>
      <x:c r="V398" s="30"/>
      <x:c r="W398" s="17" t="str">
        <x:v>low</x:v>
      </x:c>
    </x:row>
    <x:row r="399" ht="54" customHeight="1">
      <x:c r="A399" s="17" t="str">
        <x:v>BUS106</x:v>
      </x:c>
      <x:c r="B399" s="17" t="str">
        <x:v>查询中证500当前估值，并统计其成分股主力净流入前10名。</x:v>
      </x:c>
      <x:c r="C399" s="17" t="n">
        <x:v>4</x:v>
      </x:c>
      <x:c r="D399" s="17" t="str"/>
      <x:c r="E399" s="17" t="str">
        <x:v>工具调用</x:v>
      </x:c>
      <x:c r="F399" s="17" t="str">
        <x:v>finance_query</x:v>
      </x:c>
      <x:c r="G399" s="17" t="str">
        <x:v>r1 = index.pricevalue(filter = "code = 000905.SH", order = "tradedate desc", limit = 1, realtime = 0) -&gt; code, name, tradedate, pe_ttm, pe_lyr, pb_mrq, ps_ttm</x:v>
      </x:c>
      <x:c r="H399" s="17" t="str"/>
      <x:c r="I399" s="17" t="str">
        <x:v>合理操作</x:v>
      </x:c>
      <x:c r="J399" s="17" t="str">
        <x:v>是</x:v>
      </x:c>
      <x:c r="K399" s="18"/>
      <x:c r="L399" s="17" t="str">
        <x:v>否</x:v>
      </x:c>
      <x:c r="M399" s="17" t="str">
        <x:v>否</x:v>
      </x:c>
      <x:c r="N399" s="17" t="str">
        <x:v>target_api_executed</x:v>
      </x:c>
      <x:c r="O399" s="17" t="str">
        <x:v>expected_dataview_coverage</x:v>
      </x:c>
      <x:c r="P399" s="17" t="str">
        <x:v>session://financial_qa_33499cfa81de4d06_2801_d0498d505916/vars/v1</x:v>
      </x:c>
      <x:c r="Q399" s="17" t="str"/>
      <x:c r="R399" s="17" t="str">
        <x:v>index.pricevalue</x:v>
      </x:c>
      <x:c r="S399" s="17" t="str"/>
      <x:c r="T399" s="17" t="str"/>
      <x:c r="U399" s="17" t="str">
        <x:v>r1</x:v>
      </x:c>
      <x:c r="V399" s="30" t="n">
        <x:v>1</x:v>
      </x:c>
      <x:c r="W399" s="17" t="str">
        <x:v>high</x:v>
      </x:c>
    </x:row>
    <x:row r="400" ht="54" customHeight="1">
      <x:c r="A400" s="17" t="str">
        <x:v>BUS106</x:v>
      </x:c>
      <x:c r="B400" s="17" t="str">
        <x:v>查询中证500当前估值，并统计其成分股主力净流入前10名。</x:v>
      </x:c>
      <x:c r="C400" s="17" t="n">
        <x:v>5</x:v>
      </x:c>
      <x:c r="D400" s="17" t="str"/>
      <x:c r="E400" s="17" t="str">
        <x:v>工具调用</x:v>
      </x:c>
      <x:c r="F400" s="17" t="str">
        <x:v>finance_query</x:v>
      </x:c>
      <x:c r="G400" s="17" t="str">
        <x:v>r2 = index.constitution(filter = "index_code = 000905.SH", limit = -1) -&gt; index_code, index_name, stock_code, stock_name</x:v>
      </x:c>
      <x:c r="H400" s="17" t="str"/>
      <x:c r="I400" s="17" t="str">
        <x:v>合理操作</x:v>
      </x:c>
      <x:c r="J400" s="17" t="str">
        <x:v>是</x:v>
      </x:c>
      <x:c r="K400" s="18"/>
      <x:c r="L400" s="17" t="str">
        <x:v>否</x:v>
      </x:c>
      <x:c r="M400" s="17" t="str">
        <x:v>否</x:v>
      </x:c>
      <x:c r="N400" s="17" t="str">
        <x:v>target_api_executed</x:v>
      </x:c>
      <x:c r="O400" s="17" t="str">
        <x:v>expected_dataview_coverage</x:v>
      </x:c>
      <x:c r="P400" s="17" t="str">
        <x:v>session://financial_qa_33499cfa81de4d06_2801_d0498d505916/vars/v2</x:v>
      </x:c>
      <x:c r="Q400" s="17" t="str"/>
      <x:c r="R400" s="17" t="str">
        <x:v>index.constitution</x:v>
      </x:c>
      <x:c r="S400" s="17" t="str"/>
      <x:c r="T400" s="17" t="str"/>
      <x:c r="U400" s="17" t="str">
        <x:v>r2</x:v>
      </x:c>
      <x:c r="V400" s="30" t="n">
        <x:v>100</x:v>
      </x:c>
      <x:c r="W400" s="17" t="str">
        <x:v>high</x:v>
      </x:c>
    </x:row>
    <x:row r="401" ht="54" customHeight="1">
      <x:c r="A401" s="17" t="str">
        <x:v>BUS106</x:v>
      </x:c>
      <x:c r="B401" s="17" t="str">
        <x:v>查询中证500当前估值，并统计其成分股主力净流入前10名。</x:v>
      </x:c>
      <x:c r="C401" s="17" t="n">
        <x:v>6</x:v>
      </x:c>
      <x:c r="D401" s="17" t="str"/>
      <x:c r="E401" s="17" t="str">
        <x:v>工具调用</x:v>
      </x:c>
      <x:c r="F401" s="17" t="str">
        <x:v>finance_query</x:v>
      </x:c>
      <x:c r="G401" s="17" t="str">
        <x:v>r3 = stock.moneyflow(filter = "code in r2.stock_code and tradedate = -1", order = "main_net desc", limit = 10, realtime = 0) -&gt; code, name, tradedate, main_net, main_ratio</x:v>
      </x:c>
      <x:c r="H401" s="17" t="str"/>
      <x:c r="I401" s="17" t="str">
        <x:v>合理操作</x:v>
      </x:c>
      <x:c r="J401" s="17" t="str">
        <x:v>是</x:v>
      </x:c>
      <x:c r="K401" s="18"/>
      <x:c r="L401" s="17" t="str">
        <x:v>否</x:v>
      </x:c>
      <x:c r="M401" s="17" t="str">
        <x:v>否</x:v>
      </x:c>
      <x:c r="N401" s="17" t="str">
        <x:v>cross_subject_dependency</x:v>
      </x:c>
      <x:c r="O401" s="17" t="str">
        <x:v>supporting_api_relevance_requires_semantic_review</x:v>
      </x:c>
      <x:c r="P401" s="17" t="str">
        <x:v>session://financial_qa_33499cfa81de4d06_2801_d0498d505916/vars/v3</x:v>
      </x:c>
      <x:c r="Q401" s="17" t="str"/>
      <x:c r="R401" s="17" t="str">
        <x:v>stock.moneyflow</x:v>
      </x:c>
      <x:c r="S401" s="17" t="str"/>
      <x:c r="T401" s="17" t="str"/>
      <x:c r="U401" s="17" t="str">
        <x:v>r3</x:v>
      </x:c>
      <x:c r="V401" s="30" t="n">
        <x:v>10</x:v>
      </x:c>
      <x:c r="W401" s="17" t="str">
        <x:v>low</x:v>
      </x:c>
    </x:row>
    <x:row r="402" ht="54" customHeight="1">
      <x:c r="A402" s="17" t="str">
        <x:v>BUS106</x:v>
      </x:c>
      <x:c r="B402" s="17" t="str">
        <x:v>查询中证500当前估值，并统计其成分股主力净流入前10名。</x:v>
      </x:c>
      <x:c r="C402" s="17" t="n">
        <x:v>7</x:v>
      </x:c>
      <x:c r="D402" s="17" t="str"/>
      <x:c r="E402" s="17" t="str">
        <x:v>工具调用</x:v>
      </x:c>
      <x:c r="F402" s="17" t="str">
        <x:v>load_finance_result</x:v>
      </x:c>
      <x:c r="G402" s="17" t="str"/>
      <x:c r="H402" s="17" t="str"/>
      <x:c r="I402" s="17" t="str">
        <x:v>合理操作</x:v>
      </x:c>
      <x:c r="J402" s="17" t="str">
        <x:v>是</x:v>
      </x:c>
      <x:c r="K402" s="18"/>
      <x:c r="L402" s="17" t="str">
        <x:v>否</x:v>
      </x:c>
      <x:c r="M402" s="17" t="str">
        <x:v>否</x:v>
      </x:c>
      <x:c r="N402" s="17" t="str">
        <x:v>load_truncated_result</x:v>
      </x:c>
      <x:c r="O402" s="17" t="str">
        <x:v>sample_incomplete_requires_full_result</x:v>
      </x:c>
      <x:c r="P402" s="17" t="str">
        <x:v>session://financial_qa_33499cfa81de4d06_2801_d0498d505916/vars/v3</x:v>
      </x:c>
      <x:c r="Q402" s="17" t="str"/>
      <x:c r="R402" s="17" t="str"/>
      <x:c r="S402" s="17" t="str"/>
      <x:c r="T402" s="17" t="str"/>
      <x:c r="U402" s="17" t="str"/>
      <x:c r="V402" s="30"/>
      <x:c r="W402" s="17" t="str">
        <x:v>high</x:v>
      </x:c>
    </x:row>
    <x:row r="403" ht="54" customHeight="1">
      <x:c r="A403" s="17" t="str">
        <x:v>BUS106</x:v>
      </x:c>
      <x:c r="B403" s="17" t="str">
        <x:v>查询中证500当前估值，并统计其成分股主力净流入前10名。</x:v>
      </x:c>
      <x:c r="C403" s="17" t="n">
        <x:v>8</x:v>
      </x:c>
      <x:c r="D403" s="17" t="str"/>
      <x:c r="E403" s="17" t="str">
        <x:v>工具调用</x:v>
      </x:c>
      <x:c r="F403" s="17" t="str">
        <x:v>load_finance_result</x:v>
      </x:c>
      <x:c r="G403" s="17" t="str"/>
      <x:c r="H403" s="17" t="str"/>
      <x:c r="I403" s="17" t="str">
        <x:v>合理操作</x:v>
      </x:c>
      <x:c r="J403" s="17" t="str">
        <x:v>是</x:v>
      </x:c>
      <x:c r="K403" s="18"/>
      <x:c r="L403" s="17" t="str">
        <x:v>否</x:v>
      </x:c>
      <x:c r="M403" s="17" t="str">
        <x:v>否</x:v>
      </x:c>
      <x:c r="N403" s="17" t="str">
        <x:v>load_truncated_result</x:v>
      </x:c>
      <x:c r="O403" s="17" t="str">
        <x:v>sample_incomplete_requires_full_result</x:v>
      </x:c>
      <x:c r="P403" s="17" t="str">
        <x:v>session://financial_qa_33499cfa81de4d06_2801_d0498d505916/vars/v2</x:v>
      </x:c>
      <x:c r="Q403" s="17" t="str"/>
      <x:c r="R403" s="17" t="str"/>
      <x:c r="S403" s="17" t="str"/>
      <x:c r="T403" s="17" t="str"/>
      <x:c r="U403" s="17" t="str"/>
      <x:c r="V403" s="30"/>
      <x:c r="W403" s="17" t="str">
        <x:v>high</x:v>
      </x:c>
    </x:row>
    <x:row r="404" ht="54" customHeight="1">
      <x:c r="A404" s="17" t="str">
        <x:v>BUS106</x:v>
      </x:c>
      <x:c r="B404" s="17" t="str">
        <x:v>查询中证500当前估值，并统计其成分股主力净流入前10名。</x:v>
      </x:c>
      <x:c r="C404" s="17" t="n">
        <x:v>9</x:v>
      </x:c>
      <x:c r="D404" s="17" t="str"/>
      <x:c r="E404" s="17" t="str">
        <x:v>工具调用</x:v>
      </x:c>
      <x:c r="F404" s="17" t="str">
        <x:v>finance_query</x:v>
      </x:c>
      <x:c r="G404" s="17" t="str">
        <x:v>r4 = index.pricevalue(filter = "code = 000905.SH and tradedate = 2026-07-31", limit = 1, realtime = 0) -&gt; code, name, tradedate, pe_ttm, pe_lyr, pb_mrq, ps_ttm</x:v>
      </x:c>
      <x:c r="H404" s="17" t="str"/>
      <x:c r="I404" s="17" t="str">
        <x:v>设计浪费</x:v>
      </x:c>
      <x:c r="J404" s="17" t="str">
        <x:v>否</x:v>
      </x:c>
      <x:c r="K404" s="18"/>
      <x:c r="L404" s="17" t="str">
        <x:v>否</x:v>
      </x:c>
      <x:c r="M404" s="17" t="str">
        <x:v>否</x:v>
      </x:c>
      <x:c r="N404" s="17" t="str">
        <x:v>execution_error</x:v>
      </x:c>
      <x:c r="O404" s="17" t="str">
        <x:v>query_execution_error</x:v>
      </x:c>
      <x:c r="P404" s="17" t="str"/>
      <x:c r="Q404" s="17" t="str"/>
      <x:c r="R404" s="17" t="str">
        <x:v>index.pricevalue</x:v>
      </x:c>
      <x:c r="S404" s="17" t="str"/>
      <x:c r="T404" s="17" t="str"/>
      <x:c r="U404" s="17" t="str">
        <x:v>r4</x:v>
      </x:c>
      <x:c r="V404" s="30"/>
      <x:c r="W404" s="17" t="str">
        <x:v>high</x:v>
      </x:c>
    </x:row>
    <x:row r="405" ht="54" customHeight="1">
      <x:c r="A405" s="17" t="str">
        <x:v>BUS106</x:v>
      </x:c>
      <x:c r="B405" s="17" t="str">
        <x:v>查询中证500当前估值，并统计其成分股主力净流入前10名。</x:v>
      </x:c>
      <x:c r="C405" s="17" t="n">
        <x:v>10</x:v>
      </x:c>
      <x:c r="D405" s="17" t="str"/>
      <x:c r="E405" s="17" t="str">
        <x:v>工具调用</x:v>
      </x:c>
      <x:c r="F405" s="17" t="str">
        <x:v>finance_query</x:v>
      </x:c>
      <x:c r="G405" s="17" t="str">
        <x:v>r4 = index.pricevalue(filter = "code = 000905.SH and tradedate = '2026-07-31'", limit = 1, realtime = 0) -&gt; code, name, tradedate, pe_ttm, pe_lyr, pb_mrq, ps_ttm</x:v>
      </x:c>
      <x:c r="H405" s="17" t="str"/>
      <x:c r="I405" s="17" t="str">
        <x:v>可解释探索</x:v>
      </x:c>
      <x:c r="J405" s="17" t="str">
        <x:v>是</x:v>
      </x:c>
      <x:c r="K405" s="18"/>
      <x:c r="L405" s="17" t="str">
        <x:v>否</x:v>
      </x:c>
      <x:c r="M405" s="17" t="str">
        <x:v>否</x:v>
      </x:c>
      <x:c r="N405" s="17" t="str">
        <x:v>changed_query_after_failure</x:v>
      </x:c>
      <x:c r="O405" s="17" t="str">
        <x:v>successful_same_api_recovery</x:v>
      </x:c>
      <x:c r="P405" s="17" t="str">
        <x:v>session://financial_qa_33499cfa81de4d06_2801_d0498d505916/vars/v4</x:v>
      </x:c>
      <x:c r="Q405" s="17" t="str"/>
      <x:c r="R405" s="17" t="str">
        <x:v>index.pricevalue</x:v>
      </x:c>
      <x:c r="S405" s="17" t="str"/>
      <x:c r="T405" s="17" t="str"/>
      <x:c r="U405" s="17" t="str">
        <x:v>r4</x:v>
      </x:c>
      <x:c r="V405" s="30" t="n">
        <x:v>0</x:v>
      </x:c>
      <x:c r="W405" s="17" t="str">
        <x:v>medium</x:v>
      </x:c>
    </x:row>
    <x:row r="406" ht="54" customHeight="1">
      <x:c r="A406" s="17" t="str">
        <x:v>BUS107</x:v>
      </x:c>
      <x:c r="B406" s="17" t="str">
        <x:v>查询所有申万一级行业的行业代码和行业名称。</x:v>
      </x:c>
      <x:c r="C406" s="17" t="n">
        <x:v>1</x:v>
      </x:c>
      <x:c r="D406" s="17" t="str"/>
      <x:c r="E406" s="17" t="str">
        <x:v>工具调用</x:v>
      </x:c>
      <x:c r="F406" s="17" t="str">
        <x:v>read_finance_catalog</x:v>
      </x:c>
      <x:c r="G406" s="17" t="str"/>
      <x:c r="H406" s="17" t="str"/>
      <x:c r="I406" s="17" t="str">
        <x:v>合理操作</x:v>
      </x:c>
      <x:c r="J406" s="17" t="str">
        <x:v>是</x:v>
      </x:c>
      <x:c r="K406" s="18"/>
      <x:c r="L406" s="17" t="str">
        <x:v>否</x:v>
      </x:c>
      <x:c r="M406" s="17" t="str">
        <x:v>否</x:v>
      </x:c>
      <x:c r="N406" s="17" t="str">
        <x:v>target_catalog_located</x:v>
      </x:c>
      <x:c r="O406" s="17" t="str">
        <x:v>expected_dataview_catalog</x:v>
      </x:c>
      <x:c r="P406" s="17" t="str"/>
      <x:c r="Q406" s="17" t="str"/>
      <x:c r="R406" s="17" t="str"/>
      <x:c r="S406" s="17" t="str">
        <x:v>industry</x:v>
      </x:c>
      <x:c r="T406" s="17" t="str">
        <x:v>basic_info</x:v>
      </x:c>
      <x:c r="U406" s="17" t="str"/>
      <x:c r="V406" s="30"/>
      <x:c r="W406" s="17" t="str">
        <x:v>high</x:v>
      </x:c>
    </x:row>
    <x:row r="407" ht="54" customHeight="1">
      <x:c r="A407" s="17" t="str">
        <x:v>BUS107</x:v>
      </x:c>
      <x:c r="B407" s="17" t="str">
        <x:v>查询所有申万一级行业的行业代码和行业名称。</x:v>
      </x:c>
      <x:c r="C407" s="17" t="n">
        <x:v>2</x:v>
      </x:c>
      <x:c r="D407" s="17" t="str"/>
      <x:c r="E407" s="17" t="str">
        <x:v>工具调用</x:v>
      </x:c>
      <x:c r="F407" s="17" t="str">
        <x:v>finance_query</x:v>
      </x:c>
      <x:c r="G407" s="17" t="str">
        <x:v>r1 = industry.basic_info(filter = "level = 1", limit = 100) -&gt; industry_code, industry_name</x:v>
      </x:c>
      <x:c r="H407" s="17" t="str"/>
      <x:c r="I407" s="17" t="str">
        <x:v>合理操作</x:v>
      </x:c>
      <x:c r="J407" s="17" t="str">
        <x:v>是</x:v>
      </x:c>
      <x:c r="K407" s="18"/>
      <x:c r="L407" s="17" t="str">
        <x:v>否</x:v>
      </x:c>
      <x:c r="M407" s="17" t="str">
        <x:v>否</x:v>
      </x:c>
      <x:c r="N407" s="17" t="str">
        <x:v>target_api_executed</x:v>
      </x:c>
      <x:c r="O407" s="17" t="str">
        <x:v>expected_dataview_coverage</x:v>
      </x:c>
      <x:c r="P407" s="17" t="str">
        <x:v>session://financial_qa_33499cfa81de4d06_2802_11570b8c828e/vars/v1</x:v>
      </x:c>
      <x:c r="Q407" s="17" t="str"/>
      <x:c r="R407" s="17" t="str">
        <x:v>industry.basic_info</x:v>
      </x:c>
      <x:c r="S407" s="17" t="str"/>
      <x:c r="T407" s="17" t="str"/>
      <x:c r="U407" s="17" t="str">
        <x:v>r1</x:v>
      </x:c>
      <x:c r="V407" s="30" t="n">
        <x:v>31</x:v>
      </x:c>
      <x:c r="W407" s="17" t="str">
        <x:v>high</x:v>
      </x:c>
    </x:row>
    <x:row r="408" ht="54" customHeight="1">
      <x:c r="A408" s="17" t="str">
        <x:v>BUS107</x:v>
      </x:c>
      <x:c r="B408" s="17" t="str">
        <x:v>查询所有申万一级行业的行业代码和行业名称。</x:v>
      </x:c>
      <x:c r="C408" s="17" t="n">
        <x:v>3</x:v>
      </x:c>
      <x:c r="D408" s="17" t="str"/>
      <x:c r="E408" s="17" t="str">
        <x:v>工具调用</x:v>
      </x:c>
      <x:c r="F408" s="17" t="str">
        <x:v>load_finance_result</x:v>
      </x:c>
      <x:c r="G408" s="17" t="str"/>
      <x:c r="H408" s="17" t="str"/>
      <x:c r="I408" s="17" t="str">
        <x:v>合理操作</x:v>
      </x:c>
      <x:c r="J408" s="17" t="str">
        <x:v>是</x:v>
      </x:c>
      <x:c r="K408" s="18"/>
      <x:c r="L408" s="17" t="str">
        <x:v>否</x:v>
      </x:c>
      <x:c r="M408" s="17" t="str">
        <x:v>否</x:v>
      </x:c>
      <x:c r="N408" s="17" t="str">
        <x:v>load_truncated_result</x:v>
      </x:c>
      <x:c r="O408" s="17" t="str">
        <x:v>sample_incomplete_requires_full_result</x:v>
      </x:c>
      <x:c r="P408" s="17" t="str">
        <x:v>session://financial_qa_33499cfa81de4d06_2802_11570b8c828e/vars/v1</x:v>
      </x:c>
      <x:c r="Q408" s="17" t="str"/>
      <x:c r="R408" s="17" t="str"/>
      <x:c r="S408" s="17" t="str"/>
      <x:c r="T408" s="17" t="str"/>
      <x:c r="U408" s="17" t="str"/>
      <x:c r="V408" s="30"/>
      <x:c r="W408" s="17" t="str">
        <x:v>high</x:v>
      </x:c>
    </x:row>
    <x:row r="409" ht="54" customHeight="1">
      <x:c r="A409" s="17" t="str">
        <x:v>BUS108</x:v>
      </x:c>
      <x:c r="B409" s="17" t="str">
        <x:v>查询半导体所属的申万行业级别和上级行业。</x:v>
      </x:c>
      <x:c r="C409" s="17" t="n">
        <x:v>1</x:v>
      </x:c>
      <x:c r="D409" s="17" t="str"/>
      <x:c r="E409" s="17" t="str">
        <x:v>工具调用</x:v>
      </x:c>
      <x:c r="F409" s="17" t="str">
        <x:v>read_finance_catalog</x:v>
      </x:c>
      <x:c r="G409" s="17" t="str"/>
      <x:c r="H409" s="17" t="str"/>
      <x:c r="I409" s="17" t="str">
        <x:v>合理操作</x:v>
      </x:c>
      <x:c r="J409" s="17" t="str">
        <x:v>是</x:v>
      </x:c>
      <x:c r="K409" s="18"/>
      <x:c r="L409" s="17" t="str">
        <x:v>否</x:v>
      </x:c>
      <x:c r="M409" s="17" t="str">
        <x:v>否</x:v>
      </x:c>
      <x:c r="N409" s="17" t="str">
        <x:v>target_catalog_located</x:v>
      </x:c>
      <x:c r="O409" s="17" t="str">
        <x:v>expected_dataview_catalog</x:v>
      </x:c>
      <x:c r="P409" s="17" t="str"/>
      <x:c r="Q409" s="17" t="str"/>
      <x:c r="R409" s="17" t="str"/>
      <x:c r="S409" s="17" t="str">
        <x:v>industry</x:v>
      </x:c>
      <x:c r="T409" s="17" t="str">
        <x:v>basic_info</x:v>
      </x:c>
      <x:c r="U409" s="17" t="str"/>
      <x:c r="V409" s="30"/>
      <x:c r="W409" s="17" t="str">
        <x:v>high</x:v>
      </x:c>
    </x:row>
    <x:row r="410" ht="54" customHeight="1">
      <x:c r="A410" s="17" t="str">
        <x:v>BUS108</x:v>
      </x:c>
      <x:c r="B410" s="17" t="str">
        <x:v>查询半导体所属的申万行业级别和上级行业。</x:v>
      </x:c>
      <x:c r="C410" s="17" t="n">
        <x:v>2</x:v>
      </x:c>
      <x:c r="D410" s="17" t="str"/>
      <x:c r="E410" s="17" t="str">
        <x:v>工具调用</x:v>
      </x:c>
      <x:c r="F410" s="17" t="str">
        <x:v>finance_query</x:v>
      </x:c>
      <x:c r="G410" s="17" t="str">
        <x:v>r1 = industry.basic_info(filter = "industry_name = '半导体'", limit = 1) -&gt; industry_code, industry_name, level, level1_industry_name, level2_industry_name, level3_industry_name</x:v>
      </x:c>
      <x:c r="H410" s="17" t="str"/>
      <x:c r="I410" s="17" t="str">
        <x:v>设计浪费</x:v>
      </x:c>
      <x:c r="J410" s="17" t="str">
        <x:v>否</x:v>
      </x:c>
      <x:c r="K410" s="18"/>
      <x:c r="L410" s="17" t="str">
        <x:v>否</x:v>
      </x:c>
      <x:c r="M410" s="17" t="str">
        <x:v>否</x:v>
      </x:c>
      <x:c r="N410" s="17" t="str">
        <x:v>execution_error</x:v>
      </x:c>
      <x:c r="O410" s="17" t="str">
        <x:v>query_execution_error</x:v>
      </x:c>
      <x:c r="P410" s="17" t="str"/>
      <x:c r="Q410" s="17" t="str"/>
      <x:c r="R410" s="17" t="str">
        <x:v>industry.basic_info</x:v>
      </x:c>
      <x:c r="S410" s="17" t="str"/>
      <x:c r="T410" s="17" t="str"/>
      <x:c r="U410" s="17" t="str"/>
      <x:c r="V410" s="30"/>
      <x:c r="W410" s="17" t="str">
        <x:v>high</x:v>
      </x:c>
    </x:row>
    <x:row r="411" ht="54" customHeight="1">
      <x:c r="A411" s="17" t="str">
        <x:v>BUS108</x:v>
      </x:c>
      <x:c r="B411" s="17" t="str">
        <x:v>查询半导体所属的申万行业级别和上级行业。</x:v>
      </x:c>
      <x:c r="C411" s="17" t="n">
        <x:v>3</x:v>
      </x:c>
      <x:c r="D411" s="17" t="str"/>
      <x:c r="E411" s="17" t="str">
        <x:v>工具调用</x:v>
      </x:c>
      <x:c r="F411" s="17" t="str">
        <x:v>finance_query</x:v>
      </x:c>
      <x:c r="G411" s="17" t="str">
        <x:v>r1 = industry.basic_info(filter = "industry_name = '半导体'", limit = 10) -&gt; industry_code, industry_name, level</x:v>
      </x:c>
      <x:c r="H411" s="17" t="str"/>
      <x:c r="I411" s="17" t="str">
        <x:v>设计浪费</x:v>
      </x:c>
      <x:c r="J411" s="17" t="str">
        <x:v>否</x:v>
      </x:c>
      <x:c r="K411" s="18"/>
      <x:c r="L411" s="17" t="str">
        <x:v>否</x:v>
      </x:c>
      <x:c r="M411" s="17" t="str">
        <x:v>否</x:v>
      </x:c>
      <x:c r="N411" s="17" t="str">
        <x:v>execution_error</x:v>
      </x:c>
      <x:c r="O411" s="17" t="str">
        <x:v>query_execution_error</x:v>
      </x:c>
      <x:c r="P411" s="17" t="str"/>
      <x:c r="Q411" s="17" t="str"/>
      <x:c r="R411" s="17" t="str">
        <x:v>industry.basic_info</x:v>
      </x:c>
      <x:c r="S411" s="17" t="str"/>
      <x:c r="T411" s="17" t="str"/>
      <x:c r="U411" s="17" t="str"/>
      <x:c r="V411" s="30"/>
      <x:c r="W411" s="17" t="str">
        <x:v>high</x:v>
      </x:c>
    </x:row>
    <x:row r="412" ht="54" customHeight="1">
      <x:c r="A412" s="17" t="str">
        <x:v>BUS108</x:v>
      </x:c>
      <x:c r="B412" s="17" t="str">
        <x:v>查询半导体所属的申万行业级别和上级行业。</x:v>
      </x:c>
      <x:c r="C412" s="17" t="n">
        <x:v>4</x:v>
      </x:c>
      <x:c r="D412" s="17" t="str"/>
      <x:c r="E412" s="17" t="str">
        <x:v>工具调用</x:v>
      </x:c>
      <x:c r="F412" s="17" t="str">
        <x:v>finance_query</x:v>
      </x:c>
      <x:c r="G412" s="17" t="str">
        <x:v>r1 = industry.basic_info(filter = "industry_name = '半导体'", limit = 10) -&gt; industry_code, industry_name</x:v>
      </x:c>
      <x:c r="H412" s="17" t="str"/>
      <x:c r="I412" s="17" t="str">
        <x:v>设计浪费</x:v>
      </x:c>
      <x:c r="J412" s="17" t="str">
        <x:v>否</x:v>
      </x:c>
      <x:c r="K412" s="18"/>
      <x:c r="L412" s="17" t="str">
        <x:v>否</x:v>
      </x:c>
      <x:c r="M412" s="17" t="str">
        <x:v>否</x:v>
      </x:c>
      <x:c r="N412" s="17" t="str">
        <x:v>execution_error</x:v>
      </x:c>
      <x:c r="O412" s="17" t="str">
        <x:v>query_execution_error</x:v>
      </x:c>
      <x:c r="P412" s="17" t="str"/>
      <x:c r="Q412" s="17" t="str"/>
      <x:c r="R412" s="17" t="str">
        <x:v>industry.basic_info</x:v>
      </x:c>
      <x:c r="S412" s="17" t="str"/>
      <x:c r="T412" s="17" t="str"/>
      <x:c r="U412" s="17" t="str"/>
      <x:c r="V412" s="30"/>
      <x:c r="W412" s="17" t="str">
        <x:v>high</x:v>
      </x:c>
    </x:row>
    <x:row r="413" ht="54" customHeight="1">
      <x:c r="A413" s="17" t="str">
        <x:v>BUS108</x:v>
      </x:c>
      <x:c r="B413" s="17" t="str">
        <x:v>查询半导体所属的申万行业级别和上级行业。</x:v>
      </x:c>
      <x:c r="C413" s="17" t="n">
        <x:v>5</x:v>
      </x:c>
      <x:c r="D413" s="17" t="str"/>
      <x:c r="E413" s="17" t="str">
        <x:v>工具调用</x:v>
      </x:c>
      <x:c r="F413" s="17" t="str">
        <x:v>finance_query</x:v>
      </x:c>
      <x:c r="G413" s="17" t="str">
        <x:v>r1 = industry.basic_info(filter = "industry_code = '半导体'", limit = 10) -&gt; industry_code, industry_name</x:v>
      </x:c>
      <x:c r="H413" s="17" t="str"/>
      <x:c r="I413" s="17" t="str">
        <x:v>设计浪费</x:v>
      </x:c>
      <x:c r="J413" s="17" t="str">
        <x:v>否</x:v>
      </x:c>
      <x:c r="K413" s="18"/>
      <x:c r="L413" s="17" t="str">
        <x:v>否</x:v>
      </x:c>
      <x:c r="M413" s="17" t="str">
        <x:v>否</x:v>
      </x:c>
      <x:c r="N413" s="17" t="str">
        <x:v>execution_error</x:v>
      </x:c>
      <x:c r="O413" s="17" t="str">
        <x:v>query_execution_error</x:v>
      </x:c>
      <x:c r="P413" s="17" t="str"/>
      <x:c r="Q413" s="17" t="str"/>
      <x:c r="R413" s="17" t="str">
        <x:v>industry.basic_info</x:v>
      </x:c>
      <x:c r="S413" s="17" t="str"/>
      <x:c r="T413" s="17" t="str"/>
      <x:c r="U413" s="17" t="str"/>
      <x:c r="V413" s="30"/>
      <x:c r="W413" s="17" t="str">
        <x:v>high</x:v>
      </x:c>
    </x:row>
    <x:row r="414" ht="54" customHeight="1">
      <x:c r="A414" s="17" t="str">
        <x:v>BUS108</x:v>
      </x:c>
      <x:c r="B414" s="17" t="str">
        <x:v>查询半导体所属的申万行业级别和上级行业。</x:v>
      </x:c>
      <x:c r="C414" s="17" t="n">
        <x:v>6</x:v>
      </x:c>
      <x:c r="D414" s="17" t="str"/>
      <x:c r="E414" s="17" t="str">
        <x:v>工具调用</x:v>
      </x:c>
      <x:c r="F414" s="17" t="str">
        <x:v>read_finance_catalog</x:v>
      </x:c>
      <x:c r="G414" s="17" t="str"/>
      <x:c r="H414" s="17" t="str"/>
      <x:c r="I414" s="17" t="str">
        <x:v>合理操作</x:v>
      </x:c>
      <x:c r="J414" s="17" t="str">
        <x:v>是</x:v>
      </x:c>
      <x:c r="K414" s="18"/>
      <x:c r="L414" s="17" t="str">
        <x:v>否</x:v>
      </x:c>
      <x:c r="M414" s="17" t="str">
        <x:v>否</x:v>
      </x:c>
      <x:c r="N414" s="17" t="str">
        <x:v>subject_catalog_discovery</x:v>
      </x:c>
      <x:c r="O414" s="17" t="str">
        <x:v>expected_subject_catalog</x:v>
      </x:c>
      <x:c r="P414" s="17" t="str"/>
      <x:c r="Q414" s="17" t="str"/>
      <x:c r="R414" s="17" t="str"/>
      <x:c r="S414" s="17" t="str">
        <x:v>industry</x:v>
      </x:c>
      <x:c r="T414" s="17" t="str">
        <x:v>constitution</x:v>
      </x:c>
      <x:c r="U414" s="17" t="str"/>
      <x:c r="V414" s="30"/>
      <x:c r="W414" s="17" t="str">
        <x:v>medium</x:v>
      </x:c>
    </x:row>
    <x:row r="415" ht="54" customHeight="1">
      <x:c r="A415" s="17" t="str">
        <x:v>BUS108</x:v>
      </x:c>
      <x:c r="B415" s="17" t="str">
        <x:v>查询半导体所属的申万行业级别和上级行业。</x:v>
      </x:c>
      <x:c r="C415" s="17" t="n">
        <x:v>7</x:v>
      </x:c>
      <x:c r="D415" s="17" t="str"/>
      <x:c r="E415" s="17" t="str">
        <x:v>工具调用</x:v>
      </x:c>
      <x:c r="F415" s="17" t="str">
        <x:v>finance_query</x:v>
      </x:c>
      <x:c r="G415" s="17" t="str">
        <x:v>r1 = industry.constitution(filter = "industry_name = '半导体'", limit = 1) -&gt; industry_code, industry_name, level, level1_industry_name, level2_industry_name, level3_industry_name</x:v>
      </x:c>
      <x:c r="H415" s="17" t="str"/>
      <x:c r="I415" s="17" t="str">
        <x:v>设计浪费</x:v>
      </x:c>
      <x:c r="J415" s="17" t="str">
        <x:v>否</x:v>
      </x:c>
      <x:c r="K415" s="18"/>
      <x:c r="L415" s="17" t="str">
        <x:v>否</x:v>
      </x:c>
      <x:c r="M415" s="17" t="str">
        <x:v>否</x:v>
      </x:c>
      <x:c r="N415" s="17" t="str">
        <x:v>selection_sample_conflict</x:v>
      </x:c>
      <x:c r="O415" s="17" t="str">
        <x:v>selection_applied_equality_conflicts_with_complete_sample</x:v>
      </x:c>
      <x:c r="P415" s="17" t="str">
        <x:v>session://financial_qa_33499cfa81de4d06_2803_f372a2672904/vars/v1</x:v>
      </x:c>
      <x:c r="Q415" s="17" t="str"/>
      <x:c r="R415" s="17" t="str">
        <x:v>industry.constitution</x:v>
      </x:c>
      <x:c r="S415" s="17" t="str"/>
      <x:c r="T415" s="17" t="str"/>
      <x:c r="U415" s="17" t="str">
        <x:v>r1</x:v>
      </x:c>
      <x:c r="V415" s="30" t="n">
        <x:v>1</x:v>
      </x:c>
      <x:c r="W415" s="17" t="str">
        <x:v>high</x:v>
      </x:c>
    </x:row>
    <x:row r="416" ht="54" customHeight="1">
      <x:c r="A416" s="17" t="str">
        <x:v>BUS108</x:v>
      </x:c>
      <x:c r="B416" s="17" t="str">
        <x:v>查询半导体所属的申万行业级别和上级行业。</x:v>
      </x:c>
      <x:c r="C416" s="17" t="n">
        <x:v>8</x:v>
      </x:c>
      <x:c r="D416" s="17" t="str"/>
      <x:c r="E416" s="17" t="str">
        <x:v>工具调用</x:v>
      </x:c>
      <x:c r="F416" s="17" t="str">
        <x:v>finance_query</x:v>
      </x:c>
      <x:c r="G416" s="17" t="str">
        <x:v>r2 = industry.constitution(filter = "level2_industry_name = '半导体'", limit = 1) -&gt; industry_code, industry_name, level, level1_industry_name, level2_industry_name</x:v>
      </x:c>
      <x:c r="H416" s="17" t="str"/>
      <x:c r="I416" s="17" t="str">
        <x:v>合理操作</x:v>
      </x:c>
      <x:c r="J416" s="17" t="str">
        <x:v>是</x:v>
      </x:c>
      <x:c r="K416" s="18"/>
      <x:c r="L416" s="17" t="str">
        <x:v>否</x:v>
      </x:c>
      <x:c r="M416" s="17" t="str">
        <x:v>否</x:v>
      </x:c>
      <x:c r="N416" s="17" t="str">
        <x:v>same_subject_dependency</x:v>
      </x:c>
      <x:c r="O416" s="17" t="str">
        <x:v>supporting_api_for_expected_subject</x:v>
      </x:c>
      <x:c r="P416" s="17" t="str">
        <x:v>session://financial_qa_33499cfa81de4d06_2803_f372a2672904/vars/v2</x:v>
      </x:c>
      <x:c r="Q416" s="17" t="str"/>
      <x:c r="R416" s="17" t="str">
        <x:v>industry.constitution</x:v>
      </x:c>
      <x:c r="S416" s="17" t="str"/>
      <x:c r="T416" s="17" t="str"/>
      <x:c r="U416" s="17" t="str">
        <x:v>r2</x:v>
      </x:c>
      <x:c r="V416" s="30" t="n">
        <x:v>1</x:v>
      </x:c>
      <x:c r="W416" s="17" t="str">
        <x:v>medium</x:v>
      </x:c>
    </x:row>
    <x:row r="417" ht="54" customHeight="1">
      <x:c r="A417" s="17" t="str">
        <x:v>BUS108</x:v>
      </x:c>
      <x:c r="B417" s="17" t="str">
        <x:v>查询半导体所属的申万行业级别和上级行业。</x:v>
      </x:c>
      <x:c r="C417" s="17" t="n">
        <x:v>9</x:v>
      </x:c>
      <x:c r="D417" s="17" t="str"/>
      <x:c r="E417" s="17" t="str">
        <x:v>工具调用</x:v>
      </x:c>
      <x:c r="F417" s="17" t="str">
        <x:v>finance_query</x:v>
      </x:c>
      <x:c r="G417" s="17" t="str">
        <x:v>r3 = industry.constitution(filter = "level2_industry_name = '半导体' and level = 2", limit = 1) -&gt; industry_code, industry_name, level, level1_industry_name, level2_industry_name</x:v>
      </x:c>
      <x:c r="H417" s="17" t="str"/>
      <x:c r="I417" s="17" t="str">
        <x:v>合理操作</x:v>
      </x:c>
      <x:c r="J417" s="17" t="str">
        <x:v>是</x:v>
      </x:c>
      <x:c r="K417" s="18"/>
      <x:c r="L417" s="17" t="str">
        <x:v>否</x:v>
      </x:c>
      <x:c r="M417" s="17" t="str">
        <x:v>否</x:v>
      </x:c>
      <x:c r="N417" s="17" t="str">
        <x:v>same_subject_dependency</x:v>
      </x:c>
      <x:c r="O417" s="17" t="str">
        <x:v>supporting_api_for_expected_subject</x:v>
      </x:c>
      <x:c r="P417" s="17" t="str">
        <x:v>session://financial_qa_33499cfa81de4d06_2803_f372a2672904/vars/v3</x:v>
      </x:c>
      <x:c r="Q417" s="17" t="str"/>
      <x:c r="R417" s="17" t="str">
        <x:v>industry.constitution</x:v>
      </x:c>
      <x:c r="S417" s="17" t="str"/>
      <x:c r="T417" s="17" t="str"/>
      <x:c r="U417" s="17" t="str">
        <x:v>r3</x:v>
      </x:c>
      <x:c r="V417" s="30" t="n">
        <x:v>0</x:v>
      </x:c>
      <x:c r="W417" s="17" t="str">
        <x:v>medium</x:v>
      </x:c>
    </x:row>
    <x:row r="418" ht="54" customHeight="1">
      <x:c r="A418" s="17" t="str">
        <x:v>BUS108</x:v>
      </x:c>
      <x:c r="B418" s="17" t="str">
        <x:v>查询半导体所属的申万行业级别和上级行业。</x:v>
      </x:c>
      <x:c r="C418" s="17" t="n">
        <x:v>10</x:v>
      </x:c>
      <x:c r="D418" s="17" t="str"/>
      <x:c r="E418" s="17" t="str">
        <x:v>工具调用</x:v>
      </x:c>
      <x:c r="F418" s="17" t="str">
        <x:v>finance_query</x:v>
      </x:c>
      <x:c r="G418" s="17" t="str">
        <x:v>r4 = industry.constitution(filter = "level2_industry_name = '半导体'", order = "industry_code asc", limit = 10) -&gt; industry_code, industry_name, level, level1_industry_name, level2_industry_name</x:v>
      </x:c>
      <x:c r="H418" s="17" t="str"/>
      <x:c r="I418" s="17" t="str">
        <x:v>设计浪费</x:v>
      </x:c>
      <x:c r="J418" s="17" t="str">
        <x:v>否</x:v>
      </x:c>
      <x:c r="K418" s="18"/>
      <x:c r="L418" s="17" t="str">
        <x:v>否</x:v>
      </x:c>
      <x:c r="M418" s="17" t="str">
        <x:v>否</x:v>
      </x:c>
      <x:c r="N418" s="17" t="str">
        <x:v>requery_after_terminal_zero</x:v>
      </x:c>
      <x:c r="O418" s="17" t="str">
        <x:v>terminal_zero_requery</x:v>
      </x:c>
      <x:c r="P418" s="17" t="str">
        <x:v>session://financial_qa_33499cfa81de4d06_2803_f372a2672904/vars/v4</x:v>
      </x:c>
      <x:c r="Q418" s="17" t="str"/>
      <x:c r="R418" s="17" t="str">
        <x:v>industry.constitution</x:v>
      </x:c>
      <x:c r="S418" s="17" t="str"/>
      <x:c r="T418" s="17" t="str"/>
      <x:c r="U418" s="17" t="str">
        <x:v>r4</x:v>
      </x:c>
      <x:c r="V418" s="30" t="n">
        <x:v>10</x:v>
      </x:c>
      <x:c r="W418" s="17" t="str">
        <x:v>high</x:v>
      </x:c>
    </x:row>
    <x:row r="419" ht="54" customHeight="1">
      <x:c r="A419" s="17" t="str">
        <x:v>BUS108</x:v>
      </x:c>
      <x:c r="B419" s="17" t="str">
        <x:v>查询半导体所属的申万行业级别和上级行业。</x:v>
      </x:c>
      <x:c r="C419" s="17" t="n">
        <x:v>11</x:v>
      </x:c>
      <x:c r="D419" s="17" t="str"/>
      <x:c r="E419" s="17" t="str">
        <x:v>工具调用</x:v>
      </x:c>
      <x:c r="F419" s="17" t="str">
        <x:v>load_finance_result</x:v>
      </x:c>
      <x:c r="G419" s="17" t="str"/>
      <x:c r="H419" s="17" t="str"/>
      <x:c r="I419" s="17" t="str">
        <x:v>合理操作</x:v>
      </x:c>
      <x:c r="J419" s="17" t="str">
        <x:v>是</x:v>
      </x:c>
      <x:c r="K419" s="18"/>
      <x:c r="L419" s="17" t="str">
        <x:v>否</x:v>
      </x:c>
      <x:c r="M419" s="17" t="str">
        <x:v>否</x:v>
      </x:c>
      <x:c r="N419" s="17" t="str">
        <x:v>load_truncated_result</x:v>
      </x:c>
      <x:c r="O419" s="17" t="str">
        <x:v>sample_incomplete_requires_full_result</x:v>
      </x:c>
      <x:c r="P419" s="17" t="str">
        <x:v>session://financial_qa_33499cfa81de4d06_2803_f372a2672904/vars/v4</x:v>
      </x:c>
      <x:c r="Q419" s="17" t="str"/>
      <x:c r="R419" s="17" t="str"/>
      <x:c r="S419" s="17" t="str"/>
      <x:c r="T419" s="17" t="str"/>
      <x:c r="U419" s="17" t="str"/>
      <x:c r="V419" s="30"/>
      <x:c r="W419" s="17" t="str">
        <x:v>high</x:v>
      </x:c>
    </x:row>
    <x:row r="420" ht="54" customHeight="1">
      <x:c r="A420" s="17" t="str">
        <x:v>BUS109</x:v>
      </x:c>
      <x:c r="B420" s="17" t="str">
        <x:v>列出电子行业下的二级行业。</x:v>
      </x:c>
      <x:c r="C420" s="17" t="n">
        <x:v>1</x:v>
      </x:c>
      <x:c r="D420" s="17" t="str"/>
      <x:c r="E420" s="17" t="str">
        <x:v>工具调用</x:v>
      </x:c>
      <x:c r="F420" s="17" t="str">
        <x:v>read_finance_catalog</x:v>
      </x:c>
      <x:c r="G420" s="17" t="str"/>
      <x:c r="H420" s="17" t="str"/>
      <x:c r="I420" s="17" t="str">
        <x:v>合理操作</x:v>
      </x:c>
      <x:c r="J420" s="17" t="str">
        <x:v>是</x:v>
      </x:c>
      <x:c r="K420" s="18"/>
      <x:c r="L420" s="17" t="str">
        <x:v>否</x:v>
      </x:c>
      <x:c r="M420" s="17" t="str">
        <x:v>否</x:v>
      </x:c>
      <x:c r="N420" s="17" t="str">
        <x:v>subject_catalog_discovery</x:v>
      </x:c>
      <x:c r="O420" s="17" t="str">
        <x:v>expected_subject_catalog</x:v>
      </x:c>
      <x:c r="P420" s="17" t="str"/>
      <x:c r="Q420" s="17" t="str"/>
      <x:c r="R420" s="17" t="str"/>
      <x:c r="S420" s="17" t="str">
        <x:v>industry</x:v>
      </x:c>
      <x:c r="T420" s="17" t="str">
        <x:v>constitution</x:v>
      </x:c>
      <x:c r="U420" s="17" t="str"/>
      <x:c r="V420" s="30"/>
      <x:c r="W420" s="17" t="str">
        <x:v>medium</x:v>
      </x:c>
    </x:row>
    <x:row r="421" ht="54" customHeight="1">
      <x:c r="A421" s="17" t="str">
        <x:v>BUS109</x:v>
      </x:c>
      <x:c r="B421" s="17" t="str">
        <x:v>列出电子行业下的二级行业。</x:v>
      </x:c>
      <x:c r="C421" s="17" t="n">
        <x:v>2</x:v>
      </x:c>
      <x:c r="D421" s="17" t="str"/>
      <x:c r="E421" s="17" t="str">
        <x:v>工具调用</x:v>
      </x:c>
      <x:c r="F421" s="17" t="str">
        <x:v>finance_query</x:v>
      </x:c>
      <x:c r="G421" s="17" t="str">
        <x:v>r1 = industry.constitution(filter = "level1_industry_name = 电子", order = "level2_industry_name asc", limit = -1) -&gt; industry_code, industry_name, level, level1_industry_name, level2_industry_name</x:v>
      </x:c>
      <x:c r="H421" s="17" t="str"/>
      <x:c r="I421" s="17" t="str">
        <x:v>合理操作</x:v>
      </x:c>
      <x:c r="J421" s="17" t="str">
        <x:v>是</x:v>
      </x:c>
      <x:c r="K421" s="18"/>
      <x:c r="L421" s="17" t="str">
        <x:v>否</x:v>
      </x:c>
      <x:c r="M421" s="17" t="str">
        <x:v>否</x:v>
      </x:c>
      <x:c r="N421" s="17" t="str">
        <x:v>same_subject_dependency</x:v>
      </x:c>
      <x:c r="O421" s="17" t="str">
        <x:v>supporting_api_for_expected_subject</x:v>
      </x:c>
      <x:c r="P421" s="17" t="str">
        <x:v>session://financial_qa_33499cfa81de4d06_2804_e2fa926d7e07/vars/v1</x:v>
      </x:c>
      <x:c r="Q421" s="17" t="str"/>
      <x:c r="R421" s="17" t="str">
        <x:v>industry.constitution</x:v>
      </x:c>
      <x:c r="S421" s="17" t="str"/>
      <x:c r="T421" s="17" t="str"/>
      <x:c r="U421" s="17" t="str">
        <x:v>r1</x:v>
      </x:c>
      <x:c r="V421" s="30" t="n">
        <x:v>100</x:v>
      </x:c>
      <x:c r="W421" s="17" t="str">
        <x:v>medium</x:v>
      </x:c>
    </x:row>
    <x:row r="422" ht="54" customHeight="1">
      <x:c r="A422" s="17" t="str">
        <x:v>BUS109</x:v>
      </x:c>
      <x:c r="B422" s="17" t="str">
        <x:v>列出电子行业下的二级行业。</x:v>
      </x:c>
      <x:c r="C422" s="17" t="n">
        <x:v>3</x:v>
      </x:c>
      <x:c r="D422" s="17" t="str"/>
      <x:c r="E422" s="17" t="str">
        <x:v>工具调用</x:v>
      </x:c>
      <x:c r="F422" s="17" t="str">
        <x:v>load_finance_result</x:v>
      </x:c>
      <x:c r="G422" s="17" t="str"/>
      <x:c r="H422" s="17" t="str"/>
      <x:c r="I422" s="17" t="str">
        <x:v>合理操作</x:v>
      </x:c>
      <x:c r="J422" s="17" t="str">
        <x:v>是</x:v>
      </x:c>
      <x:c r="K422" s="18"/>
      <x:c r="L422" s="17" t="str">
        <x:v>否</x:v>
      </x:c>
      <x:c r="M422" s="17" t="str">
        <x:v>否</x:v>
      </x:c>
      <x:c r="N422" s="17" t="str">
        <x:v>load_truncated_result</x:v>
      </x:c>
      <x:c r="O422" s="17" t="str">
        <x:v>sample_incomplete_requires_full_result</x:v>
      </x:c>
      <x:c r="P422" s="17" t="str">
        <x:v>session://financial_qa_33499cfa81de4d06_2804_e2fa926d7e07/vars/v1</x:v>
      </x:c>
      <x:c r="Q422" s="17" t="str"/>
      <x:c r="R422" s="17" t="str"/>
      <x:c r="S422" s="17" t="str"/>
      <x:c r="T422" s="17" t="str"/>
      <x:c r="U422" s="17" t="str"/>
      <x:c r="V422" s="30"/>
      <x:c r="W422" s="17" t="str">
        <x:v>high</x:v>
      </x:c>
    </x:row>
    <x:row r="423" ht="54" customHeight="1">
      <x:c r="A423" s="17" t="str">
        <x:v>BUS109</x:v>
      </x:c>
      <x:c r="B423" s="17" t="str">
        <x:v>列出电子行业下的二级行业。</x:v>
      </x:c>
      <x:c r="C423" s="17" t="n">
        <x:v>4</x:v>
      </x:c>
      <x:c r="D423" s="17" t="str"/>
      <x:c r="E423" s="17" t="str">
        <x:v>工具调用</x:v>
      </x:c>
      <x:c r="F423" s="17" t="str">
        <x:v>finance_query</x:v>
      </x:c>
      <x:c r="G423" s="17" t="str">
        <x:v>r2 = industry.constitution.agg(filter = "level1_industry_name = 电子", agg = count(stock_code), group_by = "level2_industry_name", order = "level2_industry_name asc", limit = -1) -&gt; level2_industry_name, stock_count</x:v>
      </x:c>
      <x:c r="H423" s="17" t="str"/>
      <x:c r="I423" s="17" t="str">
        <x:v>设计浪费</x:v>
      </x:c>
      <x:c r="J423" s="17" t="str">
        <x:v>否</x:v>
      </x:c>
      <x:c r="K423" s="18"/>
      <x:c r="L423" s="17" t="str">
        <x:v>否</x:v>
      </x:c>
      <x:c r="M423" s="17" t="str">
        <x:v>否</x:v>
      </x:c>
      <x:c r="N423" s="17" t="str">
        <x:v>validation_error</x:v>
      </x:c>
      <x:c r="O423" s="17" t="str">
        <x:v>query_validation_error</x:v>
      </x:c>
      <x:c r="P423" s="17" t="str"/>
      <x:c r="Q423" s="17" t="str"/>
      <x:c r="R423" s="17" t="str">
        <x:v>industry.constitution.agg</x:v>
      </x:c>
      <x:c r="S423" s="17" t="str"/>
      <x:c r="T423" s="17" t="str"/>
      <x:c r="U423" s="17" t="str">
        <x:v>r2</x:v>
      </x:c>
      <x:c r="V423" s="30"/>
      <x:c r="W423" s="17" t="str">
        <x:v>high</x:v>
      </x:c>
    </x:row>
    <x:row r="424" ht="54" customHeight="1">
      <x:c r="A424" s="17" t="str">
        <x:v>BUS109</x:v>
      </x:c>
      <x:c r="B424" s="17" t="str">
        <x:v>列出电子行业下的二级行业。</x:v>
      </x:c>
      <x:c r="C424" s="17" t="n">
        <x:v>5</x:v>
      </x:c>
      <x:c r="D424" s="17" t="str"/>
      <x:c r="E424" s="17" t="str">
        <x:v>工具调用</x:v>
      </x:c>
      <x:c r="F424" s="17" t="str">
        <x:v>finance_query</x:v>
      </x:c>
      <x:c r="G424" s="17" t="str">
        <x:v>r2 = industry.constitution.agg(filter = "level1_industry_name = 电子", agg = count(stock.quote.code), group_by = "level2_industry_name", order = "level2_industry_name asc", limit = -1) -&gt; level2_industry_name, stock_count</x:v>
      </x:c>
      <x:c r="H424" s="17" t="str"/>
      <x:c r="I424" s="17" t="str">
        <x:v>可解释探索</x:v>
      </x:c>
      <x:c r="J424" s="17" t="str">
        <x:v>是</x:v>
      </x:c>
      <x:c r="K424" s="18"/>
      <x:c r="L424" s="17" t="str">
        <x:v>否</x:v>
      </x:c>
      <x:c r="M424" s="17" t="str">
        <x:v>否</x:v>
      </x:c>
      <x:c r="N424" s="17" t="str">
        <x:v>changed_query_after_failure</x:v>
      </x:c>
      <x:c r="O424" s="17" t="str">
        <x:v>successful_same_api_recovery</x:v>
      </x:c>
      <x:c r="P424" s="17" t="str">
        <x:v>session://financial_qa_33499cfa81de4d06_2804_e2fa926d7e07/vars/v2</x:v>
      </x:c>
      <x:c r="Q424" s="17" t="str"/>
      <x:c r="R424" s="17" t="str">
        <x:v>industry.constitution.agg</x:v>
      </x:c>
      <x:c r="S424" s="17" t="str"/>
      <x:c r="T424" s="17" t="str"/>
      <x:c r="U424" s="17" t="str">
        <x:v>r2</x:v>
      </x:c>
      <x:c r="V424" s="30" t="n">
        <x:v>6</x:v>
      </x:c>
      <x:c r="W424" s="17" t="str">
        <x:v>medium</x:v>
      </x:c>
    </x:row>
    <x:row r="425" ht="54" customHeight="1">
      <x:c r="A425" s="17" t="str">
        <x:v>BUS109</x:v>
      </x:c>
      <x:c r="B425" s="17" t="str">
        <x:v>列出电子行业下的二级行业。</x:v>
      </x:c>
      <x:c r="C425" s="17" t="n">
        <x:v>6</x:v>
      </x:c>
      <x:c r="D425" s="17" t="str"/>
      <x:c r="E425" s="17" t="str">
        <x:v>工具调用</x:v>
      </x:c>
      <x:c r="F425" s="17" t="str">
        <x:v>load_finance_result</x:v>
      </x:c>
      <x:c r="G425" s="17" t="str"/>
      <x:c r="H425" s="17" t="str"/>
      <x:c r="I425" s="17" t="str">
        <x:v>合理操作</x:v>
      </x:c>
      <x:c r="J425" s="17" t="str">
        <x:v>是</x:v>
      </x:c>
      <x:c r="K425" s="18"/>
      <x:c r="L425" s="17" t="str">
        <x:v>否</x:v>
      </x:c>
      <x:c r="M425" s="17" t="str">
        <x:v>否</x:v>
      </x:c>
      <x:c r="N425" s="17" t="str">
        <x:v>load_truncated_result</x:v>
      </x:c>
      <x:c r="O425" s="17" t="str">
        <x:v>sample_incomplete_requires_full_result</x:v>
      </x:c>
      <x:c r="P425" s="17" t="str">
        <x:v>session://financial_qa_33499cfa81de4d06_2804_e2fa926d7e07/vars/v2</x:v>
      </x:c>
      <x:c r="Q425" s="17" t="str"/>
      <x:c r="R425" s="17" t="str"/>
      <x:c r="S425" s="17" t="str"/>
      <x:c r="T425" s="17" t="str"/>
      <x:c r="U425" s="17" t="str"/>
      <x:c r="V425" s="30"/>
      <x:c r="W425" s="17" t="str">
        <x:v>high</x:v>
      </x:c>
    </x:row>
    <x:row r="426" ht="54" customHeight="1">
      <x:c r="A426" s="17" t="str">
        <x:v>BUS110</x:v>
      </x:c>
      <x:c r="B426" s="17" t="str">
        <x:v>查询计算机设备行业的一级、二级和三级行业名称。</x:v>
      </x:c>
      <x:c r="C426" s="17" t="n">
        <x:v>1</x:v>
      </x:c>
      <x:c r="D426" s="17" t="str"/>
      <x:c r="E426" s="17" t="str">
        <x:v>工具调用</x:v>
      </x:c>
      <x:c r="F426" s="17" t="str">
        <x:v>read_finance_catalog</x:v>
      </x:c>
      <x:c r="G426" s="17" t="str"/>
      <x:c r="H426" s="17" t="str"/>
      <x:c r="I426" s="17" t="str">
        <x:v>合理操作</x:v>
      </x:c>
      <x:c r="J426" s="17" t="str">
        <x:v>是</x:v>
      </x:c>
      <x:c r="K426" s="18"/>
      <x:c r="L426" s="17" t="str">
        <x:v>否</x:v>
      </x:c>
      <x:c r="M426" s="17" t="str">
        <x:v>否</x:v>
      </x:c>
      <x:c r="N426" s="17" t="str">
        <x:v>target_catalog_located</x:v>
      </x:c>
      <x:c r="O426" s="17" t="str">
        <x:v>expected_dataview_catalog</x:v>
      </x:c>
      <x:c r="P426" s="17" t="str"/>
      <x:c r="Q426" s="17" t="str"/>
      <x:c r="R426" s="17" t="str"/>
      <x:c r="S426" s="17" t="str">
        <x:v>industry</x:v>
      </x:c>
      <x:c r="T426" s="17" t="str">
        <x:v>basic_info</x:v>
      </x:c>
      <x:c r="U426" s="17" t="str"/>
      <x:c r="V426" s="30"/>
      <x:c r="W426" s="17" t="str">
        <x:v>high</x:v>
      </x:c>
    </x:row>
    <x:row r="427" ht="54" customHeight="1">
      <x:c r="A427" s="17" t="str">
        <x:v>BUS110</x:v>
      </x:c>
      <x:c r="B427" s="17" t="str">
        <x:v>查询计算机设备行业的一级、二级和三级行业名称。</x:v>
      </x:c>
      <x:c r="C427" s="17" t="n">
        <x:v>2</x:v>
      </x:c>
      <x:c r="D427" s="17" t="str"/>
      <x:c r="E427" s="17" t="str">
        <x:v>工具调用</x:v>
      </x:c>
      <x:c r="F427" s="17" t="str">
        <x:v>finance_query</x:v>
      </x:c>
      <x:c r="G427" s="17" t="str">
        <x:v>r1 = industry.basic_info(filter = "industry_name = '计算机设备'", limit = 10) -&gt; industry_code, industry_name, level, level1_industry_name, level2_industry_name, level3_industry_name</x:v>
      </x:c>
      <x:c r="H427" s="17" t="str"/>
      <x:c r="I427" s="17" t="str">
        <x:v>设计浪费</x:v>
      </x:c>
      <x:c r="J427" s="17" t="str">
        <x:v>否</x:v>
      </x:c>
      <x:c r="K427" s="18"/>
      <x:c r="L427" s="17" t="str">
        <x:v>否</x:v>
      </x:c>
      <x:c r="M427" s="17" t="str">
        <x:v>否</x:v>
      </x:c>
      <x:c r="N427" s="17" t="str">
        <x:v>execution_error</x:v>
      </x:c>
      <x:c r="O427" s="17" t="str">
        <x:v>query_execution_error</x:v>
      </x:c>
      <x:c r="P427" s="17" t="str"/>
      <x:c r="Q427" s="17" t="str"/>
      <x:c r="R427" s="17" t="str">
        <x:v>industry.basic_info</x:v>
      </x:c>
      <x:c r="S427" s="17" t="str"/>
      <x:c r="T427" s="17" t="str"/>
      <x:c r="U427" s="17" t="str">
        <x:v>r1</x:v>
      </x:c>
      <x:c r="V427" s="30"/>
      <x:c r="W427" s="17" t="str">
        <x:v>high</x:v>
      </x:c>
    </x:row>
    <x:row r="428" ht="54" customHeight="1">
      <x:c r="A428" s="17" t="str">
        <x:v>BUS110</x:v>
      </x:c>
      <x:c r="B428" s="17" t="str">
        <x:v>查询计算机设备行业的一级、二级和三级行业名称。</x:v>
      </x:c>
      <x:c r="C428" s="17" t="n">
        <x:v>3</x:v>
      </x:c>
      <x:c r="D428" s="17" t="str"/>
      <x:c r="E428" s="17" t="str">
        <x:v>工具调用</x:v>
      </x:c>
      <x:c r="F428" s="17" t="str">
        <x:v>finance_query</x:v>
      </x:c>
      <x:c r="G428" s="17" t="str">
        <x:v>r1 = industry.basic_info(filter = "industry_name = '计算机设备'", limit = 10) -&gt; industry_code, industry_name, level</x:v>
      </x:c>
      <x:c r="H428" s="17" t="str"/>
      <x:c r="I428" s="17" t="str">
        <x:v>设计浪费</x:v>
      </x:c>
      <x:c r="J428" s="17" t="str">
        <x:v>否</x:v>
      </x:c>
      <x:c r="K428" s="18"/>
      <x:c r="L428" s="17" t="str">
        <x:v>否</x:v>
      </x:c>
      <x:c r="M428" s="17" t="str">
        <x:v>否</x:v>
      </x:c>
      <x:c r="N428" s="17" t="str">
        <x:v>execution_error</x:v>
      </x:c>
      <x:c r="O428" s="17" t="str">
        <x:v>query_execution_error</x:v>
      </x:c>
      <x:c r="P428" s="17" t="str"/>
      <x:c r="Q428" s="17" t="str"/>
      <x:c r="R428" s="17" t="str">
        <x:v>industry.basic_info</x:v>
      </x:c>
      <x:c r="S428" s="17" t="str"/>
      <x:c r="T428" s="17" t="str"/>
      <x:c r="U428" s="17" t="str">
        <x:v>r1</x:v>
      </x:c>
      <x:c r="V428" s="30"/>
      <x:c r="W428" s="17" t="str">
        <x:v>high</x:v>
      </x:c>
    </x:row>
    <x:row r="429" ht="54" customHeight="1">
      <x:c r="A429" s="17" t="str">
        <x:v>BUS110</x:v>
      </x:c>
      <x:c r="B429" s="17" t="str">
        <x:v>查询计算机设备行业的一级、二级和三级行业名称。</x:v>
      </x:c>
      <x:c r="C429" s="17" t="n">
        <x:v>4</x:v>
      </x:c>
      <x:c r="D429" s="17" t="str"/>
      <x:c r="E429" s="17" t="str">
        <x:v>工具调用</x:v>
      </x:c>
      <x:c r="F429" s="17" t="str">
        <x:v>finance_query</x:v>
      </x:c>
      <x:c r="G429" s="17" t="str">
        <x:v>r1 = industry.basic_info(limit = 20) -&gt; industry_code, industry_name, level</x:v>
      </x:c>
      <x:c r="H429" s="17" t="str"/>
      <x:c r="I429" s="17" t="str">
        <x:v>可解释探索</x:v>
      </x:c>
      <x:c r="J429" s="17" t="str">
        <x:v>是</x:v>
      </x:c>
      <x:c r="K429" s="18"/>
      <x:c r="L429" s="17" t="str">
        <x:v>否</x:v>
      </x:c>
      <x:c r="M429" s="17" t="str">
        <x:v>否</x:v>
      </x:c>
      <x:c r="N429" s="17" t="str">
        <x:v>changed_query_after_failure</x:v>
      </x:c>
      <x:c r="O429" s="17" t="str">
        <x:v>successful_same_api_recovery</x:v>
      </x:c>
      <x:c r="P429" s="17" t="str">
        <x:v>session://financial_qa_33499cfa81de4d06_2805_3b37d424305d/vars/v1</x:v>
      </x:c>
      <x:c r="Q429" s="17" t="str"/>
      <x:c r="R429" s="17" t="str">
        <x:v>industry.basic_info</x:v>
      </x:c>
      <x:c r="S429" s="17" t="str"/>
      <x:c r="T429" s="17" t="str"/>
      <x:c r="U429" s="17" t="str">
        <x:v>r1</x:v>
      </x:c>
      <x:c r="V429" s="30" t="n">
        <x:v>20</x:v>
      </x:c>
      <x:c r="W429" s="17" t="str">
        <x:v>medium</x:v>
      </x:c>
    </x:row>
    <x:row r="430" ht="54" customHeight="1">
      <x:c r="A430" s="17" t="str">
        <x:v>BUS110</x:v>
      </x:c>
      <x:c r="B430" s="17" t="str">
        <x:v>查询计算机设备行业的一级、二级和三级行业名称。</x:v>
      </x:c>
      <x:c r="C430" s="17" t="n">
        <x:v>5</x:v>
      </x:c>
      <x:c r="D430" s="17" t="str"/>
      <x:c r="E430" s="17" t="str">
        <x:v>工具调用</x:v>
      </x:c>
      <x:c r="F430" s="17" t="str">
        <x:v>load_finance_result</x:v>
      </x:c>
      <x:c r="G430" s="17" t="str"/>
      <x:c r="H430" s="17" t="str"/>
      <x:c r="I430" s="17" t="str">
        <x:v>合理操作</x:v>
      </x:c>
      <x:c r="J430" s="17" t="str">
        <x:v>是</x:v>
      </x:c>
      <x:c r="K430" s="18"/>
      <x:c r="L430" s="17" t="str">
        <x:v>否</x:v>
      </x:c>
      <x:c r="M430" s="17" t="str">
        <x:v>否</x:v>
      </x:c>
      <x:c r="N430" s="17" t="str">
        <x:v>load_truncated_result</x:v>
      </x:c>
      <x:c r="O430" s="17" t="str">
        <x:v>sample_incomplete_requires_full_result</x:v>
      </x:c>
      <x:c r="P430" s="17" t="str">
        <x:v>session://financial_qa_33499cfa81de4d06_2805_3b37d424305d/vars/v1</x:v>
      </x:c>
      <x:c r="Q430" s="17" t="str"/>
      <x:c r="R430" s="17" t="str"/>
      <x:c r="S430" s="17" t="str"/>
      <x:c r="T430" s="17" t="str"/>
      <x:c r="U430" s="17" t="str"/>
      <x:c r="V430" s="30"/>
      <x:c r="W430" s="17" t="str">
        <x:v>high</x:v>
      </x:c>
    </x:row>
    <x:row r="431" ht="54" customHeight="1">
      <x:c r="A431" s="17" t="str">
        <x:v>BUS110</x:v>
      </x:c>
      <x:c r="B431" s="17" t="str">
        <x:v>查询计算机设备行业的一级、二级和三级行业名称。</x:v>
      </x:c>
      <x:c r="C431" s="17" t="n">
        <x:v>6</x:v>
      </x:c>
      <x:c r="D431" s="17" t="str"/>
      <x:c r="E431" s="17" t="str">
        <x:v>工具调用</x:v>
      </x:c>
      <x:c r="F431" s="17" t="str">
        <x:v>finance_query</x:v>
      </x:c>
      <x:c r="G431" s="17" t="str">
        <x:v>r2 = industry.basic_info(limit = 100) -&gt; industry_code, industry_name, level, level1_industry_name, level2_industry_name, level3_industry_name</x:v>
      </x:c>
      <x:c r="H431" s="17" t="str"/>
      <x:c r="I431" s="17" t="str">
        <x:v>合理操作</x:v>
      </x:c>
      <x:c r="J431" s="17" t="str">
        <x:v>是</x:v>
      </x:c>
      <x:c r="K431" s="18"/>
      <x:c r="L431" s="17" t="str">
        <x:v>否</x:v>
      </x:c>
      <x:c r="M431" s="17" t="str">
        <x:v>否</x:v>
      </x:c>
      <x:c r="N431" s="17" t="str">
        <x:v>target_api_executed</x:v>
      </x:c>
      <x:c r="O431" s="17" t="str">
        <x:v>expected_dataview_coverage</x:v>
      </x:c>
      <x:c r="P431" s="17" t="str"/>
      <x:c r="Q431" s="17" t="str"/>
      <x:c r="R431" s="17" t="str">
        <x:v>industry.basic_info</x:v>
      </x:c>
      <x:c r="S431" s="17" t="str"/>
      <x:c r="T431" s="17" t="str"/>
      <x:c r="U431" s="17" t="str">
        <x:v>r2</x:v>
      </x:c>
      <x:c r="V431" s="30" t="n">
        <x:v>100</x:v>
      </x:c>
      <x:c r="W431" s="17" t="str">
        <x:v>high</x:v>
      </x:c>
    </x:row>
    <x:row r="432" ht="54" customHeight="1">
      <x:c r="A432" s="17" t="str">
        <x:v>BUS110</x:v>
      </x:c>
      <x:c r="B432" s="17" t="str">
        <x:v>查询计算机设备行业的一级、二级和三级行业名称。</x:v>
      </x:c>
      <x:c r="C432" s="17" t="n">
        <x:v>7</x:v>
      </x:c>
      <x:c r="D432" s="17" t="str"/>
      <x:c r="E432" s="17" t="str">
        <x:v>工具调用</x:v>
      </x:c>
      <x:c r="F432" s="17" t="str">
        <x:v>load_finance_result</x:v>
      </x:c>
      <x:c r="G432" s="17" t="str"/>
      <x:c r="H432" s="17" t="str"/>
      <x:c r="I432" s="17" t="str">
        <x:v>合理操作</x:v>
      </x:c>
      <x:c r="J432" s="17" t="str">
        <x:v>是</x:v>
      </x:c>
      <x:c r="K432" s="18"/>
      <x:c r="L432" s="17" t="str">
        <x:v>否</x:v>
      </x:c>
      <x:c r="M432" s="17" t="str">
        <x:v>否</x:v>
      </x:c>
      <x:c r="N432" s="17" t="str">
        <x:v>load_truncated_result</x:v>
      </x:c>
      <x:c r="O432" s="17" t="str">
        <x:v>sample_incomplete_requires_full_result</x:v>
      </x:c>
      <x:c r="P432" s="17" t="str">
        <x:v>session://financial_qa_33499cfa81de4d06_2805_3b37d424305d/vars/v2</x:v>
      </x:c>
      <x:c r="Q432" s="17" t="str"/>
      <x:c r="R432" s="17" t="str"/>
      <x:c r="S432" s="17" t="str"/>
      <x:c r="T432" s="17" t="str"/>
      <x:c r="U432" s="17" t="str"/>
      <x:c r="V432" s="30"/>
      <x:c r="W432" s="17" t="str">
        <x:v>high</x:v>
      </x:c>
    </x:row>
    <x:row r="433" ht="54" customHeight="1">
      <x:c r="A433" s="17" t="str">
        <x:v>BUS110</x:v>
      </x:c>
      <x:c r="B433" s="17" t="str">
        <x:v>查询计算机设备行业的一级、二级和三级行业名称。</x:v>
      </x:c>
      <x:c r="C433" s="17" t="n">
        <x:v>8</x:v>
      </x:c>
      <x:c r="D433" s="17" t="str"/>
      <x:c r="E433" s="17" t="str">
        <x:v>工具调用</x:v>
      </x:c>
      <x:c r="F433" s="17" t="str">
        <x:v>finance_query</x:v>
      </x:c>
      <x:c r="G433" s="17" t="str">
        <x:v>r3 = industry.basic_info(filter = "industry_name like '%计算机%'", limit = 20) -&gt; industry_code, industry_name, level</x:v>
      </x:c>
      <x:c r="H433" s="17" t="str"/>
      <x:c r="I433" s="17" t="str">
        <x:v>合理操作</x:v>
      </x:c>
      <x:c r="J433" s="17" t="str">
        <x:v>是</x:v>
      </x:c>
      <x:c r="K433" s="18"/>
      <x:c r="L433" s="17" t="str">
        <x:v>否</x:v>
      </x:c>
      <x:c r="M433" s="17" t="str">
        <x:v>否</x:v>
      </x:c>
      <x:c r="N433" s="17" t="str">
        <x:v>target_api_executed</x:v>
      </x:c>
      <x:c r="O433" s="17" t="str">
        <x:v>expected_dataview_coverage</x:v>
      </x:c>
      <x:c r="P433" s="17" t="str">
        <x:v>session://financial_qa_33499cfa81de4d06_2805_3b37d424305d/vars/v3</x:v>
      </x:c>
      <x:c r="Q433" s="17" t="str"/>
      <x:c r="R433" s="17" t="str">
        <x:v>industry.basic_info</x:v>
      </x:c>
      <x:c r="S433" s="17" t="str"/>
      <x:c r="T433" s="17" t="str"/>
      <x:c r="U433" s="17" t="str">
        <x:v>r3</x:v>
      </x:c>
      <x:c r="V433" s="30" t="n">
        <x:v>20</x:v>
      </x:c>
      <x:c r="W433" s="17" t="str">
        <x:v>high</x:v>
      </x:c>
    </x:row>
    <x:row r="434" ht="54" customHeight="1">
      <x:c r="A434" s="17" t="str">
        <x:v>BUS110</x:v>
      </x:c>
      <x:c r="B434" s="17" t="str">
        <x:v>查询计算机设备行业的一级、二级和三级行业名称。</x:v>
      </x:c>
      <x:c r="C434" s="17" t="n">
        <x:v>9</x:v>
      </x:c>
      <x:c r="D434" s="17" t="str"/>
      <x:c r="E434" s="17" t="str">
        <x:v>工具调用</x:v>
      </x:c>
      <x:c r="F434" s="17" t="str">
        <x:v>load_finance_result</x:v>
      </x:c>
      <x:c r="G434" s="17" t="str"/>
      <x:c r="H434" s="17" t="str"/>
      <x:c r="I434" s="17" t="str">
        <x:v>合理操作</x:v>
      </x:c>
      <x:c r="J434" s="17" t="str">
        <x:v>是</x:v>
      </x:c>
      <x:c r="K434" s="18"/>
      <x:c r="L434" s="17" t="str">
        <x:v>否</x:v>
      </x:c>
      <x:c r="M434" s="17" t="str">
        <x:v>否</x:v>
      </x:c>
      <x:c r="N434" s="17" t="str">
        <x:v>load_truncated_result</x:v>
      </x:c>
      <x:c r="O434" s="17" t="str">
        <x:v>sample_incomplete_requires_full_result</x:v>
      </x:c>
      <x:c r="P434" s="17" t="str">
        <x:v>session://financial_qa_33499cfa81de4d06_2805_3b37d424305d/vars/v3</x:v>
      </x:c>
      <x:c r="Q434" s="17" t="str"/>
      <x:c r="R434" s="17" t="str"/>
      <x:c r="S434" s="17" t="str"/>
      <x:c r="T434" s="17" t="str"/>
      <x:c r="U434" s="17" t="str"/>
      <x:c r="V434" s="30"/>
      <x:c r="W434" s="17" t="str">
        <x:v>high</x:v>
      </x:c>
    </x:row>
    <x:row r="435" ht="54" customHeight="1">
      <x:c r="A435" s="17" t="str">
        <x:v>BUS110</x:v>
      </x:c>
      <x:c r="B435" s="17" t="str">
        <x:v>查询计算机设备行业的一级、二级和三级行业名称。</x:v>
      </x:c>
      <x:c r="C435" s="17" t="n">
        <x:v>10</x:v>
      </x:c>
      <x:c r="D435" s="17" t="str"/>
      <x:c r="E435" s="17" t="str">
        <x:v>工具调用</x:v>
      </x:c>
      <x:c r="F435" s="17" t="str">
        <x:v>finance_query</x:v>
      </x:c>
      <x:c r="G435" s="17" t="str">
        <x:v>r4 = industry.basic_info(filter = "industry_name like '%计算机%'", limit = 100) -&gt; industry_code, industry_name, level, level1_industry_name, level2_industry_name, level3_industry_name</x:v>
      </x:c>
      <x:c r="H435" s="17" t="str"/>
      <x:c r="I435" s="17" t="str">
        <x:v>合理操作</x:v>
      </x:c>
      <x:c r="J435" s="17" t="str">
        <x:v>是</x:v>
      </x:c>
      <x:c r="K435" s="18"/>
      <x:c r="L435" s="17" t="str">
        <x:v>否</x:v>
      </x:c>
      <x:c r="M435" s="17" t="str">
        <x:v>否</x:v>
      </x:c>
      <x:c r="N435" s="17" t="str">
        <x:v>target_api_executed</x:v>
      </x:c>
      <x:c r="O435" s="17" t="str">
        <x:v>expected_dataview_coverage</x:v>
      </x:c>
      <x:c r="P435" s="17" t="str">
        <x:v>session://financial_qa_33499cfa81de4d06_2805_3b37d424305d/vars/v4</x:v>
      </x:c>
      <x:c r="Q435" s="17" t="str"/>
      <x:c r="R435" s="17" t="str">
        <x:v>industry.basic_info</x:v>
      </x:c>
      <x:c r="S435" s="17" t="str"/>
      <x:c r="T435" s="17" t="str"/>
      <x:c r="U435" s="17" t="str">
        <x:v>r4</x:v>
      </x:c>
      <x:c r="V435" s="30" t="n">
        <x:v>100</x:v>
      </x:c>
      <x:c r="W435" s="17" t="str">
        <x:v>high</x:v>
      </x:c>
    </x:row>
    <x:row r="436" ht="54" customHeight="1">
      <x:c r="A436" s="17" t="str">
        <x:v>BUS110</x:v>
      </x:c>
      <x:c r="B436" s="17" t="str">
        <x:v>查询计算机设备行业的一级、二级和三级行业名称。</x:v>
      </x:c>
      <x:c r="C436" s="17" t="n">
        <x:v>11</x:v>
      </x:c>
      <x:c r="D436" s="17" t="str"/>
      <x:c r="E436" s="17" t="str">
        <x:v>工具调用</x:v>
      </x:c>
      <x:c r="F436" s="17" t="str">
        <x:v>finance_query</x:v>
      </x:c>
      <x:c r="G436" s="17" t="str">
        <x:v>r5 = industry.basic_info(limit = 100) -&gt; industry_code, industry_name, level, level1_industry_name, level2_industry_name, level3_industry_name</x:v>
      </x:c>
      <x:c r="H436" s="17" t="str"/>
      <x:c r="I436" s="17" t="str">
        <x:v>设计浪费</x:v>
      </x:c>
      <x:c r="J436" s="17" t="str">
        <x:v>否</x:v>
      </x:c>
      <x:c r="K436" s="18"/>
      <x:c r="L436" s="17" t="str">
        <x:v>否</x:v>
      </x:c>
      <x:c r="M436" s="17" t="str">
        <x:v>否</x:v>
      </x:c>
      <x:c r="N436" s="17" t="str">
        <x:v>duplicate_query</x:v>
      </x:c>
      <x:c r="O436" s="17" t="str">
        <x:v>repeated_identical_query</x:v>
      </x:c>
      <x:c r="P436" s="17" t="str"/>
      <x:c r="Q436" s="17" t="str"/>
      <x:c r="R436" s="17" t="str">
        <x:v>industry.basic_info</x:v>
      </x:c>
      <x:c r="S436" s="17" t="str"/>
      <x:c r="T436" s="17" t="str"/>
      <x:c r="U436" s="17" t="str">
        <x:v>r5</x:v>
      </x:c>
      <x:c r="V436" s="30" t="n">
        <x:v>100</x:v>
      </x:c>
      <x:c r="W436" s="17" t="str">
        <x:v>high</x:v>
      </x:c>
    </x:row>
    <x:row r="437" ht="54" customHeight="1">
      <x:c r="A437" s="17" t="str">
        <x:v>BUS110</x:v>
      </x:c>
      <x:c r="B437" s="17" t="str">
        <x:v>查询计算机设备行业的一级、二级和三级行业名称。</x:v>
      </x:c>
      <x:c r="C437" s="17" t="n">
        <x:v>12</x:v>
      </x:c>
      <x:c r="D437" s="17" t="str"/>
      <x:c r="E437" s="17" t="str">
        <x:v>工具调用</x:v>
      </x:c>
      <x:c r="F437" s="17" t="str">
        <x:v>load_finance_result</x:v>
      </x:c>
      <x:c r="G437" s="17" t="str"/>
      <x:c r="H437" s="17" t="str"/>
      <x:c r="I437" s="17" t="str">
        <x:v>合理操作</x:v>
      </x:c>
      <x:c r="J437" s="17" t="str">
        <x:v>是</x:v>
      </x:c>
      <x:c r="K437" s="18"/>
      <x:c r="L437" s="17" t="str">
        <x:v>否</x:v>
      </x:c>
      <x:c r="M437" s="17" t="str">
        <x:v>否</x:v>
      </x:c>
      <x:c r="N437" s="17" t="str">
        <x:v>load_truncated_result</x:v>
      </x:c>
      <x:c r="O437" s="17" t="str">
        <x:v>sample_incomplete_requires_full_result</x:v>
      </x:c>
      <x:c r="P437" s="17" t="str">
        <x:v>session://financial_qa_33499cfa81de4d06_2805_3b37d424305d/vars/v5</x:v>
      </x:c>
      <x:c r="Q437" s="17" t="str"/>
      <x:c r="R437" s="17" t="str"/>
      <x:c r="S437" s="17" t="str"/>
      <x:c r="T437" s="17" t="str"/>
      <x:c r="U437" s="17" t="str"/>
      <x:c r="V437" s="30"/>
      <x:c r="W437" s="17" t="str">
        <x:v>high</x:v>
      </x:c>
    </x:row>
    <x:row r="438" ht="54" customHeight="1">
      <x:c r="A438" s="17" t="str">
        <x:v>BUS110</x:v>
      </x:c>
      <x:c r="B438" s="17" t="str">
        <x:v>查询计算机设备行业的一级、二级和三级行业名称。</x:v>
      </x:c>
      <x:c r="C438" s="17" t="n">
        <x:v>13</x:v>
      </x:c>
      <x:c r="D438" s="17" t="str"/>
      <x:c r="E438" s="17" t="str">
        <x:v>工具调用</x:v>
      </x:c>
      <x:c r="F438" s="17" t="str">
        <x:v>read_finance_catalog</x:v>
      </x:c>
      <x:c r="G438" s="17" t="str"/>
      <x:c r="H438" s="17" t="str"/>
      <x:c r="I438" s="17" t="str">
        <x:v>未判定</x:v>
      </x:c>
      <x:c r="J438" s="17" t="str">
        <x:v>未判定</x:v>
      </x:c>
      <x:c r="K438" s="18"/>
      <x:c r="L438" s="17" t="str">
        <x:v>否</x:v>
      </x:c>
      <x:c r="M438" s="17" t="str">
        <x:v>否</x:v>
      </x:c>
      <x:c r="N438" s="17" t="str">
        <x:v>catalog_relevance_not_provable</x:v>
      </x:c>
      <x:c r="O438" s="17" t="str">
        <x:v>catalog_outside_expected_dataview</x:v>
      </x:c>
      <x:c r="P438" s="17" t="str"/>
      <x:c r="Q438" s="17" t="str"/>
      <x:c r="R438" s="17" t="str"/>
      <x:c r="S438" s="17" t="str">
        <x:v>plate</x:v>
      </x:c>
      <x:c r="T438" s="17" t="str">
        <x:v>basic_info</x:v>
      </x:c>
      <x:c r="U438" s="17" t="str"/>
      <x:c r="V438" s="30"/>
      <x:c r="W438" s="17" t="str">
        <x:v>low</x:v>
      </x:c>
    </x:row>
    <x:row r="439" ht="54" customHeight="1">
      <x:c r="A439" s="17" t="str">
        <x:v>BUS110</x:v>
      </x:c>
      <x:c r="B439" s="17" t="str">
        <x:v>查询计算机设备行业的一级、二级和三级行业名称。</x:v>
      </x:c>
      <x:c r="C439" s="17" t="n">
        <x:v>14</x:v>
      </x:c>
      <x:c r="D439" s="17" t="str"/>
      <x:c r="E439" s="17" t="str">
        <x:v>工具调用</x:v>
      </x:c>
      <x:c r="F439" s="17" t="str">
        <x:v>finance_query</x:v>
      </x:c>
      <x:c r="G439" s="17" t="str">
        <x:v>r6 = industry.basic_info(limit = 100) -&gt; industry_code, industry_name, level, level1_industry_name, level2_industry_name, level3_industry_name</x:v>
      </x:c>
      <x:c r="H439" s="17" t="str"/>
      <x:c r="I439" s="17" t="str">
        <x:v>设计浪费</x:v>
      </x:c>
      <x:c r="J439" s="17" t="str">
        <x:v>否</x:v>
      </x:c>
      <x:c r="K439" s="18"/>
      <x:c r="L439" s="17" t="str">
        <x:v>否</x:v>
      </x:c>
      <x:c r="M439" s="17" t="str">
        <x:v>否</x:v>
      </x:c>
      <x:c r="N439" s="17" t="str">
        <x:v>duplicate_query</x:v>
      </x:c>
      <x:c r="O439" s="17" t="str">
        <x:v>repeated_identical_query</x:v>
      </x:c>
      <x:c r="P439" s="17" t="str"/>
      <x:c r="Q439" s="17" t="str"/>
      <x:c r="R439" s="17" t="str">
        <x:v>industry.basic_info</x:v>
      </x:c>
      <x:c r="S439" s="17" t="str"/>
      <x:c r="T439" s="17" t="str"/>
      <x:c r="U439" s="17" t="str">
        <x:v>r6</x:v>
      </x:c>
      <x:c r="V439" s="30" t="n">
        <x:v>100</x:v>
      </x:c>
      <x:c r="W439" s="17" t="str">
        <x:v>high</x:v>
      </x:c>
    </x:row>
    <x:row r="440" ht="54" customHeight="1">
      <x:c r="A440" s="17" t="str">
        <x:v>BUS111</x:v>
      </x:c>
      <x:c r="B440" s="17" t="str">
        <x:v>筛选行业级别为3的申万行业，返回行业代码和名称。</x:v>
      </x:c>
      <x:c r="C440" s="17" t="n">
        <x:v>1</x:v>
      </x:c>
      <x:c r="D440" s="17" t="str"/>
      <x:c r="E440" s="17" t="str">
        <x:v>工具调用</x:v>
      </x:c>
      <x:c r="F440" s="17" t="str">
        <x:v>read_finance_catalog</x:v>
      </x:c>
      <x:c r="G440" s="17" t="str"/>
      <x:c r="H440" s="17" t="str"/>
      <x:c r="I440" s="17" t="str">
        <x:v>设计浪费</x:v>
      </x:c>
      <x:c r="J440" s="17" t="str">
        <x:v>否</x:v>
      </x:c>
      <x:c r="K440" s="18"/>
      <x:c r="L440" s="17" t="str">
        <x:v>否</x:v>
      </x:c>
      <x:c r="M440" s="17" t="str">
        <x:v>否</x:v>
      </x:c>
      <x:c r="N440" s="17" t="str">
        <x:v>broad_catalog_then_specific_catalog</x:v>
      </x:c>
      <x:c r="O440" s="17" t="str">
        <x:v>catalog_ladder</x:v>
      </x:c>
      <x:c r="P440" s="17" t="str"/>
      <x:c r="Q440" s="17" t="str"/>
      <x:c r="R440" s="17" t="str"/>
      <x:c r="S440" s="17" t="str">
        <x:v>industry</x:v>
      </x:c>
      <x:c r="T440" s="17" t="str"/>
      <x:c r="U440" s="17" t="str"/>
      <x:c r="V440" s="30"/>
      <x:c r="W440" s="17" t="str">
        <x:v>high</x:v>
      </x:c>
    </x:row>
    <x:row r="441" ht="54" customHeight="1">
      <x:c r="A441" s="17" t="str">
        <x:v>BUS111</x:v>
      </x:c>
      <x:c r="B441" s="17" t="str">
        <x:v>筛选行业级别为3的申万行业，返回行业代码和名称。</x:v>
      </x:c>
      <x:c r="C441" s="17" t="n">
        <x:v>2</x:v>
      </x:c>
      <x:c r="D441" s="17" t="str"/>
      <x:c r="E441" s="17" t="str">
        <x:v>工具调用</x:v>
      </x:c>
      <x:c r="F441" s="17" t="str">
        <x:v>read_finance_catalog</x:v>
      </x:c>
      <x:c r="G441" s="17" t="str"/>
      <x:c r="H441" s="17" t="str"/>
      <x:c r="I441" s="17" t="str">
        <x:v>合理操作</x:v>
      </x:c>
      <x:c r="J441" s="17" t="str">
        <x:v>是</x:v>
      </x:c>
      <x:c r="K441" s="18"/>
      <x:c r="L441" s="17" t="str">
        <x:v>否</x:v>
      </x:c>
      <x:c r="M441" s="17" t="str">
        <x:v>否</x:v>
      </x:c>
      <x:c r="N441" s="17" t="str">
        <x:v>target_catalog_located</x:v>
      </x:c>
      <x:c r="O441" s="17" t="str">
        <x:v>expected_dataview_catalog</x:v>
      </x:c>
      <x:c r="P441" s="17" t="str"/>
      <x:c r="Q441" s="17" t="str"/>
      <x:c r="R441" s="17" t="str"/>
      <x:c r="S441" s="17" t="str">
        <x:v>industry</x:v>
      </x:c>
      <x:c r="T441" s="17" t="str">
        <x:v>basic_info</x:v>
      </x:c>
      <x:c r="U441" s="17" t="str"/>
      <x:c r="V441" s="30"/>
      <x:c r="W441" s="17" t="str">
        <x:v>high</x:v>
      </x:c>
    </x:row>
    <x:row r="442" ht="54" customHeight="1">
      <x:c r="A442" s="17" t="str">
        <x:v>BUS111</x:v>
      </x:c>
      <x:c r="B442" s="17" t="str">
        <x:v>筛选行业级别为3的申万行业，返回行业代码和名称。</x:v>
      </x:c>
      <x:c r="C442" s="17" t="n">
        <x:v>3</x:v>
      </x:c>
      <x:c r="D442" s="17" t="str"/>
      <x:c r="E442" s="17" t="str">
        <x:v>工具调用</x:v>
      </x:c>
      <x:c r="F442" s="17" t="str">
        <x:v>finance_query</x:v>
      </x:c>
      <x:c r="G442" s="17" t="str">
        <x:v>r1 = industry.basic_info(filter = "level = 3", limit = -1, realtime = 0) -&gt; industry_code, industry_name, level</x:v>
      </x:c>
      <x:c r="H442" s="17" t="str"/>
      <x:c r="I442" s="17" t="str">
        <x:v>合理操作</x:v>
      </x:c>
      <x:c r="J442" s="17" t="str">
        <x:v>是</x:v>
      </x:c>
      <x:c r="K442" s="18"/>
      <x:c r="L442" s="17" t="str">
        <x:v>否</x:v>
      </x:c>
      <x:c r="M442" s="17" t="str">
        <x:v>否</x:v>
      </x:c>
      <x:c r="N442" s="17" t="str">
        <x:v>target_api_executed</x:v>
      </x:c>
      <x:c r="O442" s="17" t="str">
        <x:v>expected_dataview_coverage</x:v>
      </x:c>
      <x:c r="P442" s="17" t="str">
        <x:v>session://financial_qa_33499cfa81de4d06_2806_0cffa1df6f9f/vars/v1</x:v>
      </x:c>
      <x:c r="Q442" s="17" t="str"/>
      <x:c r="R442" s="17" t="str">
        <x:v>industry.basic_info</x:v>
      </x:c>
      <x:c r="S442" s="17" t="str"/>
      <x:c r="T442" s="17" t="str"/>
      <x:c r="U442" s="17" t="str">
        <x:v>r1</x:v>
      </x:c>
      <x:c r="V442" s="30" t="n">
        <x:v>100</x:v>
      </x:c>
      <x:c r="W442" s="17" t="str">
        <x:v>high</x:v>
      </x:c>
    </x:row>
    <x:row r="443" ht="54" customHeight="1">
      <x:c r="A443" s="17" t="str">
        <x:v>BUS111</x:v>
      </x:c>
      <x:c r="B443" s="17" t="str">
        <x:v>筛选行业级别为3的申万行业，返回行业代码和名称。</x:v>
      </x:c>
      <x:c r="C443" s="17" t="n">
        <x:v>4</x:v>
      </x:c>
      <x:c r="D443" s="17" t="str"/>
      <x:c r="E443" s="17" t="str">
        <x:v>工具调用</x:v>
      </x:c>
      <x:c r="F443" s="17" t="str">
        <x:v>load_finance_result</x:v>
      </x:c>
      <x:c r="G443" s="17" t="str"/>
      <x:c r="H443" s="17" t="str"/>
      <x:c r="I443" s="17" t="str">
        <x:v>合理操作</x:v>
      </x:c>
      <x:c r="J443" s="17" t="str">
        <x:v>是</x:v>
      </x:c>
      <x:c r="K443" s="18"/>
      <x:c r="L443" s="17" t="str">
        <x:v>否</x:v>
      </x:c>
      <x:c r="M443" s="17" t="str">
        <x:v>否</x:v>
      </x:c>
      <x:c r="N443" s="17" t="str">
        <x:v>load_truncated_result</x:v>
      </x:c>
      <x:c r="O443" s="17" t="str">
        <x:v>sample_incomplete_requires_full_result</x:v>
      </x:c>
      <x:c r="P443" s="17" t="str">
        <x:v>session://financial_qa_33499cfa81de4d06_2806_0cffa1df6f9f/vars/v1</x:v>
      </x:c>
      <x:c r="Q443" s="17" t="str"/>
      <x:c r="R443" s="17" t="str"/>
      <x:c r="S443" s="17" t="str"/>
      <x:c r="T443" s="17" t="str"/>
      <x:c r="U443" s="17" t="str"/>
      <x:c r="V443" s="30"/>
      <x:c r="W443" s="17" t="str">
        <x:v>high</x:v>
      </x:c>
    </x:row>
    <x:row r="444" ht="54" customHeight="1">
      <x:c r="A444" s="17" t="str">
        <x:v>BUS112</x:v>
      </x:c>
      <x:c r="B444" s="17" t="str">
        <x:v>查询名称包含新能源的申万行业及其行业级别。</x:v>
      </x:c>
      <x:c r="C444" s="17" t="n">
        <x:v>1</x:v>
      </x:c>
      <x:c r="D444" s="17" t="str"/>
      <x:c r="E444" s="17" t="str">
        <x:v>工具调用</x:v>
      </x:c>
      <x:c r="F444" s="17" t="str">
        <x:v>read_finance_catalog</x:v>
      </x:c>
      <x:c r="G444" s="17" t="str"/>
      <x:c r="H444" s="17" t="str"/>
      <x:c r="I444" s="17" t="str">
        <x:v>合理操作</x:v>
      </x:c>
      <x:c r="J444" s="17" t="str">
        <x:v>是</x:v>
      </x:c>
      <x:c r="K444" s="18"/>
      <x:c r="L444" s="17" t="str">
        <x:v>否</x:v>
      </x:c>
      <x:c r="M444" s="17" t="str">
        <x:v>否</x:v>
      </x:c>
      <x:c r="N444" s="17" t="str">
        <x:v>target_catalog_located</x:v>
      </x:c>
      <x:c r="O444" s="17" t="str">
        <x:v>expected_dataview_catalog</x:v>
      </x:c>
      <x:c r="P444" s="17" t="str"/>
      <x:c r="Q444" s="17" t="str"/>
      <x:c r="R444" s="17" t="str"/>
      <x:c r="S444" s="17" t="str">
        <x:v>industry</x:v>
      </x:c>
      <x:c r="T444" s="17" t="str">
        <x:v>basic_info</x:v>
      </x:c>
      <x:c r="U444" s="17" t="str"/>
      <x:c r="V444" s="30"/>
      <x:c r="W444" s="17" t="str">
        <x:v>high</x:v>
      </x:c>
    </x:row>
    <x:row r="445" ht="54" customHeight="1">
      <x:c r="A445" s="17" t="str">
        <x:v>BUS112</x:v>
      </x:c>
      <x:c r="B445" s="17" t="str">
        <x:v>查询名称包含新能源的申万行业及其行业级别。</x:v>
      </x:c>
      <x:c r="C445" s="17" t="n">
        <x:v>2</x:v>
      </x:c>
      <x:c r="D445" s="17" t="str"/>
      <x:c r="E445" s="17" t="str">
        <x:v>工具调用</x:v>
      </x:c>
      <x:c r="F445" s="17" t="str">
        <x:v>finance_query</x:v>
      </x:c>
      <x:c r="G445" s="17" t="str">
        <x:v>r1 = industry.basic_info(filter = "industry_name like %新能源%") -&gt; industry_code, industry_name, level, level1_industry_name, level2_industry_name, level3_industry_name</x:v>
      </x:c>
      <x:c r="H445" s="17" t="str"/>
      <x:c r="I445" s="17" t="str">
        <x:v>合理操作</x:v>
      </x:c>
      <x:c r="J445" s="17" t="str">
        <x:v>是</x:v>
      </x:c>
      <x:c r="K445" s="18"/>
      <x:c r="L445" s="17" t="str">
        <x:v>否</x:v>
      </x:c>
      <x:c r="M445" s="17" t="str">
        <x:v>否</x:v>
      </x:c>
      <x:c r="N445" s="17" t="str">
        <x:v>target_api_executed</x:v>
      </x:c>
      <x:c r="O445" s="17" t="str">
        <x:v>expected_dataview_coverage</x:v>
      </x:c>
      <x:c r="P445" s="17" t="str">
        <x:v>session://financial_qa_33499cfa81de4d06_2807_3534977b3f8d/vars/v1</x:v>
      </x:c>
      <x:c r="Q445" s="17" t="str"/>
      <x:c r="R445" s="17" t="str">
        <x:v>industry.basic_info</x:v>
      </x:c>
      <x:c r="S445" s="17" t="str"/>
      <x:c r="T445" s="17" t="str"/>
      <x:c r="U445" s="17" t="str">
        <x:v>r1</x:v>
      </x:c>
      <x:c r="V445" s="30" t="n">
        <x:v>100</x:v>
      </x:c>
      <x:c r="W445" s="17" t="str">
        <x:v>high</x:v>
      </x:c>
    </x:row>
    <x:row r="446" ht="54" customHeight="1">
      <x:c r="A446" s="17" t="str">
        <x:v>BUS112</x:v>
      </x:c>
      <x:c r="B446" s="17" t="str">
        <x:v>查询名称包含新能源的申万行业及其行业级别。</x:v>
      </x:c>
      <x:c r="C446" s="17" t="n">
        <x:v>3</x:v>
      </x:c>
      <x:c r="D446" s="17" t="str"/>
      <x:c r="E446" s="17" t="str">
        <x:v>工具调用</x:v>
      </x:c>
      <x:c r="F446" s="17" t="str">
        <x:v>finance_query</x:v>
      </x:c>
      <x:c r="G446" s="17" t="str">
        <x:v>r2 = industry.basic_info(filter = "industry_name like '%%新能源%%'", limit = 10) -&gt; industry_code, industry_name, level, level1_industry_name, level2_industry_name, level3_industry_name</x:v>
      </x:c>
      <x:c r="H446" s="17" t="str"/>
      <x:c r="I446" s="17" t="str">
        <x:v>合理操作</x:v>
      </x:c>
      <x:c r="J446" s="17" t="str">
        <x:v>是</x:v>
      </x:c>
      <x:c r="K446" s="18"/>
      <x:c r="L446" s="17" t="str">
        <x:v>否</x:v>
      </x:c>
      <x:c r="M446" s="17" t="str">
        <x:v>否</x:v>
      </x:c>
      <x:c r="N446" s="17" t="str">
        <x:v>target_api_executed</x:v>
      </x:c>
      <x:c r="O446" s="17" t="str">
        <x:v>expected_dataview_coverage</x:v>
      </x:c>
      <x:c r="P446" s="17" t="str">
        <x:v>session://financial_qa_33499cfa81de4d06_2807_3534977b3f8d/vars/v2</x:v>
      </x:c>
      <x:c r="Q446" s="17" t="str"/>
      <x:c r="R446" s="17" t="str">
        <x:v>industry.basic_info</x:v>
      </x:c>
      <x:c r="S446" s="17" t="str"/>
      <x:c r="T446" s="17" t="str"/>
      <x:c r="U446" s="17" t="str">
        <x:v>r2</x:v>
      </x:c>
      <x:c r="V446" s="30" t="n">
        <x:v>10</x:v>
      </x:c>
      <x:c r="W446" s="17" t="str">
        <x:v>high</x:v>
      </x:c>
    </x:row>
    <x:row r="447" ht="54" customHeight="1">
      <x:c r="A447" s="17" t="str">
        <x:v>BUS112</x:v>
      </x:c>
      <x:c r="B447" s="17" t="str">
        <x:v>查询名称包含新能源的申万行业及其行业级别。</x:v>
      </x:c>
      <x:c r="C447" s="17" t="n">
        <x:v>4</x:v>
      </x:c>
      <x:c r="D447" s="17" t="str"/>
      <x:c r="E447" s="17" t="str">
        <x:v>工具调用</x:v>
      </x:c>
      <x:c r="F447" s="17" t="str">
        <x:v>load_finance_result</x:v>
      </x:c>
      <x:c r="G447" s="17" t="str"/>
      <x:c r="H447" s="17" t="str"/>
      <x:c r="I447" s="17" t="str">
        <x:v>合理操作</x:v>
      </x:c>
      <x:c r="J447" s="17" t="str">
        <x:v>是</x:v>
      </x:c>
      <x:c r="K447" s="18"/>
      <x:c r="L447" s="17" t="str">
        <x:v>否</x:v>
      </x:c>
      <x:c r="M447" s="17" t="str">
        <x:v>否</x:v>
      </x:c>
      <x:c r="N447" s="17" t="str">
        <x:v>load_truncated_result</x:v>
      </x:c>
      <x:c r="O447" s="17" t="str">
        <x:v>sample_incomplete_requires_full_result</x:v>
      </x:c>
      <x:c r="P447" s="17" t="str">
        <x:v>session://financial_qa_33499cfa81de4d06_2807_3534977b3f8d/vars/v2</x:v>
      </x:c>
      <x:c r="Q447" s="17" t="str"/>
      <x:c r="R447" s="17" t="str"/>
      <x:c r="S447" s="17" t="str"/>
      <x:c r="T447" s="17" t="str"/>
      <x:c r="U447" s="17" t="str"/>
      <x:c r="V447" s="30"/>
      <x:c r="W447" s="17" t="str">
        <x:v>high</x:v>
      </x:c>
    </x:row>
    <x:row r="448" ht="54" customHeight="1">
      <x:c r="A448" s="17" t="str">
        <x:v>BUS112</x:v>
      </x:c>
      <x:c r="B448" s="17" t="str">
        <x:v>查询名称包含新能源的申万行业及其行业级别。</x:v>
      </x:c>
      <x:c r="C448" s="17" t="n">
        <x:v>5</x:v>
      </x:c>
      <x:c r="D448" s="17" t="str"/>
      <x:c r="E448" s="17" t="str">
        <x:v>工具调用</x:v>
      </x:c>
      <x:c r="F448" s="17" t="str">
        <x:v>finance_query</x:v>
      </x:c>
      <x:c r="G448" s="17" t="str">
        <x:v>r3 = industry.basic_info(limit = 500) -&gt; industry_code, industry_name, level, level1_industry_name, level2_industry_name, level3_industry_name</x:v>
      </x:c>
      <x:c r="H448" s="17" t="str"/>
      <x:c r="I448" s="17" t="str">
        <x:v>合理操作</x:v>
      </x:c>
      <x:c r="J448" s="17" t="str">
        <x:v>是</x:v>
      </x:c>
      <x:c r="K448" s="18"/>
      <x:c r="L448" s="17" t="str">
        <x:v>否</x:v>
      </x:c>
      <x:c r="M448" s="17" t="str">
        <x:v>否</x:v>
      </x:c>
      <x:c r="N448" s="17" t="str">
        <x:v>target_api_executed</x:v>
      </x:c>
      <x:c r="O448" s="17" t="str">
        <x:v>expected_dataview_coverage</x:v>
      </x:c>
      <x:c r="P448" s="17" t="str">
        <x:v>session://financial_qa_33499cfa81de4d06_2807_3534977b3f8d/vars/v3</x:v>
      </x:c>
      <x:c r="Q448" s="17" t="str"/>
      <x:c r="R448" s="17" t="str">
        <x:v>industry.basic_info</x:v>
      </x:c>
      <x:c r="S448" s="17" t="str"/>
      <x:c r="T448" s="17" t="str"/>
      <x:c r="U448" s="17" t="str">
        <x:v>r3</x:v>
      </x:c>
      <x:c r="V448" s="30" t="n">
        <x:v>500</x:v>
      </x:c>
      <x:c r="W448" s="17" t="str">
        <x:v>high</x:v>
      </x:c>
    </x:row>
    <x:row r="449" ht="54" customHeight="1">
      <x:c r="A449" s="17" t="str">
        <x:v>BUS112</x:v>
      </x:c>
      <x:c r="B449" s="17" t="str">
        <x:v>查询名称包含新能源的申万行业及其行业级别。</x:v>
      </x:c>
      <x:c r="C449" s="17" t="n">
        <x:v>6</x:v>
      </x:c>
      <x:c r="D449" s="17" t="str"/>
      <x:c r="E449" s="17" t="str">
        <x:v>工具调用</x:v>
      </x:c>
      <x:c r="F449" s="17" t="str">
        <x:v>load_finance_result</x:v>
      </x:c>
      <x:c r="G449" s="17" t="str"/>
      <x:c r="H449" s="17" t="str"/>
      <x:c r="I449" s="17" t="str">
        <x:v>合理操作</x:v>
      </x:c>
      <x:c r="J449" s="17" t="str">
        <x:v>是</x:v>
      </x:c>
      <x:c r="K449" s="18"/>
      <x:c r="L449" s="17" t="str">
        <x:v>否</x:v>
      </x:c>
      <x:c r="M449" s="17" t="str">
        <x:v>否</x:v>
      </x:c>
      <x:c r="N449" s="17" t="str">
        <x:v>load_truncated_result</x:v>
      </x:c>
      <x:c r="O449" s="17" t="str">
        <x:v>sample_incomplete_requires_full_result</x:v>
      </x:c>
      <x:c r="P449" s="17" t="str">
        <x:v>session://financial_qa_33499cfa81de4d06_2807_3534977b3f8d/vars/v3</x:v>
      </x:c>
      <x:c r="Q449" s="17" t="str"/>
      <x:c r="R449" s="17" t="str"/>
      <x:c r="S449" s="17" t="str"/>
      <x:c r="T449" s="17" t="str"/>
      <x:c r="U449" s="17" t="str"/>
      <x:c r="V449" s="30"/>
      <x:c r="W449" s="17" t="str">
        <x:v>high</x:v>
      </x:c>
    </x:row>
    <x:row r="450" ht="54" customHeight="1">
      <x:c r="A450" s="17" t="str">
        <x:v>BUS112</x:v>
      </x:c>
      <x:c r="B450" s="17" t="str">
        <x:v>查询名称包含新能源的申万行业及其行业级别。</x:v>
      </x:c>
      <x:c r="C450" s="17" t="n">
        <x:v>7</x:v>
      </x:c>
      <x:c r="D450" s="17" t="str"/>
      <x:c r="E450" s="17" t="str">
        <x:v>工具调用</x:v>
      </x:c>
      <x:c r="F450" s="17" t="str">
        <x:v>load_finance_result</x:v>
      </x:c>
      <x:c r="G450" s="17" t="str"/>
      <x:c r="H450" s="17" t="str"/>
      <x:c r="I450" s="17" t="str">
        <x:v>设计浪费</x:v>
      </x:c>
      <x:c r="J450" s="17" t="str">
        <x:v>否</x:v>
      </x:c>
      <x:c r="K450" s="18"/>
      <x:c r="L450" s="17" t="str">
        <x:v>否</x:v>
      </x:c>
      <x:c r="M450" s="17" t="str">
        <x:v>否</x:v>
      </x:c>
      <x:c r="N450" s="17" t="str">
        <x:v>duplicate_result_load</x:v>
      </x:c>
      <x:c r="O450" s="17" t="str">
        <x:v>repeated_identical_result_load</x:v>
      </x:c>
      <x:c r="P450" s="17" t="str">
        <x:v>session://financial_qa_33499cfa81de4d06_2807_3534977b3f8d/vars/v3</x:v>
      </x:c>
      <x:c r="Q450" s="17" t="str"/>
      <x:c r="R450" s="17" t="str"/>
      <x:c r="S450" s="17" t="str"/>
      <x:c r="T450" s="17" t="str"/>
      <x:c r="U450" s="17" t="str"/>
      <x:c r="V450" s="30"/>
      <x:c r="W450" s="17" t="str">
        <x:v>high</x:v>
      </x:c>
    </x:row>
    <x:row r="451" ht="54" customHeight="1">
      <x:c r="A451" s="17" t="str">
        <x:v>BUS112</x:v>
      </x:c>
      <x:c r="B451" s="17" t="str">
        <x:v>查询名称包含新能源的申万行业及其行业级别。</x:v>
      </x:c>
      <x:c r="C451" s="17" t="n">
        <x:v>8</x:v>
      </x:c>
      <x:c r="D451" s="17" t="str"/>
      <x:c r="E451" s="17" t="str">
        <x:v>工具调用</x:v>
      </x:c>
      <x:c r="F451" s="17" t="str">
        <x:v>load_finance_result</x:v>
      </x:c>
      <x:c r="G451" s="17" t="str"/>
      <x:c r="H451" s="17" t="str"/>
      <x:c r="I451" s="17" t="str">
        <x:v>设计浪费</x:v>
      </x:c>
      <x:c r="J451" s="17" t="str">
        <x:v>否</x:v>
      </x:c>
      <x:c r="K451" s="18"/>
      <x:c r="L451" s="17" t="str">
        <x:v>否</x:v>
      </x:c>
      <x:c r="M451" s="17" t="str">
        <x:v>否</x:v>
      </x:c>
      <x:c r="N451" s="17" t="str">
        <x:v>duplicate_result_load</x:v>
      </x:c>
      <x:c r="O451" s="17" t="str">
        <x:v>repeated_identical_result_load</x:v>
      </x:c>
      <x:c r="P451" s="17" t="str">
        <x:v>session://financial_qa_33499cfa81de4d06_2807_3534977b3f8d/vars/v3</x:v>
      </x:c>
      <x:c r="Q451" s="17" t="str"/>
      <x:c r="R451" s="17" t="str"/>
      <x:c r="S451" s="17" t="str"/>
      <x:c r="T451" s="17" t="str"/>
      <x:c r="U451" s="17" t="str"/>
      <x:c r="V451" s="30"/>
      <x:c r="W451" s="17" t="str">
        <x:v>high</x:v>
      </x:c>
    </x:row>
    <x:row r="452" ht="54" customHeight="1">
      <x:c r="A452" s="17" t="str">
        <x:v>BUS112</x:v>
      </x:c>
      <x:c r="B452" s="17" t="str">
        <x:v>查询名称包含新能源的申万行业及其行业级别。</x:v>
      </x:c>
      <x:c r="C452" s="17" t="n">
        <x:v>9</x:v>
      </x:c>
      <x:c r="D452" s="17" t="str"/>
      <x:c r="E452" s="17" t="str">
        <x:v>工具调用</x:v>
      </x:c>
      <x:c r="F452" s="17" t="str">
        <x:v>load_finance_result</x:v>
      </x:c>
      <x:c r="G452" s="17" t="str"/>
      <x:c r="H452" s="17" t="str"/>
      <x:c r="I452" s="17" t="str">
        <x:v>设计浪费</x:v>
      </x:c>
      <x:c r="J452" s="17" t="str">
        <x:v>否</x:v>
      </x:c>
      <x:c r="K452" s="18"/>
      <x:c r="L452" s="17" t="str">
        <x:v>否</x:v>
      </x:c>
      <x:c r="M452" s="17" t="str">
        <x:v>否</x:v>
      </x:c>
      <x:c r="N452" s="17" t="str">
        <x:v>duplicate_result_load</x:v>
      </x:c>
      <x:c r="O452" s="17" t="str">
        <x:v>repeated_identical_result_load</x:v>
      </x:c>
      <x:c r="P452" s="17" t="str">
        <x:v>session://financial_qa_33499cfa81de4d06_2807_3534977b3f8d/vars/v3</x:v>
      </x:c>
      <x:c r="Q452" s="17" t="str"/>
      <x:c r="R452" s="17" t="str"/>
      <x:c r="S452" s="17" t="str"/>
      <x:c r="T452" s="17" t="str"/>
      <x:c r="U452" s="17" t="str"/>
      <x:c r="V452" s="30"/>
      <x:c r="W452" s="17" t="str">
        <x:v>high</x:v>
      </x:c>
    </x:row>
    <x:row r="453" ht="54" customHeight="1">
      <x:c r="A453" s="17" t="str">
        <x:v>BUS112</x:v>
      </x:c>
      <x:c r="B453" s="17" t="str">
        <x:v>查询名称包含新能源的申万行业及其行业级别。</x:v>
      </x:c>
      <x:c r="C453" s="17" t="n">
        <x:v>10</x:v>
      </x:c>
      <x:c r="D453" s="17" t="str"/>
      <x:c r="E453" s="17" t="str">
        <x:v>工具调用</x:v>
      </x:c>
      <x:c r="F453" s="17" t="str">
        <x:v>load_finance_result</x:v>
      </x:c>
      <x:c r="G453" s="17" t="str"/>
      <x:c r="H453" s="17" t="str"/>
      <x:c r="I453" s="17" t="str">
        <x:v>设计浪费</x:v>
      </x:c>
      <x:c r="J453" s="17" t="str">
        <x:v>否</x:v>
      </x:c>
      <x:c r="K453" s="18"/>
      <x:c r="L453" s="17" t="str">
        <x:v>否</x:v>
      </x:c>
      <x:c r="M453" s="17" t="str">
        <x:v>否</x:v>
      </x:c>
      <x:c r="N453" s="17" t="str">
        <x:v>duplicate_result_load</x:v>
      </x:c>
      <x:c r="O453" s="17" t="str">
        <x:v>repeated_identical_result_load</x:v>
      </x:c>
      <x:c r="P453" s="17" t="str">
        <x:v>session://financial_qa_33499cfa81de4d06_2807_3534977b3f8d/vars/v3</x:v>
      </x:c>
      <x:c r="Q453" s="17" t="str"/>
      <x:c r="R453" s="17" t="str"/>
      <x:c r="S453" s="17" t="str"/>
      <x:c r="T453" s="17" t="str"/>
      <x:c r="U453" s="17" t="str"/>
      <x:c r="V453" s="30"/>
      <x:c r="W453" s="17" t="str">
        <x:v>high</x:v>
      </x:c>
    </x:row>
    <x:row r="454" ht="54" customHeight="1">
      <x:c r="A454" s="17" t="str">
        <x:v>BUS113</x:v>
      </x:c>
      <x:c r="B454" s="17" t="str">
        <x:v>查询半导体行业当前成分股列表。</x:v>
      </x:c>
      <x:c r="C454" s="17" t="n">
        <x:v>1</x:v>
      </x:c>
      <x:c r="D454" s="17" t="str"/>
      <x:c r="E454" s="17" t="str">
        <x:v>工具调用</x:v>
      </x:c>
      <x:c r="F454" s="17" t="str">
        <x:v>read_finance_catalog</x:v>
      </x:c>
      <x:c r="G454" s="17" t="str"/>
      <x:c r="H454" s="17" t="str"/>
      <x:c r="I454" s="17" t="str">
        <x:v>合理操作</x:v>
      </x:c>
      <x:c r="J454" s="17" t="str">
        <x:v>是</x:v>
      </x:c>
      <x:c r="K454" s="18"/>
      <x:c r="L454" s="17" t="str">
        <x:v>否</x:v>
      </x:c>
      <x:c r="M454" s="17" t="str">
        <x:v>否</x:v>
      </x:c>
      <x:c r="N454" s="17" t="str">
        <x:v>target_catalog_located</x:v>
      </x:c>
      <x:c r="O454" s="17" t="str">
        <x:v>expected_dataview_catalog</x:v>
      </x:c>
      <x:c r="P454" s="17" t="str"/>
      <x:c r="Q454" s="17" t="str"/>
      <x:c r="R454" s="17" t="str"/>
      <x:c r="S454" s="17" t="str">
        <x:v>industry</x:v>
      </x:c>
      <x:c r="T454" s="17" t="str">
        <x:v>constitution</x:v>
      </x:c>
      <x:c r="U454" s="17" t="str"/>
      <x:c r="V454" s="30"/>
      <x:c r="W454" s="17" t="str">
        <x:v>high</x:v>
      </x:c>
    </x:row>
    <x:row r="455" ht="54" customHeight="1">
      <x:c r="A455" s="17" t="str">
        <x:v>BUS113</x:v>
      </x:c>
      <x:c r="B455" s="17" t="str">
        <x:v>查询半导体行业当前成分股列表。</x:v>
      </x:c>
      <x:c r="C455" s="17" t="n">
        <x:v>2</x:v>
      </x:c>
      <x:c r="D455" s="17" t="str"/>
      <x:c r="E455" s="17" t="str">
        <x:v>工具调用</x:v>
      </x:c>
      <x:c r="F455" s="17" t="str">
        <x:v>finance_query</x:v>
      </x:c>
      <x:c r="G455" s="17" t="str">
        <x:v>r1 = industry.constitution(filter = "industry_name = 半导体", order = "stock_code asc", limit = -1) -&gt; industry_code, industry_name, stock_code, stock_name</x:v>
      </x:c>
      <x:c r="H455" s="17" t="str"/>
      <x:c r="I455" s="17" t="str">
        <x:v>合理操作</x:v>
      </x:c>
      <x:c r="J455" s="17" t="str">
        <x:v>是</x:v>
      </x:c>
      <x:c r="K455" s="18"/>
      <x:c r="L455" s="17" t="str">
        <x:v>否</x:v>
      </x:c>
      <x:c r="M455" s="17" t="str">
        <x:v>否</x:v>
      </x:c>
      <x:c r="N455" s="17" t="str">
        <x:v>target_api_executed</x:v>
      </x:c>
      <x:c r="O455" s="17" t="str">
        <x:v>expected_dataview_coverage</x:v>
      </x:c>
      <x:c r="P455" s="17" t="str">
        <x:v>session://financial_qa_33499cfa81de4d06_2808_2450a49f6c1a/vars/v1</x:v>
      </x:c>
      <x:c r="Q455" s="17" t="str"/>
      <x:c r="R455" s="17" t="str">
        <x:v>industry.constitution</x:v>
      </x:c>
      <x:c r="S455" s="17" t="str"/>
      <x:c r="T455" s="17" t="str"/>
      <x:c r="U455" s="17" t="str">
        <x:v>r1</x:v>
      </x:c>
      <x:c r="V455" s="30" t="n">
        <x:v>74</x:v>
      </x:c>
      <x:c r="W455" s="17" t="str">
        <x:v>high</x:v>
      </x:c>
    </x:row>
    <x:row r="456" ht="54" customHeight="1">
      <x:c r="A456" s="17" t="str">
        <x:v>BUS113</x:v>
      </x:c>
      <x:c r="B456" s="17" t="str">
        <x:v>查询半导体行业当前成分股列表。</x:v>
      </x:c>
      <x:c r="C456" s="17" t="n">
        <x:v>3</x:v>
      </x:c>
      <x:c r="D456" s="17" t="str"/>
      <x:c r="E456" s="17" t="str">
        <x:v>工具调用</x:v>
      </x:c>
      <x:c r="F456" s="17" t="str">
        <x:v>load_finance_result</x:v>
      </x:c>
      <x:c r="G456" s="17" t="str"/>
      <x:c r="H456" s="17" t="str"/>
      <x:c r="I456" s="17" t="str">
        <x:v>合理操作</x:v>
      </x:c>
      <x:c r="J456" s="17" t="str">
        <x:v>是</x:v>
      </x:c>
      <x:c r="K456" s="18"/>
      <x:c r="L456" s="17" t="str">
        <x:v>否</x:v>
      </x:c>
      <x:c r="M456" s="17" t="str">
        <x:v>否</x:v>
      </x:c>
      <x:c r="N456" s="17" t="str">
        <x:v>load_truncated_result</x:v>
      </x:c>
      <x:c r="O456" s="17" t="str">
        <x:v>sample_incomplete_requires_full_result</x:v>
      </x:c>
      <x:c r="P456" s="17" t="str">
        <x:v>session://financial_qa_33499cfa81de4d06_2808_2450a49f6c1a/vars/v1</x:v>
      </x:c>
      <x:c r="Q456" s="17" t="str"/>
      <x:c r="R456" s="17" t="str"/>
      <x:c r="S456" s="17" t="str"/>
      <x:c r="T456" s="17" t="str"/>
      <x:c r="U456" s="17" t="str"/>
      <x:c r="V456" s="30"/>
      <x:c r="W456" s="17" t="str">
        <x:v>high</x:v>
      </x:c>
    </x:row>
    <x:row r="457" ht="54" customHeight="1">
      <x:c r="A457" s="17" t="str">
        <x:v>BUS114</x:v>
      </x:c>
      <x:c r="B457" s="17" t="str">
        <x:v>查询白酒行业成分股数量和股票名单。</x:v>
      </x:c>
      <x:c r="C457" s="17" t="n">
        <x:v>1</x:v>
      </x:c>
      <x:c r="D457" s="17" t="str"/>
      <x:c r="E457" s="17" t="str">
        <x:v>工具调用</x:v>
      </x:c>
      <x:c r="F457" s="17" t="str">
        <x:v>read_finance_catalog</x:v>
      </x:c>
      <x:c r="G457" s="17" t="str"/>
      <x:c r="H457" s="17" t="str"/>
      <x:c r="I457" s="17" t="str">
        <x:v>合理操作</x:v>
      </x:c>
      <x:c r="J457" s="17" t="str">
        <x:v>是</x:v>
      </x:c>
      <x:c r="K457" s="18"/>
      <x:c r="L457" s="17" t="str">
        <x:v>否</x:v>
      </x:c>
      <x:c r="M457" s="17" t="str">
        <x:v>否</x:v>
      </x:c>
      <x:c r="N457" s="17" t="str">
        <x:v>target_catalog_located</x:v>
      </x:c>
      <x:c r="O457" s="17" t="str">
        <x:v>expected_dataview_catalog</x:v>
      </x:c>
      <x:c r="P457" s="17" t="str"/>
      <x:c r="Q457" s="17" t="str"/>
      <x:c r="R457" s="17" t="str"/>
      <x:c r="S457" s="17" t="str">
        <x:v>industry</x:v>
      </x:c>
      <x:c r="T457" s="17" t="str">
        <x:v>constitution</x:v>
      </x:c>
      <x:c r="U457" s="17" t="str"/>
      <x:c r="V457" s="30"/>
      <x:c r="W457" s="17" t="str">
        <x:v>high</x:v>
      </x:c>
    </x:row>
    <x:row r="458" ht="54" customHeight="1">
      <x:c r="A458" s="17" t="str">
        <x:v>BUS114</x:v>
      </x:c>
      <x:c r="B458" s="17" t="str">
        <x:v>查询白酒行业成分股数量和股票名单。</x:v>
      </x:c>
      <x:c r="C458" s="17" t="n">
        <x:v>2</x:v>
      </x:c>
      <x:c r="D458" s="17" t="str"/>
      <x:c r="E458" s="17" t="str">
        <x:v>工具调用</x:v>
      </x:c>
      <x:c r="F458" s="17" t="str">
        <x:v>finance_query</x:v>
      </x:c>
      <x:c r="G458" s="17" t="str">
        <x:v>r1 = industry.constitution(filter = "level3_industry_name = 白酒", order = "stock_code asc", limit = -1) -&gt; industry_code, industry_name, level3_industry_name, stock_code, stock_name</x:v>
      </x:c>
      <x:c r="H458" s="17" t="str"/>
      <x:c r="I458" s="17" t="str">
        <x:v>合理操作</x:v>
      </x:c>
      <x:c r="J458" s="17" t="str">
        <x:v>是</x:v>
      </x:c>
      <x:c r="K458" s="18"/>
      <x:c r="L458" s="17" t="str">
        <x:v>否</x:v>
      </x:c>
      <x:c r="M458" s="17" t="str">
        <x:v>否</x:v>
      </x:c>
      <x:c r="N458" s="17" t="str">
        <x:v>target_api_executed</x:v>
      </x:c>
      <x:c r="O458" s="17" t="str">
        <x:v>expected_dataview_coverage</x:v>
      </x:c>
      <x:c r="P458" s="17" t="str">
        <x:v>session://financial_qa_33499cfa81de4d06_2809_7ca751fd5779/vars/v1</x:v>
      </x:c>
      <x:c r="Q458" s="17" t="str"/>
      <x:c r="R458" s="17" t="str">
        <x:v>industry.constitution</x:v>
      </x:c>
      <x:c r="S458" s="17" t="str"/>
      <x:c r="T458" s="17" t="str"/>
      <x:c r="U458" s="17" t="str">
        <x:v>r1</x:v>
      </x:c>
      <x:c r="V458" s="30" t="n">
        <x:v>0</x:v>
      </x:c>
      <x:c r="W458" s="17" t="str">
        <x:v>high</x:v>
      </x:c>
    </x:row>
    <x:row r="459" ht="54" customHeight="1">
      <x:c r="A459" s="17" t="str">
        <x:v>BUS114</x:v>
      </x:c>
      <x:c r="B459" s="17" t="str">
        <x:v>查询白酒行业成分股数量和股票名单。</x:v>
      </x:c>
      <x:c r="C459" s="17" t="n">
        <x:v>3</x:v>
      </x:c>
      <x:c r="D459" s="17" t="str"/>
      <x:c r="E459" s="17" t="str">
        <x:v>工具调用</x:v>
      </x:c>
      <x:c r="F459" s="17" t="str">
        <x:v>finance_query</x:v>
      </x:c>
      <x:c r="G459" s="17" t="str">
        <x:v>r2 = industry.constitution(filter = "industry_name = 白酒", order = "stock_code asc", limit = -1) -&gt; industry_code, industry_name, level3_industry_name, stock_code, stock_name</x:v>
      </x:c>
      <x:c r="H459" s="17" t="str"/>
      <x:c r="I459" s="17" t="str">
        <x:v>设计浪费</x:v>
      </x:c>
      <x:c r="J459" s="17" t="str">
        <x:v>否</x:v>
      </x:c>
      <x:c r="K459" s="18"/>
      <x:c r="L459" s="17" t="str">
        <x:v>否</x:v>
      </x:c>
      <x:c r="M459" s="17" t="str">
        <x:v>否</x:v>
      </x:c>
      <x:c r="N459" s="17" t="str">
        <x:v>requery_after_terminal_zero</x:v>
      </x:c>
      <x:c r="O459" s="17" t="str">
        <x:v>terminal_zero_requery</x:v>
      </x:c>
      <x:c r="P459" s="17" t="str">
        <x:v>session://financial_qa_33499cfa81de4d06_2809_7ca751fd5779/vars/v2</x:v>
      </x:c>
      <x:c r="Q459" s="17" t="str"/>
      <x:c r="R459" s="17" t="str">
        <x:v>industry.constitution</x:v>
      </x:c>
      <x:c r="S459" s="17" t="str"/>
      <x:c r="T459" s="17" t="str"/>
      <x:c r="U459" s="17" t="str">
        <x:v>r2</x:v>
      </x:c>
      <x:c r="V459" s="30" t="n">
        <x:v>0</x:v>
      </x:c>
      <x:c r="W459" s="17" t="str">
        <x:v>high</x:v>
      </x:c>
    </x:row>
    <x:row r="460" ht="54" customHeight="1">
      <x:c r="A460" s="17" t="str">
        <x:v>BUS114</x:v>
      </x:c>
      <x:c r="B460" s="17" t="str">
        <x:v>查询白酒行业成分股数量和股票名单。</x:v>
      </x:c>
      <x:c r="C460" s="17" t="n">
        <x:v>4</x:v>
      </x:c>
      <x:c r="D460" s="17" t="str"/>
      <x:c r="E460" s="17" t="str">
        <x:v>工具调用</x:v>
      </x:c>
      <x:c r="F460" s="17" t="str">
        <x:v>read_finance_catalog</x:v>
      </x:c>
      <x:c r="G460" s="17" t="str"/>
      <x:c r="H460" s="17" t="str"/>
      <x:c r="I460" s="17" t="str">
        <x:v>合理操作</x:v>
      </x:c>
      <x:c r="J460" s="17" t="str">
        <x:v>是</x:v>
      </x:c>
      <x:c r="K460" s="18"/>
      <x:c r="L460" s="17" t="str">
        <x:v>否</x:v>
      </x:c>
      <x:c r="M460" s="17" t="str">
        <x:v>否</x:v>
      </x:c>
      <x:c r="N460" s="17" t="str">
        <x:v>target_catalog_located</x:v>
      </x:c>
      <x:c r="O460" s="17" t="str">
        <x:v>expected_dataview_catalog</x:v>
      </x:c>
      <x:c r="P460" s="17" t="str"/>
      <x:c r="Q460" s="17" t="str"/>
      <x:c r="R460" s="17" t="str"/>
      <x:c r="S460" s="17" t="str">
        <x:v>industry</x:v>
      </x:c>
      <x:c r="T460" s="17" t="str">
        <x:v>basic_info</x:v>
      </x:c>
      <x:c r="U460" s="17" t="str"/>
      <x:c r="V460" s="30"/>
      <x:c r="W460" s="17" t="str">
        <x:v>high</x:v>
      </x:c>
    </x:row>
    <x:row r="461" ht="54" customHeight="1">
      <x:c r="A461" s="17" t="str">
        <x:v>BUS114</x:v>
      </x:c>
      <x:c r="B461" s="17" t="str">
        <x:v>查询白酒行业成分股数量和股票名单。</x:v>
      </x:c>
      <x:c r="C461" s="17" t="n">
        <x:v>5</x:v>
      </x:c>
      <x:c r="D461" s="17" t="str"/>
      <x:c r="E461" s="17" t="str">
        <x:v>工具调用</x:v>
      </x:c>
      <x:c r="F461" s="17" t="str">
        <x:v>finance_query</x:v>
      </x:c>
      <x:c r="G461" s="17" t="str">
        <x:v>r3 = industry.basic_info(filter = "level3_industry_name like %白酒%", limit = 20) -&gt; industry_code, industry_name, level, level1_industry_name, level2_industry_name, level3_industry_name</x:v>
      </x:c>
      <x:c r="H461" s="17" t="str"/>
      <x:c r="I461" s="17" t="str">
        <x:v>合理操作</x:v>
      </x:c>
      <x:c r="J461" s="17" t="str">
        <x:v>是</x:v>
      </x:c>
      <x:c r="K461" s="18"/>
      <x:c r="L461" s="17" t="str">
        <x:v>否</x:v>
      </x:c>
      <x:c r="M461" s="17" t="str">
        <x:v>否</x:v>
      </x:c>
      <x:c r="N461" s="17" t="str">
        <x:v>target_api_executed</x:v>
      </x:c>
      <x:c r="O461" s="17" t="str">
        <x:v>expected_dataview_coverage</x:v>
      </x:c>
      <x:c r="P461" s="17" t="str">
        <x:v>session://financial_qa_33499cfa81de4d06_2809_7ca751fd5779/vars/v3</x:v>
      </x:c>
      <x:c r="Q461" s="17" t="str"/>
      <x:c r="R461" s="17" t="str">
        <x:v>industry.basic_info</x:v>
      </x:c>
      <x:c r="S461" s="17" t="str"/>
      <x:c r="T461" s="17" t="str"/>
      <x:c r="U461" s="17" t="str">
        <x:v>r3</x:v>
      </x:c>
      <x:c r="V461" s="30" t="n">
        <x:v>20</x:v>
      </x:c>
      <x:c r="W461" s="17" t="str">
        <x:v>high</x:v>
      </x:c>
    </x:row>
    <x:row r="462" ht="54" customHeight="1">
      <x:c r="A462" s="17" t="str">
        <x:v>BUS114</x:v>
      </x:c>
      <x:c r="B462" s="17" t="str">
        <x:v>查询白酒行业成分股数量和股票名单。</x:v>
      </x:c>
      <x:c r="C462" s="17" t="n">
        <x:v>6</x:v>
      </x:c>
      <x:c r="D462" s="17" t="str"/>
      <x:c r="E462" s="17" t="str">
        <x:v>工具调用</x:v>
      </x:c>
      <x:c r="F462" s="17" t="str">
        <x:v>finance_query</x:v>
      </x:c>
      <x:c r="G462" s="17" t="str">
        <x:v>r4 = industry.basic_info(filter = "industry_name like %白酒%", limit = 10) -&gt; industry_code, industry_name, level, level1_industry_name, level2_industry_name, level3_industry_name</x:v>
      </x:c>
      <x:c r="H462" s="17" t="str"/>
      <x:c r="I462" s="17" t="str">
        <x:v>合理操作</x:v>
      </x:c>
      <x:c r="J462" s="17" t="str">
        <x:v>是</x:v>
      </x:c>
      <x:c r="K462" s="18"/>
      <x:c r="L462" s="17" t="str">
        <x:v>否</x:v>
      </x:c>
      <x:c r="M462" s="17" t="str">
        <x:v>否</x:v>
      </x:c>
      <x:c r="N462" s="17" t="str">
        <x:v>target_api_executed</x:v>
      </x:c>
      <x:c r="O462" s="17" t="str">
        <x:v>expected_dataview_coverage</x:v>
      </x:c>
      <x:c r="P462" s="17" t="str">
        <x:v>session://financial_qa_33499cfa81de4d06_2809_7ca751fd5779/vars/v4</x:v>
      </x:c>
      <x:c r="Q462" s="17" t="str"/>
      <x:c r="R462" s="17" t="str">
        <x:v>industry.basic_info</x:v>
      </x:c>
      <x:c r="S462" s="17" t="str"/>
      <x:c r="T462" s="17" t="str"/>
      <x:c r="U462" s="17" t="str">
        <x:v>r4</x:v>
      </x:c>
      <x:c r="V462" s="30" t="n">
        <x:v>10</x:v>
      </x:c>
      <x:c r="W462" s="17" t="str">
        <x:v>high</x:v>
      </x:c>
    </x:row>
    <x:row r="463" ht="54" customHeight="1">
      <x:c r="A463" s="17" t="str">
        <x:v>BUS114</x:v>
      </x:c>
      <x:c r="B463" s="17" t="str">
        <x:v>查询白酒行业成分股数量和股票名单。</x:v>
      </x:c>
      <x:c r="C463" s="17" t="n">
        <x:v>7</x:v>
      </x:c>
      <x:c r="D463" s="17" t="str"/>
      <x:c r="E463" s="17" t="str">
        <x:v>工具调用</x:v>
      </x:c>
      <x:c r="F463" s="17" t="str">
        <x:v>load_finance_result</x:v>
      </x:c>
      <x:c r="G463" s="17" t="str"/>
      <x:c r="H463" s="17" t="str"/>
      <x:c r="I463" s="17" t="str">
        <x:v>合理操作</x:v>
      </x:c>
      <x:c r="J463" s="17" t="str">
        <x:v>是</x:v>
      </x:c>
      <x:c r="K463" s="18"/>
      <x:c r="L463" s="17" t="str">
        <x:v>否</x:v>
      </x:c>
      <x:c r="M463" s="17" t="str">
        <x:v>否</x:v>
      </x:c>
      <x:c r="N463" s="17" t="str">
        <x:v>load_truncated_result</x:v>
      </x:c>
      <x:c r="O463" s="17" t="str">
        <x:v>sample_incomplete_requires_full_result</x:v>
      </x:c>
      <x:c r="P463" s="17" t="str">
        <x:v>session://financial_qa_33499cfa81de4d06_2809_7ca751fd5779/vars/v3</x:v>
      </x:c>
      <x:c r="Q463" s="17" t="str"/>
      <x:c r="R463" s="17" t="str"/>
      <x:c r="S463" s="17" t="str"/>
      <x:c r="T463" s="17" t="str"/>
      <x:c r="U463" s="17" t="str"/>
      <x:c r="V463" s="30"/>
      <x:c r="W463" s="17" t="str">
        <x:v>high</x:v>
      </x:c>
    </x:row>
    <x:row r="464" ht="54" customHeight="1">
      <x:c r="A464" s="17" t="str">
        <x:v>BUS114</x:v>
      </x:c>
      <x:c r="B464" s="17" t="str">
        <x:v>查询白酒行业成分股数量和股票名单。</x:v>
      </x:c>
      <x:c r="C464" s="17" t="n">
        <x:v>8</x:v>
      </x:c>
      <x:c r="D464" s="17" t="str"/>
      <x:c r="E464" s="17" t="str">
        <x:v>工具调用</x:v>
      </x:c>
      <x:c r="F464" s="17" t="str">
        <x:v>finance_query</x:v>
      </x:c>
      <x:c r="G464" s="17" t="str">
        <x:v>r5 = industry.basic_info(filter = "level2_industry_name = 白酒Ⅱ", limit = 20) -&gt; industry_code, industry_name, level, level1_industry_name, level2_industry_name, level3_industry_name</x:v>
      </x:c>
      <x:c r="H464" s="17" t="str"/>
      <x:c r="I464" s="17" t="str">
        <x:v>合理操作</x:v>
      </x:c>
      <x:c r="J464" s="17" t="str">
        <x:v>是</x:v>
      </x:c>
      <x:c r="K464" s="18"/>
      <x:c r="L464" s="17" t="str">
        <x:v>否</x:v>
      </x:c>
      <x:c r="M464" s="17" t="str">
        <x:v>否</x:v>
      </x:c>
      <x:c r="N464" s="17" t="str">
        <x:v>target_api_executed</x:v>
      </x:c>
      <x:c r="O464" s="17" t="str">
        <x:v>expected_dataview_coverage</x:v>
      </x:c>
      <x:c r="P464" s="17" t="str">
        <x:v>session://financial_qa_33499cfa81de4d06_2809_7ca751fd5779/vars/v5</x:v>
      </x:c>
      <x:c r="Q464" s="17" t="str"/>
      <x:c r="R464" s="17" t="str">
        <x:v>industry.basic_info</x:v>
      </x:c>
      <x:c r="S464" s="17" t="str"/>
      <x:c r="T464" s="17" t="str"/>
      <x:c r="U464" s="17" t="str">
        <x:v>r5</x:v>
      </x:c>
      <x:c r="V464" s="30" t="n">
        <x:v>2</x:v>
      </x:c>
      <x:c r="W464" s="17" t="str">
        <x:v>high</x:v>
      </x:c>
    </x:row>
    <x:row r="465" ht="54" customHeight="1">
      <x:c r="A465" s="17" t="str">
        <x:v>BUS114</x:v>
      </x:c>
      <x:c r="B465" s="17" t="str">
        <x:v>查询白酒行业成分股数量和股票名单。</x:v>
      </x:c>
      <x:c r="C465" s="17" t="n">
        <x:v>9</x:v>
      </x:c>
      <x:c r="D465" s="17" t="str"/>
      <x:c r="E465" s="17" t="str">
        <x:v>工具调用</x:v>
      </x:c>
      <x:c r="F465" s="17" t="str">
        <x:v>finance_query</x:v>
      </x:c>
      <x:c r="G465" s="17" t="str">
        <x:v>r6 = industry.constitution(filter = "industry_name = 白酒Ⅲ", order = "stock_code asc", limit = -1) -&gt; industry_code, industry_name, stock_code, stock_name</x:v>
      </x:c>
      <x:c r="H465" s="17" t="str"/>
      <x:c r="I465" s="17" t="str">
        <x:v>设计浪费</x:v>
      </x:c>
      <x:c r="J465" s="17" t="str">
        <x:v>否</x:v>
      </x:c>
      <x:c r="K465" s="18"/>
      <x:c r="L465" s="17" t="str">
        <x:v>否</x:v>
      </x:c>
      <x:c r="M465" s="17" t="str">
        <x:v>否</x:v>
      </x:c>
      <x:c r="N465" s="17" t="str">
        <x:v>requery_after_terminal_zero</x:v>
      </x:c>
      <x:c r="O465" s="17" t="str">
        <x:v>terminal_zero_requery</x:v>
      </x:c>
      <x:c r="P465" s="17" t="str">
        <x:v>session://financial_qa_33499cfa81de4d06_2809_7ca751fd5779/vars/v6</x:v>
      </x:c>
      <x:c r="Q465" s="17" t="str"/>
      <x:c r="R465" s="17" t="str">
        <x:v>industry.constitution</x:v>
      </x:c>
      <x:c r="S465" s="17" t="str"/>
      <x:c r="T465" s="17" t="str"/>
      <x:c r="U465" s="17" t="str">
        <x:v>r6</x:v>
      </x:c>
      <x:c r="V465" s="30" t="n">
        <x:v>19</x:v>
      </x:c>
      <x:c r="W465" s="17" t="str">
        <x:v>high</x:v>
      </x:c>
    </x:row>
    <x:row r="466" ht="54" customHeight="1">
      <x:c r="A466" s="17" t="str">
        <x:v>BUS114</x:v>
      </x:c>
      <x:c r="B466" s="17" t="str">
        <x:v>查询白酒行业成分股数量和股票名单。</x:v>
      </x:c>
      <x:c r="C466" s="17" t="n">
        <x:v>10</x:v>
      </x:c>
      <x:c r="D466" s="17" t="str"/>
      <x:c r="E466" s="17" t="str">
        <x:v>工具调用</x:v>
      </x:c>
      <x:c r="F466" s="17" t="str">
        <x:v>load_finance_result</x:v>
      </x:c>
      <x:c r="G466" s="17" t="str"/>
      <x:c r="H466" s="17" t="str"/>
      <x:c r="I466" s="17" t="str">
        <x:v>合理操作</x:v>
      </x:c>
      <x:c r="J466" s="17" t="str">
        <x:v>是</x:v>
      </x:c>
      <x:c r="K466" s="18"/>
      <x:c r="L466" s="17" t="str">
        <x:v>否</x:v>
      </x:c>
      <x:c r="M466" s="17" t="str">
        <x:v>否</x:v>
      </x:c>
      <x:c r="N466" s="17" t="str">
        <x:v>load_truncated_result</x:v>
      </x:c>
      <x:c r="O466" s="17" t="str">
        <x:v>sample_incomplete_requires_full_result</x:v>
      </x:c>
      <x:c r="P466" s="17" t="str">
        <x:v>session://financial_qa_33499cfa81de4d06_2809_7ca751fd5779/vars/v6</x:v>
      </x:c>
      <x:c r="Q466" s="17" t="str"/>
      <x:c r="R466" s="17" t="str"/>
      <x:c r="S466" s="17" t="str"/>
      <x:c r="T466" s="17" t="str"/>
      <x:c r="U466" s="17" t="str"/>
      <x:c r="V466" s="30"/>
      <x:c r="W466" s="17" t="str">
        <x:v>high</x:v>
      </x:c>
    </x:row>
    <x:row r="467" ht="54" customHeight="1">
      <x:c r="A467" s="17" t="str">
        <x:v>BUS115</x:v>
      </x:c>
      <x:c r="B467" s="17" t="str">
        <x:v>查询电子一级行业下所有成分股及对应三级行业。</x:v>
      </x:c>
      <x:c r="C467" s="17" t="n">
        <x:v>1</x:v>
      </x:c>
      <x:c r="D467" s="17" t="str"/>
      <x:c r="E467" s="17" t="str">
        <x:v>工具调用</x:v>
      </x:c>
      <x:c r="F467" s="17" t="str">
        <x:v>read_finance_catalog</x:v>
      </x:c>
      <x:c r="G467" s="17" t="str"/>
      <x:c r="H467" s="17" t="str"/>
      <x:c r="I467" s="17" t="str">
        <x:v>合理操作</x:v>
      </x:c>
      <x:c r="J467" s="17" t="str">
        <x:v>是</x:v>
      </x:c>
      <x:c r="K467" s="18"/>
      <x:c r="L467" s="17" t="str">
        <x:v>否</x:v>
      </x:c>
      <x:c r="M467" s="17" t="str">
        <x:v>否</x:v>
      </x:c>
      <x:c r="N467" s="17" t="str">
        <x:v>target_catalog_located</x:v>
      </x:c>
      <x:c r="O467" s="17" t="str">
        <x:v>expected_dataview_catalog</x:v>
      </x:c>
      <x:c r="P467" s="17" t="str"/>
      <x:c r="Q467" s="17" t="str"/>
      <x:c r="R467" s="17" t="str"/>
      <x:c r="S467" s="17" t="str">
        <x:v>industry</x:v>
      </x:c>
      <x:c r="T467" s="17" t="str">
        <x:v>constitution</x:v>
      </x:c>
      <x:c r="U467" s="17" t="str"/>
      <x:c r="V467" s="30"/>
      <x:c r="W467" s="17" t="str">
        <x:v>high</x:v>
      </x:c>
    </x:row>
    <x:row r="468" ht="54" customHeight="1">
      <x:c r="A468" s="17" t="str">
        <x:v>BUS115</x:v>
      </x:c>
      <x:c r="B468" s="17" t="str">
        <x:v>查询电子一级行业下所有成分股及对应三级行业。</x:v>
      </x:c>
      <x:c r="C468" s="17" t="n">
        <x:v>2</x:v>
      </x:c>
      <x:c r="D468" s="17" t="str"/>
      <x:c r="E468" s="17" t="str">
        <x:v>工具调用</x:v>
      </x:c>
      <x:c r="F468" s="17" t="str">
        <x:v>finance_query</x:v>
      </x:c>
      <x:c r="G468" s="17" t="str">
        <x:v>r1 = industry.constitution(filter = "level1_industry_name = 电子", order = "stock_code asc", limit = -1) -&gt; industry_code, industry_name, level1_industry_name, level2_industry_name, level3_industry_name, stock_code, stock_name</x:v>
      </x:c>
      <x:c r="H468" s="17" t="str"/>
      <x:c r="I468" s="17" t="str">
        <x:v>合理操作</x:v>
      </x:c>
      <x:c r="J468" s="17" t="str">
        <x:v>是</x:v>
      </x:c>
      <x:c r="K468" s="18"/>
      <x:c r="L468" s="17" t="str">
        <x:v>否</x:v>
      </x:c>
      <x:c r="M468" s="17" t="str">
        <x:v>否</x:v>
      </x:c>
      <x:c r="N468" s="17" t="str">
        <x:v>target_api_executed</x:v>
      </x:c>
      <x:c r="O468" s="17" t="str">
        <x:v>expected_dataview_coverage</x:v>
      </x:c>
      <x:c r="P468" s="17" t="str">
        <x:v>session://financial_qa_33499cfa81de4d06_2810_7ad7ff268ec3/vars/v1</x:v>
      </x:c>
      <x:c r="Q468" s="17" t="str"/>
      <x:c r="R468" s="17" t="str">
        <x:v>industry.constitution</x:v>
      </x:c>
      <x:c r="S468" s="17" t="str"/>
      <x:c r="T468" s="17" t="str"/>
      <x:c r="U468" s="17" t="str">
        <x:v>r1</x:v>
      </x:c>
      <x:c r="V468" s="30" t="n">
        <x:v>100</x:v>
      </x:c>
      <x:c r="W468" s="17" t="str">
        <x:v>high</x:v>
      </x:c>
    </x:row>
    <x:row r="469" ht="54" customHeight="1">
      <x:c r="A469" s="17" t="str">
        <x:v>BUS115</x:v>
      </x:c>
      <x:c r="B469" s="17" t="str">
        <x:v>查询电子一级行业下所有成分股及对应三级行业。</x:v>
      </x:c>
      <x:c r="C469" s="17" t="n">
        <x:v>3</x:v>
      </x:c>
      <x:c r="D469" s="17" t="str"/>
      <x:c r="E469" s="17" t="str">
        <x:v>工具调用</x:v>
      </x:c>
      <x:c r="F469" s="17" t="str">
        <x:v>load_finance_result</x:v>
      </x:c>
      <x:c r="G469" s="17" t="str"/>
      <x:c r="H469" s="17" t="str"/>
      <x:c r="I469" s="17" t="str">
        <x:v>合理操作</x:v>
      </x:c>
      <x:c r="J469" s="17" t="str">
        <x:v>是</x:v>
      </x:c>
      <x:c r="K469" s="18"/>
      <x:c r="L469" s="17" t="str">
        <x:v>否</x:v>
      </x:c>
      <x:c r="M469" s="17" t="str">
        <x:v>否</x:v>
      </x:c>
      <x:c r="N469" s="17" t="str">
        <x:v>load_truncated_result</x:v>
      </x:c>
      <x:c r="O469" s="17" t="str">
        <x:v>sample_incomplete_requires_full_result</x:v>
      </x:c>
      <x:c r="P469" s="17" t="str">
        <x:v>session://financial_qa_33499cfa81de4d06_2810_7ad7ff268ec3/vars/v1</x:v>
      </x:c>
      <x:c r="Q469" s="17" t="str"/>
      <x:c r="R469" s="17" t="str"/>
      <x:c r="S469" s="17" t="str"/>
      <x:c r="T469" s="17" t="str"/>
      <x:c r="U469" s="17" t="str"/>
      <x:c r="V469" s="30"/>
      <x:c r="W469" s="17" t="str">
        <x:v>high</x:v>
      </x:c>
    </x:row>
    <x:row r="470" ht="54" customHeight="1">
      <x:c r="A470" s="17" t="str">
        <x:v>BUS116</x:v>
      </x:c>
      <x:c r="B470" s="17" t="str">
        <x:v>查询宁德时代所在行业的其他成分股。</x:v>
      </x:c>
      <x:c r="C470" s="17" t="n">
        <x:v>1</x:v>
      </x:c>
      <x:c r="D470" s="17" t="str"/>
      <x:c r="E470" s="17" t="str">
        <x:v>工具调用</x:v>
      </x:c>
      <x:c r="F470" s="17" t="str">
        <x:v>read_finance_catalog</x:v>
      </x:c>
      <x:c r="G470" s="17" t="str"/>
      <x:c r="H470" s="17" t="str"/>
      <x:c r="I470" s="17" t="str">
        <x:v>合理操作</x:v>
      </x:c>
      <x:c r="J470" s="17" t="str">
        <x:v>是</x:v>
      </x:c>
      <x:c r="K470" s="18"/>
      <x:c r="L470" s="17" t="str">
        <x:v>否</x:v>
      </x:c>
      <x:c r="M470" s="17" t="str">
        <x:v>否</x:v>
      </x:c>
      <x:c r="N470" s="17" t="str">
        <x:v>target_catalog_located</x:v>
      </x:c>
      <x:c r="O470" s="17" t="str">
        <x:v>expected_dataview_catalog</x:v>
      </x:c>
      <x:c r="P470" s="17" t="str"/>
      <x:c r="Q470" s="17" t="str"/>
      <x:c r="R470" s="17" t="str"/>
      <x:c r="S470" s="17" t="str">
        <x:v>stock</x:v>
      </x:c>
      <x:c r="T470" s="17" t="str">
        <x:v>basic_info</x:v>
      </x:c>
      <x:c r="U470" s="17" t="str"/>
      <x:c r="V470" s="30"/>
      <x:c r="W470" s="17" t="str">
        <x:v>high</x:v>
      </x:c>
    </x:row>
    <x:row r="471" ht="54" customHeight="1">
      <x:c r="A471" s="17" t="str">
        <x:v>BUS116</x:v>
      </x:c>
      <x:c r="B471" s="17" t="str">
        <x:v>查询宁德时代所在行业的其他成分股。</x:v>
      </x:c>
      <x:c r="C471" s="17" t="n">
        <x:v>2</x:v>
      </x:c>
      <x:c r="D471" s="17" t="str"/>
      <x:c r="E471" s="17" t="str">
        <x:v>工具调用</x:v>
      </x:c>
      <x:c r="F471" s="17" t="str">
        <x:v>finance_query</x:v>
      </x:c>
      <x:c r="G471" s="17" t="str">
        <x:v>r1 = stock.basic_info(filter = "code = 300750.SZ", limit = 1) -&gt; code, name, industry</x:v>
      </x:c>
      <x:c r="H471" s="17" t="str"/>
      <x:c r="I471" s="17" t="str">
        <x:v>合理操作</x:v>
      </x:c>
      <x:c r="J471" s="17" t="str">
        <x:v>是</x:v>
      </x:c>
      <x:c r="K471" s="18"/>
      <x:c r="L471" s="17" t="str">
        <x:v>否</x:v>
      </x:c>
      <x:c r="M471" s="17" t="str">
        <x:v>否</x:v>
      </x:c>
      <x:c r="N471" s="17" t="str">
        <x:v>target_api_executed</x:v>
      </x:c>
      <x:c r="O471" s="17" t="str">
        <x:v>expected_dataview_coverage</x:v>
      </x:c>
      <x:c r="P471" s="17" t="str">
        <x:v>session://financial_qa_33499cfa81de4d06_2811_2dc2fdcd3378/vars/v1</x:v>
      </x:c>
      <x:c r="Q471" s="17" t="str"/>
      <x:c r="R471" s="17" t="str">
        <x:v>stock.basic_info</x:v>
      </x:c>
      <x:c r="S471" s="17" t="str"/>
      <x:c r="T471" s="17" t="str"/>
      <x:c r="U471" s="17" t="str">
        <x:v>r1</x:v>
      </x:c>
      <x:c r="V471" s="30" t="n">
        <x:v>1</x:v>
      </x:c>
      <x:c r="W471" s="17" t="str">
        <x:v>high</x:v>
      </x:c>
    </x:row>
    <x:row r="472" ht="54" customHeight="1">
      <x:c r="A472" s="17" t="str">
        <x:v>BUS116</x:v>
      </x:c>
      <x:c r="B472" s="17" t="str">
        <x:v>查询宁德时代所在行业的其他成分股。</x:v>
      </x:c>
      <x:c r="C472" s="17" t="n">
        <x:v>3</x:v>
      </x:c>
      <x:c r="D472" s="17" t="str"/>
      <x:c r="E472" s="17" t="str">
        <x:v>工具调用</x:v>
      </x:c>
      <x:c r="F472" s="17" t="str">
        <x:v>read_finance_catalog</x:v>
      </x:c>
      <x:c r="G472" s="17" t="str"/>
      <x:c r="H472" s="17" t="str"/>
      <x:c r="I472" s="17" t="str">
        <x:v>合理操作</x:v>
      </x:c>
      <x:c r="J472" s="17" t="str">
        <x:v>是</x:v>
      </x:c>
      <x:c r="K472" s="18"/>
      <x:c r="L472" s="17" t="str">
        <x:v>否</x:v>
      </x:c>
      <x:c r="M472" s="17" t="str">
        <x:v>否</x:v>
      </x:c>
      <x:c r="N472" s="17" t="str">
        <x:v>target_catalog_located</x:v>
      </x:c>
      <x:c r="O472" s="17" t="str">
        <x:v>expected_dataview_catalog</x:v>
      </x:c>
      <x:c r="P472" s="17" t="str"/>
      <x:c r="Q472" s="17" t="str"/>
      <x:c r="R472" s="17" t="str"/>
      <x:c r="S472" s="17" t="str">
        <x:v>industry</x:v>
      </x:c>
      <x:c r="T472" s="17" t="str">
        <x:v>constitution</x:v>
      </x:c>
      <x:c r="U472" s="17" t="str"/>
      <x:c r="V472" s="30"/>
      <x:c r="W472" s="17" t="str">
        <x:v>high</x:v>
      </x:c>
    </x:row>
    <x:row r="473" ht="54" customHeight="1">
      <x:c r="A473" s="17" t="str">
        <x:v>BUS116</x:v>
      </x:c>
      <x:c r="B473" s="17" t="str">
        <x:v>查询宁德时代所在行业的其他成分股。</x:v>
      </x:c>
      <x:c r="C473" s="17" t="n">
        <x:v>4</x:v>
      </x:c>
      <x:c r="D473" s="17" t="str"/>
      <x:c r="E473" s="17" t="str">
        <x:v>工具调用</x:v>
      </x:c>
      <x:c r="F473" s="17" t="str">
        <x:v>finance_query</x:v>
      </x:c>
      <x:c r="G473" s="17" t="str">
        <x:v>r2 = industry.constitution(filter = "industry_name = 锂电池", order = "stock_code asc", limit = -1) -&gt; industry_code, industry_name, stock_code, stock_name</x:v>
      </x:c>
      <x:c r="H473" s="17" t="str"/>
      <x:c r="I473" s="17" t="str">
        <x:v>合理操作</x:v>
      </x:c>
      <x:c r="J473" s="17" t="str">
        <x:v>是</x:v>
      </x:c>
      <x:c r="K473" s="18"/>
      <x:c r="L473" s="17" t="str">
        <x:v>否</x:v>
      </x:c>
      <x:c r="M473" s="17" t="str">
        <x:v>否</x:v>
      </x:c>
      <x:c r="N473" s="17" t="str">
        <x:v>target_api_executed</x:v>
      </x:c>
      <x:c r="O473" s="17" t="str">
        <x:v>expected_dataview_coverage</x:v>
      </x:c>
      <x:c r="P473" s="17" t="str">
        <x:v>session://financial_qa_33499cfa81de4d06_2811_2dc2fdcd3378/vars/v2</x:v>
      </x:c>
      <x:c r="Q473" s="17" t="str"/>
      <x:c r="R473" s="17" t="str">
        <x:v>industry.constitution</x:v>
      </x:c>
      <x:c r="S473" s="17" t="str"/>
      <x:c r="T473" s="17" t="str"/>
      <x:c r="U473" s="17" t="str">
        <x:v>r2</x:v>
      </x:c>
      <x:c r="V473" s="30" t="n">
        <x:v>15</x:v>
      </x:c>
      <x:c r="W473" s="17" t="str">
        <x:v>high</x:v>
      </x:c>
    </x:row>
    <x:row r="474" ht="54" customHeight="1">
      <x:c r="A474" s="17" t="str">
        <x:v>BUS116</x:v>
      </x:c>
      <x:c r="B474" s="17" t="str">
        <x:v>查询宁德时代所在行业的其他成分股。</x:v>
      </x:c>
      <x:c r="C474" s="17" t="n">
        <x:v>5</x:v>
      </x:c>
      <x:c r="D474" s="17" t="str"/>
      <x:c r="E474" s="17" t="str">
        <x:v>工具调用</x:v>
      </x:c>
      <x:c r="F474" s="17" t="str">
        <x:v>load_finance_result</x:v>
      </x:c>
      <x:c r="G474" s="17" t="str"/>
      <x:c r="H474" s="17" t="str"/>
      <x:c r="I474" s="17" t="str">
        <x:v>合理操作</x:v>
      </x:c>
      <x:c r="J474" s="17" t="str">
        <x:v>是</x:v>
      </x:c>
      <x:c r="K474" s="18"/>
      <x:c r="L474" s="17" t="str">
        <x:v>否</x:v>
      </x:c>
      <x:c r="M474" s="17" t="str">
        <x:v>否</x:v>
      </x:c>
      <x:c r="N474" s="17" t="str">
        <x:v>load_truncated_result</x:v>
      </x:c>
      <x:c r="O474" s="17" t="str">
        <x:v>sample_incomplete_requires_full_result</x:v>
      </x:c>
      <x:c r="P474" s="17" t="str">
        <x:v>session://financial_qa_33499cfa81de4d06_2811_2dc2fdcd3378/vars/v2</x:v>
      </x:c>
      <x:c r="Q474" s="17" t="str"/>
      <x:c r="R474" s="17" t="str"/>
      <x:c r="S474" s="17" t="str"/>
      <x:c r="T474" s="17" t="str"/>
      <x:c r="U474" s="17" t="str"/>
      <x:c r="V474" s="30"/>
      <x:c r="W474" s="17" t="str">
        <x:v>high</x:v>
      </x:c>
    </x:row>
    <x:row r="475" ht="54" customHeight="1">
      <x:c r="A475" s="17" t="str">
        <x:v>BUS117</x:v>
      </x:c>
      <x:c r="B475" s="17" t="str">
        <x:v>查询成分股数量最多的申万三级行业前20名。</x:v>
      </x:c>
      <x:c r="C475" s="17" t="n">
        <x:v>1</x:v>
      </x:c>
      <x:c r="D475" s="17" t="str"/>
      <x:c r="E475" s="17" t="str">
        <x:v>工具调用</x:v>
      </x:c>
      <x:c r="F475" s="17" t="str">
        <x:v>read_finance_catalog</x:v>
      </x:c>
      <x:c r="G475" s="17" t="str"/>
      <x:c r="H475" s="17" t="str"/>
      <x:c r="I475" s="17" t="str">
        <x:v>合理操作</x:v>
      </x:c>
      <x:c r="J475" s="17" t="str">
        <x:v>是</x:v>
      </x:c>
      <x:c r="K475" s="18"/>
      <x:c r="L475" s="17" t="str">
        <x:v>否</x:v>
      </x:c>
      <x:c r="M475" s="17" t="str">
        <x:v>否</x:v>
      </x:c>
      <x:c r="N475" s="17" t="str">
        <x:v>target_catalog_located</x:v>
      </x:c>
      <x:c r="O475" s="17" t="str">
        <x:v>expected_dataview_catalog</x:v>
      </x:c>
      <x:c r="P475" s="17" t="str"/>
      <x:c r="Q475" s="17" t="str"/>
      <x:c r="R475" s="17" t="str"/>
      <x:c r="S475" s="17" t="str">
        <x:v>industry</x:v>
      </x:c>
      <x:c r="T475" s="17" t="str">
        <x:v>constitution</x:v>
      </x:c>
      <x:c r="U475" s="17" t="str"/>
      <x:c r="V475" s="30"/>
      <x:c r="W475" s="17" t="str">
        <x:v>high</x:v>
      </x:c>
    </x:row>
    <x:row r="476" ht="54" customHeight="1">
      <x:c r="A476" s="17" t="str">
        <x:v>BUS117</x:v>
      </x:c>
      <x:c r="B476" s="17" t="str">
        <x:v>查询成分股数量最多的申万三级行业前20名。</x:v>
      </x:c>
      <x:c r="C476" s="17" t="n">
        <x:v>2</x:v>
      </x:c>
      <x:c r="D476" s="17" t="str"/>
      <x:c r="E476" s="17" t="str">
        <x:v>工具调用</x:v>
      </x:c>
      <x:c r="F476" s="17" t="str">
        <x:v>finance_query</x:v>
      </x:c>
      <x:c r="G476" s="17" t="str">
        <x:v>r1 = industry.constitution.agg(filter = "level = 3", agg = count(stock.quote.code), group_by = "industry_code, industry_name, level3_industry_name", order = "count desc", limit = 20) -&gt; industry_code, industry_name, level3_industry_name, count</x:v>
      </x:c>
      <x:c r="H476" s="17" t="str"/>
      <x:c r="I476" s="17" t="str">
        <x:v>合理操作</x:v>
      </x:c>
      <x:c r="J476" s="17" t="str">
        <x:v>是</x:v>
      </x:c>
      <x:c r="K476" s="18"/>
      <x:c r="L476" s="17" t="str">
        <x:v>否</x:v>
      </x:c>
      <x:c r="M476" s="17" t="str">
        <x:v>否</x:v>
      </x:c>
      <x:c r="N476" s="17" t="str">
        <x:v>target_api_executed</x:v>
      </x:c>
      <x:c r="O476" s="17" t="str">
        <x:v>expected_dataview_coverage</x:v>
      </x:c>
      <x:c r="P476" s="17" t="str">
        <x:v>session://financial_qa_33499cfa81de4d06_2812_15f8e3196cf2/vars/v1</x:v>
      </x:c>
      <x:c r="Q476" s="17" t="str"/>
      <x:c r="R476" s="17" t="str">
        <x:v>industry.constitution.agg</x:v>
      </x:c>
      <x:c r="S476" s="17" t="str"/>
      <x:c r="T476" s="17" t="str"/>
      <x:c r="U476" s="17" t="str">
        <x:v>r1</x:v>
      </x:c>
      <x:c r="V476" s="30" t="n">
        <x:v>20</x:v>
      </x:c>
      <x:c r="W476" s="17" t="str">
        <x:v>high</x:v>
      </x:c>
    </x:row>
    <x:row r="477" ht="54" customHeight="1">
      <x:c r="A477" s="17" t="str">
        <x:v>BUS117</x:v>
      </x:c>
      <x:c r="B477" s="17" t="str">
        <x:v>查询成分股数量最多的申万三级行业前20名。</x:v>
      </x:c>
      <x:c r="C477" s="17" t="n">
        <x:v>3</x:v>
      </x:c>
      <x:c r="D477" s="17" t="str"/>
      <x:c r="E477" s="17" t="str">
        <x:v>工具调用</x:v>
      </x:c>
      <x:c r="F477" s="17" t="str">
        <x:v>load_finance_result</x:v>
      </x:c>
      <x:c r="G477" s="17" t="str"/>
      <x:c r="H477" s="17" t="str"/>
      <x:c r="I477" s="17" t="str">
        <x:v>合理操作</x:v>
      </x:c>
      <x:c r="J477" s="17" t="str">
        <x:v>是</x:v>
      </x:c>
      <x:c r="K477" s="18"/>
      <x:c r="L477" s="17" t="str">
        <x:v>否</x:v>
      </x:c>
      <x:c r="M477" s="17" t="str">
        <x:v>否</x:v>
      </x:c>
      <x:c r="N477" s="17" t="str">
        <x:v>load_truncated_result</x:v>
      </x:c>
      <x:c r="O477" s="17" t="str">
        <x:v>sample_incomplete_requires_full_result</x:v>
      </x:c>
      <x:c r="P477" s="17" t="str">
        <x:v>session://financial_qa_33499cfa81de4d06_2812_15f8e3196cf2/vars/v1</x:v>
      </x:c>
      <x:c r="Q477" s="17" t="str"/>
      <x:c r="R477" s="17" t="str"/>
      <x:c r="S477" s="17" t="str"/>
      <x:c r="T477" s="17" t="str"/>
      <x:c r="U477" s="17" t="str"/>
      <x:c r="V477" s="30"/>
      <x:c r="W477" s="17" t="str">
        <x:v>high</x:v>
      </x:c>
    </x:row>
    <x:row r="478" ht="54" customHeight="1">
      <x:c r="A478" s="17" t="str">
        <x:v>BUS120</x:v>
      </x:c>
      <x:c r="B478" s="17" t="str">
        <x:v>筛选半导体行业中今天涨幅最高的前10只股票。</x:v>
      </x:c>
      <x:c r="C478" s="17" t="n">
        <x:v>1</x:v>
      </x:c>
      <x:c r="D478" s="17" t="str"/>
      <x:c r="E478" s="17" t="str">
        <x:v>工具调用</x:v>
      </x:c>
      <x:c r="F478" s="17" t="str">
        <x:v>read_finance_catalog</x:v>
      </x:c>
      <x:c r="G478" s="17" t="str"/>
      <x:c r="H478" s="17" t="str"/>
      <x:c r="I478" s="17" t="str">
        <x:v>合理操作</x:v>
      </x:c>
      <x:c r="J478" s="17" t="str">
        <x:v>是</x:v>
      </x:c>
      <x:c r="K478" s="18"/>
      <x:c r="L478" s="17" t="str">
        <x:v>否</x:v>
      </x:c>
      <x:c r="M478" s="17" t="str">
        <x:v>否</x:v>
      </x:c>
      <x:c r="N478" s="17" t="str">
        <x:v>target_catalog_located</x:v>
      </x:c>
      <x:c r="O478" s="17" t="str">
        <x:v>expected_dataview_catalog</x:v>
      </x:c>
      <x:c r="P478" s="17" t="str"/>
      <x:c r="Q478" s="17" t="str"/>
      <x:c r="R478" s="17" t="str"/>
      <x:c r="S478" s="17" t="str">
        <x:v>industry</x:v>
      </x:c>
      <x:c r="T478" s="17" t="str">
        <x:v>constitution</x:v>
      </x:c>
      <x:c r="U478" s="17" t="str"/>
      <x:c r="V478" s="30"/>
      <x:c r="W478" s="17" t="str">
        <x:v>high</x:v>
      </x:c>
    </x:row>
    <x:row r="479" ht="54" customHeight="1">
      <x:c r="A479" s="17" t="str">
        <x:v>BUS120</x:v>
      </x:c>
      <x:c r="B479" s="17" t="str">
        <x:v>筛选半导体行业中今天涨幅最高的前10只股票。</x:v>
      </x:c>
      <x:c r="C479" s="17" t="n">
        <x:v>2</x:v>
      </x:c>
      <x:c r="D479" s="17" t="str"/>
      <x:c r="E479" s="17" t="str">
        <x:v>工具调用</x:v>
      </x:c>
      <x:c r="F479" s="17" t="str">
        <x:v>read_finance_catalog</x:v>
      </x:c>
      <x:c r="G479" s="17" t="str"/>
      <x:c r="H479" s="17" t="str"/>
      <x:c r="I479" s="17" t="str">
        <x:v>未判定</x:v>
      </x:c>
      <x:c r="J479" s="17" t="str">
        <x:v>未判定</x:v>
      </x:c>
      <x:c r="K479" s="18"/>
      <x:c r="L479" s="17" t="str">
        <x:v>否</x:v>
      </x:c>
      <x:c r="M479" s="17" t="str">
        <x:v>否</x:v>
      </x:c>
      <x:c r="N479" s="17" t="str">
        <x:v>catalog_relevance_not_provable</x:v>
      </x:c>
      <x:c r="O479" s="17" t="str">
        <x:v>catalog_outside_expected_dataview</x:v>
      </x:c>
      <x:c r="P479" s="17" t="str"/>
      <x:c r="Q479" s="17" t="str"/>
      <x:c r="R479" s="17" t="str"/>
      <x:c r="S479" s="17" t="str">
        <x:v>stock</x:v>
      </x:c>
      <x:c r="T479" s="17" t="str">
        <x:v>quote</x:v>
      </x:c>
      <x:c r="U479" s="17" t="str"/>
      <x:c r="V479" s="30"/>
      <x:c r="W479" s="17" t="str">
        <x:v>low</x:v>
      </x:c>
    </x:row>
    <x:row r="480" ht="54" customHeight="1">
      <x:c r="A480" s="17" t="str">
        <x:v>BUS120</x:v>
      </x:c>
      <x:c r="B480" s="17" t="str">
        <x:v>筛选半导体行业中今天涨幅最高的前10只股票。</x:v>
      </x:c>
      <x:c r="C480" s="17" t="n">
        <x:v>3</x:v>
      </x:c>
      <x:c r="D480" s="17" t="str"/>
      <x:c r="E480" s="17" t="str">
        <x:v>工具调用</x:v>
      </x:c>
      <x:c r="F480" s="17" t="str">
        <x:v>read_finance_catalog</x:v>
      </x:c>
      <x:c r="G480" s="17" t="str"/>
      <x:c r="H480" s="17" t="str"/>
      <x:c r="I480" s="17" t="str">
        <x:v>合理操作</x:v>
      </x:c>
      <x:c r="J480" s="17" t="str">
        <x:v>是</x:v>
      </x:c>
      <x:c r="K480" s="18"/>
      <x:c r="L480" s="17" t="str">
        <x:v>否</x:v>
      </x:c>
      <x:c r="M480" s="17" t="str">
        <x:v>否</x:v>
      </x:c>
      <x:c r="N480" s="17" t="str">
        <x:v>subject_catalog_discovery</x:v>
      </x:c>
      <x:c r="O480" s="17" t="str">
        <x:v>expected_subject_catalog</x:v>
      </x:c>
      <x:c r="P480" s="17" t="str"/>
      <x:c r="Q480" s="17" t="str"/>
      <x:c r="R480" s="17" t="str"/>
      <x:c r="S480" s="17" t="str">
        <x:v>industry</x:v>
      </x:c>
      <x:c r="T480" s="17" t="str">
        <x:v>basic_info</x:v>
      </x:c>
      <x:c r="U480" s="17" t="str"/>
      <x:c r="V480" s="30"/>
      <x:c r="W480" s="17" t="str">
        <x:v>medium</x:v>
      </x:c>
    </x:row>
    <x:row r="481" ht="54" customHeight="1">
      <x:c r="A481" s="17" t="str">
        <x:v>BUS120</x:v>
      </x:c>
      <x:c r="B481" s="17" t="str">
        <x:v>筛选半导体行业中今天涨幅最高的前10只股票。</x:v>
      </x:c>
      <x:c r="C481" s="17" t="n">
        <x:v>4</x:v>
      </x:c>
      <x:c r="D481" s="17" t="str"/>
      <x:c r="E481" s="17" t="str">
        <x:v>工具调用</x:v>
      </x:c>
      <x:c r="F481" s="17" t="str">
        <x:v>finance_query</x:v>
      </x:c>
      <x:c r="G481" s="17" t="str">
        <x:v>r1 = industry.basic_info(filter = "industry_name like '%半导体%'", limit = 10) -&gt; industry_code, industry_name, level, level1_industry_name, level2_industry_name, level3_industry_name</x:v>
      </x:c>
      <x:c r="H481" s="17" t="str"/>
      <x:c r="I481" s="17" t="str">
        <x:v>合理操作</x:v>
      </x:c>
      <x:c r="J481" s="17" t="str">
        <x:v>是</x:v>
      </x:c>
      <x:c r="K481" s="18"/>
      <x:c r="L481" s="17" t="str">
        <x:v>否</x:v>
      </x:c>
      <x:c r="M481" s="17" t="str">
        <x:v>否</x:v>
      </x:c>
      <x:c r="N481" s="17" t="str">
        <x:v>same_subject_dependency</x:v>
      </x:c>
      <x:c r="O481" s="17" t="str">
        <x:v>supporting_api_for_expected_subject</x:v>
      </x:c>
      <x:c r="P481" s="17" t="str">
        <x:v>session://financial_qa_33499cfa81de4d06_2815_8b6328cc7404/vars/v1</x:v>
      </x:c>
      <x:c r="Q481" s="17" t="str"/>
      <x:c r="R481" s="17" t="str">
        <x:v>industry.basic_info</x:v>
      </x:c>
      <x:c r="S481" s="17" t="str"/>
      <x:c r="T481" s="17" t="str"/>
      <x:c r="U481" s="17" t="str">
        <x:v>r1</x:v>
      </x:c>
      <x:c r="V481" s="30" t="n">
        <x:v>10</x:v>
      </x:c>
      <x:c r="W481" s="17" t="str">
        <x:v>medium</x:v>
      </x:c>
    </x:row>
    <x:row r="482" ht="54" customHeight="1">
      <x:c r="A482" s="17" t="str">
        <x:v>BUS120</x:v>
      </x:c>
      <x:c r="B482" s="17" t="str">
        <x:v>筛选半导体行业中今天涨幅最高的前10只股票。</x:v>
      </x:c>
      <x:c r="C482" s="17" t="n">
        <x:v>5</x:v>
      </x:c>
      <x:c r="D482" s="17" t="str"/>
      <x:c r="E482" s="17" t="str">
        <x:v>工具调用</x:v>
      </x:c>
      <x:c r="F482" s="17" t="str">
        <x:v>load_finance_result</x:v>
      </x:c>
      <x:c r="G482" s="17" t="str"/>
      <x:c r="H482" s="17" t="str"/>
      <x:c r="I482" s="17" t="str">
        <x:v>合理操作</x:v>
      </x:c>
      <x:c r="J482" s="17" t="str">
        <x:v>是</x:v>
      </x:c>
      <x:c r="K482" s="18"/>
      <x:c r="L482" s="17" t="str">
        <x:v>否</x:v>
      </x:c>
      <x:c r="M482" s="17" t="str">
        <x:v>否</x:v>
      </x:c>
      <x:c r="N482" s="17" t="str">
        <x:v>load_truncated_result</x:v>
      </x:c>
      <x:c r="O482" s="17" t="str">
        <x:v>sample_incomplete_requires_full_result</x:v>
      </x:c>
      <x:c r="P482" s="17" t="str">
        <x:v>session://financial_qa_33499cfa81de4d06_2815_8b6328cc7404/vars/v1</x:v>
      </x:c>
      <x:c r="Q482" s="17" t="str"/>
      <x:c r="R482" s="17" t="str"/>
      <x:c r="S482" s="17" t="str"/>
      <x:c r="T482" s="17" t="str"/>
      <x:c r="U482" s="17" t="str"/>
      <x:c r="V482" s="30"/>
      <x:c r="W482" s="17" t="str">
        <x:v>high</x:v>
      </x:c>
    </x:row>
    <x:row r="483" ht="54" customHeight="1">
      <x:c r="A483" s="17" t="str">
        <x:v>BUS120</x:v>
      </x:c>
      <x:c r="B483" s="17" t="str">
        <x:v>筛选半导体行业中今天涨幅最高的前10只股票。</x:v>
      </x:c>
      <x:c r="C483" s="17" t="n">
        <x:v>6</x:v>
      </x:c>
      <x:c r="D483" s="17" t="str"/>
      <x:c r="E483" s="17" t="str">
        <x:v>工具调用</x:v>
      </x:c>
      <x:c r="F483" s="17" t="str">
        <x:v>finance_query</x:v>
      </x:c>
      <x:c r="G483" s="17" t="str">
        <x:v>r2 = industry.basic_info(filter = "level3_industry_name = '半导体'", limit = 10) -&gt; industry_code, industry_name, level, level1_industry_name, level2_industry_name, level3_industry_name</x:v>
      </x:c>
      <x:c r="H483" s="17" t="str"/>
      <x:c r="I483" s="17" t="str">
        <x:v>合理操作</x:v>
      </x:c>
      <x:c r="J483" s="17" t="str">
        <x:v>是</x:v>
      </x:c>
      <x:c r="K483" s="18"/>
      <x:c r="L483" s="17" t="str">
        <x:v>否</x:v>
      </x:c>
      <x:c r="M483" s="17" t="str">
        <x:v>否</x:v>
      </x:c>
      <x:c r="N483" s="17" t="str">
        <x:v>same_subject_dependency</x:v>
      </x:c>
      <x:c r="O483" s="17" t="str">
        <x:v>supporting_api_for_expected_subject</x:v>
      </x:c>
      <x:c r="P483" s="17" t="str">
        <x:v>session://financial_qa_33499cfa81de4d06_2815_8b6328cc7404/vars/v2</x:v>
      </x:c>
      <x:c r="Q483" s="17" t="str"/>
      <x:c r="R483" s="17" t="str">
        <x:v>industry.basic_info</x:v>
      </x:c>
      <x:c r="S483" s="17" t="str"/>
      <x:c r="T483" s="17" t="str"/>
      <x:c r="U483" s="17" t="str">
        <x:v>r2</x:v>
      </x:c>
      <x:c r="V483" s="30" t="n">
        <x:v>0</x:v>
      </x:c>
      <x:c r="W483" s="17" t="str">
        <x:v>medium</x:v>
      </x:c>
    </x:row>
    <x:row r="484" ht="54" customHeight="1">
      <x:c r="A484" s="17" t="str">
        <x:v>BUS120</x:v>
      </x:c>
      <x:c r="B484" s="17" t="str">
        <x:v>筛选半导体行业中今天涨幅最高的前10只股票。</x:v>
      </x:c>
      <x:c r="C484" s="17" t="n">
        <x:v>7</x:v>
      </x:c>
      <x:c r="D484" s="17" t="str"/>
      <x:c r="E484" s="17" t="str">
        <x:v>工具调用</x:v>
      </x:c>
      <x:c r="F484" s="17" t="str">
        <x:v>finance_query</x:v>
      </x:c>
      <x:c r="G484" s="17" t="str">
        <x:v>r3 = industry.basic_info(filter = "industry_name = '半导体'", limit = 10) -&gt; industry_code, industry_name, level, level1_industry_name, level2_industry_name, level3_industry_name</x:v>
      </x:c>
      <x:c r="H484" s="17" t="str"/>
      <x:c r="I484" s="17" t="str">
        <x:v>设计浪费</x:v>
      </x:c>
      <x:c r="J484" s="17" t="str">
        <x:v>否</x:v>
      </x:c>
      <x:c r="K484" s="18"/>
      <x:c r="L484" s="17" t="str">
        <x:v>否</x:v>
      </x:c>
      <x:c r="M484" s="17" t="str">
        <x:v>否</x:v>
      </x:c>
      <x:c r="N484" s="17" t="str">
        <x:v>execution_error</x:v>
      </x:c>
      <x:c r="O484" s="17" t="str">
        <x:v>query_execution_error</x:v>
      </x:c>
      <x:c r="P484" s="17" t="str"/>
      <x:c r="Q484" s="17" t="str"/>
      <x:c r="R484" s="17" t="str">
        <x:v>industry.basic_info</x:v>
      </x:c>
      <x:c r="S484" s="17" t="str"/>
      <x:c r="T484" s="17" t="str"/>
      <x:c r="U484" s="17" t="str">
        <x:v>r3</x:v>
      </x:c>
      <x:c r="V484" s="30"/>
      <x:c r="W484" s="17" t="str">
        <x:v>high</x:v>
      </x:c>
    </x:row>
    <x:row r="485" ht="54" customHeight="1">
      <x:c r="A485" s="17" t="str">
        <x:v>BUS120</x:v>
      </x:c>
      <x:c r="B485" s="17" t="str">
        <x:v>筛选半导体行业中今天涨幅最高的前10只股票。</x:v>
      </x:c>
      <x:c r="C485" s="17" t="n">
        <x:v>8</x:v>
      </x:c>
      <x:c r="D485" s="17" t="str"/>
      <x:c r="E485" s="17" t="str">
        <x:v>工具调用</x:v>
      </x:c>
      <x:c r="F485" s="17" t="str">
        <x:v>finance_query</x:v>
      </x:c>
      <x:c r="G485" s="17" t="str">
        <x:v>r3 = industry.basic_info(filter = "level1_industry_name = '电子'", limit = 50) -&gt; industry_code, industry_name, level, level1_industry_name, level2_industry_name, level3_industry_name</x:v>
      </x:c>
      <x:c r="H485" s="17" t="str"/>
      <x:c r="I485" s="17" t="str">
        <x:v>可解释探索</x:v>
      </x:c>
      <x:c r="J485" s="17" t="str">
        <x:v>是</x:v>
      </x:c>
      <x:c r="K485" s="18"/>
      <x:c r="L485" s="17" t="str">
        <x:v>否</x:v>
      </x:c>
      <x:c r="M485" s="17" t="str">
        <x:v>否</x:v>
      </x:c>
      <x:c r="N485" s="17" t="str">
        <x:v>changed_query_after_failure</x:v>
      </x:c>
      <x:c r="O485" s="17" t="str">
        <x:v>successful_same_api_recovery</x:v>
      </x:c>
      <x:c r="P485" s="17" t="str">
        <x:v>session://financial_qa_33499cfa81de4d06_2815_8b6328cc7404/vars/v3</x:v>
      </x:c>
      <x:c r="Q485" s="17" t="str"/>
      <x:c r="R485" s="17" t="str">
        <x:v>industry.basic_info</x:v>
      </x:c>
      <x:c r="S485" s="17" t="str"/>
      <x:c r="T485" s="17" t="str"/>
      <x:c r="U485" s="17" t="str">
        <x:v>r3</x:v>
      </x:c>
      <x:c r="V485" s="30" t="n">
        <x:v>23</x:v>
      </x:c>
      <x:c r="W485" s="17" t="str">
        <x:v>medium</x:v>
      </x:c>
    </x:row>
    <x:row r="486" ht="54" customHeight="1">
      <x:c r="A486" s="17" t="str">
        <x:v>BUS120</x:v>
      </x:c>
      <x:c r="B486" s="17" t="str">
        <x:v>筛选半导体行业中今天涨幅最高的前10只股票。</x:v>
      </x:c>
      <x:c r="C486" s="17" t="n">
        <x:v>9</x:v>
      </x:c>
      <x:c r="D486" s="17" t="str"/>
      <x:c r="E486" s="17" t="str">
        <x:v>工具调用</x:v>
      </x:c>
      <x:c r="F486" s="17" t="str">
        <x:v>finance_query</x:v>
      </x:c>
      <x:c r="G486" s="17" t="str">
        <x:v>r4 = industry.constitution(filter = "industry_code = 270100", limit = -1) -&gt; industry_code, industry_name, stock_code, stock_name</x:v>
      </x:c>
      <x:c r="H486" s="17" t="str"/>
      <x:c r="I486" s="17" t="str">
        <x:v>合理操作</x:v>
      </x:c>
      <x:c r="J486" s="17" t="str">
        <x:v>是</x:v>
      </x:c>
      <x:c r="K486" s="18"/>
      <x:c r="L486" s="17" t="str">
        <x:v>否</x:v>
      </x:c>
      <x:c r="M486" s="17" t="str">
        <x:v>否</x:v>
      </x:c>
      <x:c r="N486" s="17" t="str">
        <x:v>target_api_executed</x:v>
      </x:c>
      <x:c r="O486" s="17" t="str">
        <x:v>expected_dataview_coverage</x:v>
      </x:c>
      <x:c r="P486" s="17" t="str">
        <x:v>session://financial_qa_33499cfa81de4d06_2815_8b6328cc7404/vars/v4</x:v>
      </x:c>
      <x:c r="Q486" s="17" t="str"/>
      <x:c r="R486" s="17" t="str">
        <x:v>industry.constitution</x:v>
      </x:c>
      <x:c r="S486" s="17" t="str"/>
      <x:c r="T486" s="17" t="str"/>
      <x:c r="U486" s="17" t="str">
        <x:v>r4</x:v>
      </x:c>
      <x:c r="V486" s="30" t="n">
        <x:v>74</x:v>
      </x:c>
      <x:c r="W486" s="17" t="str">
        <x:v>high</x:v>
      </x:c>
    </x:row>
    <x:row r="487" ht="54" customHeight="1">
      <x:c r="A487" s="17" t="str">
        <x:v>BUS120</x:v>
      </x:c>
      <x:c r="B487" s="17" t="str">
        <x:v>筛选半导体行业中今天涨幅最高的前10只股票。</x:v>
      </x:c>
      <x:c r="C487" s="17" t="n">
        <x:v>10</x:v>
      </x:c>
      <x:c r="D487" s="17" t="str"/>
      <x:c r="E487" s="17" t="str">
        <x:v>工具调用</x:v>
      </x:c>
      <x:c r="F487" s="17" t="str">
        <x:v>finance_query</x:v>
      </x:c>
      <x:c r="G487" s="17" t="str">
        <x:v>r5 = stock.quote(filter = "stock_code in r4.stock_code and tradedate = -1", order = "pct desc", limit = 10, realtime = 0) -&gt; code, name, tradedate, close, pct, amount</x:v>
      </x:c>
      <x:c r="H487" s="17" t="str"/>
      <x:c r="I487" s="17" t="str">
        <x:v>合理操作</x:v>
      </x:c>
      <x:c r="J487" s="17" t="str">
        <x:v>是</x:v>
      </x:c>
      <x:c r="K487" s="18"/>
      <x:c r="L487" s="17" t="str">
        <x:v>否</x:v>
      </x:c>
      <x:c r="M487" s="17" t="str">
        <x:v>否</x:v>
      </x:c>
      <x:c r="N487" s="17" t="str">
        <x:v>cross_subject_dependency</x:v>
      </x:c>
      <x:c r="O487" s="17" t="str">
        <x:v>supporting_api_relevance_requires_semantic_review</x:v>
      </x:c>
      <x:c r="P487" s="17" t="str">
        <x:v>session://financial_qa_33499cfa81de4d06_2815_8b6328cc7404/vars/v5</x:v>
      </x:c>
      <x:c r="Q487" s="17" t="str"/>
      <x:c r="R487" s="17" t="str">
        <x:v>stock.quote</x:v>
      </x:c>
      <x:c r="S487" s="17" t="str"/>
      <x:c r="T487" s="17" t="str"/>
      <x:c r="U487" s="17" t="str">
        <x:v>r5</x:v>
      </x:c>
      <x:c r="V487" s="30" t="n">
        <x:v>10</x:v>
      </x:c>
      <x:c r="W487" s="17" t="str">
        <x:v>low</x:v>
      </x:c>
    </x:row>
    <x:row r="488" ht="54" customHeight="1">
      <x:c r="A488" s="17" t="str">
        <x:v>BUS120</x:v>
      </x:c>
      <x:c r="B488" s="17" t="str">
        <x:v>筛选半导体行业中今天涨幅最高的前10只股票。</x:v>
      </x:c>
      <x:c r="C488" s="17" t="n">
        <x:v>11</x:v>
      </x:c>
      <x:c r="D488" s="17" t="str"/>
      <x:c r="E488" s="17" t="str">
        <x:v>工具调用</x:v>
      </x:c>
      <x:c r="F488" s="17" t="str">
        <x:v>load_finance_result</x:v>
      </x:c>
      <x:c r="G488" s="17" t="str"/>
      <x:c r="H488" s="17" t="str"/>
      <x:c r="I488" s="17" t="str">
        <x:v>合理操作</x:v>
      </x:c>
      <x:c r="J488" s="17" t="str">
        <x:v>是</x:v>
      </x:c>
      <x:c r="K488" s="18"/>
      <x:c r="L488" s="17" t="str">
        <x:v>否</x:v>
      </x:c>
      <x:c r="M488" s="17" t="str">
        <x:v>否</x:v>
      </x:c>
      <x:c r="N488" s="17" t="str">
        <x:v>load_truncated_result</x:v>
      </x:c>
      <x:c r="O488" s="17" t="str">
        <x:v>sample_incomplete_requires_full_result</x:v>
      </x:c>
      <x:c r="P488" s="17" t="str">
        <x:v>session://financial_qa_33499cfa81de4d06_2815_8b6328cc7404/vars/v5</x:v>
      </x:c>
      <x:c r="Q488" s="17" t="str"/>
      <x:c r="R488" s="17" t="str"/>
      <x:c r="S488" s="17" t="str"/>
      <x:c r="T488" s="17" t="str"/>
      <x:c r="U488" s="17" t="str"/>
      <x:c r="V488" s="30"/>
      <x:c r="W488" s="17" t="str">
        <x:v>high</x:v>
      </x:c>
    </x:row>
    <x:row r="489" ht="54" customHeight="1">
      <x:c r="A489" s="17" t="str">
        <x:v>BUS121</x:v>
      </x:c>
      <x:c r="B489" s="17" t="str">
        <x:v>统计白酒行业成分股最新PE_TTM均值和最高市值股票。</x:v>
      </x:c>
      <x:c r="C489" s="17" t="n">
        <x:v>1</x:v>
      </x:c>
      <x:c r="D489" s="17" t="str"/>
      <x:c r="E489" s="17" t="str">
        <x:v>工具调用</x:v>
      </x:c>
      <x:c r="F489" s="17" t="str">
        <x:v>read_finance_catalog</x:v>
      </x:c>
      <x:c r="G489" s="17" t="str"/>
      <x:c r="H489" s="17" t="str"/>
      <x:c r="I489" s="17" t="str">
        <x:v>合理操作</x:v>
      </x:c>
      <x:c r="J489" s="17" t="str">
        <x:v>是</x:v>
      </x:c>
      <x:c r="K489" s="18"/>
      <x:c r="L489" s="17" t="str">
        <x:v>否</x:v>
      </x:c>
      <x:c r="M489" s="17" t="str">
        <x:v>否</x:v>
      </x:c>
      <x:c r="N489" s="17" t="str">
        <x:v>target_catalog_located</x:v>
      </x:c>
      <x:c r="O489" s="17" t="str">
        <x:v>expected_dataview_catalog</x:v>
      </x:c>
      <x:c r="P489" s="17" t="str"/>
      <x:c r="Q489" s="17" t="str"/>
      <x:c r="R489" s="17" t="str"/>
      <x:c r="S489" s="17" t="str">
        <x:v>industry</x:v>
      </x:c>
      <x:c r="T489" s="17" t="str">
        <x:v>constitution</x:v>
      </x:c>
      <x:c r="U489" s="17" t="str"/>
      <x:c r="V489" s="30"/>
      <x:c r="W489" s="17" t="str">
        <x:v>high</x:v>
      </x:c>
    </x:row>
    <x:row r="490" ht="54" customHeight="1">
      <x:c r="A490" s="17" t="str">
        <x:v>BUS121</x:v>
      </x:c>
      <x:c r="B490" s="17" t="str">
        <x:v>统计白酒行业成分股最新PE_TTM均值和最高市值股票。</x:v>
      </x:c>
      <x:c r="C490" s="17" t="n">
        <x:v>2</x:v>
      </x:c>
      <x:c r="D490" s="17" t="str"/>
      <x:c r="E490" s="17" t="str">
        <x:v>工具调用</x:v>
      </x:c>
      <x:c r="F490" s="17" t="str">
        <x:v>read_finance_catalog</x:v>
      </x:c>
      <x:c r="G490" s="17" t="str"/>
      <x:c r="H490" s="17" t="str"/>
      <x:c r="I490" s="17" t="str">
        <x:v>合理操作</x:v>
      </x:c>
      <x:c r="J490" s="17" t="str">
        <x:v>是</x:v>
      </x:c>
      <x:c r="K490" s="18"/>
      <x:c r="L490" s="17" t="str">
        <x:v>否</x:v>
      </x:c>
      <x:c r="M490" s="17" t="str">
        <x:v>否</x:v>
      </x:c>
      <x:c r="N490" s="17" t="str">
        <x:v>target_catalog_located</x:v>
      </x:c>
      <x:c r="O490" s="17" t="str">
        <x:v>expected_dataview_catalog</x:v>
      </x:c>
      <x:c r="P490" s="17" t="str"/>
      <x:c r="Q490" s="17" t="str"/>
      <x:c r="R490" s="17" t="str"/>
      <x:c r="S490" s="17" t="str">
        <x:v>stock</x:v>
      </x:c>
      <x:c r="T490" s="17" t="str">
        <x:v>pricevalue</x:v>
      </x:c>
      <x:c r="U490" s="17" t="str"/>
      <x:c r="V490" s="30"/>
      <x:c r="W490" s="17" t="str">
        <x:v>high</x:v>
      </x:c>
    </x:row>
    <x:row r="491" ht="54" customHeight="1">
      <x:c r="A491" s="17" t="str">
        <x:v>BUS121</x:v>
      </x:c>
      <x:c r="B491" s="17" t="str">
        <x:v>统计白酒行业成分股最新PE_TTM均值和最高市值股票。</x:v>
      </x:c>
      <x:c r="C491" s="17" t="n">
        <x:v>3</x:v>
      </x:c>
      <x:c r="D491" s="17" t="str"/>
      <x:c r="E491" s="17" t="str">
        <x:v>工具调用</x:v>
      </x:c>
      <x:c r="F491" s="17" t="str">
        <x:v>finance_query</x:v>
      </x:c>
      <x:c r="G491" s="17" t="str">
        <x:v>r1 = industry.constitution(filter = "industry_name = 白酒", limit = -1) -&gt; industry_code, industry_name, stock_code, stock_name</x:v>
      </x:c>
      <x:c r="H491" s="17" t="str"/>
      <x:c r="I491" s="17" t="str">
        <x:v>合理操作</x:v>
      </x:c>
      <x:c r="J491" s="17" t="str">
        <x:v>是</x:v>
      </x:c>
      <x:c r="K491" s="18"/>
      <x:c r="L491" s="17" t="str">
        <x:v>否</x:v>
      </x:c>
      <x:c r="M491" s="17" t="str">
        <x:v>否</x:v>
      </x:c>
      <x:c r="N491" s="17" t="str">
        <x:v>target_api_executed</x:v>
      </x:c>
      <x:c r="O491" s="17" t="str">
        <x:v>expected_dataview_coverage</x:v>
      </x:c>
      <x:c r="P491" s="17" t="str">
        <x:v>session://financial_qa_33499cfa81de4d06_2816_1569c8ed69fd/vars/v1</x:v>
      </x:c>
      <x:c r="Q491" s="17" t="str"/>
      <x:c r="R491" s="17" t="str">
        <x:v>industry.constitution</x:v>
      </x:c>
      <x:c r="S491" s="17" t="str"/>
      <x:c r="T491" s="17" t="str"/>
      <x:c r="U491" s="17" t="str">
        <x:v>r1</x:v>
      </x:c>
      <x:c r="V491" s="30" t="n">
        <x:v>0</x:v>
      </x:c>
      <x:c r="W491" s="17" t="str">
        <x:v>high</x:v>
      </x:c>
    </x:row>
    <x:row r="492" ht="54" customHeight="1">
      <x:c r="A492" s="17" t="str">
        <x:v>BUS121</x:v>
      </x:c>
      <x:c r="B492" s="17" t="str">
        <x:v>统计白酒行业成分股最新PE_TTM均值和最高市值股票。</x:v>
      </x:c>
      <x:c r="C492" s="17" t="n">
        <x:v>4</x:v>
      </x:c>
      <x:c r="D492" s="17" t="str"/>
      <x:c r="E492" s="17" t="str">
        <x:v>工具调用</x:v>
      </x:c>
      <x:c r="F492" s="17" t="str">
        <x:v>finance_query</x:v>
      </x:c>
      <x:c r="G492" s="17" t="str">
        <x:v>r2 = industry.constitution.agg(filter = "industry_name = 白酒", agg = avg(stock.pricevalue.pe_ttm), group_by = "industry_code, industry_name", realtime = 0) -&gt; industry_code, industry_name, avg_pe_ttm</x:v>
      </x:c>
      <x:c r="H492" s="17" t="str"/>
      <x:c r="I492" s="17" t="str">
        <x:v>合理操作</x:v>
      </x:c>
      <x:c r="J492" s="17" t="str">
        <x:v>是</x:v>
      </x:c>
      <x:c r="K492" s="18"/>
      <x:c r="L492" s="17" t="str">
        <x:v>否</x:v>
      </x:c>
      <x:c r="M492" s="17" t="str">
        <x:v>否</x:v>
      </x:c>
      <x:c r="N492" s="17" t="str">
        <x:v>target_api_executed</x:v>
      </x:c>
      <x:c r="O492" s="17" t="str">
        <x:v>expected_dataview_coverage</x:v>
      </x:c>
      <x:c r="P492" s="17" t="str">
        <x:v>session://financial_qa_33499cfa81de4d06_2816_1569c8ed69fd/vars/v2</x:v>
      </x:c>
      <x:c r="Q492" s="17" t="str"/>
      <x:c r="R492" s="17" t="str">
        <x:v>industry.constitution.agg</x:v>
      </x:c>
      <x:c r="S492" s="17" t="str"/>
      <x:c r="T492" s="17" t="str"/>
      <x:c r="U492" s="17" t="str">
        <x:v>r2</x:v>
      </x:c>
      <x:c r="V492" s="30" t="n">
        <x:v>0</x:v>
      </x:c>
      <x:c r="W492" s="17" t="str">
        <x:v>high</x:v>
      </x:c>
    </x:row>
    <x:row r="493" ht="54" customHeight="1">
      <x:c r="A493" s="17" t="str">
        <x:v>BUS121</x:v>
      </x:c>
      <x:c r="B493" s="17" t="str">
        <x:v>统计白酒行业成分股最新PE_TTM均值和最高市值股票。</x:v>
      </x:c>
      <x:c r="C493" s="17" t="n">
        <x:v>5</x:v>
      </x:c>
      <x:c r="D493" s="17" t="str"/>
      <x:c r="E493" s="17" t="str">
        <x:v>工具调用</x:v>
      </x:c>
      <x:c r="F493" s="17" t="str">
        <x:v>finance_query</x:v>
      </x:c>
      <x:c r="G493" s="17" t="str">
        <x:v>r3 = stock.pricevalue(filter = "code in r1.stock_code", order = "market_value desc", limit = 1, realtime = 0) -&gt; code, name, market_value, pe_ttm</x:v>
      </x:c>
      <x:c r="H493" s="17" t="str"/>
      <x:c r="I493" s="17" t="str">
        <x:v>合理操作</x:v>
      </x:c>
      <x:c r="J493" s="17" t="str">
        <x:v>是</x:v>
      </x:c>
      <x:c r="K493" s="18"/>
      <x:c r="L493" s="17" t="str">
        <x:v>否</x:v>
      </x:c>
      <x:c r="M493" s="17" t="str">
        <x:v>否</x:v>
      </x:c>
      <x:c r="N493" s="17" t="str">
        <x:v>target_api_executed</x:v>
      </x:c>
      <x:c r="O493" s="17" t="str">
        <x:v>expected_dataview_coverage</x:v>
      </x:c>
      <x:c r="P493" s="17" t="str">
        <x:v>session://financial_qa_33499cfa81de4d06_2816_1569c8ed69fd/vars/v3</x:v>
      </x:c>
      <x:c r="Q493" s="17" t="str"/>
      <x:c r="R493" s="17" t="str">
        <x:v>stock.pricevalue</x:v>
      </x:c>
      <x:c r="S493" s="17" t="str"/>
      <x:c r="T493" s="17" t="str"/>
      <x:c r="U493" s="17" t="str">
        <x:v>r3</x:v>
      </x:c>
      <x:c r="V493" s="30" t="n">
        <x:v>0</x:v>
      </x:c>
      <x:c r="W493" s="17" t="str">
        <x:v>high</x:v>
      </x:c>
    </x:row>
    <x:row r="494" ht="54" customHeight="1">
      <x:c r="A494" s="17" t="str">
        <x:v>BUS121</x:v>
      </x:c>
      <x:c r="B494" s="17" t="str">
        <x:v>统计白酒行业成分股最新PE_TTM均值和最高市值股票。</x:v>
      </x:c>
      <x:c r="C494" s="17" t="n">
        <x:v>6</x:v>
      </x:c>
      <x:c r="D494" s="17" t="str"/>
      <x:c r="E494" s="17" t="str">
        <x:v>工具调用</x:v>
      </x:c>
      <x:c r="F494" s="17" t="str">
        <x:v>read_finance_catalog</x:v>
      </x:c>
      <x:c r="G494" s="17" t="str"/>
      <x:c r="H494" s="17" t="str"/>
      <x:c r="I494" s="17" t="str">
        <x:v>合理操作</x:v>
      </x:c>
      <x:c r="J494" s="17" t="str">
        <x:v>是</x:v>
      </x:c>
      <x:c r="K494" s="18"/>
      <x:c r="L494" s="17" t="str">
        <x:v>否</x:v>
      </x:c>
      <x:c r="M494" s="17" t="str">
        <x:v>否</x:v>
      </x:c>
      <x:c r="N494" s="17" t="str">
        <x:v>target_catalog_located</x:v>
      </x:c>
      <x:c r="O494" s="17" t="str">
        <x:v>expected_dataview_catalog</x:v>
      </x:c>
      <x:c r="P494" s="17" t="str"/>
      <x:c r="Q494" s="17" t="str"/>
      <x:c r="R494" s="17" t="str"/>
      <x:c r="S494" s="17" t="str">
        <x:v>industry</x:v>
      </x:c>
      <x:c r="T494" s="17" t="str">
        <x:v>basic_info</x:v>
      </x:c>
      <x:c r="U494" s="17" t="str"/>
      <x:c r="V494" s="30"/>
      <x:c r="W494" s="17" t="str">
        <x:v>high</x:v>
      </x:c>
    </x:row>
    <x:row r="495" ht="54" customHeight="1">
      <x:c r="A495" s="17" t="str">
        <x:v>BUS121</x:v>
      </x:c>
      <x:c r="B495" s="17" t="str">
        <x:v>统计白酒行业成分股最新PE_TTM均值和最高市值股票。</x:v>
      </x:c>
      <x:c r="C495" s="17" t="n">
        <x:v>7</x:v>
      </x:c>
      <x:c r="D495" s="17" t="str"/>
      <x:c r="E495" s="17" t="str">
        <x:v>工具调用</x:v>
      </x:c>
      <x:c r="F495" s="17" t="str">
        <x:v>finance_query</x:v>
      </x:c>
      <x:c r="G495" s="17" t="str">
        <x:v>r4 = industry.basic_info(filter = "industry_name like %白酒%", limit = 10) -&gt; industry_code, industry_name, level, level1_industry_name, level2_industry_name, level3_industry_name</x:v>
      </x:c>
      <x:c r="H495" s="17" t="str"/>
      <x:c r="I495" s="17" t="str">
        <x:v>合理操作</x:v>
      </x:c>
      <x:c r="J495" s="17" t="str">
        <x:v>是</x:v>
      </x:c>
      <x:c r="K495" s="18"/>
      <x:c r="L495" s="17" t="str">
        <x:v>否</x:v>
      </x:c>
      <x:c r="M495" s="17" t="str">
        <x:v>否</x:v>
      </x:c>
      <x:c r="N495" s="17" t="str">
        <x:v>target_api_executed</x:v>
      </x:c>
      <x:c r="O495" s="17" t="str">
        <x:v>expected_dataview_coverage</x:v>
      </x:c>
      <x:c r="P495" s="17" t="str">
        <x:v>session://financial_qa_33499cfa81de4d06_2816_1569c8ed69fd/vars/v4</x:v>
      </x:c>
      <x:c r="Q495" s="17" t="str"/>
      <x:c r="R495" s="17" t="str">
        <x:v>industry.basic_info</x:v>
      </x:c>
      <x:c r="S495" s="17" t="str"/>
      <x:c r="T495" s="17" t="str"/>
      <x:c r="U495" s="17" t="str">
        <x:v>r4</x:v>
      </x:c>
      <x:c r="V495" s="30" t="n">
        <x:v>10</x:v>
      </x:c>
      <x:c r="W495" s="17" t="str">
        <x:v>high</x:v>
      </x:c>
    </x:row>
    <x:row r="496" ht="54" customHeight="1">
      <x:c r="A496" s="17" t="str">
        <x:v>BUS121</x:v>
      </x:c>
      <x:c r="B496" s="17" t="str">
        <x:v>统计白酒行业成分股最新PE_TTM均值和最高市值股票。</x:v>
      </x:c>
      <x:c r="C496" s="17" t="n">
        <x:v>8</x:v>
      </x:c>
      <x:c r="D496" s="17" t="str"/>
      <x:c r="E496" s="17" t="str">
        <x:v>工具调用</x:v>
      </x:c>
      <x:c r="F496" s="17" t="str">
        <x:v>load_finance_result</x:v>
      </x:c>
      <x:c r="G496" s="17" t="str"/>
      <x:c r="H496" s="17" t="str"/>
      <x:c r="I496" s="17" t="str">
        <x:v>合理操作</x:v>
      </x:c>
      <x:c r="J496" s="17" t="str">
        <x:v>是</x:v>
      </x:c>
      <x:c r="K496" s="18"/>
      <x:c r="L496" s="17" t="str">
        <x:v>否</x:v>
      </x:c>
      <x:c r="M496" s="17" t="str">
        <x:v>否</x:v>
      </x:c>
      <x:c r="N496" s="17" t="str">
        <x:v>load_truncated_result</x:v>
      </x:c>
      <x:c r="O496" s="17" t="str">
        <x:v>sample_incomplete_requires_full_result</x:v>
      </x:c>
      <x:c r="P496" s="17" t="str">
        <x:v>session://financial_qa_33499cfa81de4d06_2816_1569c8ed69fd/vars/v4</x:v>
      </x:c>
      <x:c r="Q496" s="17" t="str"/>
      <x:c r="R496" s="17" t="str"/>
      <x:c r="S496" s="17" t="str"/>
      <x:c r="T496" s="17" t="str"/>
      <x:c r="U496" s="17" t="str"/>
      <x:c r="V496" s="30"/>
      <x:c r="W496" s="17" t="str">
        <x:v>high</x:v>
      </x:c>
    </x:row>
    <x:row r="497" ht="54" customHeight="1">
      <x:c r="A497" s="17" t="str">
        <x:v>BUS121</x:v>
      </x:c>
      <x:c r="B497" s="17" t="str">
        <x:v>统计白酒行业成分股最新PE_TTM均值和最高市值股票。</x:v>
      </x:c>
      <x:c r="C497" s="17" t="n">
        <x:v>9</x:v>
      </x:c>
      <x:c r="D497" s="17" t="str"/>
      <x:c r="E497" s="17" t="str">
        <x:v>工具调用</x:v>
      </x:c>
      <x:c r="F497" s="17" t="str">
        <x:v>finance_query</x:v>
      </x:c>
      <x:c r="G497" s="17" t="str">
        <x:v>r5 = industry.basic_info(filter = "level3_industry_name like %白酒%", limit = 10) -&gt; industry_code, industry_name, level, level1_industry_name, level2_industry_name, level3_industry_name</x:v>
      </x:c>
      <x:c r="H497" s="17" t="str"/>
      <x:c r="I497" s="17" t="str">
        <x:v>合理操作</x:v>
      </x:c>
      <x:c r="J497" s="17" t="str">
        <x:v>是</x:v>
      </x:c>
      <x:c r="K497" s="18"/>
      <x:c r="L497" s="17" t="str">
        <x:v>否</x:v>
      </x:c>
      <x:c r="M497" s="17" t="str">
        <x:v>否</x:v>
      </x:c>
      <x:c r="N497" s="17" t="str">
        <x:v>target_api_executed</x:v>
      </x:c>
      <x:c r="O497" s="17" t="str">
        <x:v>expected_dataview_coverage</x:v>
      </x:c>
      <x:c r="P497" s="17" t="str">
        <x:v>session://financial_qa_33499cfa81de4d06_2816_1569c8ed69fd/vars/v5</x:v>
      </x:c>
      <x:c r="Q497" s="17" t="str"/>
      <x:c r="R497" s="17" t="str">
        <x:v>industry.basic_info</x:v>
      </x:c>
      <x:c r="S497" s="17" t="str"/>
      <x:c r="T497" s="17" t="str"/>
      <x:c r="U497" s="17" t="str">
        <x:v>r5</x:v>
      </x:c>
      <x:c r="V497" s="30" t="n">
        <x:v>10</x:v>
      </x:c>
      <x:c r="W497" s="17" t="str">
        <x:v>high</x:v>
      </x:c>
    </x:row>
    <x:row r="498" ht="54" customHeight="1">
      <x:c r="A498" s="17" t="str">
        <x:v>BUS121</x:v>
      </x:c>
      <x:c r="B498" s="17" t="str">
        <x:v>统计白酒行业成分股最新PE_TTM均值和最高市值股票。</x:v>
      </x:c>
      <x:c r="C498" s="17" t="n">
        <x:v>10</x:v>
      </x:c>
      <x:c r="D498" s="17" t="str"/>
      <x:c r="E498" s="17" t="str">
        <x:v>工具调用</x:v>
      </x:c>
      <x:c r="F498" s="17" t="str">
        <x:v>load_finance_result</x:v>
      </x:c>
      <x:c r="G498" s="17" t="str"/>
      <x:c r="H498" s="17" t="str"/>
      <x:c r="I498" s="17" t="str">
        <x:v>合理操作</x:v>
      </x:c>
      <x:c r="J498" s="17" t="str">
        <x:v>是</x:v>
      </x:c>
      <x:c r="K498" s="18"/>
      <x:c r="L498" s="17" t="str">
        <x:v>否</x:v>
      </x:c>
      <x:c r="M498" s="17" t="str">
        <x:v>否</x:v>
      </x:c>
      <x:c r="N498" s="17" t="str">
        <x:v>load_truncated_result</x:v>
      </x:c>
      <x:c r="O498" s="17" t="str">
        <x:v>sample_incomplete_requires_full_result</x:v>
      </x:c>
      <x:c r="P498" s="17" t="str">
        <x:v>session://financial_qa_33499cfa81de4d06_2816_1569c8ed69fd/vars/v5</x:v>
      </x:c>
      <x:c r="Q498" s="17" t="str"/>
      <x:c r="R498" s="17" t="str"/>
      <x:c r="S498" s="17" t="str"/>
      <x:c r="T498" s="17" t="str"/>
      <x:c r="U498" s="17" t="str"/>
      <x:c r="V498" s="30"/>
      <x:c r="W498" s="17" t="str">
        <x:v>high</x:v>
      </x:c>
    </x:row>
    <x:row r="499" ht="54" customHeight="1">
      <x:c r="A499" s="17" t="str">
        <x:v>BUS121</x:v>
      </x:c>
      <x:c r="B499" s="17" t="str">
        <x:v>统计白酒行业成分股最新PE_TTM均值和最高市值股票。</x:v>
      </x:c>
      <x:c r="C499" s="17" t="n">
        <x:v>11</x:v>
      </x:c>
      <x:c r="D499" s="17" t="str"/>
      <x:c r="E499" s="17" t="str">
        <x:v>工具调用</x:v>
      </x:c>
      <x:c r="F499" s="17" t="str">
        <x:v>finance_query</x:v>
      </x:c>
      <x:c r="G499" s="17" t="str">
        <x:v>r6 = industry.basic_info(filter = "level1_industry_name = 食品饮料", limit = 50) -&gt; industry_code, industry_name, level, level1_industry_name, level2_industry_name, level3_industry_name</x:v>
      </x:c>
      <x:c r="H499" s="17" t="str"/>
      <x:c r="I499" s="17" t="str">
        <x:v>合理操作</x:v>
      </x:c>
      <x:c r="J499" s="17" t="str">
        <x:v>是</x:v>
      </x:c>
      <x:c r="K499" s="18"/>
      <x:c r="L499" s="17" t="str">
        <x:v>否</x:v>
      </x:c>
      <x:c r="M499" s="17" t="str">
        <x:v>否</x:v>
      </x:c>
      <x:c r="N499" s="17" t="str">
        <x:v>target_api_executed</x:v>
      </x:c>
      <x:c r="O499" s="17" t="str">
        <x:v>expected_dataview_coverage</x:v>
      </x:c>
      <x:c r="P499" s="17" t="str">
        <x:v>session://financial_qa_33499cfa81de4d06_2816_1569c8ed69fd/vars/v6</x:v>
      </x:c>
      <x:c r="Q499" s="17" t="str"/>
      <x:c r="R499" s="17" t="str">
        <x:v>industry.basic_info</x:v>
      </x:c>
      <x:c r="S499" s="17" t="str"/>
      <x:c r="T499" s="17" t="str"/>
      <x:c r="U499" s="17" t="str">
        <x:v>r6</x:v>
      </x:c>
      <x:c r="V499" s="30" t="n">
        <x:v>20</x:v>
      </x:c>
      <x:c r="W499" s="17" t="str">
        <x:v>high</x:v>
      </x:c>
    </x:row>
    <x:row r="500" ht="54" customHeight="1">
      <x:c r="A500" s="17" t="str">
        <x:v>BUS121</x:v>
      </x:c>
      <x:c r="B500" s="17" t="str">
        <x:v>统计白酒行业成分股最新PE_TTM均值和最高市值股票。</x:v>
      </x:c>
      <x:c r="C500" s="17" t="n">
        <x:v>12</x:v>
      </x:c>
      <x:c r="D500" s="17" t="str"/>
      <x:c r="E500" s="17" t="str">
        <x:v>工具调用</x:v>
      </x:c>
      <x:c r="F500" s="17" t="str">
        <x:v>load_finance_result</x:v>
      </x:c>
      <x:c r="G500" s="17" t="str"/>
      <x:c r="H500" s="17" t="str"/>
      <x:c r="I500" s="17" t="str">
        <x:v>合理操作</x:v>
      </x:c>
      <x:c r="J500" s="17" t="str">
        <x:v>是</x:v>
      </x:c>
      <x:c r="K500" s="18"/>
      <x:c r="L500" s="17" t="str">
        <x:v>否</x:v>
      </x:c>
      <x:c r="M500" s="17" t="str">
        <x:v>否</x:v>
      </x:c>
      <x:c r="N500" s="17" t="str">
        <x:v>load_truncated_result</x:v>
      </x:c>
      <x:c r="O500" s="17" t="str">
        <x:v>sample_incomplete_requires_full_result</x:v>
      </x:c>
      <x:c r="P500" s="17" t="str">
        <x:v>session://financial_qa_33499cfa81de4d06_2816_1569c8ed69fd/vars/v6</x:v>
      </x:c>
      <x:c r="Q500" s="17" t="str"/>
      <x:c r="R500" s="17" t="str"/>
      <x:c r="S500" s="17" t="str"/>
      <x:c r="T500" s="17" t="str"/>
      <x:c r="U500" s="17" t="str"/>
      <x:c r="V500" s="30"/>
      <x:c r="W500" s="17" t="str">
        <x:v>high</x:v>
      </x:c>
    </x:row>
    <x:row r="501" ht="54" customHeight="1">
      <x:c r="A501" s="17" t="str">
        <x:v>BUS121</x:v>
      </x:c>
      <x:c r="B501" s="17" t="str">
        <x:v>统计白酒行业成分股最新PE_TTM均值和最高市值股票。</x:v>
      </x:c>
      <x:c r="C501" s="17" t="n">
        <x:v>13</x:v>
      </x:c>
      <x:c r="D501" s="17" t="str"/>
      <x:c r="E501" s="17" t="str">
        <x:v>工具调用</x:v>
      </x:c>
      <x:c r="F501" s="17" t="str">
        <x:v>finance_query</x:v>
      </x:c>
      <x:c r="G501" s="17" t="str">
        <x:v>r7 = industry.constitution(filter = "industry_name = 白酒Ⅲ", limit = -1) -&gt; industry_code, industry_name, stock_code, stock_name</x:v>
      </x:c>
      <x:c r="H501" s="17" t="str"/>
      <x:c r="I501" s="17" t="str">
        <x:v>设计浪费</x:v>
      </x:c>
      <x:c r="J501" s="17" t="str">
        <x:v>否</x:v>
      </x:c>
      <x:c r="K501" s="18"/>
      <x:c r="L501" s="17" t="str">
        <x:v>否</x:v>
      </x:c>
      <x:c r="M501" s="17" t="str">
        <x:v>否</x:v>
      </x:c>
      <x:c r="N501" s="17" t="str">
        <x:v>requery_after_terminal_zero</x:v>
      </x:c>
      <x:c r="O501" s="17" t="str">
        <x:v>terminal_zero_requery</x:v>
      </x:c>
      <x:c r="P501" s="17" t="str">
        <x:v>session://financial_qa_33499cfa81de4d06_2816_1569c8ed69fd/vars/v7</x:v>
      </x:c>
      <x:c r="Q501" s="17" t="str"/>
      <x:c r="R501" s="17" t="str">
        <x:v>industry.constitution</x:v>
      </x:c>
      <x:c r="S501" s="17" t="str"/>
      <x:c r="T501" s="17" t="str"/>
      <x:c r="U501" s="17" t="str">
        <x:v>r7</x:v>
      </x:c>
      <x:c r="V501" s="30" t="n">
        <x:v>19</x:v>
      </x:c>
      <x:c r="W501" s="17" t="str">
        <x:v>high</x:v>
      </x:c>
    </x:row>
    <x:row r="502" ht="54" customHeight="1">
      <x:c r="A502" s="17" t="str">
        <x:v>BUS121</x:v>
      </x:c>
      <x:c r="B502" s="17" t="str">
        <x:v>统计白酒行业成分股最新PE_TTM均值和最高市值股票。</x:v>
      </x:c>
      <x:c r="C502" s="17" t="n">
        <x:v>14</x:v>
      </x:c>
      <x:c r="D502" s="17" t="str"/>
      <x:c r="E502" s="17" t="str">
        <x:v>工具调用</x:v>
      </x:c>
      <x:c r="F502" s="17" t="str">
        <x:v>finance_query</x:v>
      </x:c>
      <x:c r="G502" s="17" t="str">
        <x:v>r8 = industry.constitution.agg(filter = "industry_name = 白酒Ⅲ", agg = avg(stock.pricevalue.pe_ttm), group_by = "industry_code, industry_name", realtime = 0) -&gt; industry_code, industry_name, avg_pe_ttm</x:v>
      </x:c>
      <x:c r="H502" s="17" t="str"/>
      <x:c r="I502" s="17" t="str">
        <x:v>设计浪费</x:v>
      </x:c>
      <x:c r="J502" s="17" t="str">
        <x:v>否</x:v>
      </x:c>
      <x:c r="K502" s="18"/>
      <x:c r="L502" s="17" t="str">
        <x:v>否</x:v>
      </x:c>
      <x:c r="M502" s="17" t="str">
        <x:v>否</x:v>
      </x:c>
      <x:c r="N502" s="17" t="str">
        <x:v>execution_error</x:v>
      </x:c>
      <x:c r="O502" s="17" t="str">
        <x:v>query_execution_error</x:v>
      </x:c>
      <x:c r="P502" s="17" t="str"/>
      <x:c r="Q502" s="17" t="str"/>
      <x:c r="R502" s="17" t="str">
        <x:v>industry.constitution.agg</x:v>
      </x:c>
      <x:c r="S502" s="17" t="str"/>
      <x:c r="T502" s="17" t="str"/>
      <x:c r="U502" s="17" t="str">
        <x:v>r8</x:v>
      </x:c>
      <x:c r="V502" s="30"/>
      <x:c r="W502" s="17" t="str">
        <x:v>high</x:v>
      </x:c>
    </x:row>
    <x:row r="503" ht="54" customHeight="1">
      <x:c r="A503" s="17" t="str">
        <x:v>BUS121</x:v>
      </x:c>
      <x:c r="B503" s="17" t="str">
        <x:v>统计白酒行业成分股最新PE_TTM均值和最高市值股票。</x:v>
      </x:c>
      <x:c r="C503" s="17" t="n">
        <x:v>15</x:v>
      </x:c>
      <x:c r="D503" s="17" t="str"/>
      <x:c r="E503" s="17" t="str">
        <x:v>工具调用</x:v>
      </x:c>
      <x:c r="F503" s="17" t="str">
        <x:v>load_finance_result</x:v>
      </x:c>
      <x:c r="G503" s="17" t="str"/>
      <x:c r="H503" s="17" t="str"/>
      <x:c r="I503" s="17" t="str">
        <x:v>合理操作</x:v>
      </x:c>
      <x:c r="J503" s="17" t="str">
        <x:v>是</x:v>
      </x:c>
      <x:c r="K503" s="18"/>
      <x:c r="L503" s="17" t="str">
        <x:v>否</x:v>
      </x:c>
      <x:c r="M503" s="17" t="str">
        <x:v>否</x:v>
      </x:c>
      <x:c r="N503" s="17" t="str">
        <x:v>load_truncated_result</x:v>
      </x:c>
      <x:c r="O503" s="17" t="str">
        <x:v>sample_incomplete_requires_full_result</x:v>
      </x:c>
      <x:c r="P503" s="17" t="str">
        <x:v>session://financial_qa_33499cfa81de4d06_2816_1569c8ed69fd/vars/v7</x:v>
      </x:c>
      <x:c r="Q503" s="17" t="str"/>
      <x:c r="R503" s="17" t="str"/>
      <x:c r="S503" s="17" t="str"/>
      <x:c r="T503" s="17" t="str"/>
      <x:c r="U503" s="17" t="str"/>
      <x:c r="V503" s="30"/>
      <x:c r="W503" s="17" t="str">
        <x:v>high</x:v>
      </x:c>
    </x:row>
    <x:row r="504" ht="54" customHeight="1">
      <x:c r="A504" s="17" t="str">
        <x:v>BUS121</x:v>
      </x:c>
      <x:c r="B504" s="17" t="str">
        <x:v>统计白酒行业成分股最新PE_TTM均值和最高市值股票。</x:v>
      </x:c>
      <x:c r="C504" s="17" t="n">
        <x:v>16</x:v>
      </x:c>
      <x:c r="D504" s="17" t="str"/>
      <x:c r="E504" s="17" t="str">
        <x:v>工具调用</x:v>
      </x:c>
      <x:c r="F504" s="17" t="str">
        <x:v>finance_query</x:v>
      </x:c>
      <x:c r="G504" s="17" t="str">
        <x:v>r8 = stock.pricevalue(filter = "code in r7.stock_code", order = "code asc", limit = 20, realtime = 0) -&gt; code, name, pe_ttm, market_value</x:v>
      </x:c>
      <x:c r="H504" s="17" t="str"/>
      <x:c r="I504" s="17" t="str">
        <x:v>设计浪费</x:v>
      </x:c>
      <x:c r="J504" s="17" t="str">
        <x:v>否</x:v>
      </x:c>
      <x:c r="K504" s="18"/>
      <x:c r="L504" s="17" t="str">
        <x:v>否</x:v>
      </x:c>
      <x:c r="M504" s="17" t="str">
        <x:v>否</x:v>
      </x:c>
      <x:c r="N504" s="17" t="str">
        <x:v>requery_after_terminal_zero</x:v>
      </x:c>
      <x:c r="O504" s="17" t="str">
        <x:v>terminal_zero_requery</x:v>
      </x:c>
      <x:c r="P504" s="17" t="str">
        <x:v>session://financial_qa_33499cfa81de4d06_2816_1569c8ed69fd/vars/v8</x:v>
      </x:c>
      <x:c r="Q504" s="17" t="str"/>
      <x:c r="R504" s="17" t="str">
        <x:v>stock.pricevalue</x:v>
      </x:c>
      <x:c r="S504" s="17" t="str"/>
      <x:c r="T504" s="17" t="str"/>
      <x:c r="U504" s="17" t="str">
        <x:v>r8</x:v>
      </x:c>
      <x:c r="V504" s="30" t="n">
        <x:v>19</x:v>
      </x:c>
      <x:c r="W504" s="17" t="str">
        <x:v>high</x:v>
      </x:c>
    </x:row>
    <x:row r="505" ht="54" customHeight="1">
      <x:c r="A505" s="17" t="str">
        <x:v>BUS121</x:v>
      </x:c>
      <x:c r="B505" s="17" t="str">
        <x:v>统计白酒行业成分股最新PE_TTM均值和最高市值股票。</x:v>
      </x:c>
      <x:c r="C505" s="17" t="n">
        <x:v>17</x:v>
      </x:c>
      <x:c r="D505" s="17" t="str"/>
      <x:c r="E505" s="17" t="str">
        <x:v>工具调用</x:v>
      </x:c>
      <x:c r="F505" s="17" t="str">
        <x:v>load_finance_result</x:v>
      </x:c>
      <x:c r="G505" s="17" t="str"/>
      <x:c r="H505" s="17" t="str"/>
      <x:c r="I505" s="17" t="str">
        <x:v>合理操作</x:v>
      </x:c>
      <x:c r="J505" s="17" t="str">
        <x:v>是</x:v>
      </x:c>
      <x:c r="K505" s="18"/>
      <x:c r="L505" s="17" t="str">
        <x:v>否</x:v>
      </x:c>
      <x:c r="M505" s="17" t="str">
        <x:v>否</x:v>
      </x:c>
      <x:c r="N505" s="17" t="str">
        <x:v>load_truncated_result</x:v>
      </x:c>
      <x:c r="O505" s="17" t="str">
        <x:v>sample_incomplete_requires_full_result</x:v>
      </x:c>
      <x:c r="P505" s="17" t="str">
        <x:v>session://financial_qa_33499cfa81de4d06_2816_1569c8ed69fd/vars/v8</x:v>
      </x:c>
      <x:c r="Q505" s="17" t="str"/>
      <x:c r="R505" s="17" t="str"/>
      <x:c r="S505" s="17" t="str"/>
      <x:c r="T505" s="17" t="str"/>
      <x:c r="U505" s="17" t="str"/>
      <x:c r="V505" s="30"/>
      <x:c r="W505" s="17" t="str">
        <x:v>high</x:v>
      </x:c>
    </x:row>
    <x:row r="506" ht="54" customHeight="1">
      <x:c r="A506" s="17" t="str">
        <x:v>BUS122</x:v>
      </x:c>
      <x:c r="B506" s="17" t="str">
        <x:v>查询电子行业成分股中近5日主力净流入最高的前10只股票。</x:v>
      </x:c>
      <x:c r="C506" s="17" t="n">
        <x:v>1</x:v>
      </x:c>
      <x:c r="D506" s="17" t="str"/>
      <x:c r="E506" s="17" t="str">
        <x:v>工具调用</x:v>
      </x:c>
      <x:c r="F506" s="17" t="str">
        <x:v>read_finance_catalog</x:v>
      </x:c>
      <x:c r="G506" s="17" t="str"/>
      <x:c r="H506" s="17" t="str"/>
      <x:c r="I506" s="17" t="str">
        <x:v>合理操作</x:v>
      </x:c>
      <x:c r="J506" s="17" t="str">
        <x:v>是</x:v>
      </x:c>
      <x:c r="K506" s="18"/>
      <x:c r="L506" s="17" t="str">
        <x:v>否</x:v>
      </x:c>
      <x:c r="M506" s="17" t="str">
        <x:v>否</x:v>
      </x:c>
      <x:c r="N506" s="17" t="str">
        <x:v>target_catalog_located</x:v>
      </x:c>
      <x:c r="O506" s="17" t="str">
        <x:v>expected_dataview_catalog</x:v>
      </x:c>
      <x:c r="P506" s="17" t="str"/>
      <x:c r="Q506" s="17" t="str"/>
      <x:c r="R506" s="17" t="str"/>
      <x:c r="S506" s="17" t="str">
        <x:v>industry</x:v>
      </x:c>
      <x:c r="T506" s="17" t="str">
        <x:v>constitution</x:v>
      </x:c>
      <x:c r="U506" s="17" t="str"/>
      <x:c r="V506" s="30"/>
      <x:c r="W506" s="17" t="str">
        <x:v>high</x:v>
      </x:c>
    </x:row>
    <x:row r="507" ht="54" customHeight="1">
      <x:c r="A507" s="17" t="str">
        <x:v>BUS122</x:v>
      </x:c>
      <x:c r="B507" s="17" t="str">
        <x:v>查询电子行业成分股中近5日主力净流入最高的前10只股票。</x:v>
      </x:c>
      <x:c r="C507" s="17" t="n">
        <x:v>2</x:v>
      </x:c>
      <x:c r="D507" s="17" t="str"/>
      <x:c r="E507" s="17" t="str">
        <x:v>工具调用</x:v>
      </x:c>
      <x:c r="F507" s="17" t="str">
        <x:v>read_finance_catalog</x:v>
      </x:c>
      <x:c r="G507" s="17" t="str"/>
      <x:c r="H507" s="17" t="str"/>
      <x:c r="I507" s="17" t="str">
        <x:v>合理操作</x:v>
      </x:c>
      <x:c r="J507" s="17" t="str">
        <x:v>是</x:v>
      </x:c>
      <x:c r="K507" s="18"/>
      <x:c r="L507" s="17" t="str">
        <x:v>否</x:v>
      </x:c>
      <x:c r="M507" s="17" t="str">
        <x:v>否</x:v>
      </x:c>
      <x:c r="N507" s="17" t="str">
        <x:v>target_catalog_located</x:v>
      </x:c>
      <x:c r="O507" s="17" t="str">
        <x:v>expected_dataview_catalog</x:v>
      </x:c>
      <x:c r="P507" s="17" t="str"/>
      <x:c r="Q507" s="17" t="str"/>
      <x:c r="R507" s="17" t="str"/>
      <x:c r="S507" s="17" t="str">
        <x:v>stock</x:v>
      </x:c>
      <x:c r="T507" s="17" t="str">
        <x:v>moneyflow</x:v>
      </x:c>
      <x:c r="U507" s="17" t="str"/>
      <x:c r="V507" s="30"/>
      <x:c r="W507" s="17" t="str">
        <x:v>high</x:v>
      </x:c>
    </x:row>
    <x:row r="508" ht="54" customHeight="1">
      <x:c r="A508" s="17" t="str">
        <x:v>BUS122</x:v>
      </x:c>
      <x:c r="B508" s="17" t="str">
        <x:v>查询电子行业成分股中近5日主力净流入最高的前10只股票。</x:v>
      </x:c>
      <x:c r="C508" s="17" t="n">
        <x:v>3</x:v>
      </x:c>
      <x:c r="D508" s="17" t="str"/>
      <x:c r="E508" s="17" t="str">
        <x:v>工具调用</x:v>
      </x:c>
      <x:c r="F508" s="17" t="str">
        <x:v>finance_query</x:v>
      </x:c>
      <x:c r="G508" s="17" t="str">
        <x:v>r1 = industry.constitution(filter = "level1_industry_name = 电子", order = "stock_code asc", limit = -1) -&gt; industry_code, industry_name, stock_code, stock_name</x:v>
      </x:c>
      <x:c r="H508" s="17" t="str"/>
      <x:c r="I508" s="17" t="str">
        <x:v>合理操作</x:v>
      </x:c>
      <x:c r="J508" s="17" t="str">
        <x:v>是</x:v>
      </x:c>
      <x:c r="K508" s="18"/>
      <x:c r="L508" s="17" t="str">
        <x:v>否</x:v>
      </x:c>
      <x:c r="M508" s="17" t="str">
        <x:v>否</x:v>
      </x:c>
      <x:c r="N508" s="17" t="str">
        <x:v>target_api_executed</x:v>
      </x:c>
      <x:c r="O508" s="17" t="str">
        <x:v>expected_dataview_coverage</x:v>
      </x:c>
      <x:c r="P508" s="17" t="str">
        <x:v>session://financial_qa_33499cfa81de4d06_2817_d322772fa551/vars/v1</x:v>
      </x:c>
      <x:c r="Q508" s="17" t="str"/>
      <x:c r="R508" s="17" t="str">
        <x:v>industry.constitution</x:v>
      </x:c>
      <x:c r="S508" s="17" t="str"/>
      <x:c r="T508" s="17" t="str"/>
      <x:c r="U508" s="17" t="str">
        <x:v>r1</x:v>
      </x:c>
      <x:c r="V508" s="30" t="n">
        <x:v>100</x:v>
      </x:c>
      <x:c r="W508" s="17" t="str">
        <x:v>high</x:v>
      </x:c>
    </x:row>
    <x:row r="509" ht="54" customHeight="1">
      <x:c r="A509" s="17" t="str">
        <x:v>BUS122</x:v>
      </x:c>
      <x:c r="B509" s="17" t="str">
        <x:v>查询电子行业成分股中近5日主力净流入最高的前10只股票。</x:v>
      </x:c>
      <x:c r="C509" s="17" t="n">
        <x:v>4</x:v>
      </x:c>
      <x:c r="D509" s="17" t="str"/>
      <x:c r="E509" s="17" t="str">
        <x:v>工具调用</x:v>
      </x:c>
      <x:c r="F509" s="17" t="str">
        <x:v>finance_query</x:v>
      </x:c>
      <x:c r="G509" s="17" t="str">
        <x:v>r2 = stock.moneyflow.kd_main_net_sum(k = 5, filter = "code in r1.stock_code", order = "value desc", limit = 10, realtime = 0) -&gt; code, name, value as main_net_5d_sum</x:v>
      </x:c>
      <x:c r="H509" s="17" t="str"/>
      <x:c r="I509" s="17" t="str">
        <x:v>合理操作</x:v>
      </x:c>
      <x:c r="J509" s="17" t="str">
        <x:v>是</x:v>
      </x:c>
      <x:c r="K509" s="18"/>
      <x:c r="L509" s="17" t="str">
        <x:v>否</x:v>
      </x:c>
      <x:c r="M509" s="17" t="str">
        <x:v>否</x:v>
      </x:c>
      <x:c r="N509" s="17" t="str">
        <x:v>target_api_executed</x:v>
      </x:c>
      <x:c r="O509" s="17" t="str">
        <x:v>expected_dataview_coverage</x:v>
      </x:c>
      <x:c r="P509" s="17" t="str">
        <x:v>session://financial_qa_33499cfa81de4d06_2817_d322772fa551/vars/v2</x:v>
      </x:c>
      <x:c r="Q509" s="17" t="str"/>
      <x:c r="R509" s="17" t="str">
        <x:v>stock.moneyflow.kd_main_net_sum</x:v>
      </x:c>
      <x:c r="S509" s="17" t="str"/>
      <x:c r="T509" s="17" t="str"/>
      <x:c r="U509" s="17" t="str">
        <x:v>r2</x:v>
      </x:c>
      <x:c r="V509" s="30" t="n">
        <x:v>10</x:v>
      </x:c>
      <x:c r="W509" s="17" t="str">
        <x:v>high</x:v>
      </x:c>
    </x:row>
    <x:row r="510" ht="54" customHeight="1">
      <x:c r="A510" s="17" t="str">
        <x:v>BUS122</x:v>
      </x:c>
      <x:c r="B510" s="17" t="str">
        <x:v>查询电子行业成分股中近5日主力净流入最高的前10只股票。</x:v>
      </x:c>
      <x:c r="C510" s="17" t="n">
        <x:v>5</x:v>
      </x:c>
      <x:c r="D510" s="17" t="str"/>
      <x:c r="E510" s="17" t="str">
        <x:v>工具调用</x:v>
      </x:c>
      <x:c r="F510" s="17" t="str">
        <x:v>load_finance_result</x:v>
      </x:c>
      <x:c r="G510" s="17" t="str"/>
      <x:c r="H510" s="17" t="str"/>
      <x:c r="I510" s="17" t="str">
        <x:v>合理操作</x:v>
      </x:c>
      <x:c r="J510" s="17" t="str">
        <x:v>是</x:v>
      </x:c>
      <x:c r="K510" s="18"/>
      <x:c r="L510" s="17" t="str">
        <x:v>否</x:v>
      </x:c>
      <x:c r="M510" s="17" t="str">
        <x:v>否</x:v>
      </x:c>
      <x:c r="N510" s="17" t="str">
        <x:v>load_truncated_result</x:v>
      </x:c>
      <x:c r="O510" s="17" t="str">
        <x:v>sample_incomplete_requires_full_result</x:v>
      </x:c>
      <x:c r="P510" s="17" t="str">
        <x:v>session://financial_qa_33499cfa81de4d06_2817_d322772fa551/vars/v2</x:v>
      </x:c>
      <x:c r="Q510" s="17" t="str"/>
      <x:c r="R510" s="17" t="str"/>
      <x:c r="S510" s="17" t="str"/>
      <x:c r="T510" s="17" t="str"/>
      <x:c r="U510" s="17" t="str"/>
      <x:c r="V510" s="30"/>
      <x:c r="W510" s="17" t="str">
        <x:v>high</x:v>
      </x:c>
    </x:row>
    <x:row r="511" ht="54" customHeight="1">
      <x:c r="A511" s="17" t="str">
        <x:v>BUS123</x:v>
      </x:c>
      <x:c r="B511" s="17" t="str">
        <x:v>查询半导体行业层级信息、成分股列表和今天平均涨跌幅。</x:v>
      </x:c>
      <x:c r="C511" s="17" t="n">
        <x:v>1</x:v>
      </x:c>
      <x:c r="D511" s="17" t="str"/>
      <x:c r="E511" s="17" t="str">
        <x:v>工具调用</x:v>
      </x:c>
      <x:c r="F511" s="17" t="str">
        <x:v>read_finance_catalog</x:v>
      </x:c>
      <x:c r="G511" s="17" t="str"/>
      <x:c r="H511" s="17" t="str"/>
      <x:c r="I511" s="17" t="str">
        <x:v>合理操作</x:v>
      </x:c>
      <x:c r="J511" s="17" t="str">
        <x:v>是</x:v>
      </x:c>
      <x:c r="K511" s="18"/>
      <x:c r="L511" s="17" t="str">
        <x:v>否</x:v>
      </x:c>
      <x:c r="M511" s="17" t="str">
        <x:v>否</x:v>
      </x:c>
      <x:c r="N511" s="17" t="str">
        <x:v>target_catalog_located</x:v>
      </x:c>
      <x:c r="O511" s="17" t="str">
        <x:v>expected_dataview_catalog</x:v>
      </x:c>
      <x:c r="P511" s="17" t="str"/>
      <x:c r="Q511" s="17" t="str"/>
      <x:c r="R511" s="17" t="str"/>
      <x:c r="S511" s="17" t="str">
        <x:v>industry</x:v>
      </x:c>
      <x:c r="T511" s="17" t="str">
        <x:v>basic_info</x:v>
      </x:c>
      <x:c r="U511" s="17" t="str"/>
      <x:c r="V511" s="30"/>
      <x:c r="W511" s="17" t="str">
        <x:v>high</x:v>
      </x:c>
    </x:row>
    <x:row r="512" ht="54" customHeight="1">
      <x:c r="A512" s="17" t="str">
        <x:v>BUS123</x:v>
      </x:c>
      <x:c r="B512" s="17" t="str">
        <x:v>查询半导体行业层级信息、成分股列表和今天平均涨跌幅。</x:v>
      </x:c>
      <x:c r="C512" s="17" t="n">
        <x:v>2</x:v>
      </x:c>
      <x:c r="D512" s="17" t="str"/>
      <x:c r="E512" s="17" t="str">
        <x:v>工具调用</x:v>
      </x:c>
      <x:c r="F512" s="17" t="str">
        <x:v>read_finance_catalog</x:v>
      </x:c>
      <x:c r="G512" s="17" t="str"/>
      <x:c r="H512" s="17" t="str"/>
      <x:c r="I512" s="17" t="str">
        <x:v>合理操作</x:v>
      </x:c>
      <x:c r="J512" s="17" t="str">
        <x:v>是</x:v>
      </x:c>
      <x:c r="K512" s="18"/>
      <x:c r="L512" s="17" t="str">
        <x:v>否</x:v>
      </x:c>
      <x:c r="M512" s="17" t="str">
        <x:v>否</x:v>
      </x:c>
      <x:c r="N512" s="17" t="str">
        <x:v>target_catalog_located</x:v>
      </x:c>
      <x:c r="O512" s="17" t="str">
        <x:v>expected_dataview_catalog</x:v>
      </x:c>
      <x:c r="P512" s="17" t="str"/>
      <x:c r="Q512" s="17" t="str"/>
      <x:c r="R512" s="17" t="str"/>
      <x:c r="S512" s="17" t="str">
        <x:v>industry</x:v>
      </x:c>
      <x:c r="T512" s="17" t="str">
        <x:v>constitution</x:v>
      </x:c>
      <x:c r="U512" s="17" t="str"/>
      <x:c r="V512" s="30"/>
      <x:c r="W512" s="17" t="str">
        <x:v>high</x:v>
      </x:c>
    </x:row>
    <x:row r="513" ht="54" customHeight="1">
      <x:c r="A513" s="17" t="str">
        <x:v>BUS123</x:v>
      </x:c>
      <x:c r="B513" s="17" t="str">
        <x:v>查询半导体行业层级信息、成分股列表和今天平均涨跌幅。</x:v>
      </x:c>
      <x:c r="C513" s="17" t="n">
        <x:v>3</x:v>
      </x:c>
      <x:c r="D513" s="17" t="str"/>
      <x:c r="E513" s="17" t="str">
        <x:v>工具调用</x:v>
      </x:c>
      <x:c r="F513" s="17" t="str">
        <x:v>finance_query</x:v>
      </x:c>
      <x:c r="G513" s="17" t="str">
        <x:v>r1 = industry.basic_info(filter = "industry_name = 半导体", limit = 10) -&gt; industry_code, industry_name, level, level1_industry_name, level2_industry_name, level3_industry_name</x:v>
      </x:c>
      <x:c r="H513" s="17" t="str"/>
      <x:c r="I513" s="17" t="str">
        <x:v>设计浪费</x:v>
      </x:c>
      <x:c r="J513" s="17" t="str">
        <x:v>否</x:v>
      </x:c>
      <x:c r="K513" s="18"/>
      <x:c r="L513" s="17" t="str">
        <x:v>否</x:v>
      </x:c>
      <x:c r="M513" s="17" t="str">
        <x:v>否</x:v>
      </x:c>
      <x:c r="N513" s="17" t="str">
        <x:v>execution_error</x:v>
      </x:c>
      <x:c r="O513" s="17" t="str">
        <x:v>query_execution_error</x:v>
      </x:c>
      <x:c r="P513" s="17" t="str"/>
      <x:c r="Q513" s="17" t="str"/>
      <x:c r="R513" s="17" t="str">
        <x:v>industry.basic_info</x:v>
      </x:c>
      <x:c r="S513" s="17" t="str"/>
      <x:c r="T513" s="17" t="str"/>
      <x:c r="U513" s="17" t="str">
        <x:v>r1</x:v>
      </x:c>
      <x:c r="V513" s="30"/>
      <x:c r="W513" s="17" t="str">
        <x:v>high</x:v>
      </x:c>
    </x:row>
    <x:row r="514" ht="54" customHeight="1">
      <x:c r="A514" s="17" t="str">
        <x:v>BUS123</x:v>
      </x:c>
      <x:c r="B514" s="17" t="str">
        <x:v>查询半导体行业层级信息、成分股列表和今天平均涨跌幅。</x:v>
      </x:c>
      <x:c r="C514" s="17" t="n">
        <x:v>4</x:v>
      </x:c>
      <x:c r="D514" s="17" t="str"/>
      <x:c r="E514" s="17" t="str">
        <x:v>工具调用</x:v>
      </x:c>
      <x:c r="F514" s="17" t="str">
        <x:v>finance_query</x:v>
      </x:c>
      <x:c r="G514" s="17" t="str">
        <x:v>r1 = industry.basic_info(filter = "industry_name = 半导体", limit = 10) -&gt; industry_code, industry_name, level</x:v>
      </x:c>
      <x:c r="H514" s="17" t="str"/>
      <x:c r="I514" s="17" t="str">
        <x:v>设计浪费</x:v>
      </x:c>
      <x:c r="J514" s="17" t="str">
        <x:v>否</x:v>
      </x:c>
      <x:c r="K514" s="18"/>
      <x:c r="L514" s="17" t="str">
        <x:v>否</x:v>
      </x:c>
      <x:c r="M514" s="17" t="str">
        <x:v>否</x:v>
      </x:c>
      <x:c r="N514" s="17" t="str">
        <x:v>execution_error</x:v>
      </x:c>
      <x:c r="O514" s="17" t="str">
        <x:v>query_execution_error</x:v>
      </x:c>
      <x:c r="P514" s="17" t="str"/>
      <x:c r="Q514" s="17" t="str"/>
      <x:c r="R514" s="17" t="str">
        <x:v>industry.basic_info</x:v>
      </x:c>
      <x:c r="S514" s="17" t="str"/>
      <x:c r="T514" s="17" t="str"/>
      <x:c r="U514" s="17" t="str">
        <x:v>r1</x:v>
      </x:c>
      <x:c r="V514" s="30"/>
      <x:c r="W514" s="17" t="str">
        <x:v>high</x:v>
      </x:c>
    </x:row>
    <x:row r="515" ht="54" customHeight="1">
      <x:c r="A515" s="17" t="str">
        <x:v>BUS123</x:v>
      </x:c>
      <x:c r="B515" s="17" t="str">
        <x:v>查询半导体行业层级信息、成分股列表和今天平均涨跌幅。</x:v>
      </x:c>
      <x:c r="C515" s="17" t="n">
        <x:v>5</x:v>
      </x:c>
      <x:c r="D515" s="17" t="str"/>
      <x:c r="E515" s="17" t="str">
        <x:v>工具调用</x:v>
      </x:c>
      <x:c r="F515" s="17" t="str">
        <x:v>finance_query</x:v>
      </x:c>
      <x:c r="G515" s="17" t="str">
        <x:v>r1 = industry.basic_info(limit = 10) -&gt; industry_code, industry_name, level</x:v>
      </x:c>
      <x:c r="H515" s="17" t="str"/>
      <x:c r="I515" s="17" t="str">
        <x:v>可解释探索</x:v>
      </x:c>
      <x:c r="J515" s="17" t="str">
        <x:v>是</x:v>
      </x:c>
      <x:c r="K515" s="18"/>
      <x:c r="L515" s="17" t="str">
        <x:v>否</x:v>
      </x:c>
      <x:c r="M515" s="17" t="str">
        <x:v>否</x:v>
      </x:c>
      <x:c r="N515" s="17" t="str">
        <x:v>changed_query_after_failure</x:v>
      </x:c>
      <x:c r="O515" s="17" t="str">
        <x:v>successful_same_api_recovery</x:v>
      </x:c>
      <x:c r="P515" s="17" t="str">
        <x:v>session://financial_qa_33499cfa81de4d06_2818_26c4d5463ba8/vars/v1</x:v>
      </x:c>
      <x:c r="Q515" s="17" t="str"/>
      <x:c r="R515" s="17" t="str">
        <x:v>industry.basic_info</x:v>
      </x:c>
      <x:c r="S515" s="17" t="str"/>
      <x:c r="T515" s="17" t="str"/>
      <x:c r="U515" s="17" t="str">
        <x:v>r1</x:v>
      </x:c>
      <x:c r="V515" s="30" t="n">
        <x:v>10</x:v>
      </x:c>
      <x:c r="W515" s="17" t="str">
        <x:v>medium</x:v>
      </x:c>
    </x:row>
    <x:row r="516" ht="54" customHeight="1">
      <x:c r="A516" s="17" t="str">
        <x:v>BUS123</x:v>
      </x:c>
      <x:c r="B516" s="17" t="str">
        <x:v>查询半导体行业层级信息、成分股列表和今天平均涨跌幅。</x:v>
      </x:c>
      <x:c r="C516" s="17" t="n">
        <x:v>6</x:v>
      </x:c>
      <x:c r="D516" s="17" t="str"/>
      <x:c r="E516" s="17" t="str">
        <x:v>工具调用</x:v>
      </x:c>
      <x:c r="F516" s="17" t="str">
        <x:v>finance_query</x:v>
      </x:c>
      <x:c r="G516" s="17" t="str">
        <x:v>r2 = industry.basic_info(filter = "industry_name like '%半导体%'", limit = 10) -&gt; industry_code, industry_name, level</x:v>
      </x:c>
      <x:c r="H516" s="17" t="str"/>
      <x:c r="I516" s="17" t="str">
        <x:v>合理操作</x:v>
      </x:c>
      <x:c r="J516" s="17" t="str">
        <x:v>是</x:v>
      </x:c>
      <x:c r="K516" s="18"/>
      <x:c r="L516" s="17" t="str">
        <x:v>否</x:v>
      </x:c>
      <x:c r="M516" s="17" t="str">
        <x:v>否</x:v>
      </x:c>
      <x:c r="N516" s="17" t="str">
        <x:v>target_api_executed</x:v>
      </x:c>
      <x:c r="O516" s="17" t="str">
        <x:v>expected_dataview_coverage</x:v>
      </x:c>
      <x:c r="P516" s="17" t="str">
        <x:v>session://financial_qa_33499cfa81de4d06_2818_26c4d5463ba8/vars/v2</x:v>
      </x:c>
      <x:c r="Q516" s="17" t="str"/>
      <x:c r="R516" s="17" t="str">
        <x:v>industry.basic_info</x:v>
      </x:c>
      <x:c r="S516" s="17" t="str"/>
      <x:c r="T516" s="17" t="str"/>
      <x:c r="U516" s="17" t="str">
        <x:v>r2</x:v>
      </x:c>
      <x:c r="V516" s="30" t="n">
        <x:v>10</x:v>
      </x:c>
      <x:c r="W516" s="17" t="str">
        <x:v>high</x:v>
      </x:c>
    </x:row>
    <x:row r="517" ht="54" customHeight="1">
      <x:c r="A517" s="17" t="str">
        <x:v>BUS123</x:v>
      </x:c>
      <x:c r="B517" s="17" t="str">
        <x:v>查询半导体行业层级信息、成分股列表和今天平均涨跌幅。</x:v>
      </x:c>
      <x:c r="C517" s="17" t="n">
        <x:v>7</x:v>
      </x:c>
      <x:c r="D517" s="17" t="str"/>
      <x:c r="E517" s="17" t="str">
        <x:v>工具调用</x:v>
      </x:c>
      <x:c r="F517" s="17" t="str">
        <x:v>load_finance_result</x:v>
      </x:c>
      <x:c r="G517" s="17" t="str"/>
      <x:c r="H517" s="17" t="str"/>
      <x:c r="I517" s="17" t="str">
        <x:v>合理操作</x:v>
      </x:c>
      <x:c r="J517" s="17" t="str">
        <x:v>是</x:v>
      </x:c>
      <x:c r="K517" s="18"/>
      <x:c r="L517" s="17" t="str">
        <x:v>否</x:v>
      </x:c>
      <x:c r="M517" s="17" t="str">
        <x:v>否</x:v>
      </x:c>
      <x:c r="N517" s="17" t="str">
        <x:v>load_truncated_result</x:v>
      </x:c>
      <x:c r="O517" s="17" t="str">
        <x:v>sample_incomplete_requires_full_result</x:v>
      </x:c>
      <x:c r="P517" s="17" t="str">
        <x:v>session://financial_qa_33499cfa81de4d06_2818_26c4d5463ba8/vars/v2</x:v>
      </x:c>
      <x:c r="Q517" s="17" t="str"/>
      <x:c r="R517" s="17" t="str"/>
      <x:c r="S517" s="17" t="str"/>
      <x:c r="T517" s="17" t="str"/>
      <x:c r="U517" s="17" t="str"/>
      <x:c r="V517" s="30"/>
      <x:c r="W517" s="17" t="str">
        <x:v>high</x:v>
      </x:c>
    </x:row>
    <x:row r="518" ht="54" customHeight="1">
      <x:c r="A518" s="17" t="str">
        <x:v>BUS123</x:v>
      </x:c>
      <x:c r="B518" s="17" t="str">
        <x:v>查询半导体行业层级信息、成分股列表和今天平均涨跌幅。</x:v>
      </x:c>
      <x:c r="C518" s="17" t="n">
        <x:v>8</x:v>
      </x:c>
      <x:c r="D518" s="17" t="str"/>
      <x:c r="E518" s="17" t="str">
        <x:v>工具调用</x:v>
      </x:c>
      <x:c r="F518" s="17" t="str">
        <x:v>finance_query</x:v>
      </x:c>
      <x:c r="G518" s="17" t="str">
        <x:v>r3 = industry.basic_info(limit = 500) -&gt; industry_code, industry_name, level</x:v>
      </x:c>
      <x:c r="H518" s="17" t="str"/>
      <x:c r="I518" s="17" t="str">
        <x:v>合理操作</x:v>
      </x:c>
      <x:c r="J518" s="17" t="str">
        <x:v>是</x:v>
      </x:c>
      <x:c r="K518" s="18"/>
      <x:c r="L518" s="17" t="str">
        <x:v>否</x:v>
      </x:c>
      <x:c r="M518" s="17" t="str">
        <x:v>否</x:v>
      </x:c>
      <x:c r="N518" s="17" t="str">
        <x:v>target_api_executed</x:v>
      </x:c>
      <x:c r="O518" s="17" t="str">
        <x:v>expected_dataview_coverage</x:v>
      </x:c>
      <x:c r="P518" s="17" t="str">
        <x:v>session://financial_qa_33499cfa81de4d06_2818_26c4d5463ba8/vars/v3</x:v>
      </x:c>
      <x:c r="Q518" s="17" t="str"/>
      <x:c r="R518" s="17" t="str">
        <x:v>industry.basic_info</x:v>
      </x:c>
      <x:c r="S518" s="17" t="str"/>
      <x:c r="T518" s="17" t="str"/>
      <x:c r="U518" s="17" t="str">
        <x:v>r3</x:v>
      </x:c>
      <x:c r="V518" s="30" t="n">
        <x:v>500</x:v>
      </x:c>
      <x:c r="W518" s="17" t="str">
        <x:v>high</x:v>
      </x:c>
    </x:row>
    <x:row r="519" ht="54" customHeight="1">
      <x:c r="A519" s="17" t="str">
        <x:v>BUS123</x:v>
      </x:c>
      <x:c r="B519" s="17" t="str">
        <x:v>查询半导体行业层级信息、成分股列表和今天平均涨跌幅。</x:v>
      </x:c>
      <x:c r="C519" s="17" t="n">
        <x:v>9</x:v>
      </x:c>
      <x:c r="D519" s="17" t="str"/>
      <x:c r="E519" s="17" t="str">
        <x:v>工具调用</x:v>
      </x:c>
      <x:c r="F519" s="17" t="str">
        <x:v>load_finance_result</x:v>
      </x:c>
      <x:c r="G519" s="17" t="str"/>
      <x:c r="H519" s="17" t="str"/>
      <x:c r="I519" s="17" t="str">
        <x:v>合理操作</x:v>
      </x:c>
      <x:c r="J519" s="17" t="str">
        <x:v>是</x:v>
      </x:c>
      <x:c r="K519" s="18"/>
      <x:c r="L519" s="17" t="str">
        <x:v>否</x:v>
      </x:c>
      <x:c r="M519" s="17" t="str">
        <x:v>否</x:v>
      </x:c>
      <x:c r="N519" s="17" t="str">
        <x:v>load_truncated_result</x:v>
      </x:c>
      <x:c r="O519" s="17" t="str">
        <x:v>sample_incomplete_requires_full_result</x:v>
      </x:c>
      <x:c r="P519" s="17" t="str">
        <x:v>session://financial_qa_33499cfa81de4d06_2818_26c4d5463ba8/vars/v3</x:v>
      </x:c>
      <x:c r="Q519" s="17" t="str"/>
      <x:c r="R519" s="17" t="str"/>
      <x:c r="S519" s="17" t="str"/>
      <x:c r="T519" s="17" t="str"/>
      <x:c r="U519" s="17" t="str"/>
      <x:c r="V519" s="30"/>
      <x:c r="W519" s="17" t="str">
        <x:v>high</x:v>
      </x:c>
    </x:row>
    <x:row r="520" ht="54" customHeight="1">
      <x:c r="A520" s="17" t="str">
        <x:v>BUS123</x:v>
      </x:c>
      <x:c r="B520" s="17" t="str">
        <x:v>查询半导体行业层级信息、成分股列表和今天平均涨跌幅。</x:v>
      </x:c>
      <x:c r="C520" s="17" t="n">
        <x:v>10</x:v>
      </x:c>
      <x:c r="D520" s="17" t="str"/>
      <x:c r="E520" s="17" t="str">
        <x:v>工具调用</x:v>
      </x:c>
      <x:c r="F520" s="17" t="str">
        <x:v>load_finance_result</x:v>
      </x:c>
      <x:c r="G520" s="17" t="str"/>
      <x:c r="H520" s="17" t="str"/>
      <x:c r="I520" s="17" t="str">
        <x:v>设计浪费</x:v>
      </x:c>
      <x:c r="J520" s="17" t="str">
        <x:v>否</x:v>
      </x:c>
      <x:c r="K520" s="18"/>
      <x:c r="L520" s="17" t="str">
        <x:v>否</x:v>
      </x:c>
      <x:c r="M520" s="17" t="str">
        <x:v>否</x:v>
      </x:c>
      <x:c r="N520" s="17" t="str">
        <x:v>duplicate_result_load</x:v>
      </x:c>
      <x:c r="O520" s="17" t="str">
        <x:v>repeated_identical_result_load</x:v>
      </x:c>
      <x:c r="P520" s="17" t="str">
        <x:v>session://financial_qa_33499cfa81de4d06_2818_26c4d5463ba8/vars/v3</x:v>
      </x:c>
      <x:c r="Q520" s="17" t="str"/>
      <x:c r="R520" s="17" t="str"/>
      <x:c r="S520" s="17" t="str"/>
      <x:c r="T520" s="17" t="str"/>
      <x:c r="U520" s="17" t="str"/>
      <x:c r="V520" s="30"/>
      <x:c r="W520" s="17" t="str">
        <x:v>high</x:v>
      </x:c>
    </x:row>
    <x:row r="521" ht="54" customHeight="1">
      <x:c r="A521" s="17" t="str">
        <x:v>BUS123</x:v>
      </x:c>
      <x:c r="B521" s="17" t="str">
        <x:v>查询半导体行业层级信息、成分股列表和今天平均涨跌幅。</x:v>
      </x:c>
      <x:c r="C521" s="17" t="n">
        <x:v>11</x:v>
      </x:c>
      <x:c r="D521" s="17" t="str"/>
      <x:c r="E521" s="17" t="str">
        <x:v>工具调用</x:v>
      </x:c>
      <x:c r="F521" s="17" t="str">
        <x:v>finance_query</x:v>
      </x:c>
      <x:c r="G521" s="17" t="str">
        <x:v>r4 = industry.constitution(filter = "industry_code = 270100", limit = -1) -&gt; industry_code, industry_name, stock_code, stock_name</x:v>
      </x:c>
      <x:c r="H521" s="17" t="str"/>
      <x:c r="I521" s="17" t="str">
        <x:v>合理操作</x:v>
      </x:c>
      <x:c r="J521" s="17" t="str">
        <x:v>是</x:v>
      </x:c>
      <x:c r="K521" s="18"/>
      <x:c r="L521" s="17" t="str">
        <x:v>否</x:v>
      </x:c>
      <x:c r="M521" s="17" t="str">
        <x:v>否</x:v>
      </x:c>
      <x:c r="N521" s="17" t="str">
        <x:v>target_api_executed</x:v>
      </x:c>
      <x:c r="O521" s="17" t="str">
        <x:v>expected_dataview_coverage</x:v>
      </x:c>
      <x:c r="P521" s="17" t="str">
        <x:v>session://financial_qa_33499cfa81de4d06_2818_26c4d5463ba8/vars/v4</x:v>
      </x:c>
      <x:c r="Q521" s="17" t="str"/>
      <x:c r="R521" s="17" t="str">
        <x:v>industry.constitution</x:v>
      </x:c>
      <x:c r="S521" s="17" t="str"/>
      <x:c r="T521" s="17" t="str"/>
      <x:c r="U521" s="17" t="str">
        <x:v>r4</x:v>
      </x:c>
      <x:c r="V521" s="30" t="n">
        <x:v>74</x:v>
      </x:c>
      <x:c r="W521" s="17" t="str">
        <x:v>high</x:v>
      </x:c>
    </x:row>
    <x:row r="522" ht="54" customHeight="1">
      <x:c r="A522" s="17" t="str">
        <x:v>BUS123</x:v>
      </x:c>
      <x:c r="B522" s="17" t="str">
        <x:v>查询半导体行业层级信息、成分股列表和今天平均涨跌幅。</x:v>
      </x:c>
      <x:c r="C522" s="17" t="n">
        <x:v>12</x:v>
      </x:c>
      <x:c r="D522" s="17" t="str"/>
      <x:c r="E522" s="17" t="str">
        <x:v>工具调用</x:v>
      </x:c>
      <x:c r="F522" s="17" t="str">
        <x:v>finance_query</x:v>
      </x:c>
      <x:c r="G522" s="17" t="str">
        <x:v>r5 = industry.constitution.agg(filter = "industry_code = 270100 and tradedate = -1", agg = avg(stock.quote.pct), group_by = "industry_code, industry_name", realtime = 0) -&gt; industry_code, industry_name, avg_pct</x:v>
      </x:c>
      <x:c r="H522" s="17" t="str"/>
      <x:c r="I522" s="17" t="str">
        <x:v>合理操作</x:v>
      </x:c>
      <x:c r="J522" s="17" t="str">
        <x:v>是</x:v>
      </x:c>
      <x:c r="K522" s="18"/>
      <x:c r="L522" s="17" t="str">
        <x:v>否</x:v>
      </x:c>
      <x:c r="M522" s="17" t="str">
        <x:v>否</x:v>
      </x:c>
      <x:c r="N522" s="17" t="str">
        <x:v>target_api_executed</x:v>
      </x:c>
      <x:c r="O522" s="17" t="str">
        <x:v>expected_dataview_coverage</x:v>
      </x:c>
      <x:c r="P522" s="17" t="str">
        <x:v>session://financial_qa_33499cfa81de4d06_2818_26c4d5463ba8/vars/v5</x:v>
      </x:c>
      <x:c r="Q522" s="17" t="str"/>
      <x:c r="R522" s="17" t="str">
        <x:v>industry.constitution.agg</x:v>
      </x:c>
      <x:c r="S522" s="17" t="str"/>
      <x:c r="T522" s="17" t="str"/>
      <x:c r="U522" s="17" t="str">
        <x:v>r5</x:v>
      </x:c>
      <x:c r="V522" s="30" t="n">
        <x:v>7</x:v>
      </x:c>
      <x:c r="W522" s="17" t="str">
        <x:v>high</x:v>
      </x:c>
    </x:row>
    <x:row r="523" ht="54" customHeight="1">
      <x:c r="A523" s="17" t="str">
        <x:v>BUS123</x:v>
      </x:c>
      <x:c r="B523" s="17" t="str">
        <x:v>查询半导体行业层级信息、成分股列表和今天平均涨跌幅。</x:v>
      </x:c>
      <x:c r="C523" s="17" t="n">
        <x:v>13</x:v>
      </x:c>
      <x:c r="D523" s="17" t="str"/>
      <x:c r="E523" s="17" t="str">
        <x:v>工具调用</x:v>
      </x:c>
      <x:c r="F523" s="17" t="str">
        <x:v>load_finance_result</x:v>
      </x:c>
      <x:c r="G523" s="17" t="str"/>
      <x:c r="H523" s="17" t="str"/>
      <x:c r="I523" s="17" t="str">
        <x:v>合理操作</x:v>
      </x:c>
      <x:c r="J523" s="17" t="str">
        <x:v>是</x:v>
      </x:c>
      <x:c r="K523" s="18"/>
      <x:c r="L523" s="17" t="str">
        <x:v>否</x:v>
      </x:c>
      <x:c r="M523" s="17" t="str">
        <x:v>否</x:v>
      </x:c>
      <x:c r="N523" s="17" t="str">
        <x:v>load_truncated_result</x:v>
      </x:c>
      <x:c r="O523" s="17" t="str">
        <x:v>sample_incomplete_requires_full_result</x:v>
      </x:c>
      <x:c r="P523" s="17" t="str">
        <x:v>session://financial_qa_33499cfa81de4d06_2818_26c4d5463ba8/vars/v4</x:v>
      </x:c>
      <x:c r="Q523" s="17" t="str"/>
      <x:c r="R523" s="17" t="str"/>
      <x:c r="S523" s="17" t="str"/>
      <x:c r="T523" s="17" t="str"/>
      <x:c r="U523" s="17" t="str"/>
      <x:c r="V523" s="30"/>
      <x:c r="W523" s="17" t="str">
        <x:v>high</x:v>
      </x:c>
    </x:row>
    <x:row r="524" ht="54" customHeight="1">
      <x:c r="A524" s="17" t="str">
        <x:v>BUS123</x:v>
      </x:c>
      <x:c r="B524" s="17" t="str">
        <x:v>查询半导体行业层级信息、成分股列表和今天平均涨跌幅。</x:v>
      </x:c>
      <x:c r="C524" s="17" t="n">
        <x:v>14</x:v>
      </x:c>
      <x:c r="D524" s="17" t="str"/>
      <x:c r="E524" s="17" t="str">
        <x:v>工具调用</x:v>
      </x:c>
      <x:c r="F524" s="17" t="str">
        <x:v>load_finance_result</x:v>
      </x:c>
      <x:c r="G524" s="17" t="str"/>
      <x:c r="H524" s="17" t="str"/>
      <x:c r="I524" s="17" t="str">
        <x:v>合理操作</x:v>
      </x:c>
      <x:c r="J524" s="17" t="str">
        <x:v>是</x:v>
      </x:c>
      <x:c r="K524" s="18"/>
      <x:c r="L524" s="17" t="str">
        <x:v>否</x:v>
      </x:c>
      <x:c r="M524" s="17" t="str">
        <x:v>否</x:v>
      </x:c>
      <x:c r="N524" s="17" t="str">
        <x:v>load_truncated_result</x:v>
      </x:c>
      <x:c r="O524" s="17" t="str">
        <x:v>sample_incomplete_requires_full_result</x:v>
      </x:c>
      <x:c r="P524" s="17" t="str">
        <x:v>session://financial_qa_33499cfa81de4d06_2818_26c4d5463ba8/vars/v5</x:v>
      </x:c>
      <x:c r="Q524" s="17" t="str"/>
      <x:c r="R524" s="17" t="str"/>
      <x:c r="S524" s="17" t="str"/>
      <x:c r="T524" s="17" t="str"/>
      <x:c r="U524" s="17" t="str"/>
      <x:c r="V524" s="30"/>
      <x:c r="W524" s="17" t="str">
        <x:v>high</x:v>
      </x:c>
    </x:row>
    <x:row r="525" ht="54" customHeight="1">
      <x:c r="A525" s="17" t="str">
        <x:v>BUS124</x:v>
      </x:c>
      <x:c r="B525" s="17" t="str">
        <x:v>查询宁德时代所属行业，并列出该行业成分股的融资余额前10名。</x:v>
      </x:c>
      <x:c r="C525" s="17" t="n">
        <x:v>1</x:v>
      </x:c>
      <x:c r="D525" s="17" t="str"/>
      <x:c r="E525" s="17" t="str">
        <x:v>工具调用</x:v>
      </x:c>
      <x:c r="F525" s="17" t="str">
        <x:v>read_finance_catalog</x:v>
      </x:c>
      <x:c r="G525" s="17" t="str"/>
      <x:c r="H525" s="17" t="str"/>
      <x:c r="I525" s="17" t="str">
        <x:v>合理操作</x:v>
      </x:c>
      <x:c r="J525" s="17" t="str">
        <x:v>是</x:v>
      </x:c>
      <x:c r="K525" s="18"/>
      <x:c r="L525" s="17" t="str">
        <x:v>否</x:v>
      </x:c>
      <x:c r="M525" s="17" t="str">
        <x:v>否</x:v>
      </x:c>
      <x:c r="N525" s="17" t="str">
        <x:v>target_catalog_located</x:v>
      </x:c>
      <x:c r="O525" s="17" t="str">
        <x:v>expected_dataview_catalog</x:v>
      </x:c>
      <x:c r="P525" s="17" t="str"/>
      <x:c r="Q525" s="17" t="str"/>
      <x:c r="R525" s="17" t="str"/>
      <x:c r="S525" s="17" t="str">
        <x:v>stock</x:v>
      </x:c>
      <x:c r="T525" s="17" t="str">
        <x:v>basic_info</x:v>
      </x:c>
      <x:c r="U525" s="17" t="str"/>
      <x:c r="V525" s="30"/>
      <x:c r="W525" s="17" t="str">
        <x:v>high</x:v>
      </x:c>
    </x:row>
    <x:row r="526" ht="54" customHeight="1">
      <x:c r="A526" s="17" t="str">
        <x:v>BUS124</x:v>
      </x:c>
      <x:c r="B526" s="17" t="str">
        <x:v>查询宁德时代所属行业，并列出该行业成分股的融资余额前10名。</x:v>
      </x:c>
      <x:c r="C526" s="17" t="n">
        <x:v>2</x:v>
      </x:c>
      <x:c r="D526" s="17" t="str"/>
      <x:c r="E526" s="17" t="str">
        <x:v>工具调用</x:v>
      </x:c>
      <x:c r="F526" s="17" t="str">
        <x:v>read_finance_catalog</x:v>
      </x:c>
      <x:c r="G526" s="17" t="str"/>
      <x:c r="H526" s="17" t="str"/>
      <x:c r="I526" s="17" t="str">
        <x:v>合理操作</x:v>
      </x:c>
      <x:c r="J526" s="17" t="str">
        <x:v>是</x:v>
      </x:c>
      <x:c r="K526" s="18"/>
      <x:c r="L526" s="17" t="str">
        <x:v>否</x:v>
      </x:c>
      <x:c r="M526" s="17" t="str">
        <x:v>否</x:v>
      </x:c>
      <x:c r="N526" s="17" t="str">
        <x:v>target_catalog_located</x:v>
      </x:c>
      <x:c r="O526" s="17" t="str">
        <x:v>expected_dataview_catalog</x:v>
      </x:c>
      <x:c r="P526" s="17" t="str"/>
      <x:c r="Q526" s="17" t="str"/>
      <x:c r="R526" s="17" t="str"/>
      <x:c r="S526" s="17" t="str">
        <x:v>industry</x:v>
      </x:c>
      <x:c r="T526" s="17" t="str">
        <x:v>constitution</x:v>
      </x:c>
      <x:c r="U526" s="17" t="str"/>
      <x:c r="V526" s="30"/>
      <x:c r="W526" s="17" t="str">
        <x:v>high</x:v>
      </x:c>
    </x:row>
    <x:row r="527" ht="54" customHeight="1">
      <x:c r="A527" s="17" t="str">
        <x:v>BUS124</x:v>
      </x:c>
      <x:c r="B527" s="17" t="str">
        <x:v>查询宁德时代所属行业，并列出该行业成分股的融资余额前10名。</x:v>
      </x:c>
      <x:c r="C527" s="17" t="n">
        <x:v>3</x:v>
      </x:c>
      <x:c r="D527" s="17" t="str"/>
      <x:c r="E527" s="17" t="str">
        <x:v>工具调用</x:v>
      </x:c>
      <x:c r="F527" s="17" t="str">
        <x:v>read_finance_catalog</x:v>
      </x:c>
      <x:c r="G527" s="17" t="str"/>
      <x:c r="H527" s="17" t="str"/>
      <x:c r="I527" s="17" t="str">
        <x:v>合理操作</x:v>
      </x:c>
      <x:c r="J527" s="17" t="str">
        <x:v>是</x:v>
      </x:c>
      <x:c r="K527" s="18"/>
      <x:c r="L527" s="17" t="str">
        <x:v>否</x:v>
      </x:c>
      <x:c r="M527" s="17" t="str">
        <x:v>否</x:v>
      </x:c>
      <x:c r="N527" s="17" t="str">
        <x:v>target_catalog_located</x:v>
      </x:c>
      <x:c r="O527" s="17" t="str">
        <x:v>expected_dataview_catalog</x:v>
      </x:c>
      <x:c r="P527" s="17" t="str"/>
      <x:c r="Q527" s="17" t="str"/>
      <x:c r="R527" s="17" t="str"/>
      <x:c r="S527" s="17" t="str">
        <x:v>stock</x:v>
      </x:c>
      <x:c r="T527" s="17" t="str">
        <x:v>margin</x:v>
      </x:c>
      <x:c r="U527" s="17" t="str"/>
      <x:c r="V527" s="30"/>
      <x:c r="W527" s="17" t="str">
        <x:v>high</x:v>
      </x:c>
    </x:row>
    <x:row r="528" ht="54" customHeight="1">
      <x:c r="A528" s="17" t="str">
        <x:v>BUS124</x:v>
      </x:c>
      <x:c r="B528" s="17" t="str">
        <x:v>查询宁德时代所属行业，并列出该行业成分股的融资余额前10名。</x:v>
      </x:c>
      <x:c r="C528" s="17" t="n">
        <x:v>4</x:v>
      </x:c>
      <x:c r="D528" s="17" t="str"/>
      <x:c r="E528" s="17" t="str">
        <x:v>工具调用</x:v>
      </x:c>
      <x:c r="F528" s="17" t="str">
        <x:v>finance_query</x:v>
      </x:c>
      <x:c r="G528" s="17" t="str">
        <x:v>r1 = stock.basic_info(filter = "code = 300750.SZ", limit = 1) -&gt; code, name, industry</x:v>
      </x:c>
      <x:c r="H528" s="17" t="str"/>
      <x:c r="I528" s="17" t="str">
        <x:v>合理操作</x:v>
      </x:c>
      <x:c r="J528" s="17" t="str">
        <x:v>是</x:v>
      </x:c>
      <x:c r="K528" s="18"/>
      <x:c r="L528" s="17" t="str">
        <x:v>否</x:v>
      </x:c>
      <x:c r="M528" s="17" t="str">
        <x:v>否</x:v>
      </x:c>
      <x:c r="N528" s="17" t="str">
        <x:v>target_api_executed</x:v>
      </x:c>
      <x:c r="O528" s="17" t="str">
        <x:v>expected_dataview_coverage</x:v>
      </x:c>
      <x:c r="P528" s="17" t="str">
        <x:v>session://financial_qa_33499cfa81de4d06_2819_0365b4391115/vars/v1</x:v>
      </x:c>
      <x:c r="Q528" s="17" t="str"/>
      <x:c r="R528" s="17" t="str">
        <x:v>stock.basic_info</x:v>
      </x:c>
      <x:c r="S528" s="17" t="str"/>
      <x:c r="T528" s="17" t="str"/>
      <x:c r="U528" s="17" t="str">
        <x:v>r1</x:v>
      </x:c>
      <x:c r="V528" s="30" t="n">
        <x:v>1</x:v>
      </x:c>
      <x:c r="W528" s="17" t="str">
        <x:v>high</x:v>
      </x:c>
    </x:row>
    <x:row r="529" ht="54" customHeight="1">
      <x:c r="A529" s="17" t="str">
        <x:v>BUS124</x:v>
      </x:c>
      <x:c r="B529" s="17" t="str">
        <x:v>查询宁德时代所属行业，并列出该行业成分股的融资余额前10名。</x:v>
      </x:c>
      <x:c r="C529" s="17" t="n">
        <x:v>5</x:v>
      </x:c>
      <x:c r="D529" s="17" t="str"/>
      <x:c r="E529" s="17" t="str">
        <x:v>工具调用</x:v>
      </x:c>
      <x:c r="F529" s="17" t="str">
        <x:v>finance_query</x:v>
      </x:c>
      <x:c r="G529" s="17" t="str">
        <x:v>r2 = industry.constitution(filter = "industry_name = 锂电池", limit = -1) -&gt; industry_code, industry_name, stock_code, stock_name</x:v>
      </x:c>
      <x:c r="H529" s="17" t="str"/>
      <x:c r="I529" s="17" t="str">
        <x:v>合理操作</x:v>
      </x:c>
      <x:c r="J529" s="17" t="str">
        <x:v>是</x:v>
      </x:c>
      <x:c r="K529" s="18"/>
      <x:c r="L529" s="17" t="str">
        <x:v>否</x:v>
      </x:c>
      <x:c r="M529" s="17" t="str">
        <x:v>否</x:v>
      </x:c>
      <x:c r="N529" s="17" t="str">
        <x:v>target_api_executed</x:v>
      </x:c>
      <x:c r="O529" s="17" t="str">
        <x:v>expected_dataview_coverage</x:v>
      </x:c>
      <x:c r="P529" s="17" t="str">
        <x:v>session://financial_qa_33499cfa81de4d06_2819_0365b4391115/vars/v2</x:v>
      </x:c>
      <x:c r="Q529" s="17" t="str"/>
      <x:c r="R529" s="17" t="str">
        <x:v>industry.constitution</x:v>
      </x:c>
      <x:c r="S529" s="17" t="str"/>
      <x:c r="T529" s="17" t="str"/>
      <x:c r="U529" s="17" t="str">
        <x:v>r2</x:v>
      </x:c>
      <x:c r="V529" s="30" t="n">
        <x:v>15</x:v>
      </x:c>
      <x:c r="W529" s="17" t="str">
        <x:v>high</x:v>
      </x:c>
    </x:row>
    <x:row r="530" ht="54" customHeight="1">
      <x:c r="A530" s="17" t="str">
        <x:v>BUS124</x:v>
      </x:c>
      <x:c r="B530" s="17" t="str">
        <x:v>查询宁德时代所属行业，并列出该行业成分股的融资余额前10名。</x:v>
      </x:c>
      <x:c r="C530" s="17" t="n">
        <x:v>6</x:v>
      </x:c>
      <x:c r="D530" s="17" t="str"/>
      <x:c r="E530" s="17" t="str">
        <x:v>工具调用</x:v>
      </x:c>
      <x:c r="F530" s="17" t="str">
        <x:v>finance_query</x:v>
      </x:c>
      <x:c r="G530" s="17" t="str">
        <x:v>r3 = stock.margin(filter = "stock_code in r2.stock_code and tradedate = -1", order = "financing_balance desc", limit = 10, realtime = 0) -&gt; code, name, tradedate, financing_balance</x:v>
      </x:c>
      <x:c r="H530" s="17" t="str"/>
      <x:c r="I530" s="17" t="str">
        <x:v>合理操作</x:v>
      </x:c>
      <x:c r="J530" s="17" t="str">
        <x:v>是</x:v>
      </x:c>
      <x:c r="K530" s="18"/>
      <x:c r="L530" s="17" t="str">
        <x:v>否</x:v>
      </x:c>
      <x:c r="M530" s="17" t="str">
        <x:v>否</x:v>
      </x:c>
      <x:c r="N530" s="17" t="str">
        <x:v>target_api_executed</x:v>
      </x:c>
      <x:c r="O530" s="17" t="str">
        <x:v>expected_dataview_coverage</x:v>
      </x:c>
      <x:c r="P530" s="17" t="str">
        <x:v>session://financial_qa_33499cfa81de4d06_2819_0365b4391115/vars/v3</x:v>
      </x:c>
      <x:c r="Q530" s="17" t="str"/>
      <x:c r="R530" s="17" t="str">
        <x:v>stock.margin</x:v>
      </x:c>
      <x:c r="S530" s="17" t="str"/>
      <x:c r="T530" s="17" t="str"/>
      <x:c r="U530" s="17" t="str">
        <x:v>r3</x:v>
      </x:c>
      <x:c r="V530" s="30" t="n">
        <x:v>0</x:v>
      </x:c>
      <x:c r="W530" s="17" t="str">
        <x:v>high</x:v>
      </x:c>
    </x:row>
    <x:row r="531" ht="54" customHeight="1">
      <x:c r="A531" s="17" t="str">
        <x:v>BUS124</x:v>
      </x:c>
      <x:c r="B531" s="17" t="str">
        <x:v>查询宁德时代所属行业，并列出该行业成分股的融资余额前10名。</x:v>
      </x:c>
      <x:c r="C531" s="17" t="n">
        <x:v>7</x:v>
      </x:c>
      <x:c r="D531" s="17" t="str"/>
      <x:c r="E531" s="17" t="str">
        <x:v>工具调用</x:v>
      </x:c>
      <x:c r="F531" s="17" t="str">
        <x:v>finance_query</x:v>
      </x:c>
      <x:c r="G531" s="17" t="str">
        <x:v>r4 = stock.margin(filter = "code in r2.stock_code and tradedate = -1", order = "financing_balance desc", limit = 10, realtime = 0) -&gt; code, name, tradedate, financing_balance</x:v>
      </x:c>
      <x:c r="H531" s="17" t="str"/>
      <x:c r="I531" s="17" t="str">
        <x:v>设计浪费</x:v>
      </x:c>
      <x:c r="J531" s="17" t="str">
        <x:v>否</x:v>
      </x:c>
      <x:c r="K531" s="18"/>
      <x:c r="L531" s="17" t="str">
        <x:v>否</x:v>
      </x:c>
      <x:c r="M531" s="17" t="str">
        <x:v>否</x:v>
      </x:c>
      <x:c r="N531" s="17" t="str">
        <x:v>requery_after_terminal_zero</x:v>
      </x:c>
      <x:c r="O531" s="17" t="str">
        <x:v>terminal_zero_requery</x:v>
      </x:c>
      <x:c r="P531" s="17" t="str">
        <x:v>session://financial_qa_33499cfa81de4d06_2819_0365b4391115/vars/v4</x:v>
      </x:c>
      <x:c r="Q531" s="17" t="str"/>
      <x:c r="R531" s="17" t="str">
        <x:v>stock.margin</x:v>
      </x:c>
      <x:c r="S531" s="17" t="str"/>
      <x:c r="T531" s="17" t="str"/>
      <x:c r="U531" s="17" t="str">
        <x:v>r4</x:v>
      </x:c>
      <x:c r="V531" s="30" t="n">
        <x:v>0</x:v>
      </x:c>
      <x:c r="W531" s="17" t="str">
        <x:v>high</x:v>
      </x:c>
    </x:row>
    <x:row r="532" ht="54" customHeight="1">
      <x:c r="A532" s="17" t="str">
        <x:v>BUS124</x:v>
      </x:c>
      <x:c r="B532" s="17" t="str">
        <x:v>查询宁德时代所属行业，并列出该行业成分股的融资余额前10名。</x:v>
      </x:c>
      <x:c r="C532" s="17" t="n">
        <x:v>8</x:v>
      </x:c>
      <x:c r="D532" s="17" t="str"/>
      <x:c r="E532" s="17" t="str">
        <x:v>工具调用</x:v>
      </x:c>
      <x:c r="F532" s="17" t="str">
        <x:v>load_finance_result</x:v>
      </x:c>
      <x:c r="G532" s="17" t="str"/>
      <x:c r="H532" s="17" t="str"/>
      <x:c r="I532" s="17" t="str">
        <x:v>合理操作</x:v>
      </x:c>
      <x:c r="J532" s="17" t="str">
        <x:v>是</x:v>
      </x:c>
      <x:c r="K532" s="18"/>
      <x:c r="L532" s="17" t="str">
        <x:v>否</x:v>
      </x:c>
      <x:c r="M532" s="17" t="str">
        <x:v>否</x:v>
      </x:c>
      <x:c r="N532" s="17" t="str">
        <x:v>load_truncated_result</x:v>
      </x:c>
      <x:c r="O532" s="17" t="str">
        <x:v>sample_incomplete_requires_full_result</x:v>
      </x:c>
      <x:c r="P532" s="17" t="str">
        <x:v>session://financial_qa_33499cfa81de4d06_2819_0365b4391115/vars/v2</x:v>
      </x:c>
      <x:c r="Q532" s="17" t="str"/>
      <x:c r="R532" s="17" t="str"/>
      <x:c r="S532" s="17" t="str"/>
      <x:c r="T532" s="17" t="str"/>
      <x:c r="U532" s="17" t="str"/>
      <x:c r="V532" s="30"/>
      <x:c r="W532" s="17" t="str">
        <x:v>high</x:v>
      </x:c>
    </x:row>
    <x:row r="533" ht="54" customHeight="1">
      <x:c r="A533" s="17" t="str">
        <x:v>BUS124</x:v>
      </x:c>
      <x:c r="B533" s="17" t="str">
        <x:v>查询宁德时代所属行业，并列出该行业成分股的融资余额前10名。</x:v>
      </x:c>
      <x:c r="C533" s="17" t="n">
        <x:v>9</x:v>
      </x:c>
      <x:c r="D533" s="17" t="str"/>
      <x:c r="E533" s="17" t="str">
        <x:v>工具调用</x:v>
      </x:c>
      <x:c r="F533" s="17" t="str">
        <x:v>finance_query</x:v>
      </x:c>
      <x:c r="G533" s="17" t="str">
        <x:v>r5 = stock.margin(filter = "code in r2.stock_code", order = "financing_balance desc", limit = 15, realtime = 0) -&gt; code, name, tradedate, financing_balance</x:v>
      </x:c>
      <x:c r="H533" s="17" t="str"/>
      <x:c r="I533" s="17" t="str">
        <x:v>设计浪费</x:v>
      </x:c>
      <x:c r="J533" s="17" t="str">
        <x:v>否</x:v>
      </x:c>
      <x:c r="K533" s="18"/>
      <x:c r="L533" s="17" t="str">
        <x:v>否</x:v>
      </x:c>
      <x:c r="M533" s="17" t="str">
        <x:v>否</x:v>
      </x:c>
      <x:c r="N533" s="17" t="str">
        <x:v>requery_after_terminal_zero</x:v>
      </x:c>
      <x:c r="O533" s="17" t="str">
        <x:v>terminal_zero_requery</x:v>
      </x:c>
      <x:c r="P533" s="17" t="str">
        <x:v>session://financial_qa_33499cfa81de4d06_2819_0365b4391115/vars/v5</x:v>
      </x:c>
      <x:c r="Q533" s="17" t="str"/>
      <x:c r="R533" s="17" t="str">
        <x:v>stock.margin</x:v>
      </x:c>
      <x:c r="S533" s="17" t="str"/>
      <x:c r="T533" s="17" t="str"/>
      <x:c r="U533" s="17" t="str">
        <x:v>r5</x:v>
      </x:c>
      <x:c r="V533" s="30" t="n">
        <x:v>13</x:v>
      </x:c>
      <x:c r="W533" s="17" t="str">
        <x:v>high</x:v>
      </x:c>
    </x:row>
    <x:row r="534" ht="54" customHeight="1">
      <x:c r="A534" s="17" t="str">
        <x:v>BUS124</x:v>
      </x:c>
      <x:c r="B534" s="17" t="str">
        <x:v>查询宁德时代所属行业，并列出该行业成分股的融资余额前10名。</x:v>
      </x:c>
      <x:c r="C534" s="17" t="n">
        <x:v>10</x:v>
      </x:c>
      <x:c r="D534" s="17" t="str"/>
      <x:c r="E534" s="17" t="str">
        <x:v>工具调用</x:v>
      </x:c>
      <x:c r="F534" s="17" t="str">
        <x:v>load_finance_result</x:v>
      </x:c>
      <x:c r="G534" s="17" t="str"/>
      <x:c r="H534" s="17" t="str"/>
      <x:c r="I534" s="17" t="str">
        <x:v>合理操作</x:v>
      </x:c>
      <x:c r="J534" s="17" t="str">
        <x:v>是</x:v>
      </x:c>
      <x:c r="K534" s="18"/>
      <x:c r="L534" s="17" t="str">
        <x:v>否</x:v>
      </x:c>
      <x:c r="M534" s="17" t="str">
        <x:v>否</x:v>
      </x:c>
      <x:c r="N534" s="17" t="str">
        <x:v>load_truncated_result</x:v>
      </x:c>
      <x:c r="O534" s="17" t="str">
        <x:v>sample_incomplete_requires_full_result</x:v>
      </x:c>
      <x:c r="P534" s="17" t="str">
        <x:v>session://financial_qa_33499cfa81de4d06_2819_0365b4391115/vars/v5</x:v>
      </x:c>
      <x:c r="Q534" s="17" t="str"/>
      <x:c r="R534" s="17" t="str"/>
      <x:c r="S534" s="17" t="str"/>
      <x:c r="T534" s="17" t="str"/>
      <x:c r="U534" s="17" t="str"/>
      <x:c r="V534" s="30"/>
      <x:c r="W534" s="17" t="str">
        <x:v>high</x:v>
      </x:c>
    </x:row>
    <x:row r="535" ht="54" customHeight="1">
      <x:c r="A535" s="17" t="str">
        <x:v>BUS125</x:v>
      </x:c>
      <x:c r="B535" s="17" t="str">
        <x:v>查询银行行业成分股，并返回每只股票最新PB和今天涨跌幅。</x:v>
      </x:c>
      <x:c r="C535" s="17" t="n">
        <x:v>1</x:v>
      </x:c>
      <x:c r="D535" s="17" t="str"/>
      <x:c r="E535" s="17" t="str">
        <x:v>工具调用</x:v>
      </x:c>
      <x:c r="F535" s="17" t="str">
        <x:v>read_finance_catalog</x:v>
      </x:c>
      <x:c r="G535" s="17" t="str"/>
      <x:c r="H535" s="17" t="str"/>
      <x:c r="I535" s="17" t="str">
        <x:v>合理操作</x:v>
      </x:c>
      <x:c r="J535" s="17" t="str">
        <x:v>是</x:v>
      </x:c>
      <x:c r="K535" s="18"/>
      <x:c r="L535" s="17" t="str">
        <x:v>否</x:v>
      </x:c>
      <x:c r="M535" s="17" t="str">
        <x:v>否</x:v>
      </x:c>
      <x:c r="N535" s="17" t="str">
        <x:v>target_catalog_located</x:v>
      </x:c>
      <x:c r="O535" s="17" t="str">
        <x:v>expected_dataview_catalog</x:v>
      </x:c>
      <x:c r="P535" s="17" t="str"/>
      <x:c r="Q535" s="17" t="str"/>
      <x:c r="R535" s="17" t="str"/>
      <x:c r="S535" s="17" t="str">
        <x:v>industry</x:v>
      </x:c>
      <x:c r="T535" s="17" t="str">
        <x:v>constitution</x:v>
      </x:c>
      <x:c r="U535" s="17" t="str"/>
      <x:c r="V535" s="30"/>
      <x:c r="W535" s="17" t="str">
        <x:v>high</x:v>
      </x:c>
    </x:row>
    <x:row r="536" ht="54" customHeight="1">
      <x:c r="A536" s="17" t="str">
        <x:v>BUS125</x:v>
      </x:c>
      <x:c r="B536" s="17" t="str">
        <x:v>查询银行行业成分股，并返回每只股票最新PB和今天涨跌幅。</x:v>
      </x:c>
      <x:c r="C536" s="17" t="n">
        <x:v>2</x:v>
      </x:c>
      <x:c r="D536" s="17" t="str"/>
      <x:c r="E536" s="17" t="str">
        <x:v>工具调用</x:v>
      </x:c>
      <x:c r="F536" s="17" t="str">
        <x:v>read_finance_catalog</x:v>
      </x:c>
      <x:c r="G536" s="17" t="str"/>
      <x:c r="H536" s="17" t="str"/>
      <x:c r="I536" s="17" t="str">
        <x:v>合理操作</x:v>
      </x:c>
      <x:c r="J536" s="17" t="str">
        <x:v>是</x:v>
      </x:c>
      <x:c r="K536" s="18"/>
      <x:c r="L536" s="17" t="str">
        <x:v>否</x:v>
      </x:c>
      <x:c r="M536" s="17" t="str">
        <x:v>否</x:v>
      </x:c>
      <x:c r="N536" s="17" t="str">
        <x:v>target_catalog_located</x:v>
      </x:c>
      <x:c r="O536" s="17" t="str">
        <x:v>expected_dataview_catalog</x:v>
      </x:c>
      <x:c r="P536" s="17" t="str"/>
      <x:c r="Q536" s="17" t="str"/>
      <x:c r="R536" s="17" t="str"/>
      <x:c r="S536" s="17" t="str">
        <x:v>stock</x:v>
      </x:c>
      <x:c r="T536" s="17" t="str">
        <x:v>quote</x:v>
      </x:c>
      <x:c r="U536" s="17" t="str"/>
      <x:c r="V536" s="30"/>
      <x:c r="W536" s="17" t="str">
        <x:v>high</x:v>
      </x:c>
    </x:row>
    <x:row r="537" ht="54" customHeight="1">
      <x:c r="A537" s="17" t="str">
        <x:v>BUS125</x:v>
      </x:c>
      <x:c r="B537" s="17" t="str">
        <x:v>查询银行行业成分股，并返回每只股票最新PB和今天涨跌幅。</x:v>
      </x:c>
      <x:c r="C537" s="17" t="n">
        <x:v>3</x:v>
      </x:c>
      <x:c r="D537" s="17" t="str"/>
      <x:c r="E537" s="17" t="str">
        <x:v>工具调用</x:v>
      </x:c>
      <x:c r="F537" s="17" t="str">
        <x:v>read_finance_catalog</x:v>
      </x:c>
      <x:c r="G537" s="17" t="str"/>
      <x:c r="H537" s="17" t="str"/>
      <x:c r="I537" s="17" t="str">
        <x:v>合理操作</x:v>
      </x:c>
      <x:c r="J537" s="17" t="str">
        <x:v>是</x:v>
      </x:c>
      <x:c r="K537" s="18"/>
      <x:c r="L537" s="17" t="str">
        <x:v>否</x:v>
      </x:c>
      <x:c r="M537" s="17" t="str">
        <x:v>否</x:v>
      </x:c>
      <x:c r="N537" s="17" t="str">
        <x:v>target_catalog_located</x:v>
      </x:c>
      <x:c r="O537" s="17" t="str">
        <x:v>expected_dataview_catalog</x:v>
      </x:c>
      <x:c r="P537" s="17" t="str"/>
      <x:c r="Q537" s="17" t="str"/>
      <x:c r="R537" s="17" t="str"/>
      <x:c r="S537" s="17" t="str">
        <x:v>stock</x:v>
      </x:c>
      <x:c r="T537" s="17" t="str">
        <x:v>pricevalue</x:v>
      </x:c>
      <x:c r="U537" s="17" t="str"/>
      <x:c r="V537" s="30"/>
      <x:c r="W537" s="17" t="str">
        <x:v>high</x:v>
      </x:c>
    </x:row>
    <x:row r="538" ht="54" customHeight="1">
      <x:c r="A538" s="17" t="str">
        <x:v>BUS125</x:v>
      </x:c>
      <x:c r="B538" s="17" t="str">
        <x:v>查询银行行业成分股，并返回每只股票最新PB和今天涨跌幅。</x:v>
      </x:c>
      <x:c r="C538" s="17" t="n">
        <x:v>4</x:v>
      </x:c>
      <x:c r="D538" s="17" t="str"/>
      <x:c r="E538" s="17" t="str">
        <x:v>工具调用</x:v>
      </x:c>
      <x:c r="F538" s="17" t="str">
        <x:v>finance_query</x:v>
      </x:c>
      <x:c r="G538" s="17" t="str">
        <x:v>r1 = industry.constitution(filter = "industry_name = 银行", limit = -1) -&gt; industry_code, industry_name, stock_code, stock_name</x:v>
      </x:c>
      <x:c r="H538" s="17" t="str"/>
      <x:c r="I538" s="17" t="str">
        <x:v>合理操作</x:v>
      </x:c>
      <x:c r="J538" s="17" t="str">
        <x:v>是</x:v>
      </x:c>
      <x:c r="K538" s="18"/>
      <x:c r="L538" s="17" t="str">
        <x:v>否</x:v>
      </x:c>
      <x:c r="M538" s="17" t="str">
        <x:v>否</x:v>
      </x:c>
      <x:c r="N538" s="17" t="str">
        <x:v>target_api_executed</x:v>
      </x:c>
      <x:c r="O538" s="17" t="str">
        <x:v>expected_dataview_coverage</x:v>
      </x:c>
      <x:c r="P538" s="17" t="str">
        <x:v>session://financial_qa_33499cfa81de4d06_2820_432307b574a1/vars/v1</x:v>
      </x:c>
      <x:c r="Q538" s="17" t="str"/>
      <x:c r="R538" s="17" t="str">
        <x:v>industry.constitution</x:v>
      </x:c>
      <x:c r="S538" s="17" t="str"/>
      <x:c r="T538" s="17" t="str"/>
      <x:c r="U538" s="17" t="str">
        <x:v>r1</x:v>
      </x:c>
      <x:c r="V538" s="30" t="n">
        <x:v>40</x:v>
      </x:c>
      <x:c r="W538" s="17" t="str">
        <x:v>high</x:v>
      </x:c>
    </x:row>
    <x:row r="539" ht="54" customHeight="1">
      <x:c r="A539" s="17" t="str">
        <x:v>BUS125</x:v>
      </x:c>
      <x:c r="B539" s="17" t="str">
        <x:v>查询银行行业成分股，并返回每只股票最新PB和今天涨跌幅。</x:v>
      </x:c>
      <x:c r="C539" s="17" t="n">
        <x:v>5</x:v>
      </x:c>
      <x:c r="D539" s="17" t="str"/>
      <x:c r="E539" s="17" t="str">
        <x:v>工具调用</x:v>
      </x:c>
      <x:c r="F539" s="17" t="str">
        <x:v>finance_query</x:v>
      </x:c>
      <x:c r="G539" s="17" t="str">
        <x:v>r2 = stock.pricevalue(filter = "code in r1.stock_code", realtime = 0) -&gt; code, name, tradedate, pb</x:v>
      </x:c>
      <x:c r="H539" s="17" t="str"/>
      <x:c r="I539" s="17" t="str">
        <x:v>合理操作</x:v>
      </x:c>
      <x:c r="J539" s="17" t="str">
        <x:v>是</x:v>
      </x:c>
      <x:c r="K539" s="18"/>
      <x:c r="L539" s="17" t="str">
        <x:v>否</x:v>
      </x:c>
      <x:c r="M539" s="17" t="str">
        <x:v>否</x:v>
      </x:c>
      <x:c r="N539" s="17" t="str">
        <x:v>target_api_executed</x:v>
      </x:c>
      <x:c r="O539" s="17" t="str">
        <x:v>expected_dataview_coverage</x:v>
      </x:c>
      <x:c r="P539" s="17" t="str">
        <x:v>session://financial_qa_33499cfa81de4d06_2820_432307b574a1/vars/v2</x:v>
      </x:c>
      <x:c r="Q539" s="17" t="str"/>
      <x:c r="R539" s="17" t="str">
        <x:v>stock.pricevalue</x:v>
      </x:c>
      <x:c r="S539" s="17" t="str"/>
      <x:c r="T539" s="17" t="str"/>
      <x:c r="U539" s="17" t="str">
        <x:v>r2</x:v>
      </x:c>
      <x:c r="V539" s="30" t="n">
        <x:v>40</x:v>
      </x:c>
      <x:c r="W539" s="17" t="str">
        <x:v>high</x:v>
      </x:c>
    </x:row>
    <x:row r="540" ht="54" customHeight="1">
      <x:c r="A540" s="17" t="str">
        <x:v>BUS125</x:v>
      </x:c>
      <x:c r="B540" s="17" t="str">
        <x:v>查询银行行业成分股，并返回每只股票最新PB和今天涨跌幅。</x:v>
      </x:c>
      <x:c r="C540" s="17" t="n">
        <x:v>6</x:v>
      </x:c>
      <x:c r="D540" s="17" t="str"/>
      <x:c r="E540" s="17" t="str">
        <x:v>工具调用</x:v>
      </x:c>
      <x:c r="F540" s="17" t="str">
        <x:v>finance_query</x:v>
      </x:c>
      <x:c r="G540" s="17" t="str">
        <x:v>r3 = stock.quote(filter = "code in r1.stock_code and tradedate = -1", realtime = 0) -&gt; code, name, tradedate, pct</x:v>
      </x:c>
      <x:c r="H540" s="17" t="str"/>
      <x:c r="I540" s="17" t="str">
        <x:v>合理操作</x:v>
      </x:c>
      <x:c r="J540" s="17" t="str">
        <x:v>是</x:v>
      </x:c>
      <x:c r="K540" s="18"/>
      <x:c r="L540" s="17" t="str">
        <x:v>否</x:v>
      </x:c>
      <x:c r="M540" s="17" t="str">
        <x:v>否</x:v>
      </x:c>
      <x:c r="N540" s="17" t="str">
        <x:v>target_api_executed</x:v>
      </x:c>
      <x:c r="O540" s="17" t="str">
        <x:v>expected_dataview_coverage</x:v>
      </x:c>
      <x:c r="P540" s="17" t="str">
        <x:v>session://financial_qa_33499cfa81de4d06_2820_432307b574a1/vars/v3</x:v>
      </x:c>
      <x:c r="Q540" s="17" t="str"/>
      <x:c r="R540" s="17" t="str">
        <x:v>stock.quote</x:v>
      </x:c>
      <x:c r="S540" s="17" t="str"/>
      <x:c r="T540" s="17" t="str"/>
      <x:c r="U540" s="17" t="str">
        <x:v>r3</x:v>
      </x:c>
      <x:c r="V540" s="30" t="n">
        <x:v>40</x:v>
      </x:c>
      <x:c r="W540" s="17" t="str">
        <x:v>high</x:v>
      </x:c>
    </x:row>
    <x:row r="541" ht="54" customHeight="1">
      <x:c r="A541" s="17" t="str">
        <x:v>BUS125</x:v>
      </x:c>
      <x:c r="B541" s="17" t="str">
        <x:v>查询银行行业成分股，并返回每只股票最新PB和今天涨跌幅。</x:v>
      </x:c>
      <x:c r="C541" s="17" t="n">
        <x:v>7</x:v>
      </x:c>
      <x:c r="D541" s="17" t="str"/>
      <x:c r="E541" s="17" t="str">
        <x:v>工具调用</x:v>
      </x:c>
      <x:c r="F541" s="17" t="str">
        <x:v>load_finance_result</x:v>
      </x:c>
      <x:c r="G541" s="17" t="str"/>
      <x:c r="H541" s="17" t="str"/>
      <x:c r="I541" s="17" t="str">
        <x:v>合理操作</x:v>
      </x:c>
      <x:c r="J541" s="17" t="str">
        <x:v>是</x:v>
      </x:c>
      <x:c r="K541" s="18"/>
      <x:c r="L541" s="17" t="str">
        <x:v>否</x:v>
      </x:c>
      <x:c r="M541" s="17" t="str">
        <x:v>否</x:v>
      </x:c>
      <x:c r="N541" s="17" t="str">
        <x:v>load_truncated_result</x:v>
      </x:c>
      <x:c r="O541" s="17" t="str">
        <x:v>sample_incomplete_requires_full_result</x:v>
      </x:c>
      <x:c r="P541" s="17" t="str">
        <x:v>session://financial_qa_33499cfa81de4d06_2820_432307b574a1/vars/v2</x:v>
      </x:c>
      <x:c r="Q541" s="17" t="str"/>
      <x:c r="R541" s="17" t="str"/>
      <x:c r="S541" s="17" t="str"/>
      <x:c r="T541" s="17" t="str"/>
      <x:c r="U541" s="17" t="str"/>
      <x:c r="V541" s="30"/>
      <x:c r="W541" s="17" t="str">
        <x:v>high</x:v>
      </x:c>
    </x:row>
    <x:row r="542" ht="54" customHeight="1">
      <x:c r="A542" s="17" t="str">
        <x:v>BUS125</x:v>
      </x:c>
      <x:c r="B542" s="17" t="str">
        <x:v>查询银行行业成分股，并返回每只股票最新PB和今天涨跌幅。</x:v>
      </x:c>
      <x:c r="C542" s="17" t="n">
        <x:v>8</x:v>
      </x:c>
      <x:c r="D542" s="17" t="str"/>
      <x:c r="E542" s="17" t="str">
        <x:v>工具调用</x:v>
      </x:c>
      <x:c r="F542" s="17" t="str">
        <x:v>load_finance_result</x:v>
      </x:c>
      <x:c r="G542" s="17" t="str"/>
      <x:c r="H542" s="17" t="str"/>
      <x:c r="I542" s="17" t="str">
        <x:v>合理操作</x:v>
      </x:c>
      <x:c r="J542" s="17" t="str">
        <x:v>是</x:v>
      </x:c>
      <x:c r="K542" s="18"/>
      <x:c r="L542" s="17" t="str">
        <x:v>否</x:v>
      </x:c>
      <x:c r="M542" s="17" t="str">
        <x:v>否</x:v>
      </x:c>
      <x:c r="N542" s="17" t="str">
        <x:v>load_truncated_result</x:v>
      </x:c>
      <x:c r="O542" s="17" t="str">
        <x:v>sample_incomplete_requires_full_result</x:v>
      </x:c>
      <x:c r="P542" s="17" t="str">
        <x:v>session://financial_qa_33499cfa81de4d06_2820_432307b574a1/vars/v3</x:v>
      </x:c>
      <x:c r="Q542" s="17" t="str"/>
      <x:c r="R542" s="17" t="str"/>
      <x:c r="S542" s="17" t="str"/>
      <x:c r="T542" s="17" t="str"/>
      <x:c r="U542" s="17" t="str"/>
      <x:c r="V542" s="30"/>
      <x:c r="W542" s="17" t="str">
        <x:v>high</x:v>
      </x:c>
    </x:row>
    <x:row r="543" ht="54" customHeight="1">
      <x:c r="A543" s="17" t="str">
        <x:v>BUS128</x:v>
      </x:c>
      <x:c r="B543" s="17" t="str">
        <x:v>查询名称包含人工智能的板块代码和名称。</x:v>
      </x:c>
      <x:c r="C543" s="17" t="n">
        <x:v>1</x:v>
      </x:c>
      <x:c r="D543" s="17" t="str"/>
      <x:c r="E543" s="17" t="str">
        <x:v>工具调用</x:v>
      </x:c>
      <x:c r="F543" s="17" t="str">
        <x:v>read_finance_catalog</x:v>
      </x:c>
      <x:c r="G543" s="17" t="str"/>
      <x:c r="H543" s="17" t="str"/>
      <x:c r="I543" s="17" t="str">
        <x:v>合理操作</x:v>
      </x:c>
      <x:c r="J543" s="17" t="str">
        <x:v>是</x:v>
      </x:c>
      <x:c r="K543" s="18"/>
      <x:c r="L543" s="17" t="str">
        <x:v>否</x:v>
      </x:c>
      <x:c r="M543" s="17" t="str">
        <x:v>否</x:v>
      </x:c>
      <x:c r="N543" s="17" t="str">
        <x:v>target_catalog_located</x:v>
      </x:c>
      <x:c r="O543" s="17" t="str">
        <x:v>expected_dataview_catalog</x:v>
      </x:c>
      <x:c r="P543" s="17" t="str"/>
      <x:c r="Q543" s="17" t="str"/>
      <x:c r="R543" s="17" t="str"/>
      <x:c r="S543" s="17" t="str">
        <x:v>plate</x:v>
      </x:c>
      <x:c r="T543" s="17" t="str">
        <x:v>basic_info</x:v>
      </x:c>
      <x:c r="U543" s="17" t="str"/>
      <x:c r="V543" s="30"/>
      <x:c r="W543" s="17" t="str">
        <x:v>high</x:v>
      </x:c>
    </x:row>
    <x:row r="544" ht="54" customHeight="1">
      <x:c r="A544" s="17" t="str">
        <x:v>BUS128</x:v>
      </x:c>
      <x:c r="B544" s="17" t="str">
        <x:v>查询名称包含人工智能的板块代码和名称。</x:v>
      </x:c>
      <x:c r="C544" s="17" t="n">
        <x:v>2</x:v>
      </x:c>
      <x:c r="D544" s="17" t="str"/>
      <x:c r="E544" s="17" t="str">
        <x:v>工具调用</x:v>
      </x:c>
      <x:c r="F544" s="17" t="str">
        <x:v>finance_query</x:v>
      </x:c>
      <x:c r="G544" s="17" t="str">
        <x:v>r1 = plate.basic_info(filter = "plate_name like '%人工智能%'", limit = 20) -&gt; plate_code, plate_name</x:v>
      </x:c>
      <x:c r="H544" s="17" t="str"/>
      <x:c r="I544" s="17" t="str">
        <x:v>合理操作</x:v>
      </x:c>
      <x:c r="J544" s="17" t="str">
        <x:v>是</x:v>
      </x:c>
      <x:c r="K544" s="18"/>
      <x:c r="L544" s="17" t="str">
        <x:v>否</x:v>
      </x:c>
      <x:c r="M544" s="17" t="str">
        <x:v>否</x:v>
      </x:c>
      <x:c r="N544" s="17" t="str">
        <x:v>target_api_executed</x:v>
      </x:c>
      <x:c r="O544" s="17" t="str">
        <x:v>expected_dataview_coverage</x:v>
      </x:c>
      <x:c r="P544" s="17" t="str">
        <x:v>session://financial_qa_33499cfa81de4d06_2823_17cfa17431dc/vars/v1</x:v>
      </x:c>
      <x:c r="Q544" s="17" t="str"/>
      <x:c r="R544" s="17" t="str">
        <x:v>plate.basic_info</x:v>
      </x:c>
      <x:c r="S544" s="17" t="str"/>
      <x:c r="T544" s="17" t="str"/>
      <x:c r="U544" s="17" t="str">
        <x:v>r1</x:v>
      </x:c>
      <x:c r="V544" s="30" t="n">
        <x:v>1</x:v>
      </x:c>
      <x:c r="W544" s="17" t="str">
        <x:v>high</x:v>
      </x:c>
    </x:row>
    <x:row r="545" ht="54" customHeight="1">
      <x:c r="A545" s="17" t="str">
        <x:v>BUS129</x:v>
      </x:c>
      <x:c r="B545" s="17" t="str">
        <x:v>查询名称包含新能源车的板块列表。</x:v>
      </x:c>
      <x:c r="C545" s="17" t="n">
        <x:v>1</x:v>
      </x:c>
      <x:c r="D545" s="17" t="str"/>
      <x:c r="E545" s="17" t="str">
        <x:v>工具调用</x:v>
      </x:c>
      <x:c r="F545" s="17" t="str">
        <x:v>read_finance_catalog</x:v>
      </x:c>
      <x:c r="G545" s="17" t="str"/>
      <x:c r="H545" s="17" t="str"/>
      <x:c r="I545" s="17" t="str">
        <x:v>合理操作</x:v>
      </x:c>
      <x:c r="J545" s="17" t="str">
        <x:v>是</x:v>
      </x:c>
      <x:c r="K545" s="18"/>
      <x:c r="L545" s="17" t="str">
        <x:v>否</x:v>
      </x:c>
      <x:c r="M545" s="17" t="str">
        <x:v>否</x:v>
      </x:c>
      <x:c r="N545" s="17" t="str">
        <x:v>target_catalog_located</x:v>
      </x:c>
      <x:c r="O545" s="17" t="str">
        <x:v>expected_dataview_catalog</x:v>
      </x:c>
      <x:c r="P545" s="17" t="str"/>
      <x:c r="Q545" s="17" t="str"/>
      <x:c r="R545" s="17" t="str"/>
      <x:c r="S545" s="17" t="str">
        <x:v>plate</x:v>
      </x:c>
      <x:c r="T545" s="17" t="str">
        <x:v>basic_info</x:v>
      </x:c>
      <x:c r="U545" s="17" t="str"/>
      <x:c r="V545" s="30"/>
      <x:c r="W545" s="17" t="str">
        <x:v>high</x:v>
      </x:c>
    </x:row>
    <x:row r="546" ht="54" customHeight="1">
      <x:c r="A546" s="17" t="str">
        <x:v>BUS129</x:v>
      </x:c>
      <x:c r="B546" s="17" t="str">
        <x:v>查询名称包含新能源车的板块列表。</x:v>
      </x:c>
      <x:c r="C546" s="17" t="n">
        <x:v>2</x:v>
      </x:c>
      <x:c r="D546" s="17" t="str"/>
      <x:c r="E546" s="17" t="str">
        <x:v>工具调用</x:v>
      </x:c>
      <x:c r="F546" s="17" t="str">
        <x:v>finance_query</x:v>
      </x:c>
      <x:c r="G546" s="17" t="str">
        <x:v>r1 = plate.basic_info(filter = "plate_name like '%新能源车%'", limit = 20) -&gt; plate_code, plate_name</x:v>
      </x:c>
      <x:c r="H546" s="17" t="str"/>
      <x:c r="I546" s="17" t="str">
        <x:v>合理操作</x:v>
      </x:c>
      <x:c r="J546" s="17" t="str">
        <x:v>是</x:v>
      </x:c>
      <x:c r="K546" s="18"/>
      <x:c r="L546" s="17" t="str">
        <x:v>否</x:v>
      </x:c>
      <x:c r="M546" s="17" t="str">
        <x:v>否</x:v>
      </x:c>
      <x:c r="N546" s="17" t="str">
        <x:v>target_api_executed</x:v>
      </x:c>
      <x:c r="O546" s="17" t="str">
        <x:v>expected_dataview_coverage</x:v>
      </x:c>
      <x:c r="P546" s="17" t="str">
        <x:v>session://financial_qa_33499cfa81de4d06_2824_d036e595df75/vars/v1</x:v>
      </x:c>
      <x:c r="Q546" s="17" t="str"/>
      <x:c r="R546" s="17" t="str">
        <x:v>plate.basic_info</x:v>
      </x:c>
      <x:c r="S546" s="17" t="str"/>
      <x:c r="T546" s="17" t="str"/>
      <x:c r="U546" s="17" t="str">
        <x:v>r1</x:v>
      </x:c>
      <x:c r="V546" s="30" t="n">
        <x:v>0</x:v>
      </x:c>
      <x:c r="W546" s="17" t="str">
        <x:v>high</x:v>
      </x:c>
    </x:row>
    <x:row r="547" ht="54" customHeight="1">
      <x:c r="A547" s="17" t="str">
        <x:v>BUS131</x:v>
      </x:c>
      <x:c r="B547" s="17" t="str">
        <x:v>查询名称包含半导体的板块代码。</x:v>
      </x:c>
      <x:c r="C547" s="17" t="n">
        <x:v>1</x:v>
      </x:c>
      <x:c r="D547" s="17" t="str"/>
      <x:c r="E547" s="17" t="str">
        <x:v>工具调用</x:v>
      </x:c>
      <x:c r="F547" s="17" t="str">
        <x:v>read_finance_catalog</x:v>
      </x:c>
      <x:c r="G547" s="17" t="str"/>
      <x:c r="H547" s="17" t="str"/>
      <x:c r="I547" s="17" t="str">
        <x:v>设计浪费</x:v>
      </x:c>
      <x:c r="J547" s="17" t="str">
        <x:v>否</x:v>
      </x:c>
      <x:c r="K547" s="18"/>
      <x:c r="L547" s="17" t="str">
        <x:v>否</x:v>
      </x:c>
      <x:c r="M547" s="17" t="str">
        <x:v>否</x:v>
      </x:c>
      <x:c r="N547" s="17" t="str">
        <x:v>broad_catalog_then_specific_catalog</x:v>
      </x:c>
      <x:c r="O547" s="17" t="str">
        <x:v>catalog_ladder</x:v>
      </x:c>
      <x:c r="P547" s="17" t="str"/>
      <x:c r="Q547" s="17" t="str"/>
      <x:c r="R547" s="17" t="str"/>
      <x:c r="S547" s="17" t="str">
        <x:v>plate</x:v>
      </x:c>
      <x:c r="T547" s="17" t="str"/>
      <x:c r="U547" s="17" t="str"/>
      <x:c r="V547" s="30"/>
      <x:c r="W547" s="17" t="str">
        <x:v>high</x:v>
      </x:c>
    </x:row>
    <x:row r="548" ht="54" customHeight="1">
      <x:c r="A548" s="17" t="str">
        <x:v>BUS131</x:v>
      </x:c>
      <x:c r="B548" s="17" t="str">
        <x:v>查询名称包含半导体的板块代码。</x:v>
      </x:c>
      <x:c r="C548" s="17" t="n">
        <x:v>2</x:v>
      </x:c>
      <x:c r="D548" s="17" t="str"/>
      <x:c r="E548" s="17" t="str">
        <x:v>工具调用</x:v>
      </x:c>
      <x:c r="F548" s="17" t="str">
        <x:v>read_finance_catalog</x:v>
      </x:c>
      <x:c r="G548" s="17" t="str"/>
      <x:c r="H548" s="17" t="str"/>
      <x:c r="I548" s="17" t="str">
        <x:v>合理操作</x:v>
      </x:c>
      <x:c r="J548" s="17" t="str">
        <x:v>是</x:v>
      </x:c>
      <x:c r="K548" s="18"/>
      <x:c r="L548" s="17" t="str">
        <x:v>否</x:v>
      </x:c>
      <x:c r="M548" s="17" t="str">
        <x:v>否</x:v>
      </x:c>
      <x:c r="N548" s="17" t="str">
        <x:v>target_catalog_located</x:v>
      </x:c>
      <x:c r="O548" s="17" t="str">
        <x:v>expected_dataview_catalog</x:v>
      </x:c>
      <x:c r="P548" s="17" t="str"/>
      <x:c r="Q548" s="17" t="str"/>
      <x:c r="R548" s="17" t="str"/>
      <x:c r="S548" s="17" t="str">
        <x:v>plate</x:v>
      </x:c>
      <x:c r="T548" s="17" t="str">
        <x:v>basic_info</x:v>
      </x:c>
      <x:c r="U548" s="17" t="str"/>
      <x:c r="V548" s="30"/>
      <x:c r="W548" s="17" t="str">
        <x:v>high</x:v>
      </x:c>
    </x:row>
    <x:row r="549" ht="54" customHeight="1">
      <x:c r="A549" s="17" t="str">
        <x:v>BUS131</x:v>
      </x:c>
      <x:c r="B549" s="17" t="str">
        <x:v>查询名称包含半导体的板块代码。</x:v>
      </x:c>
      <x:c r="C549" s="17" t="n">
        <x:v>3</x:v>
      </x:c>
      <x:c r="D549" s="17" t="str"/>
      <x:c r="E549" s="17" t="str">
        <x:v>工具调用</x:v>
      </x:c>
      <x:c r="F549" s="17" t="str">
        <x:v>finance_query</x:v>
      </x:c>
      <x:c r="G549" s="17" t="str">
        <x:v>r1 = plate.basic_info(filter = "plate_name like '%半导体%'", limit = 20) -&gt; plate_code, plate_name</x:v>
      </x:c>
      <x:c r="H549" s="17" t="str"/>
      <x:c r="I549" s="17" t="str">
        <x:v>合理操作</x:v>
      </x:c>
      <x:c r="J549" s="17" t="str">
        <x:v>是</x:v>
      </x:c>
      <x:c r="K549" s="18"/>
      <x:c r="L549" s="17" t="str">
        <x:v>否</x:v>
      </x:c>
      <x:c r="M549" s="17" t="str">
        <x:v>否</x:v>
      </x:c>
      <x:c r="N549" s="17" t="str">
        <x:v>target_api_executed</x:v>
      </x:c>
      <x:c r="O549" s="17" t="str">
        <x:v>expected_dataview_coverage</x:v>
      </x:c>
      <x:c r="P549" s="17" t="str">
        <x:v>session://financial_qa_33499cfa81de4d06_2826_64946d5dbb53/vars/v1</x:v>
      </x:c>
      <x:c r="Q549" s="17" t="str"/>
      <x:c r="R549" s="17" t="str">
        <x:v>plate.basic_info</x:v>
      </x:c>
      <x:c r="S549" s="17" t="str"/>
      <x:c r="T549" s="17" t="str"/>
      <x:c r="U549" s="17" t="str">
        <x:v>r1</x:v>
      </x:c>
      <x:c r="V549" s="30" t="n">
        <x:v>7</x:v>
      </x:c>
      <x:c r="W549" s="17" t="str">
        <x:v>high</x:v>
      </x:c>
    </x:row>
    <x:row r="550" ht="54" customHeight="1">
      <x:c r="A550" s="17" t="str">
        <x:v>BUS131</x:v>
      </x:c>
      <x:c r="B550" s="17" t="str">
        <x:v>查询名称包含半导体的板块代码。</x:v>
      </x:c>
      <x:c r="C550" s="17" t="n">
        <x:v>4</x:v>
      </x:c>
      <x:c r="D550" s="17" t="str"/>
      <x:c r="E550" s="17" t="str">
        <x:v>工具调用</x:v>
      </x:c>
      <x:c r="F550" s="17" t="str">
        <x:v>load_finance_result</x:v>
      </x:c>
      <x:c r="G550" s="17" t="str"/>
      <x:c r="H550" s="17" t="str"/>
      <x:c r="I550" s="17" t="str">
        <x:v>合理操作</x:v>
      </x:c>
      <x:c r="J550" s="17" t="str">
        <x:v>是</x:v>
      </x:c>
      <x:c r="K550" s="18"/>
      <x:c r="L550" s="17" t="str">
        <x:v>否</x:v>
      </x:c>
      <x:c r="M550" s="17" t="str">
        <x:v>否</x:v>
      </x:c>
      <x:c r="N550" s="17" t="str">
        <x:v>load_truncated_result</x:v>
      </x:c>
      <x:c r="O550" s="17" t="str">
        <x:v>sample_incomplete_requires_full_result</x:v>
      </x:c>
      <x:c r="P550" s="17" t="str">
        <x:v>session://financial_qa_33499cfa81de4d06_2826_64946d5dbb53/vars/v1</x:v>
      </x:c>
      <x:c r="Q550" s="17" t="str"/>
      <x:c r="R550" s="17" t="str"/>
      <x:c r="S550" s="17" t="str"/>
      <x:c r="T550" s="17" t="str"/>
      <x:c r="U550" s="17" t="str"/>
      <x:c r="V550" s="30"/>
      <x:c r="W550" s="17" t="str">
        <x:v>high</x:v>
      </x:c>
    </x:row>
    <x:row r="551" ht="54" customHeight="1">
      <x:c r="A551" s="17" t="str">
        <x:v>BUS132</x:v>
      </x:c>
      <x:c r="B551" s="17" t="str">
        <x:v>列出名称包含消费的板块。</x:v>
      </x:c>
      <x:c r="C551" s="17" t="n">
        <x:v>1</x:v>
      </x:c>
      <x:c r="D551" s="17" t="str"/>
      <x:c r="E551" s="17" t="str">
        <x:v>工具调用</x:v>
      </x:c>
      <x:c r="F551" s="17" t="str">
        <x:v>read_finance_catalog</x:v>
      </x:c>
      <x:c r="G551" s="17" t="str"/>
      <x:c r="H551" s="17" t="str"/>
      <x:c r="I551" s="17" t="str">
        <x:v>合理操作</x:v>
      </x:c>
      <x:c r="J551" s="17" t="str">
        <x:v>是</x:v>
      </x:c>
      <x:c r="K551" s="18"/>
      <x:c r="L551" s="17" t="str">
        <x:v>否</x:v>
      </x:c>
      <x:c r="M551" s="17" t="str">
        <x:v>否</x:v>
      </x:c>
      <x:c r="N551" s="17" t="str">
        <x:v>target_catalog_located</x:v>
      </x:c>
      <x:c r="O551" s="17" t="str">
        <x:v>expected_dataview_catalog</x:v>
      </x:c>
      <x:c r="P551" s="17" t="str"/>
      <x:c r="Q551" s="17" t="str"/>
      <x:c r="R551" s="17" t="str"/>
      <x:c r="S551" s="17" t="str">
        <x:v>plate</x:v>
      </x:c>
      <x:c r="T551" s="17" t="str">
        <x:v>basic_info</x:v>
      </x:c>
      <x:c r="U551" s="17" t="str"/>
      <x:c r="V551" s="30"/>
      <x:c r="W551" s="17" t="str">
        <x:v>high</x:v>
      </x:c>
    </x:row>
    <x:row r="552" ht="54" customHeight="1">
      <x:c r="A552" s="17" t="str">
        <x:v>BUS132</x:v>
      </x:c>
      <x:c r="B552" s="17" t="str">
        <x:v>列出名称包含消费的板块。</x:v>
      </x:c>
      <x:c r="C552" s="17" t="n">
        <x:v>2</x:v>
      </x:c>
      <x:c r="D552" s="17" t="str"/>
      <x:c r="E552" s="17" t="str">
        <x:v>工具调用</x:v>
      </x:c>
      <x:c r="F552" s="17" t="str">
        <x:v>finance_query</x:v>
      </x:c>
      <x:c r="G552" s="17" t="str">
        <x:v>r1 = plate.basic_info(filter = "plate_name like '%消费%'", limit = -1) -&gt; plate_code, plate_name</x:v>
      </x:c>
      <x:c r="H552" s="17" t="str"/>
      <x:c r="I552" s="17" t="str">
        <x:v>合理操作</x:v>
      </x:c>
      <x:c r="J552" s="17" t="str">
        <x:v>是</x:v>
      </x:c>
      <x:c r="K552" s="18"/>
      <x:c r="L552" s="17" t="str">
        <x:v>否</x:v>
      </x:c>
      <x:c r="M552" s="17" t="str">
        <x:v>否</x:v>
      </x:c>
      <x:c r="N552" s="17" t="str">
        <x:v>target_api_executed</x:v>
      </x:c>
      <x:c r="O552" s="17" t="str">
        <x:v>expected_dataview_coverage</x:v>
      </x:c>
      <x:c r="P552" s="17" t="str">
        <x:v>session://financial_qa_33499cfa81de4d06_2827_b0313b4ce5ab/vars/v1</x:v>
      </x:c>
      <x:c r="Q552" s="17" t="str"/>
      <x:c r="R552" s="17" t="str">
        <x:v>plate.basic_info</x:v>
      </x:c>
      <x:c r="S552" s="17" t="str"/>
      <x:c r="T552" s="17" t="str"/>
      <x:c r="U552" s="17" t="str">
        <x:v>r1</x:v>
      </x:c>
      <x:c r="V552" s="30" t="n">
        <x:v>1</x:v>
      </x:c>
      <x:c r="W552" s="17" t="str">
        <x:v>high</x:v>
      </x:c>
    </x:row>
    <x:row r="553" ht="54" customHeight="1">
      <x:c r="A553" s="17" t="str">
        <x:v>BUS133</x:v>
      </x:c>
      <x:c r="B553" s="17" t="str">
        <x:v>人工智能板块当前涨跌幅、成交额和成交量是多少？</x:v>
      </x:c>
      <x:c r="C553" s="17" t="n">
        <x:v>1</x:v>
      </x:c>
      <x:c r="D553" s="17" t="str"/>
      <x:c r="E553" s="17" t="str">
        <x:v>工具调用</x:v>
      </x:c>
      <x:c r="F553" s="17" t="str">
        <x:v>read_finance_catalog</x:v>
      </x:c>
      <x:c r="G553" s="17" t="str"/>
      <x:c r="H553" s="17" t="str"/>
      <x:c r="I553" s="17" t="str">
        <x:v>合理操作</x:v>
      </x:c>
      <x:c r="J553" s="17" t="str">
        <x:v>是</x:v>
      </x:c>
      <x:c r="K553" s="18"/>
      <x:c r="L553" s="17" t="str">
        <x:v>否</x:v>
      </x:c>
      <x:c r="M553" s="17" t="str">
        <x:v>否</x:v>
      </x:c>
      <x:c r="N553" s="17" t="str">
        <x:v>target_catalog_located</x:v>
      </x:c>
      <x:c r="O553" s="17" t="str">
        <x:v>expected_dataview_catalog</x:v>
      </x:c>
      <x:c r="P553" s="17" t="str"/>
      <x:c r="Q553" s="17" t="str"/>
      <x:c r="R553" s="17" t="str"/>
      <x:c r="S553" s="17" t="str">
        <x:v>plate</x:v>
      </x:c>
      <x:c r="T553" s="17" t="str">
        <x:v>quote</x:v>
      </x:c>
      <x:c r="U553" s="17" t="str"/>
      <x:c r="V553" s="30"/>
      <x:c r="W553" s="17" t="str">
        <x:v>high</x:v>
      </x:c>
    </x:row>
    <x:row r="554" ht="54" customHeight="1">
      <x:c r="A554" s="17" t="str">
        <x:v>BUS133</x:v>
      </x:c>
      <x:c r="B554" s="17" t="str">
        <x:v>人工智能板块当前涨跌幅、成交额和成交量是多少？</x:v>
      </x:c>
      <x:c r="C554" s="17" t="n">
        <x:v>2</x:v>
      </x:c>
      <x:c r="D554" s="17" t="str"/>
      <x:c r="E554" s="17" t="str">
        <x:v>工具调用</x:v>
      </x:c>
      <x:c r="F554" s="17" t="str">
        <x:v>read_finance_catalog</x:v>
      </x:c>
      <x:c r="G554" s="17" t="str"/>
      <x:c r="H554" s="17" t="str"/>
      <x:c r="I554" s="17" t="str">
        <x:v>合理操作</x:v>
      </x:c>
      <x:c r="J554" s="17" t="str">
        <x:v>是</x:v>
      </x:c>
      <x:c r="K554" s="18"/>
      <x:c r="L554" s="17" t="str">
        <x:v>否</x:v>
      </x:c>
      <x:c r="M554" s="17" t="str">
        <x:v>否</x:v>
      </x:c>
      <x:c r="N554" s="17" t="str">
        <x:v>subject_catalog_discovery</x:v>
      </x:c>
      <x:c r="O554" s="17" t="str">
        <x:v>expected_subject_catalog</x:v>
      </x:c>
      <x:c r="P554" s="17" t="str"/>
      <x:c r="Q554" s="17" t="str"/>
      <x:c r="R554" s="17" t="str"/>
      <x:c r="S554" s="17" t="str">
        <x:v>plate</x:v>
      </x:c>
      <x:c r="T554" s="17" t="str">
        <x:v>basic_info</x:v>
      </x:c>
      <x:c r="U554" s="17" t="str"/>
      <x:c r="V554" s="30"/>
      <x:c r="W554" s="17" t="str">
        <x:v>medium</x:v>
      </x:c>
    </x:row>
    <x:row r="555" ht="54" customHeight="1">
      <x:c r="A555" s="17" t="str">
        <x:v>BUS133</x:v>
      </x:c>
      <x:c r="B555" s="17" t="str">
        <x:v>人工智能板块当前涨跌幅、成交额和成交量是多少？</x:v>
      </x:c>
      <x:c r="C555" s="17" t="n">
        <x:v>3</x:v>
      </x:c>
      <x:c r="D555" s="17" t="str"/>
      <x:c r="E555" s="17" t="str">
        <x:v>工具调用</x:v>
      </x:c>
      <x:c r="F555" s="17" t="str">
        <x:v>finance_query</x:v>
      </x:c>
      <x:c r="G555" s="17" t="str">
        <x:v>r1 = plate.basic_info(filter = "plate_name like '%人工智能%'", limit = 10) -&gt; plate_code, plate_name</x:v>
      </x:c>
      <x:c r="H555" s="17" t="str"/>
      <x:c r="I555" s="17" t="str">
        <x:v>合理操作</x:v>
      </x:c>
      <x:c r="J555" s="17" t="str">
        <x:v>是</x:v>
      </x:c>
      <x:c r="K555" s="18"/>
      <x:c r="L555" s="17" t="str">
        <x:v>否</x:v>
      </x:c>
      <x:c r="M555" s="17" t="str">
        <x:v>否</x:v>
      </x:c>
      <x:c r="N555" s="17" t="str">
        <x:v>same_subject_dependency</x:v>
      </x:c>
      <x:c r="O555" s="17" t="str">
        <x:v>supporting_api_for_expected_subject</x:v>
      </x:c>
      <x:c r="P555" s="17" t="str">
        <x:v>session://financial_qa_33499cfa81de4d06_2828_e1f6bcd7b976/vars/v1</x:v>
      </x:c>
      <x:c r="Q555" s="17" t="str"/>
      <x:c r="R555" s="17" t="str">
        <x:v>plate.basic_info</x:v>
      </x:c>
      <x:c r="S555" s="17" t="str"/>
      <x:c r="T555" s="17" t="str"/>
      <x:c r="U555" s="17" t="str">
        <x:v>r1</x:v>
      </x:c>
      <x:c r="V555" s="30" t="n">
        <x:v>1</x:v>
      </x:c>
      <x:c r="W555" s="17" t="str">
        <x:v>medium</x:v>
      </x:c>
    </x:row>
    <x:row r="556" ht="54" customHeight="1">
      <x:c r="A556" s="17" t="str">
        <x:v>BUS133</x:v>
      </x:c>
      <x:c r="B556" s="17" t="str">
        <x:v>人工智能板块当前涨跌幅、成交额和成交量是多少？</x:v>
      </x:c>
      <x:c r="C556" s="17" t="n">
        <x:v>4</x:v>
      </x:c>
      <x:c r="D556" s="17" t="str"/>
      <x:c r="E556" s="17" t="str">
        <x:v>工具调用</x:v>
      </x:c>
      <x:c r="F556" s="17" t="str">
        <x:v>finance_query</x:v>
      </x:c>
      <x:c r="G556" s="17" t="str">
        <x:v>r2 = plate.quote(filter = "code = 882347", limit = 1, realtime = 2) -&gt; code, name, tradedate, pct, amount, volumn</x:v>
      </x:c>
      <x:c r="H556" s="17" t="str"/>
      <x:c r="I556" s="17" t="str">
        <x:v>合理操作</x:v>
      </x:c>
      <x:c r="J556" s="17" t="str">
        <x:v>是</x:v>
      </x:c>
      <x:c r="K556" s="18"/>
      <x:c r="L556" s="17" t="str">
        <x:v>否</x:v>
      </x:c>
      <x:c r="M556" s="17" t="str">
        <x:v>否</x:v>
      </x:c>
      <x:c r="N556" s="17" t="str">
        <x:v>target_api_executed</x:v>
      </x:c>
      <x:c r="O556" s="17" t="str">
        <x:v>expected_dataview_coverage</x:v>
      </x:c>
      <x:c r="P556" s="17" t="str">
        <x:v>session://financial_qa_33499cfa81de4d06_2828_e1f6bcd7b976/vars/v2</x:v>
      </x:c>
      <x:c r="Q556" s="17" t="str"/>
      <x:c r="R556" s="17" t="str">
        <x:v>plate.quote</x:v>
      </x:c>
      <x:c r="S556" s="17" t="str"/>
      <x:c r="T556" s="17" t="str"/>
      <x:c r="U556" s="17" t="str">
        <x:v>r2</x:v>
      </x:c>
      <x:c r="V556" s="30" t="n">
        <x:v>1</x:v>
      </x:c>
      <x:c r="W556" s="17" t="str">
        <x:v>high</x:v>
      </x:c>
    </x:row>
    <x:row r="557" ht="54" customHeight="1">
      <x:c r="A557" s="17" t="str">
        <x:v>BUS134</x:v>
      </x:c>
      <x:c r="B557" s="17" t="str">
        <x:v>今天涨幅最高的板块前20名。</x:v>
      </x:c>
      <x:c r="C557" s="17" t="n">
        <x:v>1</x:v>
      </x:c>
      <x:c r="D557" s="17" t="str"/>
      <x:c r="E557" s="17" t="str">
        <x:v>工具调用</x:v>
      </x:c>
      <x:c r="F557" s="17" t="str">
        <x:v>read_finance_catalog</x:v>
      </x:c>
      <x:c r="G557" s="17" t="str"/>
      <x:c r="H557" s="17" t="str"/>
      <x:c r="I557" s="17" t="str">
        <x:v>合理操作</x:v>
      </x:c>
      <x:c r="J557" s="17" t="str">
        <x:v>是</x:v>
      </x:c>
      <x:c r="K557" s="18"/>
      <x:c r="L557" s="17" t="str">
        <x:v>否</x:v>
      </x:c>
      <x:c r="M557" s="17" t="str">
        <x:v>否</x:v>
      </x:c>
      <x:c r="N557" s="17" t="str">
        <x:v>target_catalog_located</x:v>
      </x:c>
      <x:c r="O557" s="17" t="str">
        <x:v>expected_dataview_catalog</x:v>
      </x:c>
      <x:c r="P557" s="17" t="str"/>
      <x:c r="Q557" s="17" t="str"/>
      <x:c r="R557" s="17" t="str"/>
      <x:c r="S557" s="17" t="str">
        <x:v>plate</x:v>
      </x:c>
      <x:c r="T557" s="17" t="str">
        <x:v>quote</x:v>
      </x:c>
      <x:c r="U557" s="17" t="str"/>
      <x:c r="V557" s="30"/>
      <x:c r="W557" s="17" t="str">
        <x:v>high</x:v>
      </x:c>
    </x:row>
    <x:row r="558" ht="54" customHeight="1">
      <x:c r="A558" s="17" t="str">
        <x:v>BUS134</x:v>
      </x:c>
      <x:c r="B558" s="17" t="str">
        <x:v>今天涨幅最高的板块前20名。</x:v>
      </x:c>
      <x:c r="C558" s="17" t="n">
        <x:v>2</x:v>
      </x:c>
      <x:c r="D558" s="17" t="str"/>
      <x:c r="E558" s="17" t="str">
        <x:v>工具调用</x:v>
      </x:c>
      <x:c r="F558" s="17" t="str">
        <x:v>finance_query</x:v>
      </x:c>
      <x:c r="G558" s="17" t="str">
        <x:v>r1 = plate.quote(filter = "tradedate = -1", order = "pct desc", limit = 20, realtime = 0) -&gt; code, name, tradedate, close, pct, amount</x:v>
      </x:c>
      <x:c r="H558" s="17" t="str"/>
      <x:c r="I558" s="17" t="str">
        <x:v>合理操作</x:v>
      </x:c>
      <x:c r="J558" s="17" t="str">
        <x:v>是</x:v>
      </x:c>
      <x:c r="K558" s="18"/>
      <x:c r="L558" s="17" t="str">
        <x:v>否</x:v>
      </x:c>
      <x:c r="M558" s="17" t="str">
        <x:v>否</x:v>
      </x:c>
      <x:c r="N558" s="17" t="str">
        <x:v>target_api_executed</x:v>
      </x:c>
      <x:c r="O558" s="17" t="str">
        <x:v>expected_dataview_coverage</x:v>
      </x:c>
      <x:c r="P558" s="17" t="str">
        <x:v>session://financial_qa_33499cfa81de4d06_2829_75d80a40a6df/vars/v1</x:v>
      </x:c>
      <x:c r="Q558" s="17" t="str"/>
      <x:c r="R558" s="17" t="str">
        <x:v>plate.quote</x:v>
      </x:c>
      <x:c r="S558" s="17" t="str"/>
      <x:c r="T558" s="17" t="str"/>
      <x:c r="U558" s="17" t="str">
        <x:v>r1</x:v>
      </x:c>
      <x:c r="V558" s="30" t="n">
        <x:v>0</x:v>
      </x:c>
      <x:c r="W558" s="17" t="str">
        <x:v>high</x:v>
      </x:c>
    </x:row>
    <x:row r="559" ht="54" customHeight="1">
      <x:c r="A559" s="17" t="str">
        <x:v>BUS134</x:v>
      </x:c>
      <x:c r="B559" s="17" t="str">
        <x:v>今天涨幅最高的板块前20名。</x:v>
      </x:c>
      <x:c r="C559" s="17" t="n">
        <x:v>3</x:v>
      </x:c>
      <x:c r="D559" s="17" t="str"/>
      <x:c r="E559" s="17" t="str">
        <x:v>工具调用</x:v>
      </x:c>
      <x:c r="F559" s="17" t="str">
        <x:v>finance_query</x:v>
      </x:c>
      <x:c r="G559" s="17" t="str">
        <x:v>r2 = plate.quote(filter = "pct is not null", order = "pct desc", limit = 5, realtime = 0) -&gt; code, name, tradedate, close, pct</x:v>
      </x:c>
      <x:c r="H559" s="17" t="str"/>
      <x:c r="I559" s="17" t="str">
        <x:v>设计浪费</x:v>
      </x:c>
      <x:c r="J559" s="17" t="str">
        <x:v>否</x:v>
      </x:c>
      <x:c r="K559" s="18"/>
      <x:c r="L559" s="17" t="str">
        <x:v>否</x:v>
      </x:c>
      <x:c r="M559" s="17" t="str">
        <x:v>否</x:v>
      </x:c>
      <x:c r="N559" s="17" t="str">
        <x:v>requery_after_terminal_zero</x:v>
      </x:c>
      <x:c r="O559" s="17" t="str">
        <x:v>terminal_zero_requery</x:v>
      </x:c>
      <x:c r="P559" s="17" t="str">
        <x:v>session://financial_qa_33499cfa81de4d06_2829_75d80a40a6df/vars/v2</x:v>
      </x:c>
      <x:c r="Q559" s="17" t="str"/>
      <x:c r="R559" s="17" t="str">
        <x:v>plate.quote</x:v>
      </x:c>
      <x:c r="S559" s="17" t="str"/>
      <x:c r="T559" s="17" t="str"/>
      <x:c r="U559" s="17" t="str">
        <x:v>r2</x:v>
      </x:c>
      <x:c r="V559" s="30" t="n">
        <x:v>5</x:v>
      </x:c>
      <x:c r="W559" s="17" t="str">
        <x:v>high</x:v>
      </x:c>
    </x:row>
    <x:row r="560" ht="54" customHeight="1">
      <x:c r="A560" s="17" t="str">
        <x:v>BUS134</x:v>
      </x:c>
      <x:c r="B560" s="17" t="str">
        <x:v>今天涨幅最高的板块前20名。</x:v>
      </x:c>
      <x:c r="C560" s="17" t="n">
        <x:v>4</x:v>
      </x:c>
      <x:c r="D560" s="17" t="str"/>
      <x:c r="E560" s="17" t="str">
        <x:v>工具调用</x:v>
      </x:c>
      <x:c r="F560" s="17" t="str">
        <x:v>finance_query</x:v>
      </x:c>
      <x:c r="G560" s="17" t="str">
        <x:v>r3 = plate.quote(filter = "pct is not null", order = "tradedate desc", limit = 3, realtime = 0) -&gt; code, name, tradedate, close, pct</x:v>
      </x:c>
      <x:c r="H560" s="17" t="str"/>
      <x:c r="I560" s="17" t="str">
        <x:v>合理操作</x:v>
      </x:c>
      <x:c r="J560" s="17" t="str">
        <x:v>是</x:v>
      </x:c>
      <x:c r="K560" s="18"/>
      <x:c r="L560" s="17" t="str">
        <x:v>否</x:v>
      </x:c>
      <x:c r="M560" s="17" t="str">
        <x:v>否</x:v>
      </x:c>
      <x:c r="N560" s="17" t="str">
        <x:v>target_api_executed</x:v>
      </x:c>
      <x:c r="O560" s="17" t="str">
        <x:v>expected_dataview_coverage</x:v>
      </x:c>
      <x:c r="P560" s="17" t="str">
        <x:v>session://financial_qa_33499cfa81de4d06_2829_75d80a40a6df/vars/v3</x:v>
      </x:c>
      <x:c r="Q560" s="17" t="str"/>
      <x:c r="R560" s="17" t="str">
        <x:v>plate.quote</x:v>
      </x:c>
      <x:c r="S560" s="17" t="str"/>
      <x:c r="T560" s="17" t="str"/>
      <x:c r="U560" s="17" t="str">
        <x:v>r3</x:v>
      </x:c>
      <x:c r="V560" s="30" t="n">
        <x:v>3</x:v>
      </x:c>
      <x:c r="W560" s="17" t="str">
        <x:v>high</x:v>
      </x:c>
    </x:row>
    <x:row r="561" ht="54" customHeight="1">
      <x:c r="A561" s="17" t="str">
        <x:v>BUS134</x:v>
      </x:c>
      <x:c r="B561" s="17" t="str">
        <x:v>今天涨幅最高的板块前20名。</x:v>
      </x:c>
      <x:c r="C561" s="17" t="n">
        <x:v>5</x:v>
      </x:c>
      <x:c r="D561" s="17" t="str"/>
      <x:c r="E561" s="17" t="str">
        <x:v>工具调用</x:v>
      </x:c>
      <x:c r="F561" s="17" t="str">
        <x:v>finance_query</x:v>
      </x:c>
      <x:c r="G561" s="17" t="str">
        <x:v>r4 = plate.quote(filter = "tradedate = '2026-07-27'", order = "pct desc", limit = 20, realtime = 0) -&gt; code, name, tradedate, close, pct, amount</x:v>
      </x:c>
      <x:c r="H561" s="17" t="str"/>
      <x:c r="I561" s="17" t="str">
        <x:v>合理操作</x:v>
      </x:c>
      <x:c r="J561" s="17" t="str">
        <x:v>是</x:v>
      </x:c>
      <x:c r="K561" s="18"/>
      <x:c r="L561" s="17" t="str">
        <x:v>否</x:v>
      </x:c>
      <x:c r="M561" s="17" t="str">
        <x:v>否</x:v>
      </x:c>
      <x:c r="N561" s="17" t="str">
        <x:v>target_api_executed</x:v>
      </x:c>
      <x:c r="O561" s="17" t="str">
        <x:v>expected_dataview_coverage</x:v>
      </x:c>
      <x:c r="P561" s="17" t="str">
        <x:v>session://financial_qa_33499cfa81de4d06_2829_75d80a40a6df/vars/v4</x:v>
      </x:c>
      <x:c r="Q561" s="17" t="str"/>
      <x:c r="R561" s="17" t="str">
        <x:v>plate.quote</x:v>
      </x:c>
      <x:c r="S561" s="17" t="str"/>
      <x:c r="T561" s="17" t="str"/>
      <x:c r="U561" s="17" t="str">
        <x:v>r4</x:v>
      </x:c>
      <x:c r="V561" s="30" t="n">
        <x:v>20</x:v>
      </x:c>
      <x:c r="W561" s="17" t="str">
        <x:v>high</x:v>
      </x:c>
    </x:row>
    <x:row r="562" ht="54" customHeight="1">
      <x:c r="A562" s="17" t="str">
        <x:v>BUS134</x:v>
      </x:c>
      <x:c r="B562" s="17" t="str">
        <x:v>今天涨幅最高的板块前20名。</x:v>
      </x:c>
      <x:c r="C562" s="17" t="n">
        <x:v>6</x:v>
      </x:c>
      <x:c r="D562" s="17" t="str"/>
      <x:c r="E562" s="17" t="str">
        <x:v>工具调用</x:v>
      </x:c>
      <x:c r="F562" s="17" t="str">
        <x:v>load_finance_result</x:v>
      </x:c>
      <x:c r="G562" s="17" t="str"/>
      <x:c r="H562" s="17" t="str"/>
      <x:c r="I562" s="17" t="str">
        <x:v>合理操作</x:v>
      </x:c>
      <x:c r="J562" s="17" t="str">
        <x:v>是</x:v>
      </x:c>
      <x:c r="K562" s="18"/>
      <x:c r="L562" s="17" t="str">
        <x:v>否</x:v>
      </x:c>
      <x:c r="M562" s="17" t="str">
        <x:v>否</x:v>
      </x:c>
      <x:c r="N562" s="17" t="str">
        <x:v>load_truncated_result</x:v>
      </x:c>
      <x:c r="O562" s="17" t="str">
        <x:v>sample_incomplete_requires_full_result</x:v>
      </x:c>
      <x:c r="P562" s="17" t="str">
        <x:v>session://financial_qa_33499cfa81de4d06_2829_75d80a40a6df/vars/v4</x:v>
      </x:c>
      <x:c r="Q562" s="17" t="str"/>
      <x:c r="R562" s="17" t="str"/>
      <x:c r="S562" s="17" t="str"/>
      <x:c r="T562" s="17" t="str"/>
      <x:c r="U562" s="17" t="str"/>
      <x:c r="V562" s="30"/>
      <x:c r="W562" s="17" t="str">
        <x:v>high</x:v>
      </x:c>
    </x:row>
    <x:row r="563" ht="54" customHeight="1">
      <x:c r="A563" s="17" t="str">
        <x:v>BUS135</x:v>
      </x:c>
      <x:c r="B563" s="17" t="str">
        <x:v>筛选今天成交额超过100亿元且上涨的板块。</x:v>
      </x:c>
      <x:c r="C563" s="17" t="n">
        <x:v>1</x:v>
      </x:c>
      <x:c r="D563" s="17" t="str"/>
      <x:c r="E563" s="17" t="str">
        <x:v>工具调用</x:v>
      </x:c>
      <x:c r="F563" s="17" t="str">
        <x:v>read_finance_catalog</x:v>
      </x:c>
      <x:c r="G563" s="17" t="str"/>
      <x:c r="H563" s="17" t="str"/>
      <x:c r="I563" s="17" t="str">
        <x:v>合理操作</x:v>
      </x:c>
      <x:c r="J563" s="17" t="str">
        <x:v>是</x:v>
      </x:c>
      <x:c r="K563" s="18"/>
      <x:c r="L563" s="17" t="str">
        <x:v>否</x:v>
      </x:c>
      <x:c r="M563" s="17" t="str">
        <x:v>否</x:v>
      </x:c>
      <x:c r="N563" s="17" t="str">
        <x:v>target_catalog_located</x:v>
      </x:c>
      <x:c r="O563" s="17" t="str">
        <x:v>expected_dataview_catalog</x:v>
      </x:c>
      <x:c r="P563" s="17" t="str"/>
      <x:c r="Q563" s="17" t="str"/>
      <x:c r="R563" s="17" t="str"/>
      <x:c r="S563" s="17" t="str">
        <x:v>plate</x:v>
      </x:c>
      <x:c r="T563" s="17" t="str">
        <x:v>quote</x:v>
      </x:c>
      <x:c r="U563" s="17" t="str"/>
      <x:c r="V563" s="30"/>
      <x:c r="W563" s="17" t="str">
        <x:v>high</x:v>
      </x:c>
    </x:row>
    <x:row r="564" ht="54" customHeight="1">
      <x:c r="A564" s="17" t="str">
        <x:v>BUS135</x:v>
      </x:c>
      <x:c r="B564" s="17" t="str">
        <x:v>筛选今天成交额超过100亿元且上涨的板块。</x:v>
      </x:c>
      <x:c r="C564" s="17" t="n">
        <x:v>2</x:v>
      </x:c>
      <x:c r="D564" s="17" t="str"/>
      <x:c r="E564" s="17" t="str">
        <x:v>工具调用</x:v>
      </x:c>
      <x:c r="F564" s="17" t="str">
        <x:v>finance_query</x:v>
      </x:c>
      <x:c r="G564" s="17" t="str">
        <x:v>r1 = plate.quote(filter = "tradedate = -1 and amount &gt; 10000000000 and pct &gt; 0", order = "amount desc", limit = 50, realtime = 0) -&gt; code, name, tradedate, close, pct, amount</x:v>
      </x:c>
      <x:c r="H564" s="17" t="str"/>
      <x:c r="I564" s="17" t="str">
        <x:v>合理操作</x:v>
      </x:c>
      <x:c r="J564" s="17" t="str">
        <x:v>是</x:v>
      </x:c>
      <x:c r="K564" s="18"/>
      <x:c r="L564" s="17" t="str">
        <x:v>否</x:v>
      </x:c>
      <x:c r="M564" s="17" t="str">
        <x:v>否</x:v>
      </x:c>
      <x:c r="N564" s="17" t="str">
        <x:v>target_api_executed</x:v>
      </x:c>
      <x:c r="O564" s="17" t="str">
        <x:v>expected_dataview_coverage</x:v>
      </x:c>
      <x:c r="P564" s="17" t="str">
        <x:v>session://financial_qa_33499cfa81de4d06_2830_8a286334719a/vars/v1</x:v>
      </x:c>
      <x:c r="Q564" s="17" t="str"/>
      <x:c r="R564" s="17" t="str">
        <x:v>plate.quote</x:v>
      </x:c>
      <x:c r="S564" s="17" t="str"/>
      <x:c r="T564" s="17" t="str"/>
      <x:c r="U564" s="17" t="str">
        <x:v>r1</x:v>
      </x:c>
      <x:c r="V564" s="30" t="n">
        <x:v>0</x:v>
      </x:c>
      <x:c r="W564" s="17" t="str">
        <x:v>high</x:v>
      </x:c>
    </x:row>
    <x:row r="565" ht="54" customHeight="1">
      <x:c r="A565" s="17" t="str">
        <x:v>BUS136</x:v>
      </x:c>
      <x:c r="B565" s="17" t="str">
        <x:v>查询半导体板块最近10个交易日涨跌幅。</x:v>
      </x:c>
      <x:c r="C565" s="17" t="n">
        <x:v>1</x:v>
      </x:c>
      <x:c r="D565" s="17" t="str"/>
      <x:c r="E565" s="17" t="str">
        <x:v>工具调用</x:v>
      </x:c>
      <x:c r="F565" s="17" t="str">
        <x:v>read_finance_catalog</x:v>
      </x:c>
      <x:c r="G565" s="17" t="str"/>
      <x:c r="H565" s="17" t="str"/>
      <x:c r="I565" s="17" t="str">
        <x:v>合理操作</x:v>
      </x:c>
      <x:c r="J565" s="17" t="str">
        <x:v>是</x:v>
      </x:c>
      <x:c r="K565" s="18"/>
      <x:c r="L565" s="17" t="str">
        <x:v>否</x:v>
      </x:c>
      <x:c r="M565" s="17" t="str">
        <x:v>否</x:v>
      </x:c>
      <x:c r="N565" s="17" t="str">
        <x:v>target_catalog_located</x:v>
      </x:c>
      <x:c r="O565" s="17" t="str">
        <x:v>expected_dataview_catalog</x:v>
      </x:c>
      <x:c r="P565" s="17" t="str"/>
      <x:c r="Q565" s="17" t="str"/>
      <x:c r="R565" s="17" t="str"/>
      <x:c r="S565" s="17" t="str">
        <x:v>plate</x:v>
      </x:c>
      <x:c r="T565" s="17" t="str">
        <x:v>quote</x:v>
      </x:c>
      <x:c r="U565" s="17" t="str"/>
      <x:c r="V565" s="30"/>
      <x:c r="W565" s="17" t="str">
        <x:v>high</x:v>
      </x:c>
    </x:row>
    <x:row r="566" ht="54" customHeight="1">
      <x:c r="A566" s="17" t="str">
        <x:v>BUS136</x:v>
      </x:c>
      <x:c r="B566" s="17" t="str">
        <x:v>查询半导体板块最近10个交易日涨跌幅。</x:v>
      </x:c>
      <x:c r="C566" s="17" t="n">
        <x:v>2</x:v>
      </x:c>
      <x:c r="D566" s="17" t="str"/>
      <x:c r="E566" s="17" t="str">
        <x:v>工具调用</x:v>
      </x:c>
      <x:c r="F566" s="17" t="str">
        <x:v>read_finance_catalog</x:v>
      </x:c>
      <x:c r="G566" s="17" t="str"/>
      <x:c r="H566" s="17" t="str"/>
      <x:c r="I566" s="17" t="str">
        <x:v>合理操作</x:v>
      </x:c>
      <x:c r="J566" s="17" t="str">
        <x:v>是</x:v>
      </x:c>
      <x:c r="K566" s="18"/>
      <x:c r="L566" s="17" t="str">
        <x:v>否</x:v>
      </x:c>
      <x:c r="M566" s="17" t="str">
        <x:v>否</x:v>
      </x:c>
      <x:c r="N566" s="17" t="str">
        <x:v>subject_catalog_discovery</x:v>
      </x:c>
      <x:c r="O566" s="17" t="str">
        <x:v>expected_subject_catalog</x:v>
      </x:c>
      <x:c r="P566" s="17" t="str"/>
      <x:c r="Q566" s="17" t="str"/>
      <x:c r="R566" s="17" t="str"/>
      <x:c r="S566" s="17" t="str">
        <x:v>plate</x:v>
      </x:c>
      <x:c r="T566" s="17" t="str">
        <x:v>basic_info</x:v>
      </x:c>
      <x:c r="U566" s="17" t="str"/>
      <x:c r="V566" s="30"/>
      <x:c r="W566" s="17" t="str">
        <x:v>medium</x:v>
      </x:c>
    </x:row>
    <x:row r="567" ht="54" customHeight="1">
      <x:c r="A567" s="17" t="str">
        <x:v>BUS136</x:v>
      </x:c>
      <x:c r="B567" s="17" t="str">
        <x:v>查询半导体板块最近10个交易日涨跌幅。</x:v>
      </x:c>
      <x:c r="C567" s="17" t="n">
        <x:v>3</x:v>
      </x:c>
      <x:c r="D567" s="17" t="str"/>
      <x:c r="E567" s="17" t="str">
        <x:v>工具调用</x:v>
      </x:c>
      <x:c r="F567" s="17" t="str">
        <x:v>finance_query</x:v>
      </x:c>
      <x:c r="G567" s="17" t="str">
        <x:v>r1 = plate.basic_info(filter = "plate_name like '%半导体%'", limit = 10) -&gt; plate_code, plate_name</x:v>
      </x:c>
      <x:c r="H567" s="17" t="str"/>
      <x:c r="I567" s="17" t="str">
        <x:v>合理操作</x:v>
      </x:c>
      <x:c r="J567" s="17" t="str">
        <x:v>是</x:v>
      </x:c>
      <x:c r="K567" s="18"/>
      <x:c r="L567" s="17" t="str">
        <x:v>否</x:v>
      </x:c>
      <x:c r="M567" s="17" t="str">
        <x:v>否</x:v>
      </x:c>
      <x:c r="N567" s="17" t="str">
        <x:v>same_subject_dependency</x:v>
      </x:c>
      <x:c r="O567" s="17" t="str">
        <x:v>supporting_api_for_expected_subject</x:v>
      </x:c>
      <x:c r="P567" s="17" t="str">
        <x:v>session://financial_qa_33499cfa81de4d06_2831_1fb544b1fe2d/vars/v1</x:v>
      </x:c>
      <x:c r="Q567" s="17" t="str"/>
      <x:c r="R567" s="17" t="str">
        <x:v>plate.basic_info</x:v>
      </x:c>
      <x:c r="S567" s="17" t="str"/>
      <x:c r="T567" s="17" t="str"/>
      <x:c r="U567" s="17" t="str">
        <x:v>r1</x:v>
      </x:c>
      <x:c r="V567" s="30" t="n">
        <x:v>7</x:v>
      </x:c>
      <x:c r="W567" s="17" t="str">
        <x:v>medium</x:v>
      </x:c>
    </x:row>
    <x:row r="568" ht="54" customHeight="1">
      <x:c r="A568" s="17" t="str">
        <x:v>BUS136</x:v>
      </x:c>
      <x:c r="B568" s="17" t="str">
        <x:v>查询半导体板块最近10个交易日涨跌幅。</x:v>
      </x:c>
      <x:c r="C568" s="17" t="n">
        <x:v>4</x:v>
      </x:c>
      <x:c r="D568" s="17" t="str"/>
      <x:c r="E568" s="17" t="str">
        <x:v>工具调用</x:v>
      </x:c>
      <x:c r="F568" s="17" t="str">
        <x:v>finance_query</x:v>
      </x:c>
      <x:c r="G568" s="17" t="str">
        <x:v>r2 = plate.quote.kd_pct_sum(k = 10, filter = "code = 883720", realtime = 0) -&gt; code, name, value as pct_10d</x:v>
      </x:c>
      <x:c r="H568" s="17" t="str"/>
      <x:c r="I568" s="17" t="str">
        <x:v>合理操作</x:v>
      </x:c>
      <x:c r="J568" s="17" t="str">
        <x:v>是</x:v>
      </x:c>
      <x:c r="K568" s="18"/>
      <x:c r="L568" s="17" t="str">
        <x:v>否</x:v>
      </x:c>
      <x:c r="M568" s="17" t="str">
        <x:v>否</x:v>
      </x:c>
      <x:c r="N568" s="17" t="str">
        <x:v>target_api_executed</x:v>
      </x:c>
      <x:c r="O568" s="17" t="str">
        <x:v>expected_dataview_coverage</x:v>
      </x:c>
      <x:c r="P568" s="17" t="str">
        <x:v>session://financial_qa_33499cfa81de4d06_2831_1fb544b1fe2d/vars/v2</x:v>
      </x:c>
      <x:c r="Q568" s="17" t="str"/>
      <x:c r="R568" s="17" t="str">
        <x:v>plate.quote.kd_pct_sum</x:v>
      </x:c>
      <x:c r="S568" s="17" t="str"/>
      <x:c r="T568" s="17" t="str"/>
      <x:c r="U568" s="17" t="str">
        <x:v>r2</x:v>
      </x:c>
      <x:c r="V568" s="30" t="n">
        <x:v>1</x:v>
      </x:c>
      <x:c r="W568" s="17" t="str">
        <x:v>high</x:v>
      </x:c>
    </x:row>
    <x:row r="569" ht="54" customHeight="1">
      <x:c r="A569" s="17" t="str">
        <x:v>BUS137</x:v>
      </x:c>
      <x:c r="B569" s="17" t="str">
        <x:v>过去20个交易日累计涨幅最高的板块前10名。</x:v>
      </x:c>
      <x:c r="C569" s="17" t="n">
        <x:v>1</x:v>
      </x:c>
      <x:c r="D569" s="17" t="str"/>
      <x:c r="E569" s="17" t="str">
        <x:v>工具调用</x:v>
      </x:c>
      <x:c r="F569" s="17" t="str">
        <x:v>read_finance_catalog</x:v>
      </x:c>
      <x:c r="G569" s="17" t="str"/>
      <x:c r="H569" s="17" t="str"/>
      <x:c r="I569" s="17" t="str">
        <x:v>合理操作</x:v>
      </x:c>
      <x:c r="J569" s="17" t="str">
        <x:v>是</x:v>
      </x:c>
      <x:c r="K569" s="18"/>
      <x:c r="L569" s="17" t="str">
        <x:v>否</x:v>
      </x:c>
      <x:c r="M569" s="17" t="str">
        <x:v>否</x:v>
      </x:c>
      <x:c r="N569" s="17" t="str">
        <x:v>target_catalog_located</x:v>
      </x:c>
      <x:c r="O569" s="17" t="str">
        <x:v>expected_dataview_catalog</x:v>
      </x:c>
      <x:c r="P569" s="17" t="str"/>
      <x:c r="Q569" s="17" t="str"/>
      <x:c r="R569" s="17" t="str"/>
      <x:c r="S569" s="17" t="str">
        <x:v>plate</x:v>
      </x:c>
      <x:c r="T569" s="17" t="str">
        <x:v>quote</x:v>
      </x:c>
      <x:c r="U569" s="17" t="str"/>
      <x:c r="V569" s="30"/>
      <x:c r="W569" s="17" t="str">
        <x:v>high</x:v>
      </x:c>
    </x:row>
    <x:row r="570" ht="54" customHeight="1">
      <x:c r="A570" s="17" t="str">
        <x:v>BUS137</x:v>
      </x:c>
      <x:c r="B570" s="17" t="str">
        <x:v>过去20个交易日累计涨幅最高的板块前10名。</x:v>
      </x:c>
      <x:c r="C570" s="17" t="n">
        <x:v>2</x:v>
      </x:c>
      <x:c r="D570" s="17" t="str"/>
      <x:c r="E570" s="17" t="str">
        <x:v>工具调用</x:v>
      </x:c>
      <x:c r="F570" s="17" t="str">
        <x:v>finance_query</x:v>
      </x:c>
      <x:c r="G570" s="17" t="str">
        <x:v>r1 = plate.quote.kd_pct_sum(k = 20, order = "value desc", limit = 10, realtime = 0) -&gt; code, name, value as pct_20d</x:v>
      </x:c>
      <x:c r="H570" s="17" t="str"/>
      <x:c r="I570" s="17" t="str">
        <x:v>合理操作</x:v>
      </x:c>
      <x:c r="J570" s="17" t="str">
        <x:v>是</x:v>
      </x:c>
      <x:c r="K570" s="18"/>
      <x:c r="L570" s="17" t="str">
        <x:v>否</x:v>
      </x:c>
      <x:c r="M570" s="17" t="str">
        <x:v>否</x:v>
      </x:c>
      <x:c r="N570" s="17" t="str">
        <x:v>target_api_executed</x:v>
      </x:c>
      <x:c r="O570" s="17" t="str">
        <x:v>expected_dataview_coverage</x:v>
      </x:c>
      <x:c r="P570" s="17" t="str">
        <x:v>session://financial_qa_33499cfa81de4d06_2832_0907a1cb83bb/vars/v1</x:v>
      </x:c>
      <x:c r="Q570" s="17" t="str"/>
      <x:c r="R570" s="17" t="str">
        <x:v>plate.quote.kd_pct_sum</x:v>
      </x:c>
      <x:c r="S570" s="17" t="str"/>
      <x:c r="T570" s="17" t="str"/>
      <x:c r="U570" s="17" t="str">
        <x:v>r1</x:v>
      </x:c>
      <x:c r="V570" s="30" t="n">
        <x:v>10</x:v>
      </x:c>
      <x:c r="W570" s="17" t="str">
        <x:v>high</x:v>
      </x:c>
    </x:row>
    <x:row r="571" ht="54" customHeight="1">
      <x:c r="A571" s="17" t="str">
        <x:v>BUS137</x:v>
      </x:c>
      <x:c r="B571" s="17" t="str">
        <x:v>过去20个交易日累计涨幅最高的板块前10名。</x:v>
      </x:c>
      <x:c r="C571" s="17" t="n">
        <x:v>3</x:v>
      </x:c>
      <x:c r="D571" s="17" t="str"/>
      <x:c r="E571" s="17" t="str">
        <x:v>工具调用</x:v>
      </x:c>
      <x:c r="F571" s="17" t="str">
        <x:v>load_finance_result</x:v>
      </x:c>
      <x:c r="G571" s="17" t="str"/>
      <x:c r="H571" s="17" t="str"/>
      <x:c r="I571" s="17" t="str">
        <x:v>合理操作</x:v>
      </x:c>
      <x:c r="J571" s="17" t="str">
        <x:v>是</x:v>
      </x:c>
      <x:c r="K571" s="18"/>
      <x:c r="L571" s="17" t="str">
        <x:v>否</x:v>
      </x:c>
      <x:c r="M571" s="17" t="str">
        <x:v>否</x:v>
      </x:c>
      <x:c r="N571" s="17" t="str">
        <x:v>load_truncated_result</x:v>
      </x:c>
      <x:c r="O571" s="17" t="str">
        <x:v>sample_incomplete_requires_full_result</x:v>
      </x:c>
      <x:c r="P571" s="17" t="str">
        <x:v>session://financial_qa_33499cfa81de4d06_2832_0907a1cb83bb/vars/v1</x:v>
      </x:c>
      <x:c r="Q571" s="17" t="str"/>
      <x:c r="R571" s="17" t="str"/>
      <x:c r="S571" s="17" t="str"/>
      <x:c r="T571" s="17" t="str"/>
      <x:c r="U571" s="17" t="str"/>
      <x:c r="V571" s="30"/>
      <x:c r="W571" s="17" t="str">
        <x:v>high</x:v>
      </x:c>
    </x:row>
    <x:row r="572" ht="54" customHeight="1">
      <x:c r="A572" s="17" t="str">
        <x:v>BUS138</x:v>
      </x:c>
      <x:c r="B572" s="17" t="str">
        <x:v>查询证券板块当前开盘价、最高价、最低价和最新价。</x:v>
      </x:c>
      <x:c r="C572" s="17" t="n">
        <x:v>1</x:v>
      </x:c>
      <x:c r="D572" s="17" t="str"/>
      <x:c r="E572" s="17" t="str">
        <x:v>工具调用</x:v>
      </x:c>
      <x:c r="F572" s="17" t="str">
        <x:v>read_finance_catalog</x:v>
      </x:c>
      <x:c r="G572" s="17" t="str"/>
      <x:c r="H572" s="17" t="str"/>
      <x:c r="I572" s="17" t="str">
        <x:v>合理操作</x:v>
      </x:c>
      <x:c r="J572" s="17" t="str">
        <x:v>是</x:v>
      </x:c>
      <x:c r="K572" s="18"/>
      <x:c r="L572" s="17" t="str">
        <x:v>否</x:v>
      </x:c>
      <x:c r="M572" s="17" t="str">
        <x:v>否</x:v>
      </x:c>
      <x:c r="N572" s="17" t="str">
        <x:v>target_catalog_located</x:v>
      </x:c>
      <x:c r="O572" s="17" t="str">
        <x:v>expected_dataview_catalog</x:v>
      </x:c>
      <x:c r="P572" s="17" t="str"/>
      <x:c r="Q572" s="17" t="str"/>
      <x:c r="R572" s="17" t="str"/>
      <x:c r="S572" s="17" t="str">
        <x:v>plate</x:v>
      </x:c>
      <x:c r="T572" s="17" t="str">
        <x:v>quote</x:v>
      </x:c>
      <x:c r="U572" s="17" t="str"/>
      <x:c r="V572" s="30"/>
      <x:c r="W572" s="17" t="str">
        <x:v>high</x:v>
      </x:c>
    </x:row>
    <x:row r="573" ht="54" customHeight="1">
      <x:c r="A573" s="17" t="str">
        <x:v>BUS138</x:v>
      </x:c>
      <x:c r="B573" s="17" t="str">
        <x:v>查询证券板块当前开盘价、最高价、最低价和最新价。</x:v>
      </x:c>
      <x:c r="C573" s="17" t="n">
        <x:v>2</x:v>
      </x:c>
      <x:c r="D573" s="17" t="str"/>
      <x:c r="E573" s="17" t="str">
        <x:v>工具调用</x:v>
      </x:c>
      <x:c r="F573" s="17" t="str">
        <x:v>read_finance_catalog</x:v>
      </x:c>
      <x:c r="G573" s="17" t="str"/>
      <x:c r="H573" s="17" t="str"/>
      <x:c r="I573" s="17" t="str">
        <x:v>合理操作</x:v>
      </x:c>
      <x:c r="J573" s="17" t="str">
        <x:v>是</x:v>
      </x:c>
      <x:c r="K573" s="18"/>
      <x:c r="L573" s="17" t="str">
        <x:v>否</x:v>
      </x:c>
      <x:c r="M573" s="17" t="str">
        <x:v>否</x:v>
      </x:c>
      <x:c r="N573" s="17" t="str">
        <x:v>subject_catalog_discovery</x:v>
      </x:c>
      <x:c r="O573" s="17" t="str">
        <x:v>expected_subject_catalog</x:v>
      </x:c>
      <x:c r="P573" s="17" t="str"/>
      <x:c r="Q573" s="17" t="str"/>
      <x:c r="R573" s="17" t="str"/>
      <x:c r="S573" s="17" t="str">
        <x:v>plate</x:v>
      </x:c>
      <x:c r="T573" s="17" t="str">
        <x:v>basic_info</x:v>
      </x:c>
      <x:c r="U573" s="17" t="str"/>
      <x:c r="V573" s="30"/>
      <x:c r="W573" s="17" t="str">
        <x:v>medium</x:v>
      </x:c>
    </x:row>
    <x:row r="574" ht="54" customHeight="1">
      <x:c r="A574" s="17" t="str">
        <x:v>BUS138</x:v>
      </x:c>
      <x:c r="B574" s="17" t="str">
        <x:v>查询证券板块当前开盘价、最高价、最低价和最新价。</x:v>
      </x:c>
      <x:c r="C574" s="17" t="n">
        <x:v>3</x:v>
      </x:c>
      <x:c r="D574" s="17" t="str"/>
      <x:c r="E574" s="17" t="str">
        <x:v>工具调用</x:v>
      </x:c>
      <x:c r="F574" s="17" t="str">
        <x:v>finance_query</x:v>
      </x:c>
      <x:c r="G574" s="17" t="str">
        <x:v>r1 = plate.basic_info(filter = "plate_name like '证券'", limit = 10) -&gt; plate_code, plate_name</x:v>
      </x:c>
      <x:c r="H574" s="17" t="str"/>
      <x:c r="I574" s="17" t="str">
        <x:v>合理操作</x:v>
      </x:c>
      <x:c r="J574" s="17" t="str">
        <x:v>是</x:v>
      </x:c>
      <x:c r="K574" s="18"/>
      <x:c r="L574" s="17" t="str">
        <x:v>否</x:v>
      </x:c>
      <x:c r="M574" s="17" t="str">
        <x:v>否</x:v>
      </x:c>
      <x:c r="N574" s="17" t="str">
        <x:v>same_subject_dependency</x:v>
      </x:c>
      <x:c r="O574" s="17" t="str">
        <x:v>supporting_api_for_expected_subject</x:v>
      </x:c>
      <x:c r="P574" s="17" t="str">
        <x:v>session://financial_qa_33499cfa81de4d06_2833_635d35be41a8/vars/v1</x:v>
      </x:c>
      <x:c r="Q574" s="17" t="str"/>
      <x:c r="R574" s="17" t="str">
        <x:v>plate.basic_info</x:v>
      </x:c>
      <x:c r="S574" s="17" t="str"/>
      <x:c r="T574" s="17" t="str"/>
      <x:c r="U574" s="17" t="str">
        <x:v>r1</x:v>
      </x:c>
      <x:c r="V574" s="30" t="n">
        <x:v>1</x:v>
      </x:c>
      <x:c r="W574" s="17" t="str">
        <x:v>medium</x:v>
      </x:c>
    </x:row>
    <x:row r="575" ht="54" customHeight="1">
      <x:c r="A575" s="17" t="str">
        <x:v>BUS138</x:v>
      </x:c>
      <x:c r="B575" s="17" t="str">
        <x:v>查询证券板块当前开盘价、最高价、最低价和最新价。</x:v>
      </x:c>
      <x:c r="C575" s="17" t="n">
        <x:v>4</x:v>
      </x:c>
      <x:c r="D575" s="17" t="str"/>
      <x:c r="E575" s="17" t="str">
        <x:v>工具调用</x:v>
      </x:c>
      <x:c r="F575" s="17" t="str">
        <x:v>finance_query</x:v>
      </x:c>
      <x:c r="G575" s="17" t="str">
        <x:v>r2 = plate.quote(filter = "code in r1.plate_code", realtime = 2, limit = 5) -&gt; code, name, open, high, low, close, pct</x:v>
      </x:c>
      <x:c r="H575" s="17" t="str"/>
      <x:c r="I575" s="17" t="str">
        <x:v>合理操作</x:v>
      </x:c>
      <x:c r="J575" s="17" t="str">
        <x:v>是</x:v>
      </x:c>
      <x:c r="K575" s="18"/>
      <x:c r="L575" s="17" t="str">
        <x:v>否</x:v>
      </x:c>
      <x:c r="M575" s="17" t="str">
        <x:v>否</x:v>
      </x:c>
      <x:c r="N575" s="17" t="str">
        <x:v>target_api_executed</x:v>
      </x:c>
      <x:c r="O575" s="17" t="str">
        <x:v>expected_dataview_coverage</x:v>
      </x:c>
      <x:c r="P575" s="17" t="str">
        <x:v>session://financial_qa_33499cfa81de4d06_2833_635d35be41a8/vars/v2</x:v>
      </x:c>
      <x:c r="Q575" s="17" t="str"/>
      <x:c r="R575" s="17" t="str">
        <x:v>plate.quote</x:v>
      </x:c>
      <x:c r="S575" s="17" t="str"/>
      <x:c r="T575" s="17" t="str"/>
      <x:c r="U575" s="17" t="str">
        <x:v>r2</x:v>
      </x:c>
      <x:c r="V575" s="30" t="n">
        <x:v>1</x:v>
      </x:c>
      <x:c r="W575" s="17" t="str">
        <x:v>high</x:v>
      </x:c>
    </x:row>
    <x:row r="576" ht="54" customHeight="1">
      <x:c r="A576" s="17" t="str">
        <x:v>BUS139</x:v>
      </x:c>
      <x:c r="B576" s="17" t="str">
        <x:v>今天主力净流入最高的板块前20名。</x:v>
      </x:c>
      <x:c r="C576" s="17" t="n">
        <x:v>1</x:v>
      </x:c>
      <x:c r="D576" s="17" t="str"/>
      <x:c r="E576" s="17" t="str">
        <x:v>工具调用</x:v>
      </x:c>
      <x:c r="F576" s="17" t="str">
        <x:v>read_finance_catalog</x:v>
      </x:c>
      <x:c r="G576" s="17" t="str"/>
      <x:c r="H576" s="17" t="str"/>
      <x:c r="I576" s="17" t="str">
        <x:v>合理操作</x:v>
      </x:c>
      <x:c r="J576" s="17" t="str">
        <x:v>是</x:v>
      </x:c>
      <x:c r="K576" s="18"/>
      <x:c r="L576" s="17" t="str">
        <x:v>否</x:v>
      </x:c>
      <x:c r="M576" s="17" t="str">
        <x:v>否</x:v>
      </x:c>
      <x:c r="N576" s="17" t="str">
        <x:v>target_catalog_located</x:v>
      </x:c>
      <x:c r="O576" s="17" t="str">
        <x:v>expected_dataview_catalog</x:v>
      </x:c>
      <x:c r="P576" s="17" t="str"/>
      <x:c r="Q576" s="17" t="str"/>
      <x:c r="R576" s="17" t="str"/>
      <x:c r="S576" s="17" t="str">
        <x:v>plate</x:v>
      </x:c>
      <x:c r="T576" s="17" t="str">
        <x:v>moneyflow</x:v>
      </x:c>
      <x:c r="U576" s="17" t="str"/>
      <x:c r="V576" s="30"/>
      <x:c r="W576" s="17" t="str">
        <x:v>high</x:v>
      </x:c>
    </x:row>
    <x:row r="577" ht="54" customHeight="1">
      <x:c r="A577" s="17" t="str">
        <x:v>BUS139</x:v>
      </x:c>
      <x:c r="B577" s="17" t="str">
        <x:v>今天主力净流入最高的板块前20名。</x:v>
      </x:c>
      <x:c r="C577" s="17" t="n">
        <x:v>2</x:v>
      </x:c>
      <x:c r="D577" s="17" t="str"/>
      <x:c r="E577" s="17" t="str">
        <x:v>工具调用</x:v>
      </x:c>
      <x:c r="F577" s="17" t="str">
        <x:v>finance_query</x:v>
      </x:c>
      <x:c r="G577" s="17" t="str">
        <x:v>r1 = plate.moneyflow(filter = "tradedate = -1", order = "main_net desc", limit = 20, realtime = 0) -&gt; code, name, tradedate, main_net, main_buy, main_sell, main_ratio</x:v>
      </x:c>
      <x:c r="H577" s="17" t="str"/>
      <x:c r="I577" s="17" t="str">
        <x:v>合理操作</x:v>
      </x:c>
      <x:c r="J577" s="17" t="str">
        <x:v>是</x:v>
      </x:c>
      <x:c r="K577" s="18"/>
      <x:c r="L577" s="17" t="str">
        <x:v>否</x:v>
      </x:c>
      <x:c r="M577" s="17" t="str">
        <x:v>否</x:v>
      </x:c>
      <x:c r="N577" s="17" t="str">
        <x:v>target_api_executed</x:v>
      </x:c>
      <x:c r="O577" s="17" t="str">
        <x:v>expected_dataview_coverage</x:v>
      </x:c>
      <x:c r="P577" s="17" t="str">
        <x:v>session://financial_qa_33499cfa81de4d06_2834_f349cba3e7c1/vars/v1</x:v>
      </x:c>
      <x:c r="Q577" s="17" t="str"/>
      <x:c r="R577" s="17" t="str">
        <x:v>plate.moneyflow</x:v>
      </x:c>
      <x:c r="S577" s="17" t="str"/>
      <x:c r="T577" s="17" t="str"/>
      <x:c r="U577" s="17" t="str">
        <x:v>r1</x:v>
      </x:c>
      <x:c r="V577" s="30" t="n">
        <x:v>0</x:v>
      </x:c>
      <x:c r="W577" s="17" t="str">
        <x:v>high</x:v>
      </x:c>
    </x:row>
    <x:row r="578" ht="54" customHeight="1">
      <x:c r="A578" s="17" t="str">
        <x:v>BUS140</x:v>
      </x:c>
      <x:c r="B578" s="17" t="str">
        <x:v>查询人工智能板块最新主力净额和主力净占比。</x:v>
      </x:c>
      <x:c r="C578" s="17" t="n">
        <x:v>1</x:v>
      </x:c>
      <x:c r="D578" s="17" t="str"/>
      <x:c r="E578" s="17" t="str">
        <x:v>工具调用</x:v>
      </x:c>
      <x:c r="F578" s="17" t="str">
        <x:v>read_finance_catalog</x:v>
      </x:c>
      <x:c r="G578" s="17" t="str"/>
      <x:c r="H578" s="17" t="str"/>
      <x:c r="I578" s="17" t="str">
        <x:v>合理操作</x:v>
      </x:c>
      <x:c r="J578" s="17" t="str">
        <x:v>是</x:v>
      </x:c>
      <x:c r="K578" s="18"/>
      <x:c r="L578" s="17" t="str">
        <x:v>否</x:v>
      </x:c>
      <x:c r="M578" s="17" t="str">
        <x:v>否</x:v>
      </x:c>
      <x:c r="N578" s="17" t="str">
        <x:v>target_catalog_located</x:v>
      </x:c>
      <x:c r="O578" s="17" t="str">
        <x:v>expected_dataview_catalog</x:v>
      </x:c>
      <x:c r="P578" s="17" t="str"/>
      <x:c r="Q578" s="17" t="str"/>
      <x:c r="R578" s="17" t="str"/>
      <x:c r="S578" s="17" t="str">
        <x:v>plate</x:v>
      </x:c>
      <x:c r="T578" s="17" t="str">
        <x:v>moneyflow</x:v>
      </x:c>
      <x:c r="U578" s="17" t="str"/>
      <x:c r="V578" s="30"/>
      <x:c r="W578" s="17" t="str">
        <x:v>high</x:v>
      </x:c>
    </x:row>
    <x:row r="579" ht="54" customHeight="1">
      <x:c r="A579" s="17" t="str">
        <x:v>BUS140</x:v>
      </x:c>
      <x:c r="B579" s="17" t="str">
        <x:v>查询人工智能板块最新主力净额和主力净占比。</x:v>
      </x:c>
      <x:c r="C579" s="17" t="n">
        <x:v>2</x:v>
      </x:c>
      <x:c r="D579" s="17" t="str"/>
      <x:c r="E579" s="17" t="str">
        <x:v>工具调用</x:v>
      </x:c>
      <x:c r="F579" s="17" t="str">
        <x:v>read_finance_catalog</x:v>
      </x:c>
      <x:c r="G579" s="17" t="str"/>
      <x:c r="H579" s="17" t="str"/>
      <x:c r="I579" s="17" t="str">
        <x:v>合理操作</x:v>
      </x:c>
      <x:c r="J579" s="17" t="str">
        <x:v>是</x:v>
      </x:c>
      <x:c r="K579" s="18"/>
      <x:c r="L579" s="17" t="str">
        <x:v>否</x:v>
      </x:c>
      <x:c r="M579" s="17" t="str">
        <x:v>否</x:v>
      </x:c>
      <x:c r="N579" s="17" t="str">
        <x:v>target_catalog_located</x:v>
      </x:c>
      <x:c r="O579" s="17" t="str">
        <x:v>expected_dataview_catalog</x:v>
      </x:c>
      <x:c r="P579" s="17" t="str"/>
      <x:c r="Q579" s="17" t="str"/>
      <x:c r="R579" s="17" t="str"/>
      <x:c r="S579" s="17" t="str">
        <x:v>plate</x:v>
      </x:c>
      <x:c r="T579" s="17" t="str">
        <x:v>basic_info</x:v>
      </x:c>
      <x:c r="U579" s="17" t="str"/>
      <x:c r="V579" s="30"/>
      <x:c r="W579" s="17" t="str">
        <x:v>high</x:v>
      </x:c>
    </x:row>
    <x:row r="580" ht="54" customHeight="1">
      <x:c r="A580" s="17" t="str">
        <x:v>BUS140</x:v>
      </x:c>
      <x:c r="B580" s="17" t="str">
        <x:v>查询人工智能板块最新主力净额和主力净占比。</x:v>
      </x:c>
      <x:c r="C580" s="17" t="n">
        <x:v>3</x:v>
      </x:c>
      <x:c r="D580" s="17" t="str"/>
      <x:c r="E580" s="17" t="str">
        <x:v>工具调用</x:v>
      </x:c>
      <x:c r="F580" s="17" t="str">
        <x:v>finance_query</x:v>
      </x:c>
      <x:c r="G580" s="17" t="str">
        <x:v>r1 = plate.basic_info(filter = "plate_name = '人工智能'", limit = 10) -&gt; plate_code, plate_name</x:v>
      </x:c>
      <x:c r="H580" s="17" t="str"/>
      <x:c r="I580" s="17" t="str">
        <x:v>合理操作</x:v>
      </x:c>
      <x:c r="J580" s="17" t="str">
        <x:v>是</x:v>
      </x:c>
      <x:c r="K580" s="18"/>
      <x:c r="L580" s="17" t="str">
        <x:v>否</x:v>
      </x:c>
      <x:c r="M580" s="17" t="str">
        <x:v>否</x:v>
      </x:c>
      <x:c r="N580" s="17" t="str">
        <x:v>target_api_executed</x:v>
      </x:c>
      <x:c r="O580" s="17" t="str">
        <x:v>expected_dataview_coverage</x:v>
      </x:c>
      <x:c r="P580" s="17" t="str">
        <x:v>session://financial_qa_33499cfa81de4d06_2835_669061533222/vars/v1</x:v>
      </x:c>
      <x:c r="Q580" s="17" t="str"/>
      <x:c r="R580" s="17" t="str">
        <x:v>plate.basic_info</x:v>
      </x:c>
      <x:c r="S580" s="17" t="str"/>
      <x:c r="T580" s="17" t="str"/>
      <x:c r="U580" s="17" t="str">
        <x:v>r1</x:v>
      </x:c>
      <x:c r="V580" s="30" t="n">
        <x:v>1</x:v>
      </x:c>
      <x:c r="W580" s="17" t="str">
        <x:v>high</x:v>
      </x:c>
    </x:row>
    <x:row r="581" ht="54" customHeight="1">
      <x:c r="A581" s="17" t="str">
        <x:v>BUS140</x:v>
      </x:c>
      <x:c r="B581" s="17" t="str">
        <x:v>查询人工智能板块最新主力净额和主力净占比。</x:v>
      </x:c>
      <x:c r="C581" s="17" t="n">
        <x:v>4</x:v>
      </x:c>
      <x:c r="D581" s="17" t="str"/>
      <x:c r="E581" s="17" t="str">
        <x:v>工具调用</x:v>
      </x:c>
      <x:c r="F581" s="17" t="str">
        <x:v>finance_query</x:v>
      </x:c>
      <x:c r="G581" s="17" t="str">
        <x:v>r2 = plate.moneyflow(filter = "code in r1.plate_code and tradedate = -1", limit = 1, realtime = 0) -&gt; code, name, tradedate, main_net, main_ratio</x:v>
      </x:c>
      <x:c r="H581" s="17" t="str"/>
      <x:c r="I581" s="17" t="str">
        <x:v>合理操作</x:v>
      </x:c>
      <x:c r="J581" s="17" t="str">
        <x:v>是</x:v>
      </x:c>
      <x:c r="K581" s="18"/>
      <x:c r="L581" s="17" t="str">
        <x:v>否</x:v>
      </x:c>
      <x:c r="M581" s="17" t="str">
        <x:v>否</x:v>
      </x:c>
      <x:c r="N581" s="17" t="str">
        <x:v>target_api_executed</x:v>
      </x:c>
      <x:c r="O581" s="17" t="str">
        <x:v>expected_dataview_coverage</x:v>
      </x:c>
      <x:c r="P581" s="17" t="str">
        <x:v>session://financial_qa_33499cfa81de4d06_2835_669061533222/vars/v2</x:v>
      </x:c>
      <x:c r="Q581" s="17" t="str"/>
      <x:c r="R581" s="17" t="str">
        <x:v>plate.moneyflow</x:v>
      </x:c>
      <x:c r="S581" s="17" t="str"/>
      <x:c r="T581" s="17" t="str"/>
      <x:c r="U581" s="17" t="str">
        <x:v>r2</x:v>
      </x:c>
      <x:c r="V581" s="30" t="n">
        <x:v>0</x:v>
      </x:c>
      <x:c r="W581" s="17" t="str">
        <x:v>high</x:v>
      </x:c>
    </x:row>
    <x:row r="582" ht="54" customHeight="1">
      <x:c r="A582" s="17" t="str">
        <x:v>BUS140</x:v>
      </x:c>
      <x:c r="B582" s="17" t="str">
        <x:v>查询人工智能板块最新主力净额和主力净占比。</x:v>
      </x:c>
      <x:c r="C582" s="17" t="n">
        <x:v>5</x:v>
      </x:c>
      <x:c r="D582" s="17" t="str"/>
      <x:c r="E582" s="17" t="str">
        <x:v>工具调用</x:v>
      </x:c>
      <x:c r="F582" s="17" t="str">
        <x:v>finance_query</x:v>
      </x:c>
      <x:c r="G582" s="17" t="str">
        <x:v>r3 = plate.moneyflow(filter = "code = 882347", limit = 1, realtime = 2) -&gt; code, name, tradedate, main_net, main_ratio</x:v>
      </x:c>
      <x:c r="H582" s="17" t="str"/>
      <x:c r="I582" s="17" t="str">
        <x:v>设计浪费</x:v>
      </x:c>
      <x:c r="J582" s="17" t="str">
        <x:v>否</x:v>
      </x:c>
      <x:c r="K582" s="18"/>
      <x:c r="L582" s="17" t="str">
        <x:v>否</x:v>
      </x:c>
      <x:c r="M582" s="17" t="str">
        <x:v>否</x:v>
      </x:c>
      <x:c r="N582" s="17" t="str">
        <x:v>requery_after_terminal_zero</x:v>
      </x:c>
      <x:c r="O582" s="17" t="str">
        <x:v>terminal_zero_requery</x:v>
      </x:c>
      <x:c r="P582" s="17" t="str">
        <x:v>session://financial_qa_33499cfa81de4d06_2835_669061533222/vars/v3</x:v>
      </x:c>
      <x:c r="Q582" s="17" t="str"/>
      <x:c r="R582" s="17" t="str">
        <x:v>plate.moneyflow</x:v>
      </x:c>
      <x:c r="S582" s="17" t="str"/>
      <x:c r="T582" s="17" t="str"/>
      <x:c r="U582" s="17" t="str">
        <x:v>r3</x:v>
      </x:c>
      <x:c r="V582" s="30" t="n">
        <x:v>1</x:v>
      </x:c>
      <x:c r="W582" s="17" t="str">
        <x:v>high</x:v>
      </x:c>
    </x:row>
    <x:row r="583" ht="54" customHeight="1">
      <x:c r="A583" s="17" t="str">
        <x:v>BUS140</x:v>
      </x:c>
      <x:c r="B583" s="17" t="str">
        <x:v>查询人工智能板块最新主力净额和主力净占比。</x:v>
      </x:c>
      <x:c r="C583" s="17" t="n">
        <x:v>6</x:v>
      </x:c>
      <x:c r="D583" s="17" t="str"/>
      <x:c r="E583" s="17" t="str">
        <x:v>工具调用</x:v>
      </x:c>
      <x:c r="F583" s="17" t="str">
        <x:v>finance_query</x:v>
      </x:c>
      <x:c r="G583" s="17" t="str">
        <x:v>r4 = plate.moneyflow.kd_main_net_sum(k = 5, filter = "code = 882347", limit = 1, realtime = 0) -&gt; code, name, value as main_net_5d</x:v>
      </x:c>
      <x:c r="H583" s="17" t="str"/>
      <x:c r="I583" s="17" t="str">
        <x:v>合理操作</x:v>
      </x:c>
      <x:c r="J583" s="17" t="str">
        <x:v>是</x:v>
      </x:c>
      <x:c r="K583" s="18"/>
      <x:c r="L583" s="17" t="str">
        <x:v>否</x:v>
      </x:c>
      <x:c r="M583" s="17" t="str">
        <x:v>否</x:v>
      </x:c>
      <x:c r="N583" s="17" t="str">
        <x:v>target_api_executed</x:v>
      </x:c>
      <x:c r="O583" s="17" t="str">
        <x:v>expected_dataview_coverage</x:v>
      </x:c>
      <x:c r="P583" s="17" t="str">
        <x:v>session://financial_qa_33499cfa81de4d06_2835_669061533222/vars/v4</x:v>
      </x:c>
      <x:c r="Q583" s="17" t="str"/>
      <x:c r="R583" s="17" t="str">
        <x:v>plate.moneyflow.kd_main_net_sum</x:v>
      </x:c>
      <x:c r="S583" s="17" t="str"/>
      <x:c r="T583" s="17" t="str"/>
      <x:c r="U583" s="17" t="str">
        <x:v>r4</x:v>
      </x:c>
      <x:c r="V583" s="30" t="n">
        <x:v>1</x:v>
      </x:c>
      <x:c r="W583" s="17" t="str">
        <x:v>high</x:v>
      </x:c>
    </x:row>
    <x:row r="584" ht="54" customHeight="1">
      <x:c r="A584" s="17" t="str">
        <x:v>BUS141</x:v>
      </x:c>
      <x:c r="B584" s="17" t="str">
        <x:v>近5日主力净流入合计最高的板块前10名。</x:v>
      </x:c>
      <x:c r="C584" s="17" t="n">
        <x:v>1</x:v>
      </x:c>
      <x:c r="D584" s="17" t="str"/>
      <x:c r="E584" s="17" t="str">
        <x:v>工具调用</x:v>
      </x:c>
      <x:c r="F584" s="17" t="str">
        <x:v>read_finance_catalog</x:v>
      </x:c>
      <x:c r="G584" s="17" t="str"/>
      <x:c r="H584" s="17" t="str"/>
      <x:c r="I584" s="17" t="str">
        <x:v>合理操作</x:v>
      </x:c>
      <x:c r="J584" s="17" t="str">
        <x:v>是</x:v>
      </x:c>
      <x:c r="K584" s="18"/>
      <x:c r="L584" s="17" t="str">
        <x:v>否</x:v>
      </x:c>
      <x:c r="M584" s="17" t="str">
        <x:v>否</x:v>
      </x:c>
      <x:c r="N584" s="17" t="str">
        <x:v>target_catalog_located</x:v>
      </x:c>
      <x:c r="O584" s="17" t="str">
        <x:v>expected_dataview_catalog</x:v>
      </x:c>
      <x:c r="P584" s="17" t="str"/>
      <x:c r="Q584" s="17" t="str"/>
      <x:c r="R584" s="17" t="str"/>
      <x:c r="S584" s="17" t="str">
        <x:v>plate</x:v>
      </x:c>
      <x:c r="T584" s="17" t="str">
        <x:v>moneyflow</x:v>
      </x:c>
      <x:c r="U584" s="17" t="str"/>
      <x:c r="V584" s="30"/>
      <x:c r="W584" s="17" t="str">
        <x:v>high</x:v>
      </x:c>
    </x:row>
    <x:row r="585" ht="54" customHeight="1">
      <x:c r="A585" s="17" t="str">
        <x:v>BUS141</x:v>
      </x:c>
      <x:c r="B585" s="17" t="str">
        <x:v>近5日主力净流入合计最高的板块前10名。</x:v>
      </x:c>
      <x:c r="C585" s="17" t="n">
        <x:v>2</x:v>
      </x:c>
      <x:c r="D585" s="17" t="str"/>
      <x:c r="E585" s="17" t="str">
        <x:v>工具调用</x:v>
      </x:c>
      <x:c r="F585" s="17" t="str">
        <x:v>finance_query</x:v>
      </x:c>
      <x:c r="G585" s="17" t="str">
        <x:v>r1 = plate.moneyflow.kd_main_net_sum(k = 5, order = "value desc", limit = 10, realtime = 0) -&gt; code, name, value as main_net_sum_5d</x:v>
      </x:c>
      <x:c r="H585" s="17" t="str"/>
      <x:c r="I585" s="17" t="str">
        <x:v>合理操作</x:v>
      </x:c>
      <x:c r="J585" s="17" t="str">
        <x:v>是</x:v>
      </x:c>
      <x:c r="K585" s="18"/>
      <x:c r="L585" s="17" t="str">
        <x:v>否</x:v>
      </x:c>
      <x:c r="M585" s="17" t="str">
        <x:v>否</x:v>
      </x:c>
      <x:c r="N585" s="17" t="str">
        <x:v>target_api_executed</x:v>
      </x:c>
      <x:c r="O585" s="17" t="str">
        <x:v>expected_dataview_coverage</x:v>
      </x:c>
      <x:c r="P585" s="17" t="str">
        <x:v>session://financial_qa_33499cfa81de4d06_2836_d0a6946823c1/vars/v1</x:v>
      </x:c>
      <x:c r="Q585" s="17" t="str"/>
      <x:c r="R585" s="17" t="str">
        <x:v>plate.moneyflow.kd_main_net_sum</x:v>
      </x:c>
      <x:c r="S585" s="17" t="str"/>
      <x:c r="T585" s="17" t="str"/>
      <x:c r="U585" s="17" t="str">
        <x:v>r1</x:v>
      </x:c>
      <x:c r="V585" s="30" t="n">
        <x:v>10</x:v>
      </x:c>
      <x:c r="W585" s="17" t="str">
        <x:v>high</x:v>
      </x:c>
    </x:row>
    <x:row r="586" ht="54" customHeight="1">
      <x:c r="A586" s="17" t="str">
        <x:v>BUS141</x:v>
      </x:c>
      <x:c r="B586" s="17" t="str">
        <x:v>近5日主力净流入合计最高的板块前10名。</x:v>
      </x:c>
      <x:c r="C586" s="17" t="n">
        <x:v>3</x:v>
      </x:c>
      <x:c r="D586" s="17" t="str"/>
      <x:c r="E586" s="17" t="str">
        <x:v>工具调用</x:v>
      </x:c>
      <x:c r="F586" s="17" t="str">
        <x:v>load_finance_result</x:v>
      </x:c>
      <x:c r="G586" s="17" t="str"/>
      <x:c r="H586" s="17" t="str"/>
      <x:c r="I586" s="17" t="str">
        <x:v>合理操作</x:v>
      </x:c>
      <x:c r="J586" s="17" t="str">
        <x:v>是</x:v>
      </x:c>
      <x:c r="K586" s="18"/>
      <x:c r="L586" s="17" t="str">
        <x:v>否</x:v>
      </x:c>
      <x:c r="M586" s="17" t="str">
        <x:v>否</x:v>
      </x:c>
      <x:c r="N586" s="17" t="str">
        <x:v>load_truncated_result</x:v>
      </x:c>
      <x:c r="O586" s="17" t="str">
        <x:v>sample_incomplete_requires_full_result</x:v>
      </x:c>
      <x:c r="P586" s="17" t="str">
        <x:v>session://financial_qa_33499cfa81de4d06_2836_d0a6946823c1/vars/v1</x:v>
      </x:c>
      <x:c r="Q586" s="17" t="str"/>
      <x:c r="R586" s="17" t="str"/>
      <x:c r="S586" s="17" t="str"/>
      <x:c r="T586" s="17" t="str"/>
      <x:c r="U586" s="17" t="str"/>
      <x:c r="V586" s="30"/>
      <x:c r="W586" s="17" t="str">
        <x:v>high</x:v>
      </x:c>
    </x:row>
    <x:row r="587" ht="54" customHeight="1">
      <x:c r="A587" s="17" t="str">
        <x:v>BUS142</x:v>
      </x:c>
      <x:c r="B587" s="17" t="str">
        <x:v>筛选大单净额为正且主力净占比超过5%的板块。</x:v>
      </x:c>
      <x:c r="C587" s="17" t="n">
        <x:v>1</x:v>
      </x:c>
      <x:c r="D587" s="17" t="str"/>
      <x:c r="E587" s="17" t="str">
        <x:v>工具调用</x:v>
      </x:c>
      <x:c r="F587" s="17" t="str">
        <x:v>read_finance_catalog</x:v>
      </x:c>
      <x:c r="G587" s="17" t="str"/>
      <x:c r="H587" s="17" t="str"/>
      <x:c r="I587" s="17" t="str">
        <x:v>合理操作</x:v>
      </x:c>
      <x:c r="J587" s="17" t="str">
        <x:v>是</x:v>
      </x:c>
      <x:c r="K587" s="18"/>
      <x:c r="L587" s="17" t="str">
        <x:v>否</x:v>
      </x:c>
      <x:c r="M587" s="17" t="str">
        <x:v>否</x:v>
      </x:c>
      <x:c r="N587" s="17" t="str">
        <x:v>target_catalog_located</x:v>
      </x:c>
      <x:c r="O587" s="17" t="str">
        <x:v>expected_dataview_catalog</x:v>
      </x:c>
      <x:c r="P587" s="17" t="str"/>
      <x:c r="Q587" s="17" t="str"/>
      <x:c r="R587" s="17" t="str"/>
      <x:c r="S587" s="17" t="str">
        <x:v>plate</x:v>
      </x:c>
      <x:c r="T587" s="17" t="str">
        <x:v>moneyflow</x:v>
      </x:c>
      <x:c r="U587" s="17" t="str"/>
      <x:c r="V587" s="30"/>
      <x:c r="W587" s="17" t="str">
        <x:v>high</x:v>
      </x:c>
    </x:row>
    <x:row r="588" ht="54" customHeight="1">
      <x:c r="A588" s="17" t="str">
        <x:v>BUS142</x:v>
      </x:c>
      <x:c r="B588" s="17" t="str">
        <x:v>筛选大单净额为正且主力净占比超过5%的板块。</x:v>
      </x:c>
      <x:c r="C588" s="17" t="n">
        <x:v>2</x:v>
      </x:c>
      <x:c r="D588" s="17" t="str"/>
      <x:c r="E588" s="17" t="str">
        <x:v>工具调用</x:v>
      </x:c>
      <x:c r="F588" s="17" t="str">
        <x:v>finance_query</x:v>
      </x:c>
      <x:c r="G588" s="17" t="str">
        <x:v>r1 = plate.moneyflow(filter = "tradedate = -1 and large_net &gt; 0 and main_ratio &gt; 5", order = "large_net desc", limit = -1, realtime = 0) -&gt; code, name, tradedate, large_net, main_ratio</x:v>
      </x:c>
      <x:c r="H588" s="17" t="str"/>
      <x:c r="I588" s="17" t="str">
        <x:v>合理操作</x:v>
      </x:c>
      <x:c r="J588" s="17" t="str">
        <x:v>是</x:v>
      </x:c>
      <x:c r="K588" s="18"/>
      <x:c r="L588" s="17" t="str">
        <x:v>否</x:v>
      </x:c>
      <x:c r="M588" s="17" t="str">
        <x:v>否</x:v>
      </x:c>
      <x:c r="N588" s="17" t="str">
        <x:v>target_api_executed</x:v>
      </x:c>
      <x:c r="O588" s="17" t="str">
        <x:v>expected_dataview_coverage</x:v>
      </x:c>
      <x:c r="P588" s="17" t="str">
        <x:v>session://financial_qa_33499cfa81de4d06_2837_06f3de65fafe/vars/v1</x:v>
      </x:c>
      <x:c r="Q588" s="17" t="str"/>
      <x:c r="R588" s="17" t="str">
        <x:v>plate.moneyflow</x:v>
      </x:c>
      <x:c r="S588" s="17" t="str"/>
      <x:c r="T588" s="17" t="str"/>
      <x:c r="U588" s="17" t="str">
        <x:v>r1</x:v>
      </x:c>
      <x:c r="V588" s="30" t="n">
        <x:v>0</x:v>
      </x:c>
      <x:c r="W588" s="17" t="str">
        <x:v>high</x:v>
      </x:c>
    </x:row>
    <x:row r="589" ht="54" customHeight="1">
      <x:c r="A589" s="17" t="str">
        <x:v>BUS143</x:v>
      </x:c>
      <x:c r="B589" s="17" t="str">
        <x:v>查询半导体板块最近10日主力净流入。</x:v>
      </x:c>
      <x:c r="C589" s="17" t="n">
        <x:v>1</x:v>
      </x:c>
      <x:c r="D589" s="17" t="str"/>
      <x:c r="E589" s="17" t="str">
        <x:v>工具调用</x:v>
      </x:c>
      <x:c r="F589" s="17" t="str">
        <x:v>read_finance_catalog</x:v>
      </x:c>
      <x:c r="G589" s="17" t="str"/>
      <x:c r="H589" s="17" t="str"/>
      <x:c r="I589" s="17" t="str">
        <x:v>合理操作</x:v>
      </x:c>
      <x:c r="J589" s="17" t="str">
        <x:v>是</x:v>
      </x:c>
      <x:c r="K589" s="18"/>
      <x:c r="L589" s="17" t="str">
        <x:v>否</x:v>
      </x:c>
      <x:c r="M589" s="17" t="str">
        <x:v>否</x:v>
      </x:c>
      <x:c r="N589" s="17" t="str">
        <x:v>target_catalog_located</x:v>
      </x:c>
      <x:c r="O589" s="17" t="str">
        <x:v>expected_dataview_catalog</x:v>
      </x:c>
      <x:c r="P589" s="17" t="str"/>
      <x:c r="Q589" s="17" t="str"/>
      <x:c r="R589" s="17" t="str"/>
      <x:c r="S589" s="17" t="str">
        <x:v>plate</x:v>
      </x:c>
      <x:c r="T589" s="17" t="str">
        <x:v>moneyflow</x:v>
      </x:c>
      <x:c r="U589" s="17" t="str"/>
      <x:c r="V589" s="30"/>
      <x:c r="W589" s="17" t="str">
        <x:v>high</x:v>
      </x:c>
    </x:row>
    <x:row r="590" ht="54" customHeight="1">
      <x:c r="A590" s="17" t="str">
        <x:v>BUS143</x:v>
      </x:c>
      <x:c r="B590" s="17" t="str">
        <x:v>查询半导体板块最近10日主力净流入。</x:v>
      </x:c>
      <x:c r="C590" s="17" t="n">
        <x:v>2</x:v>
      </x:c>
      <x:c r="D590" s="17" t="str"/>
      <x:c r="E590" s="17" t="str">
        <x:v>工具调用</x:v>
      </x:c>
      <x:c r="F590" s="17" t="str">
        <x:v>read_finance_catalog</x:v>
      </x:c>
      <x:c r="G590" s="17" t="str"/>
      <x:c r="H590" s="17" t="str"/>
      <x:c r="I590" s="17" t="str">
        <x:v>合理操作</x:v>
      </x:c>
      <x:c r="J590" s="17" t="str">
        <x:v>是</x:v>
      </x:c>
      <x:c r="K590" s="18"/>
      <x:c r="L590" s="17" t="str">
        <x:v>否</x:v>
      </x:c>
      <x:c r="M590" s="17" t="str">
        <x:v>否</x:v>
      </x:c>
      <x:c r="N590" s="17" t="str">
        <x:v>subject_catalog_discovery</x:v>
      </x:c>
      <x:c r="O590" s="17" t="str">
        <x:v>expected_subject_catalog</x:v>
      </x:c>
      <x:c r="P590" s="17" t="str"/>
      <x:c r="Q590" s="17" t="str"/>
      <x:c r="R590" s="17" t="str"/>
      <x:c r="S590" s="17" t="str">
        <x:v>plate</x:v>
      </x:c>
      <x:c r="T590" s="17" t="str">
        <x:v>constitution</x:v>
      </x:c>
      <x:c r="U590" s="17" t="str"/>
      <x:c r="V590" s="30"/>
      <x:c r="W590" s="17" t="str">
        <x:v>medium</x:v>
      </x:c>
    </x:row>
    <x:row r="591" ht="54" customHeight="1">
      <x:c r="A591" s="17" t="str">
        <x:v>BUS143</x:v>
      </x:c>
      <x:c r="B591" s="17" t="str">
        <x:v>查询半导体板块最近10日主力净流入。</x:v>
      </x:c>
      <x:c r="C591" s="17" t="n">
        <x:v>3</x:v>
      </x:c>
      <x:c r="D591" s="17" t="str"/>
      <x:c r="E591" s="17" t="str">
        <x:v>工具调用</x:v>
      </x:c>
      <x:c r="F591" s="17" t="str">
        <x:v>read_finance_catalog</x:v>
      </x:c>
      <x:c r="G591" s="17" t="str"/>
      <x:c r="H591" s="17" t="str"/>
      <x:c r="I591" s="17" t="str">
        <x:v>合理操作</x:v>
      </x:c>
      <x:c r="J591" s="17" t="str">
        <x:v>是</x:v>
      </x:c>
      <x:c r="K591" s="18"/>
      <x:c r="L591" s="17" t="str">
        <x:v>否</x:v>
      </x:c>
      <x:c r="M591" s="17" t="str">
        <x:v>否</x:v>
      </x:c>
      <x:c r="N591" s="17" t="str">
        <x:v>subject_catalog_discovery</x:v>
      </x:c>
      <x:c r="O591" s="17" t="str">
        <x:v>expected_subject_catalog</x:v>
      </x:c>
      <x:c r="P591" s="17" t="str"/>
      <x:c r="Q591" s="17" t="str"/>
      <x:c r="R591" s="17" t="str"/>
      <x:c r="S591" s="17" t="str">
        <x:v>plate</x:v>
      </x:c>
      <x:c r="T591" s="17" t="str">
        <x:v>basic_info</x:v>
      </x:c>
      <x:c r="U591" s="17" t="str"/>
      <x:c r="V591" s="30"/>
      <x:c r="W591" s="17" t="str">
        <x:v>medium</x:v>
      </x:c>
    </x:row>
    <x:row r="592" ht="54" customHeight="1">
      <x:c r="A592" s="17" t="str">
        <x:v>BUS143</x:v>
      </x:c>
      <x:c r="B592" s="17" t="str">
        <x:v>查询半导体板块最近10日主力净流入。</x:v>
      </x:c>
      <x:c r="C592" s="17" t="n">
        <x:v>4</x:v>
      </x:c>
      <x:c r="D592" s="17" t="str"/>
      <x:c r="E592" s="17" t="str">
        <x:v>工具调用</x:v>
      </x:c>
      <x:c r="F592" s="17" t="str">
        <x:v>finance_query</x:v>
      </x:c>
      <x:c r="G592" s="17" t="str">
        <x:v>r1 = plate.basic_info(filter = "plate_name like '%半导体%'", limit = 10) -&gt; plate_code, plate_name</x:v>
      </x:c>
      <x:c r="H592" s="17" t="str"/>
      <x:c r="I592" s="17" t="str">
        <x:v>合理操作</x:v>
      </x:c>
      <x:c r="J592" s="17" t="str">
        <x:v>是</x:v>
      </x:c>
      <x:c r="K592" s="18"/>
      <x:c r="L592" s="17" t="str">
        <x:v>否</x:v>
      </x:c>
      <x:c r="M592" s="17" t="str">
        <x:v>否</x:v>
      </x:c>
      <x:c r="N592" s="17" t="str">
        <x:v>same_subject_dependency</x:v>
      </x:c>
      <x:c r="O592" s="17" t="str">
        <x:v>supporting_api_for_expected_subject</x:v>
      </x:c>
      <x:c r="P592" s="17" t="str">
        <x:v>session://financial_qa_33499cfa81de4d06_2838_01ede196f9cc/vars/v1</x:v>
      </x:c>
      <x:c r="Q592" s="17" t="str"/>
      <x:c r="R592" s="17" t="str">
        <x:v>plate.basic_info</x:v>
      </x:c>
      <x:c r="S592" s="17" t="str"/>
      <x:c r="T592" s="17" t="str"/>
      <x:c r="U592" s="17" t="str">
        <x:v>r1</x:v>
      </x:c>
      <x:c r="V592" s="30" t="n">
        <x:v>7</x:v>
      </x:c>
      <x:c r="W592" s="17" t="str">
        <x:v>medium</x:v>
      </x:c>
    </x:row>
    <x:row r="593" ht="54" customHeight="1">
      <x:c r="A593" s="17" t="str">
        <x:v>BUS143</x:v>
      </x:c>
      <x:c r="B593" s="17" t="str">
        <x:v>查询半导体板块最近10日主力净流入。</x:v>
      </x:c>
      <x:c r="C593" s="17" t="n">
        <x:v>5</x:v>
      </x:c>
      <x:c r="D593" s="17" t="str"/>
      <x:c r="E593" s="17" t="str">
        <x:v>工具调用</x:v>
      </x:c>
      <x:c r="F593" s="17" t="str">
        <x:v>finance_query</x:v>
      </x:c>
      <x:c r="G593" s="17" t="str">
        <x:v>r2 = plate.moneyflow.kd_main_net_sum(k = 10, filter = "plate_code = 883720", realtime = 0) -&gt; plate_code, plate_name, value as main_net_10d</x:v>
      </x:c>
      <x:c r="H593" s="17" t="str"/>
      <x:c r="I593" s="17" t="str">
        <x:v>设计浪费</x:v>
      </x:c>
      <x:c r="J593" s="17" t="str">
        <x:v>否</x:v>
      </x:c>
      <x:c r="K593" s="18"/>
      <x:c r="L593" s="17" t="str">
        <x:v>否</x:v>
      </x:c>
      <x:c r="M593" s="17" t="str">
        <x:v>否</x:v>
      </x:c>
      <x:c r="N593" s="17" t="str">
        <x:v>validation_error</x:v>
      </x:c>
      <x:c r="O593" s="17" t="str">
        <x:v>query_validation_error</x:v>
      </x:c>
      <x:c r="P593" s="17" t="str"/>
      <x:c r="Q593" s="17" t="str"/>
      <x:c r="R593" s="17" t="str">
        <x:v>plate.moneyflow.kd_main_net_sum</x:v>
      </x:c>
      <x:c r="S593" s="17" t="str"/>
      <x:c r="T593" s="17" t="str"/>
      <x:c r="U593" s="17" t="str">
        <x:v>r2</x:v>
      </x:c>
      <x:c r="V593" s="30"/>
      <x:c r="W593" s="17" t="str">
        <x:v>high</x:v>
      </x:c>
    </x:row>
    <x:row r="594" ht="54" customHeight="1">
      <x:c r="A594" s="17" t="str">
        <x:v>BUS143</x:v>
      </x:c>
      <x:c r="B594" s="17" t="str">
        <x:v>查询半导体板块最近10日主力净流入。</x:v>
      </x:c>
      <x:c r="C594" s="17" t="n">
        <x:v>6</x:v>
      </x:c>
      <x:c r="D594" s="17" t="str"/>
      <x:c r="E594" s="17" t="str">
        <x:v>工具调用</x:v>
      </x:c>
      <x:c r="F594" s="17" t="str">
        <x:v>finance_query</x:v>
      </x:c>
      <x:c r="G594" s="17" t="str">
        <x:v>r2 = plate.moneyflow.kd_main_net_sum(k = 10, filter = "code = 883720", realtime = 0) -&gt; code, name, value as main_net_10d</x:v>
      </x:c>
      <x:c r="H594" s="17" t="str"/>
      <x:c r="I594" s="17" t="str">
        <x:v>可解释探索</x:v>
      </x:c>
      <x:c r="J594" s="17" t="str">
        <x:v>是</x:v>
      </x:c>
      <x:c r="K594" s="18"/>
      <x:c r="L594" s="17" t="str">
        <x:v>否</x:v>
      </x:c>
      <x:c r="M594" s="17" t="str">
        <x:v>否</x:v>
      </x:c>
      <x:c r="N594" s="17" t="str">
        <x:v>changed_query_after_failure</x:v>
      </x:c>
      <x:c r="O594" s="17" t="str">
        <x:v>successful_same_api_recovery</x:v>
      </x:c>
      <x:c r="P594" s="17" t="str">
        <x:v>session://financial_qa_33499cfa81de4d06_2838_01ede196f9cc/vars/v2</x:v>
      </x:c>
      <x:c r="Q594" s="17" t="str"/>
      <x:c r="R594" s="17" t="str">
        <x:v>plate.moneyflow.kd_main_net_sum</x:v>
      </x:c>
      <x:c r="S594" s="17" t="str"/>
      <x:c r="T594" s="17" t="str"/>
      <x:c r="U594" s="17" t="str">
        <x:v>r2</x:v>
      </x:c>
      <x:c r="V594" s="30" t="n">
        <x:v>1</x:v>
      </x:c>
      <x:c r="W594" s="17" t="str">
        <x:v>medium</x:v>
      </x:c>
    </x:row>
    <x:row r="595" ht="54" customHeight="1">
      <x:c r="A595" s="17" t="str">
        <x:v>BUS144</x:v>
      </x:c>
      <x:c r="B595" s="17" t="str">
        <x:v>今天超大单买入额最高的板块前10名。</x:v>
      </x:c>
      <x:c r="C595" s="17" t="n">
        <x:v>1</x:v>
      </x:c>
      <x:c r="D595" s="17" t="str"/>
      <x:c r="E595" s="17" t="str">
        <x:v>工具调用</x:v>
      </x:c>
      <x:c r="F595" s="17" t="str">
        <x:v>read_finance_catalog</x:v>
      </x:c>
      <x:c r="G595" s="17" t="str"/>
      <x:c r="H595" s="17" t="str"/>
      <x:c r="I595" s="17" t="str">
        <x:v>合理操作</x:v>
      </x:c>
      <x:c r="J595" s="17" t="str">
        <x:v>是</x:v>
      </x:c>
      <x:c r="K595" s="18"/>
      <x:c r="L595" s="17" t="str">
        <x:v>否</x:v>
      </x:c>
      <x:c r="M595" s="17" t="str">
        <x:v>否</x:v>
      </x:c>
      <x:c r="N595" s="17" t="str">
        <x:v>target_catalog_located</x:v>
      </x:c>
      <x:c r="O595" s="17" t="str">
        <x:v>expected_dataview_catalog</x:v>
      </x:c>
      <x:c r="P595" s="17" t="str"/>
      <x:c r="Q595" s="17" t="str"/>
      <x:c r="R595" s="17" t="str"/>
      <x:c r="S595" s="17" t="str">
        <x:v>plate</x:v>
      </x:c>
      <x:c r="T595" s="17" t="str">
        <x:v>moneyflow</x:v>
      </x:c>
      <x:c r="U595" s="17" t="str"/>
      <x:c r="V595" s="30"/>
      <x:c r="W595" s="17" t="str">
        <x:v>high</x:v>
      </x:c>
    </x:row>
    <x:row r="596" ht="54" customHeight="1">
      <x:c r="A596" s="17" t="str">
        <x:v>BUS144</x:v>
      </x:c>
      <x:c r="B596" s="17" t="str">
        <x:v>今天超大单买入额最高的板块前10名。</x:v>
      </x:c>
      <x:c r="C596" s="17" t="n">
        <x:v>2</x:v>
      </x:c>
      <x:c r="D596" s="17" t="str"/>
      <x:c r="E596" s="17" t="str">
        <x:v>工具调用</x:v>
      </x:c>
      <x:c r="F596" s="17" t="str">
        <x:v>finance_query</x:v>
      </x:c>
      <x:c r="G596" s="17" t="str">
        <x:v>r1 = plate.moneyflow(filter = "tradedate = -1", order = "huge_buy desc", limit = 10, realtime = 0) -&gt; code, name, tradedate, huge_buy, huge_sell, huge_ratio</x:v>
      </x:c>
      <x:c r="H596" s="17" t="str"/>
      <x:c r="I596" s="17" t="str">
        <x:v>合理操作</x:v>
      </x:c>
      <x:c r="J596" s="17" t="str">
        <x:v>是</x:v>
      </x:c>
      <x:c r="K596" s="18"/>
      <x:c r="L596" s="17" t="str">
        <x:v>否</x:v>
      </x:c>
      <x:c r="M596" s="17" t="str">
        <x:v>否</x:v>
      </x:c>
      <x:c r="N596" s="17" t="str">
        <x:v>target_api_executed</x:v>
      </x:c>
      <x:c r="O596" s="17" t="str">
        <x:v>expected_dataview_coverage</x:v>
      </x:c>
      <x:c r="P596" s="17" t="str">
        <x:v>session://financial_qa_33499cfa81de4d06_2839_8cdadd49f6c9/vars/v1</x:v>
      </x:c>
      <x:c r="Q596" s="17" t="str"/>
      <x:c r="R596" s="17" t="str">
        <x:v>plate.moneyflow</x:v>
      </x:c>
      <x:c r="S596" s="17" t="str"/>
      <x:c r="T596" s="17" t="str"/>
      <x:c r="U596" s="17" t="str">
        <x:v>r1</x:v>
      </x:c>
      <x:c r="V596" s="30" t="n">
        <x:v>0</x:v>
      </x:c>
      <x:c r="W596" s="17" t="str">
        <x:v>high</x:v>
      </x:c>
    </x:row>
    <x:row r="597" ht="54" customHeight="1">
      <x:c r="A597" s="17" t="str">
        <x:v>BUS145</x:v>
      </x:c>
      <x:c r="B597" s="17" t="str">
        <x:v>查询人工智能板块最新PE_TTM和PB。</x:v>
      </x:c>
      <x:c r="C597" s="17" t="n">
        <x:v>1</x:v>
      </x:c>
      <x:c r="D597" s="17" t="str"/>
      <x:c r="E597" s="17" t="str">
        <x:v>工具调用</x:v>
      </x:c>
      <x:c r="F597" s="17" t="str">
        <x:v>read_finance_catalog</x:v>
      </x:c>
      <x:c r="G597" s="17" t="str"/>
      <x:c r="H597" s="17" t="str"/>
      <x:c r="I597" s="17" t="str">
        <x:v>合理操作</x:v>
      </x:c>
      <x:c r="J597" s="17" t="str">
        <x:v>是</x:v>
      </x:c>
      <x:c r="K597" s="18"/>
      <x:c r="L597" s="17" t="str">
        <x:v>否</x:v>
      </x:c>
      <x:c r="M597" s="17" t="str">
        <x:v>否</x:v>
      </x:c>
      <x:c r="N597" s="17" t="str">
        <x:v>target_catalog_located</x:v>
      </x:c>
      <x:c r="O597" s="17" t="str">
        <x:v>expected_dataview_catalog</x:v>
      </x:c>
      <x:c r="P597" s="17" t="str"/>
      <x:c r="Q597" s="17" t="str"/>
      <x:c r="R597" s="17" t="str"/>
      <x:c r="S597" s="17" t="str">
        <x:v>plate</x:v>
      </x:c>
      <x:c r="T597" s="17" t="str">
        <x:v>pricevalue</x:v>
      </x:c>
      <x:c r="U597" s="17" t="str"/>
      <x:c r="V597" s="30"/>
      <x:c r="W597" s="17" t="str">
        <x:v>high</x:v>
      </x:c>
    </x:row>
    <x:row r="598" ht="54" customHeight="1">
      <x:c r="A598" s="17" t="str">
        <x:v>BUS145</x:v>
      </x:c>
      <x:c r="B598" s="17" t="str">
        <x:v>查询人工智能板块最新PE_TTM和PB。</x:v>
      </x:c>
      <x:c r="C598" s="17" t="n">
        <x:v>2</x:v>
      </x:c>
      <x:c r="D598" s="17" t="str"/>
      <x:c r="E598" s="17" t="str">
        <x:v>工具调用</x:v>
      </x:c>
      <x:c r="F598" s="17" t="str">
        <x:v>finance_query</x:v>
      </x:c>
      <x:c r="G598" s="17" t="str">
        <x:v>r1 = plate.basic_info(filter = "name like '%人工智能%'", limit = 5) -&gt; code, name, description</x:v>
      </x:c>
      <x:c r="H598" s="17" t="str"/>
      <x:c r="I598" s="17" t="str">
        <x:v>设计浪费</x:v>
      </x:c>
      <x:c r="J598" s="17" t="str">
        <x:v>否</x:v>
      </x:c>
      <x:c r="K598" s="18"/>
      <x:c r="L598" s="17" t="str">
        <x:v>否</x:v>
      </x:c>
      <x:c r="M598" s="17" t="str">
        <x:v>否</x:v>
      </x:c>
      <x:c r="N598" s="17" t="str">
        <x:v>validation_error</x:v>
      </x:c>
      <x:c r="O598" s="17" t="str">
        <x:v>query_validation_error</x:v>
      </x:c>
      <x:c r="P598" s="17" t="str"/>
      <x:c r="Q598" s="17" t="str"/>
      <x:c r="R598" s="17" t="str">
        <x:v>plate.basic_info</x:v>
      </x:c>
      <x:c r="S598" s="17" t="str"/>
      <x:c r="T598" s="17" t="str"/>
      <x:c r="U598" s="17" t="str">
        <x:v>r1</x:v>
      </x:c>
      <x:c r="V598" s="30"/>
      <x:c r="W598" s="17" t="str">
        <x:v>high</x:v>
      </x:c>
    </x:row>
    <x:row r="599" ht="54" customHeight="1">
      <x:c r="A599" s="17" t="str">
        <x:v>BUS145</x:v>
      </x:c>
      <x:c r="B599" s="17" t="str">
        <x:v>查询人工智能板块最新PE_TTM和PB。</x:v>
      </x:c>
      <x:c r="C599" s="17" t="n">
        <x:v>3</x:v>
      </x:c>
      <x:c r="D599" s="17" t="str"/>
      <x:c r="E599" s="17" t="str">
        <x:v>工具调用</x:v>
      </x:c>
      <x:c r="F599" s="17" t="str">
        <x:v>finance_query</x:v>
      </x:c>
      <x:c r="G599" s="17" t="str">
        <x:v>r1 = plate.basic_info(filter = "plate_name like '%人工智能%'", limit = 5) -&gt; plate_code, plate_name</x:v>
      </x:c>
      <x:c r="H599" s="17" t="str"/>
      <x:c r="I599" s="17" t="str">
        <x:v>可解释探索</x:v>
      </x:c>
      <x:c r="J599" s="17" t="str">
        <x:v>是</x:v>
      </x:c>
      <x:c r="K599" s="18"/>
      <x:c r="L599" s="17" t="str">
        <x:v>否</x:v>
      </x:c>
      <x:c r="M599" s="17" t="str">
        <x:v>否</x:v>
      </x:c>
      <x:c r="N599" s="17" t="str">
        <x:v>changed_query_after_failure</x:v>
      </x:c>
      <x:c r="O599" s="17" t="str">
        <x:v>successful_same_api_recovery</x:v>
      </x:c>
      <x:c r="P599" s="17" t="str">
        <x:v>session://financial_qa_33499cfa81de4d06_2840_d1a64763ce49/vars/v1</x:v>
      </x:c>
      <x:c r="Q599" s="17" t="str"/>
      <x:c r="R599" s="17" t="str">
        <x:v>plate.basic_info</x:v>
      </x:c>
      <x:c r="S599" s="17" t="str"/>
      <x:c r="T599" s="17" t="str"/>
      <x:c r="U599" s="17" t="str">
        <x:v>r1</x:v>
      </x:c>
      <x:c r="V599" s="30" t="n">
        <x:v>1</x:v>
      </x:c>
      <x:c r="W599" s="17" t="str">
        <x:v>medium</x:v>
      </x:c>
    </x:row>
    <x:row r="600" ht="54" customHeight="1">
      <x:c r="A600" s="17" t="str">
        <x:v>BUS145</x:v>
      </x:c>
      <x:c r="B600" s="17" t="str">
        <x:v>查询人工智能板块最新PE_TTM和PB。</x:v>
      </x:c>
      <x:c r="C600" s="17" t="n">
        <x:v>4</x:v>
      </x:c>
      <x:c r="D600" s="17" t="str"/>
      <x:c r="E600" s="17" t="str">
        <x:v>工具调用</x:v>
      </x:c>
      <x:c r="F600" s="17" t="str">
        <x:v>finance_query</x:v>
      </x:c>
      <x:c r="G600" s="17" t="str">
        <x:v>r2 = plate.pricevalue(filter = "code in r1.plate_code", order = "tradedate desc", limit = 1, realtime = 0) -&gt; code, name, tradedate, pe_ttm, pb</x:v>
      </x:c>
      <x:c r="H600" s="17" t="str"/>
      <x:c r="I600" s="17" t="str">
        <x:v>合理操作</x:v>
      </x:c>
      <x:c r="J600" s="17" t="str">
        <x:v>是</x:v>
      </x:c>
      <x:c r="K600" s="18"/>
      <x:c r="L600" s="17" t="str">
        <x:v>否</x:v>
      </x:c>
      <x:c r="M600" s="17" t="str">
        <x:v>否</x:v>
      </x:c>
      <x:c r="N600" s="17" t="str">
        <x:v>target_api_executed</x:v>
      </x:c>
      <x:c r="O600" s="17" t="str">
        <x:v>expected_dataview_coverage</x:v>
      </x:c>
      <x:c r="P600" s="17" t="str">
        <x:v>session://financial_qa_33499cfa81de4d06_2840_d1a64763ce49/vars/v2</x:v>
      </x:c>
      <x:c r="Q600" s="17" t="str"/>
      <x:c r="R600" s="17" t="str">
        <x:v>plate.pricevalue</x:v>
      </x:c>
      <x:c r="S600" s="17" t="str"/>
      <x:c r="T600" s="17" t="str"/>
      <x:c r="U600" s="17" t="str">
        <x:v>r2</x:v>
      </x:c>
      <x:c r="V600" s="30" t="n">
        <x:v>1</x:v>
      </x:c>
      <x:c r="W600" s="17" t="str">
        <x:v>high</x:v>
      </x:c>
    </x:row>
    <x:row r="601" ht="54" customHeight="1">
      <x:c r="A601" s="17" t="str">
        <x:v>BUS146</x:v>
      </x:c>
      <x:c r="B601" s="17" t="str">
        <x:v>当前PE_TTM最低的板块前20名。</x:v>
      </x:c>
      <x:c r="C601" s="17" t="n">
        <x:v>1</x:v>
      </x:c>
      <x:c r="D601" s="17" t="str"/>
      <x:c r="E601" s="17" t="str">
        <x:v>工具调用</x:v>
      </x:c>
      <x:c r="F601" s="17" t="str">
        <x:v>read_finance_catalog</x:v>
      </x:c>
      <x:c r="G601" s="17" t="str"/>
      <x:c r="H601" s="17" t="str"/>
      <x:c r="I601" s="17" t="str">
        <x:v>合理操作</x:v>
      </x:c>
      <x:c r="J601" s="17" t="str">
        <x:v>是</x:v>
      </x:c>
      <x:c r="K601" s="18"/>
      <x:c r="L601" s="17" t="str">
        <x:v>否</x:v>
      </x:c>
      <x:c r="M601" s="17" t="str">
        <x:v>否</x:v>
      </x:c>
      <x:c r="N601" s="17" t="str">
        <x:v>target_catalog_located</x:v>
      </x:c>
      <x:c r="O601" s="17" t="str">
        <x:v>expected_dataview_catalog</x:v>
      </x:c>
      <x:c r="P601" s="17" t="str"/>
      <x:c r="Q601" s="17" t="str"/>
      <x:c r="R601" s="17" t="str"/>
      <x:c r="S601" s="17" t="str">
        <x:v>plate</x:v>
      </x:c>
      <x:c r="T601" s="17" t="str">
        <x:v>pricevalue</x:v>
      </x:c>
      <x:c r="U601" s="17" t="str"/>
      <x:c r="V601" s="30"/>
      <x:c r="W601" s="17" t="str">
        <x:v>high</x:v>
      </x:c>
    </x:row>
    <x:row r="602" ht="54" customHeight="1">
      <x:c r="A602" s="17" t="str">
        <x:v>BUS146</x:v>
      </x:c>
      <x:c r="B602" s="17" t="str">
        <x:v>当前PE_TTM最低的板块前20名。</x:v>
      </x:c>
      <x:c r="C602" s="17" t="n">
        <x:v>2</x:v>
      </x:c>
      <x:c r="D602" s="17" t="str"/>
      <x:c r="E602" s="17" t="str">
        <x:v>工具调用</x:v>
      </x:c>
      <x:c r="F602" s="17" t="str">
        <x:v>finance_query</x:v>
      </x:c>
      <x:c r="G602" s="17" t="str">
        <x:v>r1 = plate.pricevalue(filter = "tradedate = -1", order = "pe_ttm asc", limit = 20, realtime = 0) -&gt; code, name, pe_ttm, pe_lyr, pb</x:v>
      </x:c>
      <x:c r="H602" s="17" t="str"/>
      <x:c r="I602" s="17" t="str">
        <x:v>合理操作</x:v>
      </x:c>
      <x:c r="J602" s="17" t="str">
        <x:v>是</x:v>
      </x:c>
      <x:c r="K602" s="18"/>
      <x:c r="L602" s="17" t="str">
        <x:v>否</x:v>
      </x:c>
      <x:c r="M602" s="17" t="str">
        <x:v>否</x:v>
      </x:c>
      <x:c r="N602" s="17" t="str">
        <x:v>target_api_executed</x:v>
      </x:c>
      <x:c r="O602" s="17" t="str">
        <x:v>expected_dataview_coverage</x:v>
      </x:c>
      <x:c r="P602" s="17" t="str">
        <x:v>session://financial_qa_33499cfa81de4d06_2841_bf00f529e8b2/vars/v1</x:v>
      </x:c>
      <x:c r="Q602" s="17" t="str"/>
      <x:c r="R602" s="17" t="str">
        <x:v>plate.pricevalue</x:v>
      </x:c>
      <x:c r="S602" s="17" t="str"/>
      <x:c r="T602" s="17" t="str"/>
      <x:c r="U602" s="17" t="str">
        <x:v>r1</x:v>
      </x:c>
      <x:c r="V602" s="30" t="n">
        <x:v>0</x:v>
      </x:c>
      <x:c r="W602" s="17" t="str">
        <x:v>high</x:v>
      </x:c>
    </x:row>
    <x:row r="603" ht="54" customHeight="1">
      <x:c r="A603" s="17" t="str">
        <x:v>BUS146</x:v>
      </x:c>
      <x:c r="B603" s="17" t="str">
        <x:v>当前PE_TTM最低的板块前20名。</x:v>
      </x:c>
      <x:c r="C603" s="17" t="n">
        <x:v>3</x:v>
      </x:c>
      <x:c r="D603" s="17" t="str"/>
      <x:c r="E603" s="17" t="str">
        <x:v>工具调用</x:v>
      </x:c>
      <x:c r="F603" s="17" t="str">
        <x:v>finance_query</x:v>
      </x:c>
      <x:c r="G603" s="17" t="str">
        <x:v>r2 = plate.pricevalue(order = "pe_ttm asc", limit = 20, realtime = 0) -&gt; code, name, pe_ttm, pe_lyr, pb</x:v>
      </x:c>
      <x:c r="H603" s="17" t="str"/>
      <x:c r="I603" s="17" t="str">
        <x:v>设计浪费</x:v>
      </x:c>
      <x:c r="J603" s="17" t="str">
        <x:v>否</x:v>
      </x:c>
      <x:c r="K603" s="18"/>
      <x:c r="L603" s="17" t="str">
        <x:v>否</x:v>
      </x:c>
      <x:c r="M603" s="17" t="str">
        <x:v>否</x:v>
      </x:c>
      <x:c r="N603" s="17" t="str">
        <x:v>requery_after_terminal_zero</x:v>
      </x:c>
      <x:c r="O603" s="17" t="str">
        <x:v>terminal_zero_requery</x:v>
      </x:c>
      <x:c r="P603" s="17" t="str">
        <x:v>session://financial_qa_33499cfa81de4d06_2841_bf00f529e8b2/vars/v2</x:v>
      </x:c>
      <x:c r="Q603" s="17" t="str"/>
      <x:c r="R603" s="17" t="str">
        <x:v>plate.pricevalue</x:v>
      </x:c>
      <x:c r="S603" s="17" t="str"/>
      <x:c r="T603" s="17" t="str"/>
      <x:c r="U603" s="17" t="str">
        <x:v>r2</x:v>
      </x:c>
      <x:c r="V603" s="30" t="n">
        <x:v>20</x:v>
      </x:c>
      <x:c r="W603" s="17" t="str">
        <x:v>high</x:v>
      </x:c>
    </x:row>
    <x:row r="604" ht="54" customHeight="1">
      <x:c r="A604" s="17" t="str">
        <x:v>BUS146</x:v>
      </x:c>
      <x:c r="B604" s="17" t="str">
        <x:v>当前PE_TTM最低的板块前20名。</x:v>
      </x:c>
      <x:c r="C604" s="17" t="n">
        <x:v>4</x:v>
      </x:c>
      <x:c r="D604" s="17" t="str"/>
      <x:c r="E604" s="17" t="str">
        <x:v>工具调用</x:v>
      </x:c>
      <x:c r="F604" s="17" t="str">
        <x:v>load_finance_result</x:v>
      </x:c>
      <x:c r="G604" s="17" t="str"/>
      <x:c r="H604" s="17" t="str"/>
      <x:c r="I604" s="17" t="str">
        <x:v>合理操作</x:v>
      </x:c>
      <x:c r="J604" s="17" t="str">
        <x:v>是</x:v>
      </x:c>
      <x:c r="K604" s="18"/>
      <x:c r="L604" s="17" t="str">
        <x:v>否</x:v>
      </x:c>
      <x:c r="M604" s="17" t="str">
        <x:v>否</x:v>
      </x:c>
      <x:c r="N604" s="17" t="str">
        <x:v>load_truncated_result</x:v>
      </x:c>
      <x:c r="O604" s="17" t="str">
        <x:v>sample_incomplete_requires_full_result</x:v>
      </x:c>
      <x:c r="P604" s="17" t="str">
        <x:v>session://financial_qa_33499cfa81de4d06_2841_bf00f529e8b2/vars/v2</x:v>
      </x:c>
      <x:c r="Q604" s="17" t="str"/>
      <x:c r="R604" s="17" t="str"/>
      <x:c r="S604" s="17" t="str"/>
      <x:c r="T604" s="17" t="str"/>
      <x:c r="U604" s="17" t="str"/>
      <x:c r="V604" s="30"/>
      <x:c r="W604" s="17" t="str">
        <x:v>high</x:v>
      </x:c>
    </x:row>
    <x:row r="605" ht="54" customHeight="1">
      <x:c r="A605" s="17" t="str">
        <x:v>BUS147</x:v>
      </x:c>
      <x:c r="B605" s="17" t="str">
        <x:v>筛选PB低于2的板块。</x:v>
      </x:c>
      <x:c r="C605" s="17" t="n">
        <x:v>1</x:v>
      </x:c>
      <x:c r="D605" s="17" t="str"/>
      <x:c r="E605" s="17" t="str">
        <x:v>工具调用</x:v>
      </x:c>
      <x:c r="F605" s="17" t="str">
        <x:v>read_finance_catalog</x:v>
      </x:c>
      <x:c r="G605" s="17" t="str"/>
      <x:c r="H605" s="17" t="str"/>
      <x:c r="I605" s="17" t="str">
        <x:v>合理操作</x:v>
      </x:c>
      <x:c r="J605" s="17" t="str">
        <x:v>是</x:v>
      </x:c>
      <x:c r="K605" s="18"/>
      <x:c r="L605" s="17" t="str">
        <x:v>否</x:v>
      </x:c>
      <x:c r="M605" s="17" t="str">
        <x:v>否</x:v>
      </x:c>
      <x:c r="N605" s="17" t="str">
        <x:v>target_catalog_located</x:v>
      </x:c>
      <x:c r="O605" s="17" t="str">
        <x:v>expected_dataview_catalog</x:v>
      </x:c>
      <x:c r="P605" s="17" t="str"/>
      <x:c r="Q605" s="17" t="str"/>
      <x:c r="R605" s="17" t="str"/>
      <x:c r="S605" s="17" t="str">
        <x:v>plate</x:v>
      </x:c>
      <x:c r="T605" s="17" t="str">
        <x:v>pricevalue</x:v>
      </x:c>
      <x:c r="U605" s="17" t="str"/>
      <x:c r="V605" s="30"/>
      <x:c r="W605" s="17" t="str">
        <x:v>high</x:v>
      </x:c>
    </x:row>
    <x:row r="606" ht="54" customHeight="1">
      <x:c r="A606" s="17" t="str">
        <x:v>BUS147</x:v>
      </x:c>
      <x:c r="B606" s="17" t="str">
        <x:v>筛选PB低于2的板块。</x:v>
      </x:c>
      <x:c r="C606" s="17" t="n">
        <x:v>2</x:v>
      </x:c>
      <x:c r="D606" s="17" t="str"/>
      <x:c r="E606" s="17" t="str">
        <x:v>工具调用</x:v>
      </x:c>
      <x:c r="F606" s="17" t="str">
        <x:v>read_finance_catalog</x:v>
      </x:c>
      <x:c r="G606" s="17" t="str"/>
      <x:c r="H606" s="17" t="str"/>
      <x:c r="I606" s="17" t="str">
        <x:v>合理操作</x:v>
      </x:c>
      <x:c r="J606" s="17" t="str">
        <x:v>是</x:v>
      </x:c>
      <x:c r="K606" s="18"/>
      <x:c r="L606" s="17" t="str">
        <x:v>否</x:v>
      </x:c>
      <x:c r="M606" s="17" t="str">
        <x:v>否</x:v>
      </x:c>
      <x:c r="N606" s="17" t="str">
        <x:v>subject_catalog_discovery</x:v>
      </x:c>
      <x:c r="O606" s="17" t="str">
        <x:v>expected_subject_catalog</x:v>
      </x:c>
      <x:c r="P606" s="17" t="str"/>
      <x:c r="Q606" s="17" t="str"/>
      <x:c r="R606" s="17" t="str"/>
      <x:c r="S606" s="17" t="str">
        <x:v>plate</x:v>
      </x:c>
      <x:c r="T606" s="17" t="str">
        <x:v>quote</x:v>
      </x:c>
      <x:c r="U606" s="17" t="str"/>
      <x:c r="V606" s="30"/>
      <x:c r="W606" s="17" t="str">
        <x:v>medium</x:v>
      </x:c>
    </x:row>
    <x:row r="607" ht="54" customHeight="1">
      <x:c r="A607" s="17" t="str">
        <x:v>BUS147</x:v>
      </x:c>
      <x:c r="B607" s="17" t="str">
        <x:v>筛选PB低于2的板块。</x:v>
      </x:c>
      <x:c r="C607" s="17" t="n">
        <x:v>3</x:v>
      </x:c>
      <x:c r="D607" s="17" t="str"/>
      <x:c r="E607" s="17" t="str">
        <x:v>工具调用</x:v>
      </x:c>
      <x:c r="F607" s="17" t="str">
        <x:v>finance_query</x:v>
      </x:c>
      <x:c r="G607" s="17" t="str">
        <x:v>r1 = plate.pricevalue(filter = "tradedate = -1 and pb &lt; 2", order = "pb asc", limit = 100, realtime = 0) -&gt; plate_code, plate_name, pb</x:v>
      </x:c>
      <x:c r="H607" s="17" t="str"/>
      <x:c r="I607" s="17" t="str">
        <x:v>合理操作</x:v>
      </x:c>
      <x:c r="J607" s="17" t="str">
        <x:v>是</x:v>
      </x:c>
      <x:c r="K607" s="18"/>
      <x:c r="L607" s="17" t="str">
        <x:v>否</x:v>
      </x:c>
      <x:c r="M607" s="17" t="str">
        <x:v>否</x:v>
      </x:c>
      <x:c r="N607" s="17" t="str">
        <x:v>target_api_executed</x:v>
      </x:c>
      <x:c r="O607" s="17" t="str">
        <x:v>expected_dataview_coverage</x:v>
      </x:c>
      <x:c r="P607" s="17" t="str">
        <x:v>session://financial_qa_33499cfa81de4d06_2842_77f07185fc82/vars/v1</x:v>
      </x:c>
      <x:c r="Q607" s="17" t="str"/>
      <x:c r="R607" s="17" t="str">
        <x:v>plate.pricevalue</x:v>
      </x:c>
      <x:c r="S607" s="17" t="str"/>
      <x:c r="T607" s="17" t="str"/>
      <x:c r="U607" s="17" t="str">
        <x:v>r1</x:v>
      </x:c>
      <x:c r="V607" s="30" t="n">
        <x:v>0</x:v>
      </x:c>
      <x:c r="W607" s="17" t="str">
        <x:v>high</x:v>
      </x:c>
    </x:row>
    <x:row r="608" ht="54" customHeight="1">
      <x:c r="A608" s="17" t="str">
        <x:v>BUS148</x:v>
      </x:c>
      <x:c r="B608" s="17" t="str">
        <x:v>查询半导体板块最近估值PE和PS。</x:v>
      </x:c>
      <x:c r="C608" s="17" t="n">
        <x:v>1</x:v>
      </x:c>
      <x:c r="D608" s="17" t="str"/>
      <x:c r="E608" s="17" t="str">
        <x:v>工具调用</x:v>
      </x:c>
      <x:c r="F608" s="17" t="str">
        <x:v>read_finance_catalog</x:v>
      </x:c>
      <x:c r="G608" s="17" t="str"/>
      <x:c r="H608" s="17" t="str"/>
      <x:c r="I608" s="17" t="str">
        <x:v>合理操作</x:v>
      </x:c>
      <x:c r="J608" s="17" t="str">
        <x:v>是</x:v>
      </x:c>
      <x:c r="K608" s="18"/>
      <x:c r="L608" s="17" t="str">
        <x:v>否</x:v>
      </x:c>
      <x:c r="M608" s="17" t="str">
        <x:v>否</x:v>
      </x:c>
      <x:c r="N608" s="17" t="str">
        <x:v>target_catalog_located</x:v>
      </x:c>
      <x:c r="O608" s="17" t="str">
        <x:v>expected_dataview_catalog</x:v>
      </x:c>
      <x:c r="P608" s="17" t="str"/>
      <x:c r="Q608" s="17" t="str"/>
      <x:c r="R608" s="17" t="str"/>
      <x:c r="S608" s="17" t="str">
        <x:v>plate</x:v>
      </x:c>
      <x:c r="T608" s="17" t="str">
        <x:v>pricevalue</x:v>
      </x:c>
      <x:c r="U608" s="17" t="str"/>
      <x:c r="V608" s="30"/>
      <x:c r="W608" s="17" t="str">
        <x:v>high</x:v>
      </x:c>
    </x:row>
    <x:row r="609" ht="54" customHeight="1">
      <x:c r="A609" s="17" t="str">
        <x:v>BUS148</x:v>
      </x:c>
      <x:c r="B609" s="17" t="str">
        <x:v>查询半导体板块最近估值PE和PS。</x:v>
      </x:c>
      <x:c r="C609" s="17" t="n">
        <x:v>2</x:v>
      </x:c>
      <x:c r="D609" s="17" t="str"/>
      <x:c r="E609" s="17" t="str">
        <x:v>工具调用</x:v>
      </x:c>
      <x:c r="F609" s="17" t="str">
        <x:v>finance_query</x:v>
      </x:c>
      <x:c r="G609" s="17" t="str">
        <x:v>r1 = plate.basic_info(filter = "name like '%半导体%'", limit = 1) -&gt; code, name</x:v>
      </x:c>
      <x:c r="H609" s="17" t="str"/>
      <x:c r="I609" s="17" t="str">
        <x:v>设计浪费</x:v>
      </x:c>
      <x:c r="J609" s="17" t="str">
        <x:v>否</x:v>
      </x:c>
      <x:c r="K609" s="18"/>
      <x:c r="L609" s="17" t="str">
        <x:v>否</x:v>
      </x:c>
      <x:c r="M609" s="17" t="str">
        <x:v>否</x:v>
      </x:c>
      <x:c r="N609" s="17" t="str">
        <x:v>validation_error</x:v>
      </x:c>
      <x:c r="O609" s="17" t="str">
        <x:v>query_validation_error</x:v>
      </x:c>
      <x:c r="P609" s="17" t="str"/>
      <x:c r="Q609" s="17" t="str"/>
      <x:c r="R609" s="17" t="str">
        <x:v>plate.basic_info</x:v>
      </x:c>
      <x:c r="S609" s="17" t="str"/>
      <x:c r="T609" s="17" t="str"/>
      <x:c r="U609" s="17" t="str">
        <x:v>r1</x:v>
      </x:c>
      <x:c r="V609" s="30"/>
      <x:c r="W609" s="17" t="str">
        <x:v>high</x:v>
      </x:c>
    </x:row>
    <x:row r="610" ht="54" customHeight="1">
      <x:c r="A610" s="17" t="str">
        <x:v>BUS148</x:v>
      </x:c>
      <x:c r="B610" s="17" t="str">
        <x:v>查询半导体板块最近估值PE和PS。</x:v>
      </x:c>
      <x:c r="C610" s="17" t="n">
        <x:v>3</x:v>
      </x:c>
      <x:c r="D610" s="17" t="str"/>
      <x:c r="E610" s="17" t="str">
        <x:v>工具调用</x:v>
      </x:c>
      <x:c r="F610" s="17" t="str">
        <x:v>finance_query</x:v>
      </x:c>
      <x:c r="G610" s="17" t="str">
        <x:v>r1 = plate.basic_info(filter = "plate_name like '%半导体%'", limit = 10) -&gt; plate_code, plate_name</x:v>
      </x:c>
      <x:c r="H610" s="17" t="str"/>
      <x:c r="I610" s="17" t="str">
        <x:v>可解释探索</x:v>
      </x:c>
      <x:c r="J610" s="17" t="str">
        <x:v>是</x:v>
      </x:c>
      <x:c r="K610" s="18"/>
      <x:c r="L610" s="17" t="str">
        <x:v>否</x:v>
      </x:c>
      <x:c r="M610" s="17" t="str">
        <x:v>否</x:v>
      </x:c>
      <x:c r="N610" s="17" t="str">
        <x:v>changed_query_after_failure</x:v>
      </x:c>
      <x:c r="O610" s="17" t="str">
        <x:v>successful_same_api_recovery</x:v>
      </x:c>
      <x:c r="P610" s="17" t="str">
        <x:v>session://financial_qa_33499cfa81de4d06_2843_e6cef7611684/vars/v1</x:v>
      </x:c>
      <x:c r="Q610" s="17" t="str"/>
      <x:c r="R610" s="17" t="str">
        <x:v>plate.basic_info</x:v>
      </x:c>
      <x:c r="S610" s="17" t="str"/>
      <x:c r="T610" s="17" t="str"/>
      <x:c r="U610" s="17" t="str">
        <x:v>r1</x:v>
      </x:c>
      <x:c r="V610" s="30" t="n">
        <x:v>7</x:v>
      </x:c>
      <x:c r="W610" s="17" t="str">
        <x:v>medium</x:v>
      </x:c>
    </x:row>
    <x:row r="611" ht="54" customHeight="1">
      <x:c r="A611" s="17" t="str">
        <x:v>BUS148</x:v>
      </x:c>
      <x:c r="B611" s="17" t="str">
        <x:v>查询半导体板块最近估值PE和PS。</x:v>
      </x:c>
      <x:c r="C611" s="17" t="n">
        <x:v>4</x:v>
      </x:c>
      <x:c r="D611" s="17" t="str"/>
      <x:c r="E611" s="17" t="str">
        <x:v>工具调用</x:v>
      </x:c>
      <x:c r="F611" s="17" t="str">
        <x:v>finance_query</x:v>
      </x:c>
      <x:c r="G611" s="17" t="str">
        <x:v>r2 = plate.pricevalue(filter = "plate_code = 883720", order = "tradedate desc", limit = 1, realtime = 0) -&gt; plate_code, plate_name, tradedate, pe, pe_ttm, ps</x:v>
      </x:c>
      <x:c r="H611" s="17" t="str"/>
      <x:c r="I611" s="17" t="str">
        <x:v>合理操作</x:v>
      </x:c>
      <x:c r="J611" s="17" t="str">
        <x:v>是</x:v>
      </x:c>
      <x:c r="K611" s="18"/>
      <x:c r="L611" s="17" t="str">
        <x:v>否</x:v>
      </x:c>
      <x:c r="M611" s="17" t="str">
        <x:v>否</x:v>
      </x:c>
      <x:c r="N611" s="17" t="str">
        <x:v>target_api_executed</x:v>
      </x:c>
      <x:c r="O611" s="17" t="str">
        <x:v>expected_dataview_coverage</x:v>
      </x:c>
      <x:c r="P611" s="17" t="str">
        <x:v>session://financial_qa_33499cfa81de4d06_2843_e6cef7611684/vars/v2</x:v>
      </x:c>
      <x:c r="Q611" s="17" t="str"/>
      <x:c r="R611" s="17" t="str">
        <x:v>plate.pricevalue</x:v>
      </x:c>
      <x:c r="S611" s="17" t="str"/>
      <x:c r="T611" s="17" t="str"/>
      <x:c r="U611" s="17" t="str">
        <x:v>r2</x:v>
      </x:c>
      <x:c r="V611" s="30" t="n">
        <x:v>1</x:v>
      </x:c>
      <x:c r="W611" s="17" t="str">
        <x:v>high</x:v>
      </x:c>
    </x:row>
    <x:row r="612" ht="54" customHeight="1">
      <x:c r="A612" s="17" t="str">
        <x:v>BUS149</x:v>
      </x:c>
      <x:c r="B612" s="17" t="str">
        <x:v>筛选PS_TTM低于3的板块。</x:v>
      </x:c>
      <x:c r="C612" s="17" t="n">
        <x:v>1</x:v>
      </x:c>
      <x:c r="D612" s="17" t="str"/>
      <x:c r="E612" s="17" t="str">
        <x:v>工具调用</x:v>
      </x:c>
      <x:c r="F612" s="17" t="str">
        <x:v>read_finance_catalog</x:v>
      </x:c>
      <x:c r="G612" s="17" t="str"/>
      <x:c r="H612" s="17" t="str"/>
      <x:c r="I612" s="17" t="str">
        <x:v>合理操作</x:v>
      </x:c>
      <x:c r="J612" s="17" t="str">
        <x:v>是</x:v>
      </x:c>
      <x:c r="K612" s="18"/>
      <x:c r="L612" s="17" t="str">
        <x:v>否</x:v>
      </x:c>
      <x:c r="M612" s="17" t="str">
        <x:v>否</x:v>
      </x:c>
      <x:c r="N612" s="17" t="str">
        <x:v>target_catalog_located</x:v>
      </x:c>
      <x:c r="O612" s="17" t="str">
        <x:v>expected_dataview_catalog</x:v>
      </x:c>
      <x:c r="P612" s="17" t="str"/>
      <x:c r="Q612" s="17" t="str"/>
      <x:c r="R612" s="17" t="str"/>
      <x:c r="S612" s="17" t="str">
        <x:v>plate</x:v>
      </x:c>
      <x:c r="T612" s="17" t="str">
        <x:v>pricevalue</x:v>
      </x:c>
      <x:c r="U612" s="17" t="str"/>
      <x:c r="V612" s="30"/>
      <x:c r="W612" s="17" t="str">
        <x:v>high</x:v>
      </x:c>
    </x:row>
    <x:row r="613" ht="54" customHeight="1">
      <x:c r="A613" s="17" t="str">
        <x:v>BUS149</x:v>
      </x:c>
      <x:c r="B613" s="17" t="str">
        <x:v>筛选PS_TTM低于3的板块。</x:v>
      </x:c>
      <x:c r="C613" s="17" t="n">
        <x:v>2</x:v>
      </x:c>
      <x:c r="D613" s="17" t="str"/>
      <x:c r="E613" s="17" t="str">
        <x:v>工具调用</x:v>
      </x:c>
      <x:c r="F613" s="17" t="str">
        <x:v>read_finance_catalog</x:v>
      </x:c>
      <x:c r="G613" s="17" t="str"/>
      <x:c r="H613" s="17" t="str"/>
      <x:c r="I613" s="17" t="str">
        <x:v>合理操作</x:v>
      </x:c>
      <x:c r="J613" s="17" t="str">
        <x:v>是</x:v>
      </x:c>
      <x:c r="K613" s="18"/>
      <x:c r="L613" s="17" t="str">
        <x:v>否</x:v>
      </x:c>
      <x:c r="M613" s="17" t="str">
        <x:v>否</x:v>
      </x:c>
      <x:c r="N613" s="17" t="str">
        <x:v>subject_catalog_discovery</x:v>
      </x:c>
      <x:c r="O613" s="17" t="str">
        <x:v>expected_subject_catalog</x:v>
      </x:c>
      <x:c r="P613" s="17" t="str"/>
      <x:c r="Q613" s="17" t="str"/>
      <x:c r="R613" s="17" t="str"/>
      <x:c r="S613" s="17" t="str">
        <x:v>plate</x:v>
      </x:c>
      <x:c r="T613" s="17" t="str">
        <x:v>quote</x:v>
      </x:c>
      <x:c r="U613" s="17" t="str"/>
      <x:c r="V613" s="30"/>
      <x:c r="W613" s="17" t="str">
        <x:v>medium</x:v>
      </x:c>
    </x:row>
    <x:row r="614" ht="54" customHeight="1">
      <x:c r="A614" s="17" t="str">
        <x:v>BUS149</x:v>
      </x:c>
      <x:c r="B614" s="17" t="str">
        <x:v>筛选PS_TTM低于3的板块。</x:v>
      </x:c>
      <x:c r="C614" s="17" t="n">
        <x:v>3</x:v>
      </x:c>
      <x:c r="D614" s="17" t="str"/>
      <x:c r="E614" s="17" t="str">
        <x:v>工具调用</x:v>
      </x:c>
      <x:c r="F614" s="17" t="str">
        <x:v>finance_query</x:v>
      </x:c>
      <x:c r="G614" s="17" t="str">
        <x:v>r1 = plate.pricevalue(filter = "ps &lt; 3", limit = 50, realtime = 0) -&gt; code, name, ps, ps_lyr, pe_ttm, pb</x:v>
      </x:c>
      <x:c r="H614" s="17" t="str"/>
      <x:c r="I614" s="17" t="str">
        <x:v>合理操作</x:v>
      </x:c>
      <x:c r="J614" s="17" t="str">
        <x:v>是</x:v>
      </x:c>
      <x:c r="K614" s="18"/>
      <x:c r="L614" s="17" t="str">
        <x:v>否</x:v>
      </x:c>
      <x:c r="M614" s="17" t="str">
        <x:v>否</x:v>
      </x:c>
      <x:c r="N614" s="17" t="str">
        <x:v>target_api_executed</x:v>
      </x:c>
      <x:c r="O614" s="17" t="str">
        <x:v>expected_dataview_coverage</x:v>
      </x:c>
      <x:c r="P614" s="17" t="str">
        <x:v>session://financial_qa_33499cfa81de4d06_2844_2b92c28b68a1/vars/v1</x:v>
      </x:c>
      <x:c r="Q614" s="17" t="str"/>
      <x:c r="R614" s="17" t="str">
        <x:v>plate.pricevalue</x:v>
      </x:c>
      <x:c r="S614" s="17" t="str"/>
      <x:c r="T614" s="17" t="str"/>
      <x:c r="U614" s="17" t="str">
        <x:v>r1</x:v>
      </x:c>
      <x:c r="V614" s="30" t="n">
        <x:v>50</x:v>
      </x:c>
      <x:c r="W614" s="17" t="str">
        <x:v>high</x:v>
      </x:c>
    </x:row>
    <x:row r="615" ht="54" customHeight="1">
      <x:c r="A615" s="17" t="str">
        <x:v>BUS149</x:v>
      </x:c>
      <x:c r="B615" s="17" t="str">
        <x:v>筛选PS_TTM低于3的板块。</x:v>
      </x:c>
      <x:c r="C615" s="17" t="n">
        <x:v>4</x:v>
      </x:c>
      <x:c r="D615" s="17" t="str"/>
      <x:c r="E615" s="17" t="str">
        <x:v>工具调用</x:v>
      </x:c>
      <x:c r="F615" s="17" t="str">
        <x:v>load_finance_result</x:v>
      </x:c>
      <x:c r="G615" s="17" t="str"/>
      <x:c r="H615" s="17" t="str"/>
      <x:c r="I615" s="17" t="str">
        <x:v>合理操作</x:v>
      </x:c>
      <x:c r="J615" s="17" t="str">
        <x:v>是</x:v>
      </x:c>
      <x:c r="K615" s="18"/>
      <x:c r="L615" s="17" t="str">
        <x:v>否</x:v>
      </x:c>
      <x:c r="M615" s="17" t="str">
        <x:v>否</x:v>
      </x:c>
      <x:c r="N615" s="17" t="str">
        <x:v>load_truncated_result</x:v>
      </x:c>
      <x:c r="O615" s="17" t="str">
        <x:v>sample_incomplete_requires_full_result</x:v>
      </x:c>
      <x:c r="P615" s="17" t="str">
        <x:v>session://financial_qa_33499cfa81de4d06_2844_2b92c28b68a1/vars/v1</x:v>
      </x:c>
      <x:c r="Q615" s="17" t="str"/>
      <x:c r="R615" s="17" t="str"/>
      <x:c r="S615" s="17" t="str"/>
      <x:c r="T615" s="17" t="str"/>
      <x:c r="U615" s="17" t="str"/>
      <x:c r="V615" s="30"/>
      <x:c r="W615" s="17" t="str">
        <x:v>high</x:v>
      </x:c>
    </x:row>
    <x:row r="616" ht="54" customHeight="1">
      <x:c r="A616" s="17" t="str">
        <x:v>BUS150</x:v>
      </x:c>
      <x:c r="B616" s="17" t="str">
        <x:v>查询证券板块最新PE、PB和PS。</x:v>
      </x:c>
      <x:c r="C616" s="17" t="n">
        <x:v>1</x:v>
      </x:c>
      <x:c r="D616" s="17" t="str"/>
      <x:c r="E616" s="17" t="str">
        <x:v>工具调用</x:v>
      </x:c>
      <x:c r="F616" s="17" t="str">
        <x:v>read_finance_catalog</x:v>
      </x:c>
      <x:c r="G616" s="17" t="str"/>
      <x:c r="H616" s="17" t="str"/>
      <x:c r="I616" s="17" t="str">
        <x:v>未判定</x:v>
      </x:c>
      <x:c r="J616" s="17" t="str">
        <x:v>未判定</x:v>
      </x:c>
      <x:c r="K616" s="18"/>
      <x:c r="L616" s="17" t="str">
        <x:v>否</x:v>
      </x:c>
      <x:c r="M616" s="17" t="str">
        <x:v>否</x:v>
      </x:c>
      <x:c r="N616" s="17" t="str">
        <x:v>catalog_relevance_not_provable</x:v>
      </x:c>
      <x:c r="O616" s="17" t="str">
        <x:v>catalog_outside_expected_dataview</x:v>
      </x:c>
      <x:c r="P616" s="17" t="str"/>
      <x:c r="Q616" s="17" t="str"/>
      <x:c r="R616" s="17" t="str"/>
      <x:c r="S616" s="17" t="str">
        <x:v>industry</x:v>
      </x:c>
      <x:c r="T616" s="17" t="str">
        <x:v>pricevalue</x:v>
      </x:c>
      <x:c r="U616" s="17" t="str"/>
      <x:c r="V616" s="30"/>
      <x:c r="W616" s="17" t="str">
        <x:v>low</x:v>
      </x:c>
    </x:row>
    <x:row r="617" ht="54" customHeight="1">
      <x:c r="A617" s="17" t="str">
        <x:v>BUS150</x:v>
      </x:c>
      <x:c r="B617" s="17" t="str">
        <x:v>查询证券板块最新PE、PB和PS。</x:v>
      </x:c>
      <x:c r="C617" s="17" t="n">
        <x:v>2</x:v>
      </x:c>
      <x:c r="D617" s="17" t="str"/>
      <x:c r="E617" s="17" t="str">
        <x:v>工具调用</x:v>
      </x:c>
      <x:c r="F617" s="17" t="str">
        <x:v>read_finance_catalog</x:v>
      </x:c>
      <x:c r="G617" s="17" t="str"/>
      <x:c r="H617" s="17" t="str"/>
      <x:c r="I617" s="17" t="str">
        <x:v>合理操作</x:v>
      </x:c>
      <x:c r="J617" s="17" t="str">
        <x:v>是</x:v>
      </x:c>
      <x:c r="K617" s="18"/>
      <x:c r="L617" s="17" t="str">
        <x:v>否</x:v>
      </x:c>
      <x:c r="M617" s="17" t="str">
        <x:v>否</x:v>
      </x:c>
      <x:c r="N617" s="17" t="str">
        <x:v>target_catalog_located</x:v>
      </x:c>
      <x:c r="O617" s="17" t="str">
        <x:v>expected_dataview_catalog</x:v>
      </x:c>
      <x:c r="P617" s="17" t="str"/>
      <x:c r="Q617" s="17" t="str"/>
      <x:c r="R617" s="17" t="str"/>
      <x:c r="S617" s="17" t="str">
        <x:v>plate</x:v>
      </x:c>
      <x:c r="T617" s="17" t="str">
        <x:v>pricevalue</x:v>
      </x:c>
      <x:c r="U617" s="17" t="str"/>
      <x:c r="V617" s="30"/>
      <x:c r="W617" s="17" t="str">
        <x:v>high</x:v>
      </x:c>
    </x:row>
    <x:row r="618" ht="54" customHeight="1">
      <x:c r="A618" s="17" t="str">
        <x:v>BUS150</x:v>
      </x:c>
      <x:c r="B618" s="17" t="str">
        <x:v>查询证券板块最新PE、PB和PS。</x:v>
      </x:c>
      <x:c r="C618" s="17" t="n">
        <x:v>3</x:v>
      </x:c>
      <x:c r="D618" s="17" t="str"/>
      <x:c r="E618" s="17" t="str">
        <x:v>工具调用</x:v>
      </x:c>
      <x:c r="F618" s="17" t="str">
        <x:v>read_finance_catalog</x:v>
      </x:c>
      <x:c r="G618" s="17" t="str"/>
      <x:c r="H618" s="17" t="str"/>
      <x:c r="I618" s="17" t="str">
        <x:v>合理操作</x:v>
      </x:c>
      <x:c r="J618" s="17" t="str">
        <x:v>是</x:v>
      </x:c>
      <x:c r="K618" s="18"/>
      <x:c r="L618" s="17" t="str">
        <x:v>否</x:v>
      </x:c>
      <x:c r="M618" s="17" t="str">
        <x:v>否</x:v>
      </x:c>
      <x:c r="N618" s="17" t="str">
        <x:v>subject_catalog_discovery</x:v>
      </x:c>
      <x:c r="O618" s="17" t="str">
        <x:v>expected_subject_catalog</x:v>
      </x:c>
      <x:c r="P618" s="17" t="str"/>
      <x:c r="Q618" s="17" t="str"/>
      <x:c r="R618" s="17" t="str"/>
      <x:c r="S618" s="17" t="str">
        <x:v>plate</x:v>
      </x:c>
      <x:c r="T618" s="17" t="str">
        <x:v>basic_info</x:v>
      </x:c>
      <x:c r="U618" s="17" t="str"/>
      <x:c r="V618" s="30"/>
      <x:c r="W618" s="17" t="str">
        <x:v>medium</x:v>
      </x:c>
    </x:row>
    <x:row r="619" ht="54" customHeight="1">
      <x:c r="A619" s="17" t="str">
        <x:v>BUS150</x:v>
      </x:c>
      <x:c r="B619" s="17" t="str">
        <x:v>查询证券板块最新PE、PB和PS。</x:v>
      </x:c>
      <x:c r="C619" s="17" t="n">
        <x:v>4</x:v>
      </x:c>
      <x:c r="D619" s="17" t="str"/>
      <x:c r="E619" s="17" t="str">
        <x:v>工具调用</x:v>
      </x:c>
      <x:c r="F619" s="17" t="str">
        <x:v>finance_query</x:v>
      </x:c>
      <x:c r="G619" s="17" t="str">
        <x:v>r1 = plate.basic_info(filter = "plate_name like '%证券%'", limit = 10) -&gt; plate_code, plate_name</x:v>
      </x:c>
      <x:c r="H619" s="17" t="str"/>
      <x:c r="I619" s="17" t="str">
        <x:v>合理操作</x:v>
      </x:c>
      <x:c r="J619" s="17" t="str">
        <x:v>是</x:v>
      </x:c>
      <x:c r="K619" s="18"/>
      <x:c r="L619" s="17" t="str">
        <x:v>否</x:v>
      </x:c>
      <x:c r="M619" s="17" t="str">
        <x:v>否</x:v>
      </x:c>
      <x:c r="N619" s="17" t="str">
        <x:v>same_subject_dependency</x:v>
      </x:c>
      <x:c r="O619" s="17" t="str">
        <x:v>supporting_api_for_expected_subject</x:v>
      </x:c>
      <x:c r="P619" s="17" t="str">
        <x:v>session://financial_qa_33499cfa81de4d06_2845_ab04c03a8702/vars/v1</x:v>
      </x:c>
      <x:c r="Q619" s="17" t="str"/>
      <x:c r="R619" s="17" t="str">
        <x:v>plate.basic_info</x:v>
      </x:c>
      <x:c r="S619" s="17" t="str"/>
      <x:c r="T619" s="17" t="str"/>
      <x:c r="U619" s="17" t="str">
        <x:v>r1</x:v>
      </x:c>
      <x:c r="V619" s="30" t="n">
        <x:v>1</x:v>
      </x:c>
      <x:c r="W619" s="17" t="str">
        <x:v>medium</x:v>
      </x:c>
    </x:row>
    <x:row r="620" ht="54" customHeight="1">
      <x:c r="A620" s="17" t="str">
        <x:v>BUS150</x:v>
      </x:c>
      <x:c r="B620" s="17" t="str">
        <x:v>查询证券板块最新PE、PB和PS。</x:v>
      </x:c>
      <x:c r="C620" s="17" t="n">
        <x:v>5</x:v>
      </x:c>
      <x:c r="D620" s="17" t="str"/>
      <x:c r="E620" s="17" t="str">
        <x:v>工具调用</x:v>
      </x:c>
      <x:c r="F620" s="17" t="str">
        <x:v>finance_query</x:v>
      </x:c>
      <x:c r="G620" s="17" t="str">
        <x:v>r2 = plate.pricevalue(filter = "plate_code = 884162", limit = 5, realtime = 2) -&gt; plate_code, plate_name, tradedate, pe, pe_ttm, pe_lyr, pb, ps</x:v>
      </x:c>
      <x:c r="H620" s="17" t="str"/>
      <x:c r="I620" s="17" t="str">
        <x:v>合理操作</x:v>
      </x:c>
      <x:c r="J620" s="17" t="str">
        <x:v>是</x:v>
      </x:c>
      <x:c r="K620" s="18"/>
      <x:c r="L620" s="17" t="str">
        <x:v>否</x:v>
      </x:c>
      <x:c r="M620" s="17" t="str">
        <x:v>否</x:v>
      </x:c>
      <x:c r="N620" s="17" t="str">
        <x:v>target_api_executed</x:v>
      </x:c>
      <x:c r="O620" s="17" t="str">
        <x:v>expected_dataview_coverage</x:v>
      </x:c>
      <x:c r="P620" s="17" t="str">
        <x:v>session://financial_qa_33499cfa81de4d06_2845_ab04c03a8702/vars/v2</x:v>
      </x:c>
      <x:c r="Q620" s="17" t="str"/>
      <x:c r="R620" s="17" t="str">
        <x:v>plate.pricevalue</x:v>
      </x:c>
      <x:c r="S620" s="17" t="str"/>
      <x:c r="T620" s="17" t="str"/>
      <x:c r="U620" s="17" t="str">
        <x:v>r2</x:v>
      </x:c>
      <x:c r="V620" s="30" t="n">
        <x:v>1</x:v>
      </x:c>
      <x:c r="W620" s="17" t="str">
        <x:v>high</x:v>
      </x:c>
    </x:row>
    <x:row r="621" ht="54" customHeight="1">
      <x:c r="A621" s="17" t="str">
        <x:v>BUS151</x:v>
      </x:c>
      <x:c r="B621" s="17" t="str">
        <x:v>查询人工智能板块当前成分股。</x:v>
      </x:c>
      <x:c r="C621" s="17" t="n">
        <x:v>1</x:v>
      </x:c>
      <x:c r="D621" s="17" t="str"/>
      <x:c r="E621" s="17" t="str">
        <x:v>工具调用</x:v>
      </x:c>
      <x:c r="F621" s="17" t="str">
        <x:v>read_finance_catalog</x:v>
      </x:c>
      <x:c r="G621" s="17" t="str"/>
      <x:c r="H621" s="17" t="str"/>
      <x:c r="I621" s="17" t="str">
        <x:v>合理操作</x:v>
      </x:c>
      <x:c r="J621" s="17" t="str">
        <x:v>是</x:v>
      </x:c>
      <x:c r="K621" s="18"/>
      <x:c r="L621" s="17" t="str">
        <x:v>否</x:v>
      </x:c>
      <x:c r="M621" s="17" t="str">
        <x:v>否</x:v>
      </x:c>
      <x:c r="N621" s="17" t="str">
        <x:v>target_catalog_located</x:v>
      </x:c>
      <x:c r="O621" s="17" t="str">
        <x:v>expected_dataview_catalog</x:v>
      </x:c>
      <x:c r="P621" s="17" t="str"/>
      <x:c r="Q621" s="17" t="str"/>
      <x:c r="R621" s="17" t="str"/>
      <x:c r="S621" s="17" t="str">
        <x:v>plate</x:v>
      </x:c>
      <x:c r="T621" s="17" t="str">
        <x:v>constitution</x:v>
      </x:c>
      <x:c r="U621" s="17" t="str"/>
      <x:c r="V621" s="30"/>
      <x:c r="W621" s="17" t="str">
        <x:v>high</x:v>
      </x:c>
    </x:row>
    <x:row r="622" ht="54" customHeight="1">
      <x:c r="A622" s="17" t="str">
        <x:v>BUS151</x:v>
      </x:c>
      <x:c r="B622" s="17" t="str">
        <x:v>查询人工智能板块当前成分股。</x:v>
      </x:c>
      <x:c r="C622" s="17" t="n">
        <x:v>2</x:v>
      </x:c>
      <x:c r="D622" s="17" t="str"/>
      <x:c r="E622" s="17" t="str">
        <x:v>工具调用</x:v>
      </x:c>
      <x:c r="F622" s="17" t="str">
        <x:v>finance_query</x:v>
      </x:c>
      <x:c r="G622" s="17" t="str">
        <x:v>r1 = plate.constitution(filter = "plate_name = 人工智能", order = "stock_code asc", limit = -1) -&gt; plate_code, plate_name, stock_code, stock_name</x:v>
      </x:c>
      <x:c r="H622" s="17" t="str"/>
      <x:c r="I622" s="17" t="str">
        <x:v>合理操作</x:v>
      </x:c>
      <x:c r="J622" s="17" t="str">
        <x:v>是</x:v>
      </x:c>
      <x:c r="K622" s="18"/>
      <x:c r="L622" s="17" t="str">
        <x:v>否</x:v>
      </x:c>
      <x:c r="M622" s="17" t="str">
        <x:v>否</x:v>
      </x:c>
      <x:c r="N622" s="17" t="str">
        <x:v>target_api_executed</x:v>
      </x:c>
      <x:c r="O622" s="17" t="str">
        <x:v>expected_dataview_coverage</x:v>
      </x:c>
      <x:c r="P622" s="17" t="str">
        <x:v>session://financial_qa_33499cfa81de4d06_2846_b9a757683554/vars/v1</x:v>
      </x:c>
      <x:c r="Q622" s="17" t="str"/>
      <x:c r="R622" s="17" t="str">
        <x:v>plate.constitution</x:v>
      </x:c>
      <x:c r="S622" s="17" t="str"/>
      <x:c r="T622" s="17" t="str"/>
      <x:c r="U622" s="17" t="str">
        <x:v>r1</x:v>
      </x:c>
      <x:c r="V622" s="30" t="n">
        <x:v>100</x:v>
      </x:c>
      <x:c r="W622" s="17" t="str">
        <x:v>high</x:v>
      </x:c>
    </x:row>
    <x:row r="623" ht="54" customHeight="1">
      <x:c r="A623" s="17" t="str">
        <x:v>BUS151</x:v>
      </x:c>
      <x:c r="B623" s="17" t="str">
        <x:v>查询人工智能板块当前成分股。</x:v>
      </x:c>
      <x:c r="C623" s="17" t="n">
        <x:v>3</x:v>
      </x:c>
      <x:c r="D623" s="17" t="str"/>
      <x:c r="E623" s="17" t="str">
        <x:v>工具调用</x:v>
      </x:c>
      <x:c r="F623" s="17" t="str">
        <x:v>load_finance_result</x:v>
      </x:c>
      <x:c r="G623" s="17" t="str"/>
      <x:c r="H623" s="17" t="str"/>
      <x:c r="I623" s="17" t="str">
        <x:v>合理操作</x:v>
      </x:c>
      <x:c r="J623" s="17" t="str">
        <x:v>是</x:v>
      </x:c>
      <x:c r="K623" s="18"/>
      <x:c r="L623" s="17" t="str">
        <x:v>否</x:v>
      </x:c>
      <x:c r="M623" s="17" t="str">
        <x:v>否</x:v>
      </x:c>
      <x:c r="N623" s="17" t="str">
        <x:v>load_truncated_result</x:v>
      </x:c>
      <x:c r="O623" s="17" t="str">
        <x:v>sample_incomplete_requires_full_result</x:v>
      </x:c>
      <x:c r="P623" s="17" t="str">
        <x:v>session://financial_qa_33499cfa81de4d06_2846_b9a757683554/vars/v1</x:v>
      </x:c>
      <x:c r="Q623" s="17" t="str"/>
      <x:c r="R623" s="17" t="str"/>
      <x:c r="S623" s="17" t="str"/>
      <x:c r="T623" s="17" t="str"/>
      <x:c r="U623" s="17" t="str"/>
      <x:c r="V623" s="30"/>
      <x:c r="W623" s="17" t="str">
        <x:v>high</x:v>
      </x:c>
    </x:row>
    <x:row r="624" ht="54" customHeight="1">
      <x:c r="A624" s="17" t="str">
        <x:v>BUS151</x:v>
      </x:c>
      <x:c r="B624" s="17" t="str">
        <x:v>查询人工智能板块当前成分股。</x:v>
      </x:c>
      <x:c r="C624" s="17" t="n">
        <x:v>4</x:v>
      </x:c>
      <x:c r="D624" s="17" t="str"/>
      <x:c r="E624" s="17" t="str">
        <x:v>工具调用</x:v>
      </x:c>
      <x:c r="F624" s="17" t="str">
        <x:v>load_finance_result</x:v>
      </x:c>
      <x:c r="G624" s="17" t="str"/>
      <x:c r="H624" s="17" t="str"/>
      <x:c r="I624" s="17" t="str">
        <x:v>设计浪费</x:v>
      </x:c>
      <x:c r="J624" s="17" t="str">
        <x:v>否</x:v>
      </x:c>
      <x:c r="K624" s="18"/>
      <x:c r="L624" s="17" t="str">
        <x:v>否</x:v>
      </x:c>
      <x:c r="M624" s="17" t="str">
        <x:v>否</x:v>
      </x:c>
      <x:c r="N624" s="17" t="str">
        <x:v>duplicate_result_load</x:v>
      </x:c>
      <x:c r="O624" s="17" t="str">
        <x:v>repeated_identical_result_load</x:v>
      </x:c>
      <x:c r="P624" s="17" t="str">
        <x:v>session://financial_qa_33499cfa81de4d06_2846_b9a757683554/vars/v1</x:v>
      </x:c>
      <x:c r="Q624" s="17" t="str"/>
      <x:c r="R624" s="17" t="str"/>
      <x:c r="S624" s="17" t="str"/>
      <x:c r="T624" s="17" t="str"/>
      <x:c r="U624" s="17" t="str"/>
      <x:c r="V624" s="30"/>
      <x:c r="W624" s="17" t="str">
        <x:v>high</x:v>
      </x:c>
    </x:row>
    <x:row r="625" ht="54" customHeight="1">
      <x:c r="A625" s="17" t="str">
        <x:v>BUS152</x:v>
      </x:c>
      <x:c r="B625" s="17" t="str">
        <x:v>查询半导体板块权重最高的前20只成分股。</x:v>
      </x:c>
      <x:c r="C625" s="17" t="n">
        <x:v>1</x:v>
      </x:c>
      <x:c r="D625" s="17" t="str"/>
      <x:c r="E625" s="17" t="str">
        <x:v>工具调用</x:v>
      </x:c>
      <x:c r="F625" s="17" t="str">
        <x:v>read_finance_catalog</x:v>
      </x:c>
      <x:c r="G625" s="17" t="str"/>
      <x:c r="H625" s="17" t="str"/>
      <x:c r="I625" s="17" t="str">
        <x:v>合理操作</x:v>
      </x:c>
      <x:c r="J625" s="17" t="str">
        <x:v>是</x:v>
      </x:c>
      <x:c r="K625" s="18"/>
      <x:c r="L625" s="17" t="str">
        <x:v>否</x:v>
      </x:c>
      <x:c r="M625" s="17" t="str">
        <x:v>否</x:v>
      </x:c>
      <x:c r="N625" s="17" t="str">
        <x:v>target_catalog_located</x:v>
      </x:c>
      <x:c r="O625" s="17" t="str">
        <x:v>expected_dataview_catalog</x:v>
      </x:c>
      <x:c r="P625" s="17" t="str"/>
      <x:c r="Q625" s="17" t="str"/>
      <x:c r="R625" s="17" t="str"/>
      <x:c r="S625" s="17" t="str">
        <x:v>plate</x:v>
      </x:c>
      <x:c r="T625" s="17" t="str">
        <x:v>constitution</x:v>
      </x:c>
      <x:c r="U625" s="17" t="str"/>
      <x:c r="V625" s="30"/>
      <x:c r="W625" s="17" t="str">
        <x:v>high</x:v>
      </x:c>
    </x:row>
    <x:row r="626" ht="54" customHeight="1">
      <x:c r="A626" s="17" t="str">
        <x:v>BUS152</x:v>
      </x:c>
      <x:c r="B626" s="17" t="str">
        <x:v>查询半导体板块权重最高的前20只成分股。</x:v>
      </x:c>
      <x:c r="C626" s="17" t="n">
        <x:v>2</x:v>
      </x:c>
      <x:c r="D626" s="17" t="str"/>
      <x:c r="E626" s="17" t="str">
        <x:v>工具调用</x:v>
      </x:c>
      <x:c r="F626" s="17" t="str">
        <x:v>finance_query</x:v>
      </x:c>
      <x:c r="G626" s="17" t="str">
        <x:v>r1 = plate.constitution(filter = "plate_name = '半导体'", order = "weight desc", limit = 20) -&gt; plate_code, plate_name, stock_code, stock_name, weight</x:v>
      </x:c>
      <x:c r="H626" s="17" t="str"/>
      <x:c r="I626" s="17" t="str">
        <x:v>合理操作</x:v>
      </x:c>
      <x:c r="J626" s="17" t="str">
        <x:v>是</x:v>
      </x:c>
      <x:c r="K626" s="18"/>
      <x:c r="L626" s="17" t="str">
        <x:v>否</x:v>
      </x:c>
      <x:c r="M626" s="17" t="str">
        <x:v>否</x:v>
      </x:c>
      <x:c r="N626" s="17" t="str">
        <x:v>target_api_executed</x:v>
      </x:c>
      <x:c r="O626" s="17" t="str">
        <x:v>expected_dataview_coverage</x:v>
      </x:c>
      <x:c r="P626" s="17" t="str">
        <x:v>session://financial_qa_33499cfa81de4d06_2847_60f95ef49f9f/vars/v1</x:v>
      </x:c>
      <x:c r="Q626" s="17" t="str"/>
      <x:c r="R626" s="17" t="str">
        <x:v>plate.constitution</x:v>
      </x:c>
      <x:c r="S626" s="17" t="str"/>
      <x:c r="T626" s="17" t="str"/>
      <x:c r="U626" s="17" t="str">
        <x:v>r1</x:v>
      </x:c>
      <x:c r="V626" s="30" t="n">
        <x:v>20</x:v>
      </x:c>
      <x:c r="W626" s="17" t="str">
        <x:v>high</x:v>
      </x:c>
    </x:row>
    <x:row r="627" ht="54" customHeight="1">
      <x:c r="A627" s="17" t="str">
        <x:v>BUS152</x:v>
      </x:c>
      <x:c r="B627" s="17" t="str">
        <x:v>查询半导体板块权重最高的前20只成分股。</x:v>
      </x:c>
      <x:c r="C627" s="17" t="n">
        <x:v>3</x:v>
      </x:c>
      <x:c r="D627" s="17" t="str"/>
      <x:c r="E627" s="17" t="str">
        <x:v>工具调用</x:v>
      </x:c>
      <x:c r="F627" s="17" t="str">
        <x:v>load_finance_result</x:v>
      </x:c>
      <x:c r="G627" s="17" t="str"/>
      <x:c r="H627" s="17" t="str"/>
      <x:c r="I627" s="17" t="str">
        <x:v>合理操作</x:v>
      </x:c>
      <x:c r="J627" s="17" t="str">
        <x:v>是</x:v>
      </x:c>
      <x:c r="K627" s="18"/>
      <x:c r="L627" s="17" t="str">
        <x:v>否</x:v>
      </x:c>
      <x:c r="M627" s="17" t="str">
        <x:v>否</x:v>
      </x:c>
      <x:c r="N627" s="17" t="str">
        <x:v>load_truncated_result</x:v>
      </x:c>
      <x:c r="O627" s="17" t="str">
        <x:v>sample_incomplete_requires_full_result</x:v>
      </x:c>
      <x:c r="P627" s="17" t="str">
        <x:v>session://financial_qa_33499cfa81de4d06_2847_60f95ef49f9f/vars/v1</x:v>
      </x:c>
      <x:c r="Q627" s="17" t="str"/>
      <x:c r="R627" s="17" t="str"/>
      <x:c r="S627" s="17" t="str"/>
      <x:c r="T627" s="17" t="str"/>
      <x:c r="U627" s="17" t="str"/>
      <x:c r="V627" s="30"/>
      <x:c r="W627" s="17" t="str">
        <x:v>high</x:v>
      </x:c>
    </x:row>
    <x:row r="628" ht="54" customHeight="1">
      <x:c r="A628" s="17" t="str">
        <x:v>BUS152</x:v>
      </x:c>
      <x:c r="B628" s="17" t="str">
        <x:v>查询半导体板块权重最高的前20只成分股。</x:v>
      </x:c>
      <x:c r="C628" s="17" t="n">
        <x:v>4</x:v>
      </x:c>
      <x:c r="D628" s="17" t="str"/>
      <x:c r="E628" s="17" t="str">
        <x:v>工具调用</x:v>
      </x:c>
      <x:c r="F628" s="17" t="str">
        <x:v>read_finance_catalog</x:v>
      </x:c>
      <x:c r="G628" s="17" t="str"/>
      <x:c r="H628" s="17" t="str"/>
      <x:c r="I628" s="17" t="str">
        <x:v>合理操作</x:v>
      </x:c>
      <x:c r="J628" s="17" t="str">
        <x:v>是</x:v>
      </x:c>
      <x:c r="K628" s="18"/>
      <x:c r="L628" s="17" t="str">
        <x:v>否</x:v>
      </x:c>
      <x:c r="M628" s="17" t="str">
        <x:v>否</x:v>
      </x:c>
      <x:c r="N628" s="17" t="str">
        <x:v>subject_catalog_discovery</x:v>
      </x:c>
      <x:c r="O628" s="17" t="str">
        <x:v>expected_subject_catalog</x:v>
      </x:c>
      <x:c r="P628" s="17" t="str"/>
      <x:c r="Q628" s="17" t="str"/>
      <x:c r="R628" s="17" t="str"/>
      <x:c r="S628" s="17" t="str">
        <x:v>plate</x:v>
      </x:c>
      <x:c r="T628" s="17" t="str">
        <x:v>base_info</x:v>
      </x:c>
      <x:c r="U628" s="17" t="str"/>
      <x:c r="V628" s="30"/>
      <x:c r="W628" s="17" t="str">
        <x:v>medium</x:v>
      </x:c>
    </x:row>
    <x:row r="629" ht="54" customHeight="1">
      <x:c r="A629" s="17" t="str">
        <x:v>BUS152</x:v>
      </x:c>
      <x:c r="B629" s="17" t="str">
        <x:v>查询半导体板块权重最高的前20只成分股。</x:v>
      </x:c>
      <x:c r="C629" s="17" t="n">
        <x:v>5</x:v>
      </x:c>
      <x:c r="D629" s="17" t="str"/>
      <x:c r="E629" s="17" t="str">
        <x:v>工具调用</x:v>
      </x:c>
      <x:c r="F629" s="17" t="str">
        <x:v>finance_query</x:v>
      </x:c>
      <x:c r="G629" s="17" t="str">
        <x:v>r2 = plate.constitution(filter = "plate_name like '%半导体%'", limit = 5) -&gt; plate_code, plate_name</x:v>
      </x:c>
      <x:c r="H629" s="17" t="str"/>
      <x:c r="I629" s="17" t="str">
        <x:v>合理操作</x:v>
      </x:c>
      <x:c r="J629" s="17" t="str">
        <x:v>是</x:v>
      </x:c>
      <x:c r="K629" s="18"/>
      <x:c r="L629" s="17" t="str">
        <x:v>否</x:v>
      </x:c>
      <x:c r="M629" s="17" t="str">
        <x:v>否</x:v>
      </x:c>
      <x:c r="N629" s="17" t="str">
        <x:v>target_api_executed</x:v>
      </x:c>
      <x:c r="O629" s="17" t="str">
        <x:v>expected_dataview_coverage</x:v>
      </x:c>
      <x:c r="P629" s="17" t="str">
        <x:v>session://financial_qa_33499cfa81de4d06_2847_60f95ef49f9f/vars/v2</x:v>
      </x:c>
      <x:c r="Q629" s="17" t="str"/>
      <x:c r="R629" s="17" t="str">
        <x:v>plate.constitution</x:v>
      </x:c>
      <x:c r="S629" s="17" t="str"/>
      <x:c r="T629" s="17" t="str"/>
      <x:c r="U629" s="17" t="str">
        <x:v>r2</x:v>
      </x:c>
      <x:c r="V629" s="30" t="n">
        <x:v>5</x:v>
      </x:c>
      <x:c r="W629" s="17" t="str">
        <x:v>high</x:v>
      </x:c>
    </x:row>
    <x:row r="630" ht="54" customHeight="1">
      <x:c r="A630" s="17" t="str">
        <x:v>BUS152</x:v>
      </x:c>
      <x:c r="B630" s="17" t="str">
        <x:v>查询半导体板块权重最高的前20只成分股。</x:v>
      </x:c>
      <x:c r="C630" s="17" t="n">
        <x:v>6</x:v>
      </x:c>
      <x:c r="D630" s="17" t="str"/>
      <x:c r="E630" s="17" t="str">
        <x:v>工具调用</x:v>
      </x:c>
      <x:c r="F630" s="17" t="str">
        <x:v>read_finance_catalog</x:v>
      </x:c>
      <x:c r="G630" s="17" t="str"/>
      <x:c r="H630" s="17" t="str"/>
      <x:c r="I630" s="17" t="str">
        <x:v>未判定</x:v>
      </x:c>
      <x:c r="J630" s="17" t="str">
        <x:v>未判定</x:v>
      </x:c>
      <x:c r="K630" s="18"/>
      <x:c r="L630" s="17" t="str">
        <x:v>否</x:v>
      </x:c>
      <x:c r="M630" s="17" t="str">
        <x:v>否</x:v>
      </x:c>
      <x:c r="N630" s="17" t="str">
        <x:v>catalog_relevance_not_provable</x:v>
      </x:c>
      <x:c r="O630" s="17" t="str">
        <x:v>catalog_outside_expected_dataview</x:v>
      </x:c>
      <x:c r="P630" s="17" t="str"/>
      <x:c r="Q630" s="17" t="str"/>
      <x:c r="R630" s="17" t="str"/>
      <x:c r="S630" s="17" t="str">
        <x:v>industry</x:v>
      </x:c>
      <x:c r="T630" s="17" t="str">
        <x:v>constitution</x:v>
      </x:c>
      <x:c r="U630" s="17" t="str"/>
      <x:c r="V630" s="30"/>
      <x:c r="W630" s="17" t="str">
        <x:v>low</x:v>
      </x:c>
    </x:row>
    <x:row r="631" ht="54" customHeight="1">
      <x:c r="A631" s="17" t="str">
        <x:v>BUS152</x:v>
      </x:c>
      <x:c r="B631" s="17" t="str">
        <x:v>查询半导体板块权重最高的前20只成分股。</x:v>
      </x:c>
      <x:c r="C631" s="17" t="n">
        <x:v>7</x:v>
      </x:c>
      <x:c r="D631" s="17" t="str"/>
      <x:c r="E631" s="17" t="str">
        <x:v>工具调用</x:v>
      </x:c>
      <x:c r="F631" s="17" t="str">
        <x:v>finance_query</x:v>
      </x:c>
      <x:c r="G631" s="17" t="str">
        <x:v>r3 = industry.constitution(filter = "industry_name like '%半导体%'", limit = 5) -&gt; industry_code, industry_name, level</x:v>
      </x:c>
      <x:c r="H631" s="17" t="str"/>
      <x:c r="I631" s="17" t="str">
        <x:v>合理操作</x:v>
      </x:c>
      <x:c r="J631" s="17" t="str">
        <x:v>是</x:v>
      </x:c>
      <x:c r="K631" s="18"/>
      <x:c r="L631" s="17" t="str">
        <x:v>否</x:v>
      </x:c>
      <x:c r="M631" s="17" t="str">
        <x:v>否</x:v>
      </x:c>
      <x:c r="N631" s="17" t="str">
        <x:v>cross_subject_dependency</x:v>
      </x:c>
      <x:c r="O631" s="17" t="str">
        <x:v>supporting_api_relevance_requires_semantic_review</x:v>
      </x:c>
      <x:c r="P631" s="17" t="str">
        <x:v>session://financial_qa_33499cfa81de4d06_2847_60f95ef49f9f/vars/v3</x:v>
      </x:c>
      <x:c r="Q631" s="17" t="str"/>
      <x:c r="R631" s="17" t="str">
        <x:v>industry.constitution</x:v>
      </x:c>
      <x:c r="S631" s="17" t="str"/>
      <x:c r="T631" s="17" t="str"/>
      <x:c r="U631" s="17" t="str">
        <x:v>r3</x:v>
      </x:c>
      <x:c r="V631" s="30" t="n">
        <x:v>5</x:v>
      </x:c>
      <x:c r="W631" s="17" t="str">
        <x:v>low</x:v>
      </x:c>
    </x:row>
    <x:row r="632" ht="54" customHeight="1">
      <x:c r="A632" s="17" t="str">
        <x:v>BUS152</x:v>
      </x:c>
      <x:c r="B632" s="17" t="str">
        <x:v>查询半导体板块权重最高的前20只成分股。</x:v>
      </x:c>
      <x:c r="C632" s="17" t="n">
        <x:v>8</x:v>
      </x:c>
      <x:c r="D632" s="17" t="str"/>
      <x:c r="E632" s="17" t="str">
        <x:v>工具调用</x:v>
      </x:c>
      <x:c r="F632" s="17" t="str">
        <x:v>read_finance_catalog</x:v>
      </x:c>
      <x:c r="G632" s="17" t="str"/>
      <x:c r="H632" s="17" t="str"/>
      <x:c r="I632" s="17" t="str">
        <x:v>未判定</x:v>
      </x:c>
      <x:c r="J632" s="17" t="str">
        <x:v>未判定</x:v>
      </x:c>
      <x:c r="K632" s="18"/>
      <x:c r="L632" s="17" t="str">
        <x:v>否</x:v>
      </x:c>
      <x:c r="M632" s="17" t="str">
        <x:v>否</x:v>
      </x:c>
      <x:c r="N632" s="17" t="str">
        <x:v>catalog_relevance_not_provable</x:v>
      </x:c>
      <x:c r="O632" s="17" t="str">
        <x:v>catalog_outside_expected_dataview</x:v>
      </x:c>
      <x:c r="P632" s="17" t="str"/>
      <x:c r="Q632" s="17" t="str"/>
      <x:c r="R632" s="17" t="str"/>
      <x:c r="S632" s="17" t="str">
        <x:v>hot_event</x:v>
      </x:c>
      <x:c r="T632" s="17" t="str">
        <x:v>base_info</x:v>
      </x:c>
      <x:c r="U632" s="17" t="str"/>
      <x:c r="V632" s="30"/>
      <x:c r="W632" s="17" t="str">
        <x:v>low</x:v>
      </x:c>
    </x:row>
    <x:row r="633" ht="54" customHeight="1">
      <x:c r="A633" s="17" t="str">
        <x:v>BUS153</x:v>
      </x:c>
      <x:c r="B633" s="17" t="str">
        <x:v>筛选证券板块成分股中权重超过2%的股票。</x:v>
      </x:c>
      <x:c r="C633" s="17" t="n">
        <x:v>1</x:v>
      </x:c>
      <x:c r="D633" s="17" t="str"/>
      <x:c r="E633" s="17" t="str">
        <x:v>工具调用</x:v>
      </x:c>
      <x:c r="F633" s="17" t="str">
        <x:v>read_finance_catalog</x:v>
      </x:c>
      <x:c r="G633" s="17" t="str"/>
      <x:c r="H633" s="17" t="str"/>
      <x:c r="I633" s="17" t="str">
        <x:v>合理操作</x:v>
      </x:c>
      <x:c r="J633" s="17" t="str">
        <x:v>是</x:v>
      </x:c>
      <x:c r="K633" s="18"/>
      <x:c r="L633" s="17" t="str">
        <x:v>否</x:v>
      </x:c>
      <x:c r="M633" s="17" t="str">
        <x:v>否</x:v>
      </x:c>
      <x:c r="N633" s="17" t="str">
        <x:v>target_catalog_located</x:v>
      </x:c>
      <x:c r="O633" s="17" t="str">
        <x:v>expected_dataview_catalog</x:v>
      </x:c>
      <x:c r="P633" s="17" t="str"/>
      <x:c r="Q633" s="17" t="str"/>
      <x:c r="R633" s="17" t="str"/>
      <x:c r="S633" s="17" t="str">
        <x:v>plate</x:v>
      </x:c>
      <x:c r="T633" s="17" t="str">
        <x:v>constitution</x:v>
      </x:c>
      <x:c r="U633" s="17" t="str"/>
      <x:c r="V633" s="30"/>
      <x:c r="W633" s="17" t="str">
        <x:v>high</x:v>
      </x:c>
    </x:row>
    <x:row r="634" ht="54" customHeight="1">
      <x:c r="A634" s="17" t="str">
        <x:v>BUS153</x:v>
      </x:c>
      <x:c r="B634" s="17" t="str">
        <x:v>筛选证券板块成分股中权重超过2%的股票。</x:v>
      </x:c>
      <x:c r="C634" s="17" t="n">
        <x:v>2</x:v>
      </x:c>
      <x:c r="D634" s="17" t="str"/>
      <x:c r="E634" s="17" t="str">
        <x:v>工具调用</x:v>
      </x:c>
      <x:c r="F634" s="17" t="str">
        <x:v>finance_query</x:v>
      </x:c>
      <x:c r="G634" s="17" t="str">
        <x:v>r1 = plate.constitution(filter = "plate_name = '证券' and weight &gt; 2", order = "weight desc", limit = -1) -&gt; plate_code, plate_name, stock_code, stock_name, weight</x:v>
      </x:c>
      <x:c r="H634" s="17" t="str"/>
      <x:c r="I634" s="17" t="str">
        <x:v>合理操作</x:v>
      </x:c>
      <x:c r="J634" s="17" t="str">
        <x:v>是</x:v>
      </x:c>
      <x:c r="K634" s="18"/>
      <x:c r="L634" s="17" t="str">
        <x:v>否</x:v>
      </x:c>
      <x:c r="M634" s="17" t="str">
        <x:v>否</x:v>
      </x:c>
      <x:c r="N634" s="17" t="str">
        <x:v>target_api_executed</x:v>
      </x:c>
      <x:c r="O634" s="17" t="str">
        <x:v>expected_dataview_coverage</x:v>
      </x:c>
      <x:c r="P634" s="17" t="str">
        <x:v>session://financial_qa_33499cfa81de4d06_2848_a92a706cc0a9/vars/v1</x:v>
      </x:c>
      <x:c r="Q634" s="17" t="str"/>
      <x:c r="R634" s="17" t="str">
        <x:v>plate.constitution</x:v>
      </x:c>
      <x:c r="S634" s="17" t="str"/>
      <x:c r="T634" s="17" t="str"/>
      <x:c r="U634" s="17" t="str">
        <x:v>r1</x:v>
      </x:c>
      <x:c r="V634" s="30" t="n">
        <x:v>59</x:v>
      </x:c>
      <x:c r="W634" s="17" t="str">
        <x:v>high</x:v>
      </x:c>
    </x:row>
    <x:row r="635" ht="54" customHeight="1">
      <x:c r="A635" s="17" t="str">
        <x:v>BUS153</x:v>
      </x:c>
      <x:c r="B635" s="17" t="str">
        <x:v>筛选证券板块成分股中权重超过2%的股票。</x:v>
      </x:c>
      <x:c r="C635" s="17" t="n">
        <x:v>3</x:v>
      </x:c>
      <x:c r="D635" s="17" t="str"/>
      <x:c r="E635" s="17" t="str">
        <x:v>工具调用</x:v>
      </x:c>
      <x:c r="F635" s="17" t="str">
        <x:v>load_finance_result</x:v>
      </x:c>
      <x:c r="G635" s="17" t="str"/>
      <x:c r="H635" s="17" t="str"/>
      <x:c r="I635" s="17" t="str">
        <x:v>合理操作</x:v>
      </x:c>
      <x:c r="J635" s="17" t="str">
        <x:v>是</x:v>
      </x:c>
      <x:c r="K635" s="18"/>
      <x:c r="L635" s="17" t="str">
        <x:v>否</x:v>
      </x:c>
      <x:c r="M635" s="17" t="str">
        <x:v>否</x:v>
      </x:c>
      <x:c r="N635" s="17" t="str">
        <x:v>load_truncated_result</x:v>
      </x:c>
      <x:c r="O635" s="17" t="str">
        <x:v>sample_incomplete_requires_full_result</x:v>
      </x:c>
      <x:c r="P635" s="17" t="str">
        <x:v>session://financial_qa_33499cfa81de4d06_2848_a92a706cc0a9/vars/v1</x:v>
      </x:c>
      <x:c r="Q635" s="17" t="str"/>
      <x:c r="R635" s="17" t="str"/>
      <x:c r="S635" s="17" t="str"/>
      <x:c r="T635" s="17" t="str"/>
      <x:c r="U635" s="17" t="str"/>
      <x:c r="V635" s="30"/>
      <x:c r="W635" s="17" t="str">
        <x:v>high</x:v>
      </x:c>
    </x:row>
    <x:row r="636" ht="54" customHeight="1">
      <x:c r="A636" s="17" t="str">
        <x:v>BUS154</x:v>
      </x:c>
      <x:c r="B636" s="17" t="str">
        <x:v>查询白酒板块成分股数量。</x:v>
      </x:c>
      <x:c r="C636" s="17" t="n">
        <x:v>1</x:v>
      </x:c>
      <x:c r="D636" s="17" t="str"/>
      <x:c r="E636" s="17" t="str">
        <x:v>工具调用</x:v>
      </x:c>
      <x:c r="F636" s="17" t="str">
        <x:v>read_finance_catalog</x:v>
      </x:c>
      <x:c r="G636" s="17" t="str"/>
      <x:c r="H636" s="17" t="str"/>
      <x:c r="I636" s="17" t="str">
        <x:v>合理操作</x:v>
      </x:c>
      <x:c r="J636" s="17" t="str">
        <x:v>是</x:v>
      </x:c>
      <x:c r="K636" s="18"/>
      <x:c r="L636" s="17" t="str">
        <x:v>否</x:v>
      </x:c>
      <x:c r="M636" s="17" t="str">
        <x:v>否</x:v>
      </x:c>
      <x:c r="N636" s="17" t="str">
        <x:v>target_catalog_located</x:v>
      </x:c>
      <x:c r="O636" s="17" t="str">
        <x:v>expected_dataview_catalog</x:v>
      </x:c>
      <x:c r="P636" s="17" t="str"/>
      <x:c r="Q636" s="17" t="str"/>
      <x:c r="R636" s="17" t="str"/>
      <x:c r="S636" s="17" t="str">
        <x:v>plate</x:v>
      </x:c>
      <x:c r="T636" s="17" t="str">
        <x:v>constitution</x:v>
      </x:c>
      <x:c r="U636" s="17" t="str"/>
      <x:c r="V636" s="30"/>
      <x:c r="W636" s="17" t="str">
        <x:v>high</x:v>
      </x:c>
    </x:row>
    <x:row r="637" ht="54" customHeight="1">
      <x:c r="A637" s="17" t="str">
        <x:v>BUS154</x:v>
      </x:c>
      <x:c r="B637" s="17" t="str">
        <x:v>查询白酒板块成分股数量。</x:v>
      </x:c>
      <x:c r="C637" s="17" t="n">
        <x:v>2</x:v>
      </x:c>
      <x:c r="D637" s="17" t="str"/>
      <x:c r="E637" s="17" t="str">
        <x:v>工具调用</x:v>
      </x:c>
      <x:c r="F637" s="17" t="str">
        <x:v>read_finance_catalog</x:v>
      </x:c>
      <x:c r="G637" s="17" t="str"/>
      <x:c r="H637" s="17" t="str"/>
      <x:c r="I637" s="17" t="str">
        <x:v>合理操作</x:v>
      </x:c>
      <x:c r="J637" s="17" t="str">
        <x:v>是</x:v>
      </x:c>
      <x:c r="K637" s="18"/>
      <x:c r="L637" s="17" t="str">
        <x:v>否</x:v>
      </x:c>
      <x:c r="M637" s="17" t="str">
        <x:v>否</x:v>
      </x:c>
      <x:c r="N637" s="17" t="str">
        <x:v>subject_catalog_discovery</x:v>
      </x:c>
      <x:c r="O637" s="17" t="str">
        <x:v>expected_subject_catalog</x:v>
      </x:c>
      <x:c r="P637" s="17" t="str"/>
      <x:c r="Q637" s="17" t="str"/>
      <x:c r="R637" s="17" t="str"/>
      <x:c r="S637" s="17" t="str">
        <x:v>plate</x:v>
      </x:c>
      <x:c r="T637" s="17" t="str">
        <x:v>basic_info</x:v>
      </x:c>
      <x:c r="U637" s="17" t="str"/>
      <x:c r="V637" s="30"/>
      <x:c r="W637" s="17" t="str">
        <x:v>medium</x:v>
      </x:c>
    </x:row>
    <x:row r="638" ht="54" customHeight="1">
      <x:c r="A638" s="17" t="str">
        <x:v>BUS154</x:v>
      </x:c>
      <x:c r="B638" s="17" t="str">
        <x:v>查询白酒板块成分股数量。</x:v>
      </x:c>
      <x:c r="C638" s="17" t="n">
        <x:v>3</x:v>
      </x:c>
      <x:c r="D638" s="17" t="str"/>
      <x:c r="E638" s="17" t="str">
        <x:v>工具调用</x:v>
      </x:c>
      <x:c r="F638" s="17" t="str">
        <x:v>finance_query</x:v>
      </x:c>
      <x:c r="G638" s="17" t="str">
        <x:v>r1 = plate.constitution(filter = "plate_name like %白酒%", limit = -1) -&gt; plate_code, plate_name, stock_code, stock_name</x:v>
      </x:c>
      <x:c r="H638" s="17" t="str"/>
      <x:c r="I638" s="17" t="str">
        <x:v>合理操作</x:v>
      </x:c>
      <x:c r="J638" s="17" t="str">
        <x:v>是</x:v>
      </x:c>
      <x:c r="K638" s="18"/>
      <x:c r="L638" s="17" t="str">
        <x:v>否</x:v>
      </x:c>
      <x:c r="M638" s="17" t="str">
        <x:v>否</x:v>
      </x:c>
      <x:c r="N638" s="17" t="str">
        <x:v>target_api_executed</x:v>
      </x:c>
      <x:c r="O638" s="17" t="str">
        <x:v>expected_dataview_coverage</x:v>
      </x:c>
      <x:c r="P638" s="17" t="str">
        <x:v>session://financial_qa_33499cfa81de4d06_2849_9fe43f82d546/vars/v1</x:v>
      </x:c>
      <x:c r="Q638" s="17" t="str"/>
      <x:c r="R638" s="17" t="str">
        <x:v>plate.constitution</x:v>
      </x:c>
      <x:c r="S638" s="17" t="str"/>
      <x:c r="T638" s="17" t="str"/>
      <x:c r="U638" s="17" t="str">
        <x:v>r1</x:v>
      </x:c>
      <x:c r="V638" s="30" t="n">
        <x:v>100</x:v>
      </x:c>
      <x:c r="W638" s="17" t="str">
        <x:v>high</x:v>
      </x:c>
    </x:row>
    <x:row r="639" ht="54" customHeight="1">
      <x:c r="A639" s="17" t="str">
        <x:v>BUS154</x:v>
      </x:c>
      <x:c r="B639" s="17" t="str">
        <x:v>查询白酒板块成分股数量。</x:v>
      </x:c>
      <x:c r="C639" s="17" t="n">
        <x:v>4</x:v>
      </x:c>
      <x:c r="D639" s="17" t="str"/>
      <x:c r="E639" s="17" t="str">
        <x:v>工具调用</x:v>
      </x:c>
      <x:c r="F639" s="17" t="str">
        <x:v>load_finance_result</x:v>
      </x:c>
      <x:c r="G639" s="17" t="str"/>
      <x:c r="H639" s="17" t="str"/>
      <x:c r="I639" s="17" t="str">
        <x:v>合理操作</x:v>
      </x:c>
      <x:c r="J639" s="17" t="str">
        <x:v>是</x:v>
      </x:c>
      <x:c r="K639" s="18"/>
      <x:c r="L639" s="17" t="str">
        <x:v>否</x:v>
      </x:c>
      <x:c r="M639" s="17" t="str">
        <x:v>否</x:v>
      </x:c>
      <x:c r="N639" s="17" t="str">
        <x:v>load_truncated_result</x:v>
      </x:c>
      <x:c r="O639" s="17" t="str">
        <x:v>sample_incomplete_requires_full_result</x:v>
      </x:c>
      <x:c r="P639" s="17" t="str">
        <x:v>session://financial_qa_33499cfa81de4d06_2849_9fe43f82d546/vars/v1</x:v>
      </x:c>
      <x:c r="Q639" s="17" t="str"/>
      <x:c r="R639" s="17" t="str"/>
      <x:c r="S639" s="17" t="str"/>
      <x:c r="T639" s="17" t="str"/>
      <x:c r="U639" s="17" t="str"/>
      <x:c r="V639" s="30"/>
      <x:c r="W639" s="17" t="str">
        <x:v>high</x:v>
      </x:c>
    </x:row>
    <x:row r="640" ht="54" customHeight="1">
      <x:c r="A640" s="17" t="str">
        <x:v>BUS154</x:v>
      </x:c>
      <x:c r="B640" s="17" t="str">
        <x:v>查询白酒板块成分股数量。</x:v>
      </x:c>
      <x:c r="C640" s="17" t="n">
        <x:v>5</x:v>
      </x:c>
      <x:c r="D640" s="17" t="str"/>
      <x:c r="E640" s="17" t="str">
        <x:v>工具调用</x:v>
      </x:c>
      <x:c r="F640" s="17" t="str">
        <x:v>finance_query</x:v>
      </x:c>
      <x:c r="G640" s="17" t="str">
        <x:v>r2 = plate.constitution(filter = "plate_name = 白酒概念", limit = -1) -&gt; plate_code, plate_name, stock_code, stock_name</x:v>
      </x:c>
      <x:c r="H640" s="17" t="str"/>
      <x:c r="I640" s="17" t="str">
        <x:v>合理操作</x:v>
      </x:c>
      <x:c r="J640" s="17" t="str">
        <x:v>是</x:v>
      </x:c>
      <x:c r="K640" s="18"/>
      <x:c r="L640" s="17" t="str">
        <x:v>否</x:v>
      </x:c>
      <x:c r="M640" s="17" t="str">
        <x:v>否</x:v>
      </x:c>
      <x:c r="N640" s="17" t="str">
        <x:v>target_api_executed</x:v>
      </x:c>
      <x:c r="O640" s="17" t="str">
        <x:v>expected_dataview_coverage</x:v>
      </x:c>
      <x:c r="P640" s="17" t="str">
        <x:v>session://financial_qa_33499cfa81de4d06_2849_9fe43f82d546/vars/v2</x:v>
      </x:c>
      <x:c r="Q640" s="17" t="str"/>
      <x:c r="R640" s="17" t="str">
        <x:v>plate.constitution</x:v>
      </x:c>
      <x:c r="S640" s="17" t="str"/>
      <x:c r="T640" s="17" t="str"/>
      <x:c r="U640" s="17" t="str">
        <x:v>r2</x:v>
      </x:c>
      <x:c r="V640" s="30" t="n">
        <x:v>48</x:v>
      </x:c>
      <x:c r="W640" s="17" t="str">
        <x:v>high</x:v>
      </x:c>
    </x:row>
    <x:row r="641" ht="54" customHeight="1">
      <x:c r="A641" s="17" t="str">
        <x:v>BUS154</x:v>
      </x:c>
      <x:c r="B641" s="17" t="str">
        <x:v>查询白酒板块成分股数量。</x:v>
      </x:c>
      <x:c r="C641" s="17" t="n">
        <x:v>6</x:v>
      </x:c>
      <x:c r="D641" s="17" t="str"/>
      <x:c r="E641" s="17" t="str">
        <x:v>工具调用</x:v>
      </x:c>
      <x:c r="F641" s="17" t="str">
        <x:v>finance_query</x:v>
      </x:c>
      <x:c r="G641" s="17" t="str">
        <x:v>r3 = plate.constitution(filter = "plate_name = 白酒", limit = -1) -&gt; plate_code, plate_name, stock_code, stock_name</x:v>
      </x:c>
      <x:c r="H641" s="17" t="str"/>
      <x:c r="I641" s="17" t="str">
        <x:v>合理操作</x:v>
      </x:c>
      <x:c r="J641" s="17" t="str">
        <x:v>是</x:v>
      </x:c>
      <x:c r="K641" s="18"/>
      <x:c r="L641" s="17" t="str">
        <x:v>否</x:v>
      </x:c>
      <x:c r="M641" s="17" t="str">
        <x:v>否</x:v>
      </x:c>
      <x:c r="N641" s="17" t="str">
        <x:v>target_api_executed</x:v>
      </x:c>
      <x:c r="O641" s="17" t="str">
        <x:v>expected_dataview_coverage</x:v>
      </x:c>
      <x:c r="P641" s="17" t="str">
        <x:v>session://financial_qa_33499cfa81de4d06_2849_9fe43f82d546/vars/v3</x:v>
      </x:c>
      <x:c r="Q641" s="17" t="str"/>
      <x:c r="R641" s="17" t="str">
        <x:v>plate.constitution</x:v>
      </x:c>
      <x:c r="S641" s="17" t="str"/>
      <x:c r="T641" s="17" t="str"/>
      <x:c r="U641" s="17" t="str">
        <x:v>r3</x:v>
      </x:c>
      <x:c r="V641" s="30" t="n">
        <x:v>0</x:v>
      </x:c>
      <x:c r="W641" s="17" t="str">
        <x:v>high</x:v>
      </x:c>
    </x:row>
    <x:row r="642" ht="54" customHeight="1">
      <x:c r="A642" s="17" t="str">
        <x:v>BUS155</x:v>
      </x:c>
      <x:c r="B642" s="17" t="str">
        <x:v>查询宁德时代是否属于新能源车板块成分股。</x:v>
      </x:c>
      <x:c r="C642" s="17" t="n">
        <x:v>1</x:v>
      </x:c>
      <x:c r="D642" s="17" t="str"/>
      <x:c r="E642" s="17" t="str">
        <x:v>工具调用</x:v>
      </x:c>
      <x:c r="F642" s="17" t="str">
        <x:v>read_finance_catalog</x:v>
      </x:c>
      <x:c r="G642" s="17" t="str"/>
      <x:c r="H642" s="17" t="str"/>
      <x:c r="I642" s="17" t="str">
        <x:v>合理操作</x:v>
      </x:c>
      <x:c r="J642" s="17" t="str">
        <x:v>是</x:v>
      </x:c>
      <x:c r="K642" s="18"/>
      <x:c r="L642" s="17" t="str">
        <x:v>否</x:v>
      </x:c>
      <x:c r="M642" s="17" t="str">
        <x:v>否</x:v>
      </x:c>
      <x:c r="N642" s="17" t="str">
        <x:v>target_catalog_located</x:v>
      </x:c>
      <x:c r="O642" s="17" t="str">
        <x:v>expected_dataview_catalog</x:v>
      </x:c>
      <x:c r="P642" s="17" t="str"/>
      <x:c r="Q642" s="17" t="str"/>
      <x:c r="R642" s="17" t="str"/>
      <x:c r="S642" s="17" t="str">
        <x:v>plate</x:v>
      </x:c>
      <x:c r="T642" s="17" t="str">
        <x:v>constitution</x:v>
      </x:c>
      <x:c r="U642" s="17" t="str"/>
      <x:c r="V642" s="30"/>
      <x:c r="W642" s="17" t="str">
        <x:v>high</x:v>
      </x:c>
    </x:row>
    <x:row r="643" ht="54" customHeight="1">
      <x:c r="A643" s="17" t="str">
        <x:v>BUS155</x:v>
      </x:c>
      <x:c r="B643" s="17" t="str">
        <x:v>查询宁德时代是否属于新能源车板块成分股。</x:v>
      </x:c>
      <x:c r="C643" s="17" t="n">
        <x:v>2</x:v>
      </x:c>
      <x:c r="D643" s="17" t="str"/>
      <x:c r="E643" s="17" t="str">
        <x:v>工具调用</x:v>
      </x:c>
      <x:c r="F643" s="17" t="str">
        <x:v>finance_query</x:v>
      </x:c>
      <x:c r="G643" s="17" t="str">
        <x:v>r1 = plate.constitution(filter = "plate_name = '新能源车'", limit = -1) -&gt; plate_code, plate_name, stock_code, stock_name</x:v>
      </x:c>
      <x:c r="H643" s="17" t="str"/>
      <x:c r="I643" s="17" t="str">
        <x:v>合理操作</x:v>
      </x:c>
      <x:c r="J643" s="17" t="str">
        <x:v>是</x:v>
      </x:c>
      <x:c r="K643" s="18"/>
      <x:c r="L643" s="17" t="str">
        <x:v>否</x:v>
      </x:c>
      <x:c r="M643" s="17" t="str">
        <x:v>否</x:v>
      </x:c>
      <x:c r="N643" s="17" t="str">
        <x:v>target_api_executed</x:v>
      </x:c>
      <x:c r="O643" s="17" t="str">
        <x:v>expected_dataview_coverage</x:v>
      </x:c>
      <x:c r="P643" s="17" t="str">
        <x:v>session://financial_qa_33499cfa81de4d06_2850_ef3f9a1e7d82/vars/v1</x:v>
      </x:c>
      <x:c r="Q643" s="17" t="str"/>
      <x:c r="R643" s="17" t="str">
        <x:v>plate.constitution</x:v>
      </x:c>
      <x:c r="S643" s="17" t="str"/>
      <x:c r="T643" s="17" t="str"/>
      <x:c r="U643" s="17" t="str">
        <x:v>r1</x:v>
      </x:c>
      <x:c r="V643" s="30" t="n">
        <x:v>0</x:v>
      </x:c>
      <x:c r="W643" s="17" t="str">
        <x:v>high</x:v>
      </x:c>
    </x:row>
    <x:row r="644" ht="54" customHeight="1">
      <x:c r="A644" s="17" t="str">
        <x:v>BUS155</x:v>
      </x:c>
      <x:c r="B644" s="17" t="str">
        <x:v>查询宁德时代是否属于新能源车板块成分股。</x:v>
      </x:c>
      <x:c r="C644" s="17" t="n">
        <x:v>3</x:v>
      </x:c>
      <x:c r="D644" s="17" t="str"/>
      <x:c r="E644" s="17" t="str">
        <x:v>工具调用</x:v>
      </x:c>
      <x:c r="F644" s="17" t="str">
        <x:v>finance_query</x:v>
      </x:c>
      <x:c r="G644" s="17" t="str">
        <x:v>r2 = plate.constitution(filter = "plate_name = '新能源汽车'", limit = -1) -&gt; plate_code, plate_name, stock_code, stock_name</x:v>
      </x:c>
      <x:c r="H644" s="17" t="str"/>
      <x:c r="I644" s="17" t="str">
        <x:v>设计浪费</x:v>
      </x:c>
      <x:c r="J644" s="17" t="str">
        <x:v>否</x:v>
      </x:c>
      <x:c r="K644" s="18"/>
      <x:c r="L644" s="17" t="str">
        <x:v>否</x:v>
      </x:c>
      <x:c r="M644" s="17" t="str">
        <x:v>否</x:v>
      </x:c>
      <x:c r="N644" s="17" t="str">
        <x:v>requery_after_terminal_zero</x:v>
      </x:c>
      <x:c r="O644" s="17" t="str">
        <x:v>terminal_zero_requery</x:v>
      </x:c>
      <x:c r="P644" s="17" t="str">
        <x:v>session://financial_qa_33499cfa81de4d06_2850_ef3f9a1e7d82/vars/v2</x:v>
      </x:c>
      <x:c r="Q644" s="17" t="str"/>
      <x:c r="R644" s="17" t="str">
        <x:v>plate.constitution</x:v>
      </x:c>
      <x:c r="S644" s="17" t="str"/>
      <x:c r="T644" s="17" t="str"/>
      <x:c r="U644" s="17" t="str">
        <x:v>r2</x:v>
      </x:c>
      <x:c r="V644" s="30" t="n">
        <x:v>0</x:v>
      </x:c>
      <x:c r="W644" s="17" t="str">
        <x:v>high</x:v>
      </x:c>
    </x:row>
    <x:row r="645" ht="54" customHeight="1">
      <x:c r="A645" s="17" t="str">
        <x:v>BUS155</x:v>
      </x:c>
      <x:c r="B645" s="17" t="str">
        <x:v>查询宁德时代是否属于新能源车板块成分股。</x:v>
      </x:c>
      <x:c r="C645" s="17" t="n">
        <x:v>4</x:v>
      </x:c>
      <x:c r="D645" s="17" t="str"/>
      <x:c r="E645" s="17" t="str">
        <x:v>工具调用</x:v>
      </x:c>
      <x:c r="F645" s="17" t="str">
        <x:v>finance_query</x:v>
      </x:c>
      <x:c r="G645" s="17" t="str">
        <x:v>r3 = plate.base_info(limit = 100) -&gt; plate_code, plate_name</x:v>
      </x:c>
      <x:c r="H645" s="17" t="str"/>
      <x:c r="I645" s="17" t="str">
        <x:v>合理操作</x:v>
      </x:c>
      <x:c r="J645" s="17" t="str">
        <x:v>是</x:v>
      </x:c>
      <x:c r="K645" s="18"/>
      <x:c r="L645" s="17" t="str">
        <x:v>否</x:v>
      </x:c>
      <x:c r="M645" s="17" t="str">
        <x:v>否</x:v>
      </x:c>
      <x:c r="N645" s="17" t="str">
        <x:v>same_subject_dependency</x:v>
      </x:c>
      <x:c r="O645" s="17" t="str">
        <x:v>supporting_api_for_expected_subject</x:v>
      </x:c>
      <x:c r="P645" s="17" t="str">
        <x:v>session://financial_qa_33499cfa81de4d06_2850_ef3f9a1e7d82/vars/v3</x:v>
      </x:c>
      <x:c r="Q645" s="17" t="str"/>
      <x:c r="R645" s="17" t="str">
        <x:v>plate.base_info</x:v>
      </x:c>
      <x:c r="S645" s="17" t="str"/>
      <x:c r="T645" s="17" t="str"/>
      <x:c r="U645" s="17" t="str">
        <x:v>r3</x:v>
      </x:c>
      <x:c r="V645" s="30" t="n">
        <x:v>100</x:v>
      </x:c>
      <x:c r="W645" s="17" t="str">
        <x:v>medium</x:v>
      </x:c>
    </x:row>
    <x:row r="646" ht="54" customHeight="1">
      <x:c r="A646" s="17" t="str">
        <x:v>BUS155</x:v>
      </x:c>
      <x:c r="B646" s="17" t="str">
        <x:v>查询宁德时代是否属于新能源车板块成分股。</x:v>
      </x:c>
      <x:c r="C646" s="17" t="n">
        <x:v>5</x:v>
      </x:c>
      <x:c r="D646" s="17" t="str"/>
      <x:c r="E646" s="17" t="str">
        <x:v>工具调用</x:v>
      </x:c>
      <x:c r="F646" s="17" t="str">
        <x:v>load_finance_result</x:v>
      </x:c>
      <x:c r="G646" s="17" t="str"/>
      <x:c r="H646" s="17" t="str"/>
      <x:c r="I646" s="17" t="str">
        <x:v>合理操作</x:v>
      </x:c>
      <x:c r="J646" s="17" t="str">
        <x:v>是</x:v>
      </x:c>
      <x:c r="K646" s="18"/>
      <x:c r="L646" s="17" t="str">
        <x:v>否</x:v>
      </x:c>
      <x:c r="M646" s="17" t="str">
        <x:v>否</x:v>
      </x:c>
      <x:c r="N646" s="17" t="str">
        <x:v>load_truncated_result</x:v>
      </x:c>
      <x:c r="O646" s="17" t="str">
        <x:v>sample_incomplete_requires_full_result</x:v>
      </x:c>
      <x:c r="P646" s="17" t="str">
        <x:v>session://financial_qa_33499cfa81de4d06_2850_ef3f9a1e7d82/vars/v3</x:v>
      </x:c>
      <x:c r="Q646" s="17" t="str"/>
      <x:c r="R646" s="17" t="str"/>
      <x:c r="S646" s="17" t="str"/>
      <x:c r="T646" s="17" t="str"/>
      <x:c r="U646" s="17" t="str"/>
      <x:c r="V646" s="30"/>
      <x:c r="W646" s="17" t="str">
        <x:v>high</x:v>
      </x:c>
    </x:row>
    <x:row r="647" ht="54" customHeight="1">
      <x:c r="A647" s="17" t="str">
        <x:v>BUS155</x:v>
      </x:c>
      <x:c r="B647" s="17" t="str">
        <x:v>查询宁德时代是否属于新能源车板块成分股。</x:v>
      </x:c>
      <x:c r="C647" s="17" t="n">
        <x:v>6</x:v>
      </x:c>
      <x:c r="D647" s="17" t="str"/>
      <x:c r="E647" s="17" t="str">
        <x:v>工具调用</x:v>
      </x:c>
      <x:c r="F647" s="17" t="str">
        <x:v>finance_query</x:v>
      </x:c>
      <x:c r="G647" s="17" t="str">
        <x:v>r4 = plate.constitution(filter = "plate_name = '锂电池' and stock_code = '300750'") -&gt; plate_code, plate_name, stock_code, stock_name</x:v>
      </x:c>
      <x:c r="H647" s="17" t="str"/>
      <x:c r="I647" s="17" t="str">
        <x:v>设计浪费</x:v>
      </x:c>
      <x:c r="J647" s="17" t="str">
        <x:v>否</x:v>
      </x:c>
      <x:c r="K647" s="18"/>
      <x:c r="L647" s="17" t="str">
        <x:v>否</x:v>
      </x:c>
      <x:c r="M647" s="17" t="str">
        <x:v>否</x:v>
      </x:c>
      <x:c r="N647" s="17" t="str">
        <x:v>requery_after_terminal_zero</x:v>
      </x:c>
      <x:c r="O647" s="17" t="str">
        <x:v>terminal_zero_requery</x:v>
      </x:c>
      <x:c r="P647" s="17" t="str">
        <x:v>session://financial_qa_33499cfa81de4d06_2850_ef3f9a1e7d82/vars/v4</x:v>
      </x:c>
      <x:c r="Q647" s="17" t="str"/>
      <x:c r="R647" s="17" t="str">
        <x:v>plate.constitution</x:v>
      </x:c>
      <x:c r="S647" s="17" t="str"/>
      <x:c r="T647" s="17" t="str"/>
      <x:c r="U647" s="17" t="str">
        <x:v>r4</x:v>
      </x:c>
      <x:c r="V647" s="30" t="n">
        <x:v>1</x:v>
      </x:c>
      <x:c r="W647" s="17" t="str">
        <x:v>high</x:v>
      </x:c>
    </x:row>
    <x:row r="648" ht="54" customHeight="1">
      <x:c r="A648" s="17" t="str">
        <x:v>BUS155</x:v>
      </x:c>
      <x:c r="B648" s="17" t="str">
        <x:v>查询宁德时代是否属于新能源车板块成分股。</x:v>
      </x:c>
      <x:c r="C648" s="17" t="n">
        <x:v>7</x:v>
      </x:c>
      <x:c r="D648" s="17" t="str"/>
      <x:c r="E648" s="17" t="str">
        <x:v>工具调用</x:v>
      </x:c>
      <x:c r="F648" s="17" t="str">
        <x:v>finance_query</x:v>
      </x:c>
      <x:c r="G648" s="17" t="str">
        <x:v>r5 = plate.constitution(filter = "plate_name = '汽车电子' and stock_code = '300750'") -&gt; plate_code, plate_name, stock_code, stock_name</x:v>
      </x:c>
      <x:c r="H648" s="17" t="str"/>
      <x:c r="I648" s="17" t="str">
        <x:v>合理操作</x:v>
      </x:c>
      <x:c r="J648" s="17" t="str">
        <x:v>是</x:v>
      </x:c>
      <x:c r="K648" s="18"/>
      <x:c r="L648" s="17" t="str">
        <x:v>否</x:v>
      </x:c>
      <x:c r="M648" s="17" t="str">
        <x:v>否</x:v>
      </x:c>
      <x:c r="N648" s="17" t="str">
        <x:v>target_api_executed</x:v>
      </x:c>
      <x:c r="O648" s="17" t="str">
        <x:v>expected_dataview_coverage</x:v>
      </x:c>
      <x:c r="P648" s="17" t="str">
        <x:v>session://financial_qa_33499cfa81de4d06_2850_ef3f9a1e7d82/vars/v5</x:v>
      </x:c>
      <x:c r="Q648" s="17" t="str"/>
      <x:c r="R648" s="17" t="str">
        <x:v>plate.constitution</x:v>
      </x:c>
      <x:c r="S648" s="17" t="str"/>
      <x:c r="T648" s="17" t="str"/>
      <x:c r="U648" s="17" t="str">
        <x:v>r5</x:v>
      </x:c>
      <x:c r="V648" s="30" t="n">
        <x:v>0</x:v>
      </x:c>
      <x:c r="W648" s="17" t="str">
        <x:v>high</x:v>
      </x:c>
    </x:row>
    <x:row r="649" ht="54" customHeight="1">
      <x:c r="A649" s="17" t="str">
        <x:v>BUS155</x:v>
      </x:c>
      <x:c r="B649" s="17" t="str">
        <x:v>查询宁德时代是否属于新能源车板块成分股。</x:v>
      </x:c>
      <x:c r="C649" s="17" t="n">
        <x:v>8</x:v>
      </x:c>
      <x:c r="D649" s="17" t="str"/>
      <x:c r="E649" s="17" t="str">
        <x:v>工具调用</x:v>
      </x:c>
      <x:c r="F649" s="17" t="str">
        <x:v>finance_query</x:v>
      </x:c>
      <x:c r="G649" s="17" t="str">
        <x:v>r6 = plate.constitution(filter = "plate_name = '无人驾驶' and stock_code = '300750'") -&gt; plate_code, plate_name, stock_code, stock_name</x:v>
      </x:c>
      <x:c r="H649" s="17" t="str"/>
      <x:c r="I649" s="17" t="str">
        <x:v>设计浪费</x:v>
      </x:c>
      <x:c r="J649" s="17" t="str">
        <x:v>否</x:v>
      </x:c>
      <x:c r="K649" s="18"/>
      <x:c r="L649" s="17" t="str">
        <x:v>否</x:v>
      </x:c>
      <x:c r="M649" s="17" t="str">
        <x:v>否</x:v>
      </x:c>
      <x:c r="N649" s="17" t="str">
        <x:v>requery_after_terminal_zero</x:v>
      </x:c>
      <x:c r="O649" s="17" t="str">
        <x:v>terminal_zero_requery</x:v>
      </x:c>
      <x:c r="P649" s="17" t="str">
        <x:v>session://financial_qa_33499cfa81de4d06_2850_ef3f9a1e7d82/vars/v6</x:v>
      </x:c>
      <x:c r="Q649" s="17" t="str"/>
      <x:c r="R649" s="17" t="str">
        <x:v>plate.constitution</x:v>
      </x:c>
      <x:c r="S649" s="17" t="str"/>
      <x:c r="T649" s="17" t="str"/>
      <x:c r="U649" s="17" t="str">
        <x:v>r6</x:v>
      </x:c>
      <x:c r="V649" s="30" t="n">
        <x:v>0</x:v>
      </x:c>
      <x:c r="W649" s="17" t="str">
        <x:v>high</x:v>
      </x:c>
    </x:row>
    <x:row r="650" ht="54" customHeight="1">
      <x:c r="A650" s="17" t="str">
        <x:v>BUS155</x:v>
      </x:c>
      <x:c r="B650" s="17" t="str">
        <x:v>查询宁德时代是否属于新能源车板块成分股。</x:v>
      </x:c>
      <x:c r="C650" s="17" t="n">
        <x:v>9</x:v>
      </x:c>
      <x:c r="D650" s="17" t="str"/>
      <x:c r="E650" s="17" t="str">
        <x:v>工具调用</x:v>
      </x:c>
      <x:c r="F650" s="17" t="str">
        <x:v>finance_query</x:v>
      </x:c>
      <x:c r="G650" s="17" t="str">
        <x:v>r7 = plate.constitution(filter = "plate_name = '车联网(车路协同)' and stock_code = '300750'") -&gt; plate_code, plate_name, stock_code, stock_name</x:v>
      </x:c>
      <x:c r="H650" s="17" t="str"/>
      <x:c r="I650" s="17" t="str">
        <x:v>设计浪费</x:v>
      </x:c>
      <x:c r="J650" s="17" t="str">
        <x:v>否</x:v>
      </x:c>
      <x:c r="K650" s="18"/>
      <x:c r="L650" s="17" t="str">
        <x:v>否</x:v>
      </x:c>
      <x:c r="M650" s="17" t="str">
        <x:v>否</x:v>
      </x:c>
      <x:c r="N650" s="17" t="str">
        <x:v>requery_after_terminal_zero</x:v>
      </x:c>
      <x:c r="O650" s="17" t="str">
        <x:v>terminal_zero_requery</x:v>
      </x:c>
      <x:c r="P650" s="17" t="str">
        <x:v>session://financial_qa_33499cfa81de4d06_2850_ef3f9a1e7d82/vars/v7</x:v>
      </x:c>
      <x:c r="Q650" s="17" t="str"/>
      <x:c r="R650" s="17" t="str">
        <x:v>plate.constitution</x:v>
      </x:c>
      <x:c r="S650" s="17" t="str"/>
      <x:c r="T650" s="17" t="str"/>
      <x:c r="U650" s="17" t="str">
        <x:v>r7</x:v>
      </x:c>
      <x:c r="V650" s="30" t="n">
        <x:v>0</x:v>
      </x:c>
      <x:c r="W650" s="17" t="str">
        <x:v>high</x:v>
      </x:c>
    </x:row>
    <x:row r="651" ht="54" customHeight="1">
      <x:c r="A651" s="17" t="str">
        <x:v>BUS155</x:v>
      </x:c>
      <x:c r="B651" s="17" t="str">
        <x:v>查询宁德时代是否属于新能源车板块成分股。</x:v>
      </x:c>
      <x:c r="C651" s="17" t="n">
        <x:v>10</x:v>
      </x:c>
      <x:c r="D651" s="17" t="str"/>
      <x:c r="E651" s="17" t="str">
        <x:v>工具调用</x:v>
      </x:c>
      <x:c r="F651" s="17" t="str">
        <x:v>finance_query</x:v>
      </x:c>
      <x:c r="G651" s="17" t="str">
        <x:v>r8 = plate.constitution(filter = "plate_name = '充电桩' and stock_code = '300750'") -&gt; plate_code, plate_name, stock_code, stock_name</x:v>
      </x:c>
      <x:c r="H651" s="17" t="str"/>
      <x:c r="I651" s="17" t="str">
        <x:v>设计浪费</x:v>
      </x:c>
      <x:c r="J651" s="17" t="str">
        <x:v>否</x:v>
      </x:c>
      <x:c r="K651" s="18"/>
      <x:c r="L651" s="17" t="str">
        <x:v>否</x:v>
      </x:c>
      <x:c r="M651" s="17" t="str">
        <x:v>否</x:v>
      </x:c>
      <x:c r="N651" s="17" t="str">
        <x:v>requery_after_terminal_zero</x:v>
      </x:c>
      <x:c r="O651" s="17" t="str">
        <x:v>terminal_zero_requery</x:v>
      </x:c>
      <x:c r="P651" s="17" t="str">
        <x:v>session://financial_qa_33499cfa81de4d06_2850_ef3f9a1e7d82/vars/v8</x:v>
      </x:c>
      <x:c r="Q651" s="17" t="str"/>
      <x:c r="R651" s="17" t="str">
        <x:v>plate.constitution</x:v>
      </x:c>
      <x:c r="S651" s="17" t="str"/>
      <x:c r="T651" s="17" t="str"/>
      <x:c r="U651" s="17" t="str">
        <x:v>r8</x:v>
      </x:c>
      <x:c r="V651" s="30" t="n">
        <x:v>1</x:v>
      </x:c>
      <x:c r="W651" s="17" t="str">
        <x:v>high</x:v>
      </x:c>
    </x:row>
    <x:row r="652" ht="54" customHeight="1">
      <x:c r="A652" s="17" t="str">
        <x:v>BUS156</x:v>
      </x:c>
      <x:c r="B652" s="17" t="str">
        <x:v>查询机器人板块成分股代码、名称和权重。</x:v>
      </x:c>
      <x:c r="C652" s="17" t="n">
        <x:v>1</x:v>
      </x:c>
      <x:c r="D652" s="17" t="str"/>
      <x:c r="E652" s="17" t="str">
        <x:v>工具调用</x:v>
      </x:c>
      <x:c r="F652" s="17" t="str">
        <x:v>read_finance_catalog</x:v>
      </x:c>
      <x:c r="G652" s="17" t="str"/>
      <x:c r="H652" s="17" t="str"/>
      <x:c r="I652" s="17" t="str">
        <x:v>合理操作</x:v>
      </x:c>
      <x:c r="J652" s="17" t="str">
        <x:v>是</x:v>
      </x:c>
      <x:c r="K652" s="18"/>
      <x:c r="L652" s="17" t="str">
        <x:v>否</x:v>
      </x:c>
      <x:c r="M652" s="17" t="str">
        <x:v>否</x:v>
      </x:c>
      <x:c r="N652" s="17" t="str">
        <x:v>target_catalog_located</x:v>
      </x:c>
      <x:c r="O652" s="17" t="str">
        <x:v>expected_dataview_catalog</x:v>
      </x:c>
      <x:c r="P652" s="17" t="str"/>
      <x:c r="Q652" s="17" t="str"/>
      <x:c r="R652" s="17" t="str"/>
      <x:c r="S652" s="17" t="str">
        <x:v>plate</x:v>
      </x:c>
      <x:c r="T652" s="17" t="str">
        <x:v>constitution</x:v>
      </x:c>
      <x:c r="U652" s="17" t="str"/>
      <x:c r="V652" s="30"/>
      <x:c r="W652" s="17" t="str">
        <x:v>high</x:v>
      </x:c>
    </x:row>
    <x:row r="653" ht="54" customHeight="1">
      <x:c r="A653" s="17" t="str">
        <x:v>BUS156</x:v>
      </x:c>
      <x:c r="B653" s="17" t="str">
        <x:v>查询机器人板块成分股代码、名称和权重。</x:v>
      </x:c>
      <x:c r="C653" s="17" t="n">
        <x:v>2</x:v>
      </x:c>
      <x:c r="D653" s="17" t="str"/>
      <x:c r="E653" s="17" t="str">
        <x:v>工具调用</x:v>
      </x:c>
      <x:c r="F653" s="17" t="str">
        <x:v>finance_query</x:v>
      </x:c>
      <x:c r="G653" s="17" t="str">
        <x:v>r1 = plate.constitution(filter = "plate_name = 机器人", limit = -1) -&gt; plate_code, plate_name, stock_code, stock_name, weight</x:v>
      </x:c>
      <x:c r="H653" s="17" t="str"/>
      <x:c r="I653" s="17" t="str">
        <x:v>合理操作</x:v>
      </x:c>
      <x:c r="J653" s="17" t="str">
        <x:v>是</x:v>
      </x:c>
      <x:c r="K653" s="18"/>
      <x:c r="L653" s="17" t="str">
        <x:v>否</x:v>
      </x:c>
      <x:c r="M653" s="17" t="str">
        <x:v>否</x:v>
      </x:c>
      <x:c r="N653" s="17" t="str">
        <x:v>target_api_executed</x:v>
      </x:c>
      <x:c r="O653" s="17" t="str">
        <x:v>expected_dataview_coverage</x:v>
      </x:c>
      <x:c r="P653" s="17" t="str">
        <x:v>session://financial_qa_33499cfa81de4d06_2851_50e07de18988/vars/v1</x:v>
      </x:c>
      <x:c r="Q653" s="17" t="str"/>
      <x:c r="R653" s="17" t="str">
        <x:v>plate.constitution</x:v>
      </x:c>
      <x:c r="S653" s="17" t="str"/>
      <x:c r="T653" s="17" t="str"/>
      <x:c r="U653" s="17" t="str">
        <x:v>r1</x:v>
      </x:c>
      <x:c r="V653" s="30" t="n">
        <x:v>0</x:v>
      </x:c>
      <x:c r="W653" s="17" t="str">
        <x:v>high</x:v>
      </x:c>
    </x:row>
    <x:row r="654" ht="54" customHeight="1">
      <x:c r="A654" s="17" t="str">
        <x:v>BUS156</x:v>
      </x:c>
      <x:c r="B654" s="17" t="str">
        <x:v>查询机器人板块成分股代码、名称和权重。</x:v>
      </x:c>
      <x:c r="C654" s="17" t="n">
        <x:v>3</x:v>
      </x:c>
      <x:c r="D654" s="17" t="str"/>
      <x:c r="E654" s="17" t="str">
        <x:v>工具调用</x:v>
      </x:c>
      <x:c r="F654" s="17" t="str">
        <x:v>finance_query</x:v>
      </x:c>
      <x:c r="G654" s="17" t="str">
        <x:v>r2 = plate.basic_info(filter = "plate_name like 机器人", limit = 10) -&gt; plate_code, plate_name</x:v>
      </x:c>
      <x:c r="H654" s="17" t="str"/>
      <x:c r="I654" s="17" t="str">
        <x:v>合理操作</x:v>
      </x:c>
      <x:c r="J654" s="17" t="str">
        <x:v>是</x:v>
      </x:c>
      <x:c r="K654" s="18"/>
      <x:c r="L654" s="17" t="str">
        <x:v>否</x:v>
      </x:c>
      <x:c r="M654" s="17" t="str">
        <x:v>否</x:v>
      </x:c>
      <x:c r="N654" s="17" t="str">
        <x:v>same_subject_dependency</x:v>
      </x:c>
      <x:c r="O654" s="17" t="str">
        <x:v>supporting_api_for_expected_subject</x:v>
      </x:c>
      <x:c r="P654" s="17" t="str">
        <x:v>session://financial_qa_33499cfa81de4d06_2851_50e07de18988/vars/v2</x:v>
      </x:c>
      <x:c r="Q654" s="17" t="str"/>
      <x:c r="R654" s="17" t="str">
        <x:v>plate.basic_info</x:v>
      </x:c>
      <x:c r="S654" s="17" t="str"/>
      <x:c r="T654" s="17" t="str"/>
      <x:c r="U654" s="17" t="str">
        <x:v>r2</x:v>
      </x:c>
      <x:c r="V654" s="30" t="n">
        <x:v>0</x:v>
      </x:c>
      <x:c r="W654" s="17" t="str">
        <x:v>medium</x:v>
      </x:c>
    </x:row>
    <x:row r="655" ht="54" customHeight="1">
      <x:c r="A655" s="17" t="str">
        <x:v>BUS156</x:v>
      </x:c>
      <x:c r="B655" s="17" t="str">
        <x:v>查询机器人板块成分股代码、名称和权重。</x:v>
      </x:c>
      <x:c r="C655" s="17" t="n">
        <x:v>4</x:v>
      </x:c>
      <x:c r="D655" s="17" t="str"/>
      <x:c r="E655" s="17" t="str">
        <x:v>工具调用</x:v>
      </x:c>
      <x:c r="F655" s="17" t="str">
        <x:v>read_finance_catalog</x:v>
      </x:c>
      <x:c r="G655" s="17" t="str"/>
      <x:c r="H655" s="17" t="str"/>
      <x:c r="I655" s="17" t="str">
        <x:v>未判定</x:v>
      </x:c>
      <x:c r="J655" s="17" t="str">
        <x:v>未判定</x:v>
      </x:c>
      <x:c r="K655" s="18"/>
      <x:c r="L655" s="17" t="str">
        <x:v>否</x:v>
      </x:c>
      <x:c r="M655" s="17" t="str">
        <x:v>否</x:v>
      </x:c>
      <x:c r="N655" s="17" t="str">
        <x:v>catalog_relevance_not_provable</x:v>
      </x:c>
      <x:c r="O655" s="17" t="str">
        <x:v>catalog_outside_expected_dataview</x:v>
      </x:c>
      <x:c r="P655" s="17" t="str"/>
      <x:c r="Q655" s="17" t="str"/>
      <x:c r="R655" s="17" t="str"/>
      <x:c r="S655" s="17" t="str">
        <x:v>hot_event</x:v>
      </x:c>
      <x:c r="T655" s="17" t="str">
        <x:v>base_info</x:v>
      </x:c>
      <x:c r="U655" s="17" t="str"/>
      <x:c r="V655" s="30"/>
      <x:c r="W655" s="17" t="str">
        <x:v>low</x:v>
      </x:c>
    </x:row>
    <x:row r="656" ht="54" customHeight="1">
      <x:c r="A656" s="17" t="str">
        <x:v>BUS156</x:v>
      </x:c>
      <x:c r="B656" s="17" t="str">
        <x:v>查询机器人板块成分股代码、名称和权重。</x:v>
      </x:c>
      <x:c r="C656" s="17" t="n">
        <x:v>5</x:v>
      </x:c>
      <x:c r="D656" s="17" t="str"/>
      <x:c r="E656" s="17" t="str">
        <x:v>工具调用</x:v>
      </x:c>
      <x:c r="F656" s="17" t="str">
        <x:v>read_finance_catalog</x:v>
      </x:c>
      <x:c r="G656" s="17" t="str"/>
      <x:c r="H656" s="17" t="str"/>
      <x:c r="I656" s="17" t="str">
        <x:v>未判定</x:v>
      </x:c>
      <x:c r="J656" s="17" t="str">
        <x:v>未判定</x:v>
      </x:c>
      <x:c r="K656" s="18"/>
      <x:c r="L656" s="17" t="str">
        <x:v>否</x:v>
      </x:c>
      <x:c r="M656" s="17" t="str">
        <x:v>否</x:v>
      </x:c>
      <x:c r="N656" s="17" t="str">
        <x:v>catalog_relevance_not_provable</x:v>
      </x:c>
      <x:c r="O656" s="17" t="str">
        <x:v>catalog_outside_expected_dataview</x:v>
      </x:c>
      <x:c r="P656" s="17" t="str"/>
      <x:c r="Q656" s="17" t="str"/>
      <x:c r="R656" s="17" t="str"/>
      <x:c r="S656" s="17" t="str">
        <x:v>hot_event</x:v>
      </x:c>
      <x:c r="T656" s="17" t="str">
        <x:v>state</x:v>
      </x:c>
      <x:c r="U656" s="17" t="str"/>
      <x:c r="V656" s="30"/>
      <x:c r="W656" s="17" t="str">
        <x:v>low</x:v>
      </x:c>
    </x:row>
    <x:row r="657" ht="54" customHeight="1">
      <x:c r="A657" s="17" t="str">
        <x:v>BUS156</x:v>
      </x:c>
      <x:c r="B657" s="17" t="str">
        <x:v>查询机器人板块成分股代码、名称和权重。</x:v>
      </x:c>
      <x:c r="C657" s="17" t="n">
        <x:v>6</x:v>
      </x:c>
      <x:c r="D657" s="17" t="str"/>
      <x:c r="E657" s="17" t="str">
        <x:v>工具调用</x:v>
      </x:c>
      <x:c r="F657" s="17" t="str">
        <x:v>read_finance_catalog</x:v>
      </x:c>
      <x:c r="G657" s="17" t="str"/>
      <x:c r="H657" s="17" t="str"/>
      <x:c r="I657" s="17" t="str">
        <x:v>未判定</x:v>
      </x:c>
      <x:c r="J657" s="17" t="str">
        <x:v>未判定</x:v>
      </x:c>
      <x:c r="K657" s="18"/>
      <x:c r="L657" s="17" t="str">
        <x:v>否</x:v>
      </x:c>
      <x:c r="M657" s="17" t="str">
        <x:v>否</x:v>
      </x:c>
      <x:c r="N657" s="17" t="str">
        <x:v>catalog_relevance_not_provable</x:v>
      </x:c>
      <x:c r="O657" s="17" t="str">
        <x:v>catalog_outside_expected_dataview</x:v>
      </x:c>
      <x:c r="P657" s="17" t="str"/>
      <x:c r="Q657" s="17" t="str"/>
      <x:c r="R657" s="17" t="str"/>
      <x:c r="S657" s="17" t="str">
        <x:v>hot_event</x:v>
      </x:c>
      <x:c r="T657" s="17" t="str">
        <x:v>member</x:v>
      </x:c>
      <x:c r="U657" s="17" t="str"/>
      <x:c r="V657" s="30"/>
      <x:c r="W657" s="17" t="str">
        <x:v>low</x:v>
      </x:c>
    </x:row>
    <x:row r="658" ht="54" customHeight="1">
      <x:c r="A658" s="17" t="str">
        <x:v>BUS156</x:v>
      </x:c>
      <x:c r="B658" s="17" t="str">
        <x:v>查询机器人板块成分股代码、名称和权重。</x:v>
      </x:c>
      <x:c r="C658" s="17" t="n">
        <x:v>7</x:v>
      </x:c>
      <x:c r="D658" s="17" t="str"/>
      <x:c r="E658" s="17" t="str">
        <x:v>工具调用</x:v>
      </x:c>
      <x:c r="F658" s="17" t="str">
        <x:v>finance_query</x:v>
      </x:c>
      <x:c r="G658" s="17" t="str">
        <x:v>r3 = hot_event.member(filter = "event like 机器人", limit = -1) -&gt; event_id, event, stock_code, stock_name</x:v>
      </x:c>
      <x:c r="H658" s="17" t="str"/>
      <x:c r="I658" s="17" t="str">
        <x:v>合理操作</x:v>
      </x:c>
      <x:c r="J658" s="17" t="str">
        <x:v>是</x:v>
      </x:c>
      <x:c r="K658" s="18"/>
      <x:c r="L658" s="17" t="str">
        <x:v>否</x:v>
      </x:c>
      <x:c r="M658" s="17" t="str">
        <x:v>否</x:v>
      </x:c>
      <x:c r="N658" s="17" t="str">
        <x:v>cross_subject_dependency</x:v>
      </x:c>
      <x:c r="O658" s="17" t="str">
        <x:v>supporting_api_relevance_requires_semantic_review</x:v>
      </x:c>
      <x:c r="P658" s="17" t="str">
        <x:v>session://financial_qa_33499cfa81de4d06_2851_50e07de18988/vars/v3</x:v>
      </x:c>
      <x:c r="Q658" s="17" t="str"/>
      <x:c r="R658" s="17" t="str">
        <x:v>hot_event.member</x:v>
      </x:c>
      <x:c r="S658" s="17" t="str"/>
      <x:c r="T658" s="17" t="str"/>
      <x:c r="U658" s="17" t="str">
        <x:v>r3</x:v>
      </x:c>
      <x:c r="V658" s="30" t="n">
        <x:v>100</x:v>
      </x:c>
      <x:c r="W658" s="17" t="str">
        <x:v>low</x:v>
      </x:c>
    </x:row>
    <x:row r="659" ht="54" customHeight="1">
      <x:c r="A659" s="17" t="str">
        <x:v>BUS156</x:v>
      </x:c>
      <x:c r="B659" s="17" t="str">
        <x:v>查询机器人板块成分股代码、名称和权重。</x:v>
      </x:c>
      <x:c r="C659" s="17" t="n">
        <x:v>8</x:v>
      </x:c>
      <x:c r="D659" s="17" t="str"/>
      <x:c r="E659" s="17" t="str">
        <x:v>工具调用</x:v>
      </x:c>
      <x:c r="F659" s="17" t="str">
        <x:v>load_finance_result</x:v>
      </x:c>
      <x:c r="G659" s="17" t="str"/>
      <x:c r="H659" s="17" t="str"/>
      <x:c r="I659" s="17" t="str">
        <x:v>合理操作</x:v>
      </x:c>
      <x:c r="J659" s="17" t="str">
        <x:v>是</x:v>
      </x:c>
      <x:c r="K659" s="18"/>
      <x:c r="L659" s="17" t="str">
        <x:v>否</x:v>
      </x:c>
      <x:c r="M659" s="17" t="str">
        <x:v>否</x:v>
      </x:c>
      <x:c r="N659" s="17" t="str">
        <x:v>load_truncated_result</x:v>
      </x:c>
      <x:c r="O659" s="17" t="str">
        <x:v>sample_incomplete_requires_full_result</x:v>
      </x:c>
      <x:c r="P659" s="17" t="str">
        <x:v>session://financial_qa_33499cfa81de4d06_2851_50e07de18988/vars/v3</x:v>
      </x:c>
      <x:c r="Q659" s="17" t="str"/>
      <x:c r="R659" s="17" t="str"/>
      <x:c r="S659" s="17" t="str"/>
      <x:c r="T659" s="17" t="str"/>
      <x:c r="U659" s="17" t="str"/>
      <x:c r="V659" s="30"/>
      <x:c r="W659" s="17" t="str">
        <x:v>high</x:v>
      </x:c>
    </x:row>
    <x:row r="660" ht="54" customHeight="1">
      <x:c r="A660" s="17" t="str">
        <x:v>BUS156</x:v>
      </x:c>
      <x:c r="B660" s="17" t="str">
        <x:v>查询机器人板块成分股代码、名称和权重。</x:v>
      </x:c>
      <x:c r="C660" s="17" t="n">
        <x:v>9</x:v>
      </x:c>
      <x:c r="D660" s="17" t="str"/>
      <x:c r="E660" s="17" t="str">
        <x:v>工具调用</x:v>
      </x:c>
      <x:c r="F660" s="17" t="str">
        <x:v>finance_query</x:v>
      </x:c>
      <x:c r="G660" s="17" t="str">
        <x:v>r4 = hot_event.base_info(filter = "event = 机器人", limit = 10) -&gt; event_id, event, current_company_num</x:v>
      </x:c>
      <x:c r="H660" s="17" t="str"/>
      <x:c r="I660" s="17" t="str">
        <x:v>合理操作</x:v>
      </x:c>
      <x:c r="J660" s="17" t="str">
        <x:v>是</x:v>
      </x:c>
      <x:c r="K660" s="18"/>
      <x:c r="L660" s="17" t="str">
        <x:v>否</x:v>
      </x:c>
      <x:c r="M660" s="17" t="str">
        <x:v>否</x:v>
      </x:c>
      <x:c r="N660" s="17" t="str">
        <x:v>cross_subject_dependency</x:v>
      </x:c>
      <x:c r="O660" s="17" t="str">
        <x:v>supporting_api_relevance_requires_semantic_review</x:v>
      </x:c>
      <x:c r="P660" s="17" t="str">
        <x:v>session://financial_qa_33499cfa81de4d06_2851_50e07de18988/vars/v4</x:v>
      </x:c>
      <x:c r="Q660" s="17" t="str"/>
      <x:c r="R660" s="17" t="str">
        <x:v>hot_event.base_info</x:v>
      </x:c>
      <x:c r="S660" s="17" t="str"/>
      <x:c r="T660" s="17" t="str"/>
      <x:c r="U660" s="17" t="str">
        <x:v>r4</x:v>
      </x:c>
      <x:c r="V660" s="30" t="n">
        <x:v>1</x:v>
      </x:c>
      <x:c r="W660" s="17" t="str">
        <x:v>low</x:v>
      </x:c>
    </x:row>
    <x:row r="661" ht="54" customHeight="1">
      <x:c r="A661" s="17" t="str">
        <x:v>BUS156</x:v>
      </x:c>
      <x:c r="B661" s="17" t="str">
        <x:v>查询机器人板块成分股代码、名称和权重。</x:v>
      </x:c>
      <x:c r="C661" s="17" t="n">
        <x:v>10</x:v>
      </x:c>
      <x:c r="D661" s="17" t="str"/>
      <x:c r="E661" s="17" t="str">
        <x:v>工具调用</x:v>
      </x:c>
      <x:c r="F661" s="17" t="str">
        <x:v>finance_query</x:v>
      </x:c>
      <x:c r="G661" s="17" t="str">
        <x:v>r5 = hot_event.member(filter = "event = 机器人", limit = -1) -&gt; event_id, event, stock_code, stock_name</x:v>
      </x:c>
      <x:c r="H661" s="17" t="str"/>
      <x:c r="I661" s="17" t="str">
        <x:v>合理操作</x:v>
      </x:c>
      <x:c r="J661" s="17" t="str">
        <x:v>是</x:v>
      </x:c>
      <x:c r="K661" s="18"/>
      <x:c r="L661" s="17" t="str">
        <x:v>否</x:v>
      </x:c>
      <x:c r="M661" s="17" t="str">
        <x:v>否</x:v>
      </x:c>
      <x:c r="N661" s="17" t="str">
        <x:v>cross_subject_dependency</x:v>
      </x:c>
      <x:c r="O661" s="17" t="str">
        <x:v>supporting_api_relevance_requires_semantic_review</x:v>
      </x:c>
      <x:c r="P661" s="17" t="str">
        <x:v>session://financial_qa_33499cfa81de4d06_2851_50e07de18988/vars/v5</x:v>
      </x:c>
      <x:c r="Q661" s="17" t="str"/>
      <x:c r="R661" s="17" t="str">
        <x:v>hot_event.member</x:v>
      </x:c>
      <x:c r="S661" s="17" t="str"/>
      <x:c r="T661" s="17" t="str"/>
      <x:c r="U661" s="17" t="str">
        <x:v>r5</x:v>
      </x:c>
      <x:c r="V661" s="30" t="n">
        <x:v>100</x:v>
      </x:c>
      <x:c r="W661" s="17" t="str">
        <x:v>low</x:v>
      </x:c>
    </x:row>
    <x:row r="662" ht="54" customHeight="1">
      <x:c r="A662" s="17" t="str">
        <x:v>BUS156</x:v>
      </x:c>
      <x:c r="B662" s="17" t="str">
        <x:v>查询机器人板块成分股代码、名称和权重。</x:v>
      </x:c>
      <x:c r="C662" s="17" t="n">
        <x:v>11</x:v>
      </x:c>
      <x:c r="D662" s="17" t="str"/>
      <x:c r="E662" s="17" t="str">
        <x:v>工具调用</x:v>
      </x:c>
      <x:c r="F662" s="17" t="str">
        <x:v>load_finance_result</x:v>
      </x:c>
      <x:c r="G662" s="17" t="str"/>
      <x:c r="H662" s="17" t="str"/>
      <x:c r="I662" s="17" t="str">
        <x:v>合理操作</x:v>
      </x:c>
      <x:c r="J662" s="17" t="str">
        <x:v>是</x:v>
      </x:c>
      <x:c r="K662" s="18"/>
      <x:c r="L662" s="17" t="str">
        <x:v>否</x:v>
      </x:c>
      <x:c r="M662" s="17" t="str">
        <x:v>否</x:v>
      </x:c>
      <x:c r="N662" s="17" t="str">
        <x:v>load_truncated_result</x:v>
      </x:c>
      <x:c r="O662" s="17" t="str">
        <x:v>sample_incomplete_requires_full_result</x:v>
      </x:c>
      <x:c r="P662" s="17" t="str">
        <x:v>session://financial_qa_33499cfa81de4d06_2851_50e07de18988/vars/v5</x:v>
      </x:c>
      <x:c r="Q662" s="17" t="str"/>
      <x:c r="R662" s="17" t="str"/>
      <x:c r="S662" s="17" t="str"/>
      <x:c r="T662" s="17" t="str"/>
      <x:c r="U662" s="17" t="str"/>
      <x:c r="V662" s="30"/>
      <x:c r="W662" s="17" t="str">
        <x:v>high</x:v>
      </x:c>
    </x:row>
    <x:row r="663" ht="54" customHeight="1">
      <x:c r="A663" s="17" t="str">
        <x:v>BUS157</x:v>
      </x:c>
      <x:c r="B663" s="17" t="str">
        <x:v>计算人工智能板块成分股今天平均涨跌幅和涨停家数。</x:v>
      </x:c>
      <x:c r="C663" s="17" t="n">
        <x:v>1</x:v>
      </x:c>
      <x:c r="D663" s="17" t="str"/>
      <x:c r="E663" s="17" t="str">
        <x:v>工具调用</x:v>
      </x:c>
      <x:c r="F663" s="17" t="str">
        <x:v>read_finance_catalog</x:v>
      </x:c>
      <x:c r="G663" s="17" t="str"/>
      <x:c r="H663" s="17" t="str"/>
      <x:c r="I663" s="17" t="str">
        <x:v>合理操作</x:v>
      </x:c>
      <x:c r="J663" s="17" t="str">
        <x:v>是</x:v>
      </x:c>
      <x:c r="K663" s="18"/>
      <x:c r="L663" s="17" t="str">
        <x:v>否</x:v>
      </x:c>
      <x:c r="M663" s="17" t="str">
        <x:v>否</x:v>
      </x:c>
      <x:c r="N663" s="17" t="str">
        <x:v>target_catalog_located</x:v>
      </x:c>
      <x:c r="O663" s="17" t="str">
        <x:v>expected_dataview_catalog</x:v>
      </x:c>
      <x:c r="P663" s="17" t="str"/>
      <x:c r="Q663" s="17" t="str"/>
      <x:c r="R663" s="17" t="str"/>
      <x:c r="S663" s="17" t="str">
        <x:v>plate</x:v>
      </x:c>
      <x:c r="T663" s="17" t="str">
        <x:v>constitution</x:v>
      </x:c>
      <x:c r="U663" s="17" t="str"/>
      <x:c r="V663" s="30"/>
      <x:c r="W663" s="17" t="str">
        <x:v>high</x:v>
      </x:c>
    </x:row>
    <x:row r="664" ht="54" customHeight="1">
      <x:c r="A664" s="17" t="str">
        <x:v>BUS157</x:v>
      </x:c>
      <x:c r="B664" s="17" t="str">
        <x:v>计算人工智能板块成分股今天平均涨跌幅和涨停家数。</x:v>
      </x:c>
      <x:c r="C664" s="17" t="n">
        <x:v>2</x:v>
      </x:c>
      <x:c r="D664" s="17" t="str"/>
      <x:c r="E664" s="17" t="str">
        <x:v>工具调用</x:v>
      </x:c>
      <x:c r="F664" s="17" t="str">
        <x:v>read_finance_catalog</x:v>
      </x:c>
      <x:c r="G664" s="17" t="str"/>
      <x:c r="H664" s="17" t="str"/>
      <x:c r="I664" s="17" t="str">
        <x:v>合理操作</x:v>
      </x:c>
      <x:c r="J664" s="17" t="str">
        <x:v>是</x:v>
      </x:c>
      <x:c r="K664" s="18"/>
      <x:c r="L664" s="17" t="str">
        <x:v>否</x:v>
      </x:c>
      <x:c r="M664" s="17" t="str">
        <x:v>否</x:v>
      </x:c>
      <x:c r="N664" s="17" t="str">
        <x:v>subject_catalog_discovery</x:v>
      </x:c>
      <x:c r="O664" s="17" t="str">
        <x:v>expected_subject_catalog</x:v>
      </x:c>
      <x:c r="P664" s="17" t="str"/>
      <x:c r="Q664" s="17" t="str"/>
      <x:c r="R664" s="17" t="str"/>
      <x:c r="S664" s="17" t="str">
        <x:v>plate</x:v>
      </x:c>
      <x:c r="T664" s="17" t="str">
        <x:v>basic_info</x:v>
      </x:c>
      <x:c r="U664" s="17" t="str"/>
      <x:c r="V664" s="30"/>
      <x:c r="W664" s="17" t="str">
        <x:v>medium</x:v>
      </x:c>
    </x:row>
    <x:row r="665" ht="54" customHeight="1">
      <x:c r="A665" s="17" t="str">
        <x:v>BUS157</x:v>
      </x:c>
      <x:c r="B665" s="17" t="str">
        <x:v>计算人工智能板块成分股今天平均涨跌幅和涨停家数。</x:v>
      </x:c>
      <x:c r="C665" s="17" t="n">
        <x:v>3</x:v>
      </x:c>
      <x:c r="D665" s="17" t="str"/>
      <x:c r="E665" s="17" t="str">
        <x:v>工具调用</x:v>
      </x:c>
      <x:c r="F665" s="17" t="str">
        <x:v>finance_query</x:v>
      </x:c>
      <x:c r="G665" s="17" t="str">
        <x:v>r1 = plate.basic_info(filter = "plate_name like %人工智能%", limit = 10) -&gt; plate_code, plate_name</x:v>
      </x:c>
      <x:c r="H665" s="17" t="str"/>
      <x:c r="I665" s="17" t="str">
        <x:v>合理操作</x:v>
      </x:c>
      <x:c r="J665" s="17" t="str">
        <x:v>是</x:v>
      </x:c>
      <x:c r="K665" s="18"/>
      <x:c r="L665" s="17" t="str">
        <x:v>否</x:v>
      </x:c>
      <x:c r="M665" s="17" t="str">
        <x:v>否</x:v>
      </x:c>
      <x:c r="N665" s="17" t="str">
        <x:v>same_subject_dependency</x:v>
      </x:c>
      <x:c r="O665" s="17" t="str">
        <x:v>supporting_api_for_expected_subject</x:v>
      </x:c>
      <x:c r="P665" s="17" t="str">
        <x:v>session://financial_qa_33499cfa81de4d06_2852_f436525ad998/vars/v1</x:v>
      </x:c>
      <x:c r="Q665" s="17" t="str"/>
      <x:c r="R665" s="17" t="str">
        <x:v>plate.basic_info</x:v>
      </x:c>
      <x:c r="S665" s="17" t="str"/>
      <x:c r="T665" s="17" t="str"/>
      <x:c r="U665" s="17" t="str">
        <x:v>r1</x:v>
      </x:c>
      <x:c r="V665" s="30" t="n">
        <x:v>1</x:v>
      </x:c>
      <x:c r="W665" s="17" t="str">
        <x:v>medium</x:v>
      </x:c>
    </x:row>
    <x:row r="666" ht="54" customHeight="1">
      <x:c r="A666" s="17" t="str">
        <x:v>BUS157</x:v>
      </x:c>
      <x:c r="B666" s="17" t="str">
        <x:v>计算人工智能板块成分股今天平均涨跌幅和涨停家数。</x:v>
      </x:c>
      <x:c r="C666" s="17" t="n">
        <x:v>4</x:v>
      </x:c>
      <x:c r="D666" s="17" t="str"/>
      <x:c r="E666" s="17" t="str">
        <x:v>工具调用</x:v>
      </x:c>
      <x:c r="F666" s="17" t="str">
        <x:v>read_finance_catalog</x:v>
      </x:c>
      <x:c r="G666" s="17" t="str"/>
      <x:c r="H666" s="17" t="str"/>
      <x:c r="I666" s="17" t="str">
        <x:v>未判定</x:v>
      </x:c>
      <x:c r="J666" s="17" t="str">
        <x:v>未判定</x:v>
      </x:c>
      <x:c r="K666" s="18"/>
      <x:c r="L666" s="17" t="str">
        <x:v>否</x:v>
      </x:c>
      <x:c r="M666" s="17" t="str">
        <x:v>否</x:v>
      </x:c>
      <x:c r="N666" s="17" t="str">
        <x:v>catalog_relevance_not_provable</x:v>
      </x:c>
      <x:c r="O666" s="17" t="str">
        <x:v>catalog_outside_expected_dataview</x:v>
      </x:c>
      <x:c r="P666" s="17" t="str"/>
      <x:c r="Q666" s="17" t="str"/>
      <x:c r="R666" s="17" t="str"/>
      <x:c r="S666" s="17" t="str">
        <x:v>stock</x:v>
      </x:c>
      <x:c r="T666" s="17" t="str">
        <x:v>quote</x:v>
      </x:c>
      <x:c r="U666" s="17" t="str"/>
      <x:c r="V666" s="30"/>
      <x:c r="W666" s="17" t="str">
        <x:v>low</x:v>
      </x:c>
    </x:row>
    <x:row r="667" ht="54" customHeight="1">
      <x:c r="A667" s="17" t="str">
        <x:v>BUS157</x:v>
      </x:c>
      <x:c r="B667" s="17" t="str">
        <x:v>计算人工智能板块成分股今天平均涨跌幅和涨停家数。</x:v>
      </x:c>
      <x:c r="C667" s="17" t="n">
        <x:v>5</x:v>
      </x:c>
      <x:c r="D667" s="17" t="str"/>
      <x:c r="E667" s="17" t="str">
        <x:v>工具调用</x:v>
      </x:c>
      <x:c r="F667" s="17" t="str">
        <x:v>finance_query</x:v>
      </x:c>
      <x:c r="G667" s="17" t="str">
        <x:v>r2 = plate.constitution(filter = "plate_code = 882347", limit = -1) -&gt; plate_code, plate_name, stock_code, stock_name</x:v>
      </x:c>
      <x:c r="H667" s="17" t="str"/>
      <x:c r="I667" s="17" t="str">
        <x:v>合理操作</x:v>
      </x:c>
      <x:c r="J667" s="17" t="str">
        <x:v>是</x:v>
      </x:c>
      <x:c r="K667" s="18"/>
      <x:c r="L667" s="17" t="str">
        <x:v>否</x:v>
      </x:c>
      <x:c r="M667" s="17" t="str">
        <x:v>否</x:v>
      </x:c>
      <x:c r="N667" s="17" t="str">
        <x:v>target_api_executed</x:v>
      </x:c>
      <x:c r="O667" s="17" t="str">
        <x:v>expected_dataview_coverage</x:v>
      </x:c>
      <x:c r="P667" s="17" t="str">
        <x:v>session://financial_qa_33499cfa81de4d06_2852_f436525ad998/vars/v2</x:v>
      </x:c>
      <x:c r="Q667" s="17" t="str"/>
      <x:c r="R667" s="17" t="str">
        <x:v>plate.constitution</x:v>
      </x:c>
      <x:c r="S667" s="17" t="str"/>
      <x:c r="T667" s="17" t="str"/>
      <x:c r="U667" s="17" t="str">
        <x:v>r2</x:v>
      </x:c>
      <x:c r="V667" s="30" t="n">
        <x:v>100</x:v>
      </x:c>
      <x:c r="W667" s="17" t="str">
        <x:v>high</x:v>
      </x:c>
    </x:row>
    <x:row r="668" ht="54" customHeight="1">
      <x:c r="A668" s="17" t="str">
        <x:v>BUS157</x:v>
      </x:c>
      <x:c r="B668" s="17" t="str">
        <x:v>计算人工智能板块成分股今天平均涨跌幅和涨停家数。</x:v>
      </x:c>
      <x:c r="C668" s="17" t="n">
        <x:v>6</x:v>
      </x:c>
      <x:c r="D668" s="17" t="str"/>
      <x:c r="E668" s="17" t="str">
        <x:v>工具调用</x:v>
      </x:c>
      <x:c r="F668" s="17" t="str">
        <x:v>finance_query</x:v>
      </x:c>
      <x:c r="G668" s="17" t="str">
        <x:v>r3 = stock.quote(filter = "code in r2.stock_code and tradedate = -1", limit = -1, realtime = 0) -&gt; code, name, tradedate, pct, is_limit_price</x:v>
      </x:c>
      <x:c r="H668" s="17" t="str"/>
      <x:c r="I668" s="17" t="str">
        <x:v>合理操作</x:v>
      </x:c>
      <x:c r="J668" s="17" t="str">
        <x:v>是</x:v>
      </x:c>
      <x:c r="K668" s="18"/>
      <x:c r="L668" s="17" t="str">
        <x:v>否</x:v>
      </x:c>
      <x:c r="M668" s="17" t="str">
        <x:v>否</x:v>
      </x:c>
      <x:c r="N668" s="17" t="str">
        <x:v>cross_subject_dependency</x:v>
      </x:c>
      <x:c r="O668" s="17" t="str">
        <x:v>supporting_api_relevance_requires_semantic_review</x:v>
      </x:c>
      <x:c r="P668" s="17" t="str">
        <x:v>session://financial_qa_33499cfa81de4d06_2852_f436525ad998/vars/v3</x:v>
      </x:c>
      <x:c r="Q668" s="17" t="str"/>
      <x:c r="R668" s="17" t="str">
        <x:v>stock.quote</x:v>
      </x:c>
      <x:c r="S668" s="17" t="str"/>
      <x:c r="T668" s="17" t="str"/>
      <x:c r="U668" s="17" t="str">
        <x:v>r3</x:v>
      </x:c>
      <x:c r="V668" s="30" t="n">
        <x:v>100</x:v>
      </x:c>
      <x:c r="W668" s="17" t="str">
        <x:v>low</x:v>
      </x:c>
    </x:row>
    <x:row r="669" ht="54" customHeight="1">
      <x:c r="A669" s="17" t="str">
        <x:v>BUS157</x:v>
      </x:c>
      <x:c r="B669" s="17" t="str">
        <x:v>计算人工智能板块成分股今天平均涨跌幅和涨停家数。</x:v>
      </x:c>
      <x:c r="C669" s="17" t="n">
        <x:v>7</x:v>
      </x:c>
      <x:c r="D669" s="17" t="str"/>
      <x:c r="E669" s="17" t="str">
        <x:v>工具调用</x:v>
      </x:c>
      <x:c r="F669" s="17" t="str">
        <x:v>load_finance_result</x:v>
      </x:c>
      <x:c r="G669" s="17" t="str"/>
      <x:c r="H669" s="17" t="str"/>
      <x:c r="I669" s="17" t="str">
        <x:v>合理操作</x:v>
      </x:c>
      <x:c r="J669" s="17" t="str">
        <x:v>是</x:v>
      </x:c>
      <x:c r="K669" s="18"/>
      <x:c r="L669" s="17" t="str">
        <x:v>否</x:v>
      </x:c>
      <x:c r="M669" s="17" t="str">
        <x:v>否</x:v>
      </x:c>
      <x:c r="N669" s="17" t="str">
        <x:v>load_truncated_result</x:v>
      </x:c>
      <x:c r="O669" s="17" t="str">
        <x:v>sample_incomplete_requires_full_result</x:v>
      </x:c>
      <x:c r="P669" s="17" t="str">
        <x:v>session://financial_qa_33499cfa81de4d06_2852_f436525ad998/vars/v3</x:v>
      </x:c>
      <x:c r="Q669" s="17" t="str"/>
      <x:c r="R669" s="17" t="str"/>
      <x:c r="S669" s="17" t="str"/>
      <x:c r="T669" s="17" t="str"/>
      <x:c r="U669" s="17" t="str"/>
      <x:c r="V669" s="30"/>
      <x:c r="W669" s="17" t="str">
        <x:v>high</x:v>
      </x:c>
    </x:row>
    <x:row r="670" ht="54" customHeight="1">
      <x:c r="A670" s="17" t="str">
        <x:v>BUS159</x:v>
      </x:c>
      <x:c r="B670" s="17" t="str">
        <x:v>比较人工智能、半导体和机器人板块最近20个交易日累计涨幅。</x:v>
      </x:c>
      <x:c r="C670" s="17" t="n">
        <x:v>1</x:v>
      </x:c>
      <x:c r="D670" s="17" t="str"/>
      <x:c r="E670" s="17" t="str">
        <x:v>工具调用</x:v>
      </x:c>
      <x:c r="F670" s="17" t="str">
        <x:v>read_finance_catalog</x:v>
      </x:c>
      <x:c r="G670" s="17" t="str"/>
      <x:c r="H670" s="17" t="str"/>
      <x:c r="I670" s="17" t="str">
        <x:v>合理操作</x:v>
      </x:c>
      <x:c r="J670" s="17" t="str">
        <x:v>是</x:v>
      </x:c>
      <x:c r="K670" s="18"/>
      <x:c r="L670" s="17" t="str">
        <x:v>否</x:v>
      </x:c>
      <x:c r="M670" s="17" t="str">
        <x:v>否</x:v>
      </x:c>
      <x:c r="N670" s="17" t="str">
        <x:v>target_catalog_located</x:v>
      </x:c>
      <x:c r="O670" s="17" t="str">
        <x:v>expected_dataview_catalog</x:v>
      </x:c>
      <x:c r="P670" s="17" t="str"/>
      <x:c r="Q670" s="17" t="str"/>
      <x:c r="R670" s="17" t="str"/>
      <x:c r="S670" s="17" t="str">
        <x:v>plate</x:v>
      </x:c>
      <x:c r="T670" s="17" t="str">
        <x:v>quote</x:v>
      </x:c>
      <x:c r="U670" s="17" t="str"/>
      <x:c r="V670" s="30"/>
      <x:c r="W670" s="17" t="str">
        <x:v>high</x:v>
      </x:c>
    </x:row>
    <x:row r="671" ht="54" customHeight="1">
      <x:c r="A671" s="17" t="str">
        <x:v>BUS159</x:v>
      </x:c>
      <x:c r="B671" s="17" t="str">
        <x:v>比较人工智能、半导体和机器人板块最近20个交易日累计涨幅。</x:v>
      </x:c>
      <x:c r="C671" s="17" t="n">
        <x:v>2</x:v>
      </x:c>
      <x:c r="D671" s="17" t="str"/>
      <x:c r="E671" s="17" t="str">
        <x:v>工具调用</x:v>
      </x:c>
      <x:c r="F671" s="17" t="str">
        <x:v>read_finance_catalog</x:v>
      </x:c>
      <x:c r="G671" s="17" t="str"/>
      <x:c r="H671" s="17" t="str"/>
      <x:c r="I671" s="17" t="str">
        <x:v>合理操作</x:v>
      </x:c>
      <x:c r="J671" s="17" t="str">
        <x:v>是</x:v>
      </x:c>
      <x:c r="K671" s="18"/>
      <x:c r="L671" s="17" t="str">
        <x:v>否</x:v>
      </x:c>
      <x:c r="M671" s="17" t="str">
        <x:v>否</x:v>
      </x:c>
      <x:c r="N671" s="17" t="str">
        <x:v>subject_catalog_discovery</x:v>
      </x:c>
      <x:c r="O671" s="17" t="str">
        <x:v>expected_subject_catalog</x:v>
      </x:c>
      <x:c r="P671" s="17" t="str"/>
      <x:c r="Q671" s="17" t="str"/>
      <x:c r="R671" s="17" t="str"/>
      <x:c r="S671" s="17" t="str">
        <x:v>plate</x:v>
      </x:c>
      <x:c r="T671" s="17" t="str">
        <x:v>basic_info</x:v>
      </x:c>
      <x:c r="U671" s="17" t="str"/>
      <x:c r="V671" s="30"/>
      <x:c r="W671" s="17" t="str">
        <x:v>medium</x:v>
      </x:c>
    </x:row>
    <x:row r="672" ht="54" customHeight="1">
      <x:c r="A672" s="17" t="str">
        <x:v>BUS159</x:v>
      </x:c>
      <x:c r="B672" s="17" t="str">
        <x:v>比较人工智能、半导体和机器人板块最近20个交易日累计涨幅。</x:v>
      </x:c>
      <x:c r="C672" s="17" t="n">
        <x:v>3</x:v>
      </x:c>
      <x:c r="D672" s="17" t="str"/>
      <x:c r="E672" s="17" t="str">
        <x:v>工具调用</x:v>
      </x:c>
      <x:c r="F672" s="17" t="str">
        <x:v>finance_query</x:v>
      </x:c>
      <x:c r="G672" s="17" t="str">
        <x:v>r1 = plate.basic_info(filter = "plate_name like '%人工智能%' or plate_name like '%半导体%' or plate_name like '%机器人%'", limit = 10) -&gt; plate_code, plate_name</x:v>
      </x:c>
      <x:c r="H672" s="17" t="str"/>
      <x:c r="I672" s="17" t="str">
        <x:v>合理操作</x:v>
      </x:c>
      <x:c r="J672" s="17" t="str">
        <x:v>是</x:v>
      </x:c>
      <x:c r="K672" s="18"/>
      <x:c r="L672" s="17" t="str">
        <x:v>否</x:v>
      </x:c>
      <x:c r="M672" s="17" t="str">
        <x:v>否</x:v>
      </x:c>
      <x:c r="N672" s="17" t="str">
        <x:v>same_subject_dependency</x:v>
      </x:c>
      <x:c r="O672" s="17" t="str">
        <x:v>supporting_api_for_expected_subject</x:v>
      </x:c>
      <x:c r="P672" s="17" t="str">
        <x:v>session://financial_qa_33499cfa81de4d06_2854_2e6ea889c468/vars/v1</x:v>
      </x:c>
      <x:c r="Q672" s="17" t="str"/>
      <x:c r="R672" s="17" t="str">
        <x:v>plate.basic_info</x:v>
      </x:c>
      <x:c r="S672" s="17" t="str"/>
      <x:c r="T672" s="17" t="str"/>
      <x:c r="U672" s="17" t="str">
        <x:v>r1</x:v>
      </x:c>
      <x:c r="V672" s="30" t="n">
        <x:v>10</x:v>
      </x:c>
      <x:c r="W672" s="17" t="str">
        <x:v>medium</x:v>
      </x:c>
    </x:row>
    <x:row r="673" ht="54" customHeight="1">
      <x:c r="A673" s="17" t="str">
        <x:v>BUS159</x:v>
      </x:c>
      <x:c r="B673" s="17" t="str">
        <x:v>比较人工智能、半导体和机器人板块最近20个交易日累计涨幅。</x:v>
      </x:c>
      <x:c r="C673" s="17" t="n">
        <x:v>4</x:v>
      </x:c>
      <x:c r="D673" s="17" t="str"/>
      <x:c r="E673" s="17" t="str">
        <x:v>工具调用</x:v>
      </x:c>
      <x:c r="F673" s="17" t="str">
        <x:v>load_finance_result</x:v>
      </x:c>
      <x:c r="G673" s="17" t="str"/>
      <x:c r="H673" s="17" t="str"/>
      <x:c r="I673" s="17" t="str">
        <x:v>合理操作</x:v>
      </x:c>
      <x:c r="J673" s="17" t="str">
        <x:v>是</x:v>
      </x:c>
      <x:c r="K673" s="18"/>
      <x:c r="L673" s="17" t="str">
        <x:v>否</x:v>
      </x:c>
      <x:c r="M673" s="17" t="str">
        <x:v>否</x:v>
      </x:c>
      <x:c r="N673" s="17" t="str">
        <x:v>load_truncated_result</x:v>
      </x:c>
      <x:c r="O673" s="17" t="str">
        <x:v>sample_incomplete_requires_full_result</x:v>
      </x:c>
      <x:c r="P673" s="17" t="str">
        <x:v>session://financial_qa_33499cfa81de4d06_2854_2e6ea889c468/vars/v1</x:v>
      </x:c>
      <x:c r="Q673" s="17" t="str"/>
      <x:c r="R673" s="17" t="str"/>
      <x:c r="S673" s="17" t="str"/>
      <x:c r="T673" s="17" t="str"/>
      <x:c r="U673" s="17" t="str"/>
      <x:c r="V673" s="30"/>
      <x:c r="W673" s="17" t="str">
        <x:v>high</x:v>
      </x:c>
    </x:row>
    <x:row r="674" ht="54" customHeight="1">
      <x:c r="A674" s="17" t="str">
        <x:v>BUS159</x:v>
      </x:c>
      <x:c r="B674" s="17" t="str">
        <x:v>比较人工智能、半导体和机器人板块最近20个交易日累计涨幅。</x:v>
      </x:c>
      <x:c r="C674" s="17" t="n">
        <x:v>5</x:v>
      </x:c>
      <x:c r="D674" s="17" t="str"/>
      <x:c r="E674" s="17" t="str">
        <x:v>工具调用</x:v>
      </x:c>
      <x:c r="F674" s="17" t="str">
        <x:v>finance_query</x:v>
      </x:c>
      <x:c r="G674" s="17" t="str">
        <x:v>r2 = plate.quote.kd_pct_sum(k = 20, filter = "code in ('882347','883720','882292')", realtime = 0) -&gt; code, name, value as pct_20d</x:v>
      </x:c>
      <x:c r="H674" s="17" t="str"/>
      <x:c r="I674" s="17" t="str">
        <x:v>合理操作</x:v>
      </x:c>
      <x:c r="J674" s="17" t="str">
        <x:v>是</x:v>
      </x:c>
      <x:c r="K674" s="18"/>
      <x:c r="L674" s="17" t="str">
        <x:v>否</x:v>
      </x:c>
      <x:c r="M674" s="17" t="str">
        <x:v>否</x:v>
      </x:c>
      <x:c r="N674" s="17" t="str">
        <x:v>target_api_executed</x:v>
      </x:c>
      <x:c r="O674" s="17" t="str">
        <x:v>expected_dataview_coverage</x:v>
      </x:c>
      <x:c r="P674" s="17" t="str">
        <x:v>session://financial_qa_33499cfa81de4d06_2854_2e6ea889c468/vars/v2</x:v>
      </x:c>
      <x:c r="Q674" s="17" t="str"/>
      <x:c r="R674" s="17" t="str">
        <x:v>plate.quote.kd_pct_sum</x:v>
      </x:c>
      <x:c r="S674" s="17" t="str"/>
      <x:c r="T674" s="17" t="str"/>
      <x:c r="U674" s="17" t="str">
        <x:v>r2</x:v>
      </x:c>
      <x:c r="V674" s="30" t="n">
        <x:v>3</x:v>
      </x:c>
      <x:c r="W674" s="17" t="str">
        <x:v>high</x:v>
      </x:c>
    </x:row>
    <x:row r="675" ht="54" customHeight="1">
      <x:c r="A675" s="17" t="str">
        <x:v>BUS160</x:v>
      </x:c>
      <x:c r="B675" s="17" t="str">
        <x:v>统计证券板块成分股最新PE_TTM均值和PB中位数。</x:v>
      </x:c>
      <x:c r="C675" s="17" t="n">
        <x:v>1</x:v>
      </x:c>
      <x:c r="D675" s="17" t="str"/>
      <x:c r="E675" s="17" t="str">
        <x:v>工具调用</x:v>
      </x:c>
      <x:c r="F675" s="17" t="str">
        <x:v>read_finance_catalog</x:v>
      </x:c>
      <x:c r="G675" s="17" t="str"/>
      <x:c r="H675" s="17" t="str"/>
      <x:c r="I675" s="17" t="str">
        <x:v>未判定</x:v>
      </x:c>
      <x:c r="J675" s="17" t="str">
        <x:v>未判定</x:v>
      </x:c>
      <x:c r="K675" s="18"/>
      <x:c r="L675" s="17" t="str">
        <x:v>否</x:v>
      </x:c>
      <x:c r="M675" s="17" t="str">
        <x:v>否</x:v>
      </x:c>
      <x:c r="N675" s="17" t="str">
        <x:v>catalog_relevance_not_provable</x:v>
      </x:c>
      <x:c r="O675" s="17" t="str">
        <x:v>catalog_outside_expected_dataview</x:v>
      </x:c>
      <x:c r="P675" s="17" t="str"/>
      <x:c r="Q675" s="17" t="str"/>
      <x:c r="R675" s="17" t="str"/>
      <x:c r="S675" s="17" t="str">
        <x:v>industry</x:v>
      </x:c>
      <x:c r="T675" s="17" t="str">
        <x:v>constitution</x:v>
      </x:c>
      <x:c r="U675" s="17" t="str"/>
      <x:c r="V675" s="30"/>
      <x:c r="W675" s="17" t="str">
        <x:v>low</x:v>
      </x:c>
    </x:row>
    <x:row r="676" ht="54" customHeight="1">
      <x:c r="A676" s="17" t="str">
        <x:v>BUS160</x:v>
      </x:c>
      <x:c r="B676" s="17" t="str">
        <x:v>统计证券板块成分股最新PE_TTM均值和PB中位数。</x:v>
      </x:c>
      <x:c r="C676" s="17" t="n">
        <x:v>2</x:v>
      </x:c>
      <x:c r="D676" s="17" t="str"/>
      <x:c r="E676" s="17" t="str">
        <x:v>工具调用</x:v>
      </x:c>
      <x:c r="F676" s="17" t="str">
        <x:v>read_finance_catalog</x:v>
      </x:c>
      <x:c r="G676" s="17" t="str"/>
      <x:c r="H676" s="17" t="str"/>
      <x:c r="I676" s="17" t="str">
        <x:v>合理操作</x:v>
      </x:c>
      <x:c r="J676" s="17" t="str">
        <x:v>是</x:v>
      </x:c>
      <x:c r="K676" s="18"/>
      <x:c r="L676" s="17" t="str">
        <x:v>否</x:v>
      </x:c>
      <x:c r="M676" s="17" t="str">
        <x:v>否</x:v>
      </x:c>
      <x:c r="N676" s="17" t="str">
        <x:v>target_catalog_located</x:v>
      </x:c>
      <x:c r="O676" s="17" t="str">
        <x:v>expected_dataview_catalog</x:v>
      </x:c>
      <x:c r="P676" s="17" t="str"/>
      <x:c r="Q676" s="17" t="str"/>
      <x:c r="R676" s="17" t="str"/>
      <x:c r="S676" s="17" t="str">
        <x:v>plate</x:v>
      </x:c>
      <x:c r="T676" s="17" t="str">
        <x:v>constitution</x:v>
      </x:c>
      <x:c r="U676" s="17" t="str"/>
      <x:c r="V676" s="30"/>
      <x:c r="W676" s="17" t="str">
        <x:v>high</x:v>
      </x:c>
    </x:row>
    <x:row r="677" ht="54" customHeight="1">
      <x:c r="A677" s="17" t="str">
        <x:v>BUS160</x:v>
      </x:c>
      <x:c r="B677" s="17" t="str">
        <x:v>统计证券板块成分股最新PE_TTM均值和PB中位数。</x:v>
      </x:c>
      <x:c r="C677" s="17" t="n">
        <x:v>3</x:v>
      </x:c>
      <x:c r="D677" s="17" t="str"/>
      <x:c r="E677" s="17" t="str">
        <x:v>工具调用</x:v>
      </x:c>
      <x:c r="F677" s="17" t="str">
        <x:v>read_finance_catalog</x:v>
      </x:c>
      <x:c r="G677" s="17" t="str"/>
      <x:c r="H677" s="17" t="str"/>
      <x:c r="I677" s="17" t="str">
        <x:v>未判定</x:v>
      </x:c>
      <x:c r="J677" s="17" t="str">
        <x:v>未判定</x:v>
      </x:c>
      <x:c r="K677" s="18"/>
      <x:c r="L677" s="17" t="str">
        <x:v>否</x:v>
      </x:c>
      <x:c r="M677" s="17" t="str">
        <x:v>否</x:v>
      </x:c>
      <x:c r="N677" s="17" t="str">
        <x:v>catalog_relevance_not_provable</x:v>
      </x:c>
      <x:c r="O677" s="17" t="str">
        <x:v>catalog_outside_expected_dataview</x:v>
      </x:c>
      <x:c r="P677" s="17" t="str"/>
      <x:c r="Q677" s="17" t="str"/>
      <x:c r="R677" s="17" t="str"/>
      <x:c r="S677" s="17" t="str">
        <x:v>industry</x:v>
      </x:c>
      <x:c r="T677" s="17" t="str">
        <x:v>basic_info</x:v>
      </x:c>
      <x:c r="U677" s="17" t="str"/>
      <x:c r="V677" s="30"/>
      <x:c r="W677" s="17" t="str">
        <x:v>low</x:v>
      </x:c>
    </x:row>
    <x:row r="678" ht="54" customHeight="1">
      <x:c r="A678" s="17" t="str">
        <x:v>BUS160</x:v>
      </x:c>
      <x:c r="B678" s="17" t="str">
        <x:v>统计证券板块成分股最新PE_TTM均值和PB中位数。</x:v>
      </x:c>
      <x:c r="C678" s="17" t="n">
        <x:v>4</x:v>
      </x:c>
      <x:c r="D678" s="17" t="str"/>
      <x:c r="E678" s="17" t="str">
        <x:v>工具调用</x:v>
      </x:c>
      <x:c r="F678" s="17" t="str">
        <x:v>read_finance_catalog</x:v>
      </x:c>
      <x:c r="G678" s="17" t="str"/>
      <x:c r="H678" s="17" t="str"/>
      <x:c r="I678" s="17" t="str">
        <x:v>未判定</x:v>
      </x:c>
      <x:c r="J678" s="17" t="str">
        <x:v>未判定</x:v>
      </x:c>
      <x:c r="K678" s="18"/>
      <x:c r="L678" s="17" t="str">
        <x:v>否</x:v>
      </x:c>
      <x:c r="M678" s="17" t="str">
        <x:v>否</x:v>
      </x:c>
      <x:c r="N678" s="17" t="str">
        <x:v>catalog_relevance_not_provable</x:v>
      </x:c>
      <x:c r="O678" s="17" t="str">
        <x:v>catalog_outside_expected_dataview</x:v>
      </x:c>
      <x:c r="P678" s="17" t="str"/>
      <x:c r="Q678" s="17" t="str"/>
      <x:c r="R678" s="17" t="str"/>
      <x:c r="S678" s="17" t="str">
        <x:v>stock</x:v>
      </x:c>
      <x:c r="T678" s="17" t="str">
        <x:v>pricevalue</x:v>
      </x:c>
      <x:c r="U678" s="17" t="str"/>
      <x:c r="V678" s="30"/>
      <x:c r="W678" s="17" t="str">
        <x:v>low</x:v>
      </x:c>
    </x:row>
    <x:row r="679" ht="54" customHeight="1">
      <x:c r="A679" s="17" t="str">
        <x:v>BUS160</x:v>
      </x:c>
      <x:c r="B679" s="17" t="str">
        <x:v>统计证券板块成分股最新PE_TTM均值和PB中位数。</x:v>
      </x:c>
      <x:c r="C679" s="17" t="n">
        <x:v>5</x:v>
      </x:c>
      <x:c r="D679" s="17" t="str"/>
      <x:c r="E679" s="17" t="str">
        <x:v>工具调用</x:v>
      </x:c>
      <x:c r="F679" s="17" t="str">
        <x:v>finance_query</x:v>
      </x:c>
      <x:c r="G679" s="17" t="str">
        <x:v>r1 = industry.basic_info(filter = "industry_name like %证券%", limit = 10) -&gt; industry_code, industry_name, level</x:v>
      </x:c>
      <x:c r="H679" s="17" t="str"/>
      <x:c r="I679" s="17" t="str">
        <x:v>合理操作</x:v>
      </x:c>
      <x:c r="J679" s="17" t="str">
        <x:v>是</x:v>
      </x:c>
      <x:c r="K679" s="18"/>
      <x:c r="L679" s="17" t="str">
        <x:v>否</x:v>
      </x:c>
      <x:c r="M679" s="17" t="str">
        <x:v>否</x:v>
      </x:c>
      <x:c r="N679" s="17" t="str">
        <x:v>cross_subject_dependency</x:v>
      </x:c>
      <x:c r="O679" s="17" t="str">
        <x:v>supporting_api_relevance_requires_semantic_review</x:v>
      </x:c>
      <x:c r="P679" s="17" t="str">
        <x:v>session://financial_qa_33499cfa81de4d06_2855_883831701f3b/vars/v1</x:v>
      </x:c>
      <x:c r="Q679" s="17" t="str"/>
      <x:c r="R679" s="17" t="str">
        <x:v>industry.basic_info</x:v>
      </x:c>
      <x:c r="S679" s="17" t="str"/>
      <x:c r="T679" s="17" t="str"/>
      <x:c r="U679" s="17" t="str">
        <x:v>r1</x:v>
      </x:c>
      <x:c r="V679" s="30" t="n">
        <x:v>10</x:v>
      </x:c>
      <x:c r="W679" s="17" t="str">
        <x:v>low</x:v>
      </x:c>
    </x:row>
    <x:row r="680" ht="54" customHeight="1">
      <x:c r="A680" s="17" t="str">
        <x:v>BUS160</x:v>
      </x:c>
      <x:c r="B680" s="17" t="str">
        <x:v>统计证券板块成分股最新PE_TTM均值和PB中位数。</x:v>
      </x:c>
      <x:c r="C680" s="17" t="n">
        <x:v>6</x:v>
      </x:c>
      <x:c r="D680" s="17" t="str"/>
      <x:c r="E680" s="17" t="str">
        <x:v>工具调用</x:v>
      </x:c>
      <x:c r="F680" s="17" t="str">
        <x:v>load_finance_result</x:v>
      </x:c>
      <x:c r="G680" s="17" t="str"/>
      <x:c r="H680" s="17" t="str"/>
      <x:c r="I680" s="17" t="str">
        <x:v>合理操作</x:v>
      </x:c>
      <x:c r="J680" s="17" t="str">
        <x:v>是</x:v>
      </x:c>
      <x:c r="K680" s="18"/>
      <x:c r="L680" s="17" t="str">
        <x:v>否</x:v>
      </x:c>
      <x:c r="M680" s="17" t="str">
        <x:v>否</x:v>
      </x:c>
      <x:c r="N680" s="17" t="str">
        <x:v>load_truncated_result</x:v>
      </x:c>
      <x:c r="O680" s="17" t="str">
        <x:v>sample_incomplete_requires_full_result</x:v>
      </x:c>
      <x:c r="P680" s="17" t="str">
        <x:v>session://financial_qa_33499cfa81de4d06_2855_883831701f3b/vars/v1</x:v>
      </x:c>
      <x:c r="Q680" s="17" t="str"/>
      <x:c r="R680" s="17" t="str"/>
      <x:c r="S680" s="17" t="str"/>
      <x:c r="T680" s="17" t="str"/>
      <x:c r="U680" s="17" t="str"/>
      <x:c r="V680" s="30"/>
      <x:c r="W680" s="17" t="str">
        <x:v>high</x:v>
      </x:c>
    </x:row>
    <x:row r="681" ht="54" customHeight="1">
      <x:c r="A681" s="17" t="str">
        <x:v>BUS160</x:v>
      </x:c>
      <x:c r="B681" s="17" t="str">
        <x:v>统计证券板块成分股最新PE_TTM均值和PB中位数。</x:v>
      </x:c>
      <x:c r="C681" s="17" t="n">
        <x:v>7</x:v>
      </x:c>
      <x:c r="D681" s="17" t="str"/>
      <x:c r="E681" s="17" t="str">
        <x:v>工具调用</x:v>
      </x:c>
      <x:c r="F681" s="17" t="str">
        <x:v>finance_query</x:v>
      </x:c>
      <x:c r="G681" s="17" t="str">
        <x:v>r2 = industry.basic_info(filter = "industry_name like %非银%", limit = 20) -&gt; industry_code, industry_name, level</x:v>
      </x:c>
      <x:c r="H681" s="17" t="str"/>
      <x:c r="I681" s="17" t="str">
        <x:v>合理操作</x:v>
      </x:c>
      <x:c r="J681" s="17" t="str">
        <x:v>是</x:v>
      </x:c>
      <x:c r="K681" s="18"/>
      <x:c r="L681" s="17" t="str">
        <x:v>否</x:v>
      </x:c>
      <x:c r="M681" s="17" t="str">
        <x:v>否</x:v>
      </x:c>
      <x:c r="N681" s="17" t="str">
        <x:v>cross_subject_dependency</x:v>
      </x:c>
      <x:c r="O681" s="17" t="str">
        <x:v>supporting_api_relevance_requires_semantic_review</x:v>
      </x:c>
      <x:c r="P681" s="17" t="str">
        <x:v>session://financial_qa_33499cfa81de4d06_2855_883831701f3b/vars/v2</x:v>
      </x:c>
      <x:c r="Q681" s="17" t="str"/>
      <x:c r="R681" s="17" t="str">
        <x:v>industry.basic_info</x:v>
      </x:c>
      <x:c r="S681" s="17" t="str"/>
      <x:c r="T681" s="17" t="str"/>
      <x:c r="U681" s="17" t="str">
        <x:v>r2</x:v>
      </x:c>
      <x:c r="V681" s="30" t="n">
        <x:v>20</x:v>
      </x:c>
      <x:c r="W681" s="17" t="str">
        <x:v>low</x:v>
      </x:c>
    </x:row>
    <x:row r="682" ht="54" customHeight="1">
      <x:c r="A682" s="17" t="str">
        <x:v>BUS160</x:v>
      </x:c>
      <x:c r="B682" s="17" t="str">
        <x:v>统计证券板块成分股最新PE_TTM均值和PB中位数。</x:v>
      </x:c>
      <x:c r="C682" s="17" t="n">
        <x:v>8</x:v>
      </x:c>
      <x:c r="D682" s="17" t="str"/>
      <x:c r="E682" s="17" t="str">
        <x:v>工具调用</x:v>
      </x:c>
      <x:c r="F682" s="17" t="str">
        <x:v>load_finance_result</x:v>
      </x:c>
      <x:c r="G682" s="17" t="str"/>
      <x:c r="H682" s="17" t="str"/>
      <x:c r="I682" s="17" t="str">
        <x:v>合理操作</x:v>
      </x:c>
      <x:c r="J682" s="17" t="str">
        <x:v>是</x:v>
      </x:c>
      <x:c r="K682" s="18"/>
      <x:c r="L682" s="17" t="str">
        <x:v>否</x:v>
      </x:c>
      <x:c r="M682" s="17" t="str">
        <x:v>否</x:v>
      </x:c>
      <x:c r="N682" s="17" t="str">
        <x:v>load_truncated_result</x:v>
      </x:c>
      <x:c r="O682" s="17" t="str">
        <x:v>sample_incomplete_requires_full_result</x:v>
      </x:c>
      <x:c r="P682" s="17" t="str">
        <x:v>session://financial_qa_33499cfa81de4d06_2855_883831701f3b/vars/v2</x:v>
      </x:c>
      <x:c r="Q682" s="17" t="str"/>
      <x:c r="R682" s="17" t="str"/>
      <x:c r="S682" s="17" t="str"/>
      <x:c r="T682" s="17" t="str"/>
      <x:c r="U682" s="17" t="str"/>
      <x:c r="V682" s="30"/>
      <x:c r="W682" s="17" t="str">
        <x:v>high</x:v>
      </x:c>
    </x:row>
    <x:row r="683" ht="54" customHeight="1">
      <x:c r="A683" s="17" t="str">
        <x:v>BUS160</x:v>
      </x:c>
      <x:c r="B683" s="17" t="str">
        <x:v>统计证券板块成分股最新PE_TTM均值和PB中位数。</x:v>
      </x:c>
      <x:c r="C683" s="17" t="n">
        <x:v>9</x:v>
      </x:c>
      <x:c r="D683" s="17" t="str"/>
      <x:c r="E683" s="17" t="str">
        <x:v>工具调用</x:v>
      </x:c>
      <x:c r="F683" s="17" t="str">
        <x:v>read_finance_catalog</x:v>
      </x:c>
      <x:c r="G683" s="17" t="str"/>
      <x:c r="H683" s="17" t="str"/>
      <x:c r="I683" s="17" t="str">
        <x:v>合理操作</x:v>
      </x:c>
      <x:c r="J683" s="17" t="str">
        <x:v>是</x:v>
      </x:c>
      <x:c r="K683" s="18"/>
      <x:c r="L683" s="17" t="str">
        <x:v>否</x:v>
      </x:c>
      <x:c r="M683" s="17" t="str">
        <x:v>否</x:v>
      </x:c>
      <x:c r="N683" s="17" t="str">
        <x:v>subject_catalog_discovery</x:v>
      </x:c>
      <x:c r="O683" s="17" t="str">
        <x:v>expected_subject_catalog</x:v>
      </x:c>
      <x:c r="P683" s="17" t="str"/>
      <x:c r="Q683" s="17" t="str"/>
      <x:c r="R683" s="17" t="str"/>
      <x:c r="S683" s="17" t="str">
        <x:v>plate</x:v>
      </x:c>
      <x:c r="T683" s="17" t="str">
        <x:v>basic_info</x:v>
      </x:c>
      <x:c r="U683" s="17" t="str"/>
      <x:c r="V683" s="30"/>
      <x:c r="W683" s="17" t="str">
        <x:v>medium</x:v>
      </x:c>
    </x:row>
    <x:row r="684" ht="54" customHeight="1">
      <x:c r="A684" s="17" t="str">
        <x:v>BUS160</x:v>
      </x:c>
      <x:c r="B684" s="17" t="str">
        <x:v>统计证券板块成分股最新PE_TTM均值和PB中位数。</x:v>
      </x:c>
      <x:c r="C684" s="17" t="n">
        <x:v>10</x:v>
      </x:c>
      <x:c r="D684" s="17" t="str"/>
      <x:c r="E684" s="17" t="str">
        <x:v>工具调用</x:v>
      </x:c>
      <x:c r="F684" s="17" t="str">
        <x:v>finance_query</x:v>
      </x:c>
      <x:c r="G684" s="17" t="str">
        <x:v>r3 = plate.basic_info(filter = "plate_name = 证券", limit = 10) -&gt; plate_code, plate_name</x:v>
      </x:c>
      <x:c r="H684" s="17" t="str"/>
      <x:c r="I684" s="17" t="str">
        <x:v>合理操作</x:v>
      </x:c>
      <x:c r="J684" s="17" t="str">
        <x:v>是</x:v>
      </x:c>
      <x:c r="K684" s="18"/>
      <x:c r="L684" s="17" t="str">
        <x:v>否</x:v>
      </x:c>
      <x:c r="M684" s="17" t="str">
        <x:v>否</x:v>
      </x:c>
      <x:c r="N684" s="17" t="str">
        <x:v>same_subject_dependency</x:v>
      </x:c>
      <x:c r="O684" s="17" t="str">
        <x:v>supporting_api_for_expected_subject</x:v>
      </x:c>
      <x:c r="P684" s="17" t="str">
        <x:v>session://financial_qa_33499cfa81de4d06_2855_883831701f3b/vars/v3</x:v>
      </x:c>
      <x:c r="Q684" s="17" t="str"/>
      <x:c r="R684" s="17" t="str">
        <x:v>plate.basic_info</x:v>
      </x:c>
      <x:c r="S684" s="17" t="str"/>
      <x:c r="T684" s="17" t="str"/>
      <x:c r="U684" s="17" t="str">
        <x:v>r3</x:v>
      </x:c>
      <x:c r="V684" s="30" t="n">
        <x:v>1</x:v>
      </x:c>
      <x:c r="W684" s="17" t="str">
        <x:v>medium</x:v>
      </x:c>
    </x:row>
    <x:row r="685" ht="54" customHeight="1">
      <x:c r="A685" s="17" t="str">
        <x:v>BUS160</x:v>
      </x:c>
      <x:c r="B685" s="17" t="str">
        <x:v>统计证券板块成分股最新PE_TTM均值和PB中位数。</x:v>
      </x:c>
      <x:c r="C685" s="17" t="n">
        <x:v>11</x:v>
      </x:c>
      <x:c r="D685" s="17" t="str"/>
      <x:c r="E685" s="17" t="str">
        <x:v>工具调用</x:v>
      </x:c>
      <x:c r="F685" s="17" t="str">
        <x:v>finance_query</x:v>
      </x:c>
      <x:c r="G685" s="17" t="str">
        <x:v>r4 = plate.constitution.agg(filter = "plate_code = 884162", agg = avg(stock.pricevalue.pe_ttm), group_by = "plate_code, plate_name", realtime = 0) -&gt; plate_code, plate_name, avg_pe_ttm</x:v>
      </x:c>
      <x:c r="H685" s="17" t="str"/>
      <x:c r="I685" s="17" t="str">
        <x:v>设计浪费</x:v>
      </x:c>
      <x:c r="J685" s="17" t="str">
        <x:v>否</x:v>
      </x:c>
      <x:c r="K685" s="18"/>
      <x:c r="L685" s="17" t="str">
        <x:v>否</x:v>
      </x:c>
      <x:c r="M685" s="17" t="str">
        <x:v>否</x:v>
      </x:c>
      <x:c r="N685" s="17" t="str">
        <x:v>execution_error</x:v>
      </x:c>
      <x:c r="O685" s="17" t="str">
        <x:v>query_execution_error</x:v>
      </x:c>
      <x:c r="P685" s="17" t="str"/>
      <x:c r="Q685" s="17" t="str"/>
      <x:c r="R685" s="17" t="str">
        <x:v>plate.constitution.agg</x:v>
      </x:c>
      <x:c r="S685" s="17" t="str"/>
      <x:c r="T685" s="17" t="str"/>
      <x:c r="U685" s="17" t="str">
        <x:v>r4</x:v>
      </x:c>
      <x:c r="V685" s="30"/>
      <x:c r="W685" s="17" t="str">
        <x:v>high</x:v>
      </x:c>
    </x:row>
    <x:row r="686" ht="54" customHeight="1">
      <x:c r="A686" s="17" t="str">
        <x:v>BUS160</x:v>
      </x:c>
      <x:c r="B686" s="17" t="str">
        <x:v>统计证券板块成分股最新PE_TTM均值和PB中位数。</x:v>
      </x:c>
      <x:c r="C686" s="17" t="n">
        <x:v>12</x:v>
      </x:c>
      <x:c r="D686" s="17" t="str"/>
      <x:c r="E686" s="17" t="str">
        <x:v>工具调用</x:v>
      </x:c>
      <x:c r="F686" s="17" t="str">
        <x:v>read_finance_catalog</x:v>
      </x:c>
      <x:c r="G686" s="17" t="str"/>
      <x:c r="H686" s="17" t="str"/>
      <x:c r="I686" s="17" t="str">
        <x:v>未判定</x:v>
      </x:c>
      <x:c r="J686" s="17" t="str">
        <x:v>未判定</x:v>
      </x:c>
      <x:c r="K686" s="18"/>
      <x:c r="L686" s="17" t="str">
        <x:v>否</x:v>
      </x:c>
      <x:c r="M686" s="17" t="str">
        <x:v>否</x:v>
      </x:c>
      <x:c r="N686" s="17" t="str">
        <x:v>catalog_relevance_not_provable</x:v>
      </x:c>
      <x:c r="O686" s="17" t="str">
        <x:v>catalog_outside_expected_dataview</x:v>
      </x:c>
      <x:c r="P686" s="17" t="str"/>
      <x:c r="Q686" s="17" t="str"/>
      <x:c r="R686" s="17" t="str"/>
      <x:c r="S686" s="17" t="str">
        <x:v>stock</x:v>
      </x:c>
      <x:c r="T686" s="17" t="str">
        <x:v>quote</x:v>
      </x:c>
      <x:c r="U686" s="17" t="str"/>
      <x:c r="V686" s="30"/>
      <x:c r="W686" s="17" t="str">
        <x:v>low</x:v>
      </x:c>
    </x:row>
    <x:row r="687" ht="54" customHeight="1">
      <x:c r="A687" s="17" t="str">
        <x:v>BUS160</x:v>
      </x:c>
      <x:c r="B687" s="17" t="str">
        <x:v>统计证券板块成分股最新PE_TTM均值和PB中位数。</x:v>
      </x:c>
      <x:c r="C687" s="17" t="n">
        <x:v>13</x:v>
      </x:c>
      <x:c r="D687" s="17" t="str"/>
      <x:c r="E687" s="17" t="str">
        <x:v>工具调用</x:v>
      </x:c>
      <x:c r="F687" s="17" t="str">
        <x:v>finance_query</x:v>
      </x:c>
      <x:c r="G687" s="17" t="str">
        <x:v>r4 = plate.constitution(filter = "plate_code = 884162", limit = -1) -&gt; plate_code, plate_name, stock_code, stock_name</x:v>
      </x:c>
      <x:c r="H687" s="17" t="str"/>
      <x:c r="I687" s="17" t="str">
        <x:v>合理操作</x:v>
      </x:c>
      <x:c r="J687" s="17" t="str">
        <x:v>是</x:v>
      </x:c>
      <x:c r="K687" s="18"/>
      <x:c r="L687" s="17" t="str">
        <x:v>否</x:v>
      </x:c>
      <x:c r="M687" s="17" t="str">
        <x:v>否</x:v>
      </x:c>
      <x:c r="N687" s="17" t="str">
        <x:v>target_api_executed</x:v>
      </x:c>
      <x:c r="O687" s="17" t="str">
        <x:v>expected_dataview_coverage</x:v>
      </x:c>
      <x:c r="P687" s="17" t="str">
        <x:v>session://financial_qa_33499cfa81de4d06_2855_883831701f3b/vars/v4</x:v>
      </x:c>
      <x:c r="Q687" s="17" t="str"/>
      <x:c r="R687" s="17" t="str">
        <x:v>plate.constitution</x:v>
      </x:c>
      <x:c r="S687" s="17" t="str"/>
      <x:c r="T687" s="17" t="str"/>
      <x:c r="U687" s="17" t="str">
        <x:v>r4</x:v>
      </x:c>
      <x:c r="V687" s="30" t="n">
        <x:v>59</x:v>
      </x:c>
      <x:c r="W687" s="17" t="str">
        <x:v>high</x:v>
      </x:c>
    </x:row>
    <x:row r="688" ht="54" customHeight="1">
      <x:c r="A688" s="17" t="str">
        <x:v>BUS160</x:v>
      </x:c>
      <x:c r="B688" s="17" t="str">
        <x:v>统计证券板块成分股最新PE_TTM均值和PB中位数。</x:v>
      </x:c>
      <x:c r="C688" s="17" t="n">
        <x:v>14</x:v>
      </x:c>
      <x:c r="D688" s="17" t="str"/>
      <x:c r="E688" s="17" t="str">
        <x:v>工具调用</x:v>
      </x:c>
      <x:c r="F688" s="17" t="str">
        <x:v>finance_query</x:v>
      </x:c>
      <x:c r="G688" s="17" t="str">
        <x:v>r5 = stock.pricevalue(filter = "code in r4.stock_code", limit = -1, realtime = 0) -&gt; code, name, pe_ttm, pb</x:v>
      </x:c>
      <x:c r="H688" s="17" t="str"/>
      <x:c r="I688" s="17" t="str">
        <x:v>合理操作</x:v>
      </x:c>
      <x:c r="J688" s="17" t="str">
        <x:v>是</x:v>
      </x:c>
      <x:c r="K688" s="18"/>
      <x:c r="L688" s="17" t="str">
        <x:v>否</x:v>
      </x:c>
      <x:c r="M688" s="17" t="str">
        <x:v>否</x:v>
      </x:c>
      <x:c r="N688" s="17" t="str">
        <x:v>cross_subject_dependency</x:v>
      </x:c>
      <x:c r="O688" s="17" t="str">
        <x:v>supporting_api_relevance_requires_semantic_review</x:v>
      </x:c>
      <x:c r="P688" s="17" t="str">
        <x:v>session://financial_qa_33499cfa81de4d06_2855_883831701f3b/vars/v5</x:v>
      </x:c>
      <x:c r="Q688" s="17" t="str"/>
      <x:c r="R688" s="17" t="str">
        <x:v>stock.pricevalue</x:v>
      </x:c>
      <x:c r="S688" s="17" t="str"/>
      <x:c r="T688" s="17" t="str"/>
      <x:c r="U688" s="17" t="str">
        <x:v>r5</x:v>
      </x:c>
      <x:c r="V688" s="30" t="n">
        <x:v>59</x:v>
      </x:c>
      <x:c r="W688" s="17" t="str">
        <x:v>low</x:v>
      </x:c>
    </x:row>
    <x:row r="689" ht="54" customHeight="1">
      <x:c r="A689" s="17" t="str">
        <x:v>BUS160</x:v>
      </x:c>
      <x:c r="B689" s="17" t="str">
        <x:v>统计证券板块成分股最新PE_TTM均值和PB中位数。</x:v>
      </x:c>
      <x:c r="C689" s="17" t="n">
        <x:v>15</x:v>
      </x:c>
      <x:c r="D689" s="17" t="str"/>
      <x:c r="E689" s="17" t="str">
        <x:v>工具调用</x:v>
      </x:c>
      <x:c r="F689" s="17" t="str">
        <x:v>load_finance_result</x:v>
      </x:c>
      <x:c r="G689" s="17" t="str"/>
      <x:c r="H689" s="17" t="str"/>
      <x:c r="I689" s="17" t="str">
        <x:v>合理操作</x:v>
      </x:c>
      <x:c r="J689" s="17" t="str">
        <x:v>是</x:v>
      </x:c>
      <x:c r="K689" s="18"/>
      <x:c r="L689" s="17" t="str">
        <x:v>否</x:v>
      </x:c>
      <x:c r="M689" s="17" t="str">
        <x:v>否</x:v>
      </x:c>
      <x:c r="N689" s="17" t="str">
        <x:v>load_truncated_result</x:v>
      </x:c>
      <x:c r="O689" s="17" t="str">
        <x:v>sample_incomplete_requires_full_result</x:v>
      </x:c>
      <x:c r="P689" s="17" t="str">
        <x:v>session://financial_qa_33499cfa81de4d06_2855_883831701f3b/vars/v5</x:v>
      </x:c>
      <x:c r="Q689" s="17" t="str"/>
      <x:c r="R689" s="17" t="str"/>
      <x:c r="S689" s="17" t="str"/>
      <x:c r="T689" s="17" t="str"/>
      <x:c r="U689" s="17" t="str"/>
      <x:c r="V689" s="30"/>
      <x:c r="W689" s="17" t="str">
        <x:v>high</x:v>
      </x:c>
    </x:row>
    <x:row r="690" ht="54" customHeight="1">
      <x:c r="A690" s="17" t="str">
        <x:v>BUS161</x:v>
      </x:c>
      <x:c r="B690" s="17" t="str">
        <x:v>同时查询人工智能板块当前涨跌幅、主力净流入和前十大成分股。</x:v>
      </x:c>
      <x:c r="C690" s="17" t="n">
        <x:v>1</x:v>
      </x:c>
      <x:c r="D690" s="17" t="str"/>
      <x:c r="E690" s="17" t="str">
        <x:v>工具调用</x:v>
      </x:c>
      <x:c r="F690" s="17" t="str">
        <x:v>read_finance_catalog</x:v>
      </x:c>
      <x:c r="G690" s="17" t="str"/>
      <x:c r="H690" s="17" t="str"/>
      <x:c r="I690" s="17" t="str">
        <x:v>合理操作</x:v>
      </x:c>
      <x:c r="J690" s="17" t="str">
        <x:v>是</x:v>
      </x:c>
      <x:c r="K690" s="18"/>
      <x:c r="L690" s="17" t="str">
        <x:v>否</x:v>
      </x:c>
      <x:c r="M690" s="17" t="str">
        <x:v>否</x:v>
      </x:c>
      <x:c r="N690" s="17" t="str">
        <x:v>target_catalog_located</x:v>
      </x:c>
      <x:c r="O690" s="17" t="str">
        <x:v>expected_dataview_catalog</x:v>
      </x:c>
      <x:c r="P690" s="17" t="str"/>
      <x:c r="Q690" s="17" t="str"/>
      <x:c r="R690" s="17" t="str"/>
      <x:c r="S690" s="17" t="str">
        <x:v>plate</x:v>
      </x:c>
      <x:c r="T690" s="17" t="str">
        <x:v>quote</x:v>
      </x:c>
      <x:c r="U690" s="17" t="str"/>
      <x:c r="V690" s="30"/>
      <x:c r="W690" s="17" t="str">
        <x:v>high</x:v>
      </x:c>
    </x:row>
    <x:row r="691" ht="54" customHeight="1">
      <x:c r="A691" s="17" t="str">
        <x:v>BUS161</x:v>
      </x:c>
      <x:c r="B691" s="17" t="str">
        <x:v>同时查询人工智能板块当前涨跌幅、主力净流入和前十大成分股。</x:v>
      </x:c>
      <x:c r="C691" s="17" t="n">
        <x:v>2</x:v>
      </x:c>
      <x:c r="D691" s="17" t="str"/>
      <x:c r="E691" s="17" t="str">
        <x:v>工具调用</x:v>
      </x:c>
      <x:c r="F691" s="17" t="str">
        <x:v>read_finance_catalog</x:v>
      </x:c>
      <x:c r="G691" s="17" t="str"/>
      <x:c r="H691" s="17" t="str"/>
      <x:c r="I691" s="17" t="str">
        <x:v>合理操作</x:v>
      </x:c>
      <x:c r="J691" s="17" t="str">
        <x:v>是</x:v>
      </x:c>
      <x:c r="K691" s="18"/>
      <x:c r="L691" s="17" t="str">
        <x:v>否</x:v>
      </x:c>
      <x:c r="M691" s="17" t="str">
        <x:v>否</x:v>
      </x:c>
      <x:c r="N691" s="17" t="str">
        <x:v>target_catalog_located</x:v>
      </x:c>
      <x:c r="O691" s="17" t="str">
        <x:v>expected_dataview_catalog</x:v>
      </x:c>
      <x:c r="P691" s="17" t="str"/>
      <x:c r="Q691" s="17" t="str"/>
      <x:c r="R691" s="17" t="str"/>
      <x:c r="S691" s="17" t="str">
        <x:v>plate</x:v>
      </x:c>
      <x:c r="T691" s="17" t="str">
        <x:v>moneyflow</x:v>
      </x:c>
      <x:c r="U691" s="17" t="str"/>
      <x:c r="V691" s="30"/>
      <x:c r="W691" s="17" t="str">
        <x:v>high</x:v>
      </x:c>
    </x:row>
    <x:row r="692" ht="54" customHeight="1">
      <x:c r="A692" s="17" t="str">
        <x:v>BUS161</x:v>
      </x:c>
      <x:c r="B692" s="17" t="str">
        <x:v>同时查询人工智能板块当前涨跌幅、主力净流入和前十大成分股。</x:v>
      </x:c>
      <x:c r="C692" s="17" t="n">
        <x:v>3</x:v>
      </x:c>
      <x:c r="D692" s="17" t="str"/>
      <x:c r="E692" s="17" t="str">
        <x:v>工具调用</x:v>
      </x:c>
      <x:c r="F692" s="17" t="str">
        <x:v>read_finance_catalog</x:v>
      </x:c>
      <x:c r="G692" s="17" t="str"/>
      <x:c r="H692" s="17" t="str"/>
      <x:c r="I692" s="17" t="str">
        <x:v>合理操作</x:v>
      </x:c>
      <x:c r="J692" s="17" t="str">
        <x:v>是</x:v>
      </x:c>
      <x:c r="K692" s="18"/>
      <x:c r="L692" s="17" t="str">
        <x:v>否</x:v>
      </x:c>
      <x:c r="M692" s="17" t="str">
        <x:v>否</x:v>
      </x:c>
      <x:c r="N692" s="17" t="str">
        <x:v>target_catalog_located</x:v>
      </x:c>
      <x:c r="O692" s="17" t="str">
        <x:v>expected_dataview_catalog</x:v>
      </x:c>
      <x:c r="P692" s="17" t="str"/>
      <x:c r="Q692" s="17" t="str"/>
      <x:c r="R692" s="17" t="str"/>
      <x:c r="S692" s="17" t="str">
        <x:v>plate</x:v>
      </x:c>
      <x:c r="T692" s="17" t="str">
        <x:v>constitution</x:v>
      </x:c>
      <x:c r="U692" s="17" t="str"/>
      <x:c r="V692" s="30"/>
      <x:c r="W692" s="17" t="str">
        <x:v>high</x:v>
      </x:c>
    </x:row>
    <x:row r="693" ht="54" customHeight="1">
      <x:c r="A693" s="17" t="str">
        <x:v>BUS161</x:v>
      </x:c>
      <x:c r="B693" s="17" t="str">
        <x:v>同时查询人工智能板块当前涨跌幅、主力净流入和前十大成分股。</x:v>
      </x:c>
      <x:c r="C693" s="17" t="n">
        <x:v>4</x:v>
      </x:c>
      <x:c r="D693" s="17" t="str"/>
      <x:c r="E693" s="17" t="str">
        <x:v>工具调用</x:v>
      </x:c>
      <x:c r="F693" s="17" t="str">
        <x:v>read_finance_catalog</x:v>
      </x:c>
      <x:c r="G693" s="17" t="str"/>
      <x:c r="H693" s="17" t="str"/>
      <x:c r="I693" s="17" t="str">
        <x:v>合理操作</x:v>
      </x:c>
      <x:c r="J693" s="17" t="str">
        <x:v>是</x:v>
      </x:c>
      <x:c r="K693" s="18"/>
      <x:c r="L693" s="17" t="str">
        <x:v>否</x:v>
      </x:c>
      <x:c r="M693" s="17" t="str">
        <x:v>否</x:v>
      </x:c>
      <x:c r="N693" s="17" t="str">
        <x:v>subject_catalog_discovery</x:v>
      </x:c>
      <x:c r="O693" s="17" t="str">
        <x:v>expected_subject_catalog</x:v>
      </x:c>
      <x:c r="P693" s="17" t="str"/>
      <x:c r="Q693" s="17" t="str"/>
      <x:c r="R693" s="17" t="str"/>
      <x:c r="S693" s="17" t="str">
        <x:v>plate</x:v>
      </x:c>
      <x:c r="T693" s="17" t="str">
        <x:v>basic_info</x:v>
      </x:c>
      <x:c r="U693" s="17" t="str"/>
      <x:c r="V693" s="30"/>
      <x:c r="W693" s="17" t="str">
        <x:v>medium</x:v>
      </x:c>
    </x:row>
    <x:row r="694" ht="54" customHeight="1">
      <x:c r="A694" s="17" t="str">
        <x:v>BUS161</x:v>
      </x:c>
      <x:c r="B694" s="17" t="str">
        <x:v>同时查询人工智能板块当前涨跌幅、主力净流入和前十大成分股。</x:v>
      </x:c>
      <x:c r="C694" s="17" t="n">
        <x:v>5</x:v>
      </x:c>
      <x:c r="D694" s="17" t="str"/>
      <x:c r="E694" s="17" t="str">
        <x:v>工具调用</x:v>
      </x:c>
      <x:c r="F694" s="17" t="str">
        <x:v>finance_query</x:v>
      </x:c>
      <x:c r="G694" s="17" t="str">
        <x:v>r1 = plate.basic_info(filter = "plate_name = 人工智能", limit = 10) -&gt; plate_code, plate_name</x:v>
      </x:c>
      <x:c r="H694" s="17" t="str"/>
      <x:c r="I694" s="17" t="str">
        <x:v>合理操作</x:v>
      </x:c>
      <x:c r="J694" s="17" t="str">
        <x:v>是</x:v>
      </x:c>
      <x:c r="K694" s="18"/>
      <x:c r="L694" s="17" t="str">
        <x:v>否</x:v>
      </x:c>
      <x:c r="M694" s="17" t="str">
        <x:v>否</x:v>
      </x:c>
      <x:c r="N694" s="17" t="str">
        <x:v>same_subject_dependency</x:v>
      </x:c>
      <x:c r="O694" s="17" t="str">
        <x:v>supporting_api_for_expected_subject</x:v>
      </x:c>
      <x:c r="P694" s="17" t="str">
        <x:v>session://financial_qa_33499cfa81de4d06_2856_9c56605b7e3c/vars/v1</x:v>
      </x:c>
      <x:c r="Q694" s="17" t="str"/>
      <x:c r="R694" s="17" t="str">
        <x:v>plate.basic_info</x:v>
      </x:c>
      <x:c r="S694" s="17" t="str"/>
      <x:c r="T694" s="17" t="str"/>
      <x:c r="U694" s="17" t="str">
        <x:v>r1</x:v>
      </x:c>
      <x:c r="V694" s="30" t="n">
        <x:v>1</x:v>
      </x:c>
      <x:c r="W694" s="17" t="str">
        <x:v>medium</x:v>
      </x:c>
    </x:row>
    <x:row r="695" ht="54" customHeight="1">
      <x:c r="A695" s="17" t="str">
        <x:v>BUS161</x:v>
      </x:c>
      <x:c r="B695" s="17" t="str">
        <x:v>同时查询人工智能板块当前涨跌幅、主力净流入和前十大成分股。</x:v>
      </x:c>
      <x:c r="C695" s="17" t="n">
        <x:v>6</x:v>
      </x:c>
      <x:c r="D695" s="17" t="str"/>
      <x:c r="E695" s="17" t="str">
        <x:v>工具调用</x:v>
      </x:c>
      <x:c r="F695" s="17" t="str">
        <x:v>finance_query</x:v>
      </x:c>
      <x:c r="G695" s="17" t="str">
        <x:v>r2 = plate.quote(filter = "code = 882347 and tradedate = -1", limit = 1, realtime = 0) -&gt; code, name, pct, close, differ, amount</x:v>
      </x:c>
      <x:c r="H695" s="17" t="str"/>
      <x:c r="I695" s="17" t="str">
        <x:v>合理操作</x:v>
      </x:c>
      <x:c r="J695" s="17" t="str">
        <x:v>是</x:v>
      </x:c>
      <x:c r="K695" s="18"/>
      <x:c r="L695" s="17" t="str">
        <x:v>否</x:v>
      </x:c>
      <x:c r="M695" s="17" t="str">
        <x:v>否</x:v>
      </x:c>
      <x:c r="N695" s="17" t="str">
        <x:v>target_api_executed</x:v>
      </x:c>
      <x:c r="O695" s="17" t="str">
        <x:v>expected_dataview_coverage</x:v>
      </x:c>
      <x:c r="P695" s="17" t="str">
        <x:v>session://financial_qa_33499cfa81de4d06_2856_9c56605b7e3c/vars/v2</x:v>
      </x:c>
      <x:c r="Q695" s="17" t="str"/>
      <x:c r="R695" s="17" t="str">
        <x:v>plate.quote</x:v>
      </x:c>
      <x:c r="S695" s="17" t="str"/>
      <x:c r="T695" s="17" t="str"/>
      <x:c r="U695" s="17" t="str">
        <x:v>r2</x:v>
      </x:c>
      <x:c r="V695" s="30" t="n">
        <x:v>0</x:v>
      </x:c>
      <x:c r="W695" s="17" t="str">
        <x:v>high</x:v>
      </x:c>
    </x:row>
    <x:row r="696" ht="54" customHeight="1">
      <x:c r="A696" s="17" t="str">
        <x:v>BUS161</x:v>
      </x:c>
      <x:c r="B696" s="17" t="str">
        <x:v>同时查询人工智能板块当前涨跌幅、主力净流入和前十大成分股。</x:v>
      </x:c>
      <x:c r="C696" s="17" t="n">
        <x:v>7</x:v>
      </x:c>
      <x:c r="D696" s="17" t="str"/>
      <x:c r="E696" s="17" t="str">
        <x:v>工具调用</x:v>
      </x:c>
      <x:c r="F696" s="17" t="str">
        <x:v>finance_query</x:v>
      </x:c>
      <x:c r="G696" s="17" t="str">
        <x:v>r3 = plate.moneyflow(filter = "code = 882347 and tradedate = -1", limit = 1, realtime = 0) -&gt; code, name, main_net, main_buy, main_sell, main_ratio</x:v>
      </x:c>
      <x:c r="H696" s="17" t="str"/>
      <x:c r="I696" s="17" t="str">
        <x:v>合理操作</x:v>
      </x:c>
      <x:c r="J696" s="17" t="str">
        <x:v>是</x:v>
      </x:c>
      <x:c r="K696" s="18"/>
      <x:c r="L696" s="17" t="str">
        <x:v>否</x:v>
      </x:c>
      <x:c r="M696" s="17" t="str">
        <x:v>否</x:v>
      </x:c>
      <x:c r="N696" s="17" t="str">
        <x:v>target_api_executed</x:v>
      </x:c>
      <x:c r="O696" s="17" t="str">
        <x:v>expected_dataview_coverage</x:v>
      </x:c>
      <x:c r="P696" s="17" t="str">
        <x:v>session://financial_qa_33499cfa81de4d06_2856_9c56605b7e3c/vars/v3</x:v>
      </x:c>
      <x:c r="Q696" s="17" t="str"/>
      <x:c r="R696" s="17" t="str">
        <x:v>plate.moneyflow</x:v>
      </x:c>
      <x:c r="S696" s="17" t="str"/>
      <x:c r="T696" s="17" t="str"/>
      <x:c r="U696" s="17" t="str">
        <x:v>r3</x:v>
      </x:c>
      <x:c r="V696" s="30" t="n">
        <x:v>0</x:v>
      </x:c>
      <x:c r="W696" s="17" t="str">
        <x:v>high</x:v>
      </x:c>
    </x:row>
    <x:row r="697" ht="54" customHeight="1">
      <x:c r="A697" s="17" t="str">
        <x:v>BUS161</x:v>
      </x:c>
      <x:c r="B697" s="17" t="str">
        <x:v>同时查询人工智能板块当前涨跌幅、主力净流入和前十大成分股。</x:v>
      </x:c>
      <x:c r="C697" s="17" t="n">
        <x:v>8</x:v>
      </x:c>
      <x:c r="D697" s="17" t="str"/>
      <x:c r="E697" s="17" t="str">
        <x:v>工具调用</x:v>
      </x:c>
      <x:c r="F697" s="17" t="str">
        <x:v>finance_query</x:v>
      </x:c>
      <x:c r="G697" s="17" t="str">
        <x:v>r4 = plate.constitution(filter = "plate_code = 882347", order = "weight desc", limit = 10) -&gt; plate_code, plate_name, stock_code, stock_name, weight</x:v>
      </x:c>
      <x:c r="H697" s="17" t="str"/>
      <x:c r="I697" s="17" t="str">
        <x:v>合理操作</x:v>
      </x:c>
      <x:c r="J697" s="17" t="str">
        <x:v>是</x:v>
      </x:c>
      <x:c r="K697" s="18"/>
      <x:c r="L697" s="17" t="str">
        <x:v>否</x:v>
      </x:c>
      <x:c r="M697" s="17" t="str">
        <x:v>否</x:v>
      </x:c>
      <x:c r="N697" s="17" t="str">
        <x:v>target_api_executed</x:v>
      </x:c>
      <x:c r="O697" s="17" t="str">
        <x:v>expected_dataview_coverage</x:v>
      </x:c>
      <x:c r="P697" s="17" t="str">
        <x:v>session://financial_qa_33499cfa81de4d06_2856_9c56605b7e3c/vars/v4</x:v>
      </x:c>
      <x:c r="Q697" s="17" t="str"/>
      <x:c r="R697" s="17" t="str">
        <x:v>plate.constitution</x:v>
      </x:c>
      <x:c r="S697" s="17" t="str"/>
      <x:c r="T697" s="17" t="str"/>
      <x:c r="U697" s="17" t="str">
        <x:v>r4</x:v>
      </x:c>
      <x:c r="V697" s="30" t="n">
        <x:v>10</x:v>
      </x:c>
      <x:c r="W697" s="17" t="str">
        <x:v>high</x:v>
      </x:c>
    </x:row>
    <x:row r="698" ht="54" customHeight="1">
      <x:c r="A698" s="17" t="str">
        <x:v>BUS161</x:v>
      </x:c>
      <x:c r="B698" s="17" t="str">
        <x:v>同时查询人工智能板块当前涨跌幅、主力净流入和前十大成分股。</x:v>
      </x:c>
      <x:c r="C698" s="17" t="n">
        <x:v>9</x:v>
      </x:c>
      <x:c r="D698" s="17" t="str"/>
      <x:c r="E698" s="17" t="str">
        <x:v>工具调用</x:v>
      </x:c>
      <x:c r="F698" s="17" t="str">
        <x:v>finance_query</x:v>
      </x:c>
      <x:c r="G698" s="17" t="str">
        <x:v>r5 = plate.quote(filter = "code = 882347", limit = 1, realtime = 2) -&gt; code, name, pct, close, differ, amount</x:v>
      </x:c>
      <x:c r="H698" s="17" t="str"/>
      <x:c r="I698" s="17" t="str">
        <x:v>设计浪费</x:v>
      </x:c>
      <x:c r="J698" s="17" t="str">
        <x:v>否</x:v>
      </x:c>
      <x:c r="K698" s="18"/>
      <x:c r="L698" s="17" t="str">
        <x:v>否</x:v>
      </x:c>
      <x:c r="M698" s="17" t="str">
        <x:v>否</x:v>
      </x:c>
      <x:c r="N698" s="17" t="str">
        <x:v>requery_after_terminal_zero</x:v>
      </x:c>
      <x:c r="O698" s="17" t="str">
        <x:v>terminal_zero_requery</x:v>
      </x:c>
      <x:c r="P698" s="17" t="str">
        <x:v>session://financial_qa_33499cfa81de4d06_2856_9c56605b7e3c/vars/v5</x:v>
      </x:c>
      <x:c r="Q698" s="17" t="str"/>
      <x:c r="R698" s="17" t="str">
        <x:v>plate.quote</x:v>
      </x:c>
      <x:c r="S698" s="17" t="str"/>
      <x:c r="T698" s="17" t="str"/>
      <x:c r="U698" s="17" t="str">
        <x:v>r5</x:v>
      </x:c>
      <x:c r="V698" s="30" t="n">
        <x:v>1</x:v>
      </x:c>
      <x:c r="W698" s="17" t="str">
        <x:v>high</x:v>
      </x:c>
    </x:row>
    <x:row r="699" ht="54" customHeight="1">
      <x:c r="A699" s="17" t="str">
        <x:v>BUS161</x:v>
      </x:c>
      <x:c r="B699" s="17" t="str">
        <x:v>同时查询人工智能板块当前涨跌幅、主力净流入和前十大成分股。</x:v>
      </x:c>
      <x:c r="C699" s="17" t="n">
        <x:v>10</x:v>
      </x:c>
      <x:c r="D699" s="17" t="str"/>
      <x:c r="E699" s="17" t="str">
        <x:v>工具调用</x:v>
      </x:c>
      <x:c r="F699" s="17" t="str">
        <x:v>finance_query</x:v>
      </x:c>
      <x:c r="G699" s="17" t="str">
        <x:v>r6 = plate.moneyflow(filter = "code = 882347", limit = 1, realtime = 2) -&gt; code, name, main_net, main_buy, main_sell, main_ratio</x:v>
      </x:c>
      <x:c r="H699" s="17" t="str"/>
      <x:c r="I699" s="17" t="str">
        <x:v>设计浪费</x:v>
      </x:c>
      <x:c r="J699" s="17" t="str">
        <x:v>否</x:v>
      </x:c>
      <x:c r="K699" s="18"/>
      <x:c r="L699" s="17" t="str">
        <x:v>否</x:v>
      </x:c>
      <x:c r="M699" s="17" t="str">
        <x:v>否</x:v>
      </x:c>
      <x:c r="N699" s="17" t="str">
        <x:v>requery_after_terminal_zero</x:v>
      </x:c>
      <x:c r="O699" s="17" t="str">
        <x:v>terminal_zero_requery</x:v>
      </x:c>
      <x:c r="P699" s="17" t="str">
        <x:v>session://financial_qa_33499cfa81de4d06_2856_9c56605b7e3c/vars/v6</x:v>
      </x:c>
      <x:c r="Q699" s="17" t="str"/>
      <x:c r="R699" s="17" t="str">
        <x:v>plate.moneyflow</x:v>
      </x:c>
      <x:c r="S699" s="17" t="str"/>
      <x:c r="T699" s="17" t="str"/>
      <x:c r="U699" s="17" t="str">
        <x:v>r6</x:v>
      </x:c>
      <x:c r="V699" s="30" t="n">
        <x:v>1</x:v>
      </x:c>
      <x:c r="W699" s="17" t="str">
        <x:v>high</x:v>
      </x:c>
    </x:row>
    <x:row r="700" ht="54" customHeight="1">
      <x:c r="A700" s="17" t="str">
        <x:v>BUS161</x:v>
      </x:c>
      <x:c r="B700" s="17" t="str">
        <x:v>同时查询人工智能板块当前涨跌幅、主力净流入和前十大成分股。</x:v>
      </x:c>
      <x:c r="C700" s="17" t="n">
        <x:v>11</x:v>
      </x:c>
      <x:c r="D700" s="17" t="str"/>
      <x:c r="E700" s="17" t="str">
        <x:v>工具调用</x:v>
      </x:c>
      <x:c r="F700" s="17" t="str">
        <x:v>load_finance_result</x:v>
      </x:c>
      <x:c r="G700" s="17" t="str"/>
      <x:c r="H700" s="17" t="str"/>
      <x:c r="I700" s="17" t="str">
        <x:v>合理操作</x:v>
      </x:c>
      <x:c r="J700" s="17" t="str">
        <x:v>是</x:v>
      </x:c>
      <x:c r="K700" s="18"/>
      <x:c r="L700" s="17" t="str">
        <x:v>否</x:v>
      </x:c>
      <x:c r="M700" s="17" t="str">
        <x:v>否</x:v>
      </x:c>
      <x:c r="N700" s="17" t="str">
        <x:v>load_truncated_result</x:v>
      </x:c>
      <x:c r="O700" s="17" t="str">
        <x:v>sample_incomplete_requires_full_result</x:v>
      </x:c>
      <x:c r="P700" s="17" t="str">
        <x:v>session://financial_qa_33499cfa81de4d06_2856_9c56605b7e3c/vars/v4</x:v>
      </x:c>
      <x:c r="Q700" s="17" t="str"/>
      <x:c r="R700" s="17" t="str"/>
      <x:c r="S700" s="17" t="str"/>
      <x:c r="T700" s="17" t="str"/>
      <x:c r="U700" s="17" t="str"/>
      <x:c r="V700" s="30"/>
      <x:c r="W700" s="17" t="str">
        <x:v>high</x:v>
      </x:c>
    </x:row>
    <x:row r="701" ht="54" customHeight="1">
      <x:c r="A701" s="17" t="str">
        <x:v>BUS162</x:v>
      </x:c>
      <x:c r="B701" s="17" t="str">
        <x:v>查询半导体板块估值，并列出其成分股今天涨幅前10名。</x:v>
      </x:c>
      <x:c r="C701" s="17" t="n">
        <x:v>1</x:v>
      </x:c>
      <x:c r="D701" s="17" t="str"/>
      <x:c r="E701" s="17" t="str">
        <x:v>工具调用</x:v>
      </x:c>
      <x:c r="F701" s="17" t="str">
        <x:v>read_finance_catalog</x:v>
      </x:c>
      <x:c r="G701" s="17" t="str"/>
      <x:c r="H701" s="17" t="str"/>
      <x:c r="I701" s="17" t="str">
        <x:v>合理操作</x:v>
      </x:c>
      <x:c r="J701" s="17" t="str">
        <x:v>是</x:v>
      </x:c>
      <x:c r="K701" s="18"/>
      <x:c r="L701" s="17" t="str">
        <x:v>否</x:v>
      </x:c>
      <x:c r="M701" s="17" t="str">
        <x:v>否</x:v>
      </x:c>
      <x:c r="N701" s="17" t="str">
        <x:v>subject_catalog_discovery</x:v>
      </x:c>
      <x:c r="O701" s="17" t="str">
        <x:v>expected_subject_catalog</x:v>
      </x:c>
      <x:c r="P701" s="17" t="str"/>
      <x:c r="Q701" s="17" t="str"/>
      <x:c r="R701" s="17" t="str"/>
      <x:c r="S701" s="17" t="str">
        <x:v>plate</x:v>
      </x:c>
      <x:c r="T701" s="17" t="str">
        <x:v>basic_info</x:v>
      </x:c>
      <x:c r="U701" s="17" t="str"/>
      <x:c r="V701" s="30"/>
      <x:c r="W701" s="17" t="str">
        <x:v>medium</x:v>
      </x:c>
    </x:row>
    <x:row r="702" ht="54" customHeight="1">
      <x:c r="A702" s="17" t="str">
        <x:v>BUS162</x:v>
      </x:c>
      <x:c r="B702" s="17" t="str">
        <x:v>查询半导体板块估值，并列出其成分股今天涨幅前10名。</x:v>
      </x:c>
      <x:c r="C702" s="17" t="n">
        <x:v>2</x:v>
      </x:c>
      <x:c r="D702" s="17" t="str"/>
      <x:c r="E702" s="17" t="str">
        <x:v>工具调用</x:v>
      </x:c>
      <x:c r="F702" s="17" t="str">
        <x:v>read_finance_catalog</x:v>
      </x:c>
      <x:c r="G702" s="17" t="str"/>
      <x:c r="H702" s="17" t="str"/>
      <x:c r="I702" s="17" t="str">
        <x:v>合理操作</x:v>
      </x:c>
      <x:c r="J702" s="17" t="str">
        <x:v>是</x:v>
      </x:c>
      <x:c r="K702" s="18"/>
      <x:c r="L702" s="17" t="str">
        <x:v>否</x:v>
      </x:c>
      <x:c r="M702" s="17" t="str">
        <x:v>否</x:v>
      </x:c>
      <x:c r="N702" s="17" t="str">
        <x:v>subject_catalog_discovery</x:v>
      </x:c>
      <x:c r="O702" s="17" t="str">
        <x:v>expected_subject_catalog</x:v>
      </x:c>
      <x:c r="P702" s="17" t="str"/>
      <x:c r="Q702" s="17" t="str"/>
      <x:c r="R702" s="17" t="str"/>
      <x:c r="S702" s="17" t="str">
        <x:v>plate</x:v>
      </x:c>
      <x:c r="T702" s="17" t="str">
        <x:v>quote</x:v>
      </x:c>
      <x:c r="U702" s="17" t="str"/>
      <x:c r="V702" s="30"/>
      <x:c r="W702" s="17" t="str">
        <x:v>medium</x:v>
      </x:c>
    </x:row>
    <x:row r="703" ht="54" customHeight="1">
      <x:c r="A703" s="17" t="str">
        <x:v>BUS162</x:v>
      </x:c>
      <x:c r="B703" s="17" t="str">
        <x:v>查询半导体板块估值，并列出其成分股今天涨幅前10名。</x:v>
      </x:c>
      <x:c r="C703" s="17" t="n">
        <x:v>3</x:v>
      </x:c>
      <x:c r="D703" s="17" t="str"/>
      <x:c r="E703" s="17" t="str">
        <x:v>工具调用</x:v>
      </x:c>
      <x:c r="F703" s="17" t="str">
        <x:v>read_finance_catalog</x:v>
      </x:c>
      <x:c r="G703" s="17" t="str"/>
      <x:c r="H703" s="17" t="str"/>
      <x:c r="I703" s="17" t="str">
        <x:v>合理操作</x:v>
      </x:c>
      <x:c r="J703" s="17" t="str">
        <x:v>是</x:v>
      </x:c>
      <x:c r="K703" s="18"/>
      <x:c r="L703" s="17" t="str">
        <x:v>否</x:v>
      </x:c>
      <x:c r="M703" s="17" t="str">
        <x:v>否</x:v>
      </x:c>
      <x:c r="N703" s="17" t="str">
        <x:v>target_catalog_located</x:v>
      </x:c>
      <x:c r="O703" s="17" t="str">
        <x:v>expected_dataview_catalog</x:v>
      </x:c>
      <x:c r="P703" s="17" t="str"/>
      <x:c r="Q703" s="17" t="str"/>
      <x:c r="R703" s="17" t="str"/>
      <x:c r="S703" s="17" t="str">
        <x:v>plate</x:v>
      </x:c>
      <x:c r="T703" s="17" t="str">
        <x:v>pricevalue</x:v>
      </x:c>
      <x:c r="U703" s="17" t="str"/>
      <x:c r="V703" s="30"/>
      <x:c r="W703" s="17" t="str">
        <x:v>high</x:v>
      </x:c>
    </x:row>
    <x:row r="704" ht="54" customHeight="1">
      <x:c r="A704" s="17" t="str">
        <x:v>BUS162</x:v>
      </x:c>
      <x:c r="B704" s="17" t="str">
        <x:v>查询半导体板块估值，并列出其成分股今天涨幅前10名。</x:v>
      </x:c>
      <x:c r="C704" s="17" t="n">
        <x:v>4</x:v>
      </x:c>
      <x:c r="D704" s="17" t="str"/>
      <x:c r="E704" s="17" t="str">
        <x:v>工具调用</x:v>
      </x:c>
      <x:c r="F704" s="17" t="str">
        <x:v>read_finance_catalog</x:v>
      </x:c>
      <x:c r="G704" s="17" t="str"/>
      <x:c r="H704" s="17" t="str"/>
      <x:c r="I704" s="17" t="str">
        <x:v>合理操作</x:v>
      </x:c>
      <x:c r="J704" s="17" t="str">
        <x:v>是</x:v>
      </x:c>
      <x:c r="K704" s="18"/>
      <x:c r="L704" s="17" t="str">
        <x:v>否</x:v>
      </x:c>
      <x:c r="M704" s="17" t="str">
        <x:v>否</x:v>
      </x:c>
      <x:c r="N704" s="17" t="str">
        <x:v>target_catalog_located</x:v>
      </x:c>
      <x:c r="O704" s="17" t="str">
        <x:v>expected_dataview_catalog</x:v>
      </x:c>
      <x:c r="P704" s="17" t="str"/>
      <x:c r="Q704" s="17" t="str"/>
      <x:c r="R704" s="17" t="str"/>
      <x:c r="S704" s="17" t="str">
        <x:v>plate</x:v>
      </x:c>
      <x:c r="T704" s="17" t="str">
        <x:v>constitution</x:v>
      </x:c>
      <x:c r="U704" s="17" t="str"/>
      <x:c r="V704" s="30"/>
      <x:c r="W704" s="17" t="str">
        <x:v>high</x:v>
      </x:c>
    </x:row>
    <x:row r="705" ht="54" customHeight="1">
      <x:c r="A705" s="17" t="str">
        <x:v>BUS162</x:v>
      </x:c>
      <x:c r="B705" s="17" t="str">
        <x:v>查询半导体板块估值，并列出其成分股今天涨幅前10名。</x:v>
      </x:c>
      <x:c r="C705" s="17" t="n">
        <x:v>5</x:v>
      </x:c>
      <x:c r="D705" s="17" t="str"/>
      <x:c r="E705" s="17" t="str">
        <x:v>工具调用</x:v>
      </x:c>
      <x:c r="F705" s="17" t="str">
        <x:v>finance_query</x:v>
      </x:c>
      <x:c r="G705" s="17" t="str">
        <x:v>r1 = plate.basic_info(filter = "plate_name = '半导体'", limit = 5) -&gt; plate_code, plate_name</x:v>
      </x:c>
      <x:c r="H705" s="17" t="str"/>
      <x:c r="I705" s="17" t="str">
        <x:v>合理操作</x:v>
      </x:c>
      <x:c r="J705" s="17" t="str">
        <x:v>是</x:v>
      </x:c>
      <x:c r="K705" s="18"/>
      <x:c r="L705" s="17" t="str">
        <x:v>否</x:v>
      </x:c>
      <x:c r="M705" s="17" t="str">
        <x:v>否</x:v>
      </x:c>
      <x:c r="N705" s="17" t="str">
        <x:v>same_subject_dependency</x:v>
      </x:c>
      <x:c r="O705" s="17" t="str">
        <x:v>supporting_api_for_expected_subject</x:v>
      </x:c>
      <x:c r="P705" s="17" t="str">
        <x:v>session://financial_qa_33499cfa81de4d06_2857_2b95c3fb0d39/vars/v1</x:v>
      </x:c>
      <x:c r="Q705" s="17" t="str"/>
      <x:c r="R705" s="17" t="str">
        <x:v>plate.basic_info</x:v>
      </x:c>
      <x:c r="S705" s="17" t="str"/>
      <x:c r="T705" s="17" t="str"/>
      <x:c r="U705" s="17" t="str">
        <x:v>r1</x:v>
      </x:c>
      <x:c r="V705" s="30" t="n">
        <x:v>1</x:v>
      </x:c>
      <x:c r="W705" s="17" t="str">
        <x:v>medium</x:v>
      </x:c>
    </x:row>
    <x:row r="706" ht="54" customHeight="1">
      <x:c r="A706" s="17" t="str">
        <x:v>BUS162</x:v>
      </x:c>
      <x:c r="B706" s="17" t="str">
        <x:v>查询半导体板块估值，并列出其成分股今天涨幅前10名。</x:v>
      </x:c>
      <x:c r="C706" s="17" t="n">
        <x:v>6</x:v>
      </x:c>
      <x:c r="D706" s="17" t="str"/>
      <x:c r="E706" s="17" t="str">
        <x:v>工具调用</x:v>
      </x:c>
      <x:c r="F706" s="17" t="str">
        <x:v>finance_query</x:v>
      </x:c>
      <x:c r="G706" s="17" t="str">
        <x:v>r2 = plate.pricevalue(filter = "plate_code = 883720", limit = 1, realtime = 0) -&gt; plate_code, plate_name, tradedate, pe_ttm, pe_lyr, pb, ps</x:v>
      </x:c>
      <x:c r="H706" s="17" t="str"/>
      <x:c r="I706" s="17" t="str">
        <x:v>合理操作</x:v>
      </x:c>
      <x:c r="J706" s="17" t="str">
        <x:v>是</x:v>
      </x:c>
      <x:c r="K706" s="18"/>
      <x:c r="L706" s="17" t="str">
        <x:v>否</x:v>
      </x:c>
      <x:c r="M706" s="17" t="str">
        <x:v>否</x:v>
      </x:c>
      <x:c r="N706" s="17" t="str">
        <x:v>target_api_executed</x:v>
      </x:c>
      <x:c r="O706" s="17" t="str">
        <x:v>expected_dataview_coverage</x:v>
      </x:c>
      <x:c r="P706" s="17" t="str">
        <x:v>session://financial_qa_33499cfa81de4d06_2857_2b95c3fb0d39/vars/v2</x:v>
      </x:c>
      <x:c r="Q706" s="17" t="str"/>
      <x:c r="R706" s="17" t="str">
        <x:v>plate.pricevalue</x:v>
      </x:c>
      <x:c r="S706" s="17" t="str"/>
      <x:c r="T706" s="17" t="str"/>
      <x:c r="U706" s="17" t="str">
        <x:v>r2</x:v>
      </x:c>
      <x:c r="V706" s="30" t="n">
        <x:v>1</x:v>
      </x:c>
      <x:c r="W706" s="17" t="str">
        <x:v>high</x:v>
      </x:c>
    </x:row>
    <x:row r="707" ht="54" customHeight="1">
      <x:c r="A707" s="17" t="str">
        <x:v>BUS162</x:v>
      </x:c>
      <x:c r="B707" s="17" t="str">
        <x:v>查询半导体板块估值，并列出其成分股今天涨幅前10名。</x:v>
      </x:c>
      <x:c r="C707" s="17" t="n">
        <x:v>7</x:v>
      </x:c>
      <x:c r="D707" s="17" t="str"/>
      <x:c r="E707" s="17" t="str">
        <x:v>工具调用</x:v>
      </x:c>
      <x:c r="F707" s="17" t="str">
        <x:v>finance_query</x:v>
      </x:c>
      <x:c r="G707" s="17" t="str">
        <x:v>r3 = plate.constitution(filter = "plate_code = 883720", limit = -1) -&gt; plate_code, plate_name, stock_code, stock_name</x:v>
      </x:c>
      <x:c r="H707" s="17" t="str"/>
      <x:c r="I707" s="17" t="str">
        <x:v>合理操作</x:v>
      </x:c>
      <x:c r="J707" s="17" t="str">
        <x:v>是</x:v>
      </x:c>
      <x:c r="K707" s="18"/>
      <x:c r="L707" s="17" t="str">
        <x:v>否</x:v>
      </x:c>
      <x:c r="M707" s="17" t="str">
        <x:v>否</x:v>
      </x:c>
      <x:c r="N707" s="17" t="str">
        <x:v>target_api_executed</x:v>
      </x:c>
      <x:c r="O707" s="17" t="str">
        <x:v>expected_dataview_coverage</x:v>
      </x:c>
      <x:c r="P707" s="17" t="str">
        <x:v>session://financial_qa_33499cfa81de4d06_2857_2b95c3fb0d39/vars/v3</x:v>
      </x:c>
      <x:c r="Q707" s="17" t="str"/>
      <x:c r="R707" s="17" t="str">
        <x:v>plate.constitution</x:v>
      </x:c>
      <x:c r="S707" s="17" t="str"/>
      <x:c r="T707" s="17" t="str"/>
      <x:c r="U707" s="17" t="str">
        <x:v>r3</x:v>
      </x:c>
      <x:c r="V707" s="30" t="n">
        <x:v>100</x:v>
      </x:c>
      <x:c r="W707" s="17" t="str">
        <x:v>high</x:v>
      </x:c>
    </x:row>
    <x:row r="708" ht="54" customHeight="1">
      <x:c r="A708" s="17" t="str">
        <x:v>BUS162</x:v>
      </x:c>
      <x:c r="B708" s="17" t="str">
        <x:v>查询半导体板块估值，并列出其成分股今天涨幅前10名。</x:v>
      </x:c>
      <x:c r="C708" s="17" t="n">
        <x:v>8</x:v>
      </x:c>
      <x:c r="D708" s="17" t="str"/>
      <x:c r="E708" s="17" t="str">
        <x:v>工具调用</x:v>
      </x:c>
      <x:c r="F708" s="17" t="str">
        <x:v>finance_query</x:v>
      </x:c>
      <x:c r="G708" s="17" t="str">
        <x:v>r4 = stock.quote(filter = "code in r2.stock_code", order = "pct desc", limit = 10, realtime = 0) -&gt; code, name, tradedate, close, pct, amount</x:v>
      </x:c>
      <x:c r="H708" s="17" t="str"/>
      <x:c r="I708" s="17" t="str">
        <x:v>设计浪费</x:v>
      </x:c>
      <x:c r="J708" s="17" t="str">
        <x:v>否</x:v>
      </x:c>
      <x:c r="K708" s="18"/>
      <x:c r="L708" s="17" t="str">
        <x:v>否</x:v>
      </x:c>
      <x:c r="M708" s="17" t="str">
        <x:v>否</x:v>
      </x:c>
      <x:c r="N708" s="17" t="str">
        <x:v>validation_error</x:v>
      </x:c>
      <x:c r="O708" s="17" t="str">
        <x:v>query_validation_error</x:v>
      </x:c>
      <x:c r="P708" s="17" t="str"/>
      <x:c r="Q708" s="17" t="str"/>
      <x:c r="R708" s="17" t="str">
        <x:v>stock.quote</x:v>
      </x:c>
      <x:c r="S708" s="17" t="str"/>
      <x:c r="T708" s="17" t="str"/>
      <x:c r="U708" s="17" t="str">
        <x:v>r4</x:v>
      </x:c>
      <x:c r="V708" s="30"/>
      <x:c r="W708" s="17" t="str">
        <x:v>high</x:v>
      </x:c>
    </x:row>
    <x:row r="709" ht="54" customHeight="1">
      <x:c r="A709" s="17" t="str">
        <x:v>BUS162</x:v>
      </x:c>
      <x:c r="B709" s="17" t="str">
        <x:v>查询半导体板块估值，并列出其成分股今天涨幅前10名。</x:v>
      </x:c>
      <x:c r="C709" s="17" t="n">
        <x:v>9</x:v>
      </x:c>
      <x:c r="D709" s="17" t="str"/>
      <x:c r="E709" s="17" t="str">
        <x:v>工具调用</x:v>
      </x:c>
      <x:c r="F709" s="17" t="str">
        <x:v>finance_query</x:v>
      </x:c>
      <x:c r="G709" s="17" t="str">
        <x:v>result = stock.quote(filter = "code in step2.stock_code", order = "pct desc", limit = 10, realtime = 0) -&gt; code, name, tradedate, close, pct, amount</x:v>
      </x:c>
      <x:c r="H709" s="17" t="str"/>
      <x:c r="I709" s="17" t="str">
        <x:v>设计浪费</x:v>
      </x:c>
      <x:c r="J709" s="17" t="str">
        <x:v>否</x:v>
      </x:c>
      <x:c r="K709" s="18"/>
      <x:c r="L709" s="17" t="str">
        <x:v>否</x:v>
      </x:c>
      <x:c r="M709" s="17" t="str">
        <x:v>否</x:v>
      </x:c>
      <x:c r="N709" s="17" t="str">
        <x:v>execution_error</x:v>
      </x:c>
      <x:c r="O709" s="17" t="str">
        <x:v>query_execution_error</x:v>
      </x:c>
      <x:c r="P709" s="17" t="str"/>
      <x:c r="Q709" s="17" t="str"/>
      <x:c r="R709" s="17" t="str">
        <x:v>stock.quote</x:v>
      </x:c>
      <x:c r="S709" s="17" t="str"/>
      <x:c r="T709" s="17" t="str"/>
      <x:c r="U709" s="17" t="str"/>
      <x:c r="V709" s="30"/>
      <x:c r="W709" s="17" t="str">
        <x:v>high</x:v>
      </x:c>
    </x:row>
    <x:row r="710" ht="54" customHeight="1">
      <x:c r="A710" s="17" t="str">
        <x:v>BUS162</x:v>
      </x:c>
      <x:c r="B710" s="17" t="str">
        <x:v>查询半导体板块估值，并列出其成分股今天涨幅前10名。</x:v>
      </x:c>
      <x:c r="C710" s="17" t="n">
        <x:v>10</x:v>
      </x:c>
      <x:c r="D710" s="17" t="str"/>
      <x:c r="E710" s="17" t="str">
        <x:v>工具调用</x:v>
      </x:c>
      <x:c r="F710" s="17" t="str">
        <x:v>finance_query</x:v>
      </x:c>
      <x:c r="G710" s="17" t="str">
        <x:v>r4 = stock.quote(filter = "code in r3.stock_code", order = "pct desc", limit = 10, realtime = 0) -&gt; code, name, tradedate, close, pct, amount</x:v>
      </x:c>
      <x:c r="H710" s="17" t="str"/>
      <x:c r="I710" s="17" t="str">
        <x:v>可解释探索</x:v>
      </x:c>
      <x:c r="J710" s="17" t="str">
        <x:v>是</x:v>
      </x:c>
      <x:c r="K710" s="18"/>
      <x:c r="L710" s="17" t="str">
        <x:v>否</x:v>
      </x:c>
      <x:c r="M710" s="17" t="str">
        <x:v>否</x:v>
      </x:c>
      <x:c r="N710" s="17" t="str">
        <x:v>changed_query_after_failure</x:v>
      </x:c>
      <x:c r="O710" s="17" t="str">
        <x:v>successful_same_api_recovery</x:v>
      </x:c>
      <x:c r="P710" s="17" t="str">
        <x:v>session://financial_qa_33499cfa81de4d06_2857_2b95c3fb0d39/vars/v4</x:v>
      </x:c>
      <x:c r="Q710" s="17" t="str"/>
      <x:c r="R710" s="17" t="str">
        <x:v>stock.quote</x:v>
      </x:c>
      <x:c r="S710" s="17" t="str"/>
      <x:c r="T710" s="17" t="str"/>
      <x:c r="U710" s="17" t="str">
        <x:v>r4</x:v>
      </x:c>
      <x:c r="V710" s="30" t="n">
        <x:v>10</x:v>
      </x:c>
      <x:c r="W710" s="17" t="str">
        <x:v>medium</x:v>
      </x:c>
    </x:row>
    <x:row r="711" ht="54" customHeight="1">
      <x:c r="A711" s="17" t="str">
        <x:v>BUS162</x:v>
      </x:c>
      <x:c r="B711" s="17" t="str">
        <x:v>查询半导体板块估值，并列出其成分股今天涨幅前10名。</x:v>
      </x:c>
      <x:c r="C711" s="17" t="n">
        <x:v>11</x:v>
      </x:c>
      <x:c r="D711" s="17" t="str"/>
      <x:c r="E711" s="17" t="str">
        <x:v>工具调用</x:v>
      </x:c>
      <x:c r="F711" s="17" t="str">
        <x:v>load_finance_result</x:v>
      </x:c>
      <x:c r="G711" s="17" t="str"/>
      <x:c r="H711" s="17" t="str"/>
      <x:c r="I711" s="17" t="str">
        <x:v>合理操作</x:v>
      </x:c>
      <x:c r="J711" s="17" t="str">
        <x:v>是</x:v>
      </x:c>
      <x:c r="K711" s="18"/>
      <x:c r="L711" s="17" t="str">
        <x:v>否</x:v>
      </x:c>
      <x:c r="M711" s="17" t="str">
        <x:v>否</x:v>
      </x:c>
      <x:c r="N711" s="17" t="str">
        <x:v>load_truncated_result</x:v>
      </x:c>
      <x:c r="O711" s="17" t="str">
        <x:v>sample_incomplete_requires_full_result</x:v>
      </x:c>
      <x:c r="P711" s="17" t="str">
        <x:v>session://financial_qa_33499cfa81de4d06_2857_2b95c3fb0d39/vars/v4</x:v>
      </x:c>
      <x:c r="Q711" s="17" t="str"/>
      <x:c r="R711" s="17" t="str"/>
      <x:c r="S711" s="17" t="str"/>
      <x:c r="T711" s="17" t="str"/>
      <x:c r="U711" s="17" t="str"/>
      <x:c r="V711" s="30"/>
      <x:c r="W711" s="17" t="str">
        <x:v>high</x:v>
      </x:c>
    </x:row>
    <x:row r="712" ht="54" customHeight="1">
      <x:c r="A712" s="17" t="str">
        <x:v>BUS163</x:v>
      </x:c>
      <x:c r="B712" s="17" t="str">
        <x:v>查询新能源车板块资金流，并返回宁德时代当前行情和融资余额。</x:v>
      </x:c>
      <x:c r="C712" s="17" t="n">
        <x:v>1</x:v>
      </x:c>
      <x:c r="D712" s="17" t="str"/>
      <x:c r="E712" s="17" t="str">
        <x:v>工具调用</x:v>
      </x:c>
      <x:c r="F712" s="17" t="str">
        <x:v>read_finance_catalog</x:v>
      </x:c>
      <x:c r="G712" s="17" t="str"/>
      <x:c r="H712" s="17" t="str"/>
      <x:c r="I712" s="17" t="str">
        <x:v>合理操作</x:v>
      </x:c>
      <x:c r="J712" s="17" t="str">
        <x:v>是</x:v>
      </x:c>
      <x:c r="K712" s="18"/>
      <x:c r="L712" s="17" t="str">
        <x:v>否</x:v>
      </x:c>
      <x:c r="M712" s="17" t="str">
        <x:v>否</x:v>
      </x:c>
      <x:c r="N712" s="17" t="str">
        <x:v>target_catalog_located</x:v>
      </x:c>
      <x:c r="O712" s="17" t="str">
        <x:v>expected_dataview_catalog</x:v>
      </x:c>
      <x:c r="P712" s="17" t="str"/>
      <x:c r="Q712" s="17" t="str"/>
      <x:c r="R712" s="17" t="str"/>
      <x:c r="S712" s="17" t="str">
        <x:v>plate</x:v>
      </x:c>
      <x:c r="T712" s="17" t="str">
        <x:v>moneyflow</x:v>
      </x:c>
      <x:c r="U712" s="17" t="str"/>
      <x:c r="V712" s="30"/>
      <x:c r="W712" s="17" t="str">
        <x:v>high</x:v>
      </x:c>
    </x:row>
    <x:row r="713" ht="54" customHeight="1">
      <x:c r="A713" s="17" t="str">
        <x:v>BUS163</x:v>
      </x:c>
      <x:c r="B713" s="17" t="str">
        <x:v>查询新能源车板块资金流，并返回宁德时代当前行情和融资余额。</x:v>
      </x:c>
      <x:c r="C713" s="17" t="n">
        <x:v>2</x:v>
      </x:c>
      <x:c r="D713" s="17" t="str"/>
      <x:c r="E713" s="17" t="str">
        <x:v>工具调用</x:v>
      </x:c>
      <x:c r="F713" s="17" t="str">
        <x:v>read_finance_catalog</x:v>
      </x:c>
      <x:c r="G713" s="17" t="str"/>
      <x:c r="H713" s="17" t="str"/>
      <x:c r="I713" s="17" t="str">
        <x:v>合理操作</x:v>
      </x:c>
      <x:c r="J713" s="17" t="str">
        <x:v>是</x:v>
      </x:c>
      <x:c r="K713" s="18"/>
      <x:c r="L713" s="17" t="str">
        <x:v>否</x:v>
      </x:c>
      <x:c r="M713" s="17" t="str">
        <x:v>否</x:v>
      </x:c>
      <x:c r="N713" s="17" t="str">
        <x:v>target_catalog_located</x:v>
      </x:c>
      <x:c r="O713" s="17" t="str">
        <x:v>expected_dataview_catalog</x:v>
      </x:c>
      <x:c r="P713" s="17" t="str"/>
      <x:c r="Q713" s="17" t="str"/>
      <x:c r="R713" s="17" t="str"/>
      <x:c r="S713" s="17" t="str">
        <x:v>stock</x:v>
      </x:c>
      <x:c r="T713" s="17" t="str">
        <x:v>quote</x:v>
      </x:c>
      <x:c r="U713" s="17" t="str"/>
      <x:c r="V713" s="30"/>
      <x:c r="W713" s="17" t="str">
        <x:v>high</x:v>
      </x:c>
    </x:row>
    <x:row r="714" ht="54" customHeight="1">
      <x:c r="A714" s="17" t="str">
        <x:v>BUS163</x:v>
      </x:c>
      <x:c r="B714" s="17" t="str">
        <x:v>查询新能源车板块资金流，并返回宁德时代当前行情和融资余额。</x:v>
      </x:c>
      <x:c r="C714" s="17" t="n">
        <x:v>3</x:v>
      </x:c>
      <x:c r="D714" s="17" t="str"/>
      <x:c r="E714" s="17" t="str">
        <x:v>工具调用</x:v>
      </x:c>
      <x:c r="F714" s="17" t="str">
        <x:v>read_finance_catalog</x:v>
      </x:c>
      <x:c r="G714" s="17" t="str"/>
      <x:c r="H714" s="17" t="str"/>
      <x:c r="I714" s="17" t="str">
        <x:v>合理操作</x:v>
      </x:c>
      <x:c r="J714" s="17" t="str">
        <x:v>是</x:v>
      </x:c>
      <x:c r="K714" s="18"/>
      <x:c r="L714" s="17" t="str">
        <x:v>否</x:v>
      </x:c>
      <x:c r="M714" s="17" t="str">
        <x:v>否</x:v>
      </x:c>
      <x:c r="N714" s="17" t="str">
        <x:v>target_catalog_located</x:v>
      </x:c>
      <x:c r="O714" s="17" t="str">
        <x:v>expected_dataview_catalog</x:v>
      </x:c>
      <x:c r="P714" s="17" t="str"/>
      <x:c r="Q714" s="17" t="str"/>
      <x:c r="R714" s="17" t="str"/>
      <x:c r="S714" s="17" t="str">
        <x:v>stock</x:v>
      </x:c>
      <x:c r="T714" s="17" t="str">
        <x:v>margin</x:v>
      </x:c>
      <x:c r="U714" s="17" t="str"/>
      <x:c r="V714" s="30"/>
      <x:c r="W714" s="17" t="str">
        <x:v>high</x:v>
      </x:c>
    </x:row>
    <x:row r="715" ht="54" customHeight="1">
      <x:c r="A715" s="17" t="str">
        <x:v>BUS163</x:v>
      </x:c>
      <x:c r="B715" s="17" t="str">
        <x:v>查询新能源车板块资金流，并返回宁德时代当前行情和融资余额。</x:v>
      </x:c>
      <x:c r="C715" s="17" t="n">
        <x:v>4</x:v>
      </x:c>
      <x:c r="D715" s="17" t="str"/>
      <x:c r="E715" s="17" t="str">
        <x:v>工具调用</x:v>
      </x:c>
      <x:c r="F715" s="17" t="str">
        <x:v>read_finance_catalog</x:v>
      </x:c>
      <x:c r="G715" s="17" t="str"/>
      <x:c r="H715" s="17" t="str"/>
      <x:c r="I715" s="17" t="str">
        <x:v>合理操作</x:v>
      </x:c>
      <x:c r="J715" s="17" t="str">
        <x:v>是</x:v>
      </x:c>
      <x:c r="K715" s="18"/>
      <x:c r="L715" s="17" t="str">
        <x:v>否</x:v>
      </x:c>
      <x:c r="M715" s="17" t="str">
        <x:v>否</x:v>
      </x:c>
      <x:c r="N715" s="17" t="str">
        <x:v>subject_catalog_discovery</x:v>
      </x:c>
      <x:c r="O715" s="17" t="str">
        <x:v>expected_subject_catalog</x:v>
      </x:c>
      <x:c r="P715" s="17" t="str"/>
      <x:c r="Q715" s="17" t="str"/>
      <x:c r="R715" s="17" t="str"/>
      <x:c r="S715" s="17" t="str">
        <x:v>plate</x:v>
      </x:c>
      <x:c r="T715" s="17" t="str">
        <x:v>basic_info</x:v>
      </x:c>
      <x:c r="U715" s="17" t="str"/>
      <x:c r="V715" s="30"/>
      <x:c r="W715" s="17" t="str">
        <x:v>medium</x:v>
      </x:c>
    </x:row>
    <x:row r="716" ht="54" customHeight="1">
      <x:c r="A716" s="17" t="str">
        <x:v>BUS163</x:v>
      </x:c>
      <x:c r="B716" s="17" t="str">
        <x:v>查询新能源车板块资金流，并返回宁德时代当前行情和融资余额。</x:v>
      </x:c>
      <x:c r="C716" s="17" t="n">
        <x:v>5</x:v>
      </x:c>
      <x:c r="D716" s="17" t="str"/>
      <x:c r="E716" s="17" t="str">
        <x:v>工具调用</x:v>
      </x:c>
      <x:c r="F716" s="17" t="str">
        <x:v>finance_query</x:v>
      </x:c>
      <x:c r="G716" s="17" t="str">
        <x:v>r1 = plate.basic_info(filter = "plate_name like '%新能源车%'", limit = 5) -&gt; plate_code, plate_name</x:v>
      </x:c>
      <x:c r="H716" s="17" t="str"/>
      <x:c r="I716" s="17" t="str">
        <x:v>合理操作</x:v>
      </x:c>
      <x:c r="J716" s="17" t="str">
        <x:v>是</x:v>
      </x:c>
      <x:c r="K716" s="18"/>
      <x:c r="L716" s="17" t="str">
        <x:v>否</x:v>
      </x:c>
      <x:c r="M716" s="17" t="str">
        <x:v>否</x:v>
      </x:c>
      <x:c r="N716" s="17" t="str">
        <x:v>same_subject_dependency</x:v>
      </x:c>
      <x:c r="O716" s="17" t="str">
        <x:v>supporting_api_for_expected_subject</x:v>
      </x:c>
      <x:c r="P716" s="17" t="str">
        <x:v>session://financial_qa_33499cfa81de4d06_2858_13a69993800d/vars/v1</x:v>
      </x:c>
      <x:c r="Q716" s="17" t="str"/>
      <x:c r="R716" s="17" t="str">
        <x:v>plate.basic_info</x:v>
      </x:c>
      <x:c r="S716" s="17" t="str"/>
      <x:c r="T716" s="17" t="str"/>
      <x:c r="U716" s="17" t="str">
        <x:v>r1</x:v>
      </x:c>
      <x:c r="V716" s="30" t="n">
        <x:v>0</x:v>
      </x:c>
      <x:c r="W716" s="17" t="str">
        <x:v>medium</x:v>
      </x:c>
    </x:row>
    <x:row r="717" ht="54" customHeight="1">
      <x:c r="A717" s="17" t="str">
        <x:v>BUS163</x:v>
      </x:c>
      <x:c r="B717" s="17" t="str">
        <x:v>查询新能源车板块资金流，并返回宁德时代当前行情和融资余额。</x:v>
      </x:c>
      <x:c r="C717" s="17" t="n">
        <x:v>6</x:v>
      </x:c>
      <x:c r="D717" s="17" t="str"/>
      <x:c r="E717" s="17" t="str">
        <x:v>工具调用</x:v>
      </x:c>
      <x:c r="F717" s="17" t="str">
        <x:v>finance_query</x:v>
      </x:c>
      <x:c r="G717" s="17" t="str">
        <x:v>r2 = stock.quote(filter = "code = 300750.SZ", realtime = 2, limit = 1) -&gt; code, name, tradedate, close, pct, amount, open, high, low</x:v>
      </x:c>
      <x:c r="H717" s="17" t="str"/>
      <x:c r="I717" s="17" t="str">
        <x:v>合理操作</x:v>
      </x:c>
      <x:c r="J717" s="17" t="str">
        <x:v>是</x:v>
      </x:c>
      <x:c r="K717" s="18"/>
      <x:c r="L717" s="17" t="str">
        <x:v>否</x:v>
      </x:c>
      <x:c r="M717" s="17" t="str">
        <x:v>否</x:v>
      </x:c>
      <x:c r="N717" s="17" t="str">
        <x:v>target_api_executed</x:v>
      </x:c>
      <x:c r="O717" s="17" t="str">
        <x:v>expected_dataview_coverage</x:v>
      </x:c>
      <x:c r="P717" s="17" t="str">
        <x:v>session://financial_qa_33499cfa81de4d06_2858_13a69993800d/vars/v2</x:v>
      </x:c>
      <x:c r="Q717" s="17" t="str"/>
      <x:c r="R717" s="17" t="str">
        <x:v>stock.quote</x:v>
      </x:c>
      <x:c r="S717" s="17" t="str"/>
      <x:c r="T717" s="17" t="str"/>
      <x:c r="U717" s="17" t="str">
        <x:v>r2</x:v>
      </x:c>
      <x:c r="V717" s="30" t="n">
        <x:v>1</x:v>
      </x:c>
      <x:c r="W717" s="17" t="str">
        <x:v>high</x:v>
      </x:c>
    </x:row>
    <x:row r="718" ht="54" customHeight="1">
      <x:c r="A718" s="17" t="str">
        <x:v>BUS163</x:v>
      </x:c>
      <x:c r="B718" s="17" t="str">
        <x:v>查询新能源车板块资金流，并返回宁德时代当前行情和融资余额。</x:v>
      </x:c>
      <x:c r="C718" s="17" t="n">
        <x:v>7</x:v>
      </x:c>
      <x:c r="D718" s="17" t="str"/>
      <x:c r="E718" s="17" t="str">
        <x:v>工具调用</x:v>
      </x:c>
      <x:c r="F718" s="17" t="str">
        <x:v>finance_query</x:v>
      </x:c>
      <x:c r="G718" s="17" t="str">
        <x:v>r3 = stock.margin(filter = "code = 300750.SZ", order = "tradedate desc", limit = 1) -&gt; code, name, tradedate, financing_balance, financing_net_buy, margin_balance</x:v>
      </x:c>
      <x:c r="H718" s="17" t="str"/>
      <x:c r="I718" s="17" t="str">
        <x:v>合理操作</x:v>
      </x:c>
      <x:c r="J718" s="17" t="str">
        <x:v>是</x:v>
      </x:c>
      <x:c r="K718" s="18"/>
      <x:c r="L718" s="17" t="str">
        <x:v>否</x:v>
      </x:c>
      <x:c r="M718" s="17" t="str">
        <x:v>否</x:v>
      </x:c>
      <x:c r="N718" s="17" t="str">
        <x:v>target_api_executed</x:v>
      </x:c>
      <x:c r="O718" s="17" t="str">
        <x:v>expected_dataview_coverage</x:v>
      </x:c>
      <x:c r="P718" s="17" t="str">
        <x:v>session://financial_qa_33499cfa81de4d06_2858_13a69993800d/vars/v3</x:v>
      </x:c>
      <x:c r="Q718" s="17" t="str"/>
      <x:c r="R718" s="17" t="str">
        <x:v>stock.margin</x:v>
      </x:c>
      <x:c r="S718" s="17" t="str"/>
      <x:c r="T718" s="17" t="str"/>
      <x:c r="U718" s="17" t="str">
        <x:v>r3</x:v>
      </x:c>
      <x:c r="V718" s="30" t="n">
        <x:v>1</x:v>
      </x:c>
      <x:c r="W718" s="17" t="str">
        <x:v>high</x:v>
      </x:c>
    </x:row>
    <x:row r="719" ht="54" customHeight="1">
      <x:c r="A719" s="17" t="str">
        <x:v>BUS163</x:v>
      </x:c>
      <x:c r="B719" s="17" t="str">
        <x:v>查询新能源车板块资金流，并返回宁德时代当前行情和融资余额。</x:v>
      </x:c>
      <x:c r="C719" s="17" t="n">
        <x:v>8</x:v>
      </x:c>
      <x:c r="D719" s="17" t="str"/>
      <x:c r="E719" s="17" t="str">
        <x:v>工具调用</x:v>
      </x:c>
      <x:c r="F719" s="17" t="str">
        <x:v>finance_query</x:v>
      </x:c>
      <x:c r="G719" s="17" t="str">
        <x:v>r4 = plate.basic_info(filter = "plate_name like '%新能源%'", limit = 10) -&gt; plate_code, plate_name</x:v>
      </x:c>
      <x:c r="H719" s="17" t="str"/>
      <x:c r="I719" s="17" t="str">
        <x:v>设计浪费</x:v>
      </x:c>
      <x:c r="J719" s="17" t="str">
        <x:v>否</x:v>
      </x:c>
      <x:c r="K719" s="18"/>
      <x:c r="L719" s="17" t="str">
        <x:v>否</x:v>
      </x:c>
      <x:c r="M719" s="17" t="str">
        <x:v>否</x:v>
      </x:c>
      <x:c r="N719" s="17" t="str">
        <x:v>requery_after_terminal_zero</x:v>
      </x:c>
      <x:c r="O719" s="17" t="str">
        <x:v>terminal_zero_requery</x:v>
      </x:c>
      <x:c r="P719" s="17" t="str">
        <x:v>session://financial_qa_33499cfa81de4d06_2858_13a69993800d/vars/v4</x:v>
      </x:c>
      <x:c r="Q719" s="17" t="str"/>
      <x:c r="R719" s="17" t="str">
        <x:v>plate.basic_info</x:v>
      </x:c>
      <x:c r="S719" s="17" t="str"/>
      <x:c r="T719" s="17" t="str"/>
      <x:c r="U719" s="17" t="str">
        <x:v>r4</x:v>
      </x:c>
      <x:c r="V719" s="30" t="n">
        <x:v>0</x:v>
      </x:c>
      <x:c r="W719" s="17" t="str">
        <x:v>high</x:v>
      </x:c>
    </x:row>
    <x:row r="720" ht="54" customHeight="1">
      <x:c r="A720" s="17" t="str">
        <x:v>BUS164</x:v>
      </x:c>
      <x:c r="B720" s="17" t="str">
        <x:v>查询证券板块行情，并对比银行行业成分股今天平均涨跌幅。</x:v>
      </x:c>
      <x:c r="C720" s="17" t="n">
        <x:v>1</x:v>
      </x:c>
      <x:c r="D720" s="17" t="str"/>
      <x:c r="E720" s="17" t="str">
        <x:v>工具调用</x:v>
      </x:c>
      <x:c r="F720" s="17" t="str">
        <x:v>read_finance_catalog</x:v>
      </x:c>
      <x:c r="G720" s="17" t="str"/>
      <x:c r="H720" s="17" t="str"/>
      <x:c r="I720" s="17" t="str">
        <x:v>合理操作</x:v>
      </x:c>
      <x:c r="J720" s="17" t="str">
        <x:v>是</x:v>
      </x:c>
      <x:c r="K720" s="18"/>
      <x:c r="L720" s="17" t="str">
        <x:v>否</x:v>
      </x:c>
      <x:c r="M720" s="17" t="str">
        <x:v>否</x:v>
      </x:c>
      <x:c r="N720" s="17" t="str">
        <x:v>target_catalog_located</x:v>
      </x:c>
      <x:c r="O720" s="17" t="str">
        <x:v>expected_dataview_catalog</x:v>
      </x:c>
      <x:c r="P720" s="17" t="str"/>
      <x:c r="Q720" s="17" t="str"/>
      <x:c r="R720" s="17" t="str"/>
      <x:c r="S720" s="17" t="str">
        <x:v>plate</x:v>
      </x:c>
      <x:c r="T720" s="17" t="str">
        <x:v>quote</x:v>
      </x:c>
      <x:c r="U720" s="17" t="str"/>
      <x:c r="V720" s="30"/>
      <x:c r="W720" s="17" t="str">
        <x:v>high</x:v>
      </x:c>
    </x:row>
    <x:row r="721" ht="54" customHeight="1">
      <x:c r="A721" s="17" t="str">
        <x:v>BUS164</x:v>
      </x:c>
      <x:c r="B721" s="17" t="str">
        <x:v>查询证券板块行情，并对比银行行业成分股今天平均涨跌幅。</x:v>
      </x:c>
      <x:c r="C721" s="17" t="n">
        <x:v>2</x:v>
      </x:c>
      <x:c r="D721" s="17" t="str"/>
      <x:c r="E721" s="17" t="str">
        <x:v>工具调用</x:v>
      </x:c>
      <x:c r="F721" s="17" t="str">
        <x:v>read_finance_catalog</x:v>
      </x:c>
      <x:c r="G721" s="17" t="str"/>
      <x:c r="H721" s="17" t="str"/>
      <x:c r="I721" s="17" t="str">
        <x:v>合理操作</x:v>
      </x:c>
      <x:c r="J721" s="17" t="str">
        <x:v>是</x:v>
      </x:c>
      <x:c r="K721" s="18"/>
      <x:c r="L721" s="17" t="str">
        <x:v>否</x:v>
      </x:c>
      <x:c r="M721" s="17" t="str">
        <x:v>否</x:v>
      </x:c>
      <x:c r="N721" s="17" t="str">
        <x:v>target_catalog_located</x:v>
      </x:c>
      <x:c r="O721" s="17" t="str">
        <x:v>expected_dataview_catalog</x:v>
      </x:c>
      <x:c r="P721" s="17" t="str"/>
      <x:c r="Q721" s="17" t="str"/>
      <x:c r="R721" s="17" t="str"/>
      <x:c r="S721" s="17" t="str">
        <x:v>industry</x:v>
      </x:c>
      <x:c r="T721" s="17" t="str">
        <x:v>constitution</x:v>
      </x:c>
      <x:c r="U721" s="17" t="str"/>
      <x:c r="V721" s="30"/>
      <x:c r="W721" s="17" t="str">
        <x:v>high</x:v>
      </x:c>
    </x:row>
    <x:row r="722" ht="54" customHeight="1">
      <x:c r="A722" s="17" t="str">
        <x:v>BUS164</x:v>
      </x:c>
      <x:c r="B722" s="17" t="str">
        <x:v>查询证券板块行情，并对比银行行业成分股今天平均涨跌幅。</x:v>
      </x:c>
      <x:c r="C722" s="17" t="n">
        <x:v>3</x:v>
      </x:c>
      <x:c r="D722" s="17" t="str"/>
      <x:c r="E722" s="17" t="str">
        <x:v>工具调用</x:v>
      </x:c>
      <x:c r="F722" s="17" t="str">
        <x:v>read_finance_catalog</x:v>
      </x:c>
      <x:c r="G722" s="17" t="str"/>
      <x:c r="H722" s="17" t="str"/>
      <x:c r="I722" s="17" t="str">
        <x:v>合理操作</x:v>
      </x:c>
      <x:c r="J722" s="17" t="str">
        <x:v>是</x:v>
      </x:c>
      <x:c r="K722" s="18"/>
      <x:c r="L722" s="17" t="str">
        <x:v>否</x:v>
      </x:c>
      <x:c r="M722" s="17" t="str">
        <x:v>否</x:v>
      </x:c>
      <x:c r="N722" s="17" t="str">
        <x:v>subject_catalog_discovery</x:v>
      </x:c>
      <x:c r="O722" s="17" t="str">
        <x:v>expected_subject_catalog</x:v>
      </x:c>
      <x:c r="P722" s="17" t="str"/>
      <x:c r="Q722" s="17" t="str"/>
      <x:c r="R722" s="17" t="str"/>
      <x:c r="S722" s="17" t="str">
        <x:v>plate</x:v>
      </x:c>
      <x:c r="T722" s="17" t="str">
        <x:v>basic_info</x:v>
      </x:c>
      <x:c r="U722" s="17" t="str"/>
      <x:c r="V722" s="30"/>
      <x:c r="W722" s="17" t="str">
        <x:v>medium</x:v>
      </x:c>
    </x:row>
    <x:row r="723" ht="54" customHeight="1">
      <x:c r="A723" s="17" t="str">
        <x:v>BUS164</x:v>
      </x:c>
      <x:c r="B723" s="17" t="str">
        <x:v>查询证券板块行情，并对比银行行业成分股今天平均涨跌幅。</x:v>
      </x:c>
      <x:c r="C723" s="17" t="n">
        <x:v>4</x:v>
      </x:c>
      <x:c r="D723" s="17" t="str"/>
      <x:c r="E723" s="17" t="str">
        <x:v>工具调用</x:v>
      </x:c>
      <x:c r="F723" s="17" t="str">
        <x:v>finance_query</x:v>
      </x:c>
      <x:c r="G723" s="17" t="str">
        <x:v>r1 = plate.basic_info(filter = "plate_name like '%证券%'", limit = 10) -&gt; plate_code, plate_name</x:v>
      </x:c>
      <x:c r="H723" s="17" t="str"/>
      <x:c r="I723" s="17" t="str">
        <x:v>合理操作</x:v>
      </x:c>
      <x:c r="J723" s="17" t="str">
        <x:v>是</x:v>
      </x:c>
      <x:c r="K723" s="18"/>
      <x:c r="L723" s="17" t="str">
        <x:v>否</x:v>
      </x:c>
      <x:c r="M723" s="17" t="str">
        <x:v>否</x:v>
      </x:c>
      <x:c r="N723" s="17" t="str">
        <x:v>same_subject_dependency</x:v>
      </x:c>
      <x:c r="O723" s="17" t="str">
        <x:v>supporting_api_for_expected_subject</x:v>
      </x:c>
      <x:c r="P723" s="17" t="str">
        <x:v>session://financial_qa_33499cfa81de4d06_2859_0edb3840a8e6/vars/v1</x:v>
      </x:c>
      <x:c r="Q723" s="17" t="str"/>
      <x:c r="R723" s="17" t="str">
        <x:v>plate.basic_info</x:v>
      </x:c>
      <x:c r="S723" s="17" t="str"/>
      <x:c r="T723" s="17" t="str"/>
      <x:c r="U723" s="17" t="str">
        <x:v>r1</x:v>
      </x:c>
      <x:c r="V723" s="30" t="n">
        <x:v>1</x:v>
      </x:c>
      <x:c r="W723" s="17" t="str">
        <x:v>medium</x:v>
      </x:c>
    </x:row>
    <x:row r="724" ht="54" customHeight="1">
      <x:c r="A724" s="17" t="str">
        <x:v>BUS164</x:v>
      </x:c>
      <x:c r="B724" s="17" t="str">
        <x:v>查询证券板块行情，并对比银行行业成分股今天平均涨跌幅。</x:v>
      </x:c>
      <x:c r="C724" s="17" t="n">
        <x:v>5</x:v>
      </x:c>
      <x:c r="D724" s="17" t="str"/>
      <x:c r="E724" s="17" t="str">
        <x:v>工具调用</x:v>
      </x:c>
      <x:c r="F724" s="17" t="str">
        <x:v>finance_query</x:v>
      </x:c>
      <x:c r="G724" s="17" t="str">
        <x:v>r2 = plate.quote(filter = "plate_code in r1.plate_code", realtime = 2, limit = 5) -&gt; code, name, tradedate, pct, close, amount, volumn, differ</x:v>
      </x:c>
      <x:c r="H724" s="17" t="str"/>
      <x:c r="I724" s="17" t="str">
        <x:v>合理操作</x:v>
      </x:c>
      <x:c r="J724" s="17" t="str">
        <x:v>是</x:v>
      </x:c>
      <x:c r="K724" s="18"/>
      <x:c r="L724" s="17" t="str">
        <x:v>否</x:v>
      </x:c>
      <x:c r="M724" s="17" t="str">
        <x:v>否</x:v>
      </x:c>
      <x:c r="N724" s="17" t="str">
        <x:v>target_api_executed</x:v>
      </x:c>
      <x:c r="O724" s="17" t="str">
        <x:v>expected_dataview_coverage</x:v>
      </x:c>
      <x:c r="P724" s="17" t="str">
        <x:v>session://financial_qa_33499cfa81de4d06_2859_0edb3840a8e6/vars/v2</x:v>
      </x:c>
      <x:c r="Q724" s="17" t="str"/>
      <x:c r="R724" s="17" t="str">
        <x:v>plate.quote</x:v>
      </x:c>
      <x:c r="S724" s="17" t="str"/>
      <x:c r="T724" s="17" t="str"/>
      <x:c r="U724" s="17" t="str">
        <x:v>r2</x:v>
      </x:c>
      <x:c r="V724" s="30" t="n">
        <x:v>1</x:v>
      </x:c>
      <x:c r="W724" s="17" t="str">
        <x:v>high</x:v>
      </x:c>
    </x:row>
    <x:row r="725" ht="54" customHeight="1">
      <x:c r="A725" s="17" t="str">
        <x:v>BUS164</x:v>
      </x:c>
      <x:c r="B725" s="17" t="str">
        <x:v>查询证券板块行情，并对比银行行业成分股今天平均涨跌幅。</x:v>
      </x:c>
      <x:c r="C725" s="17" t="n">
        <x:v>6</x:v>
      </x:c>
      <x:c r="D725" s="17" t="str"/>
      <x:c r="E725" s="17" t="str">
        <x:v>工具调用</x:v>
      </x:c>
      <x:c r="F725" s="17" t="str">
        <x:v>finance_query</x:v>
      </x:c>
      <x:c r="G725" s="17" t="str">
        <x:v>r3 = industry.constitution.agg(filter = "industry_name = '银行'", agg = avg(stock.quote.pct), group_by = "industry_code, industry_name", realtime = 0) -&gt; industry_code, industry_name, avg_pct</x:v>
      </x:c>
      <x:c r="H725" s="17" t="str"/>
      <x:c r="I725" s="17" t="str">
        <x:v>合理操作</x:v>
      </x:c>
      <x:c r="J725" s="17" t="str">
        <x:v>是</x:v>
      </x:c>
      <x:c r="K725" s="18"/>
      <x:c r="L725" s="17" t="str">
        <x:v>否</x:v>
      </x:c>
      <x:c r="M725" s="17" t="str">
        <x:v>否</x:v>
      </x:c>
      <x:c r="N725" s="17" t="str">
        <x:v>target_api_executed</x:v>
      </x:c>
      <x:c r="O725" s="17" t="str">
        <x:v>expected_dataview_coverage</x:v>
      </x:c>
      <x:c r="P725" s="17" t="str">
        <x:v>session://financial_qa_33499cfa81de4d06_2859_0edb3840a8e6/vars/v3</x:v>
      </x:c>
      <x:c r="Q725" s="17" t="str"/>
      <x:c r="R725" s="17" t="str">
        <x:v>industry.constitution.agg</x:v>
      </x:c>
      <x:c r="S725" s="17" t="str"/>
      <x:c r="T725" s="17" t="str"/>
      <x:c r="U725" s="17" t="str">
        <x:v>r3</x:v>
      </x:c>
      <x:c r="V725" s="30" t="n">
        <x:v>4</x:v>
      </x:c>
      <x:c r="W725" s="17" t="str">
        <x:v>high</x:v>
      </x:c>
    </x:row>
    <x:row r="726" ht="54" customHeight="1">
      <x:c r="A726" s="17" t="str">
        <x:v>BUS164</x:v>
      </x:c>
      <x:c r="B726" s="17" t="str">
        <x:v>查询证券板块行情，并对比银行行业成分股今天平均涨跌幅。</x:v>
      </x:c>
      <x:c r="C726" s="17" t="n">
        <x:v>7</x:v>
      </x:c>
      <x:c r="D726" s="17" t="str"/>
      <x:c r="E726" s="17" t="str">
        <x:v>工具调用</x:v>
      </x:c>
      <x:c r="F726" s="17" t="str">
        <x:v>load_finance_result</x:v>
      </x:c>
      <x:c r="G726" s="17" t="str"/>
      <x:c r="H726" s="17" t="str"/>
      <x:c r="I726" s="17" t="str">
        <x:v>合理操作</x:v>
      </x:c>
      <x:c r="J726" s="17" t="str">
        <x:v>是</x:v>
      </x:c>
      <x:c r="K726" s="18"/>
      <x:c r="L726" s="17" t="str">
        <x:v>否</x:v>
      </x:c>
      <x:c r="M726" s="17" t="str">
        <x:v>否</x:v>
      </x:c>
      <x:c r="N726" s="17" t="str">
        <x:v>load_truncated_result</x:v>
      </x:c>
      <x:c r="O726" s="17" t="str">
        <x:v>sample_incomplete_requires_full_result</x:v>
      </x:c>
      <x:c r="P726" s="17" t="str">
        <x:v>session://financial_qa_33499cfa81de4d06_2859_0edb3840a8e6/vars/v3</x:v>
      </x:c>
      <x:c r="Q726" s="17" t="str"/>
      <x:c r="R726" s="17" t="str"/>
      <x:c r="S726" s="17" t="str"/>
      <x:c r="T726" s="17" t="str"/>
      <x:c r="U726" s="17" t="str"/>
      <x:c r="V726" s="30"/>
      <x:c r="W726" s="17" t="str">
        <x:v>high</x:v>
      </x:c>
    </x:row>
    <x:row r="727" ht="54" customHeight="1">
      <x:c r="A727" s="17" t="str">
        <x:v>BUS164</x:v>
      </x:c>
      <x:c r="B727" s="17" t="str">
        <x:v>查询证券板块行情，并对比银行行业成分股今天平均涨跌幅。</x:v>
      </x:c>
      <x:c r="C727" s="17" t="n">
        <x:v>8</x:v>
      </x:c>
      <x:c r="D727" s="17" t="str"/>
      <x:c r="E727" s="17" t="str">
        <x:v>工具调用</x:v>
      </x:c>
      <x:c r="F727" s="17" t="str">
        <x:v>finance_query</x:v>
      </x:c>
      <x:c r="G727" s="17" t="str">
        <x:v>r4 = industry.constitution.agg(filter = "level1_industry_name = '银行'", agg = avg(stock.quote.pct), group_by = "level1_industry_name", realtime = 0) -&gt; level1_industry_name, avg_pct</x:v>
      </x:c>
      <x:c r="H727" s="17" t="str"/>
      <x:c r="I727" s="17" t="str">
        <x:v>合理操作</x:v>
      </x:c>
      <x:c r="J727" s="17" t="str">
        <x:v>是</x:v>
      </x:c>
      <x:c r="K727" s="18"/>
      <x:c r="L727" s="17" t="str">
        <x:v>否</x:v>
      </x:c>
      <x:c r="M727" s="17" t="str">
        <x:v>否</x:v>
      </x:c>
      <x:c r="N727" s="17" t="str">
        <x:v>target_api_executed</x:v>
      </x:c>
      <x:c r="O727" s="17" t="str">
        <x:v>expected_dataview_coverage</x:v>
      </x:c>
      <x:c r="P727" s="17" t="str">
        <x:v>session://financial_qa_33499cfa81de4d06_2859_0edb3840a8e6/vars/v4</x:v>
      </x:c>
      <x:c r="Q727" s="17" t="str"/>
      <x:c r="R727" s="17" t="str">
        <x:v>industry.constitution.agg</x:v>
      </x:c>
      <x:c r="S727" s="17" t="str"/>
      <x:c r="T727" s="17" t="str"/>
      <x:c r="U727" s="17" t="str">
        <x:v>r4</x:v>
      </x:c>
      <x:c r="V727" s="30" t="n">
        <x:v>1</x:v>
      </x:c>
      <x:c r="W727" s="17" t="str">
        <x:v>high</x:v>
      </x:c>
    </x:row>
    <x:row r="728" ht="54" customHeight="1">
      <x:c r="A728" s="17" t="str">
        <x:v>BUS165</x:v>
      </x:c>
      <x:c r="B728" s="17" t="str">
        <x:v>查询沪深300ETF的基金代码、简称和全称。</x:v>
      </x:c>
      <x:c r="C728" s="17" t="n">
        <x:v>1</x:v>
      </x:c>
      <x:c r="D728" s="17" t="str"/>
      <x:c r="E728" s="17" t="str">
        <x:v>工具调用</x:v>
      </x:c>
      <x:c r="F728" s="17" t="str">
        <x:v>read_finance_catalog</x:v>
      </x:c>
      <x:c r="G728" s="17" t="str"/>
      <x:c r="H728" s="17" t="str"/>
      <x:c r="I728" s="17" t="str">
        <x:v>合理操作</x:v>
      </x:c>
      <x:c r="J728" s="17" t="str">
        <x:v>是</x:v>
      </x:c>
      <x:c r="K728" s="18"/>
      <x:c r="L728" s="17" t="str">
        <x:v>否</x:v>
      </x:c>
      <x:c r="M728" s="17" t="str">
        <x:v>否</x:v>
      </x:c>
      <x:c r="N728" s="17" t="str">
        <x:v>target_catalog_located</x:v>
      </x:c>
      <x:c r="O728" s="17" t="str">
        <x:v>expected_dataview_catalog</x:v>
      </x:c>
      <x:c r="P728" s="17" t="str"/>
      <x:c r="Q728" s="17" t="str"/>
      <x:c r="R728" s="17" t="str"/>
      <x:c r="S728" s="17" t="str">
        <x:v>fund</x:v>
      </x:c>
      <x:c r="T728" s="17" t="str">
        <x:v>basic_info</x:v>
      </x:c>
      <x:c r="U728" s="17" t="str"/>
      <x:c r="V728" s="30"/>
      <x:c r="W728" s="17" t="str">
        <x:v>high</x:v>
      </x:c>
    </x:row>
    <x:row r="729" ht="54" customHeight="1">
      <x:c r="A729" s="17" t="str">
        <x:v>BUS165</x:v>
      </x:c>
      <x:c r="B729" s="17" t="str">
        <x:v>查询沪深300ETF的基金代码、简称和全称。</x:v>
      </x:c>
      <x:c r="C729" s="17" t="n">
        <x:v>2</x:v>
      </x:c>
      <x:c r="D729" s="17" t="str"/>
      <x:c r="E729" s="17" t="str">
        <x:v>工具调用</x:v>
      </x:c>
      <x:c r="F729" s="17" t="str">
        <x:v>finance_query</x:v>
      </x:c>
      <x:c r="G729" s="17" t="str">
        <x:v>r1 = fund.basic_info(filter = "name like '%沪深300ETF%'", limit = 10) -&gt; code, name, full_name</x:v>
      </x:c>
      <x:c r="H729" s="17" t="str"/>
      <x:c r="I729" s="17" t="str">
        <x:v>合理操作</x:v>
      </x:c>
      <x:c r="J729" s="17" t="str">
        <x:v>是</x:v>
      </x:c>
      <x:c r="K729" s="18"/>
      <x:c r="L729" s="17" t="str">
        <x:v>否</x:v>
      </x:c>
      <x:c r="M729" s="17" t="str">
        <x:v>否</x:v>
      </x:c>
      <x:c r="N729" s="17" t="str">
        <x:v>target_api_executed</x:v>
      </x:c>
      <x:c r="O729" s="17" t="str">
        <x:v>expected_dataview_coverage</x:v>
      </x:c>
      <x:c r="P729" s="17" t="str">
        <x:v>session://financial_qa_33499cfa81de4d06_2860_b068a2f49143/vars/v1</x:v>
      </x:c>
      <x:c r="Q729" s="17" t="str"/>
      <x:c r="R729" s="17" t="str">
        <x:v>fund.basic_info</x:v>
      </x:c>
      <x:c r="S729" s="17" t="str"/>
      <x:c r="T729" s="17" t="str"/>
      <x:c r="U729" s="17" t="str">
        <x:v>r1</x:v>
      </x:c>
      <x:c r="V729" s="30" t="n">
        <x:v>10</x:v>
      </x:c>
      <x:c r="W729" s="17" t="str">
        <x:v>high</x:v>
      </x:c>
    </x:row>
    <x:row r="730" ht="54" customHeight="1">
      <x:c r="A730" s="17" t="str">
        <x:v>BUS165</x:v>
      </x:c>
      <x:c r="B730" s="17" t="str">
        <x:v>查询沪深300ETF的基金代码、简称和全称。</x:v>
      </x:c>
      <x:c r="C730" s="17" t="n">
        <x:v>3</x:v>
      </x:c>
      <x:c r="D730" s="17" t="str"/>
      <x:c r="E730" s="17" t="str">
        <x:v>工具调用</x:v>
      </x:c>
      <x:c r="F730" s="17" t="str">
        <x:v>load_finance_result</x:v>
      </x:c>
      <x:c r="G730" s="17" t="str"/>
      <x:c r="H730" s="17" t="str"/>
      <x:c r="I730" s="17" t="str">
        <x:v>合理操作</x:v>
      </x:c>
      <x:c r="J730" s="17" t="str">
        <x:v>是</x:v>
      </x:c>
      <x:c r="K730" s="18"/>
      <x:c r="L730" s="17" t="str">
        <x:v>否</x:v>
      </x:c>
      <x:c r="M730" s="17" t="str">
        <x:v>否</x:v>
      </x:c>
      <x:c r="N730" s="17" t="str">
        <x:v>load_truncated_result</x:v>
      </x:c>
      <x:c r="O730" s="17" t="str">
        <x:v>sample_incomplete_requires_full_result</x:v>
      </x:c>
      <x:c r="P730" s="17" t="str">
        <x:v>session://financial_qa_33499cfa81de4d06_2860_b068a2f49143/vars/v1</x:v>
      </x:c>
      <x:c r="Q730" s="17" t="str"/>
      <x:c r="R730" s="17" t="str"/>
      <x:c r="S730" s="17" t="str"/>
      <x:c r="T730" s="17" t="str"/>
      <x:c r="U730" s="17" t="str"/>
      <x:c r="V730" s="30"/>
      <x:c r="W730" s="17" t="str">
        <x:v>high</x:v>
      </x:c>
    </x:row>
    <x:row r="731" ht="54" customHeight="1">
      <x:c r="A731" s="17" t="str">
        <x:v>BUS166</x:v>
      </x:c>
      <x:c r="B731" s="17" t="str">
        <x:v>查询名称包含红利的基金代码和名称。</x:v>
      </x:c>
      <x:c r="C731" s="17" t="n">
        <x:v>1</x:v>
      </x:c>
      <x:c r="D731" s="17" t="str"/>
      <x:c r="E731" s="17" t="str">
        <x:v>工具调用</x:v>
      </x:c>
      <x:c r="F731" s="17" t="str">
        <x:v>read_finance_catalog</x:v>
      </x:c>
      <x:c r="G731" s="17" t="str"/>
      <x:c r="H731" s="17" t="str"/>
      <x:c r="I731" s="17" t="str">
        <x:v>合理操作</x:v>
      </x:c>
      <x:c r="J731" s="17" t="str">
        <x:v>是</x:v>
      </x:c>
      <x:c r="K731" s="18"/>
      <x:c r="L731" s="17" t="str">
        <x:v>否</x:v>
      </x:c>
      <x:c r="M731" s="17" t="str">
        <x:v>否</x:v>
      </x:c>
      <x:c r="N731" s="17" t="str">
        <x:v>target_catalog_located</x:v>
      </x:c>
      <x:c r="O731" s="17" t="str">
        <x:v>expected_dataview_catalog</x:v>
      </x:c>
      <x:c r="P731" s="17" t="str"/>
      <x:c r="Q731" s="17" t="str"/>
      <x:c r="R731" s="17" t="str"/>
      <x:c r="S731" s="17" t="str">
        <x:v>fund</x:v>
      </x:c>
      <x:c r="T731" s="17" t="str">
        <x:v>basic_info</x:v>
      </x:c>
      <x:c r="U731" s="17" t="str"/>
      <x:c r="V731" s="30"/>
      <x:c r="W731" s="17" t="str">
        <x:v>high</x:v>
      </x:c>
    </x:row>
    <x:row r="732" ht="54" customHeight="1">
      <x:c r="A732" s="17" t="str">
        <x:v>BUS166</x:v>
      </x:c>
      <x:c r="B732" s="17" t="str">
        <x:v>查询名称包含红利的基金代码和名称。</x:v>
      </x:c>
      <x:c r="C732" s="17" t="n">
        <x:v>2</x:v>
      </x:c>
      <x:c r="D732" s="17" t="str"/>
      <x:c r="E732" s="17" t="str">
        <x:v>工具调用</x:v>
      </x:c>
      <x:c r="F732" s="17" t="str">
        <x:v>finance_query</x:v>
      </x:c>
      <x:c r="G732" s="17" t="str">
        <x:v>r1 = fund.basic_info(filter = "name like '%红利%'", limit = 50) -&gt; code, name</x:v>
      </x:c>
      <x:c r="H732" s="17" t="str"/>
      <x:c r="I732" s="17" t="str">
        <x:v>合理操作</x:v>
      </x:c>
      <x:c r="J732" s="17" t="str">
        <x:v>是</x:v>
      </x:c>
      <x:c r="K732" s="18"/>
      <x:c r="L732" s="17" t="str">
        <x:v>否</x:v>
      </x:c>
      <x:c r="M732" s="17" t="str">
        <x:v>否</x:v>
      </x:c>
      <x:c r="N732" s="17" t="str">
        <x:v>target_api_executed</x:v>
      </x:c>
      <x:c r="O732" s="17" t="str">
        <x:v>expected_dataview_coverage</x:v>
      </x:c>
      <x:c r="P732" s="17" t="str">
        <x:v>session://financial_qa_33499cfa81de4d06_2861_31d5873f1032/vars/v1</x:v>
      </x:c>
      <x:c r="Q732" s="17" t="str"/>
      <x:c r="R732" s="17" t="str">
        <x:v>fund.basic_info</x:v>
      </x:c>
      <x:c r="S732" s="17" t="str"/>
      <x:c r="T732" s="17" t="str"/>
      <x:c r="U732" s="17" t="str">
        <x:v>r1</x:v>
      </x:c>
      <x:c r="V732" s="30" t="n">
        <x:v>50</x:v>
      </x:c>
      <x:c r="W732" s="17" t="str">
        <x:v>high</x:v>
      </x:c>
    </x:row>
    <x:row r="733" ht="54" customHeight="1">
      <x:c r="A733" s="17" t="str">
        <x:v>BUS166</x:v>
      </x:c>
      <x:c r="B733" s="17" t="str">
        <x:v>查询名称包含红利的基金代码和名称。</x:v>
      </x:c>
      <x:c r="C733" s="17" t="n">
        <x:v>3</x:v>
      </x:c>
      <x:c r="D733" s="17" t="str"/>
      <x:c r="E733" s="17" t="str">
        <x:v>工具调用</x:v>
      </x:c>
      <x:c r="F733" s="17" t="str">
        <x:v>load_finance_result</x:v>
      </x:c>
      <x:c r="G733" s="17" t="str"/>
      <x:c r="H733" s="17" t="str"/>
      <x:c r="I733" s="17" t="str">
        <x:v>合理操作</x:v>
      </x:c>
      <x:c r="J733" s="17" t="str">
        <x:v>是</x:v>
      </x:c>
      <x:c r="K733" s="18"/>
      <x:c r="L733" s="17" t="str">
        <x:v>否</x:v>
      </x:c>
      <x:c r="M733" s="17" t="str">
        <x:v>否</x:v>
      </x:c>
      <x:c r="N733" s="17" t="str">
        <x:v>load_truncated_result</x:v>
      </x:c>
      <x:c r="O733" s="17" t="str">
        <x:v>sample_incomplete_requires_full_result</x:v>
      </x:c>
      <x:c r="P733" s="17" t="str">
        <x:v>session://financial_qa_33499cfa81de4d06_2861_31d5873f1032/vars/v1</x:v>
      </x:c>
      <x:c r="Q733" s="17" t="str"/>
      <x:c r="R733" s="17" t="str"/>
      <x:c r="S733" s="17" t="str"/>
      <x:c r="T733" s="17" t="str"/>
      <x:c r="U733" s="17" t="str"/>
      <x:c r="V733" s="30"/>
      <x:c r="W733" s="17" t="str">
        <x:v>high</x:v>
      </x:c>
    </x:row>
    <x:row r="734" ht="54" customHeight="1">
      <x:c r="A734" s="17" t="str">
        <x:v>BUS167</x:v>
      </x:c>
      <x:c r="B734" s="17" t="str">
        <x:v>查询名称包含半导体的基金列表。</x:v>
      </x:c>
      <x:c r="C734" s="17" t="n">
        <x:v>1</x:v>
      </x:c>
      <x:c r="D734" s="17" t="str"/>
      <x:c r="E734" s="17" t="str">
        <x:v>工具调用</x:v>
      </x:c>
      <x:c r="F734" s="17" t="str">
        <x:v>read_finance_catalog</x:v>
      </x:c>
      <x:c r="G734" s="17" t="str"/>
      <x:c r="H734" s="17" t="str"/>
      <x:c r="I734" s="17" t="str">
        <x:v>合理操作</x:v>
      </x:c>
      <x:c r="J734" s="17" t="str">
        <x:v>是</x:v>
      </x:c>
      <x:c r="K734" s="18"/>
      <x:c r="L734" s="17" t="str">
        <x:v>否</x:v>
      </x:c>
      <x:c r="M734" s="17" t="str">
        <x:v>否</x:v>
      </x:c>
      <x:c r="N734" s="17" t="str">
        <x:v>target_catalog_located</x:v>
      </x:c>
      <x:c r="O734" s="17" t="str">
        <x:v>expected_dataview_catalog</x:v>
      </x:c>
      <x:c r="P734" s="17" t="str"/>
      <x:c r="Q734" s="17" t="str"/>
      <x:c r="R734" s="17" t="str"/>
      <x:c r="S734" s="17" t="str">
        <x:v>fund</x:v>
      </x:c>
      <x:c r="T734" s="17" t="str">
        <x:v>basic_info</x:v>
      </x:c>
      <x:c r="U734" s="17" t="str"/>
      <x:c r="V734" s="30"/>
      <x:c r="W734" s="17" t="str">
        <x:v>high</x:v>
      </x:c>
    </x:row>
    <x:row r="735" ht="54" customHeight="1">
      <x:c r="A735" s="17" t="str">
        <x:v>BUS167</x:v>
      </x:c>
      <x:c r="B735" s="17" t="str">
        <x:v>查询名称包含半导体的基金列表。</x:v>
      </x:c>
      <x:c r="C735" s="17" t="n">
        <x:v>2</x:v>
      </x:c>
      <x:c r="D735" s="17" t="str"/>
      <x:c r="E735" s="17" t="str">
        <x:v>工具调用</x:v>
      </x:c>
      <x:c r="F735" s="17" t="str">
        <x:v>finance_query</x:v>
      </x:c>
      <x:c r="G735" s="17" t="str">
        <x:v>r1 = fund.basic_info(filter = "name like '%半导体%'", limit = 100, realtime = 0) -&gt; code, name, full_name</x:v>
      </x:c>
      <x:c r="H735" s="17" t="str"/>
      <x:c r="I735" s="17" t="str">
        <x:v>合理操作</x:v>
      </x:c>
      <x:c r="J735" s="17" t="str">
        <x:v>是</x:v>
      </x:c>
      <x:c r="K735" s="18"/>
      <x:c r="L735" s="17" t="str">
        <x:v>否</x:v>
      </x:c>
      <x:c r="M735" s="17" t="str">
        <x:v>否</x:v>
      </x:c>
      <x:c r="N735" s="17" t="str">
        <x:v>target_api_executed</x:v>
      </x:c>
      <x:c r="O735" s="17" t="str">
        <x:v>expected_dataview_coverage</x:v>
      </x:c>
      <x:c r="P735" s="17" t="str">
        <x:v>session://financial_qa_33499cfa81de4d06_2862_f92971e24689/vars/v1</x:v>
      </x:c>
      <x:c r="Q735" s="17" t="str"/>
      <x:c r="R735" s="17" t="str">
        <x:v>fund.basic_info</x:v>
      </x:c>
      <x:c r="S735" s="17" t="str"/>
      <x:c r="T735" s="17" t="str"/>
      <x:c r="U735" s="17" t="str">
        <x:v>r1</x:v>
      </x:c>
      <x:c r="V735" s="30" t="n">
        <x:v>18</x:v>
      </x:c>
      <x:c r="W735" s="17" t="str">
        <x:v>high</x:v>
      </x:c>
    </x:row>
    <x:row r="736" ht="54" customHeight="1">
      <x:c r="A736" s="17" t="str">
        <x:v>BUS167</x:v>
      </x:c>
      <x:c r="B736" s="17" t="str">
        <x:v>查询名称包含半导体的基金列表。</x:v>
      </x:c>
      <x:c r="C736" s="17" t="n">
        <x:v>3</x:v>
      </x:c>
      <x:c r="D736" s="17" t="str"/>
      <x:c r="E736" s="17" t="str">
        <x:v>工具调用</x:v>
      </x:c>
      <x:c r="F736" s="17" t="str">
        <x:v>load_finance_result</x:v>
      </x:c>
      <x:c r="G736" s="17" t="str"/>
      <x:c r="H736" s="17" t="str"/>
      <x:c r="I736" s="17" t="str">
        <x:v>合理操作</x:v>
      </x:c>
      <x:c r="J736" s="17" t="str">
        <x:v>是</x:v>
      </x:c>
      <x:c r="K736" s="18"/>
      <x:c r="L736" s="17" t="str">
        <x:v>否</x:v>
      </x:c>
      <x:c r="M736" s="17" t="str">
        <x:v>否</x:v>
      </x:c>
      <x:c r="N736" s="17" t="str">
        <x:v>load_truncated_result</x:v>
      </x:c>
      <x:c r="O736" s="17" t="str">
        <x:v>sample_incomplete_requires_full_result</x:v>
      </x:c>
      <x:c r="P736" s="17" t="str">
        <x:v>session://financial_qa_33499cfa81de4d06_2862_f92971e24689/vars/v1</x:v>
      </x:c>
      <x:c r="Q736" s="17" t="str"/>
      <x:c r="R736" s="17" t="str"/>
      <x:c r="S736" s="17" t="str"/>
      <x:c r="T736" s="17" t="str"/>
      <x:c r="U736" s="17" t="str"/>
      <x:c r="V736" s="30"/>
      <x:c r="W736" s="17" t="str">
        <x:v>high</x:v>
      </x:c>
    </x:row>
    <x:row r="737" ht="54" customHeight="1">
      <x:c r="A737" s="17" t="str">
        <x:v>BUS168</x:v>
      </x:c>
      <x:c r="B737" s="17" t="str">
        <x:v>查询名称包含债券的基金代码和名称。</x:v>
      </x:c>
      <x:c r="C737" s="17" t="n">
        <x:v>1</x:v>
      </x:c>
      <x:c r="D737" s="17" t="str"/>
      <x:c r="E737" s="17" t="str">
        <x:v>工具调用</x:v>
      </x:c>
      <x:c r="F737" s="17" t="str">
        <x:v>read_finance_catalog</x:v>
      </x:c>
      <x:c r="G737" s="17" t="str"/>
      <x:c r="H737" s="17" t="str"/>
      <x:c r="I737" s="17" t="str">
        <x:v>合理操作</x:v>
      </x:c>
      <x:c r="J737" s="17" t="str">
        <x:v>是</x:v>
      </x:c>
      <x:c r="K737" s="18"/>
      <x:c r="L737" s="17" t="str">
        <x:v>否</x:v>
      </x:c>
      <x:c r="M737" s="17" t="str">
        <x:v>否</x:v>
      </x:c>
      <x:c r="N737" s="17" t="str">
        <x:v>subject_catalog_discovery</x:v>
      </x:c>
      <x:c r="O737" s="17" t="str">
        <x:v>expected_subject_catalog</x:v>
      </x:c>
      <x:c r="P737" s="17" t="str"/>
      <x:c r="Q737" s="17" t="str"/>
      <x:c r="R737" s="17" t="str"/>
      <x:c r="S737" s="17" t="str">
        <x:v>fund</x:v>
      </x:c>
      <x:c r="T737" s="17" t="str">
        <x:v>base_info</x:v>
      </x:c>
      <x:c r="U737" s="17" t="str"/>
      <x:c r="V737" s="30"/>
      <x:c r="W737" s="17" t="str">
        <x:v>medium</x:v>
      </x:c>
    </x:row>
    <x:row r="738" ht="54" customHeight="1">
      <x:c r="A738" s="17" t="str">
        <x:v>BUS168</x:v>
      </x:c>
      <x:c r="B738" s="17" t="str">
        <x:v>查询名称包含债券的基金代码和名称。</x:v>
      </x:c>
      <x:c r="C738" s="17" t="n">
        <x:v>2</x:v>
      </x:c>
      <x:c r="D738" s="17" t="str"/>
      <x:c r="E738" s="17" t="str">
        <x:v>工具调用</x:v>
      </x:c>
      <x:c r="F738" s="17" t="str">
        <x:v>read_finance_catalog</x:v>
      </x:c>
      <x:c r="G738" s="17" t="str"/>
      <x:c r="H738" s="17" t="str"/>
      <x:c r="I738" s="17" t="str">
        <x:v>合理操作</x:v>
      </x:c>
      <x:c r="J738" s="17" t="str">
        <x:v>是</x:v>
      </x:c>
      <x:c r="K738" s="18"/>
      <x:c r="L738" s="17" t="str">
        <x:v>否</x:v>
      </x:c>
      <x:c r="M738" s="17" t="str">
        <x:v>否</x:v>
      </x:c>
      <x:c r="N738" s="17" t="str">
        <x:v>target_catalog_located</x:v>
      </x:c>
      <x:c r="O738" s="17" t="str">
        <x:v>expected_dataview_catalog</x:v>
      </x:c>
      <x:c r="P738" s="17" t="str"/>
      <x:c r="Q738" s="17" t="str"/>
      <x:c r="R738" s="17" t="str"/>
      <x:c r="S738" s="17" t="str">
        <x:v>fund</x:v>
      </x:c>
      <x:c r="T738" s="17" t="str">
        <x:v>basic_info</x:v>
      </x:c>
      <x:c r="U738" s="17" t="str"/>
      <x:c r="V738" s="30"/>
      <x:c r="W738" s="17" t="str">
        <x:v>high</x:v>
      </x:c>
    </x:row>
    <x:row r="739" ht="54" customHeight="1">
      <x:c r="A739" s="17" t="str">
        <x:v>BUS168</x:v>
      </x:c>
      <x:c r="B739" s="17" t="str">
        <x:v>查询名称包含债券的基金代码和名称。</x:v>
      </x:c>
      <x:c r="C739" s="17" t="n">
        <x:v>3</x:v>
      </x:c>
      <x:c r="D739" s="17" t="str"/>
      <x:c r="E739" s="17" t="str">
        <x:v>工具调用</x:v>
      </x:c>
      <x:c r="F739" s="17" t="str">
        <x:v>finance_query</x:v>
      </x:c>
      <x:c r="G739" s="17" t="str">
        <x:v>r1 = fund.basic_info(filter = "name like '%债券%'", limit = 100) -&gt; code, name</x:v>
      </x:c>
      <x:c r="H739" s="17" t="str"/>
      <x:c r="I739" s="17" t="str">
        <x:v>合理操作</x:v>
      </x:c>
      <x:c r="J739" s="17" t="str">
        <x:v>是</x:v>
      </x:c>
      <x:c r="K739" s="18"/>
      <x:c r="L739" s="17" t="str">
        <x:v>否</x:v>
      </x:c>
      <x:c r="M739" s="17" t="str">
        <x:v>否</x:v>
      </x:c>
      <x:c r="N739" s="17" t="str">
        <x:v>target_api_executed</x:v>
      </x:c>
      <x:c r="O739" s="17" t="str">
        <x:v>expected_dataview_coverage</x:v>
      </x:c>
      <x:c r="P739" s="17" t="str">
        <x:v>session://financial_qa_33499cfa81de4d06_2863_f679691ba613/vars/v1</x:v>
      </x:c>
      <x:c r="Q739" s="17" t="str"/>
      <x:c r="R739" s="17" t="str">
        <x:v>fund.basic_info</x:v>
      </x:c>
      <x:c r="S739" s="17" t="str"/>
      <x:c r="T739" s="17" t="str"/>
      <x:c r="U739" s="17" t="str">
        <x:v>r1</x:v>
      </x:c>
      <x:c r="V739" s="30" t="n">
        <x:v>93</x:v>
      </x:c>
      <x:c r="W739" s="17" t="str">
        <x:v>high</x:v>
      </x:c>
    </x:row>
    <x:row r="740" ht="54" customHeight="1">
      <x:c r="A740" s="17" t="str">
        <x:v>BUS168</x:v>
      </x:c>
      <x:c r="B740" s="17" t="str">
        <x:v>查询名称包含债券的基金代码和名称。</x:v>
      </x:c>
      <x:c r="C740" s="17" t="n">
        <x:v>4</x:v>
      </x:c>
      <x:c r="D740" s="17" t="str"/>
      <x:c r="E740" s="17" t="str">
        <x:v>工具调用</x:v>
      </x:c>
      <x:c r="F740" s="17" t="str">
        <x:v>load_finance_result</x:v>
      </x:c>
      <x:c r="G740" s="17" t="str"/>
      <x:c r="H740" s="17" t="str"/>
      <x:c r="I740" s="17" t="str">
        <x:v>合理操作</x:v>
      </x:c>
      <x:c r="J740" s="17" t="str">
        <x:v>是</x:v>
      </x:c>
      <x:c r="K740" s="18"/>
      <x:c r="L740" s="17" t="str">
        <x:v>否</x:v>
      </x:c>
      <x:c r="M740" s="17" t="str">
        <x:v>否</x:v>
      </x:c>
      <x:c r="N740" s="17" t="str">
        <x:v>load_truncated_result</x:v>
      </x:c>
      <x:c r="O740" s="17" t="str">
        <x:v>sample_incomplete_requires_full_result</x:v>
      </x:c>
      <x:c r="P740" s="17" t="str">
        <x:v>session://financial_qa_33499cfa81de4d06_2863_f679691ba613/vars/v1</x:v>
      </x:c>
      <x:c r="Q740" s="17" t="str"/>
      <x:c r="R740" s="17" t="str"/>
      <x:c r="S740" s="17" t="str"/>
      <x:c r="T740" s="17" t="str"/>
      <x:c r="U740" s="17" t="str"/>
      <x:c r="V740" s="30"/>
      <x:c r="W740" s="17" t="str">
        <x:v>high</x:v>
      </x:c>
    </x:row>
    <x:row r="741" ht="54" customHeight="1">
      <x:c r="A741" s="17" t="str">
        <x:v>BUS169</x:v>
      </x:c>
      <x:c r="B741" s="17" t="str">
        <x:v>查询科创50ETF基金代码和全称。</x:v>
      </x:c>
      <x:c r="C741" s="17" t="n">
        <x:v>1</x:v>
      </x:c>
      <x:c r="D741" s="17" t="str"/>
      <x:c r="E741" s="17" t="str">
        <x:v>工具调用</x:v>
      </x:c>
      <x:c r="F741" s="17" t="str">
        <x:v>read_finance_catalog</x:v>
      </x:c>
      <x:c r="G741" s="17" t="str"/>
      <x:c r="H741" s="17" t="str"/>
      <x:c r="I741" s="17" t="str">
        <x:v>合理操作</x:v>
      </x:c>
      <x:c r="J741" s="17" t="str">
        <x:v>是</x:v>
      </x:c>
      <x:c r="K741" s="18"/>
      <x:c r="L741" s="17" t="str">
        <x:v>否</x:v>
      </x:c>
      <x:c r="M741" s="17" t="str">
        <x:v>否</x:v>
      </x:c>
      <x:c r="N741" s="17" t="str">
        <x:v>target_catalog_located</x:v>
      </x:c>
      <x:c r="O741" s="17" t="str">
        <x:v>expected_dataview_catalog</x:v>
      </x:c>
      <x:c r="P741" s="17" t="str"/>
      <x:c r="Q741" s="17" t="str"/>
      <x:c r="R741" s="17" t="str"/>
      <x:c r="S741" s="17" t="str">
        <x:v>fund</x:v>
      </x:c>
      <x:c r="T741" s="17" t="str">
        <x:v>basic_info</x:v>
      </x:c>
      <x:c r="U741" s="17" t="str"/>
      <x:c r="V741" s="30"/>
      <x:c r="W741" s="17" t="str">
        <x:v>high</x:v>
      </x:c>
    </x:row>
    <x:row r="742" ht="54" customHeight="1">
      <x:c r="A742" s="17" t="str">
        <x:v>BUS169</x:v>
      </x:c>
      <x:c r="B742" s="17" t="str">
        <x:v>查询科创50ETF基金代码和全称。</x:v>
      </x:c>
      <x:c r="C742" s="17" t="n">
        <x:v>2</x:v>
      </x:c>
      <x:c r="D742" s="17" t="str"/>
      <x:c r="E742" s="17" t="str">
        <x:v>工具调用</x:v>
      </x:c>
      <x:c r="F742" s="17" t="str">
        <x:v>finance_query</x:v>
      </x:c>
      <x:c r="G742" s="17" t="str">
        <x:v>r1 = fund.basic_info(filter = "name like '%科创50%ETF%'", limit = 20) -&gt; code, name, full_name</x:v>
      </x:c>
      <x:c r="H742" s="17" t="str"/>
      <x:c r="I742" s="17" t="str">
        <x:v>合理操作</x:v>
      </x:c>
      <x:c r="J742" s="17" t="str">
        <x:v>是</x:v>
      </x:c>
      <x:c r="K742" s="18"/>
      <x:c r="L742" s="17" t="str">
        <x:v>否</x:v>
      </x:c>
      <x:c r="M742" s="17" t="str">
        <x:v>否</x:v>
      </x:c>
      <x:c r="N742" s="17" t="str">
        <x:v>target_api_executed</x:v>
      </x:c>
      <x:c r="O742" s="17" t="str">
        <x:v>expected_dataview_coverage</x:v>
      </x:c>
      <x:c r="P742" s="17" t="str">
        <x:v>session://financial_qa_33499cfa81de4d06_2864_cf84d02ceb60/vars/v1</x:v>
      </x:c>
      <x:c r="Q742" s="17" t="str"/>
      <x:c r="R742" s="17" t="str">
        <x:v>fund.basic_info</x:v>
      </x:c>
      <x:c r="S742" s="17" t="str"/>
      <x:c r="T742" s="17" t="str"/>
      <x:c r="U742" s="17" t="str">
        <x:v>r1</x:v>
      </x:c>
      <x:c r="V742" s="30" t="n">
        <x:v>4</x:v>
      </x:c>
      <x:c r="W742" s="17" t="str">
        <x:v>high</x:v>
      </x:c>
    </x:row>
    <x:row r="743" ht="54" customHeight="1">
      <x:c r="A743" s="17" t="str">
        <x:v>BUS169</x:v>
      </x:c>
      <x:c r="B743" s="17" t="str">
        <x:v>查询科创50ETF基金代码和全称。</x:v>
      </x:c>
      <x:c r="C743" s="17" t="n">
        <x:v>3</x:v>
      </x:c>
      <x:c r="D743" s="17" t="str"/>
      <x:c r="E743" s="17" t="str">
        <x:v>工具调用</x:v>
      </x:c>
      <x:c r="F743" s="17" t="str">
        <x:v>load_finance_result</x:v>
      </x:c>
      <x:c r="G743" s="17" t="str"/>
      <x:c r="H743" s="17" t="str"/>
      <x:c r="I743" s="17" t="str">
        <x:v>合理操作</x:v>
      </x:c>
      <x:c r="J743" s="17" t="str">
        <x:v>是</x:v>
      </x:c>
      <x:c r="K743" s="18"/>
      <x:c r="L743" s="17" t="str">
        <x:v>否</x:v>
      </x:c>
      <x:c r="M743" s="17" t="str">
        <x:v>否</x:v>
      </x:c>
      <x:c r="N743" s="17" t="str">
        <x:v>load_truncated_result</x:v>
      </x:c>
      <x:c r="O743" s="17" t="str">
        <x:v>sample_incomplete_requires_full_result</x:v>
      </x:c>
      <x:c r="P743" s="17" t="str">
        <x:v>session://financial_qa_33499cfa81de4d06_2864_cf84d02ceb60/vars/v1</x:v>
      </x:c>
      <x:c r="Q743" s="17" t="str"/>
      <x:c r="R743" s="17" t="str"/>
      <x:c r="S743" s="17" t="str"/>
      <x:c r="T743" s="17" t="str"/>
      <x:c r="U743" s="17" t="str"/>
      <x:c r="V743" s="30"/>
      <x:c r="W743" s="17" t="str">
        <x:v>high</x:v>
      </x:c>
    </x:row>
    <x:row r="744" ht="54" customHeight="1">
      <x:c r="A744" s="17" t="str">
        <x:v>BUS169</x:v>
      </x:c>
      <x:c r="B744" s="17" t="str">
        <x:v>查询科创50ETF基金代码和全称。</x:v>
      </x:c>
      <x:c r="C744" s="17" t="n">
        <x:v>4</x:v>
      </x:c>
      <x:c r="D744" s="17" t="str"/>
      <x:c r="E744" s="17" t="str">
        <x:v>工具调用</x:v>
      </x:c>
      <x:c r="F744" s="17" t="str">
        <x:v>finance_query</x:v>
      </x:c>
      <x:c r="G744" s="17" t="str">
        <x:v>r2 = fund.basic_info(filter = "name like '%科创50%' and name like '%ETF%'", limit = 20) -&gt; code, name, full_name</x:v>
      </x:c>
      <x:c r="H744" s="17" t="str"/>
      <x:c r="I744" s="17" t="str">
        <x:v>合理操作</x:v>
      </x:c>
      <x:c r="J744" s="17" t="str">
        <x:v>是</x:v>
      </x:c>
      <x:c r="K744" s="18"/>
      <x:c r="L744" s="17" t="str">
        <x:v>否</x:v>
      </x:c>
      <x:c r="M744" s="17" t="str">
        <x:v>否</x:v>
      </x:c>
      <x:c r="N744" s="17" t="str">
        <x:v>target_api_executed</x:v>
      </x:c>
      <x:c r="O744" s="17" t="str">
        <x:v>expected_dataview_coverage</x:v>
      </x:c>
      <x:c r="P744" s="17" t="str">
        <x:v>session://financial_qa_33499cfa81de4d06_2864_cf84d02ceb60/vars/v2</x:v>
      </x:c>
      <x:c r="Q744" s="17" t="str"/>
      <x:c r="R744" s="17" t="str">
        <x:v>fund.basic_info</x:v>
      </x:c>
      <x:c r="S744" s="17" t="str"/>
      <x:c r="T744" s="17" t="str"/>
      <x:c r="U744" s="17" t="str">
        <x:v>r2</x:v>
      </x:c>
      <x:c r="V744" s="30" t="n">
        <x:v>4</x:v>
      </x:c>
      <x:c r="W744" s="17" t="str">
        <x:v>high</x:v>
      </x:c>
    </x:row>
    <x:row r="745" ht="54" customHeight="1">
      <x:c r="A745" s="17" t="str">
        <x:v>BUS169</x:v>
      </x:c>
      <x:c r="B745" s="17" t="str">
        <x:v>查询科创50ETF基金代码和全称。</x:v>
      </x:c>
      <x:c r="C745" s="17" t="n">
        <x:v>5</x:v>
      </x:c>
      <x:c r="D745" s="17" t="str"/>
      <x:c r="E745" s="17" t="str">
        <x:v>工具调用</x:v>
      </x:c>
      <x:c r="F745" s="17" t="str">
        <x:v>finance_query</x:v>
      </x:c>
      <x:c r="G745" s="17" t="str">
        <x:v>r3 = fund.basic_info(filter = "name = '科创50ETF'", limit = 10) -&gt; code, name, full_name</x:v>
      </x:c>
      <x:c r="H745" s="17" t="str"/>
      <x:c r="I745" s="17" t="str">
        <x:v>合理操作</x:v>
      </x:c>
      <x:c r="J745" s="17" t="str">
        <x:v>是</x:v>
      </x:c>
      <x:c r="K745" s="18"/>
      <x:c r="L745" s="17" t="str">
        <x:v>否</x:v>
      </x:c>
      <x:c r="M745" s="17" t="str">
        <x:v>否</x:v>
      </x:c>
      <x:c r="N745" s="17" t="str">
        <x:v>target_api_executed</x:v>
      </x:c>
      <x:c r="O745" s="17" t="str">
        <x:v>expected_dataview_coverage</x:v>
      </x:c>
      <x:c r="P745" s="17" t="str">
        <x:v>session://financial_qa_33499cfa81de4d06_2864_cf84d02ceb60/vars/v3</x:v>
      </x:c>
      <x:c r="Q745" s="17" t="str"/>
      <x:c r="R745" s="17" t="str">
        <x:v>fund.basic_info</x:v>
      </x:c>
      <x:c r="S745" s="17" t="str"/>
      <x:c r="T745" s="17" t="str"/>
      <x:c r="U745" s="17" t="str">
        <x:v>r3</x:v>
      </x:c>
      <x:c r="V745" s="30" t="n">
        <x:v>0</x:v>
      </x:c>
      <x:c r="W745" s="17" t="str">
        <x:v>high</x:v>
      </x:c>
    </x:row>
    <x:row r="746" ht="54" customHeight="1">
      <x:c r="A746" s="17" t="str">
        <x:v>BUS169</x:v>
      </x:c>
      <x:c r="B746" s="17" t="str">
        <x:v>查询科创50ETF基金代码和全称。</x:v>
      </x:c>
      <x:c r="C746" s="17" t="n">
        <x:v>6</x:v>
      </x:c>
      <x:c r="D746" s="17" t="str"/>
      <x:c r="E746" s="17" t="str">
        <x:v>工具调用</x:v>
      </x:c>
      <x:c r="F746" s="17" t="str">
        <x:v>finance_query</x:v>
      </x:c>
      <x:c r="G746" s="17" t="str">
        <x:v>r4 = fund.basic_info(filter = "code = '588000.SH'", limit = 10) -&gt; code, name, full_name</x:v>
      </x:c>
      <x:c r="H746" s="17" t="str"/>
      <x:c r="I746" s="17" t="str">
        <x:v>设计浪费</x:v>
      </x:c>
      <x:c r="J746" s="17" t="str">
        <x:v>否</x:v>
      </x:c>
      <x:c r="K746" s="18"/>
      <x:c r="L746" s="17" t="str">
        <x:v>否</x:v>
      </x:c>
      <x:c r="M746" s="17" t="str">
        <x:v>否</x:v>
      </x:c>
      <x:c r="N746" s="17" t="str">
        <x:v>requery_after_terminal_zero</x:v>
      </x:c>
      <x:c r="O746" s="17" t="str">
        <x:v>terminal_zero_requery</x:v>
      </x:c>
      <x:c r="P746" s="17" t="str">
        <x:v>session://financial_qa_33499cfa81de4d06_2864_cf84d02ceb60/vars/v4</x:v>
      </x:c>
      <x:c r="Q746" s="17" t="str"/>
      <x:c r="R746" s="17" t="str">
        <x:v>fund.basic_info</x:v>
      </x:c>
      <x:c r="S746" s="17" t="str"/>
      <x:c r="T746" s="17" t="str"/>
      <x:c r="U746" s="17" t="str">
        <x:v>r4</x:v>
      </x:c>
      <x:c r="V746" s="30" t="n">
        <x:v>1</x:v>
      </x:c>
      <x:c r="W746" s="17" t="str">
        <x:v>high</x:v>
      </x:c>
    </x:row>
    <x:row r="747" ht="54" customHeight="1">
      <x:c r="A747" s="17" t="str">
        <x:v>BUS170</x:v>
      </x:c>
      <x:c r="B747" s="17" t="str">
        <x:v>查询名称包含创业板的基金。</x:v>
      </x:c>
      <x:c r="C747" s="17" t="n">
        <x:v>1</x:v>
      </x:c>
      <x:c r="D747" s="17" t="str"/>
      <x:c r="E747" s="17" t="str">
        <x:v>工具调用</x:v>
      </x:c>
      <x:c r="F747" s="17" t="str">
        <x:v>read_finance_catalog</x:v>
      </x:c>
      <x:c r="G747" s="17" t="str"/>
      <x:c r="H747" s="17" t="str"/>
      <x:c r="I747" s="17" t="str">
        <x:v>合理操作</x:v>
      </x:c>
      <x:c r="J747" s="17" t="str">
        <x:v>是</x:v>
      </x:c>
      <x:c r="K747" s="18"/>
      <x:c r="L747" s="17" t="str">
        <x:v>否</x:v>
      </x:c>
      <x:c r="M747" s="17" t="str">
        <x:v>否</x:v>
      </x:c>
      <x:c r="N747" s="17" t="str">
        <x:v>target_catalog_located</x:v>
      </x:c>
      <x:c r="O747" s="17" t="str">
        <x:v>expected_dataview_catalog</x:v>
      </x:c>
      <x:c r="P747" s="17" t="str"/>
      <x:c r="Q747" s="17" t="str"/>
      <x:c r="R747" s="17" t="str"/>
      <x:c r="S747" s="17" t="str">
        <x:v>fund</x:v>
      </x:c>
      <x:c r="T747" s="17" t="str">
        <x:v>basic_info</x:v>
      </x:c>
      <x:c r="U747" s="17" t="str"/>
      <x:c r="V747" s="30"/>
      <x:c r="W747" s="17" t="str">
        <x:v>high</x:v>
      </x:c>
    </x:row>
    <x:row r="748" ht="54" customHeight="1">
      <x:c r="A748" s="17" t="str">
        <x:v>BUS170</x:v>
      </x:c>
      <x:c r="B748" s="17" t="str">
        <x:v>查询名称包含创业板的基金。</x:v>
      </x:c>
      <x:c r="C748" s="17" t="n">
        <x:v>2</x:v>
      </x:c>
      <x:c r="D748" s="17" t="str"/>
      <x:c r="E748" s="17" t="str">
        <x:v>工具调用</x:v>
      </x:c>
      <x:c r="F748" s="17" t="str">
        <x:v>finance_query</x:v>
      </x:c>
      <x:c r="G748" s="17" t="str">
        <x:v>r1 = fund.basic_info(filter = "name like '%创业板%'", limit = 50) -&gt; code, name</x:v>
      </x:c>
      <x:c r="H748" s="17" t="str"/>
      <x:c r="I748" s="17" t="str">
        <x:v>合理操作</x:v>
      </x:c>
      <x:c r="J748" s="17" t="str">
        <x:v>是</x:v>
      </x:c>
      <x:c r="K748" s="18"/>
      <x:c r="L748" s="17" t="str">
        <x:v>否</x:v>
      </x:c>
      <x:c r="M748" s="17" t="str">
        <x:v>否</x:v>
      </x:c>
      <x:c r="N748" s="17" t="str">
        <x:v>target_api_executed</x:v>
      </x:c>
      <x:c r="O748" s="17" t="str">
        <x:v>expected_dataview_coverage</x:v>
      </x:c>
      <x:c r="P748" s="17" t="str">
        <x:v>session://financial_qa_33499cfa81de4d06_2865_764988d623ba/vars/v1</x:v>
      </x:c>
      <x:c r="Q748" s="17" t="str"/>
      <x:c r="R748" s="17" t="str">
        <x:v>fund.basic_info</x:v>
      </x:c>
      <x:c r="S748" s="17" t="str"/>
      <x:c r="T748" s="17" t="str"/>
      <x:c r="U748" s="17" t="str">
        <x:v>r1</x:v>
      </x:c>
      <x:c r="V748" s="30" t="n">
        <x:v>50</x:v>
      </x:c>
      <x:c r="W748" s="17" t="str">
        <x:v>high</x:v>
      </x:c>
    </x:row>
    <x:row r="749" ht="54" customHeight="1">
      <x:c r="A749" s="17" t="str">
        <x:v>BUS170</x:v>
      </x:c>
      <x:c r="B749" s="17" t="str">
        <x:v>查询名称包含创业板的基金。</x:v>
      </x:c>
      <x:c r="C749" s="17" t="n">
        <x:v>3</x:v>
      </x:c>
      <x:c r="D749" s="17" t="str"/>
      <x:c r="E749" s="17" t="str">
        <x:v>工具调用</x:v>
      </x:c>
      <x:c r="F749" s="17" t="str">
        <x:v>load_finance_result</x:v>
      </x:c>
      <x:c r="G749" s="17" t="str"/>
      <x:c r="H749" s="17" t="str"/>
      <x:c r="I749" s="17" t="str">
        <x:v>合理操作</x:v>
      </x:c>
      <x:c r="J749" s="17" t="str">
        <x:v>是</x:v>
      </x:c>
      <x:c r="K749" s="18"/>
      <x:c r="L749" s="17" t="str">
        <x:v>否</x:v>
      </x:c>
      <x:c r="M749" s="17" t="str">
        <x:v>否</x:v>
      </x:c>
      <x:c r="N749" s="17" t="str">
        <x:v>load_truncated_result</x:v>
      </x:c>
      <x:c r="O749" s="17" t="str">
        <x:v>sample_incomplete_requires_full_result</x:v>
      </x:c>
      <x:c r="P749" s="17" t="str">
        <x:v>session://financial_qa_33499cfa81de4d06_2865_764988d623ba/vars/v1</x:v>
      </x:c>
      <x:c r="Q749" s="17" t="str"/>
      <x:c r="R749" s="17" t="str"/>
      <x:c r="S749" s="17" t="str"/>
      <x:c r="T749" s="17" t="str"/>
      <x:c r="U749" s="17" t="str"/>
      <x:c r="V749" s="30"/>
      <x:c r="W749" s="17" t="str">
        <x:v>high</x:v>
      </x:c>
    </x:row>
    <x:row r="750" ht="54" customHeight="1">
      <x:c r="A750" s="17" t="str">
        <x:v>BUS171</x:v>
      </x:c>
      <x:c r="B750" s="17" t="str">
        <x:v>沪深300ETF当前价格、涨跌幅和成交额是多少？</x:v>
      </x:c>
      <x:c r="C750" s="17" t="n">
        <x:v>1</x:v>
      </x:c>
      <x:c r="D750" s="17" t="str"/>
      <x:c r="E750" s="17" t="str">
        <x:v>工具调用</x:v>
      </x:c>
      <x:c r="F750" s="17" t="str">
        <x:v>read_finance_catalog</x:v>
      </x:c>
      <x:c r="G750" s="17" t="str"/>
      <x:c r="H750" s="17" t="str"/>
      <x:c r="I750" s="17" t="str">
        <x:v>合理操作</x:v>
      </x:c>
      <x:c r="J750" s="17" t="str">
        <x:v>是</x:v>
      </x:c>
      <x:c r="K750" s="18"/>
      <x:c r="L750" s="17" t="str">
        <x:v>否</x:v>
      </x:c>
      <x:c r="M750" s="17" t="str">
        <x:v>否</x:v>
      </x:c>
      <x:c r="N750" s="17" t="str">
        <x:v>target_catalog_located</x:v>
      </x:c>
      <x:c r="O750" s="17" t="str">
        <x:v>expected_dataview_catalog</x:v>
      </x:c>
      <x:c r="P750" s="17" t="str"/>
      <x:c r="Q750" s="17" t="str"/>
      <x:c r="R750" s="17" t="str"/>
      <x:c r="S750" s="17" t="str">
        <x:v>fund</x:v>
      </x:c>
      <x:c r="T750" s="17" t="str">
        <x:v>quote</x:v>
      </x:c>
      <x:c r="U750" s="17" t="str"/>
      <x:c r="V750" s="30"/>
      <x:c r="W750" s="17" t="str">
        <x:v>high</x:v>
      </x:c>
    </x:row>
    <x:row r="751" ht="54" customHeight="1">
      <x:c r="A751" s="17" t="str">
        <x:v>BUS171</x:v>
      </x:c>
      <x:c r="B751" s="17" t="str">
        <x:v>沪深300ETF当前价格、涨跌幅和成交额是多少？</x:v>
      </x:c>
      <x:c r="C751" s="17" t="n">
        <x:v>2</x:v>
      </x:c>
      <x:c r="D751" s="17" t="str"/>
      <x:c r="E751" s="17" t="str">
        <x:v>工具调用</x:v>
      </x:c>
      <x:c r="F751" s="17" t="str">
        <x:v>finance_query</x:v>
      </x:c>
      <x:c r="G751" s="17" t="str">
        <x:v>r1 = fund.quote(filter = "name like '%沪深300ETF'", order = "amount desc", limit = 3, realtime = 2) -&gt; code, name, close, pct, amount</x:v>
      </x:c>
      <x:c r="H751" s="17" t="str"/>
      <x:c r="I751" s="17" t="str">
        <x:v>合理操作</x:v>
      </x:c>
      <x:c r="J751" s="17" t="str">
        <x:v>是</x:v>
      </x:c>
      <x:c r="K751" s="18"/>
      <x:c r="L751" s="17" t="str">
        <x:v>否</x:v>
      </x:c>
      <x:c r="M751" s="17" t="str">
        <x:v>否</x:v>
      </x:c>
      <x:c r="N751" s="17" t="str">
        <x:v>target_api_executed</x:v>
      </x:c>
      <x:c r="O751" s="17" t="str">
        <x:v>expected_dataview_coverage</x:v>
      </x:c>
      <x:c r="P751" s="17" t="str">
        <x:v>session://financial_qa_33499cfa81de4d06_2866_b07793ee36b3/vars/v1</x:v>
      </x:c>
      <x:c r="Q751" s="17" t="str"/>
      <x:c r="R751" s="17" t="str">
        <x:v>fund.quote</x:v>
      </x:c>
      <x:c r="S751" s="17" t="str"/>
      <x:c r="T751" s="17" t="str"/>
      <x:c r="U751" s="17" t="str">
        <x:v>r1</x:v>
      </x:c>
      <x:c r="V751" s="30" t="n">
        <x:v>3</x:v>
      </x:c>
      <x:c r="W751" s="17" t="str">
        <x:v>high</x:v>
      </x:c>
    </x:row>
    <x:row r="752" ht="54" customHeight="1">
      <x:c r="A752" s="17" t="str">
        <x:v>BUS171</x:v>
      </x:c>
      <x:c r="B752" s="17" t="str">
        <x:v>沪深300ETF当前价格、涨跌幅和成交额是多少？</x:v>
      </x:c>
      <x:c r="C752" s="17" t="n">
        <x:v>3</x:v>
      </x:c>
      <x:c r="D752" s="17" t="str"/>
      <x:c r="E752" s="17" t="str">
        <x:v>工具调用</x:v>
      </x:c>
      <x:c r="F752" s="17" t="str">
        <x:v>finance_query</x:v>
      </x:c>
      <x:c r="G752" s="17" t="str">
        <x:v>r2 = fund.quote(filter = "name like '%沪深300%'", order = "amount desc", limit = 5, realtime = 2) -&gt; code, name, close, pct, amount</x:v>
      </x:c>
      <x:c r="H752" s="17" t="str"/>
      <x:c r="I752" s="17" t="str">
        <x:v>合理操作</x:v>
      </x:c>
      <x:c r="J752" s="17" t="str">
        <x:v>是</x:v>
      </x:c>
      <x:c r="K752" s="18"/>
      <x:c r="L752" s="17" t="str">
        <x:v>否</x:v>
      </x:c>
      <x:c r="M752" s="17" t="str">
        <x:v>否</x:v>
      </x:c>
      <x:c r="N752" s="17" t="str">
        <x:v>target_api_executed</x:v>
      </x:c>
      <x:c r="O752" s="17" t="str">
        <x:v>expected_dataview_coverage</x:v>
      </x:c>
      <x:c r="P752" s="17" t="str">
        <x:v>session://financial_qa_33499cfa81de4d06_2866_b07793ee36b3/vars/v2</x:v>
      </x:c>
      <x:c r="Q752" s="17" t="str"/>
      <x:c r="R752" s="17" t="str">
        <x:v>fund.quote</x:v>
      </x:c>
      <x:c r="S752" s="17" t="str"/>
      <x:c r="T752" s="17" t="str"/>
      <x:c r="U752" s="17" t="str">
        <x:v>r2</x:v>
      </x:c>
      <x:c r="V752" s="30" t="n">
        <x:v>5</x:v>
      </x:c>
      <x:c r="W752" s="17" t="str">
        <x:v>high</x:v>
      </x:c>
    </x:row>
    <x:row r="753" ht="54" customHeight="1">
      <x:c r="A753" s="17" t="str">
        <x:v>BUS171</x:v>
      </x:c>
      <x:c r="B753" s="17" t="str">
        <x:v>沪深300ETF当前价格、涨跌幅和成交额是多少？</x:v>
      </x:c>
      <x:c r="C753" s="17" t="n">
        <x:v>4</x:v>
      </x:c>
      <x:c r="D753" s="17" t="str"/>
      <x:c r="E753" s="17" t="str">
        <x:v>工具调用</x:v>
      </x:c>
      <x:c r="F753" s="17" t="str">
        <x:v>load_finance_result</x:v>
      </x:c>
      <x:c r="G753" s="17" t="str"/>
      <x:c r="H753" s="17" t="str"/>
      <x:c r="I753" s="17" t="str">
        <x:v>合理操作</x:v>
      </x:c>
      <x:c r="J753" s="17" t="str">
        <x:v>是</x:v>
      </x:c>
      <x:c r="K753" s="18"/>
      <x:c r="L753" s="17" t="str">
        <x:v>否</x:v>
      </x:c>
      <x:c r="M753" s="17" t="str">
        <x:v>否</x:v>
      </x:c>
      <x:c r="N753" s="17" t="str">
        <x:v>load_truncated_result</x:v>
      </x:c>
      <x:c r="O753" s="17" t="str">
        <x:v>sample_incomplete_requires_full_result</x:v>
      </x:c>
      <x:c r="P753" s="17" t="str">
        <x:v>session://financial_qa_33499cfa81de4d06_2866_b07793ee36b3/vars/v2</x:v>
      </x:c>
      <x:c r="Q753" s="17" t="str"/>
      <x:c r="R753" s="17" t="str"/>
      <x:c r="S753" s="17" t="str"/>
      <x:c r="T753" s="17" t="str"/>
      <x:c r="U753" s="17" t="str"/>
      <x:c r="V753" s="30"/>
      <x:c r="W753" s="17" t="str">
        <x:v>high</x:v>
      </x:c>
    </x:row>
    <x:row r="754" ht="54" customHeight="1">
      <x:c r="A754" s="17" t="str">
        <x:v>BUS171</x:v>
      </x:c>
      <x:c r="B754" s="17" t="str">
        <x:v>沪深300ETF当前价格、涨跌幅和成交额是多少？</x:v>
      </x:c>
      <x:c r="C754" s="17" t="n">
        <x:v>5</x:v>
      </x:c>
      <x:c r="D754" s="17" t="str"/>
      <x:c r="E754" s="17" t="str">
        <x:v>工具调用</x:v>
      </x:c>
      <x:c r="F754" s="17" t="str">
        <x:v>finance_query</x:v>
      </x:c>
      <x:c r="G754" s="17" t="str">
        <x:v>r3 = fund.quote(filter = "code in ('510300.SH','159919.SZ','510330.SH')", limit = 3, realtime = 2) -&gt; code, name, close, pct, amount</x:v>
      </x:c>
      <x:c r="H754" s="17" t="str"/>
      <x:c r="I754" s="17" t="str">
        <x:v>合理操作</x:v>
      </x:c>
      <x:c r="J754" s="17" t="str">
        <x:v>是</x:v>
      </x:c>
      <x:c r="K754" s="18"/>
      <x:c r="L754" s="17" t="str">
        <x:v>否</x:v>
      </x:c>
      <x:c r="M754" s="17" t="str">
        <x:v>否</x:v>
      </x:c>
      <x:c r="N754" s="17" t="str">
        <x:v>target_api_executed</x:v>
      </x:c>
      <x:c r="O754" s="17" t="str">
        <x:v>expected_dataview_coverage</x:v>
      </x:c>
      <x:c r="P754" s="17" t="str">
        <x:v>session://financial_qa_33499cfa81de4d06_2866_b07793ee36b3/vars/v3</x:v>
      </x:c>
      <x:c r="Q754" s="17" t="str"/>
      <x:c r="R754" s="17" t="str">
        <x:v>fund.quote</x:v>
      </x:c>
      <x:c r="S754" s="17" t="str"/>
      <x:c r="T754" s="17" t="str"/>
      <x:c r="U754" s="17" t="str">
        <x:v>r3</x:v>
      </x:c>
      <x:c r="V754" s="30" t="n">
        <x:v>3</x:v>
      </x:c>
      <x:c r="W754" s="17" t="str">
        <x:v>high</x:v>
      </x:c>
    </x:row>
    <x:row r="755" ht="54" customHeight="1">
      <x:c r="A755" s="17" t="str">
        <x:v>BUS172</x:v>
      </x:c>
      <x:c r="B755" s="17" t="str">
        <x:v>今天涨幅最高的基金前20名。</x:v>
      </x:c>
      <x:c r="C755" s="17" t="n">
        <x:v>1</x:v>
      </x:c>
      <x:c r="D755" s="17" t="str"/>
      <x:c r="E755" s="17" t="str">
        <x:v>工具调用</x:v>
      </x:c>
      <x:c r="F755" s="17" t="str">
        <x:v>read_finance_catalog</x:v>
      </x:c>
      <x:c r="G755" s="17" t="str"/>
      <x:c r="H755" s="17" t="str"/>
      <x:c r="I755" s="17" t="str">
        <x:v>合理操作</x:v>
      </x:c>
      <x:c r="J755" s="17" t="str">
        <x:v>是</x:v>
      </x:c>
      <x:c r="K755" s="18"/>
      <x:c r="L755" s="17" t="str">
        <x:v>否</x:v>
      </x:c>
      <x:c r="M755" s="17" t="str">
        <x:v>否</x:v>
      </x:c>
      <x:c r="N755" s="17" t="str">
        <x:v>target_catalog_located</x:v>
      </x:c>
      <x:c r="O755" s="17" t="str">
        <x:v>expected_dataview_catalog</x:v>
      </x:c>
      <x:c r="P755" s="17" t="str"/>
      <x:c r="Q755" s="17" t="str"/>
      <x:c r="R755" s="17" t="str"/>
      <x:c r="S755" s="17" t="str">
        <x:v>fund</x:v>
      </x:c>
      <x:c r="T755" s="17" t="str">
        <x:v>quote</x:v>
      </x:c>
      <x:c r="U755" s="17" t="str"/>
      <x:c r="V755" s="30"/>
      <x:c r="W755" s="17" t="str">
        <x:v>high</x:v>
      </x:c>
    </x:row>
    <x:row r="756" ht="54" customHeight="1">
      <x:c r="A756" s="17" t="str">
        <x:v>BUS172</x:v>
      </x:c>
      <x:c r="B756" s="17" t="str">
        <x:v>今天涨幅最高的基金前20名。</x:v>
      </x:c>
      <x:c r="C756" s="17" t="n">
        <x:v>2</x:v>
      </x:c>
      <x:c r="D756" s="17" t="str"/>
      <x:c r="E756" s="17" t="str">
        <x:v>工具调用</x:v>
      </x:c>
      <x:c r="F756" s="17" t="str">
        <x:v>finance_query</x:v>
      </x:c>
      <x:c r="G756" s="17" t="str">
        <x:v>r1 = fund.quote(filter = "tradedate = -1", order = "pct desc", limit = 20, realtime = 0) -&gt; code, name, tradedate, close, pct, nav_unit</x:v>
      </x:c>
      <x:c r="H756" s="17" t="str"/>
      <x:c r="I756" s="17" t="str">
        <x:v>合理操作</x:v>
      </x:c>
      <x:c r="J756" s="17" t="str">
        <x:v>是</x:v>
      </x:c>
      <x:c r="K756" s="18"/>
      <x:c r="L756" s="17" t="str">
        <x:v>否</x:v>
      </x:c>
      <x:c r="M756" s="17" t="str">
        <x:v>否</x:v>
      </x:c>
      <x:c r="N756" s="17" t="str">
        <x:v>target_api_executed</x:v>
      </x:c>
      <x:c r="O756" s="17" t="str">
        <x:v>expected_dataview_coverage</x:v>
      </x:c>
      <x:c r="P756" s="17" t="str">
        <x:v>session://financial_qa_33499cfa81de4d06_2867_c8eba0591585/vars/v1</x:v>
      </x:c>
      <x:c r="Q756" s="17" t="str"/>
      <x:c r="R756" s="17" t="str">
        <x:v>fund.quote</x:v>
      </x:c>
      <x:c r="S756" s="17" t="str"/>
      <x:c r="T756" s="17" t="str"/>
      <x:c r="U756" s="17" t="str">
        <x:v>r1</x:v>
      </x:c>
      <x:c r="V756" s="30" t="n">
        <x:v>20</x:v>
      </x:c>
      <x:c r="W756" s="17" t="str">
        <x:v>high</x:v>
      </x:c>
    </x:row>
    <x:row r="757" ht="54" customHeight="1">
      <x:c r="A757" s="17" t="str">
        <x:v>BUS172</x:v>
      </x:c>
      <x:c r="B757" s="17" t="str">
        <x:v>今天涨幅最高的基金前20名。</x:v>
      </x:c>
      <x:c r="C757" s="17" t="n">
        <x:v>3</x:v>
      </x:c>
      <x:c r="D757" s="17" t="str"/>
      <x:c r="E757" s="17" t="str">
        <x:v>工具调用</x:v>
      </x:c>
      <x:c r="F757" s="17" t="str">
        <x:v>load_finance_result</x:v>
      </x:c>
      <x:c r="G757" s="17" t="str"/>
      <x:c r="H757" s="17" t="str"/>
      <x:c r="I757" s="17" t="str">
        <x:v>合理操作</x:v>
      </x:c>
      <x:c r="J757" s="17" t="str">
        <x:v>是</x:v>
      </x:c>
      <x:c r="K757" s="18"/>
      <x:c r="L757" s="17" t="str">
        <x:v>否</x:v>
      </x:c>
      <x:c r="M757" s="17" t="str">
        <x:v>否</x:v>
      </x:c>
      <x:c r="N757" s="17" t="str">
        <x:v>load_truncated_result</x:v>
      </x:c>
      <x:c r="O757" s="17" t="str">
        <x:v>sample_incomplete_requires_full_result</x:v>
      </x:c>
      <x:c r="P757" s="17" t="str">
        <x:v>session://financial_qa_33499cfa81de4d06_2867_c8eba0591585/vars/v1</x:v>
      </x:c>
      <x:c r="Q757" s="17" t="str"/>
      <x:c r="R757" s="17" t="str"/>
      <x:c r="S757" s="17" t="str"/>
      <x:c r="T757" s="17" t="str"/>
      <x:c r="U757" s="17" t="str"/>
      <x:c r="V757" s="30"/>
      <x:c r="W757" s="17" t="str">
        <x:v>high</x:v>
      </x:c>
    </x:row>
    <x:row r="758" ht="54" customHeight="1">
      <x:c r="A758" s="17" t="str">
        <x:v>BUS173</x:v>
      </x:c>
      <x:c r="B758" s="17" t="str">
        <x:v>筛选今天成交额超过1亿元且上涨的基金。</x:v>
      </x:c>
      <x:c r="C758" s="17" t="n">
        <x:v>1</x:v>
      </x:c>
      <x:c r="D758" s="17" t="str"/>
      <x:c r="E758" s="17" t="str">
        <x:v>工具调用</x:v>
      </x:c>
      <x:c r="F758" s="17" t="str">
        <x:v>read_finance_catalog</x:v>
      </x:c>
      <x:c r="G758" s="17" t="str"/>
      <x:c r="H758" s="17" t="str"/>
      <x:c r="I758" s="17" t="str">
        <x:v>合理操作</x:v>
      </x:c>
      <x:c r="J758" s="17" t="str">
        <x:v>是</x:v>
      </x:c>
      <x:c r="K758" s="18"/>
      <x:c r="L758" s="17" t="str">
        <x:v>否</x:v>
      </x:c>
      <x:c r="M758" s="17" t="str">
        <x:v>否</x:v>
      </x:c>
      <x:c r="N758" s="17" t="str">
        <x:v>target_catalog_located</x:v>
      </x:c>
      <x:c r="O758" s="17" t="str">
        <x:v>expected_dataview_catalog</x:v>
      </x:c>
      <x:c r="P758" s="17" t="str"/>
      <x:c r="Q758" s="17" t="str"/>
      <x:c r="R758" s="17" t="str"/>
      <x:c r="S758" s="17" t="str">
        <x:v>fund</x:v>
      </x:c>
      <x:c r="T758" s="17" t="str">
        <x:v>quote</x:v>
      </x:c>
      <x:c r="U758" s="17" t="str"/>
      <x:c r="V758" s="30"/>
      <x:c r="W758" s="17" t="str">
        <x:v>high</x:v>
      </x:c>
    </x:row>
    <x:row r="759" ht="54" customHeight="1">
      <x:c r="A759" s="17" t="str">
        <x:v>BUS173</x:v>
      </x:c>
      <x:c r="B759" s="17" t="str">
        <x:v>筛选今天成交额超过1亿元且上涨的基金。</x:v>
      </x:c>
      <x:c r="C759" s="17" t="n">
        <x:v>2</x:v>
      </x:c>
      <x:c r="D759" s="17" t="str"/>
      <x:c r="E759" s="17" t="str">
        <x:v>工具调用</x:v>
      </x:c>
      <x:c r="F759" s="17" t="str">
        <x:v>finance_query</x:v>
      </x:c>
      <x:c r="G759" s="17" t="str">
        <x:v>r1 = fund.quote(filter = "amount &gt; 100000000 and pct &gt; 0", order = "amount desc", limit = 50, realtime = 0) -&gt; code, name, tradedate, close, pct, amount</x:v>
      </x:c>
      <x:c r="H759" s="17" t="str"/>
      <x:c r="I759" s="17" t="str">
        <x:v>合理操作</x:v>
      </x:c>
      <x:c r="J759" s="17" t="str">
        <x:v>是</x:v>
      </x:c>
      <x:c r="K759" s="18"/>
      <x:c r="L759" s="17" t="str">
        <x:v>否</x:v>
      </x:c>
      <x:c r="M759" s="17" t="str">
        <x:v>否</x:v>
      </x:c>
      <x:c r="N759" s="17" t="str">
        <x:v>target_api_executed</x:v>
      </x:c>
      <x:c r="O759" s="17" t="str">
        <x:v>expected_dataview_coverage</x:v>
      </x:c>
      <x:c r="P759" s="17" t="str">
        <x:v>session://financial_qa_33499cfa81de4d06_2868_a7c7c4e6b61e/vars/v1</x:v>
      </x:c>
      <x:c r="Q759" s="17" t="str"/>
      <x:c r="R759" s="17" t="str">
        <x:v>fund.quote</x:v>
      </x:c>
      <x:c r="S759" s="17" t="str"/>
      <x:c r="T759" s="17" t="str"/>
      <x:c r="U759" s="17" t="str">
        <x:v>r1</x:v>
      </x:c>
      <x:c r="V759" s="30" t="n">
        <x:v>50</x:v>
      </x:c>
      <x:c r="W759" s="17" t="str">
        <x:v>high</x:v>
      </x:c>
    </x:row>
    <x:row r="760" ht="54" customHeight="1">
      <x:c r="A760" s="17" t="str">
        <x:v>BUS173</x:v>
      </x:c>
      <x:c r="B760" s="17" t="str">
        <x:v>筛选今天成交额超过1亿元且上涨的基金。</x:v>
      </x:c>
      <x:c r="C760" s="17" t="n">
        <x:v>3</x:v>
      </x:c>
      <x:c r="D760" s="17" t="str"/>
      <x:c r="E760" s="17" t="str">
        <x:v>工具调用</x:v>
      </x:c>
      <x:c r="F760" s="17" t="str">
        <x:v>load_finance_result</x:v>
      </x:c>
      <x:c r="G760" s="17" t="str"/>
      <x:c r="H760" s="17" t="str"/>
      <x:c r="I760" s="17" t="str">
        <x:v>合理操作</x:v>
      </x:c>
      <x:c r="J760" s="17" t="str">
        <x:v>是</x:v>
      </x:c>
      <x:c r="K760" s="18"/>
      <x:c r="L760" s="17" t="str">
        <x:v>否</x:v>
      </x:c>
      <x:c r="M760" s="17" t="str">
        <x:v>否</x:v>
      </x:c>
      <x:c r="N760" s="17" t="str">
        <x:v>load_truncated_result</x:v>
      </x:c>
      <x:c r="O760" s="17" t="str">
        <x:v>sample_incomplete_requires_full_result</x:v>
      </x:c>
      <x:c r="P760" s="17" t="str">
        <x:v>session://financial_qa_33499cfa81de4d06_2868_a7c7c4e6b61e/vars/v1</x:v>
      </x:c>
      <x:c r="Q760" s="17" t="str"/>
      <x:c r="R760" s="17" t="str"/>
      <x:c r="S760" s="17" t="str"/>
      <x:c r="T760" s="17" t="str"/>
      <x:c r="U760" s="17" t="str"/>
      <x:c r="V760" s="30"/>
      <x:c r="W760" s="17" t="str">
        <x:v>high</x:v>
      </x:c>
    </x:row>
    <x:row r="761" ht="54" customHeight="1">
      <x:c r="A761" s="17" t="str">
        <x:v>BUS174</x:v>
      </x:c>
      <x:c r="B761" s="17" t="str">
        <x:v>查询创业板ETF最近10个交易日收盘价和涨跌幅。</x:v>
      </x:c>
      <x:c r="C761" s="17" t="n">
        <x:v>1</x:v>
      </x:c>
      <x:c r="D761" s="17" t="str"/>
      <x:c r="E761" s="17" t="str">
        <x:v>工具调用</x:v>
      </x:c>
      <x:c r="F761" s="17" t="str">
        <x:v>read_finance_catalog</x:v>
      </x:c>
      <x:c r="G761" s="17" t="str"/>
      <x:c r="H761" s="17" t="str"/>
      <x:c r="I761" s="17" t="str">
        <x:v>合理操作</x:v>
      </x:c>
      <x:c r="J761" s="17" t="str">
        <x:v>是</x:v>
      </x:c>
      <x:c r="K761" s="18"/>
      <x:c r="L761" s="17" t="str">
        <x:v>否</x:v>
      </x:c>
      <x:c r="M761" s="17" t="str">
        <x:v>否</x:v>
      </x:c>
      <x:c r="N761" s="17" t="str">
        <x:v>target_catalog_located</x:v>
      </x:c>
      <x:c r="O761" s="17" t="str">
        <x:v>expected_dataview_catalog</x:v>
      </x:c>
      <x:c r="P761" s="17" t="str"/>
      <x:c r="Q761" s="17" t="str"/>
      <x:c r="R761" s="17" t="str"/>
      <x:c r="S761" s="17" t="str">
        <x:v>fund</x:v>
      </x:c>
      <x:c r="T761" s="17" t="str">
        <x:v>quote</x:v>
      </x:c>
      <x:c r="U761" s="17" t="str"/>
      <x:c r="V761" s="30"/>
      <x:c r="W761" s="17" t="str">
        <x:v>high</x:v>
      </x:c>
    </x:row>
    <x:row r="762" ht="54" customHeight="1">
      <x:c r="A762" s="17" t="str">
        <x:v>BUS174</x:v>
      </x:c>
      <x:c r="B762" s="17" t="str">
        <x:v>查询创业板ETF最近10个交易日收盘价和涨跌幅。</x:v>
      </x:c>
      <x:c r="C762" s="17" t="n">
        <x:v>2</x:v>
      </x:c>
      <x:c r="D762" s="17" t="str"/>
      <x:c r="E762" s="17" t="str">
        <x:v>工具调用</x:v>
      </x:c>
      <x:c r="F762" s="17" t="str">
        <x:v>finance_query</x:v>
      </x:c>
      <x:c r="G762" s="17" t="str">
        <x:v>r1 = fund.quote(filter = "code = 159915", order = "tradedate desc", limit = 10, realtime = 0) -&gt; code, name, tradedate, close, pct</x:v>
      </x:c>
      <x:c r="H762" s="17" t="str"/>
      <x:c r="I762" s="17" t="str">
        <x:v>合理操作</x:v>
      </x:c>
      <x:c r="J762" s="17" t="str">
        <x:v>是</x:v>
      </x:c>
      <x:c r="K762" s="18"/>
      <x:c r="L762" s="17" t="str">
        <x:v>否</x:v>
      </x:c>
      <x:c r="M762" s="17" t="str">
        <x:v>否</x:v>
      </x:c>
      <x:c r="N762" s="17" t="str">
        <x:v>target_api_executed</x:v>
      </x:c>
      <x:c r="O762" s="17" t="str">
        <x:v>expected_dataview_coverage</x:v>
      </x:c>
      <x:c r="P762" s="17" t="str">
        <x:v>session://financial_qa_33499cfa81de4d06_2869_a7251b1a1295/vars/v1</x:v>
      </x:c>
      <x:c r="Q762" s="17" t="str"/>
      <x:c r="R762" s="17" t="str">
        <x:v>fund.quote</x:v>
      </x:c>
      <x:c r="S762" s="17" t="str"/>
      <x:c r="T762" s="17" t="str"/>
      <x:c r="U762" s="17" t="str">
        <x:v>r1</x:v>
      </x:c>
      <x:c r="V762" s="30" t="n">
        <x:v>10</x:v>
      </x:c>
      <x:c r="W762" s="17" t="str">
        <x:v>high</x:v>
      </x:c>
    </x:row>
    <x:row r="763" ht="54" customHeight="1">
      <x:c r="A763" s="17" t="str">
        <x:v>BUS174</x:v>
      </x:c>
      <x:c r="B763" s="17" t="str">
        <x:v>查询创业板ETF最近10个交易日收盘价和涨跌幅。</x:v>
      </x:c>
      <x:c r="C763" s="17" t="n">
        <x:v>3</x:v>
      </x:c>
      <x:c r="D763" s="17" t="str"/>
      <x:c r="E763" s="17" t="str">
        <x:v>工具调用</x:v>
      </x:c>
      <x:c r="F763" s="17" t="str">
        <x:v>load_finance_result</x:v>
      </x:c>
      <x:c r="G763" s="17" t="str"/>
      <x:c r="H763" s="17" t="str"/>
      <x:c r="I763" s="17" t="str">
        <x:v>合理操作</x:v>
      </x:c>
      <x:c r="J763" s="17" t="str">
        <x:v>是</x:v>
      </x:c>
      <x:c r="K763" s="18"/>
      <x:c r="L763" s="17" t="str">
        <x:v>否</x:v>
      </x:c>
      <x:c r="M763" s="17" t="str">
        <x:v>否</x:v>
      </x:c>
      <x:c r="N763" s="17" t="str">
        <x:v>load_truncated_result</x:v>
      </x:c>
      <x:c r="O763" s="17" t="str">
        <x:v>sample_incomplete_requires_full_result</x:v>
      </x:c>
      <x:c r="P763" s="17" t="str">
        <x:v>session://financial_qa_33499cfa81de4d06_2869_a7251b1a1295/vars/v1</x:v>
      </x:c>
      <x:c r="Q763" s="17" t="str"/>
      <x:c r="R763" s="17" t="str"/>
      <x:c r="S763" s="17" t="str"/>
      <x:c r="T763" s="17" t="str"/>
      <x:c r="U763" s="17" t="str"/>
      <x:c r="V763" s="30"/>
      <x:c r="W763" s="17" t="str">
        <x:v>high</x:v>
      </x:c>
    </x:row>
    <x:row r="764" ht="54" customHeight="1">
      <x:c r="A764" s="17" t="str">
        <x:v>BUS176</x:v>
      </x:c>
      <x:c r="B764" s="17" t="str">
        <x:v>过去20个交易日累计涨幅最高的基金前10名。</x:v>
      </x:c>
      <x:c r="C764" s="17" t="n">
        <x:v>1</x:v>
      </x:c>
      <x:c r="D764" s="17" t="str"/>
      <x:c r="E764" s="17" t="str">
        <x:v>工具调用</x:v>
      </x:c>
      <x:c r="F764" s="17" t="str">
        <x:v>read_finance_catalog</x:v>
      </x:c>
      <x:c r="G764" s="17" t="str"/>
      <x:c r="H764" s="17" t="str"/>
      <x:c r="I764" s="17" t="str">
        <x:v>合理操作</x:v>
      </x:c>
      <x:c r="J764" s="17" t="str">
        <x:v>是</x:v>
      </x:c>
      <x:c r="K764" s="18"/>
      <x:c r="L764" s="17" t="str">
        <x:v>否</x:v>
      </x:c>
      <x:c r="M764" s="17" t="str">
        <x:v>否</x:v>
      </x:c>
      <x:c r="N764" s="17" t="str">
        <x:v>target_catalog_located</x:v>
      </x:c>
      <x:c r="O764" s="17" t="str">
        <x:v>expected_dataview_catalog</x:v>
      </x:c>
      <x:c r="P764" s="17" t="str"/>
      <x:c r="Q764" s="17" t="str"/>
      <x:c r="R764" s="17" t="str"/>
      <x:c r="S764" s="17" t="str">
        <x:v>fund</x:v>
      </x:c>
      <x:c r="T764" s="17" t="str">
        <x:v>quote</x:v>
      </x:c>
      <x:c r="U764" s="17" t="str"/>
      <x:c r="V764" s="30"/>
      <x:c r="W764" s="17" t="str">
        <x:v>high</x:v>
      </x:c>
    </x:row>
    <x:row r="765" ht="54" customHeight="1">
      <x:c r="A765" s="17" t="str">
        <x:v>BUS176</x:v>
      </x:c>
      <x:c r="B765" s="17" t="str">
        <x:v>过去20个交易日累计涨幅最高的基金前10名。</x:v>
      </x:c>
      <x:c r="C765" s="17" t="n">
        <x:v>2</x:v>
      </x:c>
      <x:c r="D765" s="17" t="str"/>
      <x:c r="E765" s="17" t="str">
        <x:v>工具调用</x:v>
      </x:c>
      <x:c r="F765" s="17" t="str">
        <x:v>finance_query</x:v>
      </x:c>
      <x:c r="G765" s="17" t="str">
        <x:v>r1 = fund.quote.kd_pct_sum(k = 20, order = "value desc", limit = 10, realtime = 0) -&gt; code, name, value as pct_20d</x:v>
      </x:c>
      <x:c r="H765" s="17" t="str"/>
      <x:c r="I765" s="17" t="str">
        <x:v>合理操作</x:v>
      </x:c>
      <x:c r="J765" s="17" t="str">
        <x:v>是</x:v>
      </x:c>
      <x:c r="K765" s="18"/>
      <x:c r="L765" s="17" t="str">
        <x:v>否</x:v>
      </x:c>
      <x:c r="M765" s="17" t="str">
        <x:v>否</x:v>
      </x:c>
      <x:c r="N765" s="17" t="str">
        <x:v>target_api_executed</x:v>
      </x:c>
      <x:c r="O765" s="17" t="str">
        <x:v>expected_dataview_coverage</x:v>
      </x:c>
      <x:c r="P765" s="17" t="str">
        <x:v>session://financial_qa_33499cfa81de4d06_2870_6e939f4a56a8/vars/v1</x:v>
      </x:c>
      <x:c r="Q765" s="17" t="str"/>
      <x:c r="R765" s="17" t="str">
        <x:v>fund.quote.kd_pct_sum</x:v>
      </x:c>
      <x:c r="S765" s="17" t="str"/>
      <x:c r="T765" s="17" t="str"/>
      <x:c r="U765" s="17" t="str">
        <x:v>r1</x:v>
      </x:c>
      <x:c r="V765" s="30" t="n">
        <x:v>10</x:v>
      </x:c>
      <x:c r="W765" s="17" t="str">
        <x:v>high</x:v>
      </x:c>
    </x:row>
    <x:row r="766" ht="54" customHeight="1">
      <x:c r="A766" s="17" t="str">
        <x:v>BUS176</x:v>
      </x:c>
      <x:c r="B766" s="17" t="str">
        <x:v>过去20个交易日累计涨幅最高的基金前10名。</x:v>
      </x:c>
      <x:c r="C766" s="17" t="n">
        <x:v>3</x:v>
      </x:c>
      <x:c r="D766" s="17" t="str"/>
      <x:c r="E766" s="17" t="str">
        <x:v>工具调用</x:v>
      </x:c>
      <x:c r="F766" s="17" t="str">
        <x:v>load_finance_result</x:v>
      </x:c>
      <x:c r="G766" s="17" t="str"/>
      <x:c r="H766" s="17" t="str"/>
      <x:c r="I766" s="17" t="str">
        <x:v>合理操作</x:v>
      </x:c>
      <x:c r="J766" s="17" t="str">
        <x:v>是</x:v>
      </x:c>
      <x:c r="K766" s="18"/>
      <x:c r="L766" s="17" t="str">
        <x:v>否</x:v>
      </x:c>
      <x:c r="M766" s="17" t="str">
        <x:v>否</x:v>
      </x:c>
      <x:c r="N766" s="17" t="str">
        <x:v>load_truncated_result</x:v>
      </x:c>
      <x:c r="O766" s="17" t="str">
        <x:v>sample_incomplete_requires_full_result</x:v>
      </x:c>
      <x:c r="P766" s="17" t="str">
        <x:v>session://financial_qa_33499cfa81de4d06_2870_6e939f4a56a8/vars/v1</x:v>
      </x:c>
      <x:c r="Q766" s="17" t="str"/>
      <x:c r="R766" s="17" t="str"/>
      <x:c r="S766" s="17" t="str"/>
      <x:c r="T766" s="17" t="str"/>
      <x:c r="U766" s="17" t="str"/>
      <x:c r="V766" s="30"/>
      <x:c r="W766" s="17" t="str">
        <x:v>high</x:v>
      </x:c>
    </x:row>
    <x:row r="767" ht="54" customHeight="1">
      <x:c r="A767" s="17" t="str">
        <x:v>BUS177</x:v>
      </x:c>
      <x:c r="B767" s="17" t="str">
        <x:v>比较沪深300ETF和创业板ETF最近20个交易日累计涨幅。</x:v>
      </x:c>
      <x:c r="C767" s="17" t="n">
        <x:v>1</x:v>
      </x:c>
      <x:c r="D767" s="17" t="str"/>
      <x:c r="E767" s="17" t="str">
        <x:v>工具调用</x:v>
      </x:c>
      <x:c r="F767" s="17" t="str">
        <x:v>read_finance_catalog</x:v>
      </x:c>
      <x:c r="G767" s="17" t="str"/>
      <x:c r="H767" s="17" t="str"/>
      <x:c r="I767" s="17" t="str">
        <x:v>合理操作</x:v>
      </x:c>
      <x:c r="J767" s="17" t="str">
        <x:v>是</x:v>
      </x:c>
      <x:c r="K767" s="18"/>
      <x:c r="L767" s="17" t="str">
        <x:v>否</x:v>
      </x:c>
      <x:c r="M767" s="17" t="str">
        <x:v>否</x:v>
      </x:c>
      <x:c r="N767" s="17" t="str">
        <x:v>target_catalog_located</x:v>
      </x:c>
      <x:c r="O767" s="17" t="str">
        <x:v>expected_dataview_catalog</x:v>
      </x:c>
      <x:c r="P767" s="17" t="str"/>
      <x:c r="Q767" s="17" t="str"/>
      <x:c r="R767" s="17" t="str"/>
      <x:c r="S767" s="17" t="str">
        <x:v>fund</x:v>
      </x:c>
      <x:c r="T767" s="17" t="str">
        <x:v>quote</x:v>
      </x:c>
      <x:c r="U767" s="17" t="str"/>
      <x:c r="V767" s="30"/>
      <x:c r="W767" s="17" t="str">
        <x:v>high</x:v>
      </x:c>
    </x:row>
    <x:row r="768" ht="54" customHeight="1">
      <x:c r="A768" s="17" t="str">
        <x:v>BUS177</x:v>
      </x:c>
      <x:c r="B768" s="17" t="str">
        <x:v>比较沪深300ETF和创业板ETF最近20个交易日累计涨幅。</x:v>
      </x:c>
      <x:c r="C768" s="17" t="n">
        <x:v>2</x:v>
      </x:c>
      <x:c r="D768" s="17" t="str"/>
      <x:c r="E768" s="17" t="str">
        <x:v>工具调用</x:v>
      </x:c>
      <x:c r="F768" s="17" t="str">
        <x:v>finance_query</x:v>
      </x:c>
      <x:c r="G768" s="17" t="str">
        <x:v>r1 = fund.quote.kd_pct_sum(k = 20, filter = "code in ('510300.SH', '159915.SZ')", order = "code asc", realtime = 0) -&gt; code, name, value as pct_sum_20d</x:v>
      </x:c>
      <x:c r="H768" s="17" t="str"/>
      <x:c r="I768" s="17" t="str">
        <x:v>合理操作</x:v>
      </x:c>
      <x:c r="J768" s="17" t="str">
        <x:v>是</x:v>
      </x:c>
      <x:c r="K768" s="18"/>
      <x:c r="L768" s="17" t="str">
        <x:v>否</x:v>
      </x:c>
      <x:c r="M768" s="17" t="str">
        <x:v>否</x:v>
      </x:c>
      <x:c r="N768" s="17" t="str">
        <x:v>target_api_executed</x:v>
      </x:c>
      <x:c r="O768" s="17" t="str">
        <x:v>expected_dataview_coverage</x:v>
      </x:c>
      <x:c r="P768" s="17" t="str">
        <x:v>session://financial_qa_33499cfa81de4d06_2871_11f915daf4bc/vars/v1</x:v>
      </x:c>
      <x:c r="Q768" s="17" t="str"/>
      <x:c r="R768" s="17" t="str">
        <x:v>fund.quote.kd_pct_sum</x:v>
      </x:c>
      <x:c r="S768" s="17" t="str"/>
      <x:c r="T768" s="17" t="str"/>
      <x:c r="U768" s="17" t="str">
        <x:v>r1</x:v>
      </x:c>
      <x:c r="V768" s="30" t="n">
        <x:v>2</x:v>
      </x:c>
      <x:c r="W768" s="17" t="str">
        <x:v>high</x:v>
      </x:c>
    </x:row>
    <x:row r="769" ht="54" customHeight="1">
      <x:c r="A769" s="17" t="str">
        <x:v>BUS178</x:v>
      </x:c>
      <x:c r="B769" s="17" t="str">
        <x:v>筛选当前成交额超过5亿元且涨幅超过2%的ETF。</x:v>
      </x:c>
      <x:c r="C769" s="17" t="n">
        <x:v>1</x:v>
      </x:c>
      <x:c r="D769" s="17" t="str"/>
      <x:c r="E769" s="17" t="str">
        <x:v>工具调用</x:v>
      </x:c>
      <x:c r="F769" s="17" t="str">
        <x:v>read_finance_catalog</x:v>
      </x:c>
      <x:c r="G769" s="17" t="str"/>
      <x:c r="H769" s="17" t="str"/>
      <x:c r="I769" s="17" t="str">
        <x:v>合理操作</x:v>
      </x:c>
      <x:c r="J769" s="17" t="str">
        <x:v>是</x:v>
      </x:c>
      <x:c r="K769" s="18"/>
      <x:c r="L769" s="17" t="str">
        <x:v>否</x:v>
      </x:c>
      <x:c r="M769" s="17" t="str">
        <x:v>否</x:v>
      </x:c>
      <x:c r="N769" s="17" t="str">
        <x:v>target_catalog_located</x:v>
      </x:c>
      <x:c r="O769" s="17" t="str">
        <x:v>expected_dataview_catalog</x:v>
      </x:c>
      <x:c r="P769" s="17" t="str"/>
      <x:c r="Q769" s="17" t="str"/>
      <x:c r="R769" s="17" t="str"/>
      <x:c r="S769" s="17" t="str">
        <x:v>fund</x:v>
      </x:c>
      <x:c r="T769" s="17" t="str">
        <x:v>quote</x:v>
      </x:c>
      <x:c r="U769" s="17" t="str"/>
      <x:c r="V769" s="30"/>
      <x:c r="W769" s="17" t="str">
        <x:v>high</x:v>
      </x:c>
    </x:row>
    <x:row r="770" ht="54" customHeight="1">
      <x:c r="A770" s="17" t="str">
        <x:v>BUS178</x:v>
      </x:c>
      <x:c r="B770" s="17" t="str">
        <x:v>筛选当前成交额超过5亿元且涨幅超过2%的ETF。</x:v>
      </x:c>
      <x:c r="C770" s="17" t="n">
        <x:v>2</x:v>
      </x:c>
      <x:c r="D770" s="17" t="str"/>
      <x:c r="E770" s="17" t="str">
        <x:v>工具调用</x:v>
      </x:c>
      <x:c r="F770" s="17" t="str">
        <x:v>finance_query</x:v>
      </x:c>
      <x:c r="G770" s="17" t="str">
        <x:v>r1 = fund.quote(filter = "amount &gt; 500000000 and pct &gt; 2", order = "amount desc", limit = 50, realtime = 0) -&gt; code, name, tradedate, close, pct, amount</x:v>
      </x:c>
      <x:c r="H770" s="17" t="str"/>
      <x:c r="I770" s="17" t="str">
        <x:v>合理操作</x:v>
      </x:c>
      <x:c r="J770" s="17" t="str">
        <x:v>是</x:v>
      </x:c>
      <x:c r="K770" s="18"/>
      <x:c r="L770" s="17" t="str">
        <x:v>否</x:v>
      </x:c>
      <x:c r="M770" s="17" t="str">
        <x:v>否</x:v>
      </x:c>
      <x:c r="N770" s="17" t="str">
        <x:v>target_api_executed</x:v>
      </x:c>
      <x:c r="O770" s="17" t="str">
        <x:v>expected_dataview_coverage</x:v>
      </x:c>
      <x:c r="P770" s="17" t="str">
        <x:v>session://financial_qa_33499cfa81de4d06_2872_ed13ea65f428/vars/v1</x:v>
      </x:c>
      <x:c r="Q770" s="17" t="str"/>
      <x:c r="R770" s="17" t="str">
        <x:v>fund.quote</x:v>
      </x:c>
      <x:c r="S770" s="17" t="str"/>
      <x:c r="T770" s="17" t="str"/>
      <x:c r="U770" s="17" t="str">
        <x:v>r1</x:v>
      </x:c>
      <x:c r="V770" s="30" t="n">
        <x:v>50</x:v>
      </x:c>
      <x:c r="W770" s="17" t="str">
        <x:v>high</x:v>
      </x:c>
    </x:row>
    <x:row r="771" ht="54" customHeight="1">
      <x:c r="A771" s="17" t="str">
        <x:v>BUS178</x:v>
      </x:c>
      <x:c r="B771" s="17" t="str">
        <x:v>筛选当前成交额超过5亿元且涨幅超过2%的ETF。</x:v>
      </x:c>
      <x:c r="C771" s="17" t="n">
        <x:v>3</x:v>
      </x:c>
      <x:c r="D771" s="17" t="str"/>
      <x:c r="E771" s="17" t="str">
        <x:v>工具调用</x:v>
      </x:c>
      <x:c r="F771" s="17" t="str">
        <x:v>load_finance_result</x:v>
      </x:c>
      <x:c r="G771" s="17" t="str"/>
      <x:c r="H771" s="17" t="str"/>
      <x:c r="I771" s="17" t="str">
        <x:v>合理操作</x:v>
      </x:c>
      <x:c r="J771" s="17" t="str">
        <x:v>是</x:v>
      </x:c>
      <x:c r="K771" s="18"/>
      <x:c r="L771" s="17" t="str">
        <x:v>否</x:v>
      </x:c>
      <x:c r="M771" s="17" t="str">
        <x:v>否</x:v>
      </x:c>
      <x:c r="N771" s="17" t="str">
        <x:v>load_truncated_result</x:v>
      </x:c>
      <x:c r="O771" s="17" t="str">
        <x:v>sample_incomplete_requires_full_result</x:v>
      </x:c>
      <x:c r="P771" s="17" t="str">
        <x:v>session://financial_qa_33499cfa81de4d06_2872_ed13ea65f428/vars/v1</x:v>
      </x:c>
      <x:c r="Q771" s="17" t="str"/>
      <x:c r="R771" s="17" t="str"/>
      <x:c r="S771" s="17" t="str"/>
      <x:c r="T771" s="17" t="str"/>
      <x:c r="U771" s="17" t="str"/>
      <x:c r="V771" s="30"/>
      <x:c r="W771" s="17" t="str">
        <x:v>high</x:v>
      </x:c>
    </x:row>
    <x:row r="772" ht="54" customHeight="1">
      <x:c r="A772" s="17" t="str">
        <x:v>BUS179</x:v>
      </x:c>
      <x:c r="B772" s="17" t="str">
        <x:v>查询近10个交易日平均成交额最高的基金前20名。</x:v>
      </x:c>
      <x:c r="C772" s="17" t="n">
        <x:v>1</x:v>
      </x:c>
      <x:c r="D772" s="17" t="str"/>
      <x:c r="E772" s="17" t="str">
        <x:v>工具调用</x:v>
      </x:c>
      <x:c r="F772" s="17" t="str">
        <x:v>read_finance_catalog</x:v>
      </x:c>
      <x:c r="G772" s="17" t="str"/>
      <x:c r="H772" s="17" t="str"/>
      <x:c r="I772" s="17" t="str">
        <x:v>合理操作</x:v>
      </x:c>
      <x:c r="J772" s="17" t="str">
        <x:v>是</x:v>
      </x:c>
      <x:c r="K772" s="18"/>
      <x:c r="L772" s="17" t="str">
        <x:v>否</x:v>
      </x:c>
      <x:c r="M772" s="17" t="str">
        <x:v>否</x:v>
      </x:c>
      <x:c r="N772" s="17" t="str">
        <x:v>target_catalog_located</x:v>
      </x:c>
      <x:c r="O772" s="17" t="str">
        <x:v>expected_dataview_catalog</x:v>
      </x:c>
      <x:c r="P772" s="17" t="str"/>
      <x:c r="Q772" s="17" t="str"/>
      <x:c r="R772" s="17" t="str"/>
      <x:c r="S772" s="17" t="str">
        <x:v>fund</x:v>
      </x:c>
      <x:c r="T772" s="17" t="str">
        <x:v>quote</x:v>
      </x:c>
      <x:c r="U772" s="17" t="str"/>
      <x:c r="V772" s="30"/>
      <x:c r="W772" s="17" t="str">
        <x:v>high</x:v>
      </x:c>
    </x:row>
    <x:row r="773" ht="54" customHeight="1">
      <x:c r="A773" s="17" t="str">
        <x:v>BUS179</x:v>
      </x:c>
      <x:c r="B773" s="17" t="str">
        <x:v>查询近10个交易日平均成交额最高的基金前20名。</x:v>
      </x:c>
      <x:c r="C773" s="17" t="n">
        <x:v>2</x:v>
      </x:c>
      <x:c r="D773" s="17" t="str"/>
      <x:c r="E773" s="17" t="str">
        <x:v>工具调用</x:v>
      </x:c>
      <x:c r="F773" s="17" t="str">
        <x:v>finance_query</x:v>
      </x:c>
      <x:c r="G773" s="17" t="str">
        <x:v>r1 = fund.quote.kd_amount_avg(k = 10, order = "value desc", limit = 20, realtime = 0) -&gt; code, name, value as avg_amount_10d</x:v>
      </x:c>
      <x:c r="H773" s="17" t="str"/>
      <x:c r="I773" s="17" t="str">
        <x:v>合理操作</x:v>
      </x:c>
      <x:c r="J773" s="17" t="str">
        <x:v>是</x:v>
      </x:c>
      <x:c r="K773" s="18"/>
      <x:c r="L773" s="17" t="str">
        <x:v>否</x:v>
      </x:c>
      <x:c r="M773" s="17" t="str">
        <x:v>否</x:v>
      </x:c>
      <x:c r="N773" s="17" t="str">
        <x:v>target_api_executed</x:v>
      </x:c>
      <x:c r="O773" s="17" t="str">
        <x:v>expected_dataview_coverage</x:v>
      </x:c>
      <x:c r="P773" s="17" t="str">
        <x:v>session://financial_qa_33499cfa81de4d06_2873_362ac5ee3e25/vars/v1</x:v>
      </x:c>
      <x:c r="Q773" s="17" t="str"/>
      <x:c r="R773" s="17" t="str">
        <x:v>fund.quote.kd_amount_avg</x:v>
      </x:c>
      <x:c r="S773" s="17" t="str"/>
      <x:c r="T773" s="17" t="str"/>
      <x:c r="U773" s="17" t="str">
        <x:v>r1</x:v>
      </x:c>
      <x:c r="V773" s="30" t="n">
        <x:v>20</x:v>
      </x:c>
      <x:c r="W773" s="17" t="str">
        <x:v>high</x:v>
      </x:c>
    </x:row>
    <x:row r="774" ht="54" customHeight="1">
      <x:c r="A774" s="17" t="str">
        <x:v>BUS179</x:v>
      </x:c>
      <x:c r="B774" s="17" t="str">
        <x:v>查询近10个交易日平均成交额最高的基金前20名。</x:v>
      </x:c>
      <x:c r="C774" s="17" t="n">
        <x:v>3</x:v>
      </x:c>
      <x:c r="D774" s="17" t="str"/>
      <x:c r="E774" s="17" t="str">
        <x:v>工具调用</x:v>
      </x:c>
      <x:c r="F774" s="17" t="str">
        <x:v>load_finance_result</x:v>
      </x:c>
      <x:c r="G774" s="17" t="str"/>
      <x:c r="H774" s="17" t="str"/>
      <x:c r="I774" s="17" t="str">
        <x:v>合理操作</x:v>
      </x:c>
      <x:c r="J774" s="17" t="str">
        <x:v>是</x:v>
      </x:c>
      <x:c r="K774" s="18"/>
      <x:c r="L774" s="17" t="str">
        <x:v>否</x:v>
      </x:c>
      <x:c r="M774" s="17" t="str">
        <x:v>否</x:v>
      </x:c>
      <x:c r="N774" s="17" t="str">
        <x:v>load_truncated_result</x:v>
      </x:c>
      <x:c r="O774" s="17" t="str">
        <x:v>sample_incomplete_requires_full_result</x:v>
      </x:c>
      <x:c r="P774" s="17" t="str">
        <x:v>session://financial_qa_33499cfa81de4d06_2873_362ac5ee3e25/vars/v1</x:v>
      </x:c>
      <x:c r="Q774" s="17" t="str"/>
      <x:c r="R774" s="17" t="str"/>
      <x:c r="S774" s="17" t="str"/>
      <x:c r="T774" s="17" t="str"/>
      <x:c r="U774" s="17" t="str"/>
      <x:c r="V774" s="30"/>
      <x:c r="W774" s="17" t="str">
        <x:v>high</x:v>
      </x:c>
    </x:row>
    <x:row r="775" ht="54" customHeight="1">
      <x:c r="A775" s="17" t="str">
        <x:v>BUS181</x:v>
      </x:c>
      <x:c r="B775" s="17" t="str">
        <x:v>同时查询沪深300ETF和沪深300指数当前涨跌幅。</x:v>
      </x:c>
      <x:c r="C775" s="17" t="n">
        <x:v>1</x:v>
      </x:c>
      <x:c r="D775" s="17" t="str"/>
      <x:c r="E775" s="17" t="str">
        <x:v>工具调用</x:v>
      </x:c>
      <x:c r="F775" s="17" t="str">
        <x:v>read_finance_catalog</x:v>
      </x:c>
      <x:c r="G775" s="17" t="str"/>
      <x:c r="H775" s="17" t="str"/>
      <x:c r="I775" s="17" t="str">
        <x:v>合理操作</x:v>
      </x:c>
      <x:c r="J775" s="17" t="str">
        <x:v>是</x:v>
      </x:c>
      <x:c r="K775" s="18"/>
      <x:c r="L775" s="17" t="str">
        <x:v>否</x:v>
      </x:c>
      <x:c r="M775" s="17" t="str">
        <x:v>否</x:v>
      </x:c>
      <x:c r="N775" s="17" t="str">
        <x:v>target_catalog_located</x:v>
      </x:c>
      <x:c r="O775" s="17" t="str">
        <x:v>expected_dataview_catalog</x:v>
      </x:c>
      <x:c r="P775" s="17" t="str"/>
      <x:c r="Q775" s="17" t="str"/>
      <x:c r="R775" s="17" t="str"/>
      <x:c r="S775" s="17" t="str">
        <x:v>index</x:v>
      </x:c>
      <x:c r="T775" s="17" t="str">
        <x:v>quote</x:v>
      </x:c>
      <x:c r="U775" s="17" t="str"/>
      <x:c r="V775" s="30"/>
      <x:c r="W775" s="17" t="str">
        <x:v>high</x:v>
      </x:c>
    </x:row>
    <x:row r="776" ht="54" customHeight="1">
      <x:c r="A776" s="17" t="str">
        <x:v>BUS181</x:v>
      </x:c>
      <x:c r="B776" s="17" t="str">
        <x:v>同时查询沪深300ETF和沪深300指数当前涨跌幅。</x:v>
      </x:c>
      <x:c r="C776" s="17" t="n">
        <x:v>2</x:v>
      </x:c>
      <x:c r="D776" s="17" t="str"/>
      <x:c r="E776" s="17" t="str">
        <x:v>工具调用</x:v>
      </x:c>
      <x:c r="F776" s="17" t="str">
        <x:v>read_finance_catalog</x:v>
      </x:c>
      <x:c r="G776" s="17" t="str"/>
      <x:c r="H776" s="17" t="str"/>
      <x:c r="I776" s="17" t="str">
        <x:v>合理操作</x:v>
      </x:c>
      <x:c r="J776" s="17" t="str">
        <x:v>是</x:v>
      </x:c>
      <x:c r="K776" s="18"/>
      <x:c r="L776" s="17" t="str">
        <x:v>否</x:v>
      </x:c>
      <x:c r="M776" s="17" t="str">
        <x:v>否</x:v>
      </x:c>
      <x:c r="N776" s="17" t="str">
        <x:v>target_catalog_located</x:v>
      </x:c>
      <x:c r="O776" s="17" t="str">
        <x:v>expected_dataview_catalog</x:v>
      </x:c>
      <x:c r="P776" s="17" t="str"/>
      <x:c r="Q776" s="17" t="str"/>
      <x:c r="R776" s="17" t="str"/>
      <x:c r="S776" s="17" t="str">
        <x:v>fund</x:v>
      </x:c>
      <x:c r="T776" s="17" t="str">
        <x:v>quote</x:v>
      </x:c>
      <x:c r="U776" s="17" t="str"/>
      <x:c r="V776" s="30"/>
      <x:c r="W776" s="17" t="str">
        <x:v>high</x:v>
      </x:c>
    </x:row>
    <x:row r="777" ht="54" customHeight="1">
      <x:c r="A777" s="17" t="str">
        <x:v>BUS181</x:v>
      </x:c>
      <x:c r="B777" s="17" t="str">
        <x:v>同时查询沪深300ETF和沪深300指数当前涨跌幅。</x:v>
      </x:c>
      <x:c r="C777" s="17" t="n">
        <x:v>3</x:v>
      </x:c>
      <x:c r="D777" s="17" t="str"/>
      <x:c r="E777" s="17" t="str">
        <x:v>工具调用</x:v>
      </x:c>
      <x:c r="F777" s="17" t="str">
        <x:v>finance_query</x:v>
      </x:c>
      <x:c r="G777" s="17" t="str">
        <x:v>r1 = index.quote(filter = "code = 000300.SH", realtime = 0, limit = 1) -&gt; code, name, tradedate, close, pct</x:v>
      </x:c>
      <x:c r="H777" s="17" t="str"/>
      <x:c r="I777" s="17" t="str">
        <x:v>合理操作</x:v>
      </x:c>
      <x:c r="J777" s="17" t="str">
        <x:v>是</x:v>
      </x:c>
      <x:c r="K777" s="18"/>
      <x:c r="L777" s="17" t="str">
        <x:v>否</x:v>
      </x:c>
      <x:c r="M777" s="17" t="str">
        <x:v>否</x:v>
      </x:c>
      <x:c r="N777" s="17" t="str">
        <x:v>target_api_executed</x:v>
      </x:c>
      <x:c r="O777" s="17" t="str">
        <x:v>expected_dataview_coverage</x:v>
      </x:c>
      <x:c r="P777" s="17" t="str">
        <x:v>session://financial_qa_33499cfa81de4d06_2874_cc6071aa1242/vars/v1</x:v>
      </x:c>
      <x:c r="Q777" s="17" t="str"/>
      <x:c r="R777" s="17" t="str">
        <x:v>index.quote</x:v>
      </x:c>
      <x:c r="S777" s="17" t="str"/>
      <x:c r="T777" s="17" t="str"/>
      <x:c r="U777" s="17" t="str">
        <x:v>r1</x:v>
      </x:c>
      <x:c r="V777" s="30" t="n">
        <x:v>1</x:v>
      </x:c>
      <x:c r="W777" s="17" t="str">
        <x:v>high</x:v>
      </x:c>
    </x:row>
    <x:row r="778" ht="54" customHeight="1">
      <x:c r="A778" s="17" t="str">
        <x:v>BUS181</x:v>
      </x:c>
      <x:c r="B778" s="17" t="str">
        <x:v>同时查询沪深300ETF和沪深300指数当前涨跌幅。</x:v>
      </x:c>
      <x:c r="C778" s="17" t="n">
        <x:v>4</x:v>
      </x:c>
      <x:c r="D778" s="17" t="str"/>
      <x:c r="E778" s="17" t="str">
        <x:v>工具调用</x:v>
      </x:c>
      <x:c r="F778" s="17" t="str">
        <x:v>finance_query</x:v>
      </x:c>
      <x:c r="G778" s="17" t="str">
        <x:v>r2 = fund.quote(filter = "code = 510300.SH", realtime = 0, limit = 1) -&gt; code, name, tradedate, close, pct</x:v>
      </x:c>
      <x:c r="H778" s="17" t="str"/>
      <x:c r="I778" s="17" t="str">
        <x:v>合理操作</x:v>
      </x:c>
      <x:c r="J778" s="17" t="str">
        <x:v>是</x:v>
      </x:c>
      <x:c r="K778" s="18"/>
      <x:c r="L778" s="17" t="str">
        <x:v>否</x:v>
      </x:c>
      <x:c r="M778" s="17" t="str">
        <x:v>否</x:v>
      </x:c>
      <x:c r="N778" s="17" t="str">
        <x:v>target_api_executed</x:v>
      </x:c>
      <x:c r="O778" s="17" t="str">
        <x:v>expected_dataview_coverage</x:v>
      </x:c>
      <x:c r="P778" s="17" t="str">
        <x:v>session://financial_qa_33499cfa81de4d06_2874_cc6071aa1242/vars/v2</x:v>
      </x:c>
      <x:c r="Q778" s="17" t="str"/>
      <x:c r="R778" s="17" t="str">
        <x:v>fund.quote</x:v>
      </x:c>
      <x:c r="S778" s="17" t="str"/>
      <x:c r="T778" s="17" t="str"/>
      <x:c r="U778" s="17" t="str">
        <x:v>r2</x:v>
      </x:c>
      <x:c r="V778" s="30" t="n">
        <x:v>1</x:v>
      </x:c>
      <x:c r="W778" s="17" t="str">
        <x:v>high</x:v>
      </x:c>
    </x:row>
    <x:row r="779" ht="54" customHeight="1">
      <x:c r="A779" s="17" t="str">
        <x:v>BUS182</x:v>
      </x:c>
      <x:c r="B779" s="17" t="str">
        <x:v>查询半导体ETF当前涨幅，并列出半导体板块当前涨幅。</x:v>
      </x:c>
      <x:c r="C779" s="17" t="n">
        <x:v>1</x:v>
      </x:c>
      <x:c r="D779" s="17" t="str"/>
      <x:c r="E779" s="17" t="str">
        <x:v>工具调用</x:v>
      </x:c>
      <x:c r="F779" s="17" t="str">
        <x:v>read_finance_catalog</x:v>
      </x:c>
      <x:c r="G779" s="17" t="str"/>
      <x:c r="H779" s="17" t="str"/>
      <x:c r="I779" s="17" t="str">
        <x:v>合理操作</x:v>
      </x:c>
      <x:c r="J779" s="17" t="str">
        <x:v>是</x:v>
      </x:c>
      <x:c r="K779" s="18"/>
      <x:c r="L779" s="17" t="str">
        <x:v>否</x:v>
      </x:c>
      <x:c r="M779" s="17" t="str">
        <x:v>否</x:v>
      </x:c>
      <x:c r="N779" s="17" t="str">
        <x:v>target_catalog_located</x:v>
      </x:c>
      <x:c r="O779" s="17" t="str">
        <x:v>expected_dataview_catalog</x:v>
      </x:c>
      <x:c r="P779" s="17" t="str"/>
      <x:c r="Q779" s="17" t="str"/>
      <x:c r="R779" s="17" t="str"/>
      <x:c r="S779" s="17" t="str">
        <x:v>fund</x:v>
      </x:c>
      <x:c r="T779" s="17" t="str">
        <x:v>quote</x:v>
      </x:c>
      <x:c r="U779" s="17" t="str"/>
      <x:c r="V779" s="30"/>
      <x:c r="W779" s="17" t="str">
        <x:v>high</x:v>
      </x:c>
    </x:row>
    <x:row r="780" ht="54" customHeight="1">
      <x:c r="A780" s="17" t="str">
        <x:v>BUS182</x:v>
      </x:c>
      <x:c r="B780" s="17" t="str">
        <x:v>查询半导体ETF当前涨幅，并列出半导体板块当前涨幅。</x:v>
      </x:c>
      <x:c r="C780" s="17" t="n">
        <x:v>2</x:v>
      </x:c>
      <x:c r="D780" s="17" t="str"/>
      <x:c r="E780" s="17" t="str">
        <x:v>工具调用</x:v>
      </x:c>
      <x:c r="F780" s="17" t="str">
        <x:v>read_finance_catalog</x:v>
      </x:c>
      <x:c r="G780" s="17" t="str"/>
      <x:c r="H780" s="17" t="str"/>
      <x:c r="I780" s="17" t="str">
        <x:v>合理操作</x:v>
      </x:c>
      <x:c r="J780" s="17" t="str">
        <x:v>是</x:v>
      </x:c>
      <x:c r="K780" s="18"/>
      <x:c r="L780" s="17" t="str">
        <x:v>否</x:v>
      </x:c>
      <x:c r="M780" s="17" t="str">
        <x:v>否</x:v>
      </x:c>
      <x:c r="N780" s="17" t="str">
        <x:v>target_catalog_located</x:v>
      </x:c>
      <x:c r="O780" s="17" t="str">
        <x:v>expected_dataview_catalog</x:v>
      </x:c>
      <x:c r="P780" s="17" t="str"/>
      <x:c r="Q780" s="17" t="str"/>
      <x:c r="R780" s="17" t="str"/>
      <x:c r="S780" s="17" t="str">
        <x:v>plate</x:v>
      </x:c>
      <x:c r="T780" s="17" t="str">
        <x:v>quote</x:v>
      </x:c>
      <x:c r="U780" s="17" t="str"/>
      <x:c r="V780" s="30"/>
      <x:c r="W780" s="17" t="str">
        <x:v>high</x:v>
      </x:c>
    </x:row>
    <x:row r="781" ht="54" customHeight="1">
      <x:c r="A781" s="17" t="str">
        <x:v>BUS182</x:v>
      </x:c>
      <x:c r="B781" s="17" t="str">
        <x:v>查询半导体ETF当前涨幅，并列出半导体板块当前涨幅。</x:v>
      </x:c>
      <x:c r="C781" s="17" t="n">
        <x:v>3</x:v>
      </x:c>
      <x:c r="D781" s="17" t="str"/>
      <x:c r="E781" s="17" t="str">
        <x:v>工具调用</x:v>
      </x:c>
      <x:c r="F781" s="17" t="str">
        <x:v>read_finance_catalog</x:v>
      </x:c>
      <x:c r="G781" s="17" t="str"/>
      <x:c r="H781" s="17" t="str"/>
      <x:c r="I781" s="17" t="str">
        <x:v>合理操作</x:v>
      </x:c>
      <x:c r="J781" s="17" t="str">
        <x:v>是</x:v>
      </x:c>
      <x:c r="K781" s="18"/>
      <x:c r="L781" s="17" t="str">
        <x:v>否</x:v>
      </x:c>
      <x:c r="M781" s="17" t="str">
        <x:v>否</x:v>
      </x:c>
      <x:c r="N781" s="17" t="str">
        <x:v>subject_catalog_discovery</x:v>
      </x:c>
      <x:c r="O781" s="17" t="str">
        <x:v>expected_subject_catalog</x:v>
      </x:c>
      <x:c r="P781" s="17" t="str"/>
      <x:c r="Q781" s="17" t="str"/>
      <x:c r="R781" s="17" t="str"/>
      <x:c r="S781" s="17" t="str">
        <x:v>plate</x:v>
      </x:c>
      <x:c r="T781" s="17" t="str">
        <x:v>basic_info</x:v>
      </x:c>
      <x:c r="U781" s="17" t="str"/>
      <x:c r="V781" s="30"/>
      <x:c r="W781" s="17" t="str">
        <x:v>medium</x:v>
      </x:c>
    </x:row>
    <x:row r="782" ht="54" customHeight="1">
      <x:c r="A782" s="17" t="str">
        <x:v>BUS182</x:v>
      </x:c>
      <x:c r="B782" s="17" t="str">
        <x:v>查询半导体ETF当前涨幅，并列出半导体板块当前涨幅。</x:v>
      </x:c>
      <x:c r="C782" s="17" t="n">
        <x:v>4</x:v>
      </x:c>
      <x:c r="D782" s="17" t="str"/>
      <x:c r="E782" s="17" t="str">
        <x:v>工具调用</x:v>
      </x:c>
      <x:c r="F782" s="17" t="str">
        <x:v>finance_query</x:v>
      </x:c>
      <x:c r="G782" s="17" t="str">
        <x:v>r1 = plate.basic_info(filter = "plate_name like '%半导体%'", limit = 10) -&gt; plate_code, plate_name</x:v>
      </x:c>
      <x:c r="H782" s="17" t="str"/>
      <x:c r="I782" s="17" t="str">
        <x:v>合理操作</x:v>
      </x:c>
      <x:c r="J782" s="17" t="str">
        <x:v>是</x:v>
      </x:c>
      <x:c r="K782" s="18"/>
      <x:c r="L782" s="17" t="str">
        <x:v>否</x:v>
      </x:c>
      <x:c r="M782" s="17" t="str">
        <x:v>否</x:v>
      </x:c>
      <x:c r="N782" s="17" t="str">
        <x:v>same_subject_dependency</x:v>
      </x:c>
      <x:c r="O782" s="17" t="str">
        <x:v>supporting_api_for_expected_subject</x:v>
      </x:c>
      <x:c r="P782" s="17" t="str">
        <x:v>session://financial_qa_33499cfa81de4d06_2875_3668ab54bdfe/vars/v1</x:v>
      </x:c>
      <x:c r="Q782" s="17" t="str"/>
      <x:c r="R782" s="17" t="str">
        <x:v>plate.basic_info</x:v>
      </x:c>
      <x:c r="S782" s="17" t="str"/>
      <x:c r="T782" s="17" t="str"/>
      <x:c r="U782" s="17" t="str">
        <x:v>r1</x:v>
      </x:c>
      <x:c r="V782" s="30" t="n">
        <x:v>7</x:v>
      </x:c>
      <x:c r="W782" s="17" t="str">
        <x:v>medium</x:v>
      </x:c>
    </x:row>
    <x:row r="783" ht="54" customHeight="1">
      <x:c r="A783" s="17" t="str">
        <x:v>BUS182</x:v>
      </x:c>
      <x:c r="B783" s="17" t="str">
        <x:v>查询半导体ETF当前涨幅，并列出半导体板块当前涨幅。</x:v>
      </x:c>
      <x:c r="C783" s="17" t="n">
        <x:v>5</x:v>
      </x:c>
      <x:c r="D783" s="17" t="str"/>
      <x:c r="E783" s="17" t="str">
        <x:v>工具调用</x:v>
      </x:c>
      <x:c r="F783" s="17" t="str">
        <x:v>finance_query</x:v>
      </x:c>
      <x:c r="G783" s="17" t="str">
        <x:v>r2 = fund.quote(filter = "code = 512480", realtime = 2, limit = 1) -&gt; code, name, pct, close, differ, amount</x:v>
      </x:c>
      <x:c r="H783" s="17" t="str"/>
      <x:c r="I783" s="17" t="str">
        <x:v>合理操作</x:v>
      </x:c>
      <x:c r="J783" s="17" t="str">
        <x:v>是</x:v>
      </x:c>
      <x:c r="K783" s="18"/>
      <x:c r="L783" s="17" t="str">
        <x:v>否</x:v>
      </x:c>
      <x:c r="M783" s="17" t="str">
        <x:v>否</x:v>
      </x:c>
      <x:c r="N783" s="17" t="str">
        <x:v>target_api_executed</x:v>
      </x:c>
      <x:c r="O783" s="17" t="str">
        <x:v>expected_dataview_coverage</x:v>
      </x:c>
      <x:c r="P783" s="17" t="str">
        <x:v>session://financial_qa_33499cfa81de4d06_2875_3668ab54bdfe/vars/v2</x:v>
      </x:c>
      <x:c r="Q783" s="17" t="str"/>
      <x:c r="R783" s="17" t="str">
        <x:v>fund.quote</x:v>
      </x:c>
      <x:c r="S783" s="17" t="str"/>
      <x:c r="T783" s="17" t="str"/>
      <x:c r="U783" s="17" t="str">
        <x:v>r2</x:v>
      </x:c>
      <x:c r="V783" s="30" t="n">
        <x:v>1</x:v>
      </x:c>
      <x:c r="W783" s="17" t="str">
        <x:v>high</x:v>
      </x:c>
    </x:row>
    <x:row r="784" ht="54" customHeight="1">
      <x:c r="A784" s="17" t="str">
        <x:v>BUS182</x:v>
      </x:c>
      <x:c r="B784" s="17" t="str">
        <x:v>查询半导体ETF当前涨幅，并列出半导体板块当前涨幅。</x:v>
      </x:c>
      <x:c r="C784" s="17" t="n">
        <x:v>6</x:v>
      </x:c>
      <x:c r="D784" s="17" t="str"/>
      <x:c r="E784" s="17" t="str">
        <x:v>工具调用</x:v>
      </x:c>
      <x:c r="F784" s="17" t="str">
        <x:v>finance_query</x:v>
      </x:c>
      <x:c r="G784" s="17" t="str">
        <x:v>r3 = plate.quote(filter = "code = 883720", realtime = 2, limit = 1) -&gt; code, name, pct, close, differ, amount</x:v>
      </x:c>
      <x:c r="H784" s="17" t="str"/>
      <x:c r="I784" s="17" t="str">
        <x:v>合理操作</x:v>
      </x:c>
      <x:c r="J784" s="17" t="str">
        <x:v>是</x:v>
      </x:c>
      <x:c r="K784" s="18"/>
      <x:c r="L784" s="17" t="str">
        <x:v>否</x:v>
      </x:c>
      <x:c r="M784" s="17" t="str">
        <x:v>否</x:v>
      </x:c>
      <x:c r="N784" s="17" t="str">
        <x:v>target_api_executed</x:v>
      </x:c>
      <x:c r="O784" s="17" t="str">
        <x:v>expected_dataview_coverage</x:v>
      </x:c>
      <x:c r="P784" s="17" t="str">
        <x:v>session://financial_qa_33499cfa81de4d06_2875_3668ab54bdfe/vars/v3</x:v>
      </x:c>
      <x:c r="Q784" s="17" t="str"/>
      <x:c r="R784" s="17" t="str">
        <x:v>plate.quote</x:v>
      </x:c>
      <x:c r="S784" s="17" t="str"/>
      <x:c r="T784" s="17" t="str"/>
      <x:c r="U784" s="17" t="str">
        <x:v>r3</x:v>
      </x:c>
      <x:c r="V784" s="30" t="n">
        <x:v>1</x:v>
      </x:c>
      <x:c r="W784" s="17" t="str">
        <x:v>high</x:v>
      </x:c>
    </x:row>
    <x:row r="785" ht="54" customHeight="1">
      <x:c r="A785" s="17" t="str">
        <x:v>BUS184</x:v>
      </x:c>
      <x:c r="B785" s="17" t="str">
        <x:v>同时查询创业板ETF行情和宁德时代当前涨跌幅。</x:v>
      </x:c>
      <x:c r="C785" s="17" t="n">
        <x:v>1</x:v>
      </x:c>
      <x:c r="D785" s="17" t="str"/>
      <x:c r="E785" s="17" t="str">
        <x:v>工具调用</x:v>
      </x:c>
      <x:c r="F785" s="17" t="str">
        <x:v>read_finance_catalog</x:v>
      </x:c>
      <x:c r="G785" s="17" t="str"/>
      <x:c r="H785" s="17" t="str"/>
      <x:c r="I785" s="17" t="str">
        <x:v>合理操作</x:v>
      </x:c>
      <x:c r="J785" s="17" t="str">
        <x:v>是</x:v>
      </x:c>
      <x:c r="K785" s="18"/>
      <x:c r="L785" s="17" t="str">
        <x:v>否</x:v>
      </x:c>
      <x:c r="M785" s="17" t="str">
        <x:v>否</x:v>
      </x:c>
      <x:c r="N785" s="17" t="str">
        <x:v>target_catalog_located</x:v>
      </x:c>
      <x:c r="O785" s="17" t="str">
        <x:v>expected_dataview_catalog</x:v>
      </x:c>
      <x:c r="P785" s="17" t="str"/>
      <x:c r="Q785" s="17" t="str"/>
      <x:c r="R785" s="17" t="str"/>
      <x:c r="S785" s="17" t="str">
        <x:v>fund</x:v>
      </x:c>
      <x:c r="T785" s="17" t="str">
        <x:v>quote</x:v>
      </x:c>
      <x:c r="U785" s="17" t="str"/>
      <x:c r="V785" s="30"/>
      <x:c r="W785" s="17" t="str">
        <x:v>high</x:v>
      </x:c>
    </x:row>
    <x:row r="786" ht="54" customHeight="1">
      <x:c r="A786" s="17" t="str">
        <x:v>BUS184</x:v>
      </x:c>
      <x:c r="B786" s="17" t="str">
        <x:v>同时查询创业板ETF行情和宁德时代当前涨跌幅。</x:v>
      </x:c>
      <x:c r="C786" s="17" t="n">
        <x:v>2</x:v>
      </x:c>
      <x:c r="D786" s="17" t="str"/>
      <x:c r="E786" s="17" t="str">
        <x:v>工具调用</x:v>
      </x:c>
      <x:c r="F786" s="17" t="str">
        <x:v>read_finance_catalog</x:v>
      </x:c>
      <x:c r="G786" s="17" t="str"/>
      <x:c r="H786" s="17" t="str"/>
      <x:c r="I786" s="17" t="str">
        <x:v>合理操作</x:v>
      </x:c>
      <x:c r="J786" s="17" t="str">
        <x:v>是</x:v>
      </x:c>
      <x:c r="K786" s="18"/>
      <x:c r="L786" s="17" t="str">
        <x:v>否</x:v>
      </x:c>
      <x:c r="M786" s="17" t="str">
        <x:v>否</x:v>
      </x:c>
      <x:c r="N786" s="17" t="str">
        <x:v>target_catalog_located</x:v>
      </x:c>
      <x:c r="O786" s="17" t="str">
        <x:v>expected_dataview_catalog</x:v>
      </x:c>
      <x:c r="P786" s="17" t="str"/>
      <x:c r="Q786" s="17" t="str"/>
      <x:c r="R786" s="17" t="str"/>
      <x:c r="S786" s="17" t="str">
        <x:v>stock</x:v>
      </x:c>
      <x:c r="T786" s="17" t="str">
        <x:v>quote</x:v>
      </x:c>
      <x:c r="U786" s="17" t="str"/>
      <x:c r="V786" s="30"/>
      <x:c r="W786" s="17" t="str">
        <x:v>high</x:v>
      </x:c>
    </x:row>
    <x:row r="787" ht="54" customHeight="1">
      <x:c r="A787" s="17" t="str">
        <x:v>BUS184</x:v>
      </x:c>
      <x:c r="B787" s="17" t="str">
        <x:v>同时查询创业板ETF行情和宁德时代当前涨跌幅。</x:v>
      </x:c>
      <x:c r="C787" s="17" t="n">
        <x:v>3</x:v>
      </x:c>
      <x:c r="D787" s="17" t="str"/>
      <x:c r="E787" s="17" t="str">
        <x:v>工具调用</x:v>
      </x:c>
      <x:c r="F787" s="17" t="str">
        <x:v>finance_query</x:v>
      </x:c>
      <x:c r="G787" s="17" t="str">
        <x:v>r1 = fund.quote(filter = "code = 159915", realtime = 0, limit = 1) -&gt; code, name, tradedate, close, pct, amount</x:v>
      </x:c>
      <x:c r="H787" s="17" t="str"/>
      <x:c r="I787" s="17" t="str">
        <x:v>合理操作</x:v>
      </x:c>
      <x:c r="J787" s="17" t="str">
        <x:v>是</x:v>
      </x:c>
      <x:c r="K787" s="18"/>
      <x:c r="L787" s="17" t="str">
        <x:v>否</x:v>
      </x:c>
      <x:c r="M787" s="17" t="str">
        <x:v>否</x:v>
      </x:c>
      <x:c r="N787" s="17" t="str">
        <x:v>target_api_executed</x:v>
      </x:c>
      <x:c r="O787" s="17" t="str">
        <x:v>expected_dataview_coverage</x:v>
      </x:c>
      <x:c r="P787" s="17" t="str">
        <x:v>session://financial_qa_33499cfa81de4d06_2877_108b5bd7aaa3/vars/v1</x:v>
      </x:c>
      <x:c r="Q787" s="17" t="str"/>
      <x:c r="R787" s="17" t="str">
        <x:v>fund.quote</x:v>
      </x:c>
      <x:c r="S787" s="17" t="str"/>
      <x:c r="T787" s="17" t="str"/>
      <x:c r="U787" s="17" t="str">
        <x:v>r1</x:v>
      </x:c>
      <x:c r="V787" s="30" t="n">
        <x:v>1</x:v>
      </x:c>
      <x:c r="W787" s="17" t="str">
        <x:v>high</x:v>
      </x:c>
    </x:row>
    <x:row r="788" ht="54" customHeight="1">
      <x:c r="A788" s="17" t="str">
        <x:v>BUS184</x:v>
      </x:c>
      <x:c r="B788" s="17" t="str">
        <x:v>同时查询创业板ETF行情和宁德时代当前涨跌幅。</x:v>
      </x:c>
      <x:c r="C788" s="17" t="n">
        <x:v>4</x:v>
      </x:c>
      <x:c r="D788" s="17" t="str"/>
      <x:c r="E788" s="17" t="str">
        <x:v>工具调用</x:v>
      </x:c>
      <x:c r="F788" s="17" t="str">
        <x:v>finance_query</x:v>
      </x:c>
      <x:c r="G788" s="17" t="str">
        <x:v>r2 = stock.quote(filter = "code = 300750.SZ", realtime = 0, limit = 1) -&gt; code, name, tradedate, close, pct</x:v>
      </x:c>
      <x:c r="H788" s="17" t="str"/>
      <x:c r="I788" s="17" t="str">
        <x:v>合理操作</x:v>
      </x:c>
      <x:c r="J788" s="17" t="str">
        <x:v>是</x:v>
      </x:c>
      <x:c r="K788" s="18"/>
      <x:c r="L788" s="17" t="str">
        <x:v>否</x:v>
      </x:c>
      <x:c r="M788" s="17" t="str">
        <x:v>否</x:v>
      </x:c>
      <x:c r="N788" s="17" t="str">
        <x:v>target_api_executed</x:v>
      </x:c>
      <x:c r="O788" s="17" t="str">
        <x:v>expected_dataview_coverage</x:v>
      </x:c>
      <x:c r="P788" s="17" t="str">
        <x:v>session://financial_qa_33499cfa81de4d06_2877_108b5bd7aaa3/vars/v2</x:v>
      </x:c>
      <x:c r="Q788" s="17" t="str"/>
      <x:c r="R788" s="17" t="str">
        <x:v>stock.quote</x:v>
      </x:c>
      <x:c r="S788" s="17" t="str"/>
      <x:c r="T788" s="17" t="str"/>
      <x:c r="U788" s="17" t="str">
        <x:v>r2</x:v>
      </x:c>
      <x:c r="V788" s="30" t="n">
        <x:v>1</x:v>
      </x:c>
      <x:c r="W788" s="17" t="str">
        <x:v>high</x:v>
      </x:c>
    </x:row>
    <x:row r="789" ht="54" customHeight="1">
      <x:c r="A789" s="17" t="str">
        <x:v>BUS185</x:v>
      </x:c>
      <x:c r="B789" s="17" t="str">
        <x:v>查询平安转债的债券代码、名称和发行人。</x:v>
      </x:c>
      <x:c r="C789" s="17" t="n">
        <x:v>1</x:v>
      </x:c>
      <x:c r="D789" s="17" t="str"/>
      <x:c r="E789" s="17" t="str">
        <x:v>工具调用</x:v>
      </x:c>
      <x:c r="F789" s="17" t="str">
        <x:v>read_finance_catalog</x:v>
      </x:c>
      <x:c r="G789" s="17" t="str"/>
      <x:c r="H789" s="17" t="str"/>
      <x:c r="I789" s="17" t="str">
        <x:v>合理操作</x:v>
      </x:c>
      <x:c r="J789" s="17" t="str">
        <x:v>是</x:v>
      </x:c>
      <x:c r="K789" s="18"/>
      <x:c r="L789" s="17" t="str">
        <x:v>否</x:v>
      </x:c>
      <x:c r="M789" s="17" t="str">
        <x:v>否</x:v>
      </x:c>
      <x:c r="N789" s="17" t="str">
        <x:v>target_catalog_located</x:v>
      </x:c>
      <x:c r="O789" s="17" t="str">
        <x:v>expected_dataview_catalog</x:v>
      </x:c>
      <x:c r="P789" s="17" t="str"/>
      <x:c r="Q789" s="17" t="str"/>
      <x:c r="R789" s="17" t="str"/>
      <x:c r="S789" s="17" t="str">
        <x:v>bond</x:v>
      </x:c>
      <x:c r="T789" s="17" t="str">
        <x:v>basic_info</x:v>
      </x:c>
      <x:c r="U789" s="17" t="str"/>
      <x:c r="V789" s="30"/>
      <x:c r="W789" s="17" t="str">
        <x:v>high</x:v>
      </x:c>
    </x:row>
    <x:row r="790" ht="54" customHeight="1">
      <x:c r="A790" s="17" t="str">
        <x:v>BUS185</x:v>
      </x:c>
      <x:c r="B790" s="17" t="str">
        <x:v>查询平安转债的债券代码、名称和发行人。</x:v>
      </x:c>
      <x:c r="C790" s="17" t="n">
        <x:v>2</x:v>
      </x:c>
      <x:c r="D790" s="17" t="str"/>
      <x:c r="E790" s="17" t="str">
        <x:v>工具调用</x:v>
      </x:c>
      <x:c r="F790" s="17" t="str">
        <x:v>finance_query</x:v>
      </x:c>
      <x:c r="G790" s="17" t="str">
        <x:v>r1 = bond.basic_info(filter = "name like '%平安转债%'", limit = 10) -&gt; code, name, issuer</x:v>
      </x:c>
      <x:c r="H790" s="17" t="str"/>
      <x:c r="I790" s="17" t="str">
        <x:v>合理操作</x:v>
      </x:c>
      <x:c r="J790" s="17" t="str">
        <x:v>是</x:v>
      </x:c>
      <x:c r="K790" s="18"/>
      <x:c r="L790" s="17" t="str">
        <x:v>否</x:v>
      </x:c>
      <x:c r="M790" s="17" t="str">
        <x:v>否</x:v>
      </x:c>
      <x:c r="N790" s="17" t="str">
        <x:v>target_api_executed</x:v>
      </x:c>
      <x:c r="O790" s="17" t="str">
        <x:v>expected_dataview_coverage</x:v>
      </x:c>
      <x:c r="P790" s="17" t="str">
        <x:v>session://financial_qa_33499cfa81de4d06_2878_efee66a2aeea/vars/v1</x:v>
      </x:c>
      <x:c r="Q790" s="17" t="str"/>
      <x:c r="R790" s="17" t="str">
        <x:v>bond.basic_info</x:v>
      </x:c>
      <x:c r="S790" s="17" t="str"/>
      <x:c r="T790" s="17" t="str"/>
      <x:c r="U790" s="17" t="str">
        <x:v>r1</x:v>
      </x:c>
      <x:c r="V790" s="30" t="n">
        <x:v>1</x:v>
      </x:c>
      <x:c r="W790" s="17" t="str">
        <x:v>high</x:v>
      </x:c>
    </x:row>
    <x:row r="791" ht="54" customHeight="1">
      <x:c r="A791" s="17" t="str">
        <x:v>BUS186</x:v>
      </x:c>
      <x:c r="B791" s="17" t="str">
        <x:v>查询名称包含转债的债券代码和名称。</x:v>
      </x:c>
      <x:c r="C791" s="17" t="n">
        <x:v>1</x:v>
      </x:c>
      <x:c r="D791" s="17" t="str"/>
      <x:c r="E791" s="17" t="str">
        <x:v>工具调用</x:v>
      </x:c>
      <x:c r="F791" s="17" t="str">
        <x:v>read_finance_catalog</x:v>
      </x:c>
      <x:c r="G791" s="17" t="str"/>
      <x:c r="H791" s="17" t="str"/>
      <x:c r="I791" s="17" t="str">
        <x:v>合理操作</x:v>
      </x:c>
      <x:c r="J791" s="17" t="str">
        <x:v>是</x:v>
      </x:c>
      <x:c r="K791" s="18"/>
      <x:c r="L791" s="17" t="str">
        <x:v>否</x:v>
      </x:c>
      <x:c r="M791" s="17" t="str">
        <x:v>否</x:v>
      </x:c>
      <x:c r="N791" s="17" t="str">
        <x:v>target_catalog_located</x:v>
      </x:c>
      <x:c r="O791" s="17" t="str">
        <x:v>expected_dataview_catalog</x:v>
      </x:c>
      <x:c r="P791" s="17" t="str"/>
      <x:c r="Q791" s="17" t="str"/>
      <x:c r="R791" s="17" t="str"/>
      <x:c r="S791" s="17" t="str">
        <x:v>bond</x:v>
      </x:c>
      <x:c r="T791" s="17" t="str">
        <x:v>basic_info</x:v>
      </x:c>
      <x:c r="U791" s="17" t="str"/>
      <x:c r="V791" s="30"/>
      <x:c r="W791" s="17" t="str">
        <x:v>high</x:v>
      </x:c>
    </x:row>
    <x:row r="792" ht="54" customHeight="1">
      <x:c r="A792" s="17" t="str">
        <x:v>BUS186</x:v>
      </x:c>
      <x:c r="B792" s="17" t="str">
        <x:v>查询名称包含转债的债券代码和名称。</x:v>
      </x:c>
      <x:c r="C792" s="17" t="n">
        <x:v>2</x:v>
      </x:c>
      <x:c r="D792" s="17" t="str"/>
      <x:c r="E792" s="17" t="str">
        <x:v>工具调用</x:v>
      </x:c>
      <x:c r="F792" s="17" t="str">
        <x:v>finance_query</x:v>
      </x:c>
      <x:c r="G792" s="17" t="str">
        <x:v>r1 = bond.basic_info(filter = "name like '%转债%'", limit = 100) -&gt; code, name</x:v>
      </x:c>
      <x:c r="H792" s="17" t="str"/>
      <x:c r="I792" s="17" t="str">
        <x:v>合理操作</x:v>
      </x:c>
      <x:c r="J792" s="17" t="str">
        <x:v>是</x:v>
      </x:c>
      <x:c r="K792" s="18"/>
      <x:c r="L792" s="17" t="str">
        <x:v>否</x:v>
      </x:c>
      <x:c r="M792" s="17" t="str">
        <x:v>否</x:v>
      </x:c>
      <x:c r="N792" s="17" t="str">
        <x:v>target_api_executed</x:v>
      </x:c>
      <x:c r="O792" s="17" t="str">
        <x:v>expected_dataview_coverage</x:v>
      </x:c>
      <x:c r="P792" s="17" t="str">
        <x:v>session://financial_qa_33499cfa81de4d06_2879_2f030d88f3da/vars/v1</x:v>
      </x:c>
      <x:c r="Q792" s="17" t="str"/>
      <x:c r="R792" s="17" t="str">
        <x:v>bond.basic_info</x:v>
      </x:c>
      <x:c r="S792" s="17" t="str"/>
      <x:c r="T792" s="17" t="str"/>
      <x:c r="U792" s="17" t="str">
        <x:v>r1</x:v>
      </x:c>
      <x:c r="V792" s="30" t="n">
        <x:v>100</x:v>
      </x:c>
      <x:c r="W792" s="17" t="str">
        <x:v>high</x:v>
      </x:c>
    </x:row>
    <x:row r="793" ht="54" customHeight="1">
      <x:c r="A793" s="17" t="str">
        <x:v>BUS188</x:v>
      </x:c>
      <x:c r="B793" s="17" t="str">
        <x:v>查询名称包含银行的债券列表。</x:v>
      </x:c>
      <x:c r="C793" s="17" t="n">
        <x:v>1</x:v>
      </x:c>
      <x:c r="D793" s="17" t="str"/>
      <x:c r="E793" s="17" t="str">
        <x:v>工具调用</x:v>
      </x:c>
      <x:c r="F793" s="17" t="str">
        <x:v>read_finance_catalog</x:v>
      </x:c>
      <x:c r="G793" s="17" t="str"/>
      <x:c r="H793" s="17" t="str"/>
      <x:c r="I793" s="17" t="str">
        <x:v>合理操作</x:v>
      </x:c>
      <x:c r="J793" s="17" t="str">
        <x:v>是</x:v>
      </x:c>
      <x:c r="K793" s="18"/>
      <x:c r="L793" s="17" t="str">
        <x:v>否</x:v>
      </x:c>
      <x:c r="M793" s="17" t="str">
        <x:v>否</x:v>
      </x:c>
      <x:c r="N793" s="17" t="str">
        <x:v>target_catalog_located</x:v>
      </x:c>
      <x:c r="O793" s="17" t="str">
        <x:v>expected_dataview_catalog</x:v>
      </x:c>
      <x:c r="P793" s="17" t="str"/>
      <x:c r="Q793" s="17" t="str"/>
      <x:c r="R793" s="17" t="str"/>
      <x:c r="S793" s="17" t="str">
        <x:v>bond</x:v>
      </x:c>
      <x:c r="T793" s="17" t="str">
        <x:v>basic_info</x:v>
      </x:c>
      <x:c r="U793" s="17" t="str"/>
      <x:c r="V793" s="30"/>
      <x:c r="W793" s="17" t="str">
        <x:v>high</x:v>
      </x:c>
    </x:row>
    <x:row r="794" ht="54" customHeight="1">
      <x:c r="A794" s="17" t="str">
        <x:v>BUS188</x:v>
      </x:c>
      <x:c r="B794" s="17" t="str">
        <x:v>查询名称包含银行的债券列表。</x:v>
      </x:c>
      <x:c r="C794" s="17" t="n">
        <x:v>2</x:v>
      </x:c>
      <x:c r="D794" s="17" t="str"/>
      <x:c r="E794" s="17" t="str">
        <x:v>工具调用</x:v>
      </x:c>
      <x:c r="F794" s="17" t="str">
        <x:v>finance_query</x:v>
      </x:c>
      <x:c r="G794" s="17" t="str">
        <x:v>r1 = bond.basic_info(filter = "name like '%银行%'", limit = 50) -&gt; code, name, issuer</x:v>
      </x:c>
      <x:c r="H794" s="17" t="str"/>
      <x:c r="I794" s="17" t="str">
        <x:v>合理操作</x:v>
      </x:c>
      <x:c r="J794" s="17" t="str">
        <x:v>是</x:v>
      </x:c>
      <x:c r="K794" s="18"/>
      <x:c r="L794" s="17" t="str">
        <x:v>否</x:v>
      </x:c>
      <x:c r="M794" s="17" t="str">
        <x:v>否</x:v>
      </x:c>
      <x:c r="N794" s="17" t="str">
        <x:v>target_api_executed</x:v>
      </x:c>
      <x:c r="O794" s="17" t="str">
        <x:v>expected_dataview_coverage</x:v>
      </x:c>
      <x:c r="P794" s="17" t="str">
        <x:v>session://financial_qa_33499cfa81de4d06_2881_5a18f5b278d8/vars/v1</x:v>
      </x:c>
      <x:c r="Q794" s="17" t="str"/>
      <x:c r="R794" s="17" t="str">
        <x:v>bond.basic_info</x:v>
      </x:c>
      <x:c r="S794" s="17" t="str"/>
      <x:c r="T794" s="17" t="str"/>
      <x:c r="U794" s="17" t="str">
        <x:v>r1</x:v>
      </x:c>
      <x:c r="V794" s="30" t="n">
        <x:v>0</x:v>
      </x:c>
      <x:c r="W794" s="17" t="str">
        <x:v>high</x:v>
      </x:c>
    </x:row>
    <x:row r="795" ht="54" customHeight="1">
      <x:c r="A795" s="17" t="str">
        <x:v>BUS188</x:v>
      </x:c>
      <x:c r="B795" s="17" t="str">
        <x:v>查询名称包含银行的债券列表。</x:v>
      </x:c>
      <x:c r="C795" s="17" t="n">
        <x:v>3</x:v>
      </x:c>
      <x:c r="D795" s="17" t="str"/>
      <x:c r="E795" s="17" t="str">
        <x:v>工具调用</x:v>
      </x:c>
      <x:c r="F795" s="17" t="str">
        <x:v>finance_query</x:v>
      </x:c>
      <x:c r="G795" s="17" t="str">
        <x:v>r2 = bond.basic_info(limit = 10) -&gt; code, name, issuer</x:v>
      </x:c>
      <x:c r="H795" s="17" t="str"/>
      <x:c r="I795" s="17" t="str">
        <x:v>设计浪费</x:v>
      </x:c>
      <x:c r="J795" s="17" t="str">
        <x:v>否</x:v>
      </x:c>
      <x:c r="K795" s="18"/>
      <x:c r="L795" s="17" t="str">
        <x:v>否</x:v>
      </x:c>
      <x:c r="M795" s="17" t="str">
        <x:v>否</x:v>
      </x:c>
      <x:c r="N795" s="17" t="str">
        <x:v>requery_after_terminal_zero</x:v>
      </x:c>
      <x:c r="O795" s="17" t="str">
        <x:v>terminal_zero_requery</x:v>
      </x:c>
      <x:c r="P795" s="17" t="str">
        <x:v>session://financial_qa_33499cfa81de4d06_2881_5a18f5b278d8/vars/v2</x:v>
      </x:c>
      <x:c r="Q795" s="17" t="str"/>
      <x:c r="R795" s="17" t="str">
        <x:v>bond.basic_info</x:v>
      </x:c>
      <x:c r="S795" s="17" t="str"/>
      <x:c r="T795" s="17" t="str"/>
      <x:c r="U795" s="17" t="str">
        <x:v>r2</x:v>
      </x:c>
      <x:c r="V795" s="30" t="n">
        <x:v>10</x:v>
      </x:c>
      <x:c r="W795" s="17" t="str">
        <x:v>high</x:v>
      </x:c>
    </x:row>
    <x:row r="796" ht="54" customHeight="1">
      <x:c r="A796" s="17" t="str">
        <x:v>BUS188</x:v>
      </x:c>
      <x:c r="B796" s="17" t="str">
        <x:v>查询名称包含银行的债券列表。</x:v>
      </x:c>
      <x:c r="C796" s="17" t="n">
        <x:v>4</x:v>
      </x:c>
      <x:c r="D796" s="17" t="str"/>
      <x:c r="E796" s="17" t="str">
        <x:v>工具调用</x:v>
      </x:c>
      <x:c r="F796" s="17" t="str">
        <x:v>finance_query</x:v>
      </x:c>
      <x:c r="G796" s="17" t="str">
        <x:v>r3 = bond.basic_info(filter = "issuer like '%银行%'", limit = 50) -&gt; code, name, issuer</x:v>
      </x:c>
      <x:c r="H796" s="17" t="str"/>
      <x:c r="I796" s="17" t="str">
        <x:v>合理操作</x:v>
      </x:c>
      <x:c r="J796" s="17" t="str">
        <x:v>是</x:v>
      </x:c>
      <x:c r="K796" s="18"/>
      <x:c r="L796" s="17" t="str">
        <x:v>否</x:v>
      </x:c>
      <x:c r="M796" s="17" t="str">
        <x:v>否</x:v>
      </x:c>
      <x:c r="N796" s="17" t="str">
        <x:v>target_api_executed</x:v>
      </x:c>
      <x:c r="O796" s="17" t="str">
        <x:v>expected_dataview_coverage</x:v>
      </x:c>
      <x:c r="P796" s="17" t="str">
        <x:v>session://financial_qa_33499cfa81de4d06_2881_5a18f5b278d8/vars/v3</x:v>
      </x:c>
      <x:c r="Q796" s="17" t="str"/>
      <x:c r="R796" s="17" t="str">
        <x:v>bond.basic_info</x:v>
      </x:c>
      <x:c r="S796" s="17" t="str"/>
      <x:c r="T796" s="17" t="str"/>
      <x:c r="U796" s="17" t="str">
        <x:v>r3</x:v>
      </x:c>
      <x:c r="V796" s="30" t="n">
        <x:v>50</x:v>
      </x:c>
      <x:c r="W796" s="17" t="str">
        <x:v>high</x:v>
      </x:c>
    </x:row>
    <x:row r="797" ht="54" customHeight="1">
      <x:c r="A797" s="17" t="str">
        <x:v>BUS188</x:v>
      </x:c>
      <x:c r="B797" s="17" t="str">
        <x:v>查询名称包含银行的债券列表。</x:v>
      </x:c>
      <x:c r="C797" s="17" t="n">
        <x:v>5</x:v>
      </x:c>
      <x:c r="D797" s="17" t="str"/>
      <x:c r="E797" s="17" t="str">
        <x:v>工具调用</x:v>
      </x:c>
      <x:c r="F797" s="17" t="str">
        <x:v>load_finance_result</x:v>
      </x:c>
      <x:c r="G797" s="17" t="str"/>
      <x:c r="H797" s="17" t="str"/>
      <x:c r="I797" s="17" t="str">
        <x:v>合理操作</x:v>
      </x:c>
      <x:c r="J797" s="17" t="str">
        <x:v>是</x:v>
      </x:c>
      <x:c r="K797" s="18"/>
      <x:c r="L797" s="17" t="str">
        <x:v>否</x:v>
      </x:c>
      <x:c r="M797" s="17" t="str">
        <x:v>否</x:v>
      </x:c>
      <x:c r="N797" s="17" t="str">
        <x:v>load_truncated_result</x:v>
      </x:c>
      <x:c r="O797" s="17" t="str">
        <x:v>sample_incomplete_requires_full_result</x:v>
      </x:c>
      <x:c r="P797" s="17" t="str">
        <x:v>session://financial_qa_33499cfa81de4d06_2881_5a18f5b278d8/vars/v3</x:v>
      </x:c>
      <x:c r="Q797" s="17" t="str"/>
      <x:c r="R797" s="17" t="str"/>
      <x:c r="S797" s="17" t="str"/>
      <x:c r="T797" s="17" t="str"/>
      <x:c r="U797" s="17" t="str"/>
      <x:c r="V797" s="30"/>
      <x:c r="W797" s="17" t="str">
        <x:v>high</x:v>
      </x:c>
    </x:row>
    <x:row r="798" ht="54" customHeight="1">
      <x:c r="A798" s="17" t="str">
        <x:v>BUS189</x:v>
      </x:c>
      <x:c r="B798" s="17" t="str">
        <x:v>查询名称包含可转债的债券代码和发行人。</x:v>
      </x:c>
      <x:c r="C798" s="17" t="n">
        <x:v>1</x:v>
      </x:c>
      <x:c r="D798" s="17" t="str"/>
      <x:c r="E798" s="17" t="str">
        <x:v>工具调用</x:v>
      </x:c>
      <x:c r="F798" s="17" t="str">
        <x:v>read_finance_catalog</x:v>
      </x:c>
      <x:c r="G798" s="17" t="str"/>
      <x:c r="H798" s="17" t="str"/>
      <x:c r="I798" s="17" t="str">
        <x:v>合理操作</x:v>
      </x:c>
      <x:c r="J798" s="17" t="str">
        <x:v>是</x:v>
      </x:c>
      <x:c r="K798" s="18"/>
      <x:c r="L798" s="17" t="str">
        <x:v>否</x:v>
      </x:c>
      <x:c r="M798" s="17" t="str">
        <x:v>否</x:v>
      </x:c>
      <x:c r="N798" s="17" t="str">
        <x:v>target_catalog_located</x:v>
      </x:c>
      <x:c r="O798" s="17" t="str">
        <x:v>expected_dataview_catalog</x:v>
      </x:c>
      <x:c r="P798" s="17" t="str"/>
      <x:c r="Q798" s="17" t="str"/>
      <x:c r="R798" s="17" t="str"/>
      <x:c r="S798" s="17" t="str">
        <x:v>bond</x:v>
      </x:c>
      <x:c r="T798" s="17" t="str">
        <x:v>basic_info</x:v>
      </x:c>
      <x:c r="U798" s="17" t="str"/>
      <x:c r="V798" s="30"/>
      <x:c r="W798" s="17" t="str">
        <x:v>high</x:v>
      </x:c>
    </x:row>
    <x:row r="799" ht="54" customHeight="1">
      <x:c r="A799" s="17" t="str">
        <x:v>BUS189</x:v>
      </x:c>
      <x:c r="B799" s="17" t="str">
        <x:v>查询名称包含可转债的债券代码和发行人。</x:v>
      </x:c>
      <x:c r="C799" s="17" t="n">
        <x:v>2</x:v>
      </x:c>
      <x:c r="D799" s="17" t="str"/>
      <x:c r="E799" s="17" t="str">
        <x:v>工具调用</x:v>
      </x:c>
      <x:c r="F799" s="17" t="str">
        <x:v>finance_query</x:v>
      </x:c>
      <x:c r="G799" s="17" t="str">
        <x:v>r1 = bond.basic_info(filter = "name like '%可转债%'", limit = 100) -&gt; code, name, issuer</x:v>
      </x:c>
      <x:c r="H799" s="17" t="str"/>
      <x:c r="I799" s="17" t="str">
        <x:v>合理操作</x:v>
      </x:c>
      <x:c r="J799" s="17" t="str">
        <x:v>是</x:v>
      </x:c>
      <x:c r="K799" s="18"/>
      <x:c r="L799" s="17" t="str">
        <x:v>否</x:v>
      </x:c>
      <x:c r="M799" s="17" t="str">
        <x:v>否</x:v>
      </x:c>
      <x:c r="N799" s="17" t="str">
        <x:v>target_api_executed</x:v>
      </x:c>
      <x:c r="O799" s="17" t="str">
        <x:v>expected_dataview_coverage</x:v>
      </x:c>
      <x:c r="P799" s="17" t="str">
        <x:v>session://financial_qa_33499cfa81de4d06_2882_317f27892a5b/vars/v1</x:v>
      </x:c>
      <x:c r="Q799" s="17" t="str"/>
      <x:c r="R799" s="17" t="str">
        <x:v>bond.basic_info</x:v>
      </x:c>
      <x:c r="S799" s="17" t="str"/>
      <x:c r="T799" s="17" t="str"/>
      <x:c r="U799" s="17" t="str">
        <x:v>r1</x:v>
      </x:c>
      <x:c r="V799" s="30" t="n">
        <x:v>1</x:v>
      </x:c>
      <x:c r="W799" s="17" t="str">
        <x:v>high</x:v>
      </x:c>
    </x:row>
    <x:row r="800" ht="54" customHeight="1">
      <x:c r="A800" s="17" t="str">
        <x:v>BUS190</x:v>
      </x:c>
      <x:c r="B800" s="17" t="str">
        <x:v>查询发行人包含万科的债券。</x:v>
      </x:c>
      <x:c r="C800" s="17" t="n">
        <x:v>1</x:v>
      </x:c>
      <x:c r="D800" s="17" t="str"/>
      <x:c r="E800" s="17" t="str">
        <x:v>工具调用</x:v>
      </x:c>
      <x:c r="F800" s="17" t="str">
        <x:v>read_finance_catalog</x:v>
      </x:c>
      <x:c r="G800" s="17" t="str"/>
      <x:c r="H800" s="17" t="str"/>
      <x:c r="I800" s="17" t="str">
        <x:v>合理操作</x:v>
      </x:c>
      <x:c r="J800" s="17" t="str">
        <x:v>是</x:v>
      </x:c>
      <x:c r="K800" s="18"/>
      <x:c r="L800" s="17" t="str">
        <x:v>否</x:v>
      </x:c>
      <x:c r="M800" s="17" t="str">
        <x:v>否</x:v>
      </x:c>
      <x:c r="N800" s="17" t="str">
        <x:v>subject_catalog_discovery</x:v>
      </x:c>
      <x:c r="O800" s="17" t="str">
        <x:v>expected_subject_catalog</x:v>
      </x:c>
      <x:c r="P800" s="17" t="str"/>
      <x:c r="Q800" s="17" t="str"/>
      <x:c r="R800" s="17" t="str"/>
      <x:c r="S800" s="17" t="str">
        <x:v>bond</x:v>
      </x:c>
      <x:c r="T800" s="17" t="str">
        <x:v>quote</x:v>
      </x:c>
      <x:c r="U800" s="17" t="str"/>
      <x:c r="V800" s="30"/>
      <x:c r="W800" s="17" t="str">
        <x:v>medium</x:v>
      </x:c>
    </x:row>
    <x:row r="801" ht="54" customHeight="1">
      <x:c r="A801" s="17" t="str">
        <x:v>BUS190</x:v>
      </x:c>
      <x:c r="B801" s="17" t="str">
        <x:v>查询发行人包含万科的债券。</x:v>
      </x:c>
      <x:c r="C801" s="17" t="n">
        <x:v>2</x:v>
      </x:c>
      <x:c r="D801" s="17" t="str"/>
      <x:c r="E801" s="17" t="str">
        <x:v>工具调用</x:v>
      </x:c>
      <x:c r="F801" s="17" t="str">
        <x:v>read_finance_catalog</x:v>
      </x:c>
      <x:c r="G801" s="17" t="str"/>
      <x:c r="H801" s="17" t="str"/>
      <x:c r="I801" s="17" t="str">
        <x:v>合理操作</x:v>
      </x:c>
      <x:c r="J801" s="17" t="str">
        <x:v>是</x:v>
      </x:c>
      <x:c r="K801" s="18"/>
      <x:c r="L801" s="17" t="str">
        <x:v>否</x:v>
      </x:c>
      <x:c r="M801" s="17" t="str">
        <x:v>否</x:v>
      </x:c>
      <x:c r="N801" s="17" t="str">
        <x:v>target_catalog_located</x:v>
      </x:c>
      <x:c r="O801" s="17" t="str">
        <x:v>expected_dataview_catalog</x:v>
      </x:c>
      <x:c r="P801" s="17" t="str"/>
      <x:c r="Q801" s="17" t="str"/>
      <x:c r="R801" s="17" t="str"/>
      <x:c r="S801" s="17" t="str">
        <x:v>bond</x:v>
      </x:c>
      <x:c r="T801" s="17" t="str">
        <x:v>basic_info</x:v>
      </x:c>
      <x:c r="U801" s="17" t="str"/>
      <x:c r="V801" s="30"/>
      <x:c r="W801" s="17" t="str">
        <x:v>high</x:v>
      </x:c>
    </x:row>
    <x:row r="802" ht="54" customHeight="1">
      <x:c r="A802" s="17" t="str">
        <x:v>BUS190</x:v>
      </x:c>
      <x:c r="B802" s="17" t="str">
        <x:v>查询发行人包含万科的债券。</x:v>
      </x:c>
      <x:c r="C802" s="17" t="n">
        <x:v>3</x:v>
      </x:c>
      <x:c r="D802" s="17" t="str"/>
      <x:c r="E802" s="17" t="str">
        <x:v>工具调用</x:v>
      </x:c>
      <x:c r="F802" s="17" t="str">
        <x:v>finance_query</x:v>
      </x:c>
      <x:c r="G802" s="17" t="str">
        <x:v>r1 = bond.basic_info(filter = "issuer like %万科%", limit = 100) -&gt; code, name, issuer</x:v>
      </x:c>
      <x:c r="H802" s="17" t="str"/>
      <x:c r="I802" s="17" t="str">
        <x:v>合理操作</x:v>
      </x:c>
      <x:c r="J802" s="17" t="str">
        <x:v>是</x:v>
      </x:c>
      <x:c r="K802" s="18"/>
      <x:c r="L802" s="17" t="str">
        <x:v>否</x:v>
      </x:c>
      <x:c r="M802" s="17" t="str">
        <x:v>否</x:v>
      </x:c>
      <x:c r="N802" s="17" t="str">
        <x:v>target_api_executed</x:v>
      </x:c>
      <x:c r="O802" s="17" t="str">
        <x:v>expected_dataview_coverage</x:v>
      </x:c>
      <x:c r="P802" s="17" t="str">
        <x:v>session://financial_qa_33499cfa81de4d06_2883_109ced39c261/vars/v1</x:v>
      </x:c>
      <x:c r="Q802" s="17" t="str"/>
      <x:c r="R802" s="17" t="str">
        <x:v>bond.basic_info</x:v>
      </x:c>
      <x:c r="S802" s="17" t="str"/>
      <x:c r="T802" s="17" t="str"/>
      <x:c r="U802" s="17" t="str">
        <x:v>r1</x:v>
      </x:c>
      <x:c r="V802" s="30" t="n">
        <x:v>35</x:v>
      </x:c>
      <x:c r="W802" s="17" t="str">
        <x:v>high</x:v>
      </x:c>
    </x:row>
    <x:row r="803" ht="54" customHeight="1">
      <x:c r="A803" s="17" t="str">
        <x:v>BUS190</x:v>
      </x:c>
      <x:c r="B803" s="17" t="str">
        <x:v>查询发行人包含万科的债券。</x:v>
      </x:c>
      <x:c r="C803" s="17" t="n">
        <x:v>4</x:v>
      </x:c>
      <x:c r="D803" s="17" t="str"/>
      <x:c r="E803" s="17" t="str">
        <x:v>工具调用</x:v>
      </x:c>
      <x:c r="F803" s="17" t="str">
        <x:v>load_finance_result</x:v>
      </x:c>
      <x:c r="G803" s="17" t="str"/>
      <x:c r="H803" s="17" t="str"/>
      <x:c r="I803" s="17" t="str">
        <x:v>合理操作</x:v>
      </x:c>
      <x:c r="J803" s="17" t="str">
        <x:v>是</x:v>
      </x:c>
      <x:c r="K803" s="18"/>
      <x:c r="L803" s="17" t="str">
        <x:v>否</x:v>
      </x:c>
      <x:c r="M803" s="17" t="str">
        <x:v>否</x:v>
      </x:c>
      <x:c r="N803" s="17" t="str">
        <x:v>load_truncated_result</x:v>
      </x:c>
      <x:c r="O803" s="17" t="str">
        <x:v>sample_incomplete_requires_full_result</x:v>
      </x:c>
      <x:c r="P803" s="17" t="str">
        <x:v>session://financial_qa_33499cfa81de4d06_2883_109ced39c261/vars/v1</x:v>
      </x:c>
      <x:c r="Q803" s="17" t="str"/>
      <x:c r="R803" s="17" t="str"/>
      <x:c r="S803" s="17" t="str"/>
      <x:c r="T803" s="17" t="str"/>
      <x:c r="U803" s="17" t="str"/>
      <x:c r="V803" s="30"/>
      <x:c r="W803" s="17" t="str">
        <x:v>high</x:v>
      </x:c>
    </x:row>
    <x:row r="804" ht="54" customHeight="1">
      <x:c r="A804" s="17" t="str">
        <x:v>BUS191</x:v>
      </x:c>
      <x:c r="B804" s="17" t="str">
        <x:v>平安转债当前价格、涨跌幅和成交额是多少？</x:v>
      </x:c>
      <x:c r="C804" s="17" t="n">
        <x:v>1</x:v>
      </x:c>
      <x:c r="D804" s="17" t="str"/>
      <x:c r="E804" s="17" t="str">
        <x:v>工具调用</x:v>
      </x:c>
      <x:c r="F804" s="17" t="str">
        <x:v>read_finance_catalog</x:v>
      </x:c>
      <x:c r="G804" s="17" t="str"/>
      <x:c r="H804" s="17" t="str"/>
      <x:c r="I804" s="17" t="str">
        <x:v>合理操作</x:v>
      </x:c>
      <x:c r="J804" s="17" t="str">
        <x:v>是</x:v>
      </x:c>
      <x:c r="K804" s="18"/>
      <x:c r="L804" s="17" t="str">
        <x:v>否</x:v>
      </x:c>
      <x:c r="M804" s="17" t="str">
        <x:v>否</x:v>
      </x:c>
      <x:c r="N804" s="17" t="str">
        <x:v>target_catalog_located</x:v>
      </x:c>
      <x:c r="O804" s="17" t="str">
        <x:v>expected_dataview_catalog</x:v>
      </x:c>
      <x:c r="P804" s="17" t="str"/>
      <x:c r="Q804" s="17" t="str"/>
      <x:c r="R804" s="17" t="str"/>
      <x:c r="S804" s="17" t="str">
        <x:v>bond</x:v>
      </x:c>
      <x:c r="T804" s="17" t="str">
        <x:v>quote</x:v>
      </x:c>
      <x:c r="U804" s="17" t="str"/>
      <x:c r="V804" s="30"/>
      <x:c r="W804" s="17" t="str">
        <x:v>high</x:v>
      </x:c>
    </x:row>
    <x:row r="805" ht="54" customHeight="1">
      <x:c r="A805" s="17" t="str">
        <x:v>BUS191</x:v>
      </x:c>
      <x:c r="B805" s="17" t="str">
        <x:v>平安转债当前价格、涨跌幅和成交额是多少？</x:v>
      </x:c>
      <x:c r="C805" s="17" t="n">
        <x:v>2</x:v>
      </x:c>
      <x:c r="D805" s="17" t="str"/>
      <x:c r="E805" s="17" t="str">
        <x:v>工具调用</x:v>
      </x:c>
      <x:c r="F805" s="17" t="str">
        <x:v>read_finance_catalog</x:v>
      </x:c>
      <x:c r="G805" s="17" t="str"/>
      <x:c r="H805" s="17" t="str"/>
      <x:c r="I805" s="17" t="str">
        <x:v>合理操作</x:v>
      </x:c>
      <x:c r="J805" s="17" t="str">
        <x:v>是</x:v>
      </x:c>
      <x:c r="K805" s="18"/>
      <x:c r="L805" s="17" t="str">
        <x:v>否</x:v>
      </x:c>
      <x:c r="M805" s="17" t="str">
        <x:v>否</x:v>
      </x:c>
      <x:c r="N805" s="17" t="str">
        <x:v>subject_catalog_discovery</x:v>
      </x:c>
      <x:c r="O805" s="17" t="str">
        <x:v>expected_subject_catalog</x:v>
      </x:c>
      <x:c r="P805" s="17" t="str"/>
      <x:c r="Q805" s="17" t="str"/>
      <x:c r="R805" s="17" t="str"/>
      <x:c r="S805" s="17" t="str">
        <x:v>bond</x:v>
      </x:c>
      <x:c r="T805" s="17" t="str">
        <x:v>basic_info</x:v>
      </x:c>
      <x:c r="U805" s="17" t="str"/>
      <x:c r="V805" s="30"/>
      <x:c r="W805" s="17" t="str">
        <x:v>medium</x:v>
      </x:c>
    </x:row>
    <x:row r="806" ht="54" customHeight="1">
      <x:c r="A806" s="17" t="str">
        <x:v>BUS191</x:v>
      </x:c>
      <x:c r="B806" s="17" t="str">
        <x:v>平安转债当前价格、涨跌幅和成交额是多少？</x:v>
      </x:c>
      <x:c r="C806" s="17" t="n">
        <x:v>3</x:v>
      </x:c>
      <x:c r="D806" s="17" t="str"/>
      <x:c r="E806" s="17" t="str">
        <x:v>工具调用</x:v>
      </x:c>
      <x:c r="F806" s="17" t="str">
        <x:v>finance_query</x:v>
      </x:c>
      <x:c r="G806" s="17" t="str">
        <x:v>r1 = bond.basic_info(filter = "name like '%平安转债%'", limit = 10) -&gt; code, name</x:v>
      </x:c>
      <x:c r="H806" s="17" t="str"/>
      <x:c r="I806" s="17" t="str">
        <x:v>合理操作</x:v>
      </x:c>
      <x:c r="J806" s="17" t="str">
        <x:v>是</x:v>
      </x:c>
      <x:c r="K806" s="18"/>
      <x:c r="L806" s="17" t="str">
        <x:v>否</x:v>
      </x:c>
      <x:c r="M806" s="17" t="str">
        <x:v>否</x:v>
      </x:c>
      <x:c r="N806" s="17" t="str">
        <x:v>same_subject_dependency</x:v>
      </x:c>
      <x:c r="O806" s="17" t="str">
        <x:v>supporting_api_for_expected_subject</x:v>
      </x:c>
      <x:c r="P806" s="17" t="str">
        <x:v>session://financial_qa_33499cfa81de4d06_2884_e15defd6a1d4/vars/v1</x:v>
      </x:c>
      <x:c r="Q806" s="17" t="str"/>
      <x:c r="R806" s="17" t="str">
        <x:v>bond.basic_info</x:v>
      </x:c>
      <x:c r="S806" s="17" t="str"/>
      <x:c r="T806" s="17" t="str"/>
      <x:c r="U806" s="17" t="str">
        <x:v>r1</x:v>
      </x:c>
      <x:c r="V806" s="30" t="n">
        <x:v>1</x:v>
      </x:c>
      <x:c r="W806" s="17" t="str">
        <x:v>medium</x:v>
      </x:c>
    </x:row>
    <x:row r="807" ht="54" customHeight="1">
      <x:c r="A807" s="17" t="str">
        <x:v>BUS191</x:v>
      </x:c>
      <x:c r="B807" s="17" t="str">
        <x:v>平安转债当前价格、涨跌幅和成交额是多少？</x:v>
      </x:c>
      <x:c r="C807" s="17" t="n">
        <x:v>4</x:v>
      </x:c>
      <x:c r="D807" s="17" t="str"/>
      <x:c r="E807" s="17" t="str">
        <x:v>工具调用</x:v>
      </x:c>
      <x:c r="F807" s="17" t="str">
        <x:v>finance_query</x:v>
      </x:c>
      <x:c r="G807" s="17" t="str">
        <x:v>r2 = bond.quote(filter = "code = 113005.SH and tradedate = -1", limit = 1, realtime = 0) -&gt; code, name, tradedate, close, pct, amount, preclose, open, high, low</x:v>
      </x:c>
      <x:c r="H807" s="17" t="str"/>
      <x:c r="I807" s="17" t="str">
        <x:v>合理操作</x:v>
      </x:c>
      <x:c r="J807" s="17" t="str">
        <x:v>是</x:v>
      </x:c>
      <x:c r="K807" s="18"/>
      <x:c r="L807" s="17" t="str">
        <x:v>否</x:v>
      </x:c>
      <x:c r="M807" s="17" t="str">
        <x:v>否</x:v>
      </x:c>
      <x:c r="N807" s="17" t="str">
        <x:v>target_api_executed</x:v>
      </x:c>
      <x:c r="O807" s="17" t="str">
        <x:v>expected_dataview_coverage</x:v>
      </x:c>
      <x:c r="P807" s="17" t="str">
        <x:v>session://financial_qa_33499cfa81de4d06_2884_e15defd6a1d4/vars/v2</x:v>
      </x:c>
      <x:c r="Q807" s="17" t="str"/>
      <x:c r="R807" s="17" t="str">
        <x:v>bond.quote</x:v>
      </x:c>
      <x:c r="S807" s="17" t="str"/>
      <x:c r="T807" s="17" t="str"/>
      <x:c r="U807" s="17" t="str">
        <x:v>r2</x:v>
      </x:c>
      <x:c r="V807" s="30" t="n">
        <x:v>0</x:v>
      </x:c>
      <x:c r="W807" s="17" t="str">
        <x:v>high</x:v>
      </x:c>
    </x:row>
    <x:row r="808" ht="54" customHeight="1">
      <x:c r="A808" s="17" t="str">
        <x:v>BUS192</x:v>
      </x:c>
      <x:c r="B808" s="17" t="str">
        <x:v>今天涨幅最高的债券前20名。</x:v>
      </x:c>
      <x:c r="C808" s="17" t="n">
        <x:v>1</x:v>
      </x:c>
      <x:c r="D808" s="17" t="str"/>
      <x:c r="E808" s="17" t="str">
        <x:v>工具调用</x:v>
      </x:c>
      <x:c r="F808" s="17" t="str">
        <x:v>read_finance_catalog</x:v>
      </x:c>
      <x:c r="G808" s="17" t="str"/>
      <x:c r="H808" s="17" t="str"/>
      <x:c r="I808" s="17" t="str">
        <x:v>合理操作</x:v>
      </x:c>
      <x:c r="J808" s="17" t="str">
        <x:v>是</x:v>
      </x:c>
      <x:c r="K808" s="18"/>
      <x:c r="L808" s="17" t="str">
        <x:v>否</x:v>
      </x:c>
      <x:c r="M808" s="17" t="str">
        <x:v>否</x:v>
      </x:c>
      <x:c r="N808" s="17" t="str">
        <x:v>target_catalog_located</x:v>
      </x:c>
      <x:c r="O808" s="17" t="str">
        <x:v>expected_dataview_catalog</x:v>
      </x:c>
      <x:c r="P808" s="17" t="str"/>
      <x:c r="Q808" s="17" t="str"/>
      <x:c r="R808" s="17" t="str"/>
      <x:c r="S808" s="17" t="str">
        <x:v>bond</x:v>
      </x:c>
      <x:c r="T808" s="17" t="str">
        <x:v>quote</x:v>
      </x:c>
      <x:c r="U808" s="17" t="str"/>
      <x:c r="V808" s="30"/>
      <x:c r="W808" s="17" t="str">
        <x:v>high</x:v>
      </x:c>
    </x:row>
    <x:row r="809" ht="54" customHeight="1">
      <x:c r="A809" s="17" t="str">
        <x:v>BUS192</x:v>
      </x:c>
      <x:c r="B809" s="17" t="str">
        <x:v>今天涨幅最高的债券前20名。</x:v>
      </x:c>
      <x:c r="C809" s="17" t="n">
        <x:v>2</x:v>
      </x:c>
      <x:c r="D809" s="17" t="str"/>
      <x:c r="E809" s="17" t="str">
        <x:v>工具调用</x:v>
      </x:c>
      <x:c r="F809" s="17" t="str">
        <x:v>finance_query</x:v>
      </x:c>
      <x:c r="G809" s="17" t="str">
        <x:v>r1 = bond.quote(filter = "tradedate = -1", order = "pct desc", limit = 20, realtime = 0) -&gt; code, name, tradedate, pct, close, amount</x:v>
      </x:c>
      <x:c r="H809" s="17" t="str"/>
      <x:c r="I809" s="17" t="str">
        <x:v>合理操作</x:v>
      </x:c>
      <x:c r="J809" s="17" t="str">
        <x:v>是</x:v>
      </x:c>
      <x:c r="K809" s="18"/>
      <x:c r="L809" s="17" t="str">
        <x:v>否</x:v>
      </x:c>
      <x:c r="M809" s="17" t="str">
        <x:v>否</x:v>
      </x:c>
      <x:c r="N809" s="17" t="str">
        <x:v>target_api_executed</x:v>
      </x:c>
      <x:c r="O809" s="17" t="str">
        <x:v>expected_dataview_coverage</x:v>
      </x:c>
      <x:c r="P809" s="17" t="str">
        <x:v>session://financial_qa_33499cfa81de4d06_2885_c70d42f6558c/vars/v1</x:v>
      </x:c>
      <x:c r="Q809" s="17" t="str"/>
      <x:c r="R809" s="17" t="str">
        <x:v>bond.quote</x:v>
      </x:c>
      <x:c r="S809" s="17" t="str"/>
      <x:c r="T809" s="17" t="str"/>
      <x:c r="U809" s="17" t="str">
        <x:v>r1</x:v>
      </x:c>
      <x:c r="V809" s="30" t="n">
        <x:v>20</x:v>
      </x:c>
      <x:c r="W809" s="17" t="str">
        <x:v>high</x:v>
      </x:c>
    </x:row>
    <x:row r="810" ht="54" customHeight="1">
      <x:c r="A810" s="17" t="str">
        <x:v>BUS192</x:v>
      </x:c>
      <x:c r="B810" s="17" t="str">
        <x:v>今天涨幅最高的债券前20名。</x:v>
      </x:c>
      <x:c r="C810" s="17" t="n">
        <x:v>3</x:v>
      </x:c>
      <x:c r="D810" s="17" t="str"/>
      <x:c r="E810" s="17" t="str">
        <x:v>工具调用</x:v>
      </x:c>
      <x:c r="F810" s="17" t="str">
        <x:v>load_finance_result</x:v>
      </x:c>
      <x:c r="G810" s="17" t="str"/>
      <x:c r="H810" s="17" t="str"/>
      <x:c r="I810" s="17" t="str">
        <x:v>合理操作</x:v>
      </x:c>
      <x:c r="J810" s="17" t="str">
        <x:v>是</x:v>
      </x:c>
      <x:c r="K810" s="18"/>
      <x:c r="L810" s="17" t="str">
        <x:v>否</x:v>
      </x:c>
      <x:c r="M810" s="17" t="str">
        <x:v>否</x:v>
      </x:c>
      <x:c r="N810" s="17" t="str">
        <x:v>load_truncated_result</x:v>
      </x:c>
      <x:c r="O810" s="17" t="str">
        <x:v>sample_incomplete_requires_full_result</x:v>
      </x:c>
      <x:c r="P810" s="17" t="str">
        <x:v>session://financial_qa_33499cfa81de4d06_2885_c70d42f6558c/vars/v1</x:v>
      </x:c>
      <x:c r="Q810" s="17" t="str"/>
      <x:c r="R810" s="17" t="str"/>
      <x:c r="S810" s="17" t="str"/>
      <x:c r="T810" s="17" t="str"/>
      <x:c r="U810" s="17" t="str"/>
      <x:c r="V810" s="30"/>
      <x:c r="W810" s="17" t="str">
        <x:v>high</x:v>
      </x:c>
    </x:row>
    <x:row r="811" ht="54" customHeight="1">
      <x:c r="A811" s="17" t="str">
        <x:v>BUS193</x:v>
      </x:c>
      <x:c r="B811" s="17" t="str">
        <x:v>筛选今天成交额超过5000万元且上涨的债券。</x:v>
      </x:c>
      <x:c r="C811" s="17" t="n">
        <x:v>1</x:v>
      </x:c>
      <x:c r="D811" s="17" t="str"/>
      <x:c r="E811" s="17" t="str">
        <x:v>工具调用</x:v>
      </x:c>
      <x:c r="F811" s="17" t="str">
        <x:v>read_finance_catalog</x:v>
      </x:c>
      <x:c r="G811" s="17" t="str"/>
      <x:c r="H811" s="17" t="str"/>
      <x:c r="I811" s="17" t="str">
        <x:v>合理操作</x:v>
      </x:c>
      <x:c r="J811" s="17" t="str">
        <x:v>是</x:v>
      </x:c>
      <x:c r="K811" s="18"/>
      <x:c r="L811" s="17" t="str">
        <x:v>否</x:v>
      </x:c>
      <x:c r="M811" s="17" t="str">
        <x:v>否</x:v>
      </x:c>
      <x:c r="N811" s="17" t="str">
        <x:v>target_catalog_located</x:v>
      </x:c>
      <x:c r="O811" s="17" t="str">
        <x:v>expected_dataview_catalog</x:v>
      </x:c>
      <x:c r="P811" s="17" t="str"/>
      <x:c r="Q811" s="17" t="str"/>
      <x:c r="R811" s="17" t="str"/>
      <x:c r="S811" s="17" t="str">
        <x:v>bond</x:v>
      </x:c>
      <x:c r="T811" s="17" t="str">
        <x:v>quote</x:v>
      </x:c>
      <x:c r="U811" s="17" t="str"/>
      <x:c r="V811" s="30"/>
      <x:c r="W811" s="17" t="str">
        <x:v>high</x:v>
      </x:c>
    </x:row>
    <x:row r="812" ht="54" customHeight="1">
      <x:c r="A812" s="17" t="str">
        <x:v>BUS193</x:v>
      </x:c>
      <x:c r="B812" s="17" t="str">
        <x:v>筛选今天成交额超过5000万元且上涨的债券。</x:v>
      </x:c>
      <x:c r="C812" s="17" t="n">
        <x:v>2</x:v>
      </x:c>
      <x:c r="D812" s="17" t="str"/>
      <x:c r="E812" s="17" t="str">
        <x:v>工具调用</x:v>
      </x:c>
      <x:c r="F812" s="17" t="str">
        <x:v>finance_query</x:v>
      </x:c>
      <x:c r="G812" s="17" t="str">
        <x:v>r1 = bond.quote(filter = "amount &gt; 50000000 and pct &gt; 0", order = "amount desc", limit = 20, realtime = 2) -&gt; code, name, tradedate, close, pct, amount</x:v>
      </x:c>
      <x:c r="H812" s="17" t="str"/>
      <x:c r="I812" s="17" t="str">
        <x:v>合理操作</x:v>
      </x:c>
      <x:c r="J812" s="17" t="str">
        <x:v>是</x:v>
      </x:c>
      <x:c r="K812" s="18"/>
      <x:c r="L812" s="17" t="str">
        <x:v>否</x:v>
      </x:c>
      <x:c r="M812" s="17" t="str">
        <x:v>否</x:v>
      </x:c>
      <x:c r="N812" s="17" t="str">
        <x:v>target_api_executed</x:v>
      </x:c>
      <x:c r="O812" s="17" t="str">
        <x:v>expected_dataview_coverage</x:v>
      </x:c>
      <x:c r="P812" s="17" t="str">
        <x:v>session://financial_qa_33499cfa81de4d06_2886_4b97a7833b5b/vars/v1</x:v>
      </x:c>
      <x:c r="Q812" s="17" t="str"/>
      <x:c r="R812" s="17" t="str">
        <x:v>bond.quote</x:v>
      </x:c>
      <x:c r="S812" s="17" t="str"/>
      <x:c r="T812" s="17" t="str"/>
      <x:c r="U812" s="17" t="str">
        <x:v>r1</x:v>
      </x:c>
      <x:c r="V812" s="30" t="n">
        <x:v>20</x:v>
      </x:c>
      <x:c r="W812" s="17" t="str">
        <x:v>high</x:v>
      </x:c>
    </x:row>
    <x:row r="813" ht="54" customHeight="1">
      <x:c r="A813" s="17" t="str">
        <x:v>BUS193</x:v>
      </x:c>
      <x:c r="B813" s="17" t="str">
        <x:v>筛选今天成交额超过5000万元且上涨的债券。</x:v>
      </x:c>
      <x:c r="C813" s="17" t="n">
        <x:v>3</x:v>
      </x:c>
      <x:c r="D813" s="17" t="str"/>
      <x:c r="E813" s="17" t="str">
        <x:v>工具调用</x:v>
      </x:c>
      <x:c r="F813" s="17" t="str">
        <x:v>load_finance_result</x:v>
      </x:c>
      <x:c r="G813" s="17" t="str"/>
      <x:c r="H813" s="17" t="str"/>
      <x:c r="I813" s="17" t="str">
        <x:v>合理操作</x:v>
      </x:c>
      <x:c r="J813" s="17" t="str">
        <x:v>是</x:v>
      </x:c>
      <x:c r="K813" s="18"/>
      <x:c r="L813" s="17" t="str">
        <x:v>否</x:v>
      </x:c>
      <x:c r="M813" s="17" t="str">
        <x:v>否</x:v>
      </x:c>
      <x:c r="N813" s="17" t="str">
        <x:v>load_truncated_result</x:v>
      </x:c>
      <x:c r="O813" s="17" t="str">
        <x:v>sample_incomplete_requires_full_result</x:v>
      </x:c>
      <x:c r="P813" s="17" t="str">
        <x:v>session://financial_qa_33499cfa81de4d06_2886_4b97a7833b5b/vars/v1</x:v>
      </x:c>
      <x:c r="Q813" s="17" t="str"/>
      <x:c r="R813" s="17" t="str"/>
      <x:c r="S813" s="17" t="str"/>
      <x:c r="T813" s="17" t="str"/>
      <x:c r="U813" s="17" t="str"/>
      <x:c r="V813" s="30"/>
      <x:c r="W813" s="17" t="str">
        <x:v>high</x:v>
      </x:c>
    </x:row>
    <x:row r="814" ht="54" customHeight="1">
      <x:c r="A814" s="17" t="str">
        <x:v>BUS194</x:v>
      </x:c>
      <x:c r="B814" s="17" t="str">
        <x:v>查询平安转债最近10个交易日收盘价和涨跌幅。</x:v>
      </x:c>
      <x:c r="C814" s="17" t="n">
        <x:v>1</x:v>
      </x:c>
      <x:c r="D814" s="17" t="str"/>
      <x:c r="E814" s="17" t="str">
        <x:v>工具调用</x:v>
      </x:c>
      <x:c r="F814" s="17" t="str">
        <x:v>read_finance_catalog</x:v>
      </x:c>
      <x:c r="G814" s="17" t="str"/>
      <x:c r="H814" s="17" t="str"/>
      <x:c r="I814" s="17" t="str">
        <x:v>合理操作</x:v>
      </x:c>
      <x:c r="J814" s="17" t="str">
        <x:v>是</x:v>
      </x:c>
      <x:c r="K814" s="18"/>
      <x:c r="L814" s="17" t="str">
        <x:v>否</x:v>
      </x:c>
      <x:c r="M814" s="17" t="str">
        <x:v>否</x:v>
      </x:c>
      <x:c r="N814" s="17" t="str">
        <x:v>subject_catalog_discovery</x:v>
      </x:c>
      <x:c r="O814" s="17" t="str">
        <x:v>expected_subject_catalog</x:v>
      </x:c>
      <x:c r="P814" s="17" t="str"/>
      <x:c r="Q814" s="17" t="str"/>
      <x:c r="R814" s="17" t="str"/>
      <x:c r="S814" s="17" t="str">
        <x:v>bond</x:v>
      </x:c>
      <x:c r="T814" s="17" t="str">
        <x:v>basic_info</x:v>
      </x:c>
      <x:c r="U814" s="17" t="str"/>
      <x:c r="V814" s="30"/>
      <x:c r="W814" s="17" t="str">
        <x:v>medium</x:v>
      </x:c>
    </x:row>
    <x:row r="815" ht="54" customHeight="1">
      <x:c r="A815" s="17" t="str">
        <x:v>BUS194</x:v>
      </x:c>
      <x:c r="B815" s="17" t="str">
        <x:v>查询平安转债最近10个交易日收盘价和涨跌幅。</x:v>
      </x:c>
      <x:c r="C815" s="17" t="n">
        <x:v>2</x:v>
      </x:c>
      <x:c r="D815" s="17" t="str"/>
      <x:c r="E815" s="17" t="str">
        <x:v>工具调用</x:v>
      </x:c>
      <x:c r="F815" s="17" t="str">
        <x:v>finance_query</x:v>
      </x:c>
      <x:c r="G815" s="17" t="str">
        <x:v>r1 = bond.basic_info(filter = "name like '%平安转债%'", limit = 10) -&gt; code, name, issuer</x:v>
      </x:c>
      <x:c r="H815" s="17" t="str"/>
      <x:c r="I815" s="17" t="str">
        <x:v>合理操作</x:v>
      </x:c>
      <x:c r="J815" s="17" t="str">
        <x:v>是</x:v>
      </x:c>
      <x:c r="K815" s="18"/>
      <x:c r="L815" s="17" t="str">
        <x:v>否</x:v>
      </x:c>
      <x:c r="M815" s="17" t="str">
        <x:v>否</x:v>
      </x:c>
      <x:c r="N815" s="17" t="str">
        <x:v>same_subject_dependency</x:v>
      </x:c>
      <x:c r="O815" s="17" t="str">
        <x:v>supporting_api_for_expected_subject</x:v>
      </x:c>
      <x:c r="P815" s="17" t="str">
        <x:v>session://financial_qa_33499cfa81de4d06_2887_57778385786f/vars/v1</x:v>
      </x:c>
      <x:c r="Q815" s="17" t="str"/>
      <x:c r="R815" s="17" t="str">
        <x:v>bond.basic_info</x:v>
      </x:c>
      <x:c r="S815" s="17" t="str"/>
      <x:c r="T815" s="17" t="str"/>
      <x:c r="U815" s="17" t="str">
        <x:v>r1</x:v>
      </x:c>
      <x:c r="V815" s="30" t="n">
        <x:v>1</x:v>
      </x:c>
      <x:c r="W815" s="17" t="str">
        <x:v>medium</x:v>
      </x:c>
    </x:row>
    <x:row r="816" ht="54" customHeight="1">
      <x:c r="A816" s="17" t="str">
        <x:v>BUS194</x:v>
      </x:c>
      <x:c r="B816" s="17" t="str">
        <x:v>查询平安转债最近10个交易日收盘价和涨跌幅。</x:v>
      </x:c>
      <x:c r="C816" s="17" t="n">
        <x:v>3</x:v>
      </x:c>
      <x:c r="D816" s="17" t="str"/>
      <x:c r="E816" s="17" t="str">
        <x:v>工具调用</x:v>
      </x:c>
      <x:c r="F816" s="17" t="str">
        <x:v>read_finance_catalog</x:v>
      </x:c>
      <x:c r="G816" s="17" t="str"/>
      <x:c r="H816" s="17" t="str"/>
      <x:c r="I816" s="17" t="str">
        <x:v>合理操作</x:v>
      </x:c>
      <x:c r="J816" s="17" t="str">
        <x:v>是</x:v>
      </x:c>
      <x:c r="K816" s="18"/>
      <x:c r="L816" s="17" t="str">
        <x:v>否</x:v>
      </x:c>
      <x:c r="M816" s="17" t="str">
        <x:v>否</x:v>
      </x:c>
      <x:c r="N816" s="17" t="str">
        <x:v>target_catalog_located</x:v>
      </x:c>
      <x:c r="O816" s="17" t="str">
        <x:v>expected_dataview_catalog</x:v>
      </x:c>
      <x:c r="P816" s="17" t="str"/>
      <x:c r="Q816" s="17" t="str"/>
      <x:c r="R816" s="17" t="str"/>
      <x:c r="S816" s="17" t="str">
        <x:v>bond</x:v>
      </x:c>
      <x:c r="T816" s="17" t="str">
        <x:v>quote</x:v>
      </x:c>
      <x:c r="U816" s="17" t="str"/>
      <x:c r="V816" s="30"/>
      <x:c r="W816" s="17" t="str">
        <x:v>high</x:v>
      </x:c>
    </x:row>
    <x:row r="817" ht="54" customHeight="1">
      <x:c r="A817" s="17" t="str">
        <x:v>BUS194</x:v>
      </x:c>
      <x:c r="B817" s="17" t="str">
        <x:v>查询平安转债最近10个交易日收盘价和涨跌幅。</x:v>
      </x:c>
      <x:c r="C817" s="17" t="n">
        <x:v>4</x:v>
      </x:c>
      <x:c r="D817" s="17" t="str"/>
      <x:c r="E817" s="17" t="str">
        <x:v>工具调用</x:v>
      </x:c>
      <x:c r="F817" s="17" t="str">
        <x:v>finance_query</x:v>
      </x:c>
      <x:c r="G817" s="17" t="str">
        <x:v>r2 = bond.quote(filter = "code = 113005.SH", order = "tradedate desc", limit = 10, realtime = 0) -&gt; code, name, tradedate, close, pct</x:v>
      </x:c>
      <x:c r="H817" s="17" t="str"/>
      <x:c r="I817" s="17" t="str">
        <x:v>合理操作</x:v>
      </x:c>
      <x:c r="J817" s="17" t="str">
        <x:v>是</x:v>
      </x:c>
      <x:c r="K817" s="18"/>
      <x:c r="L817" s="17" t="str">
        <x:v>否</x:v>
      </x:c>
      <x:c r="M817" s="17" t="str">
        <x:v>否</x:v>
      </x:c>
      <x:c r="N817" s="17" t="str">
        <x:v>target_api_executed</x:v>
      </x:c>
      <x:c r="O817" s="17" t="str">
        <x:v>expected_dataview_coverage</x:v>
      </x:c>
      <x:c r="P817" s="17" t="str">
        <x:v>session://financial_qa_33499cfa81de4d06_2887_57778385786f/vars/v2</x:v>
      </x:c>
      <x:c r="Q817" s="17" t="str"/>
      <x:c r="R817" s="17" t="str">
        <x:v>bond.quote</x:v>
      </x:c>
      <x:c r="S817" s="17" t="str"/>
      <x:c r="T817" s="17" t="str"/>
      <x:c r="U817" s="17" t="str">
        <x:v>r2</x:v>
      </x:c>
      <x:c r="V817" s="30" t="n">
        <x:v>0</x:v>
      </x:c>
      <x:c r="W817" s="17" t="str">
        <x:v>high</x:v>
      </x:c>
    </x:row>
    <x:row r="818" ht="54" customHeight="1">
      <x:c r="A818" s="17" t="str">
        <x:v>BUS195</x:v>
      </x:c>
      <x:c r="B818" s="17" t="str">
        <x:v>过去20个交易日跌幅最大的债券前10名。</x:v>
      </x:c>
      <x:c r="C818" s="17" t="n">
        <x:v>1</x:v>
      </x:c>
      <x:c r="D818" s="17" t="str"/>
      <x:c r="E818" s="17" t="str">
        <x:v>工具调用</x:v>
      </x:c>
      <x:c r="F818" s="17" t="str">
        <x:v>read_finance_catalog</x:v>
      </x:c>
      <x:c r="G818" s="17" t="str"/>
      <x:c r="H818" s="17" t="str"/>
      <x:c r="I818" s="17" t="str">
        <x:v>合理操作</x:v>
      </x:c>
      <x:c r="J818" s="17" t="str">
        <x:v>是</x:v>
      </x:c>
      <x:c r="K818" s="18"/>
      <x:c r="L818" s="17" t="str">
        <x:v>否</x:v>
      </x:c>
      <x:c r="M818" s="17" t="str">
        <x:v>否</x:v>
      </x:c>
      <x:c r="N818" s="17" t="str">
        <x:v>target_catalog_located</x:v>
      </x:c>
      <x:c r="O818" s="17" t="str">
        <x:v>expected_dataview_catalog</x:v>
      </x:c>
      <x:c r="P818" s="17" t="str"/>
      <x:c r="Q818" s="17" t="str"/>
      <x:c r="R818" s="17" t="str"/>
      <x:c r="S818" s="17" t="str">
        <x:v>bond</x:v>
      </x:c>
      <x:c r="T818" s="17" t="str">
        <x:v>quote</x:v>
      </x:c>
      <x:c r="U818" s="17" t="str"/>
      <x:c r="V818" s="30"/>
      <x:c r="W818" s="17" t="str">
        <x:v>high</x:v>
      </x:c>
    </x:row>
    <x:row r="819" ht="54" customHeight="1">
      <x:c r="A819" s="17" t="str">
        <x:v>BUS195</x:v>
      </x:c>
      <x:c r="B819" s="17" t="str">
        <x:v>过去20个交易日跌幅最大的债券前10名。</x:v>
      </x:c>
      <x:c r="C819" s="17" t="n">
        <x:v>2</x:v>
      </x:c>
      <x:c r="D819" s="17" t="str"/>
      <x:c r="E819" s="17" t="str">
        <x:v>工具调用</x:v>
      </x:c>
      <x:c r="F819" s="17" t="str">
        <x:v>finance_query</x:v>
      </x:c>
      <x:c r="G819" s="17" t="str">
        <x:v>r1 = bond.quote.kd_pct_sum(k = 20, order = "value asc", limit = 10, realtime = 0) -&gt; code, name, value as pct_sum_20d</x:v>
      </x:c>
      <x:c r="H819" s="17" t="str"/>
      <x:c r="I819" s="17" t="str">
        <x:v>合理操作</x:v>
      </x:c>
      <x:c r="J819" s="17" t="str">
        <x:v>是</x:v>
      </x:c>
      <x:c r="K819" s="18"/>
      <x:c r="L819" s="17" t="str">
        <x:v>否</x:v>
      </x:c>
      <x:c r="M819" s="17" t="str">
        <x:v>否</x:v>
      </x:c>
      <x:c r="N819" s="17" t="str">
        <x:v>target_api_executed</x:v>
      </x:c>
      <x:c r="O819" s="17" t="str">
        <x:v>expected_dataview_coverage</x:v>
      </x:c>
      <x:c r="P819" s="17" t="str">
        <x:v>session://financial_qa_33499cfa81de4d06_2888_de4afa280761/vars/v1</x:v>
      </x:c>
      <x:c r="Q819" s="17" t="str"/>
      <x:c r="R819" s="17" t="str">
        <x:v>bond.quote.kd_pct_sum</x:v>
      </x:c>
      <x:c r="S819" s="17" t="str"/>
      <x:c r="T819" s="17" t="str"/>
      <x:c r="U819" s="17" t="str">
        <x:v>r1</x:v>
      </x:c>
      <x:c r="V819" s="30" t="n">
        <x:v>10</x:v>
      </x:c>
      <x:c r="W819" s="17" t="str">
        <x:v>high</x:v>
      </x:c>
    </x:row>
    <x:row r="820" ht="54" customHeight="1">
      <x:c r="A820" s="17" t="str">
        <x:v>BUS195</x:v>
      </x:c>
      <x:c r="B820" s="17" t="str">
        <x:v>过去20个交易日跌幅最大的债券前10名。</x:v>
      </x:c>
      <x:c r="C820" s="17" t="n">
        <x:v>3</x:v>
      </x:c>
      <x:c r="D820" s="17" t="str"/>
      <x:c r="E820" s="17" t="str">
        <x:v>工具调用</x:v>
      </x:c>
      <x:c r="F820" s="17" t="str">
        <x:v>load_finance_result</x:v>
      </x:c>
      <x:c r="G820" s="17" t="str"/>
      <x:c r="H820" s="17" t="str"/>
      <x:c r="I820" s="17" t="str">
        <x:v>合理操作</x:v>
      </x:c>
      <x:c r="J820" s="17" t="str">
        <x:v>是</x:v>
      </x:c>
      <x:c r="K820" s="18"/>
      <x:c r="L820" s="17" t="str">
        <x:v>否</x:v>
      </x:c>
      <x:c r="M820" s="17" t="str">
        <x:v>否</x:v>
      </x:c>
      <x:c r="N820" s="17" t="str">
        <x:v>load_truncated_result</x:v>
      </x:c>
      <x:c r="O820" s="17" t="str">
        <x:v>sample_incomplete_requires_full_result</x:v>
      </x:c>
      <x:c r="P820" s="17" t="str">
        <x:v>session://financial_qa_33499cfa81de4d06_2888_de4afa280761/vars/v1</x:v>
      </x:c>
      <x:c r="Q820" s="17" t="str"/>
      <x:c r="R820" s="17" t="str"/>
      <x:c r="S820" s="17" t="str"/>
      <x:c r="T820" s="17" t="str"/>
      <x:c r="U820" s="17" t="str"/>
      <x:c r="V820" s="30"/>
      <x:c r="W820" s="17" t="str">
        <x:v>high</x:v>
      </x:c>
    </x:row>
    <x:row r="821" ht="54" customHeight="1">
      <x:c r="A821" s="17" t="str">
        <x:v>BUS196</x:v>
      </x:c>
      <x:c r="B821" s="17" t="str">
        <x:v>查询当前换手率最高的债券前20名。</x:v>
      </x:c>
      <x:c r="C821" s="17" t="n">
        <x:v>1</x:v>
      </x:c>
      <x:c r="D821" s="17" t="str"/>
      <x:c r="E821" s="17" t="str">
        <x:v>工具调用</x:v>
      </x:c>
      <x:c r="F821" s="17" t="str">
        <x:v>read_finance_catalog</x:v>
      </x:c>
      <x:c r="G821" s="17" t="str"/>
      <x:c r="H821" s="17" t="str"/>
      <x:c r="I821" s="17" t="str">
        <x:v>合理操作</x:v>
      </x:c>
      <x:c r="J821" s="17" t="str">
        <x:v>是</x:v>
      </x:c>
      <x:c r="K821" s="18"/>
      <x:c r="L821" s="17" t="str">
        <x:v>否</x:v>
      </x:c>
      <x:c r="M821" s="17" t="str">
        <x:v>否</x:v>
      </x:c>
      <x:c r="N821" s="17" t="str">
        <x:v>target_catalog_located</x:v>
      </x:c>
      <x:c r="O821" s="17" t="str">
        <x:v>expected_dataview_catalog</x:v>
      </x:c>
      <x:c r="P821" s="17" t="str"/>
      <x:c r="Q821" s="17" t="str"/>
      <x:c r="R821" s="17" t="str"/>
      <x:c r="S821" s="17" t="str">
        <x:v>bond</x:v>
      </x:c>
      <x:c r="T821" s="17" t="str">
        <x:v>quote</x:v>
      </x:c>
      <x:c r="U821" s="17" t="str"/>
      <x:c r="V821" s="30"/>
      <x:c r="W821" s="17" t="str">
        <x:v>high</x:v>
      </x:c>
    </x:row>
    <x:row r="822" ht="54" customHeight="1">
      <x:c r="A822" s="17" t="str">
        <x:v>BUS196</x:v>
      </x:c>
      <x:c r="B822" s="17" t="str">
        <x:v>查询当前换手率最高的债券前20名。</x:v>
      </x:c>
      <x:c r="C822" s="17" t="n">
        <x:v>2</x:v>
      </x:c>
      <x:c r="D822" s="17" t="str"/>
      <x:c r="E822" s="17" t="str">
        <x:v>工具调用</x:v>
      </x:c>
      <x:c r="F822" s="17" t="str">
        <x:v>finance_query</x:v>
      </x:c>
      <x:c r="G822" s="17" t="str">
        <x:v>r1 = bond.quote(filter = "turn_ratio &gt; 0", order = "turn_ratio desc", limit = 20, realtime = 2) -&gt; code, name, tradedate, close, turn_ratio, amount, volumn</x:v>
      </x:c>
      <x:c r="H822" s="17" t="str"/>
      <x:c r="I822" s="17" t="str">
        <x:v>合理操作</x:v>
      </x:c>
      <x:c r="J822" s="17" t="str">
        <x:v>是</x:v>
      </x:c>
      <x:c r="K822" s="18"/>
      <x:c r="L822" s="17" t="str">
        <x:v>否</x:v>
      </x:c>
      <x:c r="M822" s="17" t="str">
        <x:v>否</x:v>
      </x:c>
      <x:c r="N822" s="17" t="str">
        <x:v>target_api_executed</x:v>
      </x:c>
      <x:c r="O822" s="17" t="str">
        <x:v>expected_dataview_coverage</x:v>
      </x:c>
      <x:c r="P822" s="17" t="str">
        <x:v>session://financial_qa_33499cfa81de4d06_2889_bc045998b22b/vars/v1</x:v>
      </x:c>
      <x:c r="Q822" s="17" t="str"/>
      <x:c r="R822" s="17" t="str">
        <x:v>bond.quote</x:v>
      </x:c>
      <x:c r="S822" s="17" t="str"/>
      <x:c r="T822" s="17" t="str"/>
      <x:c r="U822" s="17" t="str">
        <x:v>r1</x:v>
      </x:c>
      <x:c r="V822" s="30" t="n">
        <x:v>0</x:v>
      </x:c>
      <x:c r="W822" s="17" t="str">
        <x:v>high</x:v>
      </x:c>
    </x:row>
    <x:row r="823" ht="54" customHeight="1">
      <x:c r="A823" s="17" t="str">
        <x:v>BUS196</x:v>
      </x:c>
      <x:c r="B823" s="17" t="str">
        <x:v>查询当前换手率最高的债券前20名。</x:v>
      </x:c>
      <x:c r="C823" s="17" t="n">
        <x:v>3</x:v>
      </x:c>
      <x:c r="D823" s="17" t="str"/>
      <x:c r="E823" s="17" t="str">
        <x:v>工具调用</x:v>
      </x:c>
      <x:c r="F823" s="17" t="str">
        <x:v>finance_query</x:v>
      </x:c>
      <x:c r="G823" s="17" t="str">
        <x:v>r2 = bond.quote(filter = "turn_ratio &gt; 0", order = "turn_ratio desc", limit = 20, realtime = 0) -&gt; code, name, tradedate, close, turn_ratio, amount, volumn</x:v>
      </x:c>
      <x:c r="H823" s="17" t="str"/>
      <x:c r="I823" s="17" t="str">
        <x:v>设计浪费</x:v>
      </x:c>
      <x:c r="J823" s="17" t="str">
        <x:v>否</x:v>
      </x:c>
      <x:c r="K823" s="18"/>
      <x:c r="L823" s="17" t="str">
        <x:v>否</x:v>
      </x:c>
      <x:c r="M823" s="17" t="str">
        <x:v>否</x:v>
      </x:c>
      <x:c r="N823" s="17" t="str">
        <x:v>requery_after_terminal_zero</x:v>
      </x:c>
      <x:c r="O823" s="17" t="str">
        <x:v>terminal_zero_requery</x:v>
      </x:c>
      <x:c r="P823" s="17" t="str">
        <x:v>session://financial_qa_33499cfa81de4d06_2889_bc045998b22b/vars/v2</x:v>
      </x:c>
      <x:c r="Q823" s="17" t="str"/>
      <x:c r="R823" s="17" t="str">
        <x:v>bond.quote</x:v>
      </x:c>
      <x:c r="S823" s="17" t="str"/>
      <x:c r="T823" s="17" t="str"/>
      <x:c r="U823" s="17" t="str">
        <x:v>r2</x:v>
      </x:c>
      <x:c r="V823" s="30" t="n">
        <x:v>0</x:v>
      </x:c>
      <x:c r="W823" s="17" t="str">
        <x:v>high</x:v>
      </x:c>
    </x:row>
    <x:row r="824" ht="54" customHeight="1">
      <x:c r="A824" s="17" t="str">
        <x:v>BUS197</x:v>
      </x:c>
      <x:c r="B824" s="17" t="str">
        <x:v>比较平安转债最近20个交易日累计涨幅和当前成交额。</x:v>
      </x:c>
      <x:c r="C824" s="17" t="n">
        <x:v>1</x:v>
      </x:c>
      <x:c r="D824" s="17" t="str"/>
      <x:c r="E824" s="17" t="str">
        <x:v>工具调用</x:v>
      </x:c>
      <x:c r="F824" s="17" t="str">
        <x:v>read_finance_catalog</x:v>
      </x:c>
      <x:c r="G824" s="17" t="str"/>
      <x:c r="H824" s="17" t="str"/>
      <x:c r="I824" s="17" t="str">
        <x:v>合理操作</x:v>
      </x:c>
      <x:c r="J824" s="17" t="str">
        <x:v>是</x:v>
      </x:c>
      <x:c r="K824" s="18"/>
      <x:c r="L824" s="17" t="str">
        <x:v>否</x:v>
      </x:c>
      <x:c r="M824" s="17" t="str">
        <x:v>否</x:v>
      </x:c>
      <x:c r="N824" s="17" t="str">
        <x:v>subject_catalog_discovery</x:v>
      </x:c>
      <x:c r="O824" s="17" t="str">
        <x:v>expected_subject_catalog</x:v>
      </x:c>
      <x:c r="P824" s="17" t="str"/>
      <x:c r="Q824" s="17" t="str"/>
      <x:c r="R824" s="17" t="str"/>
      <x:c r="S824" s="17" t="str">
        <x:v>bond</x:v>
      </x:c>
      <x:c r="T824" s="17" t="str">
        <x:v>basic_info</x:v>
      </x:c>
      <x:c r="U824" s="17" t="str"/>
      <x:c r="V824" s="30"/>
      <x:c r="W824" s="17" t="str">
        <x:v>medium</x:v>
      </x:c>
    </x:row>
    <x:row r="825" ht="54" customHeight="1">
      <x:c r="A825" s="17" t="str">
        <x:v>BUS197</x:v>
      </x:c>
      <x:c r="B825" s="17" t="str">
        <x:v>比较平安转债最近20个交易日累计涨幅和当前成交额。</x:v>
      </x:c>
      <x:c r="C825" s="17" t="n">
        <x:v>2</x:v>
      </x:c>
      <x:c r="D825" s="17" t="str"/>
      <x:c r="E825" s="17" t="str">
        <x:v>工具调用</x:v>
      </x:c>
      <x:c r="F825" s="17" t="str">
        <x:v>read_finance_catalog</x:v>
      </x:c>
      <x:c r="G825" s="17" t="str"/>
      <x:c r="H825" s="17" t="str"/>
      <x:c r="I825" s="17" t="str">
        <x:v>合理操作</x:v>
      </x:c>
      <x:c r="J825" s="17" t="str">
        <x:v>是</x:v>
      </x:c>
      <x:c r="K825" s="18"/>
      <x:c r="L825" s="17" t="str">
        <x:v>否</x:v>
      </x:c>
      <x:c r="M825" s="17" t="str">
        <x:v>否</x:v>
      </x:c>
      <x:c r="N825" s="17" t="str">
        <x:v>target_catalog_located</x:v>
      </x:c>
      <x:c r="O825" s="17" t="str">
        <x:v>expected_dataview_catalog</x:v>
      </x:c>
      <x:c r="P825" s="17" t="str"/>
      <x:c r="Q825" s="17" t="str"/>
      <x:c r="R825" s="17" t="str"/>
      <x:c r="S825" s="17" t="str">
        <x:v>bond</x:v>
      </x:c>
      <x:c r="T825" s="17" t="str">
        <x:v>quote</x:v>
      </x:c>
      <x:c r="U825" s="17" t="str"/>
      <x:c r="V825" s="30"/>
      <x:c r="W825" s="17" t="str">
        <x:v>high</x:v>
      </x:c>
    </x:row>
    <x:row r="826" ht="54" customHeight="1">
      <x:c r="A826" s="17" t="str">
        <x:v>BUS197</x:v>
      </x:c>
      <x:c r="B826" s="17" t="str">
        <x:v>比较平安转债最近20个交易日累计涨幅和当前成交额。</x:v>
      </x:c>
      <x:c r="C826" s="17" t="n">
        <x:v>3</x:v>
      </x:c>
      <x:c r="D826" s="17" t="str"/>
      <x:c r="E826" s="17" t="str">
        <x:v>工具调用</x:v>
      </x:c>
      <x:c r="F826" s="17" t="str">
        <x:v>finance_query</x:v>
      </x:c>
      <x:c r="G826" s="17" t="str">
        <x:v>r1 = bond.basic_info(filter = "name like '%平安%'", limit = 20) -&gt; code, name, issuer</x:v>
      </x:c>
      <x:c r="H826" s="17" t="str"/>
      <x:c r="I826" s="17" t="str">
        <x:v>合理操作</x:v>
      </x:c>
      <x:c r="J826" s="17" t="str">
        <x:v>是</x:v>
      </x:c>
      <x:c r="K826" s="18"/>
      <x:c r="L826" s="17" t="str">
        <x:v>否</x:v>
      </x:c>
      <x:c r="M826" s="17" t="str">
        <x:v>否</x:v>
      </x:c>
      <x:c r="N826" s="17" t="str">
        <x:v>same_subject_dependency</x:v>
      </x:c>
      <x:c r="O826" s="17" t="str">
        <x:v>supporting_api_for_expected_subject</x:v>
      </x:c>
      <x:c r="P826" s="17" t="str">
        <x:v>session://financial_qa_33499cfa81de4d06_2890_3185ff4999b5/vars/v1</x:v>
      </x:c>
      <x:c r="Q826" s="17" t="str"/>
      <x:c r="R826" s="17" t="str">
        <x:v>bond.basic_info</x:v>
      </x:c>
      <x:c r="S826" s="17" t="str"/>
      <x:c r="T826" s="17" t="str"/>
      <x:c r="U826" s="17" t="str">
        <x:v>r1</x:v>
      </x:c>
      <x:c r="V826" s="30" t="n">
        <x:v>20</x:v>
      </x:c>
      <x:c r="W826" s="17" t="str">
        <x:v>medium</x:v>
      </x:c>
    </x:row>
    <x:row r="827" ht="54" customHeight="1">
      <x:c r="A827" s="17" t="str">
        <x:v>BUS197</x:v>
      </x:c>
      <x:c r="B827" s="17" t="str">
        <x:v>比较平安转债最近20个交易日累计涨幅和当前成交额。</x:v>
      </x:c>
      <x:c r="C827" s="17" t="n">
        <x:v>4</x:v>
      </x:c>
      <x:c r="D827" s="17" t="str"/>
      <x:c r="E827" s="17" t="str">
        <x:v>工具调用</x:v>
      </x:c>
      <x:c r="F827" s="17" t="str">
        <x:v>finance_query</x:v>
      </x:c>
      <x:c r="G827" s="17" t="str">
        <x:v>r2 = bond.quote.kd_pct_sum(k = 20, filter = "code = 113005.SH", realtime = 0) -&gt; code, name, value as pct_20d_sum</x:v>
      </x:c>
      <x:c r="H827" s="17" t="str"/>
      <x:c r="I827" s="17" t="str">
        <x:v>合理操作</x:v>
      </x:c>
      <x:c r="J827" s="17" t="str">
        <x:v>是</x:v>
      </x:c>
      <x:c r="K827" s="18"/>
      <x:c r="L827" s="17" t="str">
        <x:v>否</x:v>
      </x:c>
      <x:c r="M827" s="17" t="str">
        <x:v>否</x:v>
      </x:c>
      <x:c r="N827" s="17" t="str">
        <x:v>target_api_executed</x:v>
      </x:c>
      <x:c r="O827" s="17" t="str">
        <x:v>expected_dataview_coverage</x:v>
      </x:c>
      <x:c r="P827" s="17" t="str">
        <x:v>session://financial_qa_33499cfa81de4d06_2890_3185ff4999b5/vars/v2</x:v>
      </x:c>
      <x:c r="Q827" s="17" t="str"/>
      <x:c r="R827" s="17" t="str">
        <x:v>bond.quote.kd_pct_sum</x:v>
      </x:c>
      <x:c r="S827" s="17" t="str"/>
      <x:c r="T827" s="17" t="str"/>
      <x:c r="U827" s="17" t="str">
        <x:v>r2</x:v>
      </x:c>
      <x:c r="V827" s="30" t="n">
        <x:v>0</x:v>
      </x:c>
      <x:c r="W827" s="17" t="str">
        <x:v>high</x:v>
      </x:c>
    </x:row>
    <x:row r="828" ht="54" customHeight="1">
      <x:c r="A828" s="17" t="str">
        <x:v>BUS197</x:v>
      </x:c>
      <x:c r="B828" s="17" t="str">
        <x:v>比较平安转债最近20个交易日累计涨幅和当前成交额。</x:v>
      </x:c>
      <x:c r="C828" s="17" t="n">
        <x:v>5</x:v>
      </x:c>
      <x:c r="D828" s="17" t="str"/>
      <x:c r="E828" s="17" t="str">
        <x:v>工具调用</x:v>
      </x:c>
      <x:c r="F828" s="17" t="str">
        <x:v>finance_query</x:v>
      </x:c>
      <x:c r="G828" s="17" t="str">
        <x:v>r3 = bond.quote(filter = "code = 113005.SH and tradedate = -1", limit = 1, realtime = 0) -&gt; code, name, tradedate, amount, close, pct</x:v>
      </x:c>
      <x:c r="H828" s="17" t="str"/>
      <x:c r="I828" s="17" t="str">
        <x:v>合理操作</x:v>
      </x:c>
      <x:c r="J828" s="17" t="str">
        <x:v>是</x:v>
      </x:c>
      <x:c r="K828" s="18"/>
      <x:c r="L828" s="17" t="str">
        <x:v>否</x:v>
      </x:c>
      <x:c r="M828" s="17" t="str">
        <x:v>否</x:v>
      </x:c>
      <x:c r="N828" s="17" t="str">
        <x:v>target_api_executed</x:v>
      </x:c>
      <x:c r="O828" s="17" t="str">
        <x:v>expected_dataview_coverage</x:v>
      </x:c>
      <x:c r="P828" s="17" t="str">
        <x:v>session://financial_qa_33499cfa81de4d06_2890_3185ff4999b5/vars/v3</x:v>
      </x:c>
      <x:c r="Q828" s="17" t="str"/>
      <x:c r="R828" s="17" t="str">
        <x:v>bond.quote</x:v>
      </x:c>
      <x:c r="S828" s="17" t="str"/>
      <x:c r="T828" s="17" t="str"/>
      <x:c r="U828" s="17" t="str">
        <x:v>r3</x:v>
      </x:c>
      <x:c r="V828" s="30" t="n">
        <x:v>0</x:v>
      </x:c>
      <x:c r="W828" s="17" t="str">
        <x:v>high</x:v>
      </x:c>
    </x:row>
    <x:row r="829" ht="54" customHeight="1">
      <x:c r="A829" s="17" t="str">
        <x:v>BUS197</x:v>
      </x:c>
      <x:c r="B829" s="17" t="str">
        <x:v>比较平安转债最近20个交易日累计涨幅和当前成交额。</x:v>
      </x:c>
      <x:c r="C829" s="17" t="n">
        <x:v>6</x:v>
      </x:c>
      <x:c r="D829" s="17" t="str"/>
      <x:c r="E829" s="17" t="str">
        <x:v>工具调用</x:v>
      </x:c>
      <x:c r="F829" s="17" t="str">
        <x:v>load_finance_result</x:v>
      </x:c>
      <x:c r="G829" s="17" t="str"/>
      <x:c r="H829" s="17" t="str"/>
      <x:c r="I829" s="17" t="str">
        <x:v>合理操作</x:v>
      </x:c>
      <x:c r="J829" s="17" t="str">
        <x:v>是</x:v>
      </x:c>
      <x:c r="K829" s="18"/>
      <x:c r="L829" s="17" t="str">
        <x:v>否</x:v>
      </x:c>
      <x:c r="M829" s="17" t="str">
        <x:v>否</x:v>
      </x:c>
      <x:c r="N829" s="17" t="str">
        <x:v>load_truncated_result</x:v>
      </x:c>
      <x:c r="O829" s="17" t="str">
        <x:v>sample_incomplete_requires_full_result</x:v>
      </x:c>
      <x:c r="P829" s="17" t="str">
        <x:v>session://financial_qa_33499cfa81de4d06_2890_3185ff4999b5/vars/v1</x:v>
      </x:c>
      <x:c r="Q829" s="17" t="str"/>
      <x:c r="R829" s="17" t="str"/>
      <x:c r="S829" s="17" t="str"/>
      <x:c r="T829" s="17" t="str"/>
      <x:c r="U829" s="17" t="str"/>
      <x:c r="V829" s="30"/>
      <x:c r="W829" s="17" t="str">
        <x:v>high</x:v>
      </x:c>
    </x:row>
    <x:row r="830" ht="54" customHeight="1">
      <x:c r="A830" s="17" t="str">
        <x:v>BUS198</x:v>
      </x:c>
      <x:c r="B830" s="17" t="str">
        <x:v>筛选近10个交易日平均成交额最高的债券前20名。</x:v>
      </x:c>
      <x:c r="C830" s="17" t="n">
        <x:v>1</x:v>
      </x:c>
      <x:c r="D830" s="17" t="str"/>
      <x:c r="E830" s="17" t="str">
        <x:v>工具调用</x:v>
      </x:c>
      <x:c r="F830" s="17" t="str">
        <x:v>read_finance_catalog</x:v>
      </x:c>
      <x:c r="G830" s="17" t="str"/>
      <x:c r="H830" s="17" t="str"/>
      <x:c r="I830" s="17" t="str">
        <x:v>合理操作</x:v>
      </x:c>
      <x:c r="J830" s="17" t="str">
        <x:v>是</x:v>
      </x:c>
      <x:c r="K830" s="18"/>
      <x:c r="L830" s="17" t="str">
        <x:v>否</x:v>
      </x:c>
      <x:c r="M830" s="17" t="str">
        <x:v>否</x:v>
      </x:c>
      <x:c r="N830" s="17" t="str">
        <x:v>target_catalog_located</x:v>
      </x:c>
      <x:c r="O830" s="17" t="str">
        <x:v>expected_dataview_catalog</x:v>
      </x:c>
      <x:c r="P830" s="17" t="str"/>
      <x:c r="Q830" s="17" t="str"/>
      <x:c r="R830" s="17" t="str"/>
      <x:c r="S830" s="17" t="str">
        <x:v>bond</x:v>
      </x:c>
      <x:c r="T830" s="17" t="str">
        <x:v>quote</x:v>
      </x:c>
      <x:c r="U830" s="17" t="str"/>
      <x:c r="V830" s="30"/>
      <x:c r="W830" s="17" t="str">
        <x:v>high</x:v>
      </x:c>
    </x:row>
    <x:row r="831" ht="54" customHeight="1">
      <x:c r="A831" s="17" t="str">
        <x:v>BUS198</x:v>
      </x:c>
      <x:c r="B831" s="17" t="str">
        <x:v>筛选近10个交易日平均成交额最高的债券前20名。</x:v>
      </x:c>
      <x:c r="C831" s="17" t="n">
        <x:v>2</x:v>
      </x:c>
      <x:c r="D831" s="17" t="str"/>
      <x:c r="E831" s="17" t="str">
        <x:v>工具调用</x:v>
      </x:c>
      <x:c r="F831" s="17" t="str">
        <x:v>finance_query</x:v>
      </x:c>
      <x:c r="G831" s="17" t="str">
        <x:v>r1 = bond.quote.kd_amount_avg(k = 10, order = "value desc", limit = 20, realtime = 0) -&gt; code, name, value as avg_amount_10d</x:v>
      </x:c>
      <x:c r="H831" s="17" t="str"/>
      <x:c r="I831" s="17" t="str">
        <x:v>合理操作</x:v>
      </x:c>
      <x:c r="J831" s="17" t="str">
        <x:v>是</x:v>
      </x:c>
      <x:c r="K831" s="18"/>
      <x:c r="L831" s="17" t="str">
        <x:v>否</x:v>
      </x:c>
      <x:c r="M831" s="17" t="str">
        <x:v>否</x:v>
      </x:c>
      <x:c r="N831" s="17" t="str">
        <x:v>target_api_executed</x:v>
      </x:c>
      <x:c r="O831" s="17" t="str">
        <x:v>expected_dataview_coverage</x:v>
      </x:c>
      <x:c r="P831" s="17" t="str">
        <x:v>session://financial_qa_33499cfa81de4d06_2891_6b0e8e917e87/vars/v1</x:v>
      </x:c>
      <x:c r="Q831" s="17" t="str"/>
      <x:c r="R831" s="17" t="str">
        <x:v>bond.quote.kd_amount_avg</x:v>
      </x:c>
      <x:c r="S831" s="17" t="str"/>
      <x:c r="T831" s="17" t="str"/>
      <x:c r="U831" s="17" t="str">
        <x:v>r1</x:v>
      </x:c>
      <x:c r="V831" s="30" t="n">
        <x:v>20</x:v>
      </x:c>
      <x:c r="W831" s="17" t="str">
        <x:v>high</x:v>
      </x:c>
    </x:row>
    <x:row r="832" ht="54" customHeight="1">
      <x:c r="A832" s="17" t="str">
        <x:v>BUS198</x:v>
      </x:c>
      <x:c r="B832" s="17" t="str">
        <x:v>筛选近10个交易日平均成交额最高的债券前20名。</x:v>
      </x:c>
      <x:c r="C832" s="17" t="n">
        <x:v>3</x:v>
      </x:c>
      <x:c r="D832" s="17" t="str"/>
      <x:c r="E832" s="17" t="str">
        <x:v>工具调用</x:v>
      </x:c>
      <x:c r="F832" s="17" t="str">
        <x:v>load_finance_result</x:v>
      </x:c>
      <x:c r="G832" s="17" t="str"/>
      <x:c r="H832" s="17" t="str"/>
      <x:c r="I832" s="17" t="str">
        <x:v>合理操作</x:v>
      </x:c>
      <x:c r="J832" s="17" t="str">
        <x:v>是</x:v>
      </x:c>
      <x:c r="K832" s="18"/>
      <x:c r="L832" s="17" t="str">
        <x:v>否</x:v>
      </x:c>
      <x:c r="M832" s="17" t="str">
        <x:v>否</x:v>
      </x:c>
      <x:c r="N832" s="17" t="str">
        <x:v>load_truncated_result</x:v>
      </x:c>
      <x:c r="O832" s="17" t="str">
        <x:v>sample_incomplete_requires_full_result</x:v>
      </x:c>
      <x:c r="P832" s="17" t="str">
        <x:v>session://financial_qa_33499cfa81de4d06_2891_6b0e8e917e87/vars/v1</x:v>
      </x:c>
      <x:c r="Q832" s="17" t="str"/>
      <x:c r="R832" s="17" t="str"/>
      <x:c r="S832" s="17" t="str"/>
      <x:c r="T832" s="17" t="str"/>
      <x:c r="U832" s="17" t="str"/>
      <x:c r="V832" s="30"/>
      <x:c r="W832" s="17" t="str">
        <x:v>high</x:v>
      </x:c>
    </x:row>
    <x:row r="833" ht="54" customHeight="1">
      <x:c r="A833" s="17" t="str">
        <x:v>BUS199</x:v>
      </x:c>
      <x:c r="B833" s="17" t="str">
        <x:v>查询今天涨幅超过3%且成交额超过1亿元的债券。</x:v>
      </x:c>
      <x:c r="C833" s="17" t="n">
        <x:v>1</x:v>
      </x:c>
      <x:c r="D833" s="17" t="str"/>
      <x:c r="E833" s="17" t="str">
        <x:v>工具调用</x:v>
      </x:c>
      <x:c r="F833" s="17" t="str">
        <x:v>read_finance_catalog</x:v>
      </x:c>
      <x:c r="G833" s="17" t="str"/>
      <x:c r="H833" s="17" t="str"/>
      <x:c r="I833" s="17" t="str">
        <x:v>合理操作</x:v>
      </x:c>
      <x:c r="J833" s="17" t="str">
        <x:v>是</x:v>
      </x:c>
      <x:c r="K833" s="18"/>
      <x:c r="L833" s="17" t="str">
        <x:v>否</x:v>
      </x:c>
      <x:c r="M833" s="17" t="str">
        <x:v>否</x:v>
      </x:c>
      <x:c r="N833" s="17" t="str">
        <x:v>target_catalog_located</x:v>
      </x:c>
      <x:c r="O833" s="17" t="str">
        <x:v>expected_dataview_catalog</x:v>
      </x:c>
      <x:c r="P833" s="17" t="str"/>
      <x:c r="Q833" s="17" t="str"/>
      <x:c r="R833" s="17" t="str"/>
      <x:c r="S833" s="17" t="str">
        <x:v>bond</x:v>
      </x:c>
      <x:c r="T833" s="17" t="str">
        <x:v>quote</x:v>
      </x:c>
      <x:c r="U833" s="17" t="str"/>
      <x:c r="V833" s="30"/>
      <x:c r="W833" s="17" t="str">
        <x:v>high</x:v>
      </x:c>
    </x:row>
    <x:row r="834" ht="54" customHeight="1">
      <x:c r="A834" s="17" t="str">
        <x:v>BUS199</x:v>
      </x:c>
      <x:c r="B834" s="17" t="str">
        <x:v>查询今天涨幅超过3%且成交额超过1亿元的债券。</x:v>
      </x:c>
      <x:c r="C834" s="17" t="n">
        <x:v>2</x:v>
      </x:c>
      <x:c r="D834" s="17" t="str"/>
      <x:c r="E834" s="17" t="str">
        <x:v>工具调用</x:v>
      </x:c>
      <x:c r="F834" s="17" t="str">
        <x:v>finance_query</x:v>
      </x:c>
      <x:c r="G834" s="17" t="str">
        <x:v>r1 = bond.quote(filter = "tradedate = -1 and pct &gt; 3 and amount &gt; 100000000", order = "pct desc", limit = 50, realtime = 0) -&gt; code, name, tradedate, pct, amount</x:v>
      </x:c>
      <x:c r="H834" s="17" t="str"/>
      <x:c r="I834" s="17" t="str">
        <x:v>合理操作</x:v>
      </x:c>
      <x:c r="J834" s="17" t="str">
        <x:v>是</x:v>
      </x:c>
      <x:c r="K834" s="18"/>
      <x:c r="L834" s="17" t="str">
        <x:v>否</x:v>
      </x:c>
      <x:c r="M834" s="17" t="str">
        <x:v>否</x:v>
      </x:c>
      <x:c r="N834" s="17" t="str">
        <x:v>target_api_executed</x:v>
      </x:c>
      <x:c r="O834" s="17" t="str">
        <x:v>expected_dataview_coverage</x:v>
      </x:c>
      <x:c r="P834" s="17" t="str">
        <x:v>session://financial_qa_33499cfa81de4d06_2892_f44b282da858/vars/v1</x:v>
      </x:c>
      <x:c r="Q834" s="17" t="str"/>
      <x:c r="R834" s="17" t="str">
        <x:v>bond.quote</x:v>
      </x:c>
      <x:c r="S834" s="17" t="str"/>
      <x:c r="T834" s="17" t="str"/>
      <x:c r="U834" s="17" t="str">
        <x:v>r1</x:v>
      </x:c>
      <x:c r="V834" s="30" t="n">
        <x:v>41</x:v>
      </x:c>
      <x:c r="W834" s="17" t="str">
        <x:v>high</x:v>
      </x:c>
    </x:row>
    <x:row r="835" ht="54" customHeight="1">
      <x:c r="A835" s="17" t="str">
        <x:v>BUS199</x:v>
      </x:c>
      <x:c r="B835" s="17" t="str">
        <x:v>查询今天涨幅超过3%且成交额超过1亿元的债券。</x:v>
      </x:c>
      <x:c r="C835" s="17" t="n">
        <x:v>3</x:v>
      </x:c>
      <x:c r="D835" s="17" t="str"/>
      <x:c r="E835" s="17" t="str">
        <x:v>工具调用</x:v>
      </x:c>
      <x:c r="F835" s="17" t="str">
        <x:v>load_finance_result</x:v>
      </x:c>
      <x:c r="G835" s="17" t="str"/>
      <x:c r="H835" s="17" t="str"/>
      <x:c r="I835" s="17" t="str">
        <x:v>合理操作</x:v>
      </x:c>
      <x:c r="J835" s="17" t="str">
        <x:v>是</x:v>
      </x:c>
      <x:c r="K835" s="18"/>
      <x:c r="L835" s="17" t="str">
        <x:v>否</x:v>
      </x:c>
      <x:c r="M835" s="17" t="str">
        <x:v>否</x:v>
      </x:c>
      <x:c r="N835" s="17" t="str">
        <x:v>load_truncated_result</x:v>
      </x:c>
      <x:c r="O835" s="17" t="str">
        <x:v>sample_incomplete_requires_full_result</x:v>
      </x:c>
      <x:c r="P835" s="17" t="str">
        <x:v>session://financial_qa_33499cfa81de4d06_2892_f44b282da858/vars/v1</x:v>
      </x:c>
      <x:c r="Q835" s="17" t="str"/>
      <x:c r="R835" s="17" t="str"/>
      <x:c r="S835" s="17" t="str"/>
      <x:c r="T835" s="17" t="str"/>
      <x:c r="U835" s="17" t="str"/>
      <x:c r="V835" s="30"/>
      <x:c r="W835" s="17" t="str">
        <x:v>high</x:v>
      </x:c>
    </x:row>
    <x:row r="836" ht="54" customHeight="1">
      <x:c r="A836" s="17" t="str">
        <x:v>BUS200</x:v>
      </x:c>
      <x:c r="B836" s="17" t="str">
        <x:v>统计当前债券市场涨幅为正的债券数量。</x:v>
      </x:c>
      <x:c r="C836" s="17" t="n">
        <x:v>1</x:v>
      </x:c>
      <x:c r="D836" s="17" t="str"/>
      <x:c r="E836" s="17" t="str">
        <x:v>工具调用</x:v>
      </x:c>
      <x:c r="F836" s="17" t="str">
        <x:v>read_finance_catalog</x:v>
      </x:c>
      <x:c r="G836" s="17" t="str"/>
      <x:c r="H836" s="17" t="str"/>
      <x:c r="I836" s="17" t="str">
        <x:v>合理操作</x:v>
      </x:c>
      <x:c r="J836" s="17" t="str">
        <x:v>是</x:v>
      </x:c>
      <x:c r="K836" s="18"/>
      <x:c r="L836" s="17" t="str">
        <x:v>否</x:v>
      </x:c>
      <x:c r="M836" s="17" t="str">
        <x:v>否</x:v>
      </x:c>
      <x:c r="N836" s="17" t="str">
        <x:v>target_catalog_located</x:v>
      </x:c>
      <x:c r="O836" s="17" t="str">
        <x:v>expected_dataview_catalog</x:v>
      </x:c>
      <x:c r="P836" s="17" t="str"/>
      <x:c r="Q836" s="17" t="str"/>
      <x:c r="R836" s="17" t="str"/>
      <x:c r="S836" s="17" t="str">
        <x:v>bond</x:v>
      </x:c>
      <x:c r="T836" s="17" t="str">
        <x:v>quote</x:v>
      </x:c>
      <x:c r="U836" s="17" t="str"/>
      <x:c r="V836" s="30"/>
      <x:c r="W836" s="17" t="str">
        <x:v>high</x:v>
      </x:c>
    </x:row>
    <x:row r="837" ht="54" customHeight="1">
      <x:c r="A837" s="17" t="str">
        <x:v>BUS200</x:v>
      </x:c>
      <x:c r="B837" s="17" t="str">
        <x:v>统计当前债券市场涨幅为正的债券数量。</x:v>
      </x:c>
      <x:c r="C837" s="17" t="n">
        <x:v>2</x:v>
      </x:c>
      <x:c r="D837" s="17" t="str"/>
      <x:c r="E837" s="17" t="str">
        <x:v>工具调用</x:v>
      </x:c>
      <x:c r="F837" s="17" t="str">
        <x:v>finance_query</x:v>
      </x:c>
      <x:c r="G837" s="17" t="str">
        <x:v>r1 = bond.quote(filter = "pct &gt; 0", order = "pct desc", limit = 1000, realtime = 0) -&gt; code, name, pct</x:v>
      </x:c>
      <x:c r="H837" s="17" t="str"/>
      <x:c r="I837" s="17" t="str">
        <x:v>合理操作</x:v>
      </x:c>
      <x:c r="J837" s="17" t="str">
        <x:v>是</x:v>
      </x:c>
      <x:c r="K837" s="18"/>
      <x:c r="L837" s="17" t="str">
        <x:v>否</x:v>
      </x:c>
      <x:c r="M837" s="17" t="str">
        <x:v>否</x:v>
      </x:c>
      <x:c r="N837" s="17" t="str">
        <x:v>target_api_executed</x:v>
      </x:c>
      <x:c r="O837" s="17" t="str">
        <x:v>expected_dataview_coverage</x:v>
      </x:c>
      <x:c r="P837" s="17" t="str">
        <x:v>session://financial_qa_33499cfa81de4d06_2893_9ac4c45f2297/vars/v1</x:v>
      </x:c>
      <x:c r="Q837" s="17" t="str"/>
      <x:c r="R837" s="17" t="str">
        <x:v>bond.quote</x:v>
      </x:c>
      <x:c r="S837" s="17" t="str"/>
      <x:c r="T837" s="17" t="str"/>
      <x:c r="U837" s="17" t="str">
        <x:v>r1</x:v>
      </x:c>
      <x:c r="V837" s="30" t="n">
        <x:v>436</x:v>
      </x:c>
      <x:c r="W837" s="17" t="str">
        <x:v>high</x:v>
      </x:c>
    </x:row>
    <x:row r="838" ht="54" customHeight="1">
      <x:c r="A838" s="17" t="str">
        <x:v>BUS200</x:v>
      </x:c>
      <x:c r="B838" s="17" t="str">
        <x:v>统计当前债券市场涨幅为正的债券数量。</x:v>
      </x:c>
      <x:c r="C838" s="17" t="n">
        <x:v>3</x:v>
      </x:c>
      <x:c r="D838" s="17" t="str"/>
      <x:c r="E838" s="17" t="str">
        <x:v>工具调用</x:v>
      </x:c>
      <x:c r="F838" s="17" t="str">
        <x:v>load_finance_result</x:v>
      </x:c>
      <x:c r="G838" s="17" t="str"/>
      <x:c r="H838" s="17" t="str"/>
      <x:c r="I838" s="17" t="str">
        <x:v>合理操作</x:v>
      </x:c>
      <x:c r="J838" s="17" t="str">
        <x:v>是</x:v>
      </x:c>
      <x:c r="K838" s="18"/>
      <x:c r="L838" s="17" t="str">
        <x:v>否</x:v>
      </x:c>
      <x:c r="M838" s="17" t="str">
        <x:v>否</x:v>
      </x:c>
      <x:c r="N838" s="17" t="str">
        <x:v>load_truncated_result</x:v>
      </x:c>
      <x:c r="O838" s="17" t="str">
        <x:v>sample_incomplete_requires_full_result</x:v>
      </x:c>
      <x:c r="P838" s="17" t="str">
        <x:v>session://financial_qa_33499cfa81de4d06_2893_9ac4c45f2297/vars/v1</x:v>
      </x:c>
      <x:c r="Q838" s="17" t="str"/>
      <x:c r="R838" s="17" t="str"/>
      <x:c r="S838" s="17" t="str"/>
      <x:c r="T838" s="17" t="str"/>
      <x:c r="U838" s="17" t="str"/>
      <x:c r="V838" s="30"/>
      <x:c r="W838" s="17" t="str">
        <x:v>high</x:v>
      </x:c>
    </x:row>
    <x:row r="839" ht="54" customHeight="1">
      <x:c r="A839" s="17" t="str">
        <x:v>BUS201</x:v>
      </x:c>
      <x:c r="B839" s="17" t="str">
        <x:v>同时查询平安转债行情和中国平安股票当前行情。</x:v>
      </x:c>
      <x:c r="C839" s="17" t="n">
        <x:v>1</x:v>
      </x:c>
      <x:c r="D839" s="17" t="str"/>
      <x:c r="E839" s="17" t="str">
        <x:v>工具调用</x:v>
      </x:c>
      <x:c r="F839" s="17" t="str">
        <x:v>read_finance_catalog</x:v>
      </x:c>
      <x:c r="G839" s="17" t="str"/>
      <x:c r="H839" s="17" t="str"/>
      <x:c r="I839" s="17" t="str">
        <x:v>合理操作</x:v>
      </x:c>
      <x:c r="J839" s="17" t="str">
        <x:v>是</x:v>
      </x:c>
      <x:c r="K839" s="18"/>
      <x:c r="L839" s="17" t="str">
        <x:v>否</x:v>
      </x:c>
      <x:c r="M839" s="17" t="str">
        <x:v>否</x:v>
      </x:c>
      <x:c r="N839" s="17" t="str">
        <x:v>subject_catalog_discovery</x:v>
      </x:c>
      <x:c r="O839" s="17" t="str">
        <x:v>expected_subject_catalog</x:v>
      </x:c>
      <x:c r="P839" s="17" t="str"/>
      <x:c r="Q839" s="17" t="str"/>
      <x:c r="R839" s="17" t="str"/>
      <x:c r="S839" s="17" t="str">
        <x:v>bond</x:v>
      </x:c>
      <x:c r="T839" s="17" t="str">
        <x:v>basic_info</x:v>
      </x:c>
      <x:c r="U839" s="17" t="str"/>
      <x:c r="V839" s="30"/>
      <x:c r="W839" s="17" t="str">
        <x:v>medium</x:v>
      </x:c>
    </x:row>
    <x:row r="840" ht="54" customHeight="1">
      <x:c r="A840" s="17" t="str">
        <x:v>BUS201</x:v>
      </x:c>
      <x:c r="B840" s="17" t="str">
        <x:v>同时查询平安转债行情和中国平安股票当前行情。</x:v>
      </x:c>
      <x:c r="C840" s="17" t="n">
        <x:v>2</x:v>
      </x:c>
      <x:c r="D840" s="17" t="str"/>
      <x:c r="E840" s="17" t="str">
        <x:v>工具调用</x:v>
      </x:c>
      <x:c r="F840" s="17" t="str">
        <x:v>read_finance_catalog</x:v>
      </x:c>
      <x:c r="G840" s="17" t="str"/>
      <x:c r="H840" s="17" t="str"/>
      <x:c r="I840" s="17" t="str">
        <x:v>合理操作</x:v>
      </x:c>
      <x:c r="J840" s="17" t="str">
        <x:v>是</x:v>
      </x:c>
      <x:c r="K840" s="18"/>
      <x:c r="L840" s="17" t="str">
        <x:v>否</x:v>
      </x:c>
      <x:c r="M840" s="17" t="str">
        <x:v>否</x:v>
      </x:c>
      <x:c r="N840" s="17" t="str">
        <x:v>target_catalog_located</x:v>
      </x:c>
      <x:c r="O840" s="17" t="str">
        <x:v>expected_dataview_catalog</x:v>
      </x:c>
      <x:c r="P840" s="17" t="str"/>
      <x:c r="Q840" s="17" t="str"/>
      <x:c r="R840" s="17" t="str"/>
      <x:c r="S840" s="17" t="str">
        <x:v>bond</x:v>
      </x:c>
      <x:c r="T840" s="17" t="str">
        <x:v>quote</x:v>
      </x:c>
      <x:c r="U840" s="17" t="str"/>
      <x:c r="V840" s="30"/>
      <x:c r="W840" s="17" t="str">
        <x:v>high</x:v>
      </x:c>
    </x:row>
    <x:row r="841" ht="54" customHeight="1">
      <x:c r="A841" s="17" t="str">
        <x:v>BUS201</x:v>
      </x:c>
      <x:c r="B841" s="17" t="str">
        <x:v>同时查询平安转债行情和中国平安股票当前行情。</x:v>
      </x:c>
      <x:c r="C841" s="17" t="n">
        <x:v>3</x:v>
      </x:c>
      <x:c r="D841" s="17" t="str"/>
      <x:c r="E841" s="17" t="str">
        <x:v>工具调用</x:v>
      </x:c>
      <x:c r="F841" s="17" t="str">
        <x:v>read_finance_catalog</x:v>
      </x:c>
      <x:c r="G841" s="17" t="str"/>
      <x:c r="H841" s="17" t="str"/>
      <x:c r="I841" s="17" t="str">
        <x:v>合理操作</x:v>
      </x:c>
      <x:c r="J841" s="17" t="str">
        <x:v>是</x:v>
      </x:c>
      <x:c r="K841" s="18"/>
      <x:c r="L841" s="17" t="str">
        <x:v>否</x:v>
      </x:c>
      <x:c r="M841" s="17" t="str">
        <x:v>否</x:v>
      </x:c>
      <x:c r="N841" s="17" t="str">
        <x:v>target_catalog_located</x:v>
      </x:c>
      <x:c r="O841" s="17" t="str">
        <x:v>expected_dataview_catalog</x:v>
      </x:c>
      <x:c r="P841" s="17" t="str"/>
      <x:c r="Q841" s="17" t="str"/>
      <x:c r="R841" s="17" t="str"/>
      <x:c r="S841" s="17" t="str">
        <x:v>stock</x:v>
      </x:c>
      <x:c r="T841" s="17" t="str">
        <x:v>quote</x:v>
      </x:c>
      <x:c r="U841" s="17" t="str"/>
      <x:c r="V841" s="30"/>
      <x:c r="W841" s="17" t="str">
        <x:v>high</x:v>
      </x:c>
    </x:row>
    <x:row r="842" ht="54" customHeight="1">
      <x:c r="A842" s="17" t="str">
        <x:v>BUS201</x:v>
      </x:c>
      <x:c r="B842" s="17" t="str">
        <x:v>同时查询平安转债行情和中国平安股票当前行情。</x:v>
      </x:c>
      <x:c r="C842" s="17" t="n">
        <x:v>4</x:v>
      </x:c>
      <x:c r="D842" s="17" t="str"/>
      <x:c r="E842" s="17" t="str">
        <x:v>工具调用</x:v>
      </x:c>
      <x:c r="F842" s="17" t="str">
        <x:v>finance_query</x:v>
      </x:c>
      <x:c r="G842" s="17" t="str">
        <x:v>r1 = bond.basic_info(filter = "name like '%平安转债%'", limit = 10) -&gt; code, name, issuer</x:v>
      </x:c>
      <x:c r="H842" s="17" t="str"/>
      <x:c r="I842" s="17" t="str">
        <x:v>合理操作</x:v>
      </x:c>
      <x:c r="J842" s="17" t="str">
        <x:v>是</x:v>
      </x:c>
      <x:c r="K842" s="18"/>
      <x:c r="L842" s="17" t="str">
        <x:v>否</x:v>
      </x:c>
      <x:c r="M842" s="17" t="str">
        <x:v>否</x:v>
      </x:c>
      <x:c r="N842" s="17" t="str">
        <x:v>same_subject_dependency</x:v>
      </x:c>
      <x:c r="O842" s="17" t="str">
        <x:v>supporting_api_for_expected_subject</x:v>
      </x:c>
      <x:c r="P842" s="17" t="str">
        <x:v>session://financial_qa_33499cfa81de4d06_2894_b253683a4fe7/vars/v1</x:v>
      </x:c>
      <x:c r="Q842" s="17" t="str"/>
      <x:c r="R842" s="17" t="str">
        <x:v>bond.basic_info</x:v>
      </x:c>
      <x:c r="S842" s="17" t="str"/>
      <x:c r="T842" s="17" t="str"/>
      <x:c r="U842" s="17" t="str">
        <x:v>r1</x:v>
      </x:c>
      <x:c r="V842" s="30" t="n">
        <x:v>1</x:v>
      </x:c>
      <x:c r="W842" s="17" t="str">
        <x:v>medium</x:v>
      </x:c>
    </x:row>
    <x:row r="843" ht="54" customHeight="1">
      <x:c r="A843" s="17" t="str">
        <x:v>BUS201</x:v>
      </x:c>
      <x:c r="B843" s="17" t="str">
        <x:v>同时查询平安转债行情和中国平安股票当前行情。</x:v>
      </x:c>
      <x:c r="C843" s="17" t="n">
        <x:v>5</x:v>
      </x:c>
      <x:c r="D843" s="17" t="str"/>
      <x:c r="E843" s="17" t="str">
        <x:v>工具调用</x:v>
      </x:c>
      <x:c r="F843" s="17" t="str">
        <x:v>finance_query</x:v>
      </x:c>
      <x:c r="G843" s="17" t="str">
        <x:v>r2 = stock.quote(filter = "code = 601318.SH", realtime = 2, limit = 1) -&gt; code, name, tradedate, preclose, close, open, high, low, pct, amount, volumn</x:v>
      </x:c>
      <x:c r="H843" s="17" t="str"/>
      <x:c r="I843" s="17" t="str">
        <x:v>合理操作</x:v>
      </x:c>
      <x:c r="J843" s="17" t="str">
        <x:v>是</x:v>
      </x:c>
      <x:c r="K843" s="18"/>
      <x:c r="L843" s="17" t="str">
        <x:v>否</x:v>
      </x:c>
      <x:c r="M843" s="17" t="str">
        <x:v>否</x:v>
      </x:c>
      <x:c r="N843" s="17" t="str">
        <x:v>target_api_executed</x:v>
      </x:c>
      <x:c r="O843" s="17" t="str">
        <x:v>expected_dataview_coverage</x:v>
      </x:c>
      <x:c r="P843" s="17" t="str">
        <x:v>session://financial_qa_33499cfa81de4d06_2894_b253683a4fe7/vars/v2</x:v>
      </x:c>
      <x:c r="Q843" s="17" t="str"/>
      <x:c r="R843" s="17" t="str">
        <x:v>stock.quote</x:v>
      </x:c>
      <x:c r="S843" s="17" t="str"/>
      <x:c r="T843" s="17" t="str"/>
      <x:c r="U843" s="17" t="str">
        <x:v>r2</x:v>
      </x:c>
      <x:c r="V843" s="30" t="n">
        <x:v>1</x:v>
      </x:c>
      <x:c r="W843" s="17" t="str">
        <x:v>high</x:v>
      </x:c>
    </x:row>
    <x:row r="844" ht="54" customHeight="1">
      <x:c r="A844" s="17" t="str">
        <x:v>BUS201</x:v>
      </x:c>
      <x:c r="B844" s="17" t="str">
        <x:v>同时查询平安转债行情和中国平安股票当前行情。</x:v>
      </x:c>
      <x:c r="C844" s="17" t="n">
        <x:v>6</x:v>
      </x:c>
      <x:c r="D844" s="17" t="str"/>
      <x:c r="E844" s="17" t="str">
        <x:v>工具调用</x:v>
      </x:c>
      <x:c r="F844" s="17" t="str">
        <x:v>finance_query</x:v>
      </x:c>
      <x:c r="G844" s="17" t="str">
        <x:v>r3 = bond.quote(filter = "code = 113005.SH", realtime = 2, limit = 1) -&gt; code, name, tradedate, close, pct, amount, volumn</x:v>
      </x:c>
      <x:c r="H844" s="17" t="str"/>
      <x:c r="I844" s="17" t="str">
        <x:v>合理操作</x:v>
      </x:c>
      <x:c r="J844" s="17" t="str">
        <x:v>是</x:v>
      </x:c>
      <x:c r="K844" s="18"/>
      <x:c r="L844" s="17" t="str">
        <x:v>否</x:v>
      </x:c>
      <x:c r="M844" s="17" t="str">
        <x:v>否</x:v>
      </x:c>
      <x:c r="N844" s="17" t="str">
        <x:v>target_api_executed</x:v>
      </x:c>
      <x:c r="O844" s="17" t="str">
        <x:v>expected_dataview_coverage</x:v>
      </x:c>
      <x:c r="P844" s="17" t="str">
        <x:v>session://financial_qa_33499cfa81de4d06_2894_b253683a4fe7/vars/v3</x:v>
      </x:c>
      <x:c r="Q844" s="17" t="str"/>
      <x:c r="R844" s="17" t="str">
        <x:v>bond.quote</x:v>
      </x:c>
      <x:c r="S844" s="17" t="str"/>
      <x:c r="T844" s="17" t="str"/>
      <x:c r="U844" s="17" t="str">
        <x:v>r3</x:v>
      </x:c>
      <x:c r="V844" s="30" t="n">
        <x:v>0</x:v>
      </x:c>
      <x:c r="W844" s="17" t="str">
        <x:v>high</x:v>
      </x:c>
    </x:row>
    <x:row r="845" ht="54" customHeight="1">
      <x:c r="A845" s="17" t="str">
        <x:v>BUS201</x:v>
      </x:c>
      <x:c r="B845" s="17" t="str">
        <x:v>同时查询平安转债行情和中国平安股票当前行情。</x:v>
      </x:c>
      <x:c r="C845" s="17" t="n">
        <x:v>7</x:v>
      </x:c>
      <x:c r="D845" s="17" t="str"/>
      <x:c r="E845" s="17" t="str">
        <x:v>工具调用</x:v>
      </x:c>
      <x:c r="F845" s="17" t="str">
        <x:v>finance_query</x:v>
      </x:c>
      <x:c r="G845" s="17" t="str">
        <x:v>r4 = bond.quote(filter = "code = 113005.SH", realtime = 0, limit = 1, order = "tradedate desc") -&gt; code, name, tradedate, close, pct, amount, volumn</x:v>
      </x:c>
      <x:c r="H845" s="17" t="str"/>
      <x:c r="I845" s="17" t="str">
        <x:v>设计浪费</x:v>
      </x:c>
      <x:c r="J845" s="17" t="str">
        <x:v>否</x:v>
      </x:c>
      <x:c r="K845" s="18"/>
      <x:c r="L845" s="17" t="str">
        <x:v>否</x:v>
      </x:c>
      <x:c r="M845" s="17" t="str">
        <x:v>否</x:v>
      </x:c>
      <x:c r="N845" s="17" t="str">
        <x:v>requery_after_terminal_zero</x:v>
      </x:c>
      <x:c r="O845" s="17" t="str">
        <x:v>terminal_zero_requery</x:v>
      </x:c>
      <x:c r="P845" s="17" t="str">
        <x:v>session://financial_qa_33499cfa81de4d06_2894_b253683a4fe7/vars/v4</x:v>
      </x:c>
      <x:c r="Q845" s="17" t="str"/>
      <x:c r="R845" s="17" t="str">
        <x:v>bond.quote</x:v>
      </x:c>
      <x:c r="S845" s="17" t="str"/>
      <x:c r="T845" s="17" t="str"/>
      <x:c r="U845" s="17" t="str">
        <x:v>r4</x:v>
      </x:c>
      <x:c r="V845" s="30" t="n">
        <x:v>0</x:v>
      </x:c>
      <x:c r="W845" s="17" t="str">
        <x:v>high</x:v>
      </x:c>
    </x:row>
    <x:row r="846" ht="54" customHeight="1">
      <x:c r="A846" s="17" t="str">
        <x:v>BUS202</x:v>
      </x:c>
      <x:c r="B846" s="17" t="str">
        <x:v>查询万科相关债券列表，并同时查询万科A当前股价。</x:v>
      </x:c>
      <x:c r="C846" s="17" t="n">
        <x:v>1</x:v>
      </x:c>
      <x:c r="D846" s="17" t="str"/>
      <x:c r="E846" s="17" t="str">
        <x:v>工具调用</x:v>
      </x:c>
      <x:c r="F846" s="17" t="str">
        <x:v>read_finance_catalog</x:v>
      </x:c>
      <x:c r="G846" s="17" t="str"/>
      <x:c r="H846" s="17" t="str"/>
      <x:c r="I846" s="17" t="str">
        <x:v>合理操作</x:v>
      </x:c>
      <x:c r="J846" s="17" t="str">
        <x:v>是</x:v>
      </x:c>
      <x:c r="K846" s="18"/>
      <x:c r="L846" s="17" t="str">
        <x:v>否</x:v>
      </x:c>
      <x:c r="M846" s="17" t="str">
        <x:v>否</x:v>
      </x:c>
      <x:c r="N846" s="17" t="str">
        <x:v>target_catalog_located</x:v>
      </x:c>
      <x:c r="O846" s="17" t="str">
        <x:v>expected_dataview_catalog</x:v>
      </x:c>
      <x:c r="P846" s="17" t="str"/>
      <x:c r="Q846" s="17" t="str"/>
      <x:c r="R846" s="17" t="str"/>
      <x:c r="S846" s="17" t="str">
        <x:v>stock</x:v>
      </x:c>
      <x:c r="T846" s="17" t="str">
        <x:v>quote</x:v>
      </x:c>
      <x:c r="U846" s="17" t="str"/>
      <x:c r="V846" s="30"/>
      <x:c r="W846" s="17" t="str">
        <x:v>high</x:v>
      </x:c>
    </x:row>
    <x:row r="847" ht="54" customHeight="1">
      <x:c r="A847" s="17" t="str">
        <x:v>BUS202</x:v>
      </x:c>
      <x:c r="B847" s="17" t="str">
        <x:v>查询万科相关债券列表，并同时查询万科A当前股价。</x:v>
      </x:c>
      <x:c r="C847" s="17" t="n">
        <x:v>2</x:v>
      </x:c>
      <x:c r="D847" s="17" t="str"/>
      <x:c r="E847" s="17" t="str">
        <x:v>工具调用</x:v>
      </x:c>
      <x:c r="F847" s="17" t="str">
        <x:v>read_finance_catalog</x:v>
      </x:c>
      <x:c r="G847" s="17" t="str"/>
      <x:c r="H847" s="17" t="str"/>
      <x:c r="I847" s="17" t="str">
        <x:v>合理操作</x:v>
      </x:c>
      <x:c r="J847" s="17" t="str">
        <x:v>是</x:v>
      </x:c>
      <x:c r="K847" s="18"/>
      <x:c r="L847" s="17" t="str">
        <x:v>否</x:v>
      </x:c>
      <x:c r="M847" s="17" t="str">
        <x:v>否</x:v>
      </x:c>
      <x:c r="N847" s="17" t="str">
        <x:v>target_catalog_located</x:v>
      </x:c>
      <x:c r="O847" s="17" t="str">
        <x:v>expected_dataview_catalog</x:v>
      </x:c>
      <x:c r="P847" s="17" t="str"/>
      <x:c r="Q847" s="17" t="str"/>
      <x:c r="R847" s="17" t="str"/>
      <x:c r="S847" s="17" t="str">
        <x:v>bond</x:v>
      </x:c>
      <x:c r="T847" s="17" t="str">
        <x:v>basic_info</x:v>
      </x:c>
      <x:c r="U847" s="17" t="str"/>
      <x:c r="V847" s="30"/>
      <x:c r="W847" s="17" t="str">
        <x:v>high</x:v>
      </x:c>
    </x:row>
    <x:row r="848" ht="54" customHeight="1">
      <x:c r="A848" s="17" t="str">
        <x:v>BUS202</x:v>
      </x:c>
      <x:c r="B848" s="17" t="str">
        <x:v>查询万科相关债券列表，并同时查询万科A当前股价。</x:v>
      </x:c>
      <x:c r="C848" s="17" t="n">
        <x:v>3</x:v>
      </x:c>
      <x:c r="D848" s="17" t="str"/>
      <x:c r="E848" s="17" t="str">
        <x:v>工具调用</x:v>
      </x:c>
      <x:c r="F848" s="17" t="str">
        <x:v>finance_query</x:v>
      </x:c>
      <x:c r="G848" s="17" t="str">
        <x:v>r1 = stock.quote(filter = "code = 000002.SZ", realtime = 2, limit = 1) -&gt; code, name, tradedate, close, pct, amount, volumn, open, high, low</x:v>
      </x:c>
      <x:c r="H848" s="17" t="str"/>
      <x:c r="I848" s="17" t="str">
        <x:v>合理操作</x:v>
      </x:c>
      <x:c r="J848" s="17" t="str">
        <x:v>是</x:v>
      </x:c>
      <x:c r="K848" s="18"/>
      <x:c r="L848" s="17" t="str">
        <x:v>否</x:v>
      </x:c>
      <x:c r="M848" s="17" t="str">
        <x:v>否</x:v>
      </x:c>
      <x:c r="N848" s="17" t="str">
        <x:v>target_api_executed</x:v>
      </x:c>
      <x:c r="O848" s="17" t="str">
        <x:v>expected_dataview_coverage</x:v>
      </x:c>
      <x:c r="P848" s="17" t="str">
        <x:v>session://financial_qa_33499cfa81de4d06_2895_ef7d19e5514a/vars/v1</x:v>
      </x:c>
      <x:c r="Q848" s="17" t="str"/>
      <x:c r="R848" s="17" t="str">
        <x:v>stock.quote</x:v>
      </x:c>
      <x:c r="S848" s="17" t="str"/>
      <x:c r="T848" s="17" t="str"/>
      <x:c r="U848" s="17" t="str">
        <x:v>r1</x:v>
      </x:c>
      <x:c r="V848" s="30" t="n">
        <x:v>1</x:v>
      </x:c>
      <x:c r="W848" s="17" t="str">
        <x:v>high</x:v>
      </x:c>
    </x:row>
    <x:row r="849" ht="54" customHeight="1">
      <x:c r="A849" s="17" t="str">
        <x:v>BUS202</x:v>
      </x:c>
      <x:c r="B849" s="17" t="str">
        <x:v>查询万科相关债券列表，并同时查询万科A当前股价。</x:v>
      </x:c>
      <x:c r="C849" s="17" t="n">
        <x:v>4</x:v>
      </x:c>
      <x:c r="D849" s="17" t="str"/>
      <x:c r="E849" s="17" t="str">
        <x:v>工具调用</x:v>
      </x:c>
      <x:c r="F849" s="17" t="str">
        <x:v>finance_query</x:v>
      </x:c>
      <x:c r="G849" s="17" t="str">
        <x:v>r2 = bond.basic_info(filter = "issuer like '%万科%'", limit = 20) -&gt; code, name, issuer</x:v>
      </x:c>
      <x:c r="H849" s="17" t="str"/>
      <x:c r="I849" s="17" t="str">
        <x:v>合理操作</x:v>
      </x:c>
      <x:c r="J849" s="17" t="str">
        <x:v>是</x:v>
      </x:c>
      <x:c r="K849" s="18"/>
      <x:c r="L849" s="17" t="str">
        <x:v>否</x:v>
      </x:c>
      <x:c r="M849" s="17" t="str">
        <x:v>否</x:v>
      </x:c>
      <x:c r="N849" s="17" t="str">
        <x:v>target_api_executed</x:v>
      </x:c>
      <x:c r="O849" s="17" t="str">
        <x:v>expected_dataview_coverage</x:v>
      </x:c>
      <x:c r="P849" s="17" t="str">
        <x:v>session://financial_qa_33499cfa81de4d06_2895_ef7d19e5514a/vars/v2</x:v>
      </x:c>
      <x:c r="Q849" s="17" t="str"/>
      <x:c r="R849" s="17" t="str">
        <x:v>bond.basic_info</x:v>
      </x:c>
      <x:c r="S849" s="17" t="str"/>
      <x:c r="T849" s="17" t="str"/>
      <x:c r="U849" s="17" t="str">
        <x:v>r2</x:v>
      </x:c>
      <x:c r="V849" s="30" t="n">
        <x:v>20</x:v>
      </x:c>
      <x:c r="W849" s="17" t="str">
        <x:v>high</x:v>
      </x:c>
    </x:row>
    <x:row r="850" ht="54" customHeight="1">
      <x:c r="A850" s="17" t="str">
        <x:v>BUS202</x:v>
      </x:c>
      <x:c r="B850" s="17" t="str">
        <x:v>查询万科相关债券列表，并同时查询万科A当前股价。</x:v>
      </x:c>
      <x:c r="C850" s="17" t="n">
        <x:v>5</x:v>
      </x:c>
      <x:c r="D850" s="17" t="str"/>
      <x:c r="E850" s="17" t="str">
        <x:v>工具调用</x:v>
      </x:c>
      <x:c r="F850" s="17" t="str">
        <x:v>load_finance_result</x:v>
      </x:c>
      <x:c r="G850" s="17" t="str"/>
      <x:c r="H850" s="17" t="str"/>
      <x:c r="I850" s="17" t="str">
        <x:v>合理操作</x:v>
      </x:c>
      <x:c r="J850" s="17" t="str">
        <x:v>是</x:v>
      </x:c>
      <x:c r="K850" s="18"/>
      <x:c r="L850" s="17" t="str">
        <x:v>否</x:v>
      </x:c>
      <x:c r="M850" s="17" t="str">
        <x:v>否</x:v>
      </x:c>
      <x:c r="N850" s="17" t="str">
        <x:v>load_truncated_result</x:v>
      </x:c>
      <x:c r="O850" s="17" t="str">
        <x:v>sample_incomplete_requires_full_result</x:v>
      </x:c>
      <x:c r="P850" s="17" t="str">
        <x:v>session://financial_qa_33499cfa81de4d06_2895_ef7d19e5514a/vars/v2</x:v>
      </x:c>
      <x:c r="Q850" s="17" t="str"/>
      <x:c r="R850" s="17" t="str"/>
      <x:c r="S850" s="17" t="str"/>
      <x:c r="T850" s="17" t="str"/>
      <x:c r="U850" s="17" t="str"/>
      <x:c r="V850" s="30"/>
      <x:c r="W850" s="17" t="str">
        <x:v>high</x:v>
      </x:c>
    </x:row>
    <x:row r="851" ht="54" customHeight="1">
      <x:c r="A851" s="17" t="str">
        <x:v>BUS203</x:v>
      </x:c>
      <x:c r="B851" s="17" t="str">
        <x:v>查询银行相关债券今天涨幅前10名，并对比银行行业成分股平均涨幅。</x:v>
      </x:c>
      <x:c r="C851" s="17" t="n">
        <x:v>1</x:v>
      </x:c>
      <x:c r="D851" s="17" t="str"/>
      <x:c r="E851" s="17" t="str">
        <x:v>工具调用</x:v>
      </x:c>
      <x:c r="F851" s="17" t="str">
        <x:v>read_finance_catalog</x:v>
      </x:c>
      <x:c r="G851" s="17" t="str"/>
      <x:c r="H851" s="17" t="str"/>
      <x:c r="I851" s="17" t="str">
        <x:v>合理操作</x:v>
      </x:c>
      <x:c r="J851" s="17" t="str">
        <x:v>是</x:v>
      </x:c>
      <x:c r="K851" s="18"/>
      <x:c r="L851" s="17" t="str">
        <x:v>否</x:v>
      </x:c>
      <x:c r="M851" s="17" t="str">
        <x:v>否</x:v>
      </x:c>
      <x:c r="N851" s="17" t="str">
        <x:v>target_catalog_located</x:v>
      </x:c>
      <x:c r="O851" s="17" t="str">
        <x:v>expected_dataview_catalog</x:v>
      </x:c>
      <x:c r="P851" s="17" t="str"/>
      <x:c r="Q851" s="17" t="str"/>
      <x:c r="R851" s="17" t="str"/>
      <x:c r="S851" s="17" t="str">
        <x:v>bond</x:v>
      </x:c>
      <x:c r="T851" s="17" t="str">
        <x:v>quote</x:v>
      </x:c>
      <x:c r="U851" s="17" t="str"/>
      <x:c r="V851" s="30"/>
      <x:c r="W851" s="17" t="str">
        <x:v>high</x:v>
      </x:c>
    </x:row>
    <x:row r="852" ht="54" customHeight="1">
      <x:c r="A852" s="17" t="str">
        <x:v>BUS203</x:v>
      </x:c>
      <x:c r="B852" s="17" t="str">
        <x:v>查询银行相关债券今天涨幅前10名，并对比银行行业成分股平均涨幅。</x:v>
      </x:c>
      <x:c r="C852" s="17" t="n">
        <x:v>2</x:v>
      </x:c>
      <x:c r="D852" s="17" t="str"/>
      <x:c r="E852" s="17" t="str">
        <x:v>工具调用</x:v>
      </x:c>
      <x:c r="F852" s="17" t="str">
        <x:v>read_finance_catalog</x:v>
      </x:c>
      <x:c r="G852" s="17" t="str"/>
      <x:c r="H852" s="17" t="str"/>
      <x:c r="I852" s="17" t="str">
        <x:v>合理操作</x:v>
      </x:c>
      <x:c r="J852" s="17" t="str">
        <x:v>是</x:v>
      </x:c>
      <x:c r="K852" s="18"/>
      <x:c r="L852" s="17" t="str">
        <x:v>否</x:v>
      </x:c>
      <x:c r="M852" s="17" t="str">
        <x:v>否</x:v>
      </x:c>
      <x:c r="N852" s="17" t="str">
        <x:v>target_catalog_located</x:v>
      </x:c>
      <x:c r="O852" s="17" t="str">
        <x:v>expected_dataview_catalog</x:v>
      </x:c>
      <x:c r="P852" s="17" t="str"/>
      <x:c r="Q852" s="17" t="str"/>
      <x:c r="R852" s="17" t="str"/>
      <x:c r="S852" s="17" t="str">
        <x:v>industry</x:v>
      </x:c>
      <x:c r="T852" s="17" t="str">
        <x:v>constitution</x:v>
      </x:c>
      <x:c r="U852" s="17" t="str"/>
      <x:c r="V852" s="30"/>
      <x:c r="W852" s="17" t="str">
        <x:v>high</x:v>
      </x:c>
    </x:row>
    <x:row r="853" ht="54" customHeight="1">
      <x:c r="A853" s="17" t="str">
        <x:v>BUS203</x:v>
      </x:c>
      <x:c r="B853" s="17" t="str">
        <x:v>查询银行相关债券今天涨幅前10名，并对比银行行业成分股平均涨幅。</x:v>
      </x:c>
      <x:c r="C853" s="17" t="n">
        <x:v>3</x:v>
      </x:c>
      <x:c r="D853" s="17" t="str"/>
      <x:c r="E853" s="17" t="str">
        <x:v>工具调用</x:v>
      </x:c>
      <x:c r="F853" s="17" t="str">
        <x:v>read_finance_catalog</x:v>
      </x:c>
      <x:c r="G853" s="17" t="str"/>
      <x:c r="H853" s="17" t="str"/>
      <x:c r="I853" s="17" t="str">
        <x:v>合理操作</x:v>
      </x:c>
      <x:c r="J853" s="17" t="str">
        <x:v>是</x:v>
      </x:c>
      <x:c r="K853" s="18"/>
      <x:c r="L853" s="17" t="str">
        <x:v>否</x:v>
      </x:c>
      <x:c r="M853" s="17" t="str">
        <x:v>否</x:v>
      </x:c>
      <x:c r="N853" s="17" t="str">
        <x:v>target_catalog_located</x:v>
      </x:c>
      <x:c r="O853" s="17" t="str">
        <x:v>expected_dataview_catalog</x:v>
      </x:c>
      <x:c r="P853" s="17" t="str"/>
      <x:c r="Q853" s="17" t="str"/>
      <x:c r="R853" s="17" t="str"/>
      <x:c r="S853" s="17" t="str">
        <x:v>industry</x:v>
      </x:c>
      <x:c r="T853" s="17" t="str">
        <x:v>basic_info</x:v>
      </x:c>
      <x:c r="U853" s="17" t="str"/>
      <x:c r="V853" s="30"/>
      <x:c r="W853" s="17" t="str">
        <x:v>high</x:v>
      </x:c>
    </x:row>
    <x:row r="854" ht="54" customHeight="1">
      <x:c r="A854" s="17" t="str">
        <x:v>BUS203</x:v>
      </x:c>
      <x:c r="B854" s="17" t="str">
        <x:v>查询银行相关债券今天涨幅前10名，并对比银行行业成分股平均涨幅。</x:v>
      </x:c>
      <x:c r="C854" s="17" t="n">
        <x:v>4</x:v>
      </x:c>
      <x:c r="D854" s="17" t="str"/>
      <x:c r="E854" s="17" t="str">
        <x:v>工具调用</x:v>
      </x:c>
      <x:c r="F854" s="17" t="str">
        <x:v>finance_query</x:v>
      </x:c>
      <x:c r="G854" s="17" t="str">
        <x:v>r1 = bond.quote(filter = "name like '%银行%'", order = "pct desc", limit = 10, realtime = 0) -&gt; code, name, tradedate, pct, close, amount</x:v>
      </x:c>
      <x:c r="H854" s="17" t="str"/>
      <x:c r="I854" s="17" t="str">
        <x:v>合理操作</x:v>
      </x:c>
      <x:c r="J854" s="17" t="str">
        <x:v>是</x:v>
      </x:c>
      <x:c r="K854" s="18"/>
      <x:c r="L854" s="17" t="str">
        <x:v>否</x:v>
      </x:c>
      <x:c r="M854" s="17" t="str">
        <x:v>否</x:v>
      </x:c>
      <x:c r="N854" s="17" t="str">
        <x:v>target_api_executed</x:v>
      </x:c>
      <x:c r="O854" s="17" t="str">
        <x:v>expected_dataview_coverage</x:v>
      </x:c>
      <x:c r="P854" s="17" t="str">
        <x:v>session://financial_qa_33499cfa81de4d06_2896_2557798c0182/vars/v1</x:v>
      </x:c>
      <x:c r="Q854" s="17" t="str"/>
      <x:c r="R854" s="17" t="str">
        <x:v>bond.quote</x:v>
      </x:c>
      <x:c r="S854" s="17" t="str"/>
      <x:c r="T854" s="17" t="str"/>
      <x:c r="U854" s="17" t="str">
        <x:v>r1</x:v>
      </x:c>
      <x:c r="V854" s="30" t="n">
        <x:v>10</x:v>
      </x:c>
      <x:c r="W854" s="17" t="str">
        <x:v>high</x:v>
      </x:c>
    </x:row>
    <x:row r="855" ht="54" customHeight="1">
      <x:c r="A855" s="17" t="str">
        <x:v>BUS203</x:v>
      </x:c>
      <x:c r="B855" s="17" t="str">
        <x:v>查询银行相关债券今天涨幅前10名，并对比银行行业成分股平均涨幅。</x:v>
      </x:c>
      <x:c r="C855" s="17" t="n">
        <x:v>5</x:v>
      </x:c>
      <x:c r="D855" s="17" t="str"/>
      <x:c r="E855" s="17" t="str">
        <x:v>工具调用</x:v>
      </x:c>
      <x:c r="F855" s="17" t="str">
        <x:v>finance_query</x:v>
      </x:c>
      <x:c r="G855" s="17" t="str">
        <x:v>r2 = industry.constitution.agg(filter = "industry_name = '银行' and tradedate = -1", agg = avg(stock.quote.pct), group_by = "industry_code, industry_name", order = "industry_code asc", limit = 1, realtime = 0) -&gt; industry_code, industry_name, avg_pct</x:v>
      </x:c>
      <x:c r="H855" s="17" t="str"/>
      <x:c r="I855" s="17" t="str">
        <x:v>设计浪费</x:v>
      </x:c>
      <x:c r="J855" s="17" t="str">
        <x:v>否</x:v>
      </x:c>
      <x:c r="K855" s="18"/>
      <x:c r="L855" s="17" t="str">
        <x:v>否</x:v>
      </x:c>
      <x:c r="M855" s="17" t="str">
        <x:v>否</x:v>
      </x:c>
      <x:c r="N855" s="17" t="str">
        <x:v>selection_sample_conflict</x:v>
      </x:c>
      <x:c r="O855" s="17" t="str">
        <x:v>selection_applied_equality_conflicts_with_complete_sample</x:v>
      </x:c>
      <x:c r="P855" s="17" t="str">
        <x:v>session://financial_qa_33499cfa81de4d06_2896_2557798c0182/vars/v2</x:v>
      </x:c>
      <x:c r="Q855" s="17" t="str"/>
      <x:c r="R855" s="17" t="str">
        <x:v>industry.constitution.agg</x:v>
      </x:c>
      <x:c r="S855" s="17" t="str"/>
      <x:c r="T855" s="17" t="str"/>
      <x:c r="U855" s="17" t="str">
        <x:v>r2</x:v>
      </x:c>
      <x:c r="V855" s="30" t="n">
        <x:v>1</x:v>
      </x:c>
      <x:c r="W855" s="17" t="str">
        <x:v>high</x:v>
      </x:c>
    </x:row>
    <x:row r="856" ht="54" customHeight="1">
      <x:c r="A856" s="17" t="str">
        <x:v>BUS203</x:v>
      </x:c>
      <x:c r="B856" s="17" t="str">
        <x:v>查询银行相关债券今天涨幅前10名，并对比银行行业成分股平均涨幅。</x:v>
      </x:c>
      <x:c r="C856" s="17" t="n">
        <x:v>6</x:v>
      </x:c>
      <x:c r="D856" s="17" t="str"/>
      <x:c r="E856" s="17" t="str">
        <x:v>工具调用</x:v>
      </x:c>
      <x:c r="F856" s="17" t="str">
        <x:v>load_finance_result</x:v>
      </x:c>
      <x:c r="G856" s="17" t="str"/>
      <x:c r="H856" s="17" t="str"/>
      <x:c r="I856" s="17" t="str">
        <x:v>合理操作</x:v>
      </x:c>
      <x:c r="J856" s="17" t="str">
        <x:v>是</x:v>
      </x:c>
      <x:c r="K856" s="18"/>
      <x:c r="L856" s="17" t="str">
        <x:v>否</x:v>
      </x:c>
      <x:c r="M856" s="17" t="str">
        <x:v>否</x:v>
      </x:c>
      <x:c r="N856" s="17" t="str">
        <x:v>load_truncated_result</x:v>
      </x:c>
      <x:c r="O856" s="17" t="str">
        <x:v>sample_incomplete_requires_full_result</x:v>
      </x:c>
      <x:c r="P856" s="17" t="str">
        <x:v>session://financial_qa_33499cfa81de4d06_2896_2557798c0182/vars/v1</x:v>
      </x:c>
      <x:c r="Q856" s="17" t="str"/>
      <x:c r="R856" s="17" t="str"/>
      <x:c r="S856" s="17" t="str"/>
      <x:c r="T856" s="17" t="str"/>
      <x:c r="U856" s="17" t="str"/>
      <x:c r="V856" s="30"/>
      <x:c r="W856" s="17" t="str">
        <x:v>high</x:v>
      </x:c>
    </x:row>
    <x:row r="857" ht="54" customHeight="1">
      <x:c r="A857" s="17" t="str">
        <x:v>BUS203</x:v>
      </x:c>
      <x:c r="B857" s="17" t="str">
        <x:v>查询银行相关债券今天涨幅前10名，并对比银行行业成分股平均涨幅。</x:v>
      </x:c>
      <x:c r="C857" s="17" t="n">
        <x:v>7</x:v>
      </x:c>
      <x:c r="D857" s="17" t="str"/>
      <x:c r="E857" s="17" t="str">
        <x:v>工具调用</x:v>
      </x:c>
      <x:c r="F857" s="17" t="str">
        <x:v>read_finance_catalog</x:v>
      </x:c>
      <x:c r="G857" s="17" t="str"/>
      <x:c r="H857" s="17" t="str"/>
      <x:c r="I857" s="17" t="str">
        <x:v>设计浪费</x:v>
      </x:c>
      <x:c r="J857" s="17" t="str">
        <x:v>否</x:v>
      </x:c>
      <x:c r="K857" s="18"/>
      <x:c r="L857" s="17" t="str">
        <x:v>否</x:v>
      </x:c>
      <x:c r="M857" s="17" t="str">
        <x:v>否</x:v>
      </x:c>
      <x:c r="N857" s="17" t="str">
        <x:v>duplicate_catalog_read</x:v>
      </x:c>
      <x:c r="O857" s="17" t="str">
        <x:v>repeated_identical_catalog</x:v>
      </x:c>
      <x:c r="P857" s="17" t="str"/>
      <x:c r="Q857" s="17" t="str"/>
      <x:c r="R857" s="17" t="str"/>
      <x:c r="S857" s="17" t="str">
        <x:v>industry</x:v>
      </x:c>
      <x:c r="T857" s="17" t="str">
        <x:v>basic_info</x:v>
      </x:c>
      <x:c r="U857" s="17" t="str"/>
      <x:c r="V857" s="30"/>
      <x:c r="W857" s="17" t="str">
        <x:v>high</x:v>
      </x:c>
    </x:row>
    <x:row r="858" ht="54" customHeight="1">
      <x:c r="A858" s="17" t="str">
        <x:v>BUS203</x:v>
      </x:c>
      <x:c r="B858" s="17" t="str">
        <x:v>查询银行相关债券今天涨幅前10名，并对比银行行业成分股平均涨幅。</x:v>
      </x:c>
      <x:c r="C858" s="17" t="n">
        <x:v>8</x:v>
      </x:c>
      <x:c r="D858" s="17" t="str"/>
      <x:c r="E858" s="17" t="str">
        <x:v>工具调用</x:v>
      </x:c>
      <x:c r="F858" s="17" t="str">
        <x:v>finance_query</x:v>
      </x:c>
      <x:c r="G858" s="17" t="str">
        <x:v>r3 = industry.basic_info(filter = "level1_industry_name = '银行'", limit = 10) -&gt; industry_code, industry_name, level, level1_industry_name</x:v>
      </x:c>
      <x:c r="H858" s="17" t="str"/>
      <x:c r="I858" s="17" t="str">
        <x:v>合理操作</x:v>
      </x:c>
      <x:c r="J858" s="17" t="str">
        <x:v>是</x:v>
      </x:c>
      <x:c r="K858" s="18"/>
      <x:c r="L858" s="17" t="str">
        <x:v>否</x:v>
      </x:c>
      <x:c r="M858" s="17" t="str">
        <x:v>否</x:v>
      </x:c>
      <x:c r="N858" s="17" t="str">
        <x:v>target_api_executed</x:v>
      </x:c>
      <x:c r="O858" s="17" t="str">
        <x:v>expected_dataview_coverage</x:v>
      </x:c>
      <x:c r="P858" s="17" t="str">
        <x:v>session://financial_qa_33499cfa81de4d06_2896_2557798c0182/vars/v3</x:v>
      </x:c>
      <x:c r="Q858" s="17" t="str"/>
      <x:c r="R858" s="17" t="str">
        <x:v>industry.basic_info</x:v>
      </x:c>
      <x:c r="S858" s="17" t="str"/>
      <x:c r="T858" s="17" t="str"/>
      <x:c r="U858" s="17" t="str">
        <x:v>r3</x:v>
      </x:c>
      <x:c r="V858" s="30" t="n">
        <x:v>10</x:v>
      </x:c>
      <x:c r="W858" s="17" t="str">
        <x:v>high</x:v>
      </x:c>
    </x:row>
    <x:row r="859" ht="54" customHeight="1">
      <x:c r="A859" s="17" t="str">
        <x:v>BUS203</x:v>
      </x:c>
      <x:c r="B859" s="17" t="str">
        <x:v>查询银行相关债券今天涨幅前10名，并对比银行行业成分股平均涨幅。</x:v>
      </x:c>
      <x:c r="C859" s="17" t="n">
        <x:v>9</x:v>
      </x:c>
      <x:c r="D859" s="17" t="str"/>
      <x:c r="E859" s="17" t="str">
        <x:v>工具调用</x:v>
      </x:c>
      <x:c r="F859" s="17" t="str">
        <x:v>finance_query</x:v>
      </x:c>
      <x:c r="G859" s="17" t="str">
        <x:v>r4 = bond.quote(filter = "name like '%银行%'", order = "pct desc", limit = 20, realtime = 0) -&gt; code, name, tradedate, pct, close, amount</x:v>
      </x:c>
      <x:c r="H859" s="17" t="str"/>
      <x:c r="I859" s="17" t="str">
        <x:v>合理操作</x:v>
      </x:c>
      <x:c r="J859" s="17" t="str">
        <x:v>是</x:v>
      </x:c>
      <x:c r="K859" s="18"/>
      <x:c r="L859" s="17" t="str">
        <x:v>否</x:v>
      </x:c>
      <x:c r="M859" s="17" t="str">
        <x:v>否</x:v>
      </x:c>
      <x:c r="N859" s="17" t="str">
        <x:v>target_api_executed</x:v>
      </x:c>
      <x:c r="O859" s="17" t="str">
        <x:v>expected_dataview_coverage</x:v>
      </x:c>
      <x:c r="P859" s="17" t="str">
        <x:v>session://financial_qa_33499cfa81de4d06_2896_2557798c0182/vars/v4</x:v>
      </x:c>
      <x:c r="Q859" s="17" t="str"/>
      <x:c r="R859" s="17" t="str">
        <x:v>bond.quote</x:v>
      </x:c>
      <x:c r="S859" s="17" t="str"/>
      <x:c r="T859" s="17" t="str"/>
      <x:c r="U859" s="17" t="str">
        <x:v>r4</x:v>
      </x:c>
      <x:c r="V859" s="30" t="n">
        <x:v>20</x:v>
      </x:c>
      <x:c r="W859" s="17" t="str">
        <x:v>high</x:v>
      </x:c>
    </x:row>
    <x:row r="860" ht="54" customHeight="1">
      <x:c r="A860" s="17" t="str">
        <x:v>BUS203</x:v>
      </x:c>
      <x:c r="B860" s="17" t="str">
        <x:v>查询银行相关债券今天涨幅前10名，并对比银行行业成分股平均涨幅。</x:v>
      </x:c>
      <x:c r="C860" s="17" t="n">
        <x:v>10</x:v>
      </x:c>
      <x:c r="D860" s="17" t="str"/>
      <x:c r="E860" s="17" t="str">
        <x:v>工具调用</x:v>
      </x:c>
      <x:c r="F860" s="17" t="str">
        <x:v>finance_query</x:v>
      </x:c>
      <x:c r="G860" s="17" t="str">
        <x:v>r5 = industry.constitution.agg(filter = "industry_code = '480000' and tradedate = -1", agg = avg(stock.quote.pct), group_by = "industry_code, industry_name", limit = 1, realtime = 0) -&gt; industry_code, industry_name, avg_pct</x:v>
      </x:c>
      <x:c r="H860" s="17" t="str"/>
      <x:c r="I860" s="17" t="str">
        <x:v>设计浪费</x:v>
      </x:c>
      <x:c r="J860" s="17" t="str">
        <x:v>否</x:v>
      </x:c>
      <x:c r="K860" s="18"/>
      <x:c r="L860" s="17" t="str">
        <x:v>否</x:v>
      </x:c>
      <x:c r="M860" s="17" t="str">
        <x:v>否</x:v>
      </x:c>
      <x:c r="N860" s="17" t="str">
        <x:v>selection_sample_conflict</x:v>
      </x:c>
      <x:c r="O860" s="17" t="str">
        <x:v>selection_applied_equality_conflicts_with_complete_sample</x:v>
      </x:c>
      <x:c r="P860" s="17" t="str">
        <x:v>session://financial_qa_33499cfa81de4d06_2896_2557798c0182/vars/v5</x:v>
      </x:c>
      <x:c r="Q860" s="17" t="str"/>
      <x:c r="R860" s="17" t="str">
        <x:v>industry.constitution.agg</x:v>
      </x:c>
      <x:c r="S860" s="17" t="str"/>
      <x:c r="T860" s="17" t="str"/>
      <x:c r="U860" s="17" t="str">
        <x:v>r5</x:v>
      </x:c>
      <x:c r="V860" s="30" t="n">
        <x:v>1</x:v>
      </x:c>
      <x:c r="W860" s="17" t="str">
        <x:v>high</x:v>
      </x:c>
    </x:row>
    <x:row r="861" ht="54" customHeight="1">
      <x:c r="A861" s="17" t="str">
        <x:v>BUS203</x:v>
      </x:c>
      <x:c r="B861" s="17" t="str">
        <x:v>查询银行相关债券今天涨幅前10名，并对比银行行业成分股平均涨幅。</x:v>
      </x:c>
      <x:c r="C861" s="17" t="n">
        <x:v>11</x:v>
      </x:c>
      <x:c r="D861" s="17" t="str"/>
      <x:c r="E861" s="17" t="str">
        <x:v>工具调用</x:v>
      </x:c>
      <x:c r="F861" s="17" t="str">
        <x:v>load_finance_result</x:v>
      </x:c>
      <x:c r="G861" s="17" t="str"/>
      <x:c r="H861" s="17" t="str"/>
      <x:c r="I861" s="17" t="str">
        <x:v>合理操作</x:v>
      </x:c>
      <x:c r="J861" s="17" t="str">
        <x:v>是</x:v>
      </x:c>
      <x:c r="K861" s="18"/>
      <x:c r="L861" s="17" t="str">
        <x:v>否</x:v>
      </x:c>
      <x:c r="M861" s="17" t="str">
        <x:v>否</x:v>
      </x:c>
      <x:c r="N861" s="17" t="str">
        <x:v>load_truncated_result</x:v>
      </x:c>
      <x:c r="O861" s="17" t="str">
        <x:v>sample_incomplete_requires_full_result</x:v>
      </x:c>
      <x:c r="P861" s="17" t="str">
        <x:v>session://financial_qa_33499cfa81de4d06_2896_2557798c0182/vars/v4</x:v>
      </x:c>
      <x:c r="Q861" s="17" t="str"/>
      <x:c r="R861" s="17" t="str"/>
      <x:c r="S861" s="17" t="str"/>
      <x:c r="T861" s="17" t="str"/>
      <x:c r="U861" s="17" t="str"/>
      <x:c r="V861" s="30"/>
      <x:c r="W861" s="17" t="str">
        <x:v>high</x:v>
      </x:c>
    </x:row>
    <x:row r="862" ht="54" customHeight="1">
      <x:c r="A862" s="17" t="str">
        <x:v>BUS203</x:v>
      </x:c>
      <x:c r="B862" s="17" t="str">
        <x:v>查询银行相关债券今天涨幅前10名，并对比银行行业成分股平均涨幅。</x:v>
      </x:c>
      <x:c r="C862" s="17" t="n">
        <x:v>12</x:v>
      </x:c>
      <x:c r="D862" s="17" t="str"/>
      <x:c r="E862" s="17" t="str">
        <x:v>工具调用</x:v>
      </x:c>
      <x:c r="F862" s="17" t="str">
        <x:v>finance_query</x:v>
      </x:c>
      <x:c r="G862" s="17" t="str">
        <x:v>r6 = bond.quote(filter = "name like '%银行%'", order = "pct desc", limit = 5, realtime = 0) -&gt; code, name, tradedate, pct, close</x:v>
      </x:c>
      <x:c r="H862" s="17" t="str"/>
      <x:c r="I862" s="17" t="str">
        <x:v>合理操作</x:v>
      </x:c>
      <x:c r="J862" s="17" t="str">
        <x:v>是</x:v>
      </x:c>
      <x:c r="K862" s="18"/>
      <x:c r="L862" s="17" t="str">
        <x:v>否</x:v>
      </x:c>
      <x:c r="M862" s="17" t="str">
        <x:v>否</x:v>
      </x:c>
      <x:c r="N862" s="17" t="str">
        <x:v>target_api_executed</x:v>
      </x:c>
      <x:c r="O862" s="17" t="str">
        <x:v>expected_dataview_coverage</x:v>
      </x:c>
      <x:c r="P862" s="17" t="str">
        <x:v>session://financial_qa_33499cfa81de4d06_2896_2557798c0182/vars/v6</x:v>
      </x:c>
      <x:c r="Q862" s="17" t="str"/>
      <x:c r="R862" s="17" t="str">
        <x:v>bond.quote</x:v>
      </x:c>
      <x:c r="S862" s="17" t="str"/>
      <x:c r="T862" s="17" t="str"/>
      <x:c r="U862" s="17" t="str">
        <x:v>r6</x:v>
      </x:c>
      <x:c r="V862" s="30" t="n">
        <x:v>5</x:v>
      </x:c>
      <x:c r="W862" s="17" t="str">
        <x:v>high</x:v>
      </x:c>
    </x:row>
    <x:row r="863" ht="54" customHeight="1">
      <x:c r="A863" s="17" t="str">
        <x:v>BUS203</x:v>
      </x:c>
      <x:c r="B863" s="17" t="str">
        <x:v>查询银行相关债券今天涨幅前10名，并对比银行行业成分股平均涨幅。</x:v>
      </x:c>
      <x:c r="C863" s="17" t="n">
        <x:v>13</x:v>
      </x:c>
      <x:c r="D863" s="17" t="str"/>
      <x:c r="E863" s="17" t="str">
        <x:v>工具调用</x:v>
      </x:c>
      <x:c r="F863" s="17" t="str">
        <x:v>finance_query</x:v>
      </x:c>
      <x:c r="G863" s="17" t="str">
        <x:v>r7 = bond.quote(filter = "name like '%行%'", order = "pct desc", limit = 10, realtime = 0) -&gt; code, name, tradedate, pct, close, amount</x:v>
      </x:c>
      <x:c r="H863" s="17" t="str"/>
      <x:c r="I863" s="17" t="str">
        <x:v>合理操作</x:v>
      </x:c>
      <x:c r="J863" s="17" t="str">
        <x:v>是</x:v>
      </x:c>
      <x:c r="K863" s="18"/>
      <x:c r="L863" s="17" t="str">
        <x:v>否</x:v>
      </x:c>
      <x:c r="M863" s="17" t="str">
        <x:v>否</x:v>
      </x:c>
      <x:c r="N863" s="17" t="str">
        <x:v>target_api_executed</x:v>
      </x:c>
      <x:c r="O863" s="17" t="str">
        <x:v>expected_dataview_coverage</x:v>
      </x:c>
      <x:c r="P863" s="17" t="str">
        <x:v>session://financial_qa_33499cfa81de4d06_2896_2557798c0182/vars/v7</x:v>
      </x:c>
      <x:c r="Q863" s="17" t="str"/>
      <x:c r="R863" s="17" t="str">
        <x:v>bond.quote</x:v>
      </x:c>
      <x:c r="S863" s="17" t="str"/>
      <x:c r="T863" s="17" t="str"/>
      <x:c r="U863" s="17" t="str">
        <x:v>r7</x:v>
      </x:c>
      <x:c r="V863" s="30" t="n">
        <x:v>10</x:v>
      </x:c>
      <x:c r="W863" s="17" t="str">
        <x:v>high</x:v>
      </x:c>
    </x:row>
    <x:row r="864" ht="54" customHeight="1">
      <x:c r="A864" s="17" t="str">
        <x:v>BUS203</x:v>
      </x:c>
      <x:c r="B864" s="17" t="str">
        <x:v>查询银行相关债券今天涨幅前10名，并对比银行行业成分股平均涨幅。</x:v>
      </x:c>
      <x:c r="C864" s="17" t="n">
        <x:v>14</x:v>
      </x:c>
      <x:c r="D864" s="17" t="str"/>
      <x:c r="E864" s="17" t="str">
        <x:v>工具调用</x:v>
      </x:c>
      <x:c r="F864" s="17" t="str">
        <x:v>finance_query</x:v>
      </x:c>
      <x:c r="G864" s="17" t="str">
        <x:v>r8 = bond.quote(filter = "name like '%银%'", order = "pct desc", limit = 10, realtime = 0) -&gt; code, name, tradedate, pct, close, amount</x:v>
      </x:c>
      <x:c r="H864" s="17" t="str"/>
      <x:c r="I864" s="17" t="str">
        <x:v>合理操作</x:v>
      </x:c>
      <x:c r="J864" s="17" t="str">
        <x:v>是</x:v>
      </x:c>
      <x:c r="K864" s="18"/>
      <x:c r="L864" s="17" t="str">
        <x:v>否</x:v>
      </x:c>
      <x:c r="M864" s="17" t="str">
        <x:v>否</x:v>
      </x:c>
      <x:c r="N864" s="17" t="str">
        <x:v>target_api_executed</x:v>
      </x:c>
      <x:c r="O864" s="17" t="str">
        <x:v>expected_dataview_coverage</x:v>
      </x:c>
      <x:c r="P864" s="17" t="str">
        <x:v>session://financial_qa_33499cfa81de4d06_2896_2557798c0182/vars/v8</x:v>
      </x:c>
      <x:c r="Q864" s="17" t="str"/>
      <x:c r="R864" s="17" t="str">
        <x:v>bond.quote</x:v>
      </x:c>
      <x:c r="S864" s="17" t="str"/>
      <x:c r="T864" s="17" t="str"/>
      <x:c r="U864" s="17" t="str">
        <x:v>r8</x:v>
      </x:c>
      <x:c r="V864" s="30" t="n">
        <x:v>10</x:v>
      </x:c>
      <x:c r="W864" s="17" t="str">
        <x:v>high</x:v>
      </x:c>
    </x:row>
    <x:row r="865" ht="54" customHeight="1">
      <x:c r="A865" s="17" t="str">
        <x:v>BUS203</x:v>
      </x:c>
      <x:c r="B865" s="17" t="str">
        <x:v>查询银行相关债券今天涨幅前10名，并对比银行行业成分股平均涨幅。</x:v>
      </x:c>
      <x:c r="C865" s="17" t="n">
        <x:v>15</x:v>
      </x:c>
      <x:c r="D865" s="17" t="str"/>
      <x:c r="E865" s="17" t="str">
        <x:v>工具调用</x:v>
      </x:c>
      <x:c r="F865" s="17" t="str">
        <x:v>finance_query</x:v>
      </x:c>
      <x:c r="G865" s="17" t="str">
        <x:v>r9 = bond.quote(filter = "pct &gt; -100", order = "pct desc", limit = 5, realtime = 0) -&gt; code, name, tradedate, pct</x:v>
      </x:c>
      <x:c r="H865" s="17" t="str"/>
      <x:c r="I865" s="17" t="str">
        <x:v>合理操作</x:v>
      </x:c>
      <x:c r="J865" s="17" t="str">
        <x:v>是</x:v>
      </x:c>
      <x:c r="K865" s="18"/>
      <x:c r="L865" s="17" t="str">
        <x:v>否</x:v>
      </x:c>
      <x:c r="M865" s="17" t="str">
        <x:v>否</x:v>
      </x:c>
      <x:c r="N865" s="17" t="str">
        <x:v>target_api_executed</x:v>
      </x:c>
      <x:c r="O865" s="17" t="str">
        <x:v>expected_dataview_coverage</x:v>
      </x:c>
      <x:c r="P865" s="17" t="str">
        <x:v>session://financial_qa_33499cfa81de4d06_2896_2557798c0182/vars/v9</x:v>
      </x:c>
      <x:c r="Q865" s="17" t="str"/>
      <x:c r="R865" s="17" t="str">
        <x:v>bond.quote</x:v>
      </x:c>
      <x:c r="S865" s="17" t="str"/>
      <x:c r="T865" s="17" t="str"/>
      <x:c r="U865" s="17" t="str">
        <x:v>r9</x:v>
      </x:c>
      <x:c r="V865" s="30" t="n">
        <x:v>5</x:v>
      </x:c>
      <x:c r="W865" s="17" t="str">
        <x:v>high</x:v>
      </x:c>
    </x:row>
    <x:row r="866" ht="54" customHeight="1">
      <x:c r="A866" s="17" t="str">
        <x:v>BUS203</x:v>
      </x:c>
      <x:c r="B866" s="17" t="str">
        <x:v>查询银行相关债券今天涨幅前10名，并对比银行行业成分股平均涨幅。</x:v>
      </x:c>
      <x:c r="C866" s="17" t="n">
        <x:v>16</x:v>
      </x:c>
      <x:c r="D866" s="17" t="str"/>
      <x:c r="E866" s="17" t="str">
        <x:v>工具调用</x:v>
      </x:c>
      <x:c r="F866" s="17" t="str">
        <x:v>finance_query</x:v>
      </x:c>
      <x:c r="G866" s="17" t="str">
        <x:v>r10 = bond.quote(filter = "name = '兴业转债'", order = "pct desc", limit = 5, realtime = 0) -&gt; code, name, tradedate, pct, close</x:v>
      </x:c>
      <x:c r="H866" s="17" t="str"/>
      <x:c r="I866" s="17" t="str">
        <x:v>合理操作</x:v>
      </x:c>
      <x:c r="J866" s="17" t="str">
        <x:v>是</x:v>
      </x:c>
      <x:c r="K866" s="18"/>
      <x:c r="L866" s="17" t="str">
        <x:v>否</x:v>
      </x:c>
      <x:c r="M866" s="17" t="str">
        <x:v>否</x:v>
      </x:c>
      <x:c r="N866" s="17" t="str">
        <x:v>target_api_executed</x:v>
      </x:c>
      <x:c r="O866" s="17" t="str">
        <x:v>expected_dataview_coverage</x:v>
      </x:c>
      <x:c r="P866" s="17" t="str">
        <x:v>session://financial_qa_33499cfa81de4d06_2896_2557798c0182/vars/v10</x:v>
      </x:c>
      <x:c r="Q866" s="17" t="str"/>
      <x:c r="R866" s="17" t="str">
        <x:v>bond.quote</x:v>
      </x:c>
      <x:c r="S866" s="17" t="str"/>
      <x:c r="T866" s="17" t="str"/>
      <x:c r="U866" s="17" t="str">
        <x:v>r10</x:v>
      </x:c>
      <x:c r="V866" s="30" t="n">
        <x:v>1</x:v>
      </x:c>
      <x:c r="W866" s="17" t="str">
        <x:v>high</x:v>
      </x:c>
    </x:row>
    <x:row r="867" ht="54" customHeight="1">
      <x:c r="A867" s="17" t="str">
        <x:v>BUS203</x:v>
      </x:c>
      <x:c r="B867" s="17" t="str">
        <x:v>查询银行相关债券今天涨幅前10名，并对比银行行业成分股平均涨幅。</x:v>
      </x:c>
      <x:c r="C867" s="17" t="n">
        <x:v>17</x:v>
      </x:c>
      <x:c r="D867" s="17" t="str"/>
      <x:c r="E867" s="17" t="str">
        <x:v>工具调用</x:v>
      </x:c>
      <x:c r="F867" s="17" t="str">
        <x:v>finance_query</x:v>
      </x:c>
      <x:c r="G867" s="17" t="str">
        <x:v>r11 = bond.quote(filter = "name in ('兴业转债','浦发转债','中信转债','杭银转债','成银转债','南银转债','上银转债','中银转债','苏银转债','张行转债')", order = "pct desc", limit = 15, realtime = 0) -&gt; code, name, tradedate, pct, close, amount</x:v>
      </x:c>
      <x:c r="H867" s="17" t="str"/>
      <x:c r="I867" s="17" t="str">
        <x:v>合理操作</x:v>
      </x:c>
      <x:c r="J867" s="17" t="str">
        <x:v>是</x:v>
      </x:c>
      <x:c r="K867" s="18"/>
      <x:c r="L867" s="17" t="str">
        <x:v>否</x:v>
      </x:c>
      <x:c r="M867" s="17" t="str">
        <x:v>否</x:v>
      </x:c>
      <x:c r="N867" s="17" t="str">
        <x:v>target_api_executed</x:v>
      </x:c>
      <x:c r="O867" s="17" t="str">
        <x:v>expected_dataview_coverage</x:v>
      </x:c>
      <x:c r="P867" s="17" t="str">
        <x:v>session://financial_qa_33499cfa81de4d06_2896_2557798c0182/vars/v11</x:v>
      </x:c>
      <x:c r="Q867" s="17" t="str"/>
      <x:c r="R867" s="17" t="str">
        <x:v>bond.quote</x:v>
      </x:c>
      <x:c r="S867" s="17" t="str"/>
      <x:c r="T867" s="17" t="str"/>
      <x:c r="U867" s="17" t="str">
        <x:v>r11</x:v>
      </x:c>
      <x:c r="V867" s="30" t="n">
        <x:v>2</x:v>
      </x:c>
      <x:c r="W867" s="17" t="str">
        <x:v>high</x:v>
      </x:c>
    </x:row>
    <x:row r="868" ht="54" customHeight="1">
      <x:c r="A868" s="17" t="str">
        <x:v>BUS203</x:v>
      </x:c>
      <x:c r="B868" s="17" t="str">
        <x:v>查询银行相关债券今天涨幅前10名，并对比银行行业成分股平均涨幅。</x:v>
      </x:c>
      <x:c r="C868" s="17" t="n">
        <x:v>18</x:v>
      </x:c>
      <x:c r="D868" s="17" t="str"/>
      <x:c r="E868" s="17" t="str">
        <x:v>工具调用</x:v>
      </x:c>
      <x:c r="F868" s="17" t="str">
        <x:v>finance_query</x:v>
      </x:c>
      <x:c r="G868" s="17" t="str">
        <x:v>r12 = industry.constitution(filter = "industry_code = '480000'", limit = 50, realtime = 0) -&gt; industry_code, industry_name, stock_code, stock_name, weight</x:v>
      </x:c>
      <x:c r="H868" s="17" t="str"/>
      <x:c r="I868" s="17" t="str">
        <x:v>合理操作</x:v>
      </x:c>
      <x:c r="J868" s="17" t="str">
        <x:v>是</x:v>
      </x:c>
      <x:c r="K868" s="18"/>
      <x:c r="L868" s="17" t="str">
        <x:v>否</x:v>
      </x:c>
      <x:c r="M868" s="17" t="str">
        <x:v>否</x:v>
      </x:c>
      <x:c r="N868" s="17" t="str">
        <x:v>target_api_executed</x:v>
      </x:c>
      <x:c r="O868" s="17" t="str">
        <x:v>expected_dataview_coverage</x:v>
      </x:c>
      <x:c r="P868" s="17" t="str">
        <x:v>session://financial_qa_33499cfa81de4d06_2896_2557798c0182/vars/v12</x:v>
      </x:c>
      <x:c r="Q868" s="17" t="str"/>
      <x:c r="R868" s="17" t="str">
        <x:v>industry.constitution</x:v>
      </x:c>
      <x:c r="S868" s="17" t="str"/>
      <x:c r="T868" s="17" t="str"/>
      <x:c r="U868" s="17" t="str">
        <x:v>r12</x:v>
      </x:c>
      <x:c r="V868" s="30" t="n">
        <x:v>40</x:v>
      </x:c>
      <x:c r="W868" s="17" t="str">
        <x:v>high</x:v>
      </x:c>
    </x:row>
    <x:row r="869" ht="54" customHeight="1">
      <x:c r="A869" s="17" t="str">
        <x:v>BUS203</x:v>
      </x:c>
      <x:c r="B869" s="17" t="str">
        <x:v>查询银行相关债券今天涨幅前10名，并对比银行行业成分股平均涨幅。</x:v>
      </x:c>
      <x:c r="C869" s="17" t="n">
        <x:v>19</x:v>
      </x:c>
      <x:c r="D869" s="17" t="str"/>
      <x:c r="E869" s="17" t="str">
        <x:v>工具调用</x:v>
      </x:c>
      <x:c r="F869" s="17" t="str">
        <x:v>finance_query</x:v>
      </x:c>
      <x:c r="G869" s="17" t="str">
        <x:v>r13 = stock.quote(filter = "code in r12.stock_code and tradedate = -1", order = "pct desc", limit = 50, realtime = 0) -&gt; code, name, tradedate, pct</x:v>
      </x:c>
      <x:c r="H869" s="17" t="str"/>
      <x:c r="I869" s="17" t="str">
        <x:v>合理操作</x:v>
      </x:c>
      <x:c r="J869" s="17" t="str">
        <x:v>是</x:v>
      </x:c>
      <x:c r="K869" s="18"/>
      <x:c r="L869" s="17" t="str">
        <x:v>否</x:v>
      </x:c>
      <x:c r="M869" s="17" t="str">
        <x:v>否</x:v>
      </x:c>
      <x:c r="N869" s="17" t="str">
        <x:v>cross_subject_dependency</x:v>
      </x:c>
      <x:c r="O869" s="17" t="str">
        <x:v>supporting_api_relevance_requires_semantic_review</x:v>
      </x:c>
      <x:c r="P869" s="17" t="str">
        <x:v>session://financial_qa_33499cfa81de4d06_2896_2557798c0182/vars/v13</x:v>
      </x:c>
      <x:c r="Q869" s="17" t="str"/>
      <x:c r="R869" s="17" t="str">
        <x:v>stock.quote</x:v>
      </x:c>
      <x:c r="S869" s="17" t="str"/>
      <x:c r="T869" s="17" t="str"/>
      <x:c r="U869" s="17" t="str">
        <x:v>r13</x:v>
      </x:c>
      <x:c r="V869" s="30" t="n">
        <x:v>40</x:v>
      </x:c>
      <x:c r="W869" s="17" t="str">
        <x:v>low</x:v>
      </x:c>
    </x:row>
    <x:row r="870" ht="54" customHeight="1">
      <x:c r="A870" s="17" t="str">
        <x:v>BUS203</x:v>
      </x:c>
      <x:c r="B870" s="17" t="str">
        <x:v>查询银行相关债券今天涨幅前10名，并对比银行行业成分股平均涨幅。</x:v>
      </x:c>
      <x:c r="C870" s="17" t="n">
        <x:v>20</x:v>
      </x:c>
      <x:c r="D870" s="17" t="str"/>
      <x:c r="E870" s="17" t="str">
        <x:v>工具调用</x:v>
      </x:c>
      <x:c r="F870" s="17" t="str">
        <x:v>load_finance_result</x:v>
      </x:c>
      <x:c r="G870" s="17" t="str"/>
      <x:c r="H870" s="17" t="str"/>
      <x:c r="I870" s="17" t="str">
        <x:v>合理操作</x:v>
      </x:c>
      <x:c r="J870" s="17" t="str">
        <x:v>是</x:v>
      </x:c>
      <x:c r="K870" s="18"/>
      <x:c r="L870" s="17" t="str">
        <x:v>否</x:v>
      </x:c>
      <x:c r="M870" s="17" t="str">
        <x:v>否</x:v>
      </x:c>
      <x:c r="N870" s="17" t="str">
        <x:v>load_truncated_result</x:v>
      </x:c>
      <x:c r="O870" s="17" t="str">
        <x:v>sample_incomplete_requires_full_result</x:v>
      </x:c>
      <x:c r="P870" s="17" t="str">
        <x:v>session://financial_qa_33499cfa81de4d06_2896_2557798c0182/vars/v13</x:v>
      </x:c>
      <x:c r="Q870" s="17" t="str"/>
      <x:c r="R870" s="17" t="str"/>
      <x:c r="S870" s="17" t="str"/>
      <x:c r="T870" s="17" t="str"/>
      <x:c r="U870" s="17" t="str"/>
      <x:c r="V870" s="30"/>
      <x:c r="W870" s="17" t="str">
        <x:v>high</x:v>
      </x:c>
    </x:row>
    <x:row r="871" ht="54" customHeight="1">
      <x:c r="A871" s="17" t="str">
        <x:v>BUS203</x:v>
      </x:c>
      <x:c r="B871" s="17" t="str">
        <x:v>查询银行相关债券今天涨幅前10名，并对比银行行业成分股平均涨幅。</x:v>
      </x:c>
      <x:c r="C871" s="17" t="n">
        <x:v>21</x:v>
      </x:c>
      <x:c r="D871" s="17" t="str"/>
      <x:c r="E871" s="17" t="str">
        <x:v>工具调用</x:v>
      </x:c>
      <x:c r="F871" s="17" t="str">
        <x:v>finance_query</x:v>
      </x:c>
      <x:c r="G871" s="17" t="str">
        <x:v>r14 = bond.quote(filter = "name in ('紫金转债','青农转债','苏农转债','无锡转债','重银转债','齐鲁转债','常银转债','贵阳转债','华夏转债','民生转债')", order = "pct desc", limit = 15, realtime = 0) -&gt; code, name, tradedate, pct, close, amount</x:v>
      </x:c>
      <x:c r="H871" s="17" t="str"/>
      <x:c r="I871" s="17" t="str">
        <x:v>合理操作</x:v>
      </x:c>
      <x:c r="J871" s="17" t="str">
        <x:v>是</x:v>
      </x:c>
      <x:c r="K871" s="18"/>
      <x:c r="L871" s="17" t="str">
        <x:v>否</x:v>
      </x:c>
      <x:c r="M871" s="17" t="str">
        <x:v>否</x:v>
      </x:c>
      <x:c r="N871" s="17" t="str">
        <x:v>target_api_executed</x:v>
      </x:c>
      <x:c r="O871" s="17" t="str">
        <x:v>expected_dataview_coverage</x:v>
      </x:c>
      <x:c r="P871" s="17" t="str">
        <x:v>session://financial_qa_33499cfa81de4d06_2896_2557798c0182/vars/v14</x:v>
      </x:c>
      <x:c r="Q871" s="17" t="str"/>
      <x:c r="R871" s="17" t="str">
        <x:v>bond.quote</x:v>
      </x:c>
      <x:c r="S871" s="17" t="str"/>
      <x:c r="T871" s="17" t="str"/>
      <x:c r="U871" s="17" t="str">
        <x:v>r14</x:v>
      </x:c>
      <x:c r="V871" s="30" t="n">
        <x:v>3</x:v>
      </x:c>
      <x:c r="W871" s="17" t="str">
        <x:v>high</x:v>
      </x:c>
    </x:row>
    <x:row r="872" ht="54" customHeight="1">
      <x:c r="A872" s="17" t="str">
        <x:v>BUS204</x:v>
      </x:c>
      <x:c r="B872" s="17" t="str">
        <x:v>同时查询可转债涨幅前10名和今天A股涨幅前10名。</x:v>
      </x:c>
      <x:c r="C872" s="17" t="n">
        <x:v>1</x:v>
      </x:c>
      <x:c r="D872" s="17" t="str"/>
      <x:c r="E872" s="17" t="str">
        <x:v>工具调用</x:v>
      </x:c>
      <x:c r="F872" s="17" t="str">
        <x:v>read_finance_catalog</x:v>
      </x:c>
      <x:c r="G872" s="17" t="str"/>
      <x:c r="H872" s="17" t="str"/>
      <x:c r="I872" s="17" t="str">
        <x:v>合理操作</x:v>
      </x:c>
      <x:c r="J872" s="17" t="str">
        <x:v>是</x:v>
      </x:c>
      <x:c r="K872" s="18"/>
      <x:c r="L872" s="17" t="str">
        <x:v>否</x:v>
      </x:c>
      <x:c r="M872" s="17" t="str">
        <x:v>否</x:v>
      </x:c>
      <x:c r="N872" s="17" t="str">
        <x:v>target_catalog_located</x:v>
      </x:c>
      <x:c r="O872" s="17" t="str">
        <x:v>expected_dataview_catalog</x:v>
      </x:c>
      <x:c r="P872" s="17" t="str"/>
      <x:c r="Q872" s="17" t="str"/>
      <x:c r="R872" s="17" t="str"/>
      <x:c r="S872" s="17" t="str">
        <x:v>bond</x:v>
      </x:c>
      <x:c r="T872" s="17" t="str">
        <x:v>quote</x:v>
      </x:c>
      <x:c r="U872" s="17" t="str"/>
      <x:c r="V872" s="30"/>
      <x:c r="W872" s="17" t="str">
        <x:v>high</x:v>
      </x:c>
    </x:row>
    <x:row r="873" ht="54" customHeight="1">
      <x:c r="A873" s="17" t="str">
        <x:v>BUS204</x:v>
      </x:c>
      <x:c r="B873" s="17" t="str">
        <x:v>同时查询可转债涨幅前10名和今天A股涨幅前10名。</x:v>
      </x:c>
      <x:c r="C873" s="17" t="n">
        <x:v>2</x:v>
      </x:c>
      <x:c r="D873" s="17" t="str"/>
      <x:c r="E873" s="17" t="str">
        <x:v>工具调用</x:v>
      </x:c>
      <x:c r="F873" s="17" t="str">
        <x:v>read_finance_catalog</x:v>
      </x:c>
      <x:c r="G873" s="17" t="str"/>
      <x:c r="H873" s="17" t="str"/>
      <x:c r="I873" s="17" t="str">
        <x:v>合理操作</x:v>
      </x:c>
      <x:c r="J873" s="17" t="str">
        <x:v>是</x:v>
      </x:c>
      <x:c r="K873" s="18"/>
      <x:c r="L873" s="17" t="str">
        <x:v>否</x:v>
      </x:c>
      <x:c r="M873" s="17" t="str">
        <x:v>否</x:v>
      </x:c>
      <x:c r="N873" s="17" t="str">
        <x:v>target_catalog_located</x:v>
      </x:c>
      <x:c r="O873" s="17" t="str">
        <x:v>expected_dataview_catalog</x:v>
      </x:c>
      <x:c r="P873" s="17" t="str"/>
      <x:c r="Q873" s="17" t="str"/>
      <x:c r="R873" s="17" t="str"/>
      <x:c r="S873" s="17" t="str">
        <x:v>stock</x:v>
      </x:c>
      <x:c r="T873" s="17" t="str">
        <x:v>quote</x:v>
      </x:c>
      <x:c r="U873" s="17" t="str"/>
      <x:c r="V873" s="30"/>
      <x:c r="W873" s="17" t="str">
        <x:v>high</x:v>
      </x:c>
    </x:row>
    <x:row r="874" ht="54" customHeight="1">
      <x:c r="A874" s="17" t="str">
        <x:v>BUS204</x:v>
      </x:c>
      <x:c r="B874" s="17" t="str">
        <x:v>同时查询可转债涨幅前10名和今天A股涨幅前10名。</x:v>
      </x:c>
      <x:c r="C874" s="17" t="n">
        <x:v>3</x:v>
      </x:c>
      <x:c r="D874" s="17" t="str"/>
      <x:c r="E874" s="17" t="str">
        <x:v>工具调用</x:v>
      </x:c>
      <x:c r="F874" s="17" t="str">
        <x:v>finance_query</x:v>
      </x:c>
      <x:c r="G874" s="17" t="str">
        <x:v>r1 = bond.quote(filter = "tradedate = -1", order = "pct desc", limit = 10, realtime = 0) -&gt; code, name, tradedate, close, pct, amount</x:v>
      </x:c>
      <x:c r="H874" s="17" t="str"/>
      <x:c r="I874" s="17" t="str">
        <x:v>合理操作</x:v>
      </x:c>
      <x:c r="J874" s="17" t="str">
        <x:v>是</x:v>
      </x:c>
      <x:c r="K874" s="18"/>
      <x:c r="L874" s="17" t="str">
        <x:v>否</x:v>
      </x:c>
      <x:c r="M874" s="17" t="str">
        <x:v>否</x:v>
      </x:c>
      <x:c r="N874" s="17" t="str">
        <x:v>target_api_executed</x:v>
      </x:c>
      <x:c r="O874" s="17" t="str">
        <x:v>expected_dataview_coverage</x:v>
      </x:c>
      <x:c r="P874" s="17" t="str">
        <x:v>session://financial_qa_33499cfa81de4d06_2897_a746a90e50c1/vars/v1</x:v>
      </x:c>
      <x:c r="Q874" s="17" t="str"/>
      <x:c r="R874" s="17" t="str">
        <x:v>bond.quote</x:v>
      </x:c>
      <x:c r="S874" s="17" t="str"/>
      <x:c r="T874" s="17" t="str"/>
      <x:c r="U874" s="17" t="str">
        <x:v>r1</x:v>
      </x:c>
      <x:c r="V874" s="30" t="n">
        <x:v>10</x:v>
      </x:c>
      <x:c r="W874" s="17" t="str">
        <x:v>high</x:v>
      </x:c>
    </x:row>
    <x:row r="875" ht="54" customHeight="1">
      <x:c r="A875" s="17" t="str">
        <x:v>BUS204</x:v>
      </x:c>
      <x:c r="B875" s="17" t="str">
        <x:v>同时查询可转债涨幅前10名和今天A股涨幅前10名。</x:v>
      </x:c>
      <x:c r="C875" s="17" t="n">
        <x:v>4</x:v>
      </x:c>
      <x:c r="D875" s="17" t="str"/>
      <x:c r="E875" s="17" t="str">
        <x:v>工具调用</x:v>
      </x:c>
      <x:c r="F875" s="17" t="str">
        <x:v>finance_query</x:v>
      </x:c>
      <x:c r="G875" s="17" t="str">
        <x:v>r2 = stock.quote(filter = "tradedate = -1", order = "pct desc", limit = 10, realtime = 0) -&gt; code, name, tradedate, close, pct, amount</x:v>
      </x:c>
      <x:c r="H875" s="17" t="str"/>
      <x:c r="I875" s="17" t="str">
        <x:v>合理操作</x:v>
      </x:c>
      <x:c r="J875" s="17" t="str">
        <x:v>是</x:v>
      </x:c>
      <x:c r="K875" s="18"/>
      <x:c r="L875" s="17" t="str">
        <x:v>否</x:v>
      </x:c>
      <x:c r="M875" s="17" t="str">
        <x:v>否</x:v>
      </x:c>
      <x:c r="N875" s="17" t="str">
        <x:v>target_api_executed</x:v>
      </x:c>
      <x:c r="O875" s="17" t="str">
        <x:v>expected_dataview_coverage</x:v>
      </x:c>
      <x:c r="P875" s="17" t="str">
        <x:v>session://financial_qa_33499cfa81de4d06_2897_a746a90e50c1/vars/v2</x:v>
      </x:c>
      <x:c r="Q875" s="17" t="str"/>
      <x:c r="R875" s="17" t="str">
        <x:v>stock.quote</x:v>
      </x:c>
      <x:c r="S875" s="17" t="str"/>
      <x:c r="T875" s="17" t="str"/>
      <x:c r="U875" s="17" t="str">
        <x:v>r2</x:v>
      </x:c>
      <x:c r="V875" s="30" t="n">
        <x:v>10</x:v>
      </x:c>
      <x:c r="W875" s="17" t="str">
        <x:v>high</x:v>
      </x:c>
    </x:row>
    <x:row r="876" ht="54" customHeight="1">
      <x:c r="A876" s="17" t="str">
        <x:v>BUS204</x:v>
      </x:c>
      <x:c r="B876" s="17" t="str">
        <x:v>同时查询可转债涨幅前10名和今天A股涨幅前10名。</x:v>
      </x:c>
      <x:c r="C876" s="17" t="n">
        <x:v>5</x:v>
      </x:c>
      <x:c r="D876" s="17" t="str"/>
      <x:c r="E876" s="17" t="str">
        <x:v>工具调用</x:v>
      </x:c>
      <x:c r="F876" s="17" t="str">
        <x:v>load_finance_result</x:v>
      </x:c>
      <x:c r="G876" s="17" t="str"/>
      <x:c r="H876" s="17" t="str"/>
      <x:c r="I876" s="17" t="str">
        <x:v>合理操作</x:v>
      </x:c>
      <x:c r="J876" s="17" t="str">
        <x:v>是</x:v>
      </x:c>
      <x:c r="K876" s="18"/>
      <x:c r="L876" s="17" t="str">
        <x:v>否</x:v>
      </x:c>
      <x:c r="M876" s="17" t="str">
        <x:v>否</x:v>
      </x:c>
      <x:c r="N876" s="17" t="str">
        <x:v>load_truncated_result</x:v>
      </x:c>
      <x:c r="O876" s="17" t="str">
        <x:v>sample_incomplete_requires_full_result</x:v>
      </x:c>
      <x:c r="P876" s="17" t="str">
        <x:v>session://financial_qa_33499cfa81de4d06_2897_a746a90e50c1/vars/v1</x:v>
      </x:c>
      <x:c r="Q876" s="17" t="str"/>
      <x:c r="R876" s="17" t="str"/>
      <x:c r="S876" s="17" t="str"/>
      <x:c r="T876" s="17" t="str"/>
      <x:c r="U876" s="17" t="str"/>
      <x:c r="V876" s="30"/>
      <x:c r="W876" s="17" t="str">
        <x:v>high</x:v>
      </x:c>
    </x:row>
    <x:row r="877" ht="54" customHeight="1">
      <x:c r="A877" s="17" t="str">
        <x:v>BUS204</x:v>
      </x:c>
      <x:c r="B877" s="17" t="str">
        <x:v>同时查询可转债涨幅前10名和今天A股涨幅前10名。</x:v>
      </x:c>
      <x:c r="C877" s="17" t="n">
        <x:v>6</x:v>
      </x:c>
      <x:c r="D877" s="17" t="str"/>
      <x:c r="E877" s="17" t="str">
        <x:v>工具调用</x:v>
      </x:c>
      <x:c r="F877" s="17" t="str">
        <x:v>load_finance_result</x:v>
      </x:c>
      <x:c r="G877" s="17" t="str"/>
      <x:c r="H877" s="17" t="str"/>
      <x:c r="I877" s="17" t="str">
        <x:v>合理操作</x:v>
      </x:c>
      <x:c r="J877" s="17" t="str">
        <x:v>是</x:v>
      </x:c>
      <x:c r="K877" s="18"/>
      <x:c r="L877" s="17" t="str">
        <x:v>否</x:v>
      </x:c>
      <x:c r="M877" s="17" t="str">
        <x:v>否</x:v>
      </x:c>
      <x:c r="N877" s="17" t="str">
        <x:v>load_truncated_result</x:v>
      </x:c>
      <x:c r="O877" s="17" t="str">
        <x:v>sample_incomplete_requires_full_result</x:v>
      </x:c>
      <x:c r="P877" s="17" t="str">
        <x:v>session://financial_qa_33499cfa81de4d06_2897_a746a90e50c1/vars/v2</x:v>
      </x:c>
      <x:c r="Q877" s="17" t="str"/>
      <x:c r="R877" s="17" t="str"/>
      <x:c r="S877" s="17" t="str"/>
      <x:c r="T877" s="17" t="str"/>
      <x:c r="U877" s="17" t="str"/>
      <x:c r="V877" s="30"/>
      <x:c r="W877" s="17" t="str">
        <x:v>high</x:v>
      </x:c>
    </x:row>
    <x:row r="878" ht="54" customHeight="1">
      <x:c r="A878" s="17" t="str">
        <x:v>BUS204</x:v>
      </x:c>
      <x:c r="B878" s="17" t="str">
        <x:v>同时查询可转债涨幅前10名和今天A股涨幅前10名。</x:v>
      </x:c>
      <x:c r="C878" s="17" t="n">
        <x:v>7</x:v>
      </x:c>
      <x:c r="D878" s="17" t="str"/>
      <x:c r="E878" s="17" t="str">
        <x:v>工具调用</x:v>
      </x:c>
      <x:c r="F878" s="17" t="str">
        <x:v>finance_query</x:v>
      </x:c>
      <x:c r="G878" s="17" t="str">
        <x:v>r3 = bond.quote(filter = "tradedate = -1 and ((code &gt;= '110000.SH' and code &lt; '114000.SH') or (code &gt;= '118000.SH' and code &lt; '119000.SH') or (code &gt;= '123000.SZ' and code &lt; '124000.SZ') or (code &gt;= '127000.SZ' and code &lt; '128000.SZ'))", order = "pct desc", limit = 10, realtime = 0) -&gt; code, name, tradedate, close, pct, amount</x:v>
      </x:c>
      <x:c r="H878" s="17" t="str"/>
      <x:c r="I878" s="17" t="str">
        <x:v>合理操作</x:v>
      </x:c>
      <x:c r="J878" s="17" t="str">
        <x:v>是</x:v>
      </x:c>
      <x:c r="K878" s="18"/>
      <x:c r="L878" s="17" t="str">
        <x:v>否</x:v>
      </x:c>
      <x:c r="M878" s="17" t="str">
        <x:v>否</x:v>
      </x:c>
      <x:c r="N878" s="17" t="str">
        <x:v>target_api_executed</x:v>
      </x:c>
      <x:c r="O878" s="17" t="str">
        <x:v>expected_dataview_coverage</x:v>
      </x:c>
      <x:c r="P878" s="17" t="str">
        <x:v>session://financial_qa_33499cfa81de4d06_2897_a746a90e50c1/vars/v3</x:v>
      </x:c>
      <x:c r="Q878" s="17" t="str"/>
      <x:c r="R878" s="17" t="str">
        <x:v>bond.quote</x:v>
      </x:c>
      <x:c r="S878" s="17" t="str"/>
      <x:c r="T878" s="17" t="str"/>
      <x:c r="U878" s="17" t="str">
        <x:v>r3</x:v>
      </x:c>
      <x:c r="V878" s="30" t="n">
        <x:v>10</x:v>
      </x:c>
      <x:c r="W878" s="17" t="str">
        <x:v>high</x:v>
      </x:c>
    </x:row>
    <x:row r="879" ht="54" customHeight="1">
      <x:c r="A879" s="17" t="str">
        <x:v>BUS204</x:v>
      </x:c>
      <x:c r="B879" s="17" t="str">
        <x:v>同时查询可转债涨幅前10名和今天A股涨幅前10名。</x:v>
      </x:c>
      <x:c r="C879" s="17" t="n">
        <x:v>8</x:v>
      </x:c>
      <x:c r="D879" s="17" t="str"/>
      <x:c r="E879" s="17" t="str">
        <x:v>工具调用</x:v>
      </x:c>
      <x:c r="F879" s="17" t="str">
        <x:v>load_finance_result</x:v>
      </x:c>
      <x:c r="G879" s="17" t="str"/>
      <x:c r="H879" s="17" t="str"/>
      <x:c r="I879" s="17" t="str">
        <x:v>合理操作</x:v>
      </x:c>
      <x:c r="J879" s="17" t="str">
        <x:v>是</x:v>
      </x:c>
      <x:c r="K879" s="18"/>
      <x:c r="L879" s="17" t="str">
        <x:v>否</x:v>
      </x:c>
      <x:c r="M879" s="17" t="str">
        <x:v>否</x:v>
      </x:c>
      <x:c r="N879" s="17" t="str">
        <x:v>load_truncated_result</x:v>
      </x:c>
      <x:c r="O879" s="17" t="str">
        <x:v>sample_incomplete_requires_full_result</x:v>
      </x:c>
      <x:c r="P879" s="17" t="str">
        <x:v>session://financial_qa_33499cfa81de4d06_2897_a746a90e50c1/vars/v3</x:v>
      </x:c>
      <x:c r="Q879" s="17" t="str"/>
      <x:c r="R879" s="17" t="str"/>
      <x:c r="S879" s="17" t="str"/>
      <x:c r="T879" s="17" t="str"/>
      <x:c r="U879" s="17" t="str"/>
      <x:c r="V879" s="30"/>
      <x:c r="W879" s="17" t="str">
        <x:v>high</x:v>
      </x:c>
    </x:row>
    <x:row r="880" ht="54" customHeight="1">
      <x:c r="A880" s="17" t="str">
        <x:v>BUS204</x:v>
      </x:c>
      <x:c r="B880" s="17" t="str">
        <x:v>同时查询可转债涨幅前10名和今天A股涨幅前10名。</x:v>
      </x:c>
      <x:c r="C880" s="17" t="n">
        <x:v>9</x:v>
      </x:c>
      <x:c r="D880" s="17" t="str"/>
      <x:c r="E880" s="17" t="str">
        <x:v>工具调用</x:v>
      </x:c>
      <x:c r="F880" s="17" t="str">
        <x:v>finance_query</x:v>
      </x:c>
      <x:c r="G880" s="17" t="str">
        <x:v>r4 = bond.quote(filter = "tradedate = -1 and ((code &gt;= '118000.SH' and code &lt; '119000.SH') or (code &gt;= '123000.SZ' and code &lt; '124000.SZ'))", order = "pct desc", limit = 10, realtime = 0) -&gt; code, name, tradedate, close, pct, amount</x:v>
      </x:c>
      <x:c r="H880" s="17" t="str"/>
      <x:c r="I880" s="17" t="str">
        <x:v>合理操作</x:v>
      </x:c>
      <x:c r="J880" s="17" t="str">
        <x:v>是</x:v>
      </x:c>
      <x:c r="K880" s="18"/>
      <x:c r="L880" s="17" t="str">
        <x:v>否</x:v>
      </x:c>
      <x:c r="M880" s="17" t="str">
        <x:v>否</x:v>
      </x:c>
      <x:c r="N880" s="17" t="str">
        <x:v>target_api_executed</x:v>
      </x:c>
      <x:c r="O880" s="17" t="str">
        <x:v>expected_dataview_coverage</x:v>
      </x:c>
      <x:c r="P880" s="17" t="str">
        <x:v>session://financial_qa_33499cfa81de4d06_2897_a746a90e50c1/vars/v4</x:v>
      </x:c>
      <x:c r="Q880" s="17" t="str"/>
      <x:c r="R880" s="17" t="str">
        <x:v>bond.quote</x:v>
      </x:c>
      <x:c r="S880" s="17" t="str"/>
      <x:c r="T880" s="17" t="str"/>
      <x:c r="U880" s="17" t="str">
        <x:v>r4</x:v>
      </x:c>
      <x:c r="V880" s="30" t="n">
        <x:v>10</x:v>
      </x:c>
      <x:c r="W880" s="17" t="str">
        <x:v>high</x:v>
      </x:c>
    </x:row>
    <x:row r="881" ht="54" customHeight="1">
      <x:c r="A881" s="17" t="str">
        <x:v>BUS204</x:v>
      </x:c>
      <x:c r="B881" s="17" t="str">
        <x:v>同时查询可转债涨幅前10名和今天A股涨幅前10名。</x:v>
      </x:c>
      <x:c r="C881" s="17" t="n">
        <x:v>10</x:v>
      </x:c>
      <x:c r="D881" s="17" t="str"/>
      <x:c r="E881" s="17" t="str">
        <x:v>工具调用</x:v>
      </x:c>
      <x:c r="F881" s="17" t="str">
        <x:v>finance_query</x:v>
      </x:c>
      <x:c r="G881" s="17" t="str">
        <x:v>r5 = bond.quote(filter = "tradedate = -1", order = "pct desc", limit = 50, realtime = 0) -&gt; code, name, tradedate, close, pct, amount</x:v>
      </x:c>
      <x:c r="H881" s="17" t="str"/>
      <x:c r="I881" s="17" t="str">
        <x:v>合理操作</x:v>
      </x:c>
      <x:c r="J881" s="17" t="str">
        <x:v>是</x:v>
      </x:c>
      <x:c r="K881" s="18"/>
      <x:c r="L881" s="17" t="str">
        <x:v>否</x:v>
      </x:c>
      <x:c r="M881" s="17" t="str">
        <x:v>否</x:v>
      </x:c>
      <x:c r="N881" s="17" t="str">
        <x:v>target_api_executed</x:v>
      </x:c>
      <x:c r="O881" s="17" t="str">
        <x:v>expected_dataview_coverage</x:v>
      </x:c>
      <x:c r="P881" s="17" t="str">
        <x:v>session://financial_qa_33499cfa81de4d06_2897_a746a90e50c1/vars/v5</x:v>
      </x:c>
      <x:c r="Q881" s="17" t="str"/>
      <x:c r="R881" s="17" t="str">
        <x:v>bond.quote</x:v>
      </x:c>
      <x:c r="S881" s="17" t="str"/>
      <x:c r="T881" s="17" t="str"/>
      <x:c r="U881" s="17" t="str">
        <x:v>r5</x:v>
      </x:c>
      <x:c r="V881" s="30" t="n">
        <x:v>50</x:v>
      </x:c>
      <x:c r="W881" s="17" t="str">
        <x:v>high</x:v>
      </x:c>
    </x:row>
    <x:row r="882" ht="54" customHeight="1">
      <x:c r="A882" s="17" t="str">
        <x:v>BUS204</x:v>
      </x:c>
      <x:c r="B882" s="17" t="str">
        <x:v>同时查询可转债涨幅前10名和今天A股涨幅前10名。</x:v>
      </x:c>
      <x:c r="C882" s="17" t="n">
        <x:v>11</x:v>
      </x:c>
      <x:c r="D882" s="17" t="str"/>
      <x:c r="E882" s="17" t="str">
        <x:v>工具调用</x:v>
      </x:c>
      <x:c r="F882" s="17" t="str">
        <x:v>load_finance_result</x:v>
      </x:c>
      <x:c r="G882" s="17" t="str"/>
      <x:c r="H882" s="17" t="str"/>
      <x:c r="I882" s="17" t="str">
        <x:v>合理操作</x:v>
      </x:c>
      <x:c r="J882" s="17" t="str">
        <x:v>是</x:v>
      </x:c>
      <x:c r="K882" s="18"/>
      <x:c r="L882" s="17" t="str">
        <x:v>否</x:v>
      </x:c>
      <x:c r="M882" s="17" t="str">
        <x:v>否</x:v>
      </x:c>
      <x:c r="N882" s="17" t="str">
        <x:v>load_truncated_result</x:v>
      </x:c>
      <x:c r="O882" s="17" t="str">
        <x:v>sample_incomplete_requires_full_result</x:v>
      </x:c>
      <x:c r="P882" s="17" t="str">
        <x:v>session://financial_qa_33499cfa81de4d06_2897_a746a90e50c1/vars/v5</x:v>
      </x:c>
      <x:c r="Q882" s="17" t="str"/>
      <x:c r="R882" s="17" t="str"/>
      <x:c r="S882" s="17" t="str"/>
      <x:c r="T882" s="17" t="str"/>
      <x:c r="U882" s="17" t="str"/>
      <x:c r="V882" s="30"/>
      <x:c r="W882" s="17" t="str">
        <x:v>high</x:v>
      </x:c>
    </x:row>
    <x:row r="883" ht="54" customHeight="1">
      <x:c r="A883" s="17" t="str">
        <x:v>BUS206</x:v>
      </x:c>
      <x:c r="B883" s="17" t="str">
        <x:v>查询PCB热点事件的首次触发日期、最近触发日期和当前公司数。</x:v>
      </x:c>
      <x:c r="C883" s="17" t="n">
        <x:v>1</x:v>
      </x:c>
      <x:c r="D883" s="17" t="str"/>
      <x:c r="E883" s="17" t="str">
        <x:v>工具调用</x:v>
      </x:c>
      <x:c r="F883" s="17" t="str">
        <x:v>read_finance_catalog</x:v>
      </x:c>
      <x:c r="G883" s="17" t="str"/>
      <x:c r="H883" s="17" t="str"/>
      <x:c r="I883" s="17" t="str">
        <x:v>合理操作</x:v>
      </x:c>
      <x:c r="J883" s="17" t="str">
        <x:v>是</x:v>
      </x:c>
      <x:c r="K883" s="18"/>
      <x:c r="L883" s="17" t="str">
        <x:v>否</x:v>
      </x:c>
      <x:c r="M883" s="17" t="str">
        <x:v>否</x:v>
      </x:c>
      <x:c r="N883" s="17" t="str">
        <x:v>target_catalog_located</x:v>
      </x:c>
      <x:c r="O883" s="17" t="str">
        <x:v>expected_dataview_catalog</x:v>
      </x:c>
      <x:c r="P883" s="17" t="str"/>
      <x:c r="Q883" s="17" t="str"/>
      <x:c r="R883" s="17" t="str"/>
      <x:c r="S883" s="17" t="str">
        <x:v>hot_event</x:v>
      </x:c>
      <x:c r="T883" s="17" t="str">
        <x:v>base_info</x:v>
      </x:c>
      <x:c r="U883" s="17" t="str"/>
      <x:c r="V883" s="30"/>
      <x:c r="W883" s="17" t="str">
        <x:v>high</x:v>
      </x:c>
    </x:row>
    <x:row r="884" ht="54" customHeight="1">
      <x:c r="A884" s="17" t="str">
        <x:v>BUS206</x:v>
      </x:c>
      <x:c r="B884" s="17" t="str">
        <x:v>查询PCB热点事件的首次触发日期、最近触发日期和当前公司数。</x:v>
      </x:c>
      <x:c r="C884" s="17" t="n">
        <x:v>2</x:v>
      </x:c>
      <x:c r="D884" s="17" t="str"/>
      <x:c r="E884" s="17" t="str">
        <x:v>工具调用</x:v>
      </x:c>
      <x:c r="F884" s="17" t="str">
        <x:v>read_finance_catalog</x:v>
      </x:c>
      <x:c r="G884" s="17" t="str"/>
      <x:c r="H884" s="17" t="str"/>
      <x:c r="I884" s="17" t="str">
        <x:v>合理操作</x:v>
      </x:c>
      <x:c r="J884" s="17" t="str">
        <x:v>是</x:v>
      </x:c>
      <x:c r="K884" s="18"/>
      <x:c r="L884" s="17" t="str">
        <x:v>否</x:v>
      </x:c>
      <x:c r="M884" s="17" t="str">
        <x:v>否</x:v>
      </x:c>
      <x:c r="N884" s="17" t="str">
        <x:v>subject_catalog_discovery</x:v>
      </x:c>
      <x:c r="O884" s="17" t="str">
        <x:v>expected_subject_catalog</x:v>
      </x:c>
      <x:c r="P884" s="17" t="str"/>
      <x:c r="Q884" s="17" t="str"/>
      <x:c r="R884" s="17" t="str"/>
      <x:c r="S884" s="17" t="str">
        <x:v>hot_event</x:v>
      </x:c>
      <x:c r="T884" s="17" t="str">
        <x:v>state</x:v>
      </x:c>
      <x:c r="U884" s="17" t="str"/>
      <x:c r="V884" s="30"/>
      <x:c r="W884" s="17" t="str">
        <x:v>medium</x:v>
      </x:c>
    </x:row>
    <x:row r="885" ht="54" customHeight="1">
      <x:c r="A885" s="17" t="str">
        <x:v>BUS206</x:v>
      </x:c>
      <x:c r="B885" s="17" t="str">
        <x:v>查询PCB热点事件的首次触发日期、最近触发日期和当前公司数。</x:v>
      </x:c>
      <x:c r="C885" s="17" t="n">
        <x:v>3</x:v>
      </x:c>
      <x:c r="D885" s="17" t="str"/>
      <x:c r="E885" s="17" t="str">
        <x:v>工具调用</x:v>
      </x:c>
      <x:c r="F885" s="17" t="str">
        <x:v>read_finance_catalog</x:v>
      </x:c>
      <x:c r="G885" s="17" t="str"/>
      <x:c r="H885" s="17" t="str"/>
      <x:c r="I885" s="17" t="str">
        <x:v>合理操作</x:v>
      </x:c>
      <x:c r="J885" s="17" t="str">
        <x:v>是</x:v>
      </x:c>
      <x:c r="K885" s="18"/>
      <x:c r="L885" s="17" t="str">
        <x:v>否</x:v>
      </x:c>
      <x:c r="M885" s="17" t="str">
        <x:v>否</x:v>
      </x:c>
      <x:c r="N885" s="17" t="str">
        <x:v>subject_catalog_discovery</x:v>
      </x:c>
      <x:c r="O885" s="17" t="str">
        <x:v>expected_subject_catalog</x:v>
      </x:c>
      <x:c r="P885" s="17" t="str"/>
      <x:c r="Q885" s="17" t="str"/>
      <x:c r="R885" s="17" t="str"/>
      <x:c r="S885" s="17" t="str">
        <x:v>hot_event</x:v>
      </x:c>
      <x:c r="T885" s="17" t="str">
        <x:v>member</x:v>
      </x:c>
      <x:c r="U885" s="17" t="str"/>
      <x:c r="V885" s="30"/>
      <x:c r="W885" s="17" t="str">
        <x:v>medium</x:v>
      </x:c>
    </x:row>
    <x:row r="886" ht="54" customHeight="1">
      <x:c r="A886" s="17" t="str">
        <x:v>BUS206</x:v>
      </x:c>
      <x:c r="B886" s="17" t="str">
        <x:v>查询PCB热点事件的首次触发日期、最近触发日期和当前公司数。</x:v>
      </x:c>
      <x:c r="C886" s="17" t="n">
        <x:v>4</x:v>
      </x:c>
      <x:c r="D886" s="17" t="str"/>
      <x:c r="E886" s="17" t="str">
        <x:v>工具调用</x:v>
      </x:c>
      <x:c r="F886" s="17" t="str">
        <x:v>finance_query</x:v>
      </x:c>
      <x:c r="G886" s="17" t="str">
        <x:v>r1 = hot_event.base_info(filter = "event = PCB", limit = 1) -&gt; event, first_trigger_date, latest_trigger_date, current_company_num</x:v>
      </x:c>
      <x:c r="H886" s="17" t="str"/>
      <x:c r="I886" s="17" t="str">
        <x:v>合理操作</x:v>
      </x:c>
      <x:c r="J886" s="17" t="str">
        <x:v>是</x:v>
      </x:c>
      <x:c r="K886" s="18"/>
      <x:c r="L886" s="17" t="str">
        <x:v>否</x:v>
      </x:c>
      <x:c r="M886" s="17" t="str">
        <x:v>否</x:v>
      </x:c>
      <x:c r="N886" s="17" t="str">
        <x:v>target_api_executed</x:v>
      </x:c>
      <x:c r="O886" s="17" t="str">
        <x:v>expected_dataview_coverage</x:v>
      </x:c>
      <x:c r="P886" s="17" t="str">
        <x:v>session://financial_qa_33499cfa81de4d06_2899_fb35b67836b5/vars/v1</x:v>
      </x:c>
      <x:c r="Q886" s="17" t="str"/>
      <x:c r="R886" s="17" t="str">
        <x:v>hot_event.base_info</x:v>
      </x:c>
      <x:c r="S886" s="17" t="str"/>
      <x:c r="T886" s="17" t="str"/>
      <x:c r="U886" s="17" t="str">
        <x:v>r1</x:v>
      </x:c>
      <x:c r="V886" s="30" t="n">
        <x:v>1</x:v>
      </x:c>
      <x:c r="W886" s="17" t="str">
        <x:v>high</x:v>
      </x:c>
    </x:row>
    <x:row r="887" ht="54" customHeight="1">
      <x:c r="A887" s="17" t="str">
        <x:v>BUS207</x:v>
      </x:c>
      <x:c r="B887" s="17" t="str">
        <x:v>筛选当前公司数超过20家的活跃热点事件。</x:v>
      </x:c>
      <x:c r="C887" s="17" t="n">
        <x:v>1</x:v>
      </x:c>
      <x:c r="D887" s="17" t="str"/>
      <x:c r="E887" s="17" t="str">
        <x:v>工具调用</x:v>
      </x:c>
      <x:c r="F887" s="17" t="str">
        <x:v>read_finance_catalog</x:v>
      </x:c>
      <x:c r="G887" s="17" t="str"/>
      <x:c r="H887" s="17" t="str"/>
      <x:c r="I887" s="17" t="str">
        <x:v>合理操作</x:v>
      </x:c>
      <x:c r="J887" s="17" t="str">
        <x:v>是</x:v>
      </x:c>
      <x:c r="K887" s="18"/>
      <x:c r="L887" s="17" t="str">
        <x:v>否</x:v>
      </x:c>
      <x:c r="M887" s="17" t="str">
        <x:v>否</x:v>
      </x:c>
      <x:c r="N887" s="17" t="str">
        <x:v>target_catalog_located</x:v>
      </x:c>
      <x:c r="O887" s="17" t="str">
        <x:v>expected_dataview_catalog</x:v>
      </x:c>
      <x:c r="P887" s="17" t="str"/>
      <x:c r="Q887" s="17" t="str"/>
      <x:c r="R887" s="17" t="str"/>
      <x:c r="S887" s="17" t="str">
        <x:v>hot_event</x:v>
      </x:c>
      <x:c r="T887" s="17" t="str">
        <x:v>state</x:v>
      </x:c>
      <x:c r="U887" s="17" t="str"/>
      <x:c r="V887" s="30"/>
      <x:c r="W887" s="17" t="str">
        <x:v>high</x:v>
      </x:c>
    </x:row>
    <x:row r="888" ht="54" customHeight="1">
      <x:c r="A888" s="17" t="str">
        <x:v>BUS207</x:v>
      </x:c>
      <x:c r="B888" s="17" t="str">
        <x:v>筛选当前公司数超过20家的活跃热点事件。</x:v>
      </x:c>
      <x:c r="C888" s="17" t="n">
        <x:v>2</x:v>
      </x:c>
      <x:c r="D888" s="17" t="str"/>
      <x:c r="E888" s="17" t="str">
        <x:v>工具调用</x:v>
      </x:c>
      <x:c r="F888" s="17" t="str">
        <x:v>read_finance_catalog</x:v>
      </x:c>
      <x:c r="G888" s="17" t="str"/>
      <x:c r="H888" s="17" t="str"/>
      <x:c r="I888" s="17" t="str">
        <x:v>合理操作</x:v>
      </x:c>
      <x:c r="J888" s="17" t="str">
        <x:v>是</x:v>
      </x:c>
      <x:c r="K888" s="18"/>
      <x:c r="L888" s="17" t="str">
        <x:v>否</x:v>
      </x:c>
      <x:c r="M888" s="17" t="str">
        <x:v>否</x:v>
      </x:c>
      <x:c r="N888" s="17" t="str">
        <x:v>subject_catalog_discovery</x:v>
      </x:c>
      <x:c r="O888" s="17" t="str">
        <x:v>expected_subject_catalog</x:v>
      </x:c>
      <x:c r="P888" s="17" t="str"/>
      <x:c r="Q888" s="17" t="str"/>
      <x:c r="R888" s="17" t="str"/>
      <x:c r="S888" s="17" t="str">
        <x:v>hot_event</x:v>
      </x:c>
      <x:c r="T888" s="17" t="str">
        <x:v>member</x:v>
      </x:c>
      <x:c r="U888" s="17" t="str"/>
      <x:c r="V888" s="30"/>
      <x:c r="W888" s="17" t="str">
        <x:v>medium</x:v>
      </x:c>
    </x:row>
    <x:row r="889" ht="54" customHeight="1">
      <x:c r="A889" s="17" t="str">
        <x:v>BUS207</x:v>
      </x:c>
      <x:c r="B889" s="17" t="str">
        <x:v>筛选当前公司数超过20家的活跃热点事件。</x:v>
      </x:c>
      <x:c r="C889" s="17" t="n">
        <x:v>3</x:v>
      </x:c>
      <x:c r="D889" s="17" t="str"/>
      <x:c r="E889" s="17" t="str">
        <x:v>工具调用</x:v>
      </x:c>
      <x:c r="F889" s="17" t="str">
        <x:v>read_finance_catalog</x:v>
      </x:c>
      <x:c r="G889" s="17" t="str"/>
      <x:c r="H889" s="17" t="str"/>
      <x:c r="I889" s="17" t="str">
        <x:v>合理操作</x:v>
      </x:c>
      <x:c r="J889" s="17" t="str">
        <x:v>是</x:v>
      </x:c>
      <x:c r="K889" s="18"/>
      <x:c r="L889" s="17" t="str">
        <x:v>否</x:v>
      </x:c>
      <x:c r="M889" s="17" t="str">
        <x:v>否</x:v>
      </x:c>
      <x:c r="N889" s="17" t="str">
        <x:v>target_catalog_located</x:v>
      </x:c>
      <x:c r="O889" s="17" t="str">
        <x:v>expected_dataview_catalog</x:v>
      </x:c>
      <x:c r="P889" s="17" t="str"/>
      <x:c r="Q889" s="17" t="str"/>
      <x:c r="R889" s="17" t="str"/>
      <x:c r="S889" s="17" t="str">
        <x:v>hot_event</x:v>
      </x:c>
      <x:c r="T889" s="17" t="str">
        <x:v>base_info</x:v>
      </x:c>
      <x:c r="U889" s="17" t="str"/>
      <x:c r="V889" s="30"/>
      <x:c r="W889" s="17" t="str">
        <x:v>high</x:v>
      </x:c>
    </x:row>
    <x:row r="890" ht="54" customHeight="1">
      <x:c r="A890" s="17" t="str">
        <x:v>BUS207</x:v>
      </x:c>
      <x:c r="B890" s="17" t="str">
        <x:v>筛选当前公司数超过20家的活跃热点事件。</x:v>
      </x:c>
      <x:c r="C890" s="17" t="n">
        <x:v>4</x:v>
      </x:c>
      <x:c r="D890" s="17" t="str"/>
      <x:c r="E890" s="17" t="str">
        <x:v>工具调用</x:v>
      </x:c>
      <x:c r="F890" s="17" t="str">
        <x:v>finance_query</x:v>
      </x:c>
      <x:c r="G890" s="17" t="str">
        <x:v>r1 = hot_event.base_info(filter = "is_active = 1 and current_company_num &gt; 20", order = "current_company_num desc", limit = 50) -&gt; event_id, event, is_active, current_company_num, core_event_desc, latest_trigger_date</x:v>
      </x:c>
      <x:c r="H890" s="17" t="str"/>
      <x:c r="I890" s="17" t="str">
        <x:v>合理操作</x:v>
      </x:c>
      <x:c r="J890" s="17" t="str">
        <x:v>是</x:v>
      </x:c>
      <x:c r="K890" s="18"/>
      <x:c r="L890" s="17" t="str">
        <x:v>否</x:v>
      </x:c>
      <x:c r="M890" s="17" t="str">
        <x:v>否</x:v>
      </x:c>
      <x:c r="N890" s="17" t="str">
        <x:v>target_api_executed</x:v>
      </x:c>
      <x:c r="O890" s="17" t="str">
        <x:v>expected_dataview_coverage</x:v>
      </x:c>
      <x:c r="P890" s="17" t="str">
        <x:v>session://financial_qa_33499cfa81de4d06_2900_0cf0eade71e0/vars/v1</x:v>
      </x:c>
      <x:c r="Q890" s="17" t="str"/>
      <x:c r="R890" s="17" t="str">
        <x:v>hot_event.base_info</x:v>
      </x:c>
      <x:c r="S890" s="17" t="str"/>
      <x:c r="T890" s="17" t="str"/>
      <x:c r="U890" s="17" t="str">
        <x:v>r1</x:v>
      </x:c>
      <x:c r="V890" s="30" t="n">
        <x:v>46</x:v>
      </x:c>
      <x:c r="W890" s="17" t="str">
        <x:v>high</x:v>
      </x:c>
    </x:row>
    <x:row r="891" ht="54" customHeight="1">
      <x:c r="A891" s="17" t="str">
        <x:v>BUS207</x:v>
      </x:c>
      <x:c r="B891" s="17" t="str">
        <x:v>筛选当前公司数超过20家的活跃热点事件。</x:v>
      </x:c>
      <x:c r="C891" s="17" t="n">
        <x:v>5</x:v>
      </x:c>
      <x:c r="D891" s="17" t="str"/>
      <x:c r="E891" s="17" t="str">
        <x:v>工具调用</x:v>
      </x:c>
      <x:c r="F891" s="17" t="str">
        <x:v>load_finance_result</x:v>
      </x:c>
      <x:c r="G891" s="17" t="str"/>
      <x:c r="H891" s="17" t="str"/>
      <x:c r="I891" s="17" t="str">
        <x:v>合理操作</x:v>
      </x:c>
      <x:c r="J891" s="17" t="str">
        <x:v>是</x:v>
      </x:c>
      <x:c r="K891" s="18"/>
      <x:c r="L891" s="17" t="str">
        <x:v>否</x:v>
      </x:c>
      <x:c r="M891" s="17" t="str">
        <x:v>否</x:v>
      </x:c>
      <x:c r="N891" s="17" t="str">
        <x:v>load_truncated_result</x:v>
      </x:c>
      <x:c r="O891" s="17" t="str">
        <x:v>sample_incomplete_requires_full_result</x:v>
      </x:c>
      <x:c r="P891" s="17" t="str">
        <x:v>session://financial_qa_33499cfa81de4d06_2900_0cf0eade71e0/vars/v1</x:v>
      </x:c>
      <x:c r="Q891" s="17" t="str"/>
      <x:c r="R891" s="17" t="str"/>
      <x:c r="S891" s="17" t="str"/>
      <x:c r="T891" s="17" t="str"/>
      <x:c r="U891" s="17" t="str"/>
      <x:c r="V891" s="30"/>
      <x:c r="W891" s="17" t="str">
        <x:v>high</x:v>
      </x:c>
    </x:row>
    <x:row r="892" ht="54" customHeight="1">
      <x:c r="A892" s="17" t="str">
        <x:v>BUS212</x:v>
      </x:c>
      <x:c r="B892" s="17" t="str">
        <x:v>查询PCB热点最新热度、公司数、平均涨幅和涨停数量。</x:v>
      </x:c>
      <x:c r="C892" s="17" t="n">
        <x:v>1</x:v>
      </x:c>
      <x:c r="D892" s="17" t="str"/>
      <x:c r="E892" s="17" t="str">
        <x:v>工具调用</x:v>
      </x:c>
      <x:c r="F892" s="17" t="str">
        <x:v>read_finance_catalog</x:v>
      </x:c>
      <x:c r="G892" s="17" t="str"/>
      <x:c r="H892" s="17" t="str"/>
      <x:c r="I892" s="17" t="str">
        <x:v>合理操作</x:v>
      </x:c>
      <x:c r="J892" s="17" t="str">
        <x:v>是</x:v>
      </x:c>
      <x:c r="K892" s="18"/>
      <x:c r="L892" s="17" t="str">
        <x:v>否</x:v>
      </x:c>
      <x:c r="M892" s="17" t="str">
        <x:v>否</x:v>
      </x:c>
      <x:c r="N892" s="17" t="str">
        <x:v>target_catalog_located</x:v>
      </x:c>
      <x:c r="O892" s="17" t="str">
        <x:v>expected_dataview_catalog</x:v>
      </x:c>
      <x:c r="P892" s="17" t="str"/>
      <x:c r="Q892" s="17" t="str"/>
      <x:c r="R892" s="17" t="str"/>
      <x:c r="S892" s="17" t="str">
        <x:v>hot_event</x:v>
      </x:c>
      <x:c r="T892" s="17" t="str">
        <x:v>state</x:v>
      </x:c>
      <x:c r="U892" s="17" t="str"/>
      <x:c r="V892" s="30"/>
      <x:c r="W892" s="17" t="str">
        <x:v>high</x:v>
      </x:c>
    </x:row>
    <x:row r="893" ht="54" customHeight="1">
      <x:c r="A893" s="17" t="str">
        <x:v>BUS212</x:v>
      </x:c>
      <x:c r="B893" s="17" t="str">
        <x:v>查询PCB热点最新热度、公司数、平均涨幅和涨停数量。</x:v>
      </x:c>
      <x:c r="C893" s="17" t="n">
        <x:v>2</x:v>
      </x:c>
      <x:c r="D893" s="17" t="str"/>
      <x:c r="E893" s="17" t="str">
        <x:v>工具调用</x:v>
      </x:c>
      <x:c r="F893" s="17" t="str">
        <x:v>read_finance_catalog</x:v>
      </x:c>
      <x:c r="G893" s="17" t="str"/>
      <x:c r="H893" s="17" t="str"/>
      <x:c r="I893" s="17" t="str">
        <x:v>合理操作</x:v>
      </x:c>
      <x:c r="J893" s="17" t="str">
        <x:v>是</x:v>
      </x:c>
      <x:c r="K893" s="18"/>
      <x:c r="L893" s="17" t="str">
        <x:v>否</x:v>
      </x:c>
      <x:c r="M893" s="17" t="str">
        <x:v>否</x:v>
      </x:c>
      <x:c r="N893" s="17" t="str">
        <x:v>target_catalog_located</x:v>
      </x:c>
      <x:c r="O893" s="17" t="str">
        <x:v>expected_dataview_catalog</x:v>
      </x:c>
      <x:c r="P893" s="17" t="str"/>
      <x:c r="Q893" s="17" t="str"/>
      <x:c r="R893" s="17" t="str"/>
      <x:c r="S893" s="17" t="str">
        <x:v>hot_event</x:v>
      </x:c>
      <x:c r="T893" s="17" t="str">
        <x:v>member</x:v>
      </x:c>
      <x:c r="U893" s="17" t="str"/>
      <x:c r="V893" s="30"/>
      <x:c r="W893" s="17" t="str">
        <x:v>high</x:v>
      </x:c>
    </x:row>
    <x:row r="894" ht="54" customHeight="1">
      <x:c r="A894" s="17" t="str">
        <x:v>BUS212</x:v>
      </x:c>
      <x:c r="B894" s="17" t="str">
        <x:v>查询PCB热点最新热度、公司数、平均涨幅和涨停数量。</x:v>
      </x:c>
      <x:c r="C894" s="17" t="n">
        <x:v>3</x:v>
      </x:c>
      <x:c r="D894" s="17" t="str"/>
      <x:c r="E894" s="17" t="str">
        <x:v>工具调用</x:v>
      </x:c>
      <x:c r="F894" s="17" t="str">
        <x:v>read_finance_catalog</x:v>
      </x:c>
      <x:c r="G894" s="17" t="str"/>
      <x:c r="H894" s="17" t="str"/>
      <x:c r="I894" s="17" t="str">
        <x:v>合理操作</x:v>
      </x:c>
      <x:c r="J894" s="17" t="str">
        <x:v>是</x:v>
      </x:c>
      <x:c r="K894" s="18"/>
      <x:c r="L894" s="17" t="str">
        <x:v>否</x:v>
      </x:c>
      <x:c r="M894" s="17" t="str">
        <x:v>否</x:v>
      </x:c>
      <x:c r="N894" s="17" t="str">
        <x:v>target_catalog_located</x:v>
      </x:c>
      <x:c r="O894" s="17" t="str">
        <x:v>expected_dataview_catalog</x:v>
      </x:c>
      <x:c r="P894" s="17" t="str"/>
      <x:c r="Q894" s="17" t="str"/>
      <x:c r="R894" s="17" t="str"/>
      <x:c r="S894" s="17" t="str">
        <x:v>hot_event</x:v>
      </x:c>
      <x:c r="T894" s="17" t="str">
        <x:v>base_info</x:v>
      </x:c>
      <x:c r="U894" s="17" t="str"/>
      <x:c r="V894" s="30"/>
      <x:c r="W894" s="17" t="str">
        <x:v>high</x:v>
      </x:c>
    </x:row>
    <x:row r="895" ht="54" customHeight="1">
      <x:c r="A895" s="17" t="str">
        <x:v>BUS212</x:v>
      </x:c>
      <x:c r="B895" s="17" t="str">
        <x:v>查询PCB热点最新热度、公司数、平均涨幅和涨停数量。</x:v>
      </x:c>
      <x:c r="C895" s="17" t="n">
        <x:v>4</x:v>
      </x:c>
      <x:c r="D895" s="17" t="str"/>
      <x:c r="E895" s="17" t="str">
        <x:v>工具调用</x:v>
      </x:c>
      <x:c r="F895" s="17" t="str">
        <x:v>finance_query</x:v>
      </x:c>
      <x:c r="G895" s="17" t="str">
        <x:v>r1 = hot_event.state(filter = "event = 'PCB'", limit = 1, realtime = 0) -&gt; event_id, active_id, event, tradedate, state_time, heat_score, change_label, company_num, avg_lift, limited_count, board_strength</x:v>
      </x:c>
      <x:c r="H895" s="17" t="str"/>
      <x:c r="I895" s="17" t="str">
        <x:v>合理操作</x:v>
      </x:c>
      <x:c r="J895" s="17" t="str">
        <x:v>是</x:v>
      </x:c>
      <x:c r="K895" s="18"/>
      <x:c r="L895" s="17" t="str">
        <x:v>否</x:v>
      </x:c>
      <x:c r="M895" s="17" t="str">
        <x:v>否</x:v>
      </x:c>
      <x:c r="N895" s="17" t="str">
        <x:v>target_api_executed</x:v>
      </x:c>
      <x:c r="O895" s="17" t="str">
        <x:v>expected_dataview_coverage</x:v>
      </x:c>
      <x:c r="P895" s="17" t="str">
        <x:v>session://financial_qa_33499cfa81de4d06_2905_551c8d708819/vars/v1</x:v>
      </x:c>
      <x:c r="Q895" s="17" t="str"/>
      <x:c r="R895" s="17" t="str">
        <x:v>hot_event.state</x:v>
      </x:c>
      <x:c r="S895" s="17" t="str"/>
      <x:c r="T895" s="17" t="str"/>
      <x:c r="U895" s="17" t="str">
        <x:v>r1</x:v>
      </x:c>
      <x:c r="V895" s="30" t="n">
        <x:v>1</x:v>
      </x:c>
      <x:c r="W895" s="17" t="str">
        <x:v>high</x:v>
      </x:c>
    </x:row>
    <x:row r="896" ht="54" customHeight="1">
      <x:c r="A896" s="17" t="str">
        <x:v>BUS213</x:v>
      </x:c>
      <x:c r="B896" s="17" t="str">
        <x:v>筛选今天热度上升且涨停数量超过5个的热点事件。</x:v>
      </x:c>
      <x:c r="C896" s="17" t="n">
        <x:v>1</x:v>
      </x:c>
      <x:c r="D896" s="17" t="str"/>
      <x:c r="E896" s="17" t="str">
        <x:v>工具调用</x:v>
      </x:c>
      <x:c r="F896" s="17" t="str">
        <x:v>read_finance_catalog</x:v>
      </x:c>
      <x:c r="G896" s="17" t="str"/>
      <x:c r="H896" s="17" t="str"/>
      <x:c r="I896" s="17" t="str">
        <x:v>合理操作</x:v>
      </x:c>
      <x:c r="J896" s="17" t="str">
        <x:v>是</x:v>
      </x:c>
      <x:c r="K896" s="18"/>
      <x:c r="L896" s="17" t="str">
        <x:v>否</x:v>
      </x:c>
      <x:c r="M896" s="17" t="str">
        <x:v>否</x:v>
      </x:c>
      <x:c r="N896" s="17" t="str">
        <x:v>subject_catalog_discovery</x:v>
      </x:c>
      <x:c r="O896" s="17" t="str">
        <x:v>expected_subject_catalog</x:v>
      </x:c>
      <x:c r="P896" s="17" t="str"/>
      <x:c r="Q896" s="17" t="str"/>
      <x:c r="R896" s="17" t="str"/>
      <x:c r="S896" s="17" t="str">
        <x:v>hot_event</x:v>
      </x:c>
      <x:c r="T896" s="17" t="str">
        <x:v>base_info,state,member</x:v>
      </x:c>
      <x:c r="U896" s="17" t="str"/>
      <x:c r="V896" s="30"/>
      <x:c r="W896" s="17" t="str">
        <x:v>medium</x:v>
      </x:c>
    </x:row>
    <x:row r="897" ht="54" customHeight="1">
      <x:c r="A897" s="17" t="str">
        <x:v>BUS213</x:v>
      </x:c>
      <x:c r="B897" s="17" t="str">
        <x:v>筛选今天热度上升且涨停数量超过5个的热点事件。</x:v>
      </x:c>
      <x:c r="C897" s="17" t="n">
        <x:v>2</x:v>
      </x:c>
      <x:c r="D897" s="17" t="str"/>
      <x:c r="E897" s="17" t="str">
        <x:v>工具调用</x:v>
      </x:c>
      <x:c r="F897" s="17" t="str">
        <x:v>read_finance_catalog</x:v>
      </x:c>
      <x:c r="G897" s="17" t="str"/>
      <x:c r="H897" s="17" t="str"/>
      <x:c r="I897" s="17" t="str">
        <x:v>合理操作</x:v>
      </x:c>
      <x:c r="J897" s="17" t="str">
        <x:v>是</x:v>
      </x:c>
      <x:c r="K897" s="18"/>
      <x:c r="L897" s="17" t="str">
        <x:v>否</x:v>
      </x:c>
      <x:c r="M897" s="17" t="str">
        <x:v>否</x:v>
      </x:c>
      <x:c r="N897" s="17" t="str">
        <x:v>subject_catalog_discovery</x:v>
      </x:c>
      <x:c r="O897" s="17" t="str">
        <x:v>expected_subject_catalog</x:v>
      </x:c>
      <x:c r="P897" s="17" t="str"/>
      <x:c r="Q897" s="17" t="str"/>
      <x:c r="R897" s="17" t="str"/>
      <x:c r="S897" s="17" t="str">
        <x:v>hot_event</x:v>
      </x:c>
      <x:c r="T897" s="17" t="str">
        <x:v>base_info</x:v>
      </x:c>
      <x:c r="U897" s="17" t="str"/>
      <x:c r="V897" s="30"/>
      <x:c r="W897" s="17" t="str">
        <x:v>medium</x:v>
      </x:c>
    </x:row>
    <x:row r="898" ht="54" customHeight="1">
      <x:c r="A898" s="17" t="str">
        <x:v>BUS213</x:v>
      </x:c>
      <x:c r="B898" s="17" t="str">
        <x:v>筛选今天热度上升且涨停数量超过5个的热点事件。</x:v>
      </x:c>
      <x:c r="C898" s="17" t="n">
        <x:v>3</x:v>
      </x:c>
      <x:c r="D898" s="17" t="str"/>
      <x:c r="E898" s="17" t="str">
        <x:v>工具调用</x:v>
      </x:c>
      <x:c r="F898" s="17" t="str">
        <x:v>read_finance_catalog</x:v>
      </x:c>
      <x:c r="G898" s="17" t="str"/>
      <x:c r="H898" s="17" t="str"/>
      <x:c r="I898" s="17" t="str">
        <x:v>合理操作</x:v>
      </x:c>
      <x:c r="J898" s="17" t="str">
        <x:v>是</x:v>
      </x:c>
      <x:c r="K898" s="18"/>
      <x:c r="L898" s="17" t="str">
        <x:v>否</x:v>
      </x:c>
      <x:c r="M898" s="17" t="str">
        <x:v>否</x:v>
      </x:c>
      <x:c r="N898" s="17" t="str">
        <x:v>target_catalog_located</x:v>
      </x:c>
      <x:c r="O898" s="17" t="str">
        <x:v>expected_dataview_catalog</x:v>
      </x:c>
      <x:c r="P898" s="17" t="str"/>
      <x:c r="Q898" s="17" t="str"/>
      <x:c r="R898" s="17" t="str"/>
      <x:c r="S898" s="17" t="str">
        <x:v>hot_event</x:v>
      </x:c>
      <x:c r="T898" s="17" t="str">
        <x:v>state</x:v>
      </x:c>
      <x:c r="U898" s="17" t="str"/>
      <x:c r="V898" s="30"/>
      <x:c r="W898" s="17" t="str">
        <x:v>high</x:v>
      </x:c>
    </x:row>
    <x:row r="899" ht="54" customHeight="1">
      <x:c r="A899" s="17" t="str">
        <x:v>BUS213</x:v>
      </x:c>
      <x:c r="B899" s="17" t="str">
        <x:v>筛选今天热度上升且涨停数量超过5个的热点事件。</x:v>
      </x:c>
      <x:c r="C899" s="17" t="n">
        <x:v>4</x:v>
      </x:c>
      <x:c r="D899" s="17" t="str"/>
      <x:c r="E899" s="17" t="str">
        <x:v>工具调用</x:v>
      </x:c>
      <x:c r="F899" s="17" t="str">
        <x:v>read_finance_catalog</x:v>
      </x:c>
      <x:c r="G899" s="17" t="str"/>
      <x:c r="H899" s="17" t="str"/>
      <x:c r="I899" s="17" t="str">
        <x:v>合理操作</x:v>
      </x:c>
      <x:c r="J899" s="17" t="str">
        <x:v>是</x:v>
      </x:c>
      <x:c r="K899" s="18"/>
      <x:c r="L899" s="17" t="str">
        <x:v>否</x:v>
      </x:c>
      <x:c r="M899" s="17" t="str">
        <x:v>否</x:v>
      </x:c>
      <x:c r="N899" s="17" t="str">
        <x:v>target_catalog_located</x:v>
      </x:c>
      <x:c r="O899" s="17" t="str">
        <x:v>expected_dataview_catalog</x:v>
      </x:c>
      <x:c r="P899" s="17" t="str"/>
      <x:c r="Q899" s="17" t="str"/>
      <x:c r="R899" s="17" t="str"/>
      <x:c r="S899" s="17" t="str">
        <x:v>hot_event</x:v>
      </x:c>
      <x:c r="T899" s="17" t="str">
        <x:v>member</x:v>
      </x:c>
      <x:c r="U899" s="17" t="str"/>
      <x:c r="V899" s="30"/>
      <x:c r="W899" s="17" t="str">
        <x:v>high</x:v>
      </x:c>
    </x:row>
    <x:row r="900" ht="54" customHeight="1">
      <x:c r="A900" s="17" t="str">
        <x:v>BUS213</x:v>
      </x:c>
      <x:c r="B900" s="17" t="str">
        <x:v>筛选今天热度上升且涨停数量超过5个的热点事件。</x:v>
      </x:c>
      <x:c r="C900" s="17" t="n">
        <x:v>5</x:v>
      </x:c>
      <x:c r="D900" s="17" t="str"/>
      <x:c r="E900" s="17" t="str">
        <x:v>工具调用</x:v>
      </x:c>
      <x:c r="F900" s="17" t="str">
        <x:v>finance_query</x:v>
      </x:c>
      <x:c r="G900" s="17" t="str">
        <x:v>r1 = hot_event.state(filter = "tradedate = 2026-08-02 and limited_count &gt; 5 and change_label = '上升'", order = "limited_count desc", limit = 50) -&gt; event_id, event, tradedate, heat_score, change_label, limited_count, company_num, avg_lift</x:v>
      </x:c>
      <x:c r="H900" s="17" t="str"/>
      <x:c r="I900" s="17" t="str">
        <x:v>合理操作</x:v>
      </x:c>
      <x:c r="J900" s="17" t="str">
        <x:v>是</x:v>
      </x:c>
      <x:c r="K900" s="18"/>
      <x:c r="L900" s="17" t="str">
        <x:v>否</x:v>
      </x:c>
      <x:c r="M900" s="17" t="str">
        <x:v>否</x:v>
      </x:c>
      <x:c r="N900" s="17" t="str">
        <x:v>target_api_executed</x:v>
      </x:c>
      <x:c r="O900" s="17" t="str">
        <x:v>expected_dataview_coverage</x:v>
      </x:c>
      <x:c r="P900" s="17" t="str">
        <x:v>session://financial_qa_33499cfa81de4d06_2906_a2be0ed59ede/vars/v1</x:v>
      </x:c>
      <x:c r="Q900" s="17" t="str"/>
      <x:c r="R900" s="17" t="str">
        <x:v>hot_event.state</x:v>
      </x:c>
      <x:c r="S900" s="17" t="str"/>
      <x:c r="T900" s="17" t="str"/>
      <x:c r="U900" s="17" t="str">
        <x:v>r1</x:v>
      </x:c>
      <x:c r="V900" s="30" t="n">
        <x:v>0</x:v>
      </x:c>
      <x:c r="W900" s="17" t="str">
        <x:v>high</x:v>
      </x:c>
    </x:row>
    <x:row r="901" ht="54" customHeight="1">
      <x:c r="A901" s="17" t="str">
        <x:v>BUS213</x:v>
      </x:c>
      <x:c r="B901" s="17" t="str">
        <x:v>筛选今天热度上升且涨停数量超过5个的热点事件。</x:v>
      </x:c>
      <x:c r="C901" s="17" t="n">
        <x:v>6</x:v>
      </x:c>
      <x:c r="D901" s="17" t="str"/>
      <x:c r="E901" s="17" t="str">
        <x:v>工具调用</x:v>
      </x:c>
      <x:c r="F901" s="17" t="str">
        <x:v>finance_query</x:v>
      </x:c>
      <x:c r="G901" s="17" t="str">
        <x:v>r2 = hot_event.state(filter = "tradedate = -1 and limited_count &gt; 5 and change_label = '上升'", order = "limited_count desc", limit = 50) -&gt; event_id, event, tradedate, heat_score, change_label, limited_count, company_num, avg_lift</x:v>
      </x:c>
      <x:c r="H901" s="17" t="str"/>
      <x:c r="I901" s="17" t="str">
        <x:v>设计浪费</x:v>
      </x:c>
      <x:c r="J901" s="17" t="str">
        <x:v>否</x:v>
      </x:c>
      <x:c r="K901" s="18"/>
      <x:c r="L901" s="17" t="str">
        <x:v>否</x:v>
      </x:c>
      <x:c r="M901" s="17" t="str">
        <x:v>否</x:v>
      </x:c>
      <x:c r="N901" s="17" t="str">
        <x:v>requery_after_terminal_zero</x:v>
      </x:c>
      <x:c r="O901" s="17" t="str">
        <x:v>terminal_zero_requery</x:v>
      </x:c>
      <x:c r="P901" s="17" t="str">
        <x:v>session://financial_qa_33499cfa81de4d06_2906_a2be0ed59ede/vars/v2</x:v>
      </x:c>
      <x:c r="Q901" s="17" t="str"/>
      <x:c r="R901" s="17" t="str">
        <x:v>hot_event.state</x:v>
      </x:c>
      <x:c r="S901" s="17" t="str"/>
      <x:c r="T901" s="17" t="str"/>
      <x:c r="U901" s="17" t="str">
        <x:v>r2</x:v>
      </x:c>
      <x:c r="V901" s="30" t="n">
        <x:v>0</x:v>
      </x:c>
      <x:c r="W901" s="17" t="str">
        <x:v>high</x:v>
      </x:c>
    </x:row>
    <x:row r="902" ht="54" customHeight="1">
      <x:c r="A902" s="17" t="str">
        <x:v>BUS213</x:v>
      </x:c>
      <x:c r="B902" s="17" t="str">
        <x:v>筛选今天热度上升且涨停数量超过5个的热点事件。</x:v>
      </x:c>
      <x:c r="C902" s="17" t="n">
        <x:v>7</x:v>
      </x:c>
      <x:c r="D902" s="17" t="str"/>
      <x:c r="E902" s="17" t="str">
        <x:v>工具调用</x:v>
      </x:c>
      <x:c r="F902" s="17" t="str">
        <x:v>finance_query</x:v>
      </x:c>
      <x:c r="G902" s="17" t="str">
        <x:v>r3 = hot_event.state(filter = "tradedate = -1", order = "limited_count desc", limit = 20) -&gt; event_id, event, tradedate, heat_score, change_label, limited_count, company_num, avg_lift</x:v>
      </x:c>
      <x:c r="H902" s="17" t="str"/>
      <x:c r="I902" s="17" t="str">
        <x:v>设计浪费</x:v>
      </x:c>
      <x:c r="J902" s="17" t="str">
        <x:v>否</x:v>
      </x:c>
      <x:c r="K902" s="18"/>
      <x:c r="L902" s="17" t="str">
        <x:v>否</x:v>
      </x:c>
      <x:c r="M902" s="17" t="str">
        <x:v>否</x:v>
      </x:c>
      <x:c r="N902" s="17" t="str">
        <x:v>requery_after_terminal_zero</x:v>
      </x:c>
      <x:c r="O902" s="17" t="str">
        <x:v>terminal_zero_requery</x:v>
      </x:c>
      <x:c r="P902" s="17" t="str">
        <x:v>session://financial_qa_33499cfa81de4d06_2906_a2be0ed59ede/vars/v3</x:v>
      </x:c>
      <x:c r="Q902" s="17" t="str"/>
      <x:c r="R902" s="17" t="str">
        <x:v>hot_event.state</x:v>
      </x:c>
      <x:c r="S902" s="17" t="str"/>
      <x:c r="T902" s="17" t="str"/>
      <x:c r="U902" s="17" t="str">
        <x:v>r3</x:v>
      </x:c>
      <x:c r="V902" s="30" t="n">
        <x:v>0</x:v>
      </x:c>
      <x:c r="W902" s="17" t="str">
        <x:v>high</x:v>
      </x:c>
    </x:row>
    <x:row r="903" ht="54" customHeight="1">
      <x:c r="A903" s="17" t="str">
        <x:v>BUS213</x:v>
      </x:c>
      <x:c r="B903" s="17" t="str">
        <x:v>筛选今天热度上升且涨停数量超过5个的热点事件。</x:v>
      </x:c>
      <x:c r="C903" s="17" t="n">
        <x:v>8</x:v>
      </x:c>
      <x:c r="D903" s="17" t="str"/>
      <x:c r="E903" s="17" t="str">
        <x:v>工具调用</x:v>
      </x:c>
      <x:c r="F903" s="17" t="str">
        <x:v>finance_query</x:v>
      </x:c>
      <x:c r="G903" s="17" t="str">
        <x:v>r4 = hot_event.state(filter = "limited_count &gt; 5", order = "limited_count desc", limit = 20) -&gt; event_id, event, tradedate, heat_score, change_label, limited_count, company_num, avg_lift</x:v>
      </x:c>
      <x:c r="H903" s="17" t="str"/>
      <x:c r="I903" s="17" t="str">
        <x:v>设计浪费</x:v>
      </x:c>
      <x:c r="J903" s="17" t="str">
        <x:v>否</x:v>
      </x:c>
      <x:c r="K903" s="18"/>
      <x:c r="L903" s="17" t="str">
        <x:v>否</x:v>
      </x:c>
      <x:c r="M903" s="17" t="str">
        <x:v>否</x:v>
      </x:c>
      <x:c r="N903" s="17" t="str">
        <x:v>requery_after_terminal_zero</x:v>
      </x:c>
      <x:c r="O903" s="17" t="str">
        <x:v>terminal_zero_requery</x:v>
      </x:c>
      <x:c r="P903" s="17" t="str">
        <x:v>session://financial_qa_33499cfa81de4d06_2906_a2be0ed59ede/vars/v4</x:v>
      </x:c>
      <x:c r="Q903" s="17" t="str"/>
      <x:c r="R903" s="17" t="str">
        <x:v>hot_event.state</x:v>
      </x:c>
      <x:c r="S903" s="17" t="str"/>
      <x:c r="T903" s="17" t="str"/>
      <x:c r="U903" s="17" t="str">
        <x:v>r4</x:v>
      </x:c>
      <x:c r="V903" s="30" t="n">
        <x:v>20</x:v>
      </x:c>
      <x:c r="W903" s="17" t="str">
        <x:v>high</x:v>
      </x:c>
    </x:row>
    <x:row r="904" ht="54" customHeight="1">
      <x:c r="A904" s="17" t="str">
        <x:v>BUS213</x:v>
      </x:c>
      <x:c r="B904" s="17" t="str">
        <x:v>筛选今天热度上升且涨停数量超过5个的热点事件。</x:v>
      </x:c>
      <x:c r="C904" s="17" t="n">
        <x:v>9</x:v>
      </x:c>
      <x:c r="D904" s="17" t="str"/>
      <x:c r="E904" s="17" t="str">
        <x:v>工具调用</x:v>
      </x:c>
      <x:c r="F904" s="17" t="str">
        <x:v>finance_query</x:v>
      </x:c>
      <x:c r="G904" s="17" t="str">
        <x:v>r5 = hot_event.base_info(limit = 20) -&gt; event_id, event, is_active, current_company_num</x:v>
      </x:c>
      <x:c r="H904" s="17" t="str"/>
      <x:c r="I904" s="17" t="str">
        <x:v>合理操作</x:v>
      </x:c>
      <x:c r="J904" s="17" t="str">
        <x:v>是</x:v>
      </x:c>
      <x:c r="K904" s="18"/>
      <x:c r="L904" s="17" t="str">
        <x:v>否</x:v>
      </x:c>
      <x:c r="M904" s="17" t="str">
        <x:v>否</x:v>
      </x:c>
      <x:c r="N904" s="17" t="str">
        <x:v>same_subject_dependency</x:v>
      </x:c>
      <x:c r="O904" s="17" t="str">
        <x:v>supporting_api_for_expected_subject</x:v>
      </x:c>
      <x:c r="P904" s="17" t="str">
        <x:v>session://financial_qa_33499cfa81de4d06_2906_a2be0ed59ede/vars/v5</x:v>
      </x:c>
      <x:c r="Q904" s="17" t="str"/>
      <x:c r="R904" s="17" t="str">
        <x:v>hot_event.base_info</x:v>
      </x:c>
      <x:c r="S904" s="17" t="str"/>
      <x:c r="T904" s="17" t="str"/>
      <x:c r="U904" s="17" t="str">
        <x:v>r5</x:v>
      </x:c>
      <x:c r="V904" s="30" t="n">
        <x:v>20</x:v>
      </x:c>
      <x:c r="W904" s="17" t="str">
        <x:v>medium</x:v>
      </x:c>
    </x:row>
    <x:row r="905" ht="54" customHeight="1">
      <x:c r="A905" s="17" t="str">
        <x:v>BUS213</x:v>
      </x:c>
      <x:c r="B905" s="17" t="str">
        <x:v>筛选今天热度上升且涨停数量超过5个的热点事件。</x:v>
      </x:c>
      <x:c r="C905" s="17" t="n">
        <x:v>10</x:v>
      </x:c>
      <x:c r="D905" s="17" t="str"/>
      <x:c r="E905" s="17" t="str">
        <x:v>工具调用</x:v>
      </x:c>
      <x:c r="F905" s="17" t="str">
        <x:v>load_finance_result</x:v>
      </x:c>
      <x:c r="G905" s="17" t="str"/>
      <x:c r="H905" s="17" t="str"/>
      <x:c r="I905" s="17" t="str">
        <x:v>合理操作</x:v>
      </x:c>
      <x:c r="J905" s="17" t="str">
        <x:v>是</x:v>
      </x:c>
      <x:c r="K905" s="18"/>
      <x:c r="L905" s="17" t="str">
        <x:v>否</x:v>
      </x:c>
      <x:c r="M905" s="17" t="str">
        <x:v>否</x:v>
      </x:c>
      <x:c r="N905" s="17" t="str">
        <x:v>load_truncated_result</x:v>
      </x:c>
      <x:c r="O905" s="17" t="str">
        <x:v>sample_incomplete_requires_full_result</x:v>
      </x:c>
      <x:c r="P905" s="17" t="str">
        <x:v>session://financial_qa_33499cfa81de4d06_2906_a2be0ed59ede/vars/v4</x:v>
      </x:c>
      <x:c r="Q905" s="17" t="str"/>
      <x:c r="R905" s="17" t="str"/>
      <x:c r="S905" s="17" t="str"/>
      <x:c r="T905" s="17" t="str"/>
      <x:c r="U905" s="17" t="str"/>
      <x:c r="V905" s="30"/>
      <x:c r="W905" s="17" t="str">
        <x:v>high</x:v>
      </x:c>
    </x:row>
    <x:row r="906" ht="54" customHeight="1">
      <x:c r="A906" s="17" t="str">
        <x:v>BUS213</x:v>
      </x:c>
      <x:c r="B906" s="17" t="str">
        <x:v>筛选今天热度上升且涨停数量超过5个的热点事件。</x:v>
      </x:c>
      <x:c r="C906" s="17" t="n">
        <x:v>11</x:v>
      </x:c>
      <x:c r="D906" s="17" t="str"/>
      <x:c r="E906" s="17" t="str">
        <x:v>工具调用</x:v>
      </x:c>
      <x:c r="F906" s="17" t="str">
        <x:v>finance_query</x:v>
      </x:c>
      <x:c r="G906" s="17" t="str">
        <x:v>r6 = hot_event.state(filter = "tradedate = 2026-07-31 and limited_count &gt; 5", order = "limited_count desc", limit = 50) -&gt; event_id, event, tradedate, heat_score, change_label, limited_count, company_num, avg_lift</x:v>
      </x:c>
      <x:c r="H906" s="17" t="str"/>
      <x:c r="I906" s="17" t="str">
        <x:v>合理操作</x:v>
      </x:c>
      <x:c r="J906" s="17" t="str">
        <x:v>是</x:v>
      </x:c>
      <x:c r="K906" s="18"/>
      <x:c r="L906" s="17" t="str">
        <x:v>否</x:v>
      </x:c>
      <x:c r="M906" s="17" t="str">
        <x:v>否</x:v>
      </x:c>
      <x:c r="N906" s="17" t="str">
        <x:v>target_api_executed</x:v>
      </x:c>
      <x:c r="O906" s="17" t="str">
        <x:v>expected_dataview_coverage</x:v>
      </x:c>
      <x:c r="P906" s="17" t="str">
        <x:v>session://financial_qa_33499cfa81de4d06_2906_a2be0ed59ede/vars/v6</x:v>
      </x:c>
      <x:c r="Q906" s="17" t="str"/>
      <x:c r="R906" s="17" t="str">
        <x:v>hot_event.state</x:v>
      </x:c>
      <x:c r="S906" s="17" t="str"/>
      <x:c r="T906" s="17" t="str"/>
      <x:c r="U906" s="17" t="str">
        <x:v>r6</x:v>
      </x:c>
      <x:c r="V906" s="30" t="n">
        <x:v>50</x:v>
      </x:c>
      <x:c r="W906" s="17" t="str">
        <x:v>high</x:v>
      </x:c>
    </x:row>
    <x:row r="907" ht="54" customHeight="1">
      <x:c r="A907" s="17" t="str">
        <x:v>BUS213</x:v>
      </x:c>
      <x:c r="B907" s="17" t="str">
        <x:v>筛选今天热度上升且涨停数量超过5个的热点事件。</x:v>
      </x:c>
      <x:c r="C907" s="17" t="n">
        <x:v>12</x:v>
      </x:c>
      <x:c r="D907" s="17" t="str"/>
      <x:c r="E907" s="17" t="str">
        <x:v>工具调用</x:v>
      </x:c>
      <x:c r="F907" s="17" t="str">
        <x:v>load_finance_result</x:v>
      </x:c>
      <x:c r="G907" s="17" t="str"/>
      <x:c r="H907" s="17" t="str"/>
      <x:c r="I907" s="17" t="str">
        <x:v>合理操作</x:v>
      </x:c>
      <x:c r="J907" s="17" t="str">
        <x:v>是</x:v>
      </x:c>
      <x:c r="K907" s="18"/>
      <x:c r="L907" s="17" t="str">
        <x:v>否</x:v>
      </x:c>
      <x:c r="M907" s="17" t="str">
        <x:v>否</x:v>
      </x:c>
      <x:c r="N907" s="17" t="str">
        <x:v>load_truncated_result</x:v>
      </x:c>
      <x:c r="O907" s="17" t="str">
        <x:v>sample_incomplete_requires_full_result</x:v>
      </x:c>
      <x:c r="P907" s="17" t="str">
        <x:v>session://financial_qa_33499cfa81de4d06_2906_a2be0ed59ede/vars/v6</x:v>
      </x:c>
      <x:c r="Q907" s="17" t="str"/>
      <x:c r="R907" s="17" t="str"/>
      <x:c r="S907" s="17" t="str"/>
      <x:c r="T907" s="17" t="str"/>
      <x:c r="U907" s="17" t="str"/>
      <x:c r="V907" s="30"/>
      <x:c r="W907" s="17" t="str">
        <x:v>high</x:v>
      </x:c>
    </x:row>
    <x:row r="908" ht="54" customHeight="1">
      <x:c r="A908" s="17" t="str">
        <x:v>BUS213</x:v>
      </x:c>
      <x:c r="B908" s="17" t="str">
        <x:v>筛选今天热度上升且涨停数量超过5个的热点事件。</x:v>
      </x:c>
      <x:c r="C908" s="17" t="n">
        <x:v>13</x:v>
      </x:c>
      <x:c r="D908" s="17" t="str"/>
      <x:c r="E908" s="17" t="str">
        <x:v>工具调用</x:v>
      </x:c>
      <x:c r="F908" s="17" t="str">
        <x:v>finance_query</x:v>
      </x:c>
      <x:c r="G908" s="17" t="str">
        <x:v>r7 = hot_event.state(filter = "tradedate = 2026-07-31", limit = 100) -&gt; event_id, event, change_label, limited_count</x:v>
      </x:c>
      <x:c r="H908" s="17" t="str"/>
      <x:c r="I908" s="17" t="str">
        <x:v>合理操作</x:v>
      </x:c>
      <x:c r="J908" s="17" t="str">
        <x:v>是</x:v>
      </x:c>
      <x:c r="K908" s="18"/>
      <x:c r="L908" s="17" t="str">
        <x:v>否</x:v>
      </x:c>
      <x:c r="M908" s="17" t="str">
        <x:v>否</x:v>
      </x:c>
      <x:c r="N908" s="17" t="str">
        <x:v>target_api_executed</x:v>
      </x:c>
      <x:c r="O908" s="17" t="str">
        <x:v>expected_dataview_coverage</x:v>
      </x:c>
      <x:c r="P908" s="17" t="str">
        <x:v>session://financial_qa_33499cfa81de4d06_2906_a2be0ed59ede/vars/v7</x:v>
      </x:c>
      <x:c r="Q908" s="17" t="str"/>
      <x:c r="R908" s="17" t="str">
        <x:v>hot_event.state</x:v>
      </x:c>
      <x:c r="S908" s="17" t="str"/>
      <x:c r="T908" s="17" t="str"/>
      <x:c r="U908" s="17" t="str">
        <x:v>r7</x:v>
      </x:c>
      <x:c r="V908" s="30" t="n">
        <x:v>100</x:v>
      </x:c>
      <x:c r="W908" s="17" t="str">
        <x:v>high</x:v>
      </x:c>
    </x:row>
    <x:row r="909" ht="54" customHeight="1">
      <x:c r="A909" s="17" t="str">
        <x:v>BUS213</x:v>
      </x:c>
      <x:c r="B909" s="17" t="str">
        <x:v>筛选今天热度上升且涨停数量超过5个的热点事件。</x:v>
      </x:c>
      <x:c r="C909" s="17" t="n">
        <x:v>14</x:v>
      </x:c>
      <x:c r="D909" s="17" t="str"/>
      <x:c r="E909" s="17" t="str">
        <x:v>工具调用</x:v>
      </x:c>
      <x:c r="F909" s="17" t="str">
        <x:v>finance_query</x:v>
      </x:c>
      <x:c r="G909" s="17" t="str">
        <x:v>r8 = hot_event.state(filter = "tradedate = 2026-07-10", limit = 100) -&gt; event_id, event, change_label, limited_count</x:v>
      </x:c>
      <x:c r="H909" s="17" t="str"/>
      <x:c r="I909" s="17" t="str">
        <x:v>合理操作</x:v>
      </x:c>
      <x:c r="J909" s="17" t="str">
        <x:v>是</x:v>
      </x:c>
      <x:c r="K909" s="18"/>
      <x:c r="L909" s="17" t="str">
        <x:v>否</x:v>
      </x:c>
      <x:c r="M909" s="17" t="str">
        <x:v>否</x:v>
      </x:c>
      <x:c r="N909" s="17" t="str">
        <x:v>target_api_executed</x:v>
      </x:c>
      <x:c r="O909" s="17" t="str">
        <x:v>expected_dataview_coverage</x:v>
      </x:c>
      <x:c r="P909" s="17" t="str">
        <x:v>session://financial_qa_33499cfa81de4d06_2906_a2be0ed59ede/vars/v8</x:v>
      </x:c>
      <x:c r="Q909" s="17" t="str"/>
      <x:c r="R909" s="17" t="str">
        <x:v>hot_event.state</x:v>
      </x:c>
      <x:c r="S909" s="17" t="str"/>
      <x:c r="T909" s="17" t="str"/>
      <x:c r="U909" s="17" t="str">
        <x:v>r8</x:v>
      </x:c>
      <x:c r="V909" s="30" t="n">
        <x:v>100</x:v>
      </x:c>
      <x:c r="W909" s="17" t="str">
        <x:v>high</x:v>
      </x:c>
    </x:row>
    <x:row r="910" ht="54" customHeight="1">
      <x:c r="A910" s="17" t="str">
        <x:v>BUS213</x:v>
      </x:c>
      <x:c r="B910" s="17" t="str">
        <x:v>筛选今天热度上升且涨停数量超过5个的热点事件。</x:v>
      </x:c>
      <x:c r="C910" s="17" t="n">
        <x:v>15</x:v>
      </x:c>
      <x:c r="D910" s="17" t="str"/>
      <x:c r="E910" s="17" t="str">
        <x:v>工具调用</x:v>
      </x:c>
      <x:c r="F910" s="17" t="str">
        <x:v>finance_query</x:v>
      </x:c>
      <x:c r="G910" s="17" t="str">
        <x:v>r9 = hot_event.state(filter = "tradedate = 2026-07-31 and limited_count &gt; 5", order = "limited_count desc", limit = 50) -&gt; event, max(limited_count) as max_limited, max(heat_score) as max_heat</x:v>
      </x:c>
      <x:c r="H910" s="17" t="str"/>
      <x:c r="I910" s="17" t="str">
        <x:v>合理操作</x:v>
      </x:c>
      <x:c r="J910" s="17" t="str">
        <x:v>是</x:v>
      </x:c>
      <x:c r="K910" s="18"/>
      <x:c r="L910" s="17" t="str">
        <x:v>否</x:v>
      </x:c>
      <x:c r="M910" s="17" t="str">
        <x:v>否</x:v>
      </x:c>
      <x:c r="N910" s="17" t="str">
        <x:v>target_api_executed</x:v>
      </x:c>
      <x:c r="O910" s="17" t="str">
        <x:v>expected_dataview_coverage</x:v>
      </x:c>
      <x:c r="P910" s="17" t="str">
        <x:v>session://financial_qa_33499cfa81de4d06_2906_a2be0ed59ede/vars/v9</x:v>
      </x:c>
      <x:c r="Q910" s="17" t="str"/>
      <x:c r="R910" s="17" t="str">
        <x:v>hot_event.state</x:v>
      </x:c>
      <x:c r="S910" s="17" t="str"/>
      <x:c r="T910" s="17" t="str"/>
      <x:c r="U910" s="17" t="str">
        <x:v>r9</x:v>
      </x:c>
      <x:c r="V910" s="30" t="n">
        <x:v>25</x:v>
      </x:c>
      <x:c r="W910" s="17" t="str">
        <x:v>high</x:v>
      </x:c>
    </x:row>
    <x:row r="911" ht="54" customHeight="1">
      <x:c r="A911" s="17" t="str">
        <x:v>BUS213</x:v>
      </x:c>
      <x:c r="B911" s="17" t="str">
        <x:v>筛选今天热度上升且涨停数量超过5个的热点事件。</x:v>
      </x:c>
      <x:c r="C911" s="17" t="n">
        <x:v>16</x:v>
      </x:c>
      <x:c r="D911" s="17" t="str"/>
      <x:c r="E911" s="17" t="str">
        <x:v>工具调用</x:v>
      </x:c>
      <x:c r="F911" s="17" t="str">
        <x:v>finance_query</x:v>
      </x:c>
      <x:c r="G911" s="17" t="str">
        <x:v>r10 = hot_event.state(filter = "tradedate = 2026-07-31 and limited_count &gt; 5", order = "limited_count desc", limit = 50) -&gt; event, limited_count, heat_score, company_num, avg_lift</x:v>
      </x:c>
      <x:c r="H911" s="17" t="str"/>
      <x:c r="I911" s="17" t="str">
        <x:v>合理操作</x:v>
      </x:c>
      <x:c r="J911" s="17" t="str">
        <x:v>是</x:v>
      </x:c>
      <x:c r="K911" s="18"/>
      <x:c r="L911" s="17" t="str">
        <x:v>否</x:v>
      </x:c>
      <x:c r="M911" s="17" t="str">
        <x:v>否</x:v>
      </x:c>
      <x:c r="N911" s="17" t="str">
        <x:v>target_api_executed</x:v>
      </x:c>
      <x:c r="O911" s="17" t="str">
        <x:v>expected_dataview_coverage</x:v>
      </x:c>
      <x:c r="P911" s="17" t="str">
        <x:v>session://financial_qa_33499cfa81de4d06_2906_a2be0ed59ede/vars/v10</x:v>
      </x:c>
      <x:c r="Q911" s="17" t="str"/>
      <x:c r="R911" s="17" t="str">
        <x:v>hot_event.state</x:v>
      </x:c>
      <x:c r="S911" s="17" t="str"/>
      <x:c r="T911" s="17" t="str"/>
      <x:c r="U911" s="17" t="str">
        <x:v>r10</x:v>
      </x:c>
      <x:c r="V911" s="30" t="n">
        <x:v>50</x:v>
      </x:c>
      <x:c r="W911" s="17" t="str">
        <x:v>high</x:v>
      </x:c>
    </x:row>
    <x:row r="912" ht="54" customHeight="1">
      <x:c r="A912" s="17" t="str">
        <x:v>BUS213</x:v>
      </x:c>
      <x:c r="B912" s="17" t="str">
        <x:v>筛选今天热度上升且涨停数量超过5个的热点事件。</x:v>
      </x:c>
      <x:c r="C912" s="17" t="n">
        <x:v>17</x:v>
      </x:c>
      <x:c r="D912" s="17" t="str"/>
      <x:c r="E912" s="17" t="str">
        <x:v>工具调用</x:v>
      </x:c>
      <x:c r="F912" s="17" t="str">
        <x:v>load_finance_result</x:v>
      </x:c>
      <x:c r="G912" s="17" t="str"/>
      <x:c r="H912" s="17" t="str"/>
      <x:c r="I912" s="17" t="str">
        <x:v>设计浪费</x:v>
      </x:c>
      <x:c r="J912" s="17" t="str">
        <x:v>否</x:v>
      </x:c>
      <x:c r="K912" s="18"/>
      <x:c r="L912" s="17" t="str">
        <x:v>否</x:v>
      </x:c>
      <x:c r="M912" s="17" t="str">
        <x:v>否</x:v>
      </x:c>
      <x:c r="N912" s="17" t="str">
        <x:v>duplicate_result_load</x:v>
      </x:c>
      <x:c r="O912" s="17" t="str">
        <x:v>repeated_identical_result_load</x:v>
      </x:c>
      <x:c r="P912" s="17" t="str">
        <x:v>session://financial_qa_33499cfa81de4d06_2906_a2be0ed59ede/vars/v6</x:v>
      </x:c>
      <x:c r="Q912" s="17" t="str"/>
      <x:c r="R912" s="17" t="str"/>
      <x:c r="S912" s="17" t="str"/>
      <x:c r="T912" s="17" t="str"/>
      <x:c r="U912" s="17" t="str"/>
      <x:c r="V912" s="30"/>
      <x:c r="W912" s="17" t="str">
        <x:v>high</x:v>
      </x:c>
    </x:row>
    <x:row r="913" ht="54" customHeight="1">
      <x:c r="A913" s="17" t="str">
        <x:v>BUS214</x:v>
      </x:c>
      <x:c r="B913" s="17" t="str">
        <x:v>查询机器人热点最近的热度变化标签和板块强度。</x:v>
      </x:c>
      <x:c r="C913" s="17" t="n">
        <x:v>1</x:v>
      </x:c>
      <x:c r="D913" s="17" t="str"/>
      <x:c r="E913" s="17" t="str">
        <x:v>工具调用</x:v>
      </x:c>
      <x:c r="F913" s="17" t="str">
        <x:v>read_finance_catalog</x:v>
      </x:c>
      <x:c r="G913" s="17" t="str"/>
      <x:c r="H913" s="17" t="str"/>
      <x:c r="I913" s="17" t="str">
        <x:v>合理操作</x:v>
      </x:c>
      <x:c r="J913" s="17" t="str">
        <x:v>是</x:v>
      </x:c>
      <x:c r="K913" s="18"/>
      <x:c r="L913" s="17" t="str">
        <x:v>否</x:v>
      </x:c>
      <x:c r="M913" s="17" t="str">
        <x:v>否</x:v>
      </x:c>
      <x:c r="N913" s="17" t="str">
        <x:v>target_catalog_located</x:v>
      </x:c>
      <x:c r="O913" s="17" t="str">
        <x:v>expected_dataview_catalog</x:v>
      </x:c>
      <x:c r="P913" s="17" t="str"/>
      <x:c r="Q913" s="17" t="str"/>
      <x:c r="R913" s="17" t="str"/>
      <x:c r="S913" s="17" t="str">
        <x:v>hot_event</x:v>
      </x:c>
      <x:c r="T913" s="17" t="str">
        <x:v>state</x:v>
      </x:c>
      <x:c r="U913" s="17" t="str"/>
      <x:c r="V913" s="30"/>
      <x:c r="W913" s="17" t="str">
        <x:v>high</x:v>
      </x:c>
    </x:row>
    <x:row r="914" ht="54" customHeight="1">
      <x:c r="A914" s="17" t="str">
        <x:v>BUS214</x:v>
      </x:c>
      <x:c r="B914" s="17" t="str">
        <x:v>查询机器人热点最近的热度变化标签和板块强度。</x:v>
      </x:c>
      <x:c r="C914" s="17" t="n">
        <x:v>2</x:v>
      </x:c>
      <x:c r="D914" s="17" t="str"/>
      <x:c r="E914" s="17" t="str">
        <x:v>工具调用</x:v>
      </x:c>
      <x:c r="F914" s="17" t="str">
        <x:v>read_finance_catalog</x:v>
      </x:c>
      <x:c r="G914" s="17" t="str"/>
      <x:c r="H914" s="17" t="str"/>
      <x:c r="I914" s="17" t="str">
        <x:v>合理操作</x:v>
      </x:c>
      <x:c r="J914" s="17" t="str">
        <x:v>是</x:v>
      </x:c>
      <x:c r="K914" s="18"/>
      <x:c r="L914" s="17" t="str">
        <x:v>否</x:v>
      </x:c>
      <x:c r="M914" s="17" t="str">
        <x:v>否</x:v>
      </x:c>
      <x:c r="N914" s="17" t="str">
        <x:v>subject_catalog_discovery</x:v>
      </x:c>
      <x:c r="O914" s="17" t="str">
        <x:v>expected_subject_catalog</x:v>
      </x:c>
      <x:c r="P914" s="17" t="str"/>
      <x:c r="Q914" s="17" t="str"/>
      <x:c r="R914" s="17" t="str"/>
      <x:c r="S914" s="17" t="str">
        <x:v>hot_event</x:v>
      </x:c>
      <x:c r="T914" s="17" t="str">
        <x:v>base_info</x:v>
      </x:c>
      <x:c r="U914" s="17" t="str"/>
      <x:c r="V914" s="30"/>
      <x:c r="W914" s="17" t="str">
        <x:v>medium</x:v>
      </x:c>
    </x:row>
    <x:row r="915" ht="54" customHeight="1">
      <x:c r="A915" s="17" t="str">
        <x:v>BUS214</x:v>
      </x:c>
      <x:c r="B915" s="17" t="str">
        <x:v>查询机器人热点最近的热度变化标签和板块强度。</x:v>
      </x:c>
      <x:c r="C915" s="17" t="n">
        <x:v>3</x:v>
      </x:c>
      <x:c r="D915" s="17" t="str"/>
      <x:c r="E915" s="17" t="str">
        <x:v>工具调用</x:v>
      </x:c>
      <x:c r="F915" s="17" t="str">
        <x:v>finance_query</x:v>
      </x:c>
      <x:c r="G915" s="17" t="str">
        <x:v>r1 = hot_event.state(filter = "event like '%机器人%'", order = "tradedate desc", limit = 5, realtime = 0) -&gt; event_id, event, tradedate, heat_score, change_label, board_strength, avg_lift, limited_count, company_num</x:v>
      </x:c>
      <x:c r="H915" s="17" t="str"/>
      <x:c r="I915" s="17" t="str">
        <x:v>合理操作</x:v>
      </x:c>
      <x:c r="J915" s="17" t="str">
        <x:v>是</x:v>
      </x:c>
      <x:c r="K915" s="18"/>
      <x:c r="L915" s="17" t="str">
        <x:v>否</x:v>
      </x:c>
      <x:c r="M915" s="17" t="str">
        <x:v>否</x:v>
      </x:c>
      <x:c r="N915" s="17" t="str">
        <x:v>target_api_executed</x:v>
      </x:c>
      <x:c r="O915" s="17" t="str">
        <x:v>expected_dataview_coverage</x:v>
      </x:c>
      <x:c r="P915" s="17" t="str">
        <x:v>session://financial_qa_33499cfa81de4d06_2907_fd0b48635e20/vars/v1</x:v>
      </x:c>
      <x:c r="Q915" s="17" t="str"/>
      <x:c r="R915" s="17" t="str">
        <x:v>hot_event.state</x:v>
      </x:c>
      <x:c r="S915" s="17" t="str"/>
      <x:c r="T915" s="17" t="str"/>
      <x:c r="U915" s="17" t="str">
        <x:v>r1</x:v>
      </x:c>
      <x:c r="V915" s="30" t="n">
        <x:v>5</x:v>
      </x:c>
      <x:c r="W915" s="17" t="str">
        <x:v>high</x:v>
      </x:c>
    </x:row>
    <x:row r="916" ht="54" customHeight="1">
      <x:c r="A916" s="17" t="str">
        <x:v>BUS214</x:v>
      </x:c>
      <x:c r="B916" s="17" t="str">
        <x:v>查询机器人热点最近的热度变化标签和板块强度。</x:v>
      </x:c>
      <x:c r="C916" s="17" t="n">
        <x:v>4</x:v>
      </x:c>
      <x:c r="D916" s="17" t="str"/>
      <x:c r="E916" s="17" t="str">
        <x:v>工具调用</x:v>
      </x:c>
      <x:c r="F916" s="17" t="str">
        <x:v>load_finance_result</x:v>
      </x:c>
      <x:c r="G916" s="17" t="str"/>
      <x:c r="H916" s="17" t="str"/>
      <x:c r="I916" s="17" t="str">
        <x:v>合理操作</x:v>
      </x:c>
      <x:c r="J916" s="17" t="str">
        <x:v>是</x:v>
      </x:c>
      <x:c r="K916" s="18"/>
      <x:c r="L916" s="17" t="str">
        <x:v>否</x:v>
      </x:c>
      <x:c r="M916" s="17" t="str">
        <x:v>否</x:v>
      </x:c>
      <x:c r="N916" s="17" t="str">
        <x:v>load_truncated_result</x:v>
      </x:c>
      <x:c r="O916" s="17" t="str">
        <x:v>sample_incomplete_requires_full_result</x:v>
      </x:c>
      <x:c r="P916" s="17" t="str">
        <x:v>session://financial_qa_33499cfa81de4d06_2907_fd0b48635e20/vars/v1</x:v>
      </x:c>
      <x:c r="Q916" s="17" t="str"/>
      <x:c r="R916" s="17" t="str"/>
      <x:c r="S916" s="17" t="str"/>
      <x:c r="T916" s="17" t="str"/>
      <x:c r="U916" s="17" t="str"/>
      <x:c r="V916" s="30"/>
      <x:c r="W916" s="17" t="str">
        <x:v>high</x:v>
      </x:c>
    </x:row>
    <x:row r="917" ht="54" customHeight="1">
      <x:c r="A917" s="17" t="str">
        <x:v>BUS214</x:v>
      </x:c>
      <x:c r="B917" s="17" t="str">
        <x:v>查询机器人热点最近的热度变化标签和板块强度。</x:v>
      </x:c>
      <x:c r="C917" s="17" t="n">
        <x:v>5</x:v>
      </x:c>
      <x:c r="D917" s="17" t="str"/>
      <x:c r="E917" s="17" t="str">
        <x:v>工具调用</x:v>
      </x:c>
      <x:c r="F917" s="17" t="str">
        <x:v>finance_query</x:v>
      </x:c>
      <x:c r="G917" s="17" t="str">
        <x:v>r2 = hot_event.base_info(filter = "event like '%机器人%'", limit = 10, realtime = 0) -&gt; event_id, event, is_active, latest_trigger_date</x:v>
      </x:c>
      <x:c r="H917" s="17" t="str"/>
      <x:c r="I917" s="17" t="str">
        <x:v>合理操作</x:v>
      </x:c>
      <x:c r="J917" s="17" t="str">
        <x:v>是</x:v>
      </x:c>
      <x:c r="K917" s="18"/>
      <x:c r="L917" s="17" t="str">
        <x:v>否</x:v>
      </x:c>
      <x:c r="M917" s="17" t="str">
        <x:v>否</x:v>
      </x:c>
      <x:c r="N917" s="17" t="str">
        <x:v>same_subject_dependency</x:v>
      </x:c>
      <x:c r="O917" s="17" t="str">
        <x:v>supporting_api_for_expected_subject</x:v>
      </x:c>
      <x:c r="P917" s="17" t="str">
        <x:v>session://financial_qa_33499cfa81de4d06_2907_fd0b48635e20/vars/v2</x:v>
      </x:c>
      <x:c r="Q917" s="17" t="str"/>
      <x:c r="R917" s="17" t="str">
        <x:v>hot_event.base_info</x:v>
      </x:c>
      <x:c r="S917" s="17" t="str"/>
      <x:c r="T917" s="17" t="str"/>
      <x:c r="U917" s="17" t="str">
        <x:v>r2</x:v>
      </x:c>
      <x:c r="V917" s="30" t="n">
        <x:v>10</x:v>
      </x:c>
      <x:c r="W917" s="17" t="str">
        <x:v>medium</x:v>
      </x:c>
    </x:row>
    <x:row r="918" ht="54" customHeight="1">
      <x:c r="A918" s="17" t="str">
        <x:v>BUS214</x:v>
      </x:c>
      <x:c r="B918" s="17" t="str">
        <x:v>查询机器人热点最近的热度变化标签和板块强度。</x:v>
      </x:c>
      <x:c r="C918" s="17" t="n">
        <x:v>6</x:v>
      </x:c>
      <x:c r="D918" s="17" t="str"/>
      <x:c r="E918" s="17" t="str">
        <x:v>工具调用</x:v>
      </x:c>
      <x:c r="F918" s="17" t="str">
        <x:v>finance_query</x:v>
      </x:c>
      <x:c r="G918" s="17" t="str">
        <x:v>r3 = hot_event.state(filter = "event_id = HE2650A0A5013B9317", order = "tradedate desc", limit = 3, realtime = 0) -&gt; event_id, event, tradedate, heat_score, change_label, board_strength, avg_lift, limited_count, company_num</x:v>
      </x:c>
      <x:c r="H918" s="17" t="str"/>
      <x:c r="I918" s="17" t="str">
        <x:v>合理操作</x:v>
      </x:c>
      <x:c r="J918" s="17" t="str">
        <x:v>是</x:v>
      </x:c>
      <x:c r="K918" s="18"/>
      <x:c r="L918" s="17" t="str">
        <x:v>否</x:v>
      </x:c>
      <x:c r="M918" s="17" t="str">
        <x:v>否</x:v>
      </x:c>
      <x:c r="N918" s="17" t="str">
        <x:v>target_api_executed</x:v>
      </x:c>
      <x:c r="O918" s="17" t="str">
        <x:v>expected_dataview_coverage</x:v>
      </x:c>
      <x:c r="P918" s="17" t="str">
        <x:v>session://financial_qa_33499cfa81de4d06_2907_fd0b48635e20/vars/v3</x:v>
      </x:c>
      <x:c r="Q918" s="17" t="str"/>
      <x:c r="R918" s="17" t="str">
        <x:v>hot_event.state</x:v>
      </x:c>
      <x:c r="S918" s="17" t="str"/>
      <x:c r="T918" s="17" t="str"/>
      <x:c r="U918" s="17" t="str">
        <x:v>r3</x:v>
      </x:c>
      <x:c r="V918" s="30" t="n">
        <x:v>3</x:v>
      </x:c>
      <x:c r="W918" s="17" t="str">
        <x:v>high</x:v>
      </x:c>
    </x:row>
    <x:row r="919" ht="54" customHeight="1">
      <x:c r="A919" s="17" t="str">
        <x:v>BUS215</x:v>
      </x:c>
      <x:c r="B919" s="17" t="str">
        <x:v>查询当前公司数最多的热点事件前20名。</x:v>
      </x:c>
      <x:c r="C919" s="17" t="n">
        <x:v>1</x:v>
      </x:c>
      <x:c r="D919" s="17" t="str"/>
      <x:c r="E919" s="17" t="str">
        <x:v>工具调用</x:v>
      </x:c>
      <x:c r="F919" s="17" t="str">
        <x:v>read_finance_catalog</x:v>
      </x:c>
      <x:c r="G919" s="17" t="str"/>
      <x:c r="H919" s="17" t="str"/>
      <x:c r="I919" s="17" t="str">
        <x:v>合理操作</x:v>
      </x:c>
      <x:c r="J919" s="17" t="str">
        <x:v>是</x:v>
      </x:c>
      <x:c r="K919" s="18"/>
      <x:c r="L919" s="17" t="str">
        <x:v>否</x:v>
      </x:c>
      <x:c r="M919" s="17" t="str">
        <x:v>否</x:v>
      </x:c>
      <x:c r="N919" s="17" t="str">
        <x:v>subject_catalog_discovery</x:v>
      </x:c>
      <x:c r="O919" s="17" t="str">
        <x:v>expected_subject_catalog</x:v>
      </x:c>
      <x:c r="P919" s="17" t="str"/>
      <x:c r="Q919" s="17" t="str"/>
      <x:c r="R919" s="17" t="str"/>
      <x:c r="S919" s="17" t="str">
        <x:v>hot_event</x:v>
      </x:c>
      <x:c r="T919" s="17" t="str">
        <x:v>member</x:v>
      </x:c>
      <x:c r="U919" s="17" t="str"/>
      <x:c r="V919" s="30"/>
      <x:c r="W919" s="17" t="str">
        <x:v>medium</x:v>
      </x:c>
    </x:row>
    <x:row r="920" ht="54" customHeight="1">
      <x:c r="A920" s="17" t="str">
        <x:v>BUS215</x:v>
      </x:c>
      <x:c r="B920" s="17" t="str">
        <x:v>查询当前公司数最多的热点事件前20名。</x:v>
      </x:c>
      <x:c r="C920" s="17" t="n">
        <x:v>2</x:v>
      </x:c>
      <x:c r="D920" s="17" t="str"/>
      <x:c r="E920" s="17" t="str">
        <x:v>工具调用</x:v>
      </x:c>
      <x:c r="F920" s="17" t="str">
        <x:v>read_finance_catalog</x:v>
      </x:c>
      <x:c r="G920" s="17" t="str"/>
      <x:c r="H920" s="17" t="str"/>
      <x:c r="I920" s="17" t="str">
        <x:v>合理操作</x:v>
      </x:c>
      <x:c r="J920" s="17" t="str">
        <x:v>是</x:v>
      </x:c>
      <x:c r="K920" s="18"/>
      <x:c r="L920" s="17" t="str">
        <x:v>否</x:v>
      </x:c>
      <x:c r="M920" s="17" t="str">
        <x:v>否</x:v>
      </x:c>
      <x:c r="N920" s="17" t="str">
        <x:v>target_catalog_located</x:v>
      </x:c>
      <x:c r="O920" s="17" t="str">
        <x:v>expected_dataview_catalog</x:v>
      </x:c>
      <x:c r="P920" s="17" t="str"/>
      <x:c r="Q920" s="17" t="str"/>
      <x:c r="R920" s="17" t="str"/>
      <x:c r="S920" s="17" t="str">
        <x:v>hot_event</x:v>
      </x:c>
      <x:c r="T920" s="17" t="str">
        <x:v>base_info</x:v>
      </x:c>
      <x:c r="U920" s="17" t="str"/>
      <x:c r="V920" s="30"/>
      <x:c r="W920" s="17" t="str">
        <x:v>high</x:v>
      </x:c>
    </x:row>
    <x:row r="921" ht="54" customHeight="1">
      <x:c r="A921" s="17" t="str">
        <x:v>BUS215</x:v>
      </x:c>
      <x:c r="B921" s="17" t="str">
        <x:v>查询当前公司数最多的热点事件前20名。</x:v>
      </x:c>
      <x:c r="C921" s="17" t="n">
        <x:v>3</x:v>
      </x:c>
      <x:c r="D921" s="17" t="str"/>
      <x:c r="E921" s="17" t="str">
        <x:v>工具调用</x:v>
      </x:c>
      <x:c r="F921" s="17" t="str">
        <x:v>read_finance_catalog</x:v>
      </x:c>
      <x:c r="G921" s="17" t="str"/>
      <x:c r="H921" s="17" t="str"/>
      <x:c r="I921" s="17" t="str">
        <x:v>合理操作</x:v>
      </x:c>
      <x:c r="J921" s="17" t="str">
        <x:v>是</x:v>
      </x:c>
      <x:c r="K921" s="18"/>
      <x:c r="L921" s="17" t="str">
        <x:v>否</x:v>
      </x:c>
      <x:c r="M921" s="17" t="str">
        <x:v>否</x:v>
      </x:c>
      <x:c r="N921" s="17" t="str">
        <x:v>subject_catalog_discovery</x:v>
      </x:c>
      <x:c r="O921" s="17" t="str">
        <x:v>expected_subject_catalog</x:v>
      </x:c>
      <x:c r="P921" s="17" t="str"/>
      <x:c r="Q921" s="17" t="str"/>
      <x:c r="R921" s="17" t="str"/>
      <x:c r="S921" s="17" t="str">
        <x:v>hot_event</x:v>
      </x:c>
      <x:c r="T921" s="17" t="str">
        <x:v>state</x:v>
      </x:c>
      <x:c r="U921" s="17" t="str"/>
      <x:c r="V921" s="30"/>
      <x:c r="W921" s="17" t="str">
        <x:v>medium</x:v>
      </x:c>
    </x:row>
    <x:row r="922" ht="54" customHeight="1">
      <x:c r="A922" s="17" t="str">
        <x:v>BUS215</x:v>
      </x:c>
      <x:c r="B922" s="17" t="str">
        <x:v>查询当前公司数最多的热点事件前20名。</x:v>
      </x:c>
      <x:c r="C922" s="17" t="n">
        <x:v>4</x:v>
      </x:c>
      <x:c r="D922" s="17" t="str"/>
      <x:c r="E922" s="17" t="str">
        <x:v>工具调用</x:v>
      </x:c>
      <x:c r="F922" s="17" t="str">
        <x:v>finance_query</x:v>
      </x:c>
      <x:c r="G922" s="17" t="str">
        <x:v>r1 = hot_event.base_info(order = "current_company_num desc", limit = 20) -&gt; event_id, event, current_company_num, first_trigger_date, latest_trigger_date, core_event_desc</x:v>
      </x:c>
      <x:c r="H922" s="17" t="str"/>
      <x:c r="I922" s="17" t="str">
        <x:v>合理操作</x:v>
      </x:c>
      <x:c r="J922" s="17" t="str">
        <x:v>是</x:v>
      </x:c>
      <x:c r="K922" s="18"/>
      <x:c r="L922" s="17" t="str">
        <x:v>否</x:v>
      </x:c>
      <x:c r="M922" s="17" t="str">
        <x:v>否</x:v>
      </x:c>
      <x:c r="N922" s="17" t="str">
        <x:v>target_api_executed</x:v>
      </x:c>
      <x:c r="O922" s="17" t="str">
        <x:v>expected_dataview_coverage</x:v>
      </x:c>
      <x:c r="P922" s="17" t="str">
        <x:v>session://financial_qa_33499cfa81de4d06_2908_82f56f484d5f/vars/v1</x:v>
      </x:c>
      <x:c r="Q922" s="17" t="str"/>
      <x:c r="R922" s="17" t="str">
        <x:v>hot_event.base_info</x:v>
      </x:c>
      <x:c r="S922" s="17" t="str"/>
      <x:c r="T922" s="17" t="str"/>
      <x:c r="U922" s="17" t="str">
        <x:v>r1</x:v>
      </x:c>
      <x:c r="V922" s="30" t="n">
        <x:v>20</x:v>
      </x:c>
      <x:c r="W922" s="17" t="str">
        <x:v>high</x:v>
      </x:c>
    </x:row>
    <x:row r="923" ht="54" customHeight="1">
      <x:c r="A923" s="17" t="str">
        <x:v>BUS215</x:v>
      </x:c>
      <x:c r="B923" s="17" t="str">
        <x:v>查询当前公司数最多的热点事件前20名。</x:v>
      </x:c>
      <x:c r="C923" s="17" t="n">
        <x:v>5</x:v>
      </x:c>
      <x:c r="D923" s="17" t="str"/>
      <x:c r="E923" s="17" t="str">
        <x:v>工具调用</x:v>
      </x:c>
      <x:c r="F923" s="17" t="str">
        <x:v>load_finance_result</x:v>
      </x:c>
      <x:c r="G923" s="17" t="str"/>
      <x:c r="H923" s="17" t="str"/>
      <x:c r="I923" s="17" t="str">
        <x:v>合理操作</x:v>
      </x:c>
      <x:c r="J923" s="17" t="str">
        <x:v>是</x:v>
      </x:c>
      <x:c r="K923" s="18"/>
      <x:c r="L923" s="17" t="str">
        <x:v>否</x:v>
      </x:c>
      <x:c r="M923" s="17" t="str">
        <x:v>否</x:v>
      </x:c>
      <x:c r="N923" s="17" t="str">
        <x:v>load_truncated_result</x:v>
      </x:c>
      <x:c r="O923" s="17" t="str">
        <x:v>sample_incomplete_requires_full_result</x:v>
      </x:c>
      <x:c r="P923" s="17" t="str">
        <x:v>session://financial_qa_33499cfa81de4d06_2908_82f56f484d5f/vars/v1</x:v>
      </x:c>
      <x:c r="Q923" s="17" t="str"/>
      <x:c r="R923" s="17" t="str"/>
      <x:c r="S923" s="17" t="str"/>
      <x:c r="T923" s="17" t="str"/>
      <x:c r="U923" s="17" t="str"/>
      <x:c r="V923" s="30"/>
      <x:c r="W923" s="17" t="str">
        <x:v>high</x:v>
      </x:c>
    </x:row>
    <x:row r="924" ht="54" customHeight="1">
      <x:c r="A924" s="17" t="str">
        <x:v>BUS216</x:v>
      </x:c>
      <x:c r="B924" s="17" t="str">
        <x:v>筛选平均涨幅超过3%的热点事件。</x:v>
      </x:c>
      <x:c r="C924" s="17" t="n">
        <x:v>1</x:v>
      </x:c>
      <x:c r="D924" s="17" t="str"/>
      <x:c r="E924" s="17" t="str">
        <x:v>工具调用</x:v>
      </x:c>
      <x:c r="F924" s="17" t="str">
        <x:v>read_finance_catalog</x:v>
      </x:c>
      <x:c r="G924" s="17" t="str"/>
      <x:c r="H924" s="17" t="str"/>
      <x:c r="I924" s="17" t="str">
        <x:v>设计浪费</x:v>
      </x:c>
      <x:c r="J924" s="17" t="str">
        <x:v>否</x:v>
      </x:c>
      <x:c r="K924" s="18"/>
      <x:c r="L924" s="17" t="str">
        <x:v>否</x:v>
      </x:c>
      <x:c r="M924" s="17" t="str">
        <x:v>否</x:v>
      </x:c>
      <x:c r="N924" s="17" t="str">
        <x:v>broad_catalog_then_specific_catalog</x:v>
      </x:c>
      <x:c r="O924" s="17" t="str">
        <x:v>catalog_ladder</x:v>
      </x:c>
      <x:c r="P924" s="17" t="str"/>
      <x:c r="Q924" s="17" t="str"/>
      <x:c r="R924" s="17" t="str"/>
      <x:c r="S924" s="17" t="str">
        <x:v>hot_event</x:v>
      </x:c>
      <x:c r="T924" s="17" t="str"/>
      <x:c r="U924" s="17" t="str"/>
      <x:c r="V924" s="30"/>
      <x:c r="W924" s="17" t="str">
        <x:v>high</x:v>
      </x:c>
    </x:row>
    <x:row r="925" ht="54" customHeight="1">
      <x:c r="A925" s="17" t="str">
        <x:v>BUS216</x:v>
      </x:c>
      <x:c r="B925" s="17" t="str">
        <x:v>筛选平均涨幅超过3%的热点事件。</x:v>
      </x:c>
      <x:c r="C925" s="17" t="n">
        <x:v>2</x:v>
      </x:c>
      <x:c r="D925" s="17" t="str"/>
      <x:c r="E925" s="17" t="str">
        <x:v>工具调用</x:v>
      </x:c>
      <x:c r="F925" s="17" t="str">
        <x:v>read_finance_catalog</x:v>
      </x:c>
      <x:c r="G925" s="17" t="str"/>
      <x:c r="H925" s="17" t="str"/>
      <x:c r="I925" s="17" t="str">
        <x:v>合理操作</x:v>
      </x:c>
      <x:c r="J925" s="17" t="str">
        <x:v>是</x:v>
      </x:c>
      <x:c r="K925" s="18"/>
      <x:c r="L925" s="17" t="str">
        <x:v>否</x:v>
      </x:c>
      <x:c r="M925" s="17" t="str">
        <x:v>否</x:v>
      </x:c>
      <x:c r="N925" s="17" t="str">
        <x:v>target_catalog_located</x:v>
      </x:c>
      <x:c r="O925" s="17" t="str">
        <x:v>expected_dataview_catalog</x:v>
      </x:c>
      <x:c r="P925" s="17" t="str"/>
      <x:c r="Q925" s="17" t="str"/>
      <x:c r="R925" s="17" t="str"/>
      <x:c r="S925" s="17" t="str">
        <x:v>hot_event</x:v>
      </x:c>
      <x:c r="T925" s="17" t="str">
        <x:v>member</x:v>
      </x:c>
      <x:c r="U925" s="17" t="str"/>
      <x:c r="V925" s="30"/>
      <x:c r="W925" s="17" t="str">
        <x:v>high</x:v>
      </x:c>
    </x:row>
    <x:row r="926" ht="54" customHeight="1">
      <x:c r="A926" s="17" t="str">
        <x:v>BUS216</x:v>
      </x:c>
      <x:c r="B926" s="17" t="str">
        <x:v>筛选平均涨幅超过3%的热点事件。</x:v>
      </x:c>
      <x:c r="C926" s="17" t="n">
        <x:v>3</x:v>
      </x:c>
      <x:c r="D926" s="17" t="str"/>
      <x:c r="E926" s="17" t="str">
        <x:v>工具调用</x:v>
      </x:c>
      <x:c r="F926" s="17" t="str">
        <x:v>read_finance_catalog</x:v>
      </x:c>
      <x:c r="G926" s="17" t="str"/>
      <x:c r="H926" s="17" t="str"/>
      <x:c r="I926" s="17" t="str">
        <x:v>合理操作</x:v>
      </x:c>
      <x:c r="J926" s="17" t="str">
        <x:v>是</x:v>
      </x:c>
      <x:c r="K926" s="18"/>
      <x:c r="L926" s="17" t="str">
        <x:v>否</x:v>
      </x:c>
      <x:c r="M926" s="17" t="str">
        <x:v>否</x:v>
      </x:c>
      <x:c r="N926" s="17" t="str">
        <x:v>subject_catalog_discovery</x:v>
      </x:c>
      <x:c r="O926" s="17" t="str">
        <x:v>expected_subject_catalog</x:v>
      </x:c>
      <x:c r="P926" s="17" t="str"/>
      <x:c r="Q926" s="17" t="str"/>
      <x:c r="R926" s="17" t="str"/>
      <x:c r="S926" s="17" t="str">
        <x:v>hot_event</x:v>
      </x:c>
      <x:c r="T926" s="17" t="str">
        <x:v>state</x:v>
      </x:c>
      <x:c r="U926" s="17" t="str"/>
      <x:c r="V926" s="30"/>
      <x:c r="W926" s="17" t="str">
        <x:v>medium</x:v>
      </x:c>
    </x:row>
    <x:row r="927" ht="54" customHeight="1">
      <x:c r="A927" s="17" t="str">
        <x:v>BUS216</x:v>
      </x:c>
      <x:c r="B927" s="17" t="str">
        <x:v>筛选平均涨幅超过3%的热点事件。</x:v>
      </x:c>
      <x:c r="C927" s="17" t="n">
        <x:v>4</x:v>
      </x:c>
      <x:c r="D927" s="17" t="str"/>
      <x:c r="E927" s="17" t="str">
        <x:v>工具调用</x:v>
      </x:c>
      <x:c r="F927" s="17" t="str">
        <x:v>read_finance_catalog</x:v>
      </x:c>
      <x:c r="G927" s="17" t="str"/>
      <x:c r="H927" s="17" t="str"/>
      <x:c r="I927" s="17" t="str">
        <x:v>合理操作</x:v>
      </x:c>
      <x:c r="J927" s="17" t="str">
        <x:v>是</x:v>
      </x:c>
      <x:c r="K927" s="18"/>
      <x:c r="L927" s="17" t="str">
        <x:v>否</x:v>
      </x:c>
      <x:c r="M927" s="17" t="str">
        <x:v>否</x:v>
      </x:c>
      <x:c r="N927" s="17" t="str">
        <x:v>target_catalog_located</x:v>
      </x:c>
      <x:c r="O927" s="17" t="str">
        <x:v>expected_dataview_catalog</x:v>
      </x:c>
      <x:c r="P927" s="17" t="str"/>
      <x:c r="Q927" s="17" t="str"/>
      <x:c r="R927" s="17" t="str"/>
      <x:c r="S927" s="17" t="str">
        <x:v>hot_event</x:v>
      </x:c>
      <x:c r="T927" s="17" t="str">
        <x:v>base_info</x:v>
      </x:c>
      <x:c r="U927" s="17" t="str"/>
      <x:c r="V927" s="30"/>
      <x:c r="W927" s="17" t="str">
        <x:v>high</x:v>
      </x:c>
    </x:row>
    <x:row r="928" ht="54" customHeight="1">
      <x:c r="A928" s="17" t="str">
        <x:v>BUS216</x:v>
      </x:c>
      <x:c r="B928" s="17" t="str">
        <x:v>筛选平均涨幅超过3%的热点事件。</x:v>
      </x:c>
      <x:c r="C928" s="17" t="n">
        <x:v>5</x:v>
      </x:c>
      <x:c r="D928" s="17" t="str"/>
      <x:c r="E928" s="17" t="str">
        <x:v>工具调用</x:v>
      </x:c>
      <x:c r="F928" s="17" t="str">
        <x:v>finance_query</x:v>
      </x:c>
      <x:c r="G928" s="17" t="str">
        <x:v>r1 = hot_event.state(filter = "avg_lift &gt; 3", order = "avg_lift desc", limit = 50) -&gt; event_id, event, avg_lift, heat_score, company_num, limited_count, board_strength, tradedate</x:v>
      </x:c>
      <x:c r="H928" s="17" t="str"/>
      <x:c r="I928" s="17" t="str">
        <x:v>合理操作</x:v>
      </x:c>
      <x:c r="J928" s="17" t="str">
        <x:v>是</x:v>
      </x:c>
      <x:c r="K928" s="18"/>
      <x:c r="L928" s="17" t="str">
        <x:v>否</x:v>
      </x:c>
      <x:c r="M928" s="17" t="str">
        <x:v>否</x:v>
      </x:c>
      <x:c r="N928" s="17" t="str">
        <x:v>same_subject_dependency</x:v>
      </x:c>
      <x:c r="O928" s="17" t="str">
        <x:v>supporting_api_for_expected_subject</x:v>
      </x:c>
      <x:c r="P928" s="17" t="str">
        <x:v>session://financial_qa_33499cfa81de4d06_2909_90fcb95e286a/vars/v1</x:v>
      </x:c>
      <x:c r="Q928" s="17" t="str"/>
      <x:c r="R928" s="17" t="str">
        <x:v>hot_event.state</x:v>
      </x:c>
      <x:c r="S928" s="17" t="str"/>
      <x:c r="T928" s="17" t="str"/>
      <x:c r="U928" s="17" t="str">
        <x:v>r1</x:v>
      </x:c>
      <x:c r="V928" s="30" t="n">
        <x:v>50</x:v>
      </x:c>
      <x:c r="W928" s="17" t="str">
        <x:v>medium</x:v>
      </x:c>
    </x:row>
    <x:row r="929" ht="54" customHeight="1">
      <x:c r="A929" s="17" t="str">
        <x:v>BUS216</x:v>
      </x:c>
      <x:c r="B929" s="17" t="str">
        <x:v>筛选平均涨幅超过3%的热点事件。</x:v>
      </x:c>
      <x:c r="C929" s="17" t="n">
        <x:v>6</x:v>
      </x:c>
      <x:c r="D929" s="17" t="str"/>
      <x:c r="E929" s="17" t="str">
        <x:v>工具调用</x:v>
      </x:c>
      <x:c r="F929" s="17" t="str">
        <x:v>load_finance_result</x:v>
      </x:c>
      <x:c r="G929" s="17" t="str"/>
      <x:c r="H929" s="17" t="str"/>
      <x:c r="I929" s="17" t="str">
        <x:v>合理操作</x:v>
      </x:c>
      <x:c r="J929" s="17" t="str">
        <x:v>是</x:v>
      </x:c>
      <x:c r="K929" s="18"/>
      <x:c r="L929" s="17" t="str">
        <x:v>否</x:v>
      </x:c>
      <x:c r="M929" s="17" t="str">
        <x:v>否</x:v>
      </x:c>
      <x:c r="N929" s="17" t="str">
        <x:v>load_truncated_result</x:v>
      </x:c>
      <x:c r="O929" s="17" t="str">
        <x:v>sample_incomplete_requires_full_result</x:v>
      </x:c>
      <x:c r="P929" s="17" t="str">
        <x:v>session://financial_qa_33499cfa81de4d06_2909_90fcb95e286a/vars/v1</x:v>
      </x:c>
      <x:c r="Q929" s="17" t="str"/>
      <x:c r="R929" s="17" t="str"/>
      <x:c r="S929" s="17" t="str"/>
      <x:c r="T929" s="17" t="str"/>
      <x:c r="U929" s="17" t="str"/>
      <x:c r="V929" s="30"/>
      <x:c r="W929" s="17" t="str">
        <x:v>high</x:v>
      </x:c>
    </x:row>
    <x:row r="930" ht="54" customHeight="1">
      <x:c r="A930" s="17" t="str">
        <x:v>BUS217</x:v>
      </x:c>
      <x:c r="B930" s="17" t="str">
        <x:v>查询PCB热点当前成分股和关联事件描述。</x:v>
      </x:c>
      <x:c r="C930" s="17" t="n">
        <x:v>1</x:v>
      </x:c>
      <x:c r="D930" s="17" t="str"/>
      <x:c r="E930" s="17" t="str">
        <x:v>工具调用</x:v>
      </x:c>
      <x:c r="F930" s="17" t="str">
        <x:v>read_finance_catalog</x:v>
      </x:c>
      <x:c r="G930" s="17" t="str"/>
      <x:c r="H930" s="17" t="str"/>
      <x:c r="I930" s="17" t="str">
        <x:v>合理操作</x:v>
      </x:c>
      <x:c r="J930" s="17" t="str">
        <x:v>是</x:v>
      </x:c>
      <x:c r="K930" s="18"/>
      <x:c r="L930" s="17" t="str">
        <x:v>否</x:v>
      </x:c>
      <x:c r="M930" s="17" t="str">
        <x:v>否</x:v>
      </x:c>
      <x:c r="N930" s="17" t="str">
        <x:v>target_catalog_located</x:v>
      </x:c>
      <x:c r="O930" s="17" t="str">
        <x:v>expected_dataview_catalog</x:v>
      </x:c>
      <x:c r="P930" s="17" t="str"/>
      <x:c r="Q930" s="17" t="str"/>
      <x:c r="R930" s="17" t="str"/>
      <x:c r="S930" s="17" t="str">
        <x:v>hot_event</x:v>
      </x:c>
      <x:c r="T930" s="17" t="str">
        <x:v>member</x:v>
      </x:c>
      <x:c r="U930" s="17" t="str"/>
      <x:c r="V930" s="30"/>
      <x:c r="W930" s="17" t="str">
        <x:v>high</x:v>
      </x:c>
    </x:row>
    <x:row r="931" ht="54" customHeight="1">
      <x:c r="A931" s="17" t="str">
        <x:v>BUS217</x:v>
      </x:c>
      <x:c r="B931" s="17" t="str">
        <x:v>查询PCB热点当前成分股和关联事件描述。</x:v>
      </x:c>
      <x:c r="C931" s="17" t="n">
        <x:v>2</x:v>
      </x:c>
      <x:c r="D931" s="17" t="str"/>
      <x:c r="E931" s="17" t="str">
        <x:v>工具调用</x:v>
      </x:c>
      <x:c r="F931" s="17" t="str">
        <x:v>read_finance_catalog</x:v>
      </x:c>
      <x:c r="G931" s="17" t="str"/>
      <x:c r="H931" s="17" t="str"/>
      <x:c r="I931" s="17" t="str">
        <x:v>合理操作</x:v>
      </x:c>
      <x:c r="J931" s="17" t="str">
        <x:v>是</x:v>
      </x:c>
      <x:c r="K931" s="18"/>
      <x:c r="L931" s="17" t="str">
        <x:v>否</x:v>
      </x:c>
      <x:c r="M931" s="17" t="str">
        <x:v>否</x:v>
      </x:c>
      <x:c r="N931" s="17" t="str">
        <x:v>target_catalog_located</x:v>
      </x:c>
      <x:c r="O931" s="17" t="str">
        <x:v>expected_dataview_catalog</x:v>
      </x:c>
      <x:c r="P931" s="17" t="str"/>
      <x:c r="Q931" s="17" t="str"/>
      <x:c r="R931" s="17" t="str"/>
      <x:c r="S931" s="17" t="str">
        <x:v>hot_event</x:v>
      </x:c>
      <x:c r="T931" s="17" t="str">
        <x:v>base_info</x:v>
      </x:c>
      <x:c r="U931" s="17" t="str"/>
      <x:c r="V931" s="30"/>
      <x:c r="W931" s="17" t="str">
        <x:v>high</x:v>
      </x:c>
    </x:row>
    <x:row r="932" ht="54" customHeight="1">
      <x:c r="A932" s="17" t="str">
        <x:v>BUS217</x:v>
      </x:c>
      <x:c r="B932" s="17" t="str">
        <x:v>查询PCB热点当前成分股和关联事件描述。</x:v>
      </x:c>
      <x:c r="C932" s="17" t="n">
        <x:v>3</x:v>
      </x:c>
      <x:c r="D932" s="17" t="str"/>
      <x:c r="E932" s="17" t="str">
        <x:v>工具调用</x:v>
      </x:c>
      <x:c r="F932" s="17" t="str">
        <x:v>read_finance_catalog</x:v>
      </x:c>
      <x:c r="G932" s="17" t="str"/>
      <x:c r="H932" s="17" t="str"/>
      <x:c r="I932" s="17" t="str">
        <x:v>合理操作</x:v>
      </x:c>
      <x:c r="J932" s="17" t="str">
        <x:v>是</x:v>
      </x:c>
      <x:c r="K932" s="18"/>
      <x:c r="L932" s="17" t="str">
        <x:v>否</x:v>
      </x:c>
      <x:c r="M932" s="17" t="str">
        <x:v>否</x:v>
      </x:c>
      <x:c r="N932" s="17" t="str">
        <x:v>subject_catalog_discovery</x:v>
      </x:c>
      <x:c r="O932" s="17" t="str">
        <x:v>expected_subject_catalog</x:v>
      </x:c>
      <x:c r="P932" s="17" t="str"/>
      <x:c r="Q932" s="17" t="str"/>
      <x:c r="R932" s="17" t="str"/>
      <x:c r="S932" s="17" t="str">
        <x:v>hot_event</x:v>
      </x:c>
      <x:c r="T932" s="17" t="str">
        <x:v>state</x:v>
      </x:c>
      <x:c r="U932" s="17" t="str"/>
      <x:c r="V932" s="30"/>
      <x:c r="W932" s="17" t="str">
        <x:v>medium</x:v>
      </x:c>
    </x:row>
    <x:row r="933" ht="54" customHeight="1">
      <x:c r="A933" s="17" t="str">
        <x:v>BUS217</x:v>
      </x:c>
      <x:c r="B933" s="17" t="str">
        <x:v>查询PCB热点当前成分股和关联事件描述。</x:v>
      </x:c>
      <x:c r="C933" s="17" t="n">
        <x:v>4</x:v>
      </x:c>
      <x:c r="D933" s="17" t="str"/>
      <x:c r="E933" s="17" t="str">
        <x:v>工具调用</x:v>
      </x:c>
      <x:c r="F933" s="17" t="str">
        <x:v>finance_query</x:v>
      </x:c>
      <x:c r="G933" s="17" t="str">
        <x:v>r1 = hot_event.member(filter = "event = 'PCB'", limit = -1) -&gt; event_id, event, stock_code, stock_name, company_event, is_leader</x:v>
      </x:c>
      <x:c r="H933" s="17" t="str"/>
      <x:c r="I933" s="17" t="str">
        <x:v>合理操作</x:v>
      </x:c>
      <x:c r="J933" s="17" t="str">
        <x:v>是</x:v>
      </x:c>
      <x:c r="K933" s="18"/>
      <x:c r="L933" s="17" t="str">
        <x:v>否</x:v>
      </x:c>
      <x:c r="M933" s="17" t="str">
        <x:v>否</x:v>
      </x:c>
      <x:c r="N933" s="17" t="str">
        <x:v>target_api_executed</x:v>
      </x:c>
      <x:c r="O933" s="17" t="str">
        <x:v>expected_dataview_coverage</x:v>
      </x:c>
      <x:c r="P933" s="17" t="str">
        <x:v>session://financial_qa_33499cfa81de4d06_2910_bf2699aa905e/vars/v1</x:v>
      </x:c>
      <x:c r="Q933" s="17" t="str"/>
      <x:c r="R933" s="17" t="str">
        <x:v>hot_event.member</x:v>
      </x:c>
      <x:c r="S933" s="17" t="str"/>
      <x:c r="T933" s="17" t="str"/>
      <x:c r="U933" s="17" t="str">
        <x:v>r1</x:v>
      </x:c>
      <x:c r="V933" s="30" t="n">
        <x:v>100</x:v>
      </x:c>
      <x:c r="W933" s="17" t="str">
        <x:v>high</x:v>
      </x:c>
    </x:row>
    <x:row r="934" ht="54" customHeight="1">
      <x:c r="A934" s="17" t="str">
        <x:v>BUS217</x:v>
      </x:c>
      <x:c r="B934" s="17" t="str">
        <x:v>查询PCB热点当前成分股和关联事件描述。</x:v>
      </x:c>
      <x:c r="C934" s="17" t="n">
        <x:v>5</x:v>
      </x:c>
      <x:c r="D934" s="17" t="str"/>
      <x:c r="E934" s="17" t="str">
        <x:v>工具调用</x:v>
      </x:c>
      <x:c r="F934" s="17" t="str">
        <x:v>finance_query</x:v>
      </x:c>
      <x:c r="G934" s="17" t="str">
        <x:v>r2 = hot_event.base_info(filter = "event = 'PCB'", limit = 1) -&gt; event, core_event_desc, latest_event_desc, current_company_num</x:v>
      </x:c>
      <x:c r="H934" s="17" t="str"/>
      <x:c r="I934" s="17" t="str">
        <x:v>合理操作</x:v>
      </x:c>
      <x:c r="J934" s="17" t="str">
        <x:v>是</x:v>
      </x:c>
      <x:c r="K934" s="18"/>
      <x:c r="L934" s="17" t="str">
        <x:v>否</x:v>
      </x:c>
      <x:c r="M934" s="17" t="str">
        <x:v>否</x:v>
      </x:c>
      <x:c r="N934" s="17" t="str">
        <x:v>target_api_executed</x:v>
      </x:c>
      <x:c r="O934" s="17" t="str">
        <x:v>expected_dataview_coverage</x:v>
      </x:c>
      <x:c r="P934" s="17" t="str">
        <x:v>session://financial_qa_33499cfa81de4d06_2910_bf2699aa905e/vars/v2</x:v>
      </x:c>
      <x:c r="Q934" s="17" t="str"/>
      <x:c r="R934" s="17" t="str">
        <x:v>hot_event.base_info</x:v>
      </x:c>
      <x:c r="S934" s="17" t="str"/>
      <x:c r="T934" s="17" t="str"/>
      <x:c r="U934" s="17" t="str">
        <x:v>r2</x:v>
      </x:c>
      <x:c r="V934" s="30" t="n">
        <x:v>1</x:v>
      </x:c>
      <x:c r="W934" s="17" t="str">
        <x:v>high</x:v>
      </x:c>
    </x:row>
    <x:row r="935" ht="54" customHeight="1">
      <x:c r="A935" s="17" t="str">
        <x:v>BUS217</x:v>
      </x:c>
      <x:c r="B935" s="17" t="str">
        <x:v>查询PCB热点当前成分股和关联事件描述。</x:v>
      </x:c>
      <x:c r="C935" s="17" t="n">
        <x:v>6</x:v>
      </x:c>
      <x:c r="D935" s="17" t="str"/>
      <x:c r="E935" s="17" t="str">
        <x:v>工具调用</x:v>
      </x:c>
      <x:c r="F935" s="17" t="str">
        <x:v>load_finance_result</x:v>
      </x:c>
      <x:c r="G935" s="17" t="str"/>
      <x:c r="H935" s="17" t="str"/>
      <x:c r="I935" s="17" t="str">
        <x:v>合理操作</x:v>
      </x:c>
      <x:c r="J935" s="17" t="str">
        <x:v>是</x:v>
      </x:c>
      <x:c r="K935" s="18"/>
      <x:c r="L935" s="17" t="str">
        <x:v>否</x:v>
      </x:c>
      <x:c r="M935" s="17" t="str">
        <x:v>否</x:v>
      </x:c>
      <x:c r="N935" s="17" t="str">
        <x:v>load_truncated_result</x:v>
      </x:c>
      <x:c r="O935" s="17" t="str">
        <x:v>sample_incomplete_requires_full_result</x:v>
      </x:c>
      <x:c r="P935" s="17" t="str">
        <x:v>session://financial_qa_33499cfa81de4d06_2910_bf2699aa905e/vars/v1</x:v>
      </x:c>
      <x:c r="Q935" s="17" t="str"/>
      <x:c r="R935" s="17" t="str"/>
      <x:c r="S935" s="17" t="str"/>
      <x:c r="T935" s="17" t="str"/>
      <x:c r="U935" s="17" t="str"/>
      <x:c r="V935" s="30"/>
      <x:c r="W935" s="17" t="str">
        <x:v>high</x:v>
      </x:c>
    </x:row>
    <x:row r="936" ht="54" customHeight="1">
      <x:c r="A936" s="17" t="str">
        <x:v>BUS218</x:v>
      </x:c>
      <x:c r="B936" s="17" t="str">
        <x:v>查询机器人热点中的龙头公司。</x:v>
      </x:c>
      <x:c r="C936" s="17" t="n">
        <x:v>1</x:v>
      </x:c>
      <x:c r="D936" s="17" t="str"/>
      <x:c r="E936" s="17" t="str">
        <x:v>工具调用</x:v>
      </x:c>
      <x:c r="F936" s="17" t="str">
        <x:v>read_finance_catalog</x:v>
      </x:c>
      <x:c r="G936" s="17" t="str"/>
      <x:c r="H936" s="17" t="str"/>
      <x:c r="I936" s="17" t="str">
        <x:v>合理操作</x:v>
      </x:c>
      <x:c r="J936" s="17" t="str">
        <x:v>是</x:v>
      </x:c>
      <x:c r="K936" s="18"/>
      <x:c r="L936" s="17" t="str">
        <x:v>否</x:v>
      </x:c>
      <x:c r="M936" s="17" t="str">
        <x:v>否</x:v>
      </x:c>
      <x:c r="N936" s="17" t="str">
        <x:v>subject_catalog_discovery</x:v>
      </x:c>
      <x:c r="O936" s="17" t="str">
        <x:v>expected_subject_catalog</x:v>
      </x:c>
      <x:c r="P936" s="17" t="str"/>
      <x:c r="Q936" s="17" t="str"/>
      <x:c r="R936" s="17" t="str"/>
      <x:c r="S936" s="17" t="str">
        <x:v>hot_event</x:v>
      </x:c>
      <x:c r="T936" s="17" t="str">
        <x:v>base_info, state, member</x:v>
      </x:c>
      <x:c r="U936" s="17" t="str"/>
      <x:c r="V936" s="30"/>
      <x:c r="W936" s="17" t="str">
        <x:v>medium</x:v>
      </x:c>
    </x:row>
    <x:row r="937" ht="54" customHeight="1">
      <x:c r="A937" s="17" t="str">
        <x:v>BUS218</x:v>
      </x:c>
      <x:c r="B937" s="17" t="str">
        <x:v>查询机器人热点中的龙头公司。</x:v>
      </x:c>
      <x:c r="C937" s="17" t="n">
        <x:v>2</x:v>
      </x:c>
      <x:c r="D937" s="17" t="str"/>
      <x:c r="E937" s="17" t="str">
        <x:v>工具调用</x:v>
      </x:c>
      <x:c r="F937" s="17" t="str">
        <x:v>read_finance_catalog</x:v>
      </x:c>
      <x:c r="G937" s="17" t="str"/>
      <x:c r="H937" s="17" t="str"/>
      <x:c r="I937" s="17" t="str">
        <x:v>合理操作</x:v>
      </x:c>
      <x:c r="J937" s="17" t="str">
        <x:v>是</x:v>
      </x:c>
      <x:c r="K937" s="18"/>
      <x:c r="L937" s="17" t="str">
        <x:v>否</x:v>
      </x:c>
      <x:c r="M937" s="17" t="str">
        <x:v>否</x:v>
      </x:c>
      <x:c r="N937" s="17" t="str">
        <x:v>target_catalog_located</x:v>
      </x:c>
      <x:c r="O937" s="17" t="str">
        <x:v>expected_dataview_catalog</x:v>
      </x:c>
      <x:c r="P937" s="17" t="str"/>
      <x:c r="Q937" s="17" t="str"/>
      <x:c r="R937" s="17" t="str"/>
      <x:c r="S937" s="17" t="str">
        <x:v>hot_event</x:v>
      </x:c>
      <x:c r="T937" s="17" t="str">
        <x:v>base_info</x:v>
      </x:c>
      <x:c r="U937" s="17" t="str"/>
      <x:c r="V937" s="30"/>
      <x:c r="W937" s="17" t="str">
        <x:v>high</x:v>
      </x:c>
    </x:row>
    <x:row r="938" ht="54" customHeight="1">
      <x:c r="A938" s="17" t="str">
        <x:v>BUS218</x:v>
      </x:c>
      <x:c r="B938" s="17" t="str">
        <x:v>查询机器人热点中的龙头公司。</x:v>
      </x:c>
      <x:c r="C938" s="17" t="n">
        <x:v>3</x:v>
      </x:c>
      <x:c r="D938" s="17" t="str"/>
      <x:c r="E938" s="17" t="str">
        <x:v>工具调用</x:v>
      </x:c>
      <x:c r="F938" s="17" t="str">
        <x:v>read_finance_catalog</x:v>
      </x:c>
      <x:c r="G938" s="17" t="str"/>
      <x:c r="H938" s="17" t="str"/>
      <x:c r="I938" s="17" t="str">
        <x:v>合理操作</x:v>
      </x:c>
      <x:c r="J938" s="17" t="str">
        <x:v>是</x:v>
      </x:c>
      <x:c r="K938" s="18"/>
      <x:c r="L938" s="17" t="str">
        <x:v>否</x:v>
      </x:c>
      <x:c r="M938" s="17" t="str">
        <x:v>否</x:v>
      </x:c>
      <x:c r="N938" s="17" t="str">
        <x:v>subject_catalog_discovery</x:v>
      </x:c>
      <x:c r="O938" s="17" t="str">
        <x:v>expected_subject_catalog</x:v>
      </x:c>
      <x:c r="P938" s="17" t="str"/>
      <x:c r="Q938" s="17" t="str"/>
      <x:c r="R938" s="17" t="str"/>
      <x:c r="S938" s="17" t="str">
        <x:v>hot_event</x:v>
      </x:c>
      <x:c r="T938" s="17" t="str">
        <x:v>state</x:v>
      </x:c>
      <x:c r="U938" s="17" t="str"/>
      <x:c r="V938" s="30"/>
      <x:c r="W938" s="17" t="str">
        <x:v>medium</x:v>
      </x:c>
    </x:row>
    <x:row r="939" ht="54" customHeight="1">
      <x:c r="A939" s="17" t="str">
        <x:v>BUS218</x:v>
      </x:c>
      <x:c r="B939" s="17" t="str">
        <x:v>查询机器人热点中的龙头公司。</x:v>
      </x:c>
      <x:c r="C939" s="17" t="n">
        <x:v>4</x:v>
      </x:c>
      <x:c r="D939" s="17" t="str"/>
      <x:c r="E939" s="17" t="str">
        <x:v>工具调用</x:v>
      </x:c>
      <x:c r="F939" s="17" t="str">
        <x:v>read_finance_catalog</x:v>
      </x:c>
      <x:c r="G939" s="17" t="str"/>
      <x:c r="H939" s="17" t="str"/>
      <x:c r="I939" s="17" t="str">
        <x:v>合理操作</x:v>
      </x:c>
      <x:c r="J939" s="17" t="str">
        <x:v>是</x:v>
      </x:c>
      <x:c r="K939" s="18"/>
      <x:c r="L939" s="17" t="str">
        <x:v>否</x:v>
      </x:c>
      <x:c r="M939" s="17" t="str">
        <x:v>否</x:v>
      </x:c>
      <x:c r="N939" s="17" t="str">
        <x:v>target_catalog_located</x:v>
      </x:c>
      <x:c r="O939" s="17" t="str">
        <x:v>expected_dataview_catalog</x:v>
      </x:c>
      <x:c r="P939" s="17" t="str"/>
      <x:c r="Q939" s="17" t="str"/>
      <x:c r="R939" s="17" t="str"/>
      <x:c r="S939" s="17" t="str">
        <x:v>hot_event</x:v>
      </x:c>
      <x:c r="T939" s="17" t="str">
        <x:v>member</x:v>
      </x:c>
      <x:c r="U939" s="17" t="str"/>
      <x:c r="V939" s="30"/>
      <x:c r="W939" s="17" t="str">
        <x:v>high</x:v>
      </x:c>
    </x:row>
    <x:row r="940" ht="54" customHeight="1">
      <x:c r="A940" s="17" t="str">
        <x:v>BUS218</x:v>
      </x:c>
      <x:c r="B940" s="17" t="str">
        <x:v>查询机器人热点中的龙头公司。</x:v>
      </x:c>
      <x:c r="C940" s="17" t="n">
        <x:v>5</x:v>
      </x:c>
      <x:c r="D940" s="17" t="str"/>
      <x:c r="E940" s="17" t="str">
        <x:v>工具调用</x:v>
      </x:c>
      <x:c r="F940" s="17" t="str">
        <x:v>finance_query</x:v>
      </x:c>
      <x:c r="G940" s="17" t="str">
        <x:v>r1 = hot_event.base_info(filter = "event like '%机器人%'", limit = 10) -&gt; event_id, event, first_trigger_date, latest_trigger_date, is_active, current_company_num</x:v>
      </x:c>
      <x:c r="H940" s="17" t="str"/>
      <x:c r="I940" s="17" t="str">
        <x:v>合理操作</x:v>
      </x:c>
      <x:c r="J940" s="17" t="str">
        <x:v>是</x:v>
      </x:c>
      <x:c r="K940" s="18"/>
      <x:c r="L940" s="17" t="str">
        <x:v>否</x:v>
      </x:c>
      <x:c r="M940" s="17" t="str">
        <x:v>否</x:v>
      </x:c>
      <x:c r="N940" s="17" t="str">
        <x:v>target_api_executed</x:v>
      </x:c>
      <x:c r="O940" s="17" t="str">
        <x:v>expected_dataview_coverage</x:v>
      </x:c>
      <x:c r="P940" s="17" t="str">
        <x:v>session://financial_qa_33499cfa81de4d06_2911_9e3cecfd5aab/vars/v1</x:v>
      </x:c>
      <x:c r="Q940" s="17" t="str"/>
      <x:c r="R940" s="17" t="str">
        <x:v>hot_event.base_info</x:v>
      </x:c>
      <x:c r="S940" s="17" t="str"/>
      <x:c r="T940" s="17" t="str"/>
      <x:c r="U940" s="17" t="str">
        <x:v>r1</x:v>
      </x:c>
      <x:c r="V940" s="30" t="n">
        <x:v>10</x:v>
      </x:c>
      <x:c r="W940" s="17" t="str">
        <x:v>high</x:v>
      </x:c>
    </x:row>
    <x:row r="941" ht="54" customHeight="1">
      <x:c r="A941" s="17" t="str">
        <x:v>BUS218</x:v>
      </x:c>
      <x:c r="B941" s="17" t="str">
        <x:v>查询机器人热点中的龙头公司。</x:v>
      </x:c>
      <x:c r="C941" s="17" t="n">
        <x:v>6</x:v>
      </x:c>
      <x:c r="D941" s="17" t="str"/>
      <x:c r="E941" s="17" t="str">
        <x:v>工具调用</x:v>
      </x:c>
      <x:c r="F941" s="17" t="str">
        <x:v>finance_query</x:v>
      </x:c>
      <x:c r="G941" s="17" t="str">
        <x:v>r2 = hot_event.member(filter = "event like '%机器人%' and is_leader = 1", limit = 20) -&gt; event_id, event, stock_code, stock_name, is_leader, relation_type</x:v>
      </x:c>
      <x:c r="H941" s="17" t="str"/>
      <x:c r="I941" s="17" t="str">
        <x:v>合理操作</x:v>
      </x:c>
      <x:c r="J941" s="17" t="str">
        <x:v>是</x:v>
      </x:c>
      <x:c r="K941" s="18"/>
      <x:c r="L941" s="17" t="str">
        <x:v>否</x:v>
      </x:c>
      <x:c r="M941" s="17" t="str">
        <x:v>否</x:v>
      </x:c>
      <x:c r="N941" s="17" t="str">
        <x:v>target_api_executed</x:v>
      </x:c>
      <x:c r="O941" s="17" t="str">
        <x:v>expected_dataview_coverage</x:v>
      </x:c>
      <x:c r="P941" s="17" t="str">
        <x:v>session://financial_qa_33499cfa81de4d06_2911_9e3cecfd5aab/vars/v2</x:v>
      </x:c>
      <x:c r="Q941" s="17" t="str"/>
      <x:c r="R941" s="17" t="str">
        <x:v>hot_event.member</x:v>
      </x:c>
      <x:c r="S941" s="17" t="str"/>
      <x:c r="T941" s="17" t="str"/>
      <x:c r="U941" s="17" t="str">
        <x:v>r2</x:v>
      </x:c>
      <x:c r="V941" s="30" t="n">
        <x:v>0</x:v>
      </x:c>
      <x:c r="W941" s="17" t="str">
        <x:v>high</x:v>
      </x:c>
    </x:row>
    <x:row r="942" ht="54" customHeight="1">
      <x:c r="A942" s="17" t="str">
        <x:v>BUS218</x:v>
      </x:c>
      <x:c r="B942" s="17" t="str">
        <x:v>查询机器人热点中的龙头公司。</x:v>
      </x:c>
      <x:c r="C942" s="17" t="n">
        <x:v>7</x:v>
      </x:c>
      <x:c r="D942" s="17" t="str"/>
      <x:c r="E942" s="17" t="str">
        <x:v>工具调用</x:v>
      </x:c>
      <x:c r="F942" s="17" t="str">
        <x:v>load_finance_result</x:v>
      </x:c>
      <x:c r="G942" s="17" t="str"/>
      <x:c r="H942" s="17" t="str"/>
      <x:c r="I942" s="17" t="str">
        <x:v>合理操作</x:v>
      </x:c>
      <x:c r="J942" s="17" t="str">
        <x:v>是</x:v>
      </x:c>
      <x:c r="K942" s="18"/>
      <x:c r="L942" s="17" t="str">
        <x:v>否</x:v>
      </x:c>
      <x:c r="M942" s="17" t="str">
        <x:v>否</x:v>
      </x:c>
      <x:c r="N942" s="17" t="str">
        <x:v>load_truncated_result</x:v>
      </x:c>
      <x:c r="O942" s="17" t="str">
        <x:v>sample_incomplete_requires_full_result</x:v>
      </x:c>
      <x:c r="P942" s="17" t="str">
        <x:v>session://financial_qa_33499cfa81de4d06_2911_9e3cecfd5aab/vars/v1</x:v>
      </x:c>
      <x:c r="Q942" s="17" t="str"/>
      <x:c r="R942" s="17" t="str"/>
      <x:c r="S942" s="17" t="str"/>
      <x:c r="T942" s="17" t="str"/>
      <x:c r="U942" s="17" t="str"/>
      <x:c r="V942" s="30"/>
      <x:c r="W942" s="17" t="str">
        <x:v>high</x:v>
      </x:c>
    </x:row>
    <x:row r="943" ht="54" customHeight="1">
      <x:c r="A943" s="17" t="str">
        <x:v>BUS218</x:v>
      </x:c>
      <x:c r="B943" s="17" t="str">
        <x:v>查询机器人热点中的龙头公司。</x:v>
      </x:c>
      <x:c r="C943" s="17" t="n">
        <x:v>8</x:v>
      </x:c>
      <x:c r="D943" s="17" t="str"/>
      <x:c r="E943" s="17" t="str">
        <x:v>工具调用</x:v>
      </x:c>
      <x:c r="F943" s="17" t="str">
        <x:v>finance_query</x:v>
      </x:c>
      <x:c r="G943" s="17" t="str">
        <x:v>r3 = hot_event.member(filter = "event_id = 'HEDF3F9D38D7EB5218'", limit = 30) -&gt; event_id, event, stock_code, stock_name, is_leader, relation_type</x:v>
      </x:c>
      <x:c r="H943" s="17" t="str"/>
      <x:c r="I943" s="17" t="str">
        <x:v>设计浪费</x:v>
      </x:c>
      <x:c r="J943" s="17" t="str">
        <x:v>否</x:v>
      </x:c>
      <x:c r="K943" s="18"/>
      <x:c r="L943" s="17" t="str">
        <x:v>否</x:v>
      </x:c>
      <x:c r="M943" s="17" t="str">
        <x:v>否</x:v>
      </x:c>
      <x:c r="N943" s="17" t="str">
        <x:v>requery_after_terminal_zero</x:v>
      </x:c>
      <x:c r="O943" s="17" t="str">
        <x:v>terminal_zero_requery</x:v>
      </x:c>
      <x:c r="P943" s="17" t="str">
        <x:v>session://financial_qa_33499cfa81de4d06_2911_9e3cecfd5aab/vars/v3</x:v>
      </x:c>
      <x:c r="Q943" s="17" t="str"/>
      <x:c r="R943" s="17" t="str">
        <x:v>hot_event.member</x:v>
      </x:c>
      <x:c r="S943" s="17" t="str"/>
      <x:c r="T943" s="17" t="str"/>
      <x:c r="U943" s="17" t="str">
        <x:v>r3</x:v>
      </x:c>
      <x:c r="V943" s="30" t="n">
        <x:v>30</x:v>
      </x:c>
      <x:c r="W943" s="17" t="str">
        <x:v>high</x:v>
      </x:c>
    </x:row>
    <x:row r="944" ht="54" customHeight="1">
      <x:c r="A944" s="17" t="str">
        <x:v>BUS218</x:v>
      </x:c>
      <x:c r="B944" s="17" t="str">
        <x:v>查询机器人热点中的龙头公司。</x:v>
      </x:c>
      <x:c r="C944" s="17" t="n">
        <x:v>9</x:v>
      </x:c>
      <x:c r="D944" s="17" t="str"/>
      <x:c r="E944" s="17" t="str">
        <x:v>工具调用</x:v>
      </x:c>
      <x:c r="F944" s="17" t="str">
        <x:v>finance_query</x:v>
      </x:c>
      <x:c r="G944" s="17" t="str">
        <x:v>r4 = hot_event.member(filter = "event_id = 'HE2650A0A5013B9317'", limit = 30) -&gt; event_id, event, stock_code, stock_name, is_leader, relation_type</x:v>
      </x:c>
      <x:c r="H944" s="17" t="str"/>
      <x:c r="I944" s="17" t="str">
        <x:v>合理操作</x:v>
      </x:c>
      <x:c r="J944" s="17" t="str">
        <x:v>是</x:v>
      </x:c>
      <x:c r="K944" s="18"/>
      <x:c r="L944" s="17" t="str">
        <x:v>否</x:v>
      </x:c>
      <x:c r="M944" s="17" t="str">
        <x:v>否</x:v>
      </x:c>
      <x:c r="N944" s="17" t="str">
        <x:v>target_api_executed</x:v>
      </x:c>
      <x:c r="O944" s="17" t="str">
        <x:v>expected_dataview_coverage</x:v>
      </x:c>
      <x:c r="P944" s="17" t="str">
        <x:v>session://financial_qa_33499cfa81de4d06_2911_9e3cecfd5aab/vars/v4</x:v>
      </x:c>
      <x:c r="Q944" s="17" t="str"/>
      <x:c r="R944" s="17" t="str">
        <x:v>hot_event.member</x:v>
      </x:c>
      <x:c r="S944" s="17" t="str"/>
      <x:c r="T944" s="17" t="str"/>
      <x:c r="U944" s="17" t="str">
        <x:v>r4</x:v>
      </x:c>
      <x:c r="V944" s="30" t="n">
        <x:v>30</x:v>
      </x:c>
      <x:c r="W944" s="17" t="str">
        <x:v>high</x:v>
      </x:c>
    </x:row>
    <x:row r="945" ht="54" customHeight="1">
      <x:c r="A945" s="17" t="str">
        <x:v>BUS218</x:v>
      </x:c>
      <x:c r="B945" s="17" t="str">
        <x:v>查询机器人热点中的龙头公司。</x:v>
      </x:c>
      <x:c r="C945" s="17" t="n">
        <x:v>10</x:v>
      </x:c>
      <x:c r="D945" s="17" t="str"/>
      <x:c r="E945" s="17" t="str">
        <x:v>工具调用</x:v>
      </x:c>
      <x:c r="F945" s="17" t="str">
        <x:v>load_finance_result</x:v>
      </x:c>
      <x:c r="G945" s="17" t="str"/>
      <x:c r="H945" s="17" t="str"/>
      <x:c r="I945" s="17" t="str">
        <x:v>合理操作</x:v>
      </x:c>
      <x:c r="J945" s="17" t="str">
        <x:v>是</x:v>
      </x:c>
      <x:c r="K945" s="18"/>
      <x:c r="L945" s="17" t="str">
        <x:v>否</x:v>
      </x:c>
      <x:c r="M945" s="17" t="str">
        <x:v>否</x:v>
      </x:c>
      <x:c r="N945" s="17" t="str">
        <x:v>load_truncated_result</x:v>
      </x:c>
      <x:c r="O945" s="17" t="str">
        <x:v>sample_incomplete_requires_full_result</x:v>
      </x:c>
      <x:c r="P945" s="17" t="str">
        <x:v>session://financial_qa_33499cfa81de4d06_2911_9e3cecfd5aab/vars/v3</x:v>
      </x:c>
      <x:c r="Q945" s="17" t="str"/>
      <x:c r="R945" s="17" t="str"/>
      <x:c r="S945" s="17" t="str"/>
      <x:c r="T945" s="17" t="str"/>
      <x:c r="U945" s="17" t="str"/>
      <x:c r="V945" s="30"/>
      <x:c r="W945" s="17" t="str">
        <x:v>high</x:v>
      </x:c>
    </x:row>
    <x:row r="946" ht="54" customHeight="1">
      <x:c r="A946" s="17" t="str">
        <x:v>BUS218</x:v>
      </x:c>
      <x:c r="B946" s="17" t="str">
        <x:v>查询机器人热点中的龙头公司。</x:v>
      </x:c>
      <x:c r="C946" s="17" t="n">
        <x:v>11</x:v>
      </x:c>
      <x:c r="D946" s="17" t="str"/>
      <x:c r="E946" s="17" t="str">
        <x:v>工具调用</x:v>
      </x:c>
      <x:c r="F946" s="17" t="str">
        <x:v>load_finance_result</x:v>
      </x:c>
      <x:c r="G946" s="17" t="str"/>
      <x:c r="H946" s="17" t="str"/>
      <x:c r="I946" s="17" t="str">
        <x:v>合理操作</x:v>
      </x:c>
      <x:c r="J946" s="17" t="str">
        <x:v>是</x:v>
      </x:c>
      <x:c r="K946" s="18"/>
      <x:c r="L946" s="17" t="str">
        <x:v>否</x:v>
      </x:c>
      <x:c r="M946" s="17" t="str">
        <x:v>否</x:v>
      </x:c>
      <x:c r="N946" s="17" t="str">
        <x:v>load_truncated_result</x:v>
      </x:c>
      <x:c r="O946" s="17" t="str">
        <x:v>sample_incomplete_requires_full_result</x:v>
      </x:c>
      <x:c r="P946" s="17" t="str">
        <x:v>session://financial_qa_33499cfa81de4d06_2911_9e3cecfd5aab/vars/v4</x:v>
      </x:c>
      <x:c r="Q946" s="17" t="str"/>
      <x:c r="R946" s="17" t="str"/>
      <x:c r="S946" s="17" t="str"/>
      <x:c r="T946" s="17" t="str"/>
      <x:c r="U946" s="17" t="str"/>
      <x:c r="V946" s="30"/>
      <x:c r="W946" s="17" t="str">
        <x:v>high</x:v>
      </x:c>
    </x:row>
    <x:row r="947" ht="54" customHeight="1">
      <x:c r="A947" s="17" t="str">
        <x:v>BUS218</x:v>
      </x:c>
      <x:c r="B947" s="17" t="str">
        <x:v>查询机器人热点中的龙头公司。</x:v>
      </x:c>
      <x:c r="C947" s="17" t="n">
        <x:v>12</x:v>
      </x:c>
      <x:c r="D947" s="17" t="str"/>
      <x:c r="E947" s="17" t="str">
        <x:v>工具调用</x:v>
      </x:c>
      <x:c r="F947" s="17" t="str">
        <x:v>finance_query</x:v>
      </x:c>
      <x:c r="G947" s="17" t="str">
        <x:v>r5 = hot_event.member(filter = "event_id = 'HE2BB2CF98C8CC5ECA'", limit = 10) -&gt; event_id, event, stock_code, stock_name, is_leader, relation_type</x:v>
      </x:c>
      <x:c r="H947" s="17" t="str"/>
      <x:c r="I947" s="17" t="str">
        <x:v>合理操作</x:v>
      </x:c>
      <x:c r="J947" s="17" t="str">
        <x:v>是</x:v>
      </x:c>
      <x:c r="K947" s="18"/>
      <x:c r="L947" s="17" t="str">
        <x:v>否</x:v>
      </x:c>
      <x:c r="M947" s="17" t="str">
        <x:v>否</x:v>
      </x:c>
      <x:c r="N947" s="17" t="str">
        <x:v>target_api_executed</x:v>
      </x:c>
      <x:c r="O947" s="17" t="str">
        <x:v>expected_dataview_coverage</x:v>
      </x:c>
      <x:c r="P947" s="17" t="str">
        <x:v>session://financial_qa_33499cfa81de4d06_2911_9e3cecfd5aab/vars/v5</x:v>
      </x:c>
      <x:c r="Q947" s="17" t="str"/>
      <x:c r="R947" s="17" t="str">
        <x:v>hot_event.member</x:v>
      </x:c>
      <x:c r="S947" s="17" t="str"/>
      <x:c r="T947" s="17" t="str"/>
      <x:c r="U947" s="17" t="str">
        <x:v>r5</x:v>
      </x:c>
      <x:c r="V947" s="30" t="n">
        <x:v>10</x:v>
      </x:c>
      <x:c r="W947" s="17" t="str">
        <x:v>high</x:v>
      </x:c>
    </x:row>
    <x:row r="948" ht="54" customHeight="1">
      <x:c r="A948" s="17" t="str">
        <x:v>BUS218</x:v>
      </x:c>
      <x:c r="B948" s="17" t="str">
        <x:v>查询机器人热点中的龙头公司。</x:v>
      </x:c>
      <x:c r="C948" s="17" t="n">
        <x:v>13</x:v>
      </x:c>
      <x:c r="D948" s="17" t="str"/>
      <x:c r="E948" s="17" t="str">
        <x:v>工具调用</x:v>
      </x:c>
      <x:c r="F948" s="17" t="str">
        <x:v>load_finance_result</x:v>
      </x:c>
      <x:c r="G948" s="17" t="str"/>
      <x:c r="H948" s="17" t="str"/>
      <x:c r="I948" s="17" t="str">
        <x:v>合理操作</x:v>
      </x:c>
      <x:c r="J948" s="17" t="str">
        <x:v>是</x:v>
      </x:c>
      <x:c r="K948" s="18"/>
      <x:c r="L948" s="17" t="str">
        <x:v>否</x:v>
      </x:c>
      <x:c r="M948" s="17" t="str">
        <x:v>否</x:v>
      </x:c>
      <x:c r="N948" s="17" t="str">
        <x:v>load_truncated_result</x:v>
      </x:c>
      <x:c r="O948" s="17" t="str">
        <x:v>sample_incomplete_requires_full_result</x:v>
      </x:c>
      <x:c r="P948" s="17" t="str">
        <x:v>session://financial_qa_33499cfa81de4d06_2911_9e3cecfd5aab/vars/v5</x:v>
      </x:c>
      <x:c r="Q948" s="17" t="str"/>
      <x:c r="R948" s="17" t="str"/>
      <x:c r="S948" s="17" t="str"/>
      <x:c r="T948" s="17" t="str"/>
      <x:c r="U948" s="17" t="str"/>
      <x:c r="V948" s="30"/>
      <x:c r="W948" s="17" t="str">
        <x:v>high</x:v>
      </x:c>
    </x:row>
    <x:row r="949" ht="54" customHeight="1">
      <x:c r="A949" s="17" t="str">
        <x:v>BUS219</x:v>
      </x:c>
      <x:c r="B949" s="17" t="str">
        <x:v>筛选今天某热点事件下关系类型为核心受益的公司。</x:v>
      </x:c>
      <x:c r="C949" s="17" t="n">
        <x:v>1</x:v>
      </x:c>
      <x:c r="D949" s="17" t="str"/>
      <x:c r="E949" s="17" t="str">
        <x:v>工具调用</x:v>
      </x:c>
      <x:c r="F949" s="17" t="str">
        <x:v>read_finance_catalog</x:v>
      </x:c>
      <x:c r="G949" s="17" t="str"/>
      <x:c r="H949" s="17" t="str"/>
      <x:c r="I949" s="17" t="str">
        <x:v>合理操作</x:v>
      </x:c>
      <x:c r="J949" s="17" t="str">
        <x:v>是</x:v>
      </x:c>
      <x:c r="K949" s="18"/>
      <x:c r="L949" s="17" t="str">
        <x:v>否</x:v>
      </x:c>
      <x:c r="M949" s="17" t="str">
        <x:v>否</x:v>
      </x:c>
      <x:c r="N949" s="17" t="str">
        <x:v>target_catalog_located</x:v>
      </x:c>
      <x:c r="O949" s="17" t="str">
        <x:v>expected_dataview_catalog</x:v>
      </x:c>
      <x:c r="P949" s="17" t="str"/>
      <x:c r="Q949" s="17" t="str"/>
      <x:c r="R949" s="17" t="str"/>
      <x:c r="S949" s="17" t="str">
        <x:v>hot_event</x:v>
      </x:c>
      <x:c r="T949" s="17" t="str">
        <x:v>member</x:v>
      </x:c>
      <x:c r="U949" s="17" t="str"/>
      <x:c r="V949" s="30"/>
      <x:c r="W949" s="17" t="str">
        <x:v>high</x:v>
      </x:c>
    </x:row>
    <x:row r="950" ht="54" customHeight="1">
      <x:c r="A950" s="17" t="str">
        <x:v>BUS219</x:v>
      </x:c>
      <x:c r="B950" s="17" t="str">
        <x:v>筛选今天某热点事件下关系类型为核心受益的公司。</x:v>
      </x:c>
      <x:c r="C950" s="17" t="n">
        <x:v>2</x:v>
      </x:c>
      <x:c r="D950" s="17" t="str"/>
      <x:c r="E950" s="17" t="str">
        <x:v>工具调用</x:v>
      </x:c>
      <x:c r="F950" s="17" t="str">
        <x:v>read_finance_catalog</x:v>
      </x:c>
      <x:c r="G950" s="17" t="str"/>
      <x:c r="H950" s="17" t="str"/>
      <x:c r="I950" s="17" t="str">
        <x:v>合理操作</x:v>
      </x:c>
      <x:c r="J950" s="17" t="str">
        <x:v>是</x:v>
      </x:c>
      <x:c r="K950" s="18"/>
      <x:c r="L950" s="17" t="str">
        <x:v>否</x:v>
      </x:c>
      <x:c r="M950" s="17" t="str">
        <x:v>否</x:v>
      </x:c>
      <x:c r="N950" s="17" t="str">
        <x:v>subject_catalog_discovery</x:v>
      </x:c>
      <x:c r="O950" s="17" t="str">
        <x:v>expected_subject_catalog</x:v>
      </x:c>
      <x:c r="P950" s="17" t="str"/>
      <x:c r="Q950" s="17" t="str"/>
      <x:c r="R950" s="17" t="str"/>
      <x:c r="S950" s="17" t="str">
        <x:v>hot_event</x:v>
      </x:c>
      <x:c r="T950" s="17" t="str">
        <x:v>state</x:v>
      </x:c>
      <x:c r="U950" s="17" t="str"/>
      <x:c r="V950" s="30"/>
      <x:c r="W950" s="17" t="str">
        <x:v>medium</x:v>
      </x:c>
    </x:row>
    <x:row r="951" ht="54" customHeight="1">
      <x:c r="A951" s="17" t="str">
        <x:v>BUS219</x:v>
      </x:c>
      <x:c r="B951" s="17" t="str">
        <x:v>筛选今天某热点事件下关系类型为核心受益的公司。</x:v>
      </x:c>
      <x:c r="C951" s="17" t="n">
        <x:v>3</x:v>
      </x:c>
      <x:c r="D951" s="17" t="str"/>
      <x:c r="E951" s="17" t="str">
        <x:v>工具调用</x:v>
      </x:c>
      <x:c r="F951" s="17" t="str">
        <x:v>read_finance_catalog</x:v>
      </x:c>
      <x:c r="G951" s="17" t="str"/>
      <x:c r="H951" s="17" t="str"/>
      <x:c r="I951" s="17" t="str">
        <x:v>合理操作</x:v>
      </x:c>
      <x:c r="J951" s="17" t="str">
        <x:v>是</x:v>
      </x:c>
      <x:c r="K951" s="18"/>
      <x:c r="L951" s="17" t="str">
        <x:v>否</x:v>
      </x:c>
      <x:c r="M951" s="17" t="str">
        <x:v>否</x:v>
      </x:c>
      <x:c r="N951" s="17" t="str">
        <x:v>target_catalog_located</x:v>
      </x:c>
      <x:c r="O951" s="17" t="str">
        <x:v>expected_dataview_catalog</x:v>
      </x:c>
      <x:c r="P951" s="17" t="str"/>
      <x:c r="Q951" s="17" t="str"/>
      <x:c r="R951" s="17" t="str"/>
      <x:c r="S951" s="17" t="str">
        <x:v>hot_event</x:v>
      </x:c>
      <x:c r="T951" s="17" t="str">
        <x:v>base_info</x:v>
      </x:c>
      <x:c r="U951" s="17" t="str"/>
      <x:c r="V951" s="30"/>
      <x:c r="W951" s="17" t="str">
        <x:v>high</x:v>
      </x:c>
    </x:row>
    <x:row r="952" ht="54" customHeight="1">
      <x:c r="A952" s="17" t="str">
        <x:v>BUS219</x:v>
      </x:c>
      <x:c r="B952" s="17" t="str">
        <x:v>筛选今天某热点事件下关系类型为核心受益的公司。</x:v>
      </x:c>
      <x:c r="C952" s="17" t="n">
        <x:v>4</x:v>
      </x:c>
      <x:c r="D952" s="17" t="str"/>
      <x:c r="E952" s="17" t="str">
        <x:v>工具调用</x:v>
      </x:c>
      <x:c r="F952" s="17" t="str">
        <x:v>finance_query</x:v>
      </x:c>
      <x:c r="G952" s="17" t="str">
        <x:v>r1 = hot_event.state(filter = "tradedate = 2026-08-02", order = "heat_score desc", limit = 20, realtime = 1) -&gt; event_id, event, tradedate, heat_score, change_label, company_num, avg_lift, limited_count, board_strength</x:v>
      </x:c>
      <x:c r="H952" s="17" t="str"/>
      <x:c r="I952" s="17" t="str">
        <x:v>合理操作</x:v>
      </x:c>
      <x:c r="J952" s="17" t="str">
        <x:v>是</x:v>
      </x:c>
      <x:c r="K952" s="18"/>
      <x:c r="L952" s="17" t="str">
        <x:v>否</x:v>
      </x:c>
      <x:c r="M952" s="17" t="str">
        <x:v>否</x:v>
      </x:c>
      <x:c r="N952" s="17" t="str">
        <x:v>same_subject_dependency</x:v>
      </x:c>
      <x:c r="O952" s="17" t="str">
        <x:v>supporting_api_for_expected_subject</x:v>
      </x:c>
      <x:c r="P952" s="17" t="str">
        <x:v>session://financial_qa_33499cfa81de4d06_2912_682300fba6b6/vars/v1</x:v>
      </x:c>
      <x:c r="Q952" s="17" t="str"/>
      <x:c r="R952" s="17" t="str">
        <x:v>hot_event.state</x:v>
      </x:c>
      <x:c r="S952" s="17" t="str"/>
      <x:c r="T952" s="17" t="str"/>
      <x:c r="U952" s="17" t="str">
        <x:v>r1</x:v>
      </x:c>
      <x:c r="V952" s="30" t="n">
        <x:v>0</x:v>
      </x:c>
      <x:c r="W952" s="17" t="str">
        <x:v>medium</x:v>
      </x:c>
    </x:row>
    <x:row r="953" ht="54" customHeight="1">
      <x:c r="A953" s="17" t="str">
        <x:v>BUS219</x:v>
      </x:c>
      <x:c r="B953" s="17" t="str">
        <x:v>筛选今天某热点事件下关系类型为核心受益的公司。</x:v>
      </x:c>
      <x:c r="C953" s="17" t="n">
        <x:v>5</x:v>
      </x:c>
      <x:c r="D953" s="17" t="str"/>
      <x:c r="E953" s="17" t="str">
        <x:v>工具调用</x:v>
      </x:c>
      <x:c r="F953" s="17" t="str">
        <x:v>finance_query</x:v>
      </x:c>
      <x:c r="G953" s="17" t="str">
        <x:v>r2 = hot_event.base_info(filter = "is_active = 1", limit = 20) -&gt; event_id, event, is_active, core_event_desc, latest_event_desc, current_company_num</x:v>
      </x:c>
      <x:c r="H953" s="17" t="str"/>
      <x:c r="I953" s="17" t="str">
        <x:v>合理操作</x:v>
      </x:c>
      <x:c r="J953" s="17" t="str">
        <x:v>是</x:v>
      </x:c>
      <x:c r="K953" s="18"/>
      <x:c r="L953" s="17" t="str">
        <x:v>否</x:v>
      </x:c>
      <x:c r="M953" s="17" t="str">
        <x:v>否</x:v>
      </x:c>
      <x:c r="N953" s="17" t="str">
        <x:v>target_api_executed</x:v>
      </x:c>
      <x:c r="O953" s="17" t="str">
        <x:v>expected_dataview_coverage</x:v>
      </x:c>
      <x:c r="P953" s="17" t="str">
        <x:v>session://financial_qa_33499cfa81de4d06_2912_682300fba6b6/vars/v2</x:v>
      </x:c>
      <x:c r="Q953" s="17" t="str"/>
      <x:c r="R953" s="17" t="str">
        <x:v>hot_event.base_info</x:v>
      </x:c>
      <x:c r="S953" s="17" t="str"/>
      <x:c r="T953" s="17" t="str"/>
      <x:c r="U953" s="17" t="str">
        <x:v>r2</x:v>
      </x:c>
      <x:c r="V953" s="30" t="n">
        <x:v>20</x:v>
      </x:c>
      <x:c r="W953" s="17" t="str">
        <x:v>high</x:v>
      </x:c>
    </x:row>
    <x:row r="954" ht="54" customHeight="1">
      <x:c r="A954" s="17" t="str">
        <x:v>BUS219</x:v>
      </x:c>
      <x:c r="B954" s="17" t="str">
        <x:v>筛选今天某热点事件下关系类型为核心受益的公司。</x:v>
      </x:c>
      <x:c r="C954" s="17" t="n">
        <x:v>6</x:v>
      </x:c>
      <x:c r="D954" s="17" t="str"/>
      <x:c r="E954" s="17" t="str">
        <x:v>工具调用</x:v>
      </x:c>
      <x:c r="F954" s="17" t="str">
        <x:v>load_finance_result</x:v>
      </x:c>
      <x:c r="G954" s="17" t="str"/>
      <x:c r="H954" s="17" t="str"/>
      <x:c r="I954" s="17" t="str">
        <x:v>合理操作</x:v>
      </x:c>
      <x:c r="J954" s="17" t="str">
        <x:v>是</x:v>
      </x:c>
      <x:c r="K954" s="18"/>
      <x:c r="L954" s="17" t="str">
        <x:v>否</x:v>
      </x:c>
      <x:c r="M954" s="17" t="str">
        <x:v>否</x:v>
      </x:c>
      <x:c r="N954" s="17" t="str">
        <x:v>load_truncated_result</x:v>
      </x:c>
      <x:c r="O954" s="17" t="str">
        <x:v>sample_incomplete_requires_full_result</x:v>
      </x:c>
      <x:c r="P954" s="17" t="str">
        <x:v>session://financial_qa_33499cfa81de4d06_2912_682300fba6b6/vars/v2</x:v>
      </x:c>
      <x:c r="Q954" s="17" t="str"/>
      <x:c r="R954" s="17" t="str"/>
      <x:c r="S954" s="17" t="str"/>
      <x:c r="T954" s="17" t="str"/>
      <x:c r="U954" s="17" t="str"/>
      <x:c r="V954" s="30"/>
      <x:c r="W954" s="17" t="str">
        <x:v>high</x:v>
      </x:c>
    </x:row>
    <x:row r="955" ht="54" customHeight="1">
      <x:c r="A955" s="17" t="str">
        <x:v>BUS220</x:v>
      </x:c>
      <x:c r="B955" s="17" t="str">
        <x:v>查询宁德时代参与的热点事件和公司事件描述。</x:v>
      </x:c>
      <x:c r="C955" s="17" t="n">
        <x:v>1</x:v>
      </x:c>
      <x:c r="D955" s="17" t="str"/>
      <x:c r="E955" s="17" t="str">
        <x:v>工具调用</x:v>
      </x:c>
      <x:c r="F955" s="17" t="str">
        <x:v>read_finance_catalog</x:v>
      </x:c>
      <x:c r="G955" s="17" t="str"/>
      <x:c r="H955" s="17" t="str"/>
      <x:c r="I955" s="17" t="str">
        <x:v>合理操作</x:v>
      </x:c>
      <x:c r="J955" s="17" t="str">
        <x:v>是</x:v>
      </x:c>
      <x:c r="K955" s="18"/>
      <x:c r="L955" s="17" t="str">
        <x:v>否</x:v>
      </x:c>
      <x:c r="M955" s="17" t="str">
        <x:v>否</x:v>
      </x:c>
      <x:c r="N955" s="17" t="str">
        <x:v>target_catalog_located</x:v>
      </x:c>
      <x:c r="O955" s="17" t="str">
        <x:v>expected_dataview_catalog</x:v>
      </x:c>
      <x:c r="P955" s="17" t="str"/>
      <x:c r="Q955" s="17" t="str"/>
      <x:c r="R955" s="17" t="str"/>
      <x:c r="S955" s="17" t="str">
        <x:v>hot_event</x:v>
      </x:c>
      <x:c r="T955" s="17" t="str">
        <x:v>member</x:v>
      </x:c>
      <x:c r="U955" s="17" t="str"/>
      <x:c r="V955" s="30"/>
      <x:c r="W955" s="17" t="str">
        <x:v>high</x:v>
      </x:c>
    </x:row>
    <x:row r="956" ht="54" customHeight="1">
      <x:c r="A956" s="17" t="str">
        <x:v>BUS220</x:v>
      </x:c>
      <x:c r="B956" s="17" t="str">
        <x:v>查询宁德时代参与的热点事件和公司事件描述。</x:v>
      </x:c>
      <x:c r="C956" s="17" t="n">
        <x:v>2</x:v>
      </x:c>
      <x:c r="D956" s="17" t="str"/>
      <x:c r="E956" s="17" t="str">
        <x:v>工具调用</x:v>
      </x:c>
      <x:c r="F956" s="17" t="str">
        <x:v>read_finance_catalog</x:v>
      </x:c>
      <x:c r="G956" s="17" t="str"/>
      <x:c r="H956" s="17" t="str"/>
      <x:c r="I956" s="17" t="str">
        <x:v>合理操作</x:v>
      </x:c>
      <x:c r="J956" s="17" t="str">
        <x:v>是</x:v>
      </x:c>
      <x:c r="K956" s="18"/>
      <x:c r="L956" s="17" t="str">
        <x:v>否</x:v>
      </x:c>
      <x:c r="M956" s="17" t="str">
        <x:v>否</x:v>
      </x:c>
      <x:c r="N956" s="17" t="str">
        <x:v>subject_catalog_discovery</x:v>
      </x:c>
      <x:c r="O956" s="17" t="str">
        <x:v>expected_subject_catalog</x:v>
      </x:c>
      <x:c r="P956" s="17" t="str"/>
      <x:c r="Q956" s="17" t="str"/>
      <x:c r="R956" s="17" t="str"/>
      <x:c r="S956" s="17" t="str">
        <x:v>hot_event</x:v>
      </x:c>
      <x:c r="T956" s="17" t="str">
        <x:v>state</x:v>
      </x:c>
      <x:c r="U956" s="17" t="str"/>
      <x:c r="V956" s="30"/>
      <x:c r="W956" s="17" t="str">
        <x:v>medium</x:v>
      </x:c>
    </x:row>
    <x:row r="957" ht="54" customHeight="1">
      <x:c r="A957" s="17" t="str">
        <x:v>BUS220</x:v>
      </x:c>
      <x:c r="B957" s="17" t="str">
        <x:v>查询宁德时代参与的热点事件和公司事件描述。</x:v>
      </x:c>
      <x:c r="C957" s="17" t="n">
        <x:v>3</x:v>
      </x:c>
      <x:c r="D957" s="17" t="str"/>
      <x:c r="E957" s="17" t="str">
        <x:v>工具调用</x:v>
      </x:c>
      <x:c r="F957" s="17" t="str">
        <x:v>read_finance_catalog</x:v>
      </x:c>
      <x:c r="G957" s="17" t="str"/>
      <x:c r="H957" s="17" t="str"/>
      <x:c r="I957" s="17" t="str">
        <x:v>合理操作</x:v>
      </x:c>
      <x:c r="J957" s="17" t="str">
        <x:v>是</x:v>
      </x:c>
      <x:c r="K957" s="18"/>
      <x:c r="L957" s="17" t="str">
        <x:v>否</x:v>
      </x:c>
      <x:c r="M957" s="17" t="str">
        <x:v>否</x:v>
      </x:c>
      <x:c r="N957" s="17" t="str">
        <x:v>subject_catalog_discovery</x:v>
      </x:c>
      <x:c r="O957" s="17" t="str">
        <x:v>expected_subject_catalog</x:v>
      </x:c>
      <x:c r="P957" s="17" t="str"/>
      <x:c r="Q957" s="17" t="str"/>
      <x:c r="R957" s="17" t="str"/>
      <x:c r="S957" s="17" t="str">
        <x:v>hot_event</x:v>
      </x:c>
      <x:c r="T957" s="17" t="str">
        <x:v>base_info</x:v>
      </x:c>
      <x:c r="U957" s="17" t="str"/>
      <x:c r="V957" s="30"/>
      <x:c r="W957" s="17" t="str">
        <x:v>medium</x:v>
      </x:c>
    </x:row>
    <x:row r="958" ht="54" customHeight="1">
      <x:c r="A958" s="17" t="str">
        <x:v>BUS220</x:v>
      </x:c>
      <x:c r="B958" s="17" t="str">
        <x:v>查询宁德时代参与的热点事件和公司事件描述。</x:v>
      </x:c>
      <x:c r="C958" s="17" t="n">
        <x:v>4</x:v>
      </x:c>
      <x:c r="D958" s="17" t="str"/>
      <x:c r="E958" s="17" t="str">
        <x:v>工具调用</x:v>
      </x:c>
      <x:c r="F958" s="17" t="str">
        <x:v>finance_query</x:v>
      </x:c>
      <x:c r="G958" s="17" t="str">
        <x:v>r1 = hot_event.member(filter = "stock_code = 300750.SZ", order = "tradedate desc", limit = -1) -&gt; event_id, event, stock_code, stock_name, tradedate, company_event, relation_type, is_leader</x:v>
      </x:c>
      <x:c r="H958" s="17" t="str"/>
      <x:c r="I958" s="17" t="str">
        <x:v>合理操作</x:v>
      </x:c>
      <x:c r="J958" s="17" t="str">
        <x:v>是</x:v>
      </x:c>
      <x:c r="K958" s="18"/>
      <x:c r="L958" s="17" t="str">
        <x:v>否</x:v>
      </x:c>
      <x:c r="M958" s="17" t="str">
        <x:v>否</x:v>
      </x:c>
      <x:c r="N958" s="17" t="str">
        <x:v>target_api_executed</x:v>
      </x:c>
      <x:c r="O958" s="17" t="str">
        <x:v>expected_dataview_coverage</x:v>
      </x:c>
      <x:c r="P958" s="17" t="str">
        <x:v>session://financial_qa_33499cfa81de4d06_2913_0de385f9c7ca/vars/v1</x:v>
      </x:c>
      <x:c r="Q958" s="17" t="str"/>
      <x:c r="R958" s="17" t="str">
        <x:v>hot_event.member</x:v>
      </x:c>
      <x:c r="S958" s="17" t="str"/>
      <x:c r="T958" s="17" t="str"/>
      <x:c r="U958" s="17" t="str">
        <x:v>r1</x:v>
      </x:c>
      <x:c r="V958" s="30" t="n">
        <x:v>0</x:v>
      </x:c>
      <x:c r="W958" s="17" t="str">
        <x:v>high</x:v>
      </x:c>
    </x:row>
    <x:row r="959" ht="54" customHeight="1">
      <x:c r="A959" s="17" t="str">
        <x:v>BUS221</x:v>
      </x:c>
      <x:c r="B959" s="17" t="str">
        <x:v>查询人工智能热点当前成分股数量和股票名单。</x:v>
      </x:c>
      <x:c r="C959" s="17" t="n">
        <x:v>1</x:v>
      </x:c>
      <x:c r="D959" s="17" t="str"/>
      <x:c r="E959" s="17" t="str">
        <x:v>工具调用</x:v>
      </x:c>
      <x:c r="F959" s="17" t="str">
        <x:v>read_finance_catalog</x:v>
      </x:c>
      <x:c r="G959" s="17" t="str"/>
      <x:c r="H959" s="17" t="str"/>
      <x:c r="I959" s="17" t="str">
        <x:v>合理操作</x:v>
      </x:c>
      <x:c r="J959" s="17" t="str">
        <x:v>是</x:v>
      </x:c>
      <x:c r="K959" s="18"/>
      <x:c r="L959" s="17" t="str">
        <x:v>否</x:v>
      </x:c>
      <x:c r="M959" s="17" t="str">
        <x:v>否</x:v>
      </x:c>
      <x:c r="N959" s="17" t="str">
        <x:v>target_catalog_located</x:v>
      </x:c>
      <x:c r="O959" s="17" t="str">
        <x:v>expected_dataview_catalog</x:v>
      </x:c>
      <x:c r="P959" s="17" t="str"/>
      <x:c r="Q959" s="17" t="str"/>
      <x:c r="R959" s="17" t="str"/>
      <x:c r="S959" s="17" t="str">
        <x:v>hot_event</x:v>
      </x:c>
      <x:c r="T959" s="17" t="str">
        <x:v>member</x:v>
      </x:c>
      <x:c r="U959" s="17" t="str"/>
      <x:c r="V959" s="30"/>
      <x:c r="W959" s="17" t="str">
        <x:v>high</x:v>
      </x:c>
    </x:row>
    <x:row r="960" ht="54" customHeight="1">
      <x:c r="A960" s="17" t="str">
        <x:v>BUS221</x:v>
      </x:c>
      <x:c r="B960" s="17" t="str">
        <x:v>查询人工智能热点当前成分股数量和股票名单。</x:v>
      </x:c>
      <x:c r="C960" s="17" t="n">
        <x:v>2</x:v>
      </x:c>
      <x:c r="D960" s="17" t="str"/>
      <x:c r="E960" s="17" t="str">
        <x:v>工具调用</x:v>
      </x:c>
      <x:c r="F960" s="17" t="str">
        <x:v>finance_query</x:v>
      </x:c>
      <x:c r="G960" s="17" t="str">
        <x:v>r1 = hot_event.member(filter = "event = '人工智能'") -&gt; event_id, event, stock_code, stock_name</x:v>
      </x:c>
      <x:c r="H960" s="17" t="str"/>
      <x:c r="I960" s="17" t="str">
        <x:v>合理操作</x:v>
      </x:c>
      <x:c r="J960" s="17" t="str">
        <x:v>是</x:v>
      </x:c>
      <x:c r="K960" s="18"/>
      <x:c r="L960" s="17" t="str">
        <x:v>否</x:v>
      </x:c>
      <x:c r="M960" s="17" t="str">
        <x:v>否</x:v>
      </x:c>
      <x:c r="N960" s="17" t="str">
        <x:v>target_api_executed</x:v>
      </x:c>
      <x:c r="O960" s="17" t="str">
        <x:v>expected_dataview_coverage</x:v>
      </x:c>
      <x:c r="P960" s="17" t="str">
        <x:v>session://financial_qa_33499cfa81de4d06_2914_5e69bf7459b8/vars/v1</x:v>
      </x:c>
      <x:c r="Q960" s="17" t="str"/>
      <x:c r="R960" s="17" t="str">
        <x:v>hot_event.member</x:v>
      </x:c>
      <x:c r="S960" s="17" t="str"/>
      <x:c r="T960" s="17" t="str"/>
      <x:c r="U960" s="17" t="str">
        <x:v>r1</x:v>
      </x:c>
      <x:c r="V960" s="30" t="n">
        <x:v>21</x:v>
      </x:c>
      <x:c r="W960" s="17" t="str">
        <x:v>high</x:v>
      </x:c>
    </x:row>
    <x:row r="961" ht="54" customHeight="1">
      <x:c r="A961" s="17" t="str">
        <x:v>BUS221</x:v>
      </x:c>
      <x:c r="B961" s="17" t="str">
        <x:v>查询人工智能热点当前成分股数量和股票名单。</x:v>
      </x:c>
      <x:c r="C961" s="17" t="n">
        <x:v>3</x:v>
      </x:c>
      <x:c r="D961" s="17" t="str"/>
      <x:c r="E961" s="17" t="str">
        <x:v>工具调用</x:v>
      </x:c>
      <x:c r="F961" s="17" t="str">
        <x:v>load_finance_result</x:v>
      </x:c>
      <x:c r="G961" s="17" t="str"/>
      <x:c r="H961" s="17" t="str"/>
      <x:c r="I961" s="17" t="str">
        <x:v>合理操作</x:v>
      </x:c>
      <x:c r="J961" s="17" t="str">
        <x:v>是</x:v>
      </x:c>
      <x:c r="K961" s="18"/>
      <x:c r="L961" s="17" t="str">
        <x:v>否</x:v>
      </x:c>
      <x:c r="M961" s="17" t="str">
        <x:v>否</x:v>
      </x:c>
      <x:c r="N961" s="17" t="str">
        <x:v>load_truncated_result</x:v>
      </x:c>
      <x:c r="O961" s="17" t="str">
        <x:v>sample_incomplete_requires_full_result</x:v>
      </x:c>
      <x:c r="P961" s="17" t="str">
        <x:v>session://financial_qa_33499cfa81de4d06_2914_5e69bf7459b8/vars/v1</x:v>
      </x:c>
      <x:c r="Q961" s="17" t="str"/>
      <x:c r="R961" s="17" t="str"/>
      <x:c r="S961" s="17" t="str"/>
      <x:c r="T961" s="17" t="str"/>
      <x:c r="U961" s="17" t="str"/>
      <x:c r="V961" s="30"/>
      <x:c r="W961" s="17" t="str">
        <x:v>high</x:v>
      </x:c>
    </x:row>
    <x:row r="962" ht="54" customHeight="1">
      <x:c r="A962" s="17" t="str">
        <x:v>BUS222</x:v>
      </x:c>
      <x:c r="B962" s="17" t="str">
        <x:v>查询某热点事件中被标记为龙头的股票代码和名称。</x:v>
      </x:c>
      <x:c r="C962" s="17" t="n">
        <x:v>1</x:v>
      </x:c>
      <x:c r="D962" s="17" t="str"/>
      <x:c r="E962" s="17" t="str">
        <x:v>工具调用</x:v>
      </x:c>
      <x:c r="F962" s="17" t="str">
        <x:v>read_finance_catalog</x:v>
      </x:c>
      <x:c r="G962" s="17" t="str"/>
      <x:c r="H962" s="17" t="str"/>
      <x:c r="I962" s="17" t="str">
        <x:v>合理操作</x:v>
      </x:c>
      <x:c r="J962" s="17" t="str">
        <x:v>是</x:v>
      </x:c>
      <x:c r="K962" s="18"/>
      <x:c r="L962" s="17" t="str">
        <x:v>否</x:v>
      </x:c>
      <x:c r="M962" s="17" t="str">
        <x:v>否</x:v>
      </x:c>
      <x:c r="N962" s="17" t="str">
        <x:v>target_catalog_located</x:v>
      </x:c>
      <x:c r="O962" s="17" t="str">
        <x:v>expected_dataview_catalog</x:v>
      </x:c>
      <x:c r="P962" s="17" t="str"/>
      <x:c r="Q962" s="17" t="str"/>
      <x:c r="R962" s="17" t="str"/>
      <x:c r="S962" s="17" t="str">
        <x:v>hot_event</x:v>
      </x:c>
      <x:c r="T962" s="17" t="str">
        <x:v>member</x:v>
      </x:c>
      <x:c r="U962" s="17" t="str"/>
      <x:c r="V962" s="30"/>
      <x:c r="W962" s="17" t="str">
        <x:v>high</x:v>
      </x:c>
    </x:row>
    <x:row r="963" ht="54" customHeight="1">
      <x:c r="A963" s="17" t="str">
        <x:v>BUS222</x:v>
      </x:c>
      <x:c r="B963" s="17" t="str">
        <x:v>查询某热点事件中被标记为龙头的股票代码和名称。</x:v>
      </x:c>
      <x:c r="C963" s="17" t="n">
        <x:v>2</x:v>
      </x:c>
      <x:c r="D963" s="17" t="str"/>
      <x:c r="E963" s="17" t="str">
        <x:v>工具调用</x:v>
      </x:c>
      <x:c r="F963" s="17" t="str">
        <x:v>read_finance_catalog</x:v>
      </x:c>
      <x:c r="G963" s="17" t="str"/>
      <x:c r="H963" s="17" t="str"/>
      <x:c r="I963" s="17" t="str">
        <x:v>合理操作</x:v>
      </x:c>
      <x:c r="J963" s="17" t="str">
        <x:v>是</x:v>
      </x:c>
      <x:c r="K963" s="18"/>
      <x:c r="L963" s="17" t="str">
        <x:v>否</x:v>
      </x:c>
      <x:c r="M963" s="17" t="str">
        <x:v>否</x:v>
      </x:c>
      <x:c r="N963" s="17" t="str">
        <x:v>subject_catalog_discovery</x:v>
      </x:c>
      <x:c r="O963" s="17" t="str">
        <x:v>expected_subject_catalog</x:v>
      </x:c>
      <x:c r="P963" s="17" t="str"/>
      <x:c r="Q963" s="17" t="str"/>
      <x:c r="R963" s="17" t="str"/>
      <x:c r="S963" s="17" t="str">
        <x:v>hot_event</x:v>
      </x:c>
      <x:c r="T963" s="17" t="str">
        <x:v>state</x:v>
      </x:c>
      <x:c r="U963" s="17" t="str"/>
      <x:c r="V963" s="30"/>
      <x:c r="W963" s="17" t="str">
        <x:v>medium</x:v>
      </x:c>
    </x:row>
    <x:row r="964" ht="54" customHeight="1">
      <x:c r="A964" s="17" t="str">
        <x:v>BUS222</x:v>
      </x:c>
      <x:c r="B964" s="17" t="str">
        <x:v>查询某热点事件中被标记为龙头的股票代码和名称。</x:v>
      </x:c>
      <x:c r="C964" s="17" t="n">
        <x:v>3</x:v>
      </x:c>
      <x:c r="D964" s="17" t="str"/>
      <x:c r="E964" s="17" t="str">
        <x:v>工具调用</x:v>
      </x:c>
      <x:c r="F964" s="17" t="str">
        <x:v>read_finance_catalog</x:v>
      </x:c>
      <x:c r="G964" s="17" t="str"/>
      <x:c r="H964" s="17" t="str"/>
      <x:c r="I964" s="17" t="str">
        <x:v>合理操作</x:v>
      </x:c>
      <x:c r="J964" s="17" t="str">
        <x:v>是</x:v>
      </x:c>
      <x:c r="K964" s="18"/>
      <x:c r="L964" s="17" t="str">
        <x:v>否</x:v>
      </x:c>
      <x:c r="M964" s="17" t="str">
        <x:v>否</x:v>
      </x:c>
      <x:c r="N964" s="17" t="str">
        <x:v>subject_catalog_discovery</x:v>
      </x:c>
      <x:c r="O964" s="17" t="str">
        <x:v>expected_subject_catalog</x:v>
      </x:c>
      <x:c r="P964" s="17" t="str"/>
      <x:c r="Q964" s="17" t="str"/>
      <x:c r="R964" s="17" t="str"/>
      <x:c r="S964" s="17" t="str">
        <x:v>hot_event</x:v>
      </x:c>
      <x:c r="T964" s="17" t="str">
        <x:v>base_info</x:v>
      </x:c>
      <x:c r="U964" s="17" t="str"/>
      <x:c r="V964" s="30"/>
      <x:c r="W964" s="17" t="str">
        <x:v>medium</x:v>
      </x:c>
    </x:row>
    <x:row r="965" ht="54" customHeight="1">
      <x:c r="A965" s="17" t="str">
        <x:v>BUS224</x:v>
      </x:c>
      <x:c r="B965" s="17" t="str">
        <x:v>查询PCB热点最近几次状态记录，观察热度和公司数变化。</x:v>
      </x:c>
      <x:c r="C965" s="17" t="n">
        <x:v>1</x:v>
      </x:c>
      <x:c r="D965" s="17" t="str"/>
      <x:c r="E965" s="17" t="str">
        <x:v>工具调用</x:v>
      </x:c>
      <x:c r="F965" s="17" t="str">
        <x:v>read_finance_catalog</x:v>
      </x:c>
      <x:c r="G965" s="17" t="str"/>
      <x:c r="H965" s="17" t="str"/>
      <x:c r="I965" s="17" t="str">
        <x:v>合理操作</x:v>
      </x:c>
      <x:c r="J965" s="17" t="str">
        <x:v>是</x:v>
      </x:c>
      <x:c r="K965" s="18"/>
      <x:c r="L965" s="17" t="str">
        <x:v>否</x:v>
      </x:c>
      <x:c r="M965" s="17" t="str">
        <x:v>否</x:v>
      </x:c>
      <x:c r="N965" s="17" t="str">
        <x:v>target_catalog_located</x:v>
      </x:c>
      <x:c r="O965" s="17" t="str">
        <x:v>expected_dataview_catalog</x:v>
      </x:c>
      <x:c r="P965" s="17" t="str"/>
      <x:c r="Q965" s="17" t="str"/>
      <x:c r="R965" s="17" t="str"/>
      <x:c r="S965" s="17" t="str">
        <x:v>hot_event</x:v>
      </x:c>
      <x:c r="T965" s="17" t="str">
        <x:v>state</x:v>
      </x:c>
      <x:c r="U965" s="17" t="str"/>
      <x:c r="V965" s="30"/>
      <x:c r="W965" s="17" t="str">
        <x:v>high</x:v>
      </x:c>
    </x:row>
    <x:row r="966" ht="54" customHeight="1">
      <x:c r="A966" s="17" t="str">
        <x:v>BUS224</x:v>
      </x:c>
      <x:c r="B966" s="17" t="str">
        <x:v>查询PCB热点最近几次状态记录，观察热度和公司数变化。</x:v>
      </x:c>
      <x:c r="C966" s="17" t="n">
        <x:v>2</x:v>
      </x:c>
      <x:c r="D966" s="17" t="str"/>
      <x:c r="E966" s="17" t="str">
        <x:v>工具调用</x:v>
      </x:c>
      <x:c r="F966" s="17" t="str">
        <x:v>read_finance_catalog</x:v>
      </x:c>
      <x:c r="G966" s="17" t="str"/>
      <x:c r="H966" s="17" t="str"/>
      <x:c r="I966" s="17" t="str">
        <x:v>合理操作</x:v>
      </x:c>
      <x:c r="J966" s="17" t="str">
        <x:v>是</x:v>
      </x:c>
      <x:c r="K966" s="18"/>
      <x:c r="L966" s="17" t="str">
        <x:v>否</x:v>
      </x:c>
      <x:c r="M966" s="17" t="str">
        <x:v>否</x:v>
      </x:c>
      <x:c r="N966" s="17" t="str">
        <x:v>target_catalog_located</x:v>
      </x:c>
      <x:c r="O966" s="17" t="str">
        <x:v>expected_dataview_catalog</x:v>
      </x:c>
      <x:c r="P966" s="17" t="str"/>
      <x:c r="Q966" s="17" t="str"/>
      <x:c r="R966" s="17" t="str"/>
      <x:c r="S966" s="17" t="str">
        <x:v>hot_event</x:v>
      </x:c>
      <x:c r="T966" s="17" t="str">
        <x:v>base_info</x:v>
      </x:c>
      <x:c r="U966" s="17" t="str"/>
      <x:c r="V966" s="30"/>
      <x:c r="W966" s="17" t="str">
        <x:v>high</x:v>
      </x:c>
    </x:row>
    <x:row r="967" ht="54" customHeight="1">
      <x:c r="A967" s="17" t="str">
        <x:v>BUS224</x:v>
      </x:c>
      <x:c r="B967" s="17" t="str">
        <x:v>查询PCB热点最近几次状态记录，观察热度和公司数变化。</x:v>
      </x:c>
      <x:c r="C967" s="17" t="n">
        <x:v>3</x:v>
      </x:c>
      <x:c r="D967" s="17" t="str"/>
      <x:c r="E967" s="17" t="str">
        <x:v>工具调用</x:v>
      </x:c>
      <x:c r="F967" s="17" t="str">
        <x:v>finance_query</x:v>
      </x:c>
      <x:c r="G967" s="17" t="str">
        <x:v>r1 = hot_event.base_info(filter = "event = 'PCB'", limit = 1) -&gt; event_id, event, first_trigger_date, latest_trigger_date, is_active, loop_times, current_company_num</x:v>
      </x:c>
      <x:c r="H967" s="17" t="str"/>
      <x:c r="I967" s="17" t="str">
        <x:v>合理操作</x:v>
      </x:c>
      <x:c r="J967" s="17" t="str">
        <x:v>是</x:v>
      </x:c>
      <x:c r="K967" s="18"/>
      <x:c r="L967" s="17" t="str">
        <x:v>否</x:v>
      </x:c>
      <x:c r="M967" s="17" t="str">
        <x:v>否</x:v>
      </x:c>
      <x:c r="N967" s="17" t="str">
        <x:v>target_api_executed</x:v>
      </x:c>
      <x:c r="O967" s="17" t="str">
        <x:v>expected_dataview_coverage</x:v>
      </x:c>
      <x:c r="P967" s="17" t="str">
        <x:v>session://financial_qa_33499cfa81de4d06_2917_9819103ec065/vars/v1</x:v>
      </x:c>
      <x:c r="Q967" s="17" t="str"/>
      <x:c r="R967" s="17" t="str">
        <x:v>hot_event.base_info</x:v>
      </x:c>
      <x:c r="S967" s="17" t="str"/>
      <x:c r="T967" s="17" t="str"/>
      <x:c r="U967" s="17" t="str">
        <x:v>r1</x:v>
      </x:c>
      <x:c r="V967" s="30" t="n">
        <x:v>1</x:v>
      </x:c>
      <x:c r="W967" s="17" t="str">
        <x:v>high</x:v>
      </x:c>
    </x:row>
    <x:row r="968" ht="54" customHeight="1">
      <x:c r="A968" s="17" t="str">
        <x:v>BUS224</x:v>
      </x:c>
      <x:c r="B968" s="17" t="str">
        <x:v>查询PCB热点最近几次状态记录，观察热度和公司数变化。</x:v>
      </x:c>
      <x:c r="C968" s="17" t="n">
        <x:v>4</x:v>
      </x:c>
      <x:c r="D968" s="17" t="str"/>
      <x:c r="E968" s="17" t="str">
        <x:v>工具调用</x:v>
      </x:c>
      <x:c r="F968" s="17" t="str">
        <x:v>finance_query</x:v>
      </x:c>
      <x:c r="G968" s="17" t="str">
        <x:v>r2 = hot_event.state(filter = "event = 'PCB'", order = "tradedate desc", limit = 20) -&gt; event_id, event, tradedate, heat_score, change_label, company_num, avg_lift, limited_count</x:v>
      </x:c>
      <x:c r="H968" s="17" t="str"/>
      <x:c r="I968" s="17" t="str">
        <x:v>合理操作</x:v>
      </x:c>
      <x:c r="J968" s="17" t="str">
        <x:v>是</x:v>
      </x:c>
      <x:c r="K968" s="18"/>
      <x:c r="L968" s="17" t="str">
        <x:v>否</x:v>
      </x:c>
      <x:c r="M968" s="17" t="str">
        <x:v>否</x:v>
      </x:c>
      <x:c r="N968" s="17" t="str">
        <x:v>target_api_executed</x:v>
      </x:c>
      <x:c r="O968" s="17" t="str">
        <x:v>expected_dataview_coverage</x:v>
      </x:c>
      <x:c r="P968" s="17" t="str">
        <x:v>session://financial_qa_33499cfa81de4d06_2917_9819103ec065/vars/v2</x:v>
      </x:c>
      <x:c r="Q968" s="17" t="str"/>
      <x:c r="R968" s="17" t="str">
        <x:v>hot_event.state</x:v>
      </x:c>
      <x:c r="S968" s="17" t="str"/>
      <x:c r="T968" s="17" t="str"/>
      <x:c r="U968" s="17" t="str">
        <x:v>r2</x:v>
      </x:c>
      <x:c r="V968" s="30" t="n">
        <x:v>20</x:v>
      </x:c>
      <x:c r="W968" s="17" t="str">
        <x:v>high</x:v>
      </x:c>
    </x:row>
    <x:row r="969" ht="54" customHeight="1">
      <x:c r="A969" s="17" t="str">
        <x:v>BUS224</x:v>
      </x:c>
      <x:c r="B969" s="17" t="str">
        <x:v>查询PCB热点最近几次状态记录，观察热度和公司数变化。</x:v>
      </x:c>
      <x:c r="C969" s="17" t="n">
        <x:v>5</x:v>
      </x:c>
      <x:c r="D969" s="17" t="str"/>
      <x:c r="E969" s="17" t="str">
        <x:v>工具调用</x:v>
      </x:c>
      <x:c r="F969" s="17" t="str">
        <x:v>load_finance_result</x:v>
      </x:c>
      <x:c r="G969" s="17" t="str"/>
      <x:c r="H969" s="17" t="str"/>
      <x:c r="I969" s="17" t="str">
        <x:v>合理操作</x:v>
      </x:c>
      <x:c r="J969" s="17" t="str">
        <x:v>是</x:v>
      </x:c>
      <x:c r="K969" s="18"/>
      <x:c r="L969" s="17" t="str">
        <x:v>否</x:v>
      </x:c>
      <x:c r="M969" s="17" t="str">
        <x:v>否</x:v>
      </x:c>
      <x:c r="N969" s="17" t="str">
        <x:v>load_truncated_result</x:v>
      </x:c>
      <x:c r="O969" s="17" t="str">
        <x:v>sample_incomplete_requires_full_result</x:v>
      </x:c>
      <x:c r="P969" s="17" t="str">
        <x:v>session://financial_qa_33499cfa81de4d06_2917_9819103ec065/vars/v2</x:v>
      </x:c>
      <x:c r="Q969" s="17" t="str"/>
      <x:c r="R969" s="17" t="str"/>
      <x:c r="S969" s="17" t="str"/>
      <x:c r="T969" s="17" t="str"/>
      <x:c r="U969" s="17" t="str"/>
      <x:c r="V969" s="30"/>
      <x:c r="W969" s="17" t="str">
        <x:v>high</x:v>
      </x:c>
    </x:row>
    <x:row r="970" ht="54" customHeight="1">
      <x:c r="A970" s="17" t="str">
        <x:v>BUS225</x:v>
      </x:c>
      <x:c r="B970" s="17" t="str">
        <x:v>筛选今天公司数增加且平均涨幅超过3%的热点事件。</x:v>
      </x:c>
      <x:c r="C970" s="17" t="n">
        <x:v>1</x:v>
      </x:c>
      <x:c r="D970" s="17" t="str"/>
      <x:c r="E970" s="17" t="str">
        <x:v>工具调用</x:v>
      </x:c>
      <x:c r="F970" s="17" t="str">
        <x:v>read_finance_catalog</x:v>
      </x:c>
      <x:c r="G970" s="17" t="str"/>
      <x:c r="H970" s="17" t="str"/>
      <x:c r="I970" s="17" t="str">
        <x:v>合理操作</x:v>
      </x:c>
      <x:c r="J970" s="17" t="str">
        <x:v>是</x:v>
      </x:c>
      <x:c r="K970" s="18"/>
      <x:c r="L970" s="17" t="str">
        <x:v>否</x:v>
      </x:c>
      <x:c r="M970" s="17" t="str">
        <x:v>否</x:v>
      </x:c>
      <x:c r="N970" s="17" t="str">
        <x:v>subject_catalog_discovery</x:v>
      </x:c>
      <x:c r="O970" s="17" t="str">
        <x:v>expected_subject_catalog</x:v>
      </x:c>
      <x:c r="P970" s="17" t="str"/>
      <x:c r="Q970" s="17" t="str"/>
      <x:c r="R970" s="17" t="str"/>
      <x:c r="S970" s="17" t="str">
        <x:v>hot_event</x:v>
      </x:c>
      <x:c r="T970" s="17" t="str">
        <x:v>state</x:v>
      </x:c>
      <x:c r="U970" s="17" t="str"/>
      <x:c r="V970" s="30"/>
      <x:c r="W970" s="17" t="str">
        <x:v>medium</x:v>
      </x:c>
    </x:row>
    <x:row r="971" ht="54" customHeight="1">
      <x:c r="A971" s="17" t="str">
        <x:v>BUS225</x:v>
      </x:c>
      <x:c r="B971" s="17" t="str">
        <x:v>筛选今天公司数增加且平均涨幅超过3%的热点事件。</x:v>
      </x:c>
      <x:c r="C971" s="17" t="n">
        <x:v>2</x:v>
      </x:c>
      <x:c r="D971" s="17" t="str"/>
      <x:c r="E971" s="17" t="str">
        <x:v>工具调用</x:v>
      </x:c>
      <x:c r="F971" s="17" t="str">
        <x:v>read_finance_catalog</x:v>
      </x:c>
      <x:c r="G971" s="17" t="str"/>
      <x:c r="H971" s="17" t="str"/>
      <x:c r="I971" s="17" t="str">
        <x:v>合理操作</x:v>
      </x:c>
      <x:c r="J971" s="17" t="str">
        <x:v>是</x:v>
      </x:c>
      <x:c r="K971" s="18"/>
      <x:c r="L971" s="17" t="str">
        <x:v>否</x:v>
      </x:c>
      <x:c r="M971" s="17" t="str">
        <x:v>否</x:v>
      </x:c>
      <x:c r="N971" s="17" t="str">
        <x:v>target_catalog_located</x:v>
      </x:c>
      <x:c r="O971" s="17" t="str">
        <x:v>expected_dataview_catalog</x:v>
      </x:c>
      <x:c r="P971" s="17" t="str"/>
      <x:c r="Q971" s="17" t="str"/>
      <x:c r="R971" s="17" t="str"/>
      <x:c r="S971" s="17" t="str">
        <x:v>hot_event</x:v>
      </x:c>
      <x:c r="T971" s="17" t="str">
        <x:v>member</x:v>
      </x:c>
      <x:c r="U971" s="17" t="str"/>
      <x:c r="V971" s="30"/>
      <x:c r="W971" s="17" t="str">
        <x:v>high</x:v>
      </x:c>
    </x:row>
    <x:row r="972" ht="54" customHeight="1">
      <x:c r="A972" s="17" t="str">
        <x:v>BUS225</x:v>
      </x:c>
      <x:c r="B972" s="17" t="str">
        <x:v>筛选今天公司数增加且平均涨幅超过3%的热点事件。</x:v>
      </x:c>
      <x:c r="C972" s="17" t="n">
        <x:v>3</x:v>
      </x:c>
      <x:c r="D972" s="17" t="str"/>
      <x:c r="E972" s="17" t="str">
        <x:v>工具调用</x:v>
      </x:c>
      <x:c r="F972" s="17" t="str">
        <x:v>read_finance_catalog</x:v>
      </x:c>
      <x:c r="G972" s="17" t="str"/>
      <x:c r="H972" s="17" t="str"/>
      <x:c r="I972" s="17" t="str">
        <x:v>合理操作</x:v>
      </x:c>
      <x:c r="J972" s="17" t="str">
        <x:v>是</x:v>
      </x:c>
      <x:c r="K972" s="18"/>
      <x:c r="L972" s="17" t="str">
        <x:v>否</x:v>
      </x:c>
      <x:c r="M972" s="17" t="str">
        <x:v>否</x:v>
      </x:c>
      <x:c r="N972" s="17" t="str">
        <x:v>target_catalog_located</x:v>
      </x:c>
      <x:c r="O972" s="17" t="str">
        <x:v>expected_dataview_catalog</x:v>
      </x:c>
      <x:c r="P972" s="17" t="str"/>
      <x:c r="Q972" s="17" t="str"/>
      <x:c r="R972" s="17" t="str"/>
      <x:c r="S972" s="17" t="str">
        <x:v>hot_event</x:v>
      </x:c>
      <x:c r="T972" s="17" t="str">
        <x:v>base_info</x:v>
      </x:c>
      <x:c r="U972" s="17" t="str"/>
      <x:c r="V972" s="30"/>
      <x:c r="W972" s="17" t="str">
        <x:v>high</x:v>
      </x:c>
    </x:row>
    <x:row r="973" ht="54" customHeight="1">
      <x:c r="A973" s="17" t="str">
        <x:v>BUS225</x:v>
      </x:c>
      <x:c r="B973" s="17" t="str">
        <x:v>筛选今天公司数增加且平均涨幅超过3%的热点事件。</x:v>
      </x:c>
      <x:c r="C973" s="17" t="n">
        <x:v>4</x:v>
      </x:c>
      <x:c r="D973" s="17" t="str"/>
      <x:c r="E973" s="17" t="str">
        <x:v>工具调用</x:v>
      </x:c>
      <x:c r="F973" s="17" t="str">
        <x:v>finance_query</x:v>
      </x:c>
      <x:c r="G973" s="17" t="str">
        <x:v>r1 = hot_event.state(filter = "avg_lift &gt; 3", order = "avg_lift desc", limit = 50, realtime = 1) -&gt; event_id, event, tradedate, company_num, avg_lift, change_label, heat_score, limited_count, board_strength</x:v>
      </x:c>
      <x:c r="H973" s="17" t="str"/>
      <x:c r="I973" s="17" t="str">
        <x:v>合理操作</x:v>
      </x:c>
      <x:c r="J973" s="17" t="str">
        <x:v>是</x:v>
      </x:c>
      <x:c r="K973" s="18"/>
      <x:c r="L973" s="17" t="str">
        <x:v>否</x:v>
      </x:c>
      <x:c r="M973" s="17" t="str">
        <x:v>否</x:v>
      </x:c>
      <x:c r="N973" s="17" t="str">
        <x:v>same_subject_dependency</x:v>
      </x:c>
      <x:c r="O973" s="17" t="str">
        <x:v>supporting_api_for_expected_subject</x:v>
      </x:c>
      <x:c r="P973" s="17" t="str">
        <x:v>session://financial_qa_33499cfa81de4d06_2918_cc200fdde9e5/vars/v1</x:v>
      </x:c>
      <x:c r="Q973" s="17" t="str"/>
      <x:c r="R973" s="17" t="str">
        <x:v>hot_event.state</x:v>
      </x:c>
      <x:c r="S973" s="17" t="str"/>
      <x:c r="T973" s="17" t="str"/>
      <x:c r="U973" s="17" t="str">
        <x:v>r1</x:v>
      </x:c>
      <x:c r="V973" s="30" t="n">
        <x:v>50</x:v>
      </x:c>
      <x:c r="W973" s="17" t="str">
        <x:v>medium</x:v>
      </x:c>
    </x:row>
    <x:row r="974" ht="54" customHeight="1">
      <x:c r="A974" s="17" t="str">
        <x:v>BUS225</x:v>
      </x:c>
      <x:c r="B974" s="17" t="str">
        <x:v>筛选今天公司数增加且平均涨幅超过3%的热点事件。</x:v>
      </x:c>
      <x:c r="C974" s="17" t="n">
        <x:v>5</x:v>
      </x:c>
      <x:c r="D974" s="17" t="str"/>
      <x:c r="E974" s="17" t="str">
        <x:v>工具调用</x:v>
      </x:c>
      <x:c r="F974" s="17" t="str">
        <x:v>load_finance_result</x:v>
      </x:c>
      <x:c r="G974" s="17" t="str"/>
      <x:c r="H974" s="17" t="str"/>
      <x:c r="I974" s="17" t="str">
        <x:v>合理操作</x:v>
      </x:c>
      <x:c r="J974" s="17" t="str">
        <x:v>是</x:v>
      </x:c>
      <x:c r="K974" s="18"/>
      <x:c r="L974" s="17" t="str">
        <x:v>否</x:v>
      </x:c>
      <x:c r="M974" s="17" t="str">
        <x:v>否</x:v>
      </x:c>
      <x:c r="N974" s="17" t="str">
        <x:v>load_truncated_result</x:v>
      </x:c>
      <x:c r="O974" s="17" t="str">
        <x:v>sample_incomplete_requires_full_result</x:v>
      </x:c>
      <x:c r="P974" s="17" t="str">
        <x:v>session://financial_qa_33499cfa81de4d06_2918_cc200fdde9e5/vars/v1</x:v>
      </x:c>
      <x:c r="Q974" s="17" t="str"/>
      <x:c r="R974" s="17" t="str"/>
      <x:c r="S974" s="17" t="str"/>
      <x:c r="T974" s="17" t="str"/>
      <x:c r="U974" s="17" t="str"/>
      <x:c r="V974" s="30"/>
      <x:c r="W974" s="17" t="str">
        <x:v>high</x:v>
      </x:c>
    </x:row>
    <x:row r="975" ht="54" customHeight="1">
      <x:c r="A975" s="17" t="str">
        <x:v>BUS225</x:v>
      </x:c>
      <x:c r="B975" s="17" t="str">
        <x:v>筛选今天公司数增加且平均涨幅超过3%的热点事件。</x:v>
      </x:c>
      <x:c r="C975" s="17" t="n">
        <x:v>6</x:v>
      </x:c>
      <x:c r="D975" s="17" t="str"/>
      <x:c r="E975" s="17" t="str">
        <x:v>工具调用</x:v>
      </x:c>
      <x:c r="F975" s="17" t="str">
        <x:v>finance_query</x:v>
      </x:c>
      <x:c r="G975" s="17" t="str">
        <x:v>r2 = hot_event.state(filter = "tradedate &gt;= 2026-07-01", order = "tradedate desc", limit = 30) -&gt; event_id, event, tradedate, company_num, avg_lift, change_label, heat_score</x:v>
      </x:c>
      <x:c r="H975" s="17" t="str"/>
      <x:c r="I975" s="17" t="str">
        <x:v>合理操作</x:v>
      </x:c>
      <x:c r="J975" s="17" t="str">
        <x:v>是</x:v>
      </x:c>
      <x:c r="K975" s="18"/>
      <x:c r="L975" s="17" t="str">
        <x:v>否</x:v>
      </x:c>
      <x:c r="M975" s="17" t="str">
        <x:v>否</x:v>
      </x:c>
      <x:c r="N975" s="17" t="str">
        <x:v>same_subject_dependency</x:v>
      </x:c>
      <x:c r="O975" s="17" t="str">
        <x:v>supporting_api_for_expected_subject</x:v>
      </x:c>
      <x:c r="P975" s="17" t="str">
        <x:v>session://financial_qa_33499cfa81de4d06_2918_cc200fdde9e5/vars/v2</x:v>
      </x:c>
      <x:c r="Q975" s="17" t="str"/>
      <x:c r="R975" s="17" t="str">
        <x:v>hot_event.state</x:v>
      </x:c>
      <x:c r="S975" s="17" t="str"/>
      <x:c r="T975" s="17" t="str"/>
      <x:c r="U975" s="17" t="str">
        <x:v>r2</x:v>
      </x:c>
      <x:c r="V975" s="30" t="n">
        <x:v>30</x:v>
      </x:c>
      <x:c r="W975" s="17" t="str">
        <x:v>medium</x:v>
      </x:c>
    </x:row>
    <x:row r="976" ht="54" customHeight="1">
      <x:c r="A976" s="17" t="str">
        <x:v>BUS225</x:v>
      </x:c>
      <x:c r="B976" s="17" t="str">
        <x:v>筛选今天公司数增加且平均涨幅超过3%的热点事件。</x:v>
      </x:c>
      <x:c r="C976" s="17" t="n">
        <x:v>7</x:v>
      </x:c>
      <x:c r="D976" s="17" t="str"/>
      <x:c r="E976" s="17" t="str">
        <x:v>工具调用</x:v>
      </x:c>
      <x:c r="F976" s="17" t="str">
        <x:v>finance_query</x:v>
      </x:c>
      <x:c r="G976" s="17" t="str">
        <x:v>r3 = hot_event.state(order = "tradedate desc", limit = 10) -&gt; event_id, event, tradedate, company_num, avg_lift, change_label, heat_score</x:v>
      </x:c>
      <x:c r="H976" s="17" t="str"/>
      <x:c r="I976" s="17" t="str">
        <x:v>合理操作</x:v>
      </x:c>
      <x:c r="J976" s="17" t="str">
        <x:v>是</x:v>
      </x:c>
      <x:c r="K976" s="18"/>
      <x:c r="L976" s="17" t="str">
        <x:v>否</x:v>
      </x:c>
      <x:c r="M976" s="17" t="str">
        <x:v>否</x:v>
      </x:c>
      <x:c r="N976" s="17" t="str">
        <x:v>same_subject_dependency</x:v>
      </x:c>
      <x:c r="O976" s="17" t="str">
        <x:v>supporting_api_for_expected_subject</x:v>
      </x:c>
      <x:c r="P976" s="17" t="str">
        <x:v>session://financial_qa_33499cfa81de4d06_2918_cc200fdde9e5/vars/v3</x:v>
      </x:c>
      <x:c r="Q976" s="17" t="str"/>
      <x:c r="R976" s="17" t="str">
        <x:v>hot_event.state</x:v>
      </x:c>
      <x:c r="S976" s="17" t="str"/>
      <x:c r="T976" s="17" t="str"/>
      <x:c r="U976" s="17" t="str">
        <x:v>r3</x:v>
      </x:c>
      <x:c r="V976" s="30" t="n">
        <x:v>10</x:v>
      </x:c>
      <x:c r="W976" s="17" t="str">
        <x:v>medium</x:v>
      </x:c>
    </x:row>
    <x:row r="977" ht="54" customHeight="1">
      <x:c r="A977" s="17" t="str">
        <x:v>BUS225</x:v>
      </x:c>
      <x:c r="B977" s="17" t="str">
        <x:v>筛选今天公司数增加且平均涨幅超过3%的热点事件。</x:v>
      </x:c>
      <x:c r="C977" s="17" t="n">
        <x:v>8</x:v>
      </x:c>
      <x:c r="D977" s="17" t="str"/>
      <x:c r="E977" s="17" t="str">
        <x:v>工具调用</x:v>
      </x:c>
      <x:c r="F977" s="17" t="str">
        <x:v>load_finance_result</x:v>
      </x:c>
      <x:c r="G977" s="17" t="str"/>
      <x:c r="H977" s="17" t="str"/>
      <x:c r="I977" s="17" t="str">
        <x:v>合理操作</x:v>
      </x:c>
      <x:c r="J977" s="17" t="str">
        <x:v>是</x:v>
      </x:c>
      <x:c r="K977" s="18"/>
      <x:c r="L977" s="17" t="str">
        <x:v>否</x:v>
      </x:c>
      <x:c r="M977" s="17" t="str">
        <x:v>否</x:v>
      </x:c>
      <x:c r="N977" s="17" t="str">
        <x:v>load_truncated_result</x:v>
      </x:c>
      <x:c r="O977" s="17" t="str">
        <x:v>sample_incomplete_requires_full_result</x:v>
      </x:c>
      <x:c r="P977" s="17" t="str">
        <x:v>session://financial_qa_33499cfa81de4d06_2918_cc200fdde9e5/vars/v2</x:v>
      </x:c>
      <x:c r="Q977" s="17" t="str"/>
      <x:c r="R977" s="17" t="str"/>
      <x:c r="S977" s="17" t="str"/>
      <x:c r="T977" s="17" t="str"/>
      <x:c r="U977" s="17" t="str"/>
      <x:c r="V977" s="30"/>
      <x:c r="W977" s="17" t="str">
        <x:v>high</x:v>
      </x:c>
    </x:row>
    <x:row r="978" ht="54" customHeight="1">
      <x:c r="A978" s="17" t="str">
        <x:v>BUS225</x:v>
      </x:c>
      <x:c r="B978" s="17" t="str">
        <x:v>筛选今天公司数增加且平均涨幅超过3%的热点事件。</x:v>
      </x:c>
      <x:c r="C978" s="17" t="n">
        <x:v>9</x:v>
      </x:c>
      <x:c r="D978" s="17" t="str"/>
      <x:c r="E978" s="17" t="str">
        <x:v>工具调用</x:v>
      </x:c>
      <x:c r="F978" s="17" t="str">
        <x:v>finance_query</x:v>
      </x:c>
      <x:c r="G978" s="17" t="str">
        <x:v>r4 = hot_event.state(filter = "tradedate = 2026-07-30", limit = 100) -&gt; event_id, event, tradedate, company_num, avg_lift, change_label, heat_score</x:v>
      </x:c>
      <x:c r="H978" s="17" t="str"/>
      <x:c r="I978" s="17" t="str">
        <x:v>合理操作</x:v>
      </x:c>
      <x:c r="J978" s="17" t="str">
        <x:v>是</x:v>
      </x:c>
      <x:c r="K978" s="18"/>
      <x:c r="L978" s="17" t="str">
        <x:v>否</x:v>
      </x:c>
      <x:c r="M978" s="17" t="str">
        <x:v>否</x:v>
      </x:c>
      <x:c r="N978" s="17" t="str">
        <x:v>same_subject_dependency</x:v>
      </x:c>
      <x:c r="O978" s="17" t="str">
        <x:v>supporting_api_for_expected_subject</x:v>
      </x:c>
      <x:c r="P978" s="17" t="str">
        <x:v>session://financial_qa_33499cfa81de4d06_2918_cc200fdde9e5/vars/v4</x:v>
      </x:c>
      <x:c r="Q978" s="17" t="str"/>
      <x:c r="R978" s="17" t="str">
        <x:v>hot_event.state</x:v>
      </x:c>
      <x:c r="S978" s="17" t="str"/>
      <x:c r="T978" s="17" t="str"/>
      <x:c r="U978" s="17" t="str">
        <x:v>r4</x:v>
      </x:c>
      <x:c r="V978" s="30" t="n">
        <x:v>100</x:v>
      </x:c>
      <x:c r="W978" s="17" t="str">
        <x:v>medium</x:v>
      </x:c>
    </x:row>
    <x:row r="979" ht="54" customHeight="1">
      <x:c r="A979" s="17" t="str">
        <x:v>BUS225</x:v>
      </x:c>
      <x:c r="B979" s="17" t="str">
        <x:v>筛选今天公司数增加且平均涨幅超过3%的热点事件。</x:v>
      </x:c>
      <x:c r="C979" s="17" t="n">
        <x:v>10</x:v>
      </x:c>
      <x:c r="D979" s="17" t="str"/>
      <x:c r="E979" s="17" t="str">
        <x:v>工具调用</x:v>
      </x:c>
      <x:c r="F979" s="17" t="str">
        <x:v>finance_query</x:v>
      </x:c>
      <x:c r="G979" s="17" t="str">
        <x:v>r5 = hot_event.state(filter = "tradedate = 2026-07-31", order = "heat_score desc", limit = 100) -&gt; event_id, event, tradedate, company_num, avg_lift, change_label, heat_score</x:v>
      </x:c>
      <x:c r="H979" s="17" t="str"/>
      <x:c r="I979" s="17" t="str">
        <x:v>合理操作</x:v>
      </x:c>
      <x:c r="J979" s="17" t="str">
        <x:v>是</x:v>
      </x:c>
      <x:c r="K979" s="18"/>
      <x:c r="L979" s="17" t="str">
        <x:v>否</x:v>
      </x:c>
      <x:c r="M979" s="17" t="str">
        <x:v>否</x:v>
      </x:c>
      <x:c r="N979" s="17" t="str">
        <x:v>same_subject_dependency</x:v>
      </x:c>
      <x:c r="O979" s="17" t="str">
        <x:v>supporting_api_for_expected_subject</x:v>
      </x:c>
      <x:c r="P979" s="17" t="str">
        <x:v>session://financial_qa_33499cfa81de4d06_2918_cc200fdde9e5/vars/v5</x:v>
      </x:c>
      <x:c r="Q979" s="17" t="str"/>
      <x:c r="R979" s="17" t="str">
        <x:v>hot_event.state</x:v>
      </x:c>
      <x:c r="S979" s="17" t="str"/>
      <x:c r="T979" s="17" t="str"/>
      <x:c r="U979" s="17" t="str">
        <x:v>r5</x:v>
      </x:c>
      <x:c r="V979" s="30" t="n">
        <x:v>100</x:v>
      </x:c>
      <x:c r="W979" s="17" t="str">
        <x:v>medium</x:v>
      </x:c>
    </x:row>
    <x:row r="980" ht="54" customHeight="1">
      <x:c r="A980" s="17" t="str">
        <x:v>BUS225</x:v>
      </x:c>
      <x:c r="B980" s="17" t="str">
        <x:v>筛选今天公司数增加且平均涨幅超过3%的热点事件。</x:v>
      </x:c>
      <x:c r="C980" s="17" t="n">
        <x:v>11</x:v>
      </x:c>
      <x:c r="D980" s="17" t="str"/>
      <x:c r="E980" s="17" t="str">
        <x:v>工具调用</x:v>
      </x:c>
      <x:c r="F980" s="17" t="str">
        <x:v>load_finance_result</x:v>
      </x:c>
      <x:c r="G980" s="17" t="str"/>
      <x:c r="H980" s="17" t="str"/>
      <x:c r="I980" s="17" t="str">
        <x:v>合理操作</x:v>
      </x:c>
      <x:c r="J980" s="17" t="str">
        <x:v>是</x:v>
      </x:c>
      <x:c r="K980" s="18"/>
      <x:c r="L980" s="17" t="str">
        <x:v>否</x:v>
      </x:c>
      <x:c r="M980" s="17" t="str">
        <x:v>否</x:v>
      </x:c>
      <x:c r="N980" s="17" t="str">
        <x:v>load_truncated_result</x:v>
      </x:c>
      <x:c r="O980" s="17" t="str">
        <x:v>sample_incomplete_requires_full_result</x:v>
      </x:c>
      <x:c r="P980" s="17" t="str">
        <x:v>session://financial_qa_33499cfa81de4d06_2918_cc200fdde9e5/vars/v4</x:v>
      </x:c>
      <x:c r="Q980" s="17" t="str"/>
      <x:c r="R980" s="17" t="str"/>
      <x:c r="S980" s="17" t="str"/>
      <x:c r="T980" s="17" t="str"/>
      <x:c r="U980" s="17" t="str"/>
      <x:c r="V980" s="30"/>
      <x:c r="W980" s="17" t="str">
        <x:v>high</x:v>
      </x:c>
    </x:row>
    <x:row r="981" ht="54" customHeight="1">
      <x:c r="A981" s="17" t="str">
        <x:v>BUS225</x:v>
      </x:c>
      <x:c r="B981" s="17" t="str">
        <x:v>筛选今天公司数增加且平均涨幅超过3%的热点事件。</x:v>
      </x:c>
      <x:c r="C981" s="17" t="n">
        <x:v>12</x:v>
      </x:c>
      <x:c r="D981" s="17" t="str"/>
      <x:c r="E981" s="17" t="str">
        <x:v>工具调用</x:v>
      </x:c>
      <x:c r="F981" s="17" t="str">
        <x:v>load_finance_result</x:v>
      </x:c>
      <x:c r="G981" s="17" t="str"/>
      <x:c r="H981" s="17" t="str"/>
      <x:c r="I981" s="17" t="str">
        <x:v>合理操作</x:v>
      </x:c>
      <x:c r="J981" s="17" t="str">
        <x:v>是</x:v>
      </x:c>
      <x:c r="K981" s="18"/>
      <x:c r="L981" s="17" t="str">
        <x:v>否</x:v>
      </x:c>
      <x:c r="M981" s="17" t="str">
        <x:v>否</x:v>
      </x:c>
      <x:c r="N981" s="17" t="str">
        <x:v>load_truncated_result</x:v>
      </x:c>
      <x:c r="O981" s="17" t="str">
        <x:v>sample_incomplete_requires_full_result</x:v>
      </x:c>
      <x:c r="P981" s="17" t="str">
        <x:v>session://financial_qa_33499cfa81de4d06_2918_cc200fdde9e5/vars/v5</x:v>
      </x:c>
      <x:c r="Q981" s="17" t="str"/>
      <x:c r="R981" s="17" t="str"/>
      <x:c r="S981" s="17" t="str"/>
      <x:c r="T981" s="17" t="str"/>
      <x:c r="U981" s="17" t="str"/>
      <x:c r="V981" s="30"/>
      <x:c r="W981" s="17" t="str">
        <x:v>high</x:v>
      </x:c>
    </x:row>
    <x:row r="982" ht="54" customHeight="1">
      <x:c r="A982" s="17" t="str">
        <x:v>BUS225</x:v>
      </x:c>
      <x:c r="B982" s="17" t="str">
        <x:v>筛选今天公司数增加且平均涨幅超过3%的热点事件。</x:v>
      </x:c>
      <x:c r="C982" s="17" t="n">
        <x:v>13</x:v>
      </x:c>
      <x:c r="D982" s="17" t="str"/>
      <x:c r="E982" s="17" t="str">
        <x:v>工具调用</x:v>
      </x:c>
      <x:c r="F982" s="17" t="str">
        <x:v>finance_query</x:v>
      </x:c>
      <x:c r="G982" s="17" t="str">
        <x:v>r6 = hot_event.state(filter = "tradedate = 2026-07-30", limit = 100) -&gt; event_id, event, company_num, avg_lift, heat_score</x:v>
      </x:c>
      <x:c r="H982" s="17" t="str"/>
      <x:c r="I982" s="17" t="str">
        <x:v>合理操作</x:v>
      </x:c>
      <x:c r="J982" s="17" t="str">
        <x:v>是</x:v>
      </x:c>
      <x:c r="K982" s="18"/>
      <x:c r="L982" s="17" t="str">
        <x:v>否</x:v>
      </x:c>
      <x:c r="M982" s="17" t="str">
        <x:v>否</x:v>
      </x:c>
      <x:c r="N982" s="17" t="str">
        <x:v>same_subject_dependency</x:v>
      </x:c>
      <x:c r="O982" s="17" t="str">
        <x:v>supporting_api_for_expected_subject</x:v>
      </x:c>
      <x:c r="P982" s="17" t="str">
        <x:v>session://financial_qa_33499cfa81de4d06_2918_cc200fdde9e5/vars/v6</x:v>
      </x:c>
      <x:c r="Q982" s="17" t="str"/>
      <x:c r="R982" s="17" t="str">
        <x:v>hot_event.state</x:v>
      </x:c>
      <x:c r="S982" s="17" t="str"/>
      <x:c r="T982" s="17" t="str"/>
      <x:c r="U982" s="17" t="str">
        <x:v>r6</x:v>
      </x:c>
      <x:c r="V982" s="30" t="n">
        <x:v>100</x:v>
      </x:c>
      <x:c r="W982" s="17" t="str">
        <x:v>medium</x:v>
      </x:c>
    </x:row>
    <x:row r="983" ht="54" customHeight="1">
      <x:c r="A983" s="17" t="str">
        <x:v>BUS225</x:v>
      </x:c>
      <x:c r="B983" s="17" t="str">
        <x:v>筛选今天公司数增加且平均涨幅超过3%的热点事件。</x:v>
      </x:c>
      <x:c r="C983" s="17" t="n">
        <x:v>14</x:v>
      </x:c>
      <x:c r="D983" s="17" t="str"/>
      <x:c r="E983" s="17" t="str">
        <x:v>工具调用</x:v>
      </x:c>
      <x:c r="F983" s="17" t="str">
        <x:v>finance_query</x:v>
      </x:c>
      <x:c r="G983" s="17" t="str">
        <x:v>r7 = hot_event.state(filter = "tradedate = 2026-07-31 and avg_lift &gt; 3", order = "heat_score desc", limit = 100) -&gt; event_id, event, company_num, avg_lift, heat_score</x:v>
      </x:c>
      <x:c r="H983" s="17" t="str"/>
      <x:c r="I983" s="17" t="str">
        <x:v>合理操作</x:v>
      </x:c>
      <x:c r="J983" s="17" t="str">
        <x:v>是</x:v>
      </x:c>
      <x:c r="K983" s="18"/>
      <x:c r="L983" s="17" t="str">
        <x:v>否</x:v>
      </x:c>
      <x:c r="M983" s="17" t="str">
        <x:v>否</x:v>
      </x:c>
      <x:c r="N983" s="17" t="str">
        <x:v>same_subject_dependency</x:v>
      </x:c>
      <x:c r="O983" s="17" t="str">
        <x:v>supporting_api_for_expected_subject</x:v>
      </x:c>
      <x:c r="P983" s="17" t="str">
        <x:v>session://financial_qa_33499cfa81de4d06_2918_cc200fdde9e5/vars/v7</x:v>
      </x:c>
      <x:c r="Q983" s="17" t="str"/>
      <x:c r="R983" s="17" t="str">
        <x:v>hot_event.state</x:v>
      </x:c>
      <x:c r="S983" s="17" t="str"/>
      <x:c r="T983" s="17" t="str"/>
      <x:c r="U983" s="17" t="str">
        <x:v>r7</x:v>
      </x:c>
      <x:c r="V983" s="30" t="n">
        <x:v>100</x:v>
      </x:c>
      <x:c r="W983" s="17" t="str">
        <x:v>medium</x:v>
      </x:c>
    </x:row>
    <x:row r="984" ht="54" customHeight="1">
      <x:c r="A984" s="17" t="str">
        <x:v>BUS225</x:v>
      </x:c>
      <x:c r="B984" s="17" t="str">
        <x:v>筛选今天公司数增加且平均涨幅超过3%的热点事件。</x:v>
      </x:c>
      <x:c r="C984" s="17" t="n">
        <x:v>15</x:v>
      </x:c>
      <x:c r="D984" s="17" t="str"/>
      <x:c r="E984" s="17" t="str">
        <x:v>工具调用</x:v>
      </x:c>
      <x:c r="F984" s="17" t="str">
        <x:v>load_finance_result</x:v>
      </x:c>
      <x:c r="G984" s="17" t="str"/>
      <x:c r="H984" s="17" t="str"/>
      <x:c r="I984" s="17" t="str">
        <x:v>合理操作</x:v>
      </x:c>
      <x:c r="J984" s="17" t="str">
        <x:v>是</x:v>
      </x:c>
      <x:c r="K984" s="18"/>
      <x:c r="L984" s="17" t="str">
        <x:v>否</x:v>
      </x:c>
      <x:c r="M984" s="17" t="str">
        <x:v>否</x:v>
      </x:c>
      <x:c r="N984" s="17" t="str">
        <x:v>load_truncated_result</x:v>
      </x:c>
      <x:c r="O984" s="17" t="str">
        <x:v>sample_incomplete_requires_full_result</x:v>
      </x:c>
      <x:c r="P984" s="17" t="str">
        <x:v>session://financial_qa_33499cfa81de4d06_2918_cc200fdde9e5/vars/v7</x:v>
      </x:c>
      <x:c r="Q984" s="17" t="str"/>
      <x:c r="R984" s="17" t="str"/>
      <x:c r="S984" s="17" t="str"/>
      <x:c r="T984" s="17" t="str"/>
      <x:c r="U984" s="17" t="str"/>
      <x:c r="V984" s="30"/>
      <x:c r="W984" s="17" t="str">
        <x:v>high</x:v>
      </x:c>
    </x:row>
    <x:row r="985" ht="54" customHeight="1">
      <x:c r="A985" s="17" t="str">
        <x:v>BUS226</x:v>
      </x:c>
      <x:c r="B985" s="17" t="str">
        <x:v>统计机器人热点当前成分股中今天涨停的股票数量。</x:v>
      </x:c>
      <x:c r="C985" s="17" t="n">
        <x:v>1</x:v>
      </x:c>
      <x:c r="D985" s="17" t="str"/>
      <x:c r="E985" s="17" t="str">
        <x:v>工具调用</x:v>
      </x:c>
      <x:c r="F985" s="17" t="str">
        <x:v>read_finance_catalog</x:v>
      </x:c>
      <x:c r="G985" s="17" t="str"/>
      <x:c r="H985" s="17" t="str"/>
      <x:c r="I985" s="17" t="str">
        <x:v>合理操作</x:v>
      </x:c>
      <x:c r="J985" s="17" t="str">
        <x:v>是</x:v>
      </x:c>
      <x:c r="K985" s="18"/>
      <x:c r="L985" s="17" t="str">
        <x:v>否</x:v>
      </x:c>
      <x:c r="M985" s="17" t="str">
        <x:v>否</x:v>
      </x:c>
      <x:c r="N985" s="17" t="str">
        <x:v>target_catalog_located</x:v>
      </x:c>
      <x:c r="O985" s="17" t="str">
        <x:v>expected_dataview_catalog</x:v>
      </x:c>
      <x:c r="P985" s="17" t="str"/>
      <x:c r="Q985" s="17" t="str"/>
      <x:c r="R985" s="17" t="str"/>
      <x:c r="S985" s="17" t="str">
        <x:v>hot_event</x:v>
      </x:c>
      <x:c r="T985" s="17" t="str">
        <x:v>member</x:v>
      </x:c>
      <x:c r="U985" s="17" t="str"/>
      <x:c r="V985" s="30"/>
      <x:c r="W985" s="17" t="str">
        <x:v>high</x:v>
      </x:c>
    </x:row>
    <x:row r="986" ht="54" customHeight="1">
      <x:c r="A986" s="17" t="str">
        <x:v>BUS226</x:v>
      </x:c>
      <x:c r="B986" s="17" t="str">
        <x:v>统计机器人热点当前成分股中今天涨停的股票数量。</x:v>
      </x:c>
      <x:c r="C986" s="17" t="n">
        <x:v>2</x:v>
      </x:c>
      <x:c r="D986" s="17" t="str"/>
      <x:c r="E986" s="17" t="str">
        <x:v>工具调用</x:v>
      </x:c>
      <x:c r="F986" s="17" t="str">
        <x:v>read_finance_catalog</x:v>
      </x:c>
      <x:c r="G986" s="17" t="str"/>
      <x:c r="H986" s="17" t="str"/>
      <x:c r="I986" s="17" t="str">
        <x:v>合理操作</x:v>
      </x:c>
      <x:c r="J986" s="17" t="str">
        <x:v>是</x:v>
      </x:c>
      <x:c r="K986" s="18"/>
      <x:c r="L986" s="17" t="str">
        <x:v>否</x:v>
      </x:c>
      <x:c r="M986" s="17" t="str">
        <x:v>否</x:v>
      </x:c>
      <x:c r="N986" s="17" t="str">
        <x:v>target_catalog_located</x:v>
      </x:c>
      <x:c r="O986" s="17" t="str">
        <x:v>expected_dataview_catalog</x:v>
      </x:c>
      <x:c r="P986" s="17" t="str"/>
      <x:c r="Q986" s="17" t="str"/>
      <x:c r="R986" s="17" t="str"/>
      <x:c r="S986" s="17" t="str">
        <x:v>stock</x:v>
      </x:c>
      <x:c r="T986" s="17" t="str">
        <x:v>quote</x:v>
      </x:c>
      <x:c r="U986" s="17" t="str"/>
      <x:c r="V986" s="30"/>
      <x:c r="W986" s="17" t="str">
        <x:v>high</x:v>
      </x:c>
    </x:row>
    <x:row r="987" ht="54" customHeight="1">
      <x:c r="A987" s="17" t="str">
        <x:v>BUS226</x:v>
      </x:c>
      <x:c r="B987" s="17" t="str">
        <x:v>统计机器人热点当前成分股中今天涨停的股票数量。</x:v>
      </x:c>
      <x:c r="C987" s="17" t="n">
        <x:v>3</x:v>
      </x:c>
      <x:c r="D987" s="17" t="str"/>
      <x:c r="E987" s="17" t="str">
        <x:v>工具调用</x:v>
      </x:c>
      <x:c r="F987" s="17" t="str">
        <x:v>finance_query</x:v>
      </x:c>
      <x:c r="G987" s="17" t="str">
        <x:v>r1 = hot_event.member(filter = "event = 机器人", limit = -1) -&gt; event_id, event, stock_code, stock_name</x:v>
      </x:c>
      <x:c r="H987" s="17" t="str"/>
      <x:c r="I987" s="17" t="str">
        <x:v>合理操作</x:v>
      </x:c>
      <x:c r="J987" s="17" t="str">
        <x:v>是</x:v>
      </x:c>
      <x:c r="K987" s="18"/>
      <x:c r="L987" s="17" t="str">
        <x:v>否</x:v>
      </x:c>
      <x:c r="M987" s="17" t="str">
        <x:v>否</x:v>
      </x:c>
      <x:c r="N987" s="17" t="str">
        <x:v>target_api_executed</x:v>
      </x:c>
      <x:c r="O987" s="17" t="str">
        <x:v>expected_dataview_coverage</x:v>
      </x:c>
      <x:c r="P987" s="17" t="str">
        <x:v>session://financial_qa_33499cfa81de4d06_2919_fbbc41c50c74/vars/v1</x:v>
      </x:c>
      <x:c r="Q987" s="17" t="str"/>
      <x:c r="R987" s="17" t="str">
        <x:v>hot_event.member</x:v>
      </x:c>
      <x:c r="S987" s="17" t="str"/>
      <x:c r="T987" s="17" t="str"/>
      <x:c r="U987" s="17" t="str">
        <x:v>r1</x:v>
      </x:c>
      <x:c r="V987" s="30" t="n">
        <x:v>100</x:v>
      </x:c>
      <x:c r="W987" s="17" t="str">
        <x:v>high</x:v>
      </x:c>
    </x:row>
    <x:row r="988" ht="54" customHeight="1">
      <x:c r="A988" s="17" t="str">
        <x:v>BUS226</x:v>
      </x:c>
      <x:c r="B988" s="17" t="str">
        <x:v>统计机器人热点当前成分股中今天涨停的股票数量。</x:v>
      </x:c>
      <x:c r="C988" s="17" t="n">
        <x:v>4</x:v>
      </x:c>
      <x:c r="D988" s="17" t="str"/>
      <x:c r="E988" s="17" t="str">
        <x:v>工具调用</x:v>
      </x:c>
      <x:c r="F988" s="17" t="str">
        <x:v>load_finance_result</x:v>
      </x:c>
      <x:c r="G988" s="17" t="str"/>
      <x:c r="H988" s="17" t="str"/>
      <x:c r="I988" s="17" t="str">
        <x:v>合理操作</x:v>
      </x:c>
      <x:c r="J988" s="17" t="str">
        <x:v>是</x:v>
      </x:c>
      <x:c r="K988" s="18"/>
      <x:c r="L988" s="17" t="str">
        <x:v>否</x:v>
      </x:c>
      <x:c r="M988" s="17" t="str">
        <x:v>否</x:v>
      </x:c>
      <x:c r="N988" s="17" t="str">
        <x:v>load_truncated_result</x:v>
      </x:c>
      <x:c r="O988" s="17" t="str">
        <x:v>sample_incomplete_requires_full_result</x:v>
      </x:c>
      <x:c r="P988" s="17" t="str">
        <x:v>session://financial_qa_33499cfa81de4d06_2919_fbbc41c50c74/vars/v1</x:v>
      </x:c>
      <x:c r="Q988" s="17" t="str"/>
      <x:c r="R988" s="17" t="str"/>
      <x:c r="S988" s="17" t="str"/>
      <x:c r="T988" s="17" t="str"/>
      <x:c r="U988" s="17" t="str"/>
      <x:c r="V988" s="30"/>
      <x:c r="W988" s="17" t="str">
        <x:v>high</x:v>
      </x:c>
    </x:row>
    <x:row r="989" ht="54" customHeight="1">
      <x:c r="A989" s="17" t="str">
        <x:v>BUS226</x:v>
      </x:c>
      <x:c r="B989" s="17" t="str">
        <x:v>统计机器人热点当前成分股中今天涨停的股票数量。</x:v>
      </x:c>
      <x:c r="C989" s="17" t="n">
        <x:v>5</x:v>
      </x:c>
      <x:c r="D989" s="17" t="str"/>
      <x:c r="E989" s="17" t="str">
        <x:v>工具调用</x:v>
      </x:c>
      <x:c r="F989" s="17" t="str">
        <x:v>finance_query</x:v>
      </x:c>
      <x:c r="G989" s="17" t="str">
        <x:v>r2 = stock.quote(filter = "code in r1.stock_code and tradedate = -1", realtime = 0) -&gt; code, name, tradedate, pct, close, is_limit_price</x:v>
      </x:c>
      <x:c r="H989" s="17" t="str"/>
      <x:c r="I989" s="17" t="str">
        <x:v>合理操作</x:v>
      </x:c>
      <x:c r="J989" s="17" t="str">
        <x:v>是</x:v>
      </x:c>
      <x:c r="K989" s="18"/>
      <x:c r="L989" s="17" t="str">
        <x:v>否</x:v>
      </x:c>
      <x:c r="M989" s="17" t="str">
        <x:v>否</x:v>
      </x:c>
      <x:c r="N989" s="17" t="str">
        <x:v>target_api_executed</x:v>
      </x:c>
      <x:c r="O989" s="17" t="str">
        <x:v>expected_dataview_coverage</x:v>
      </x:c>
      <x:c r="P989" s="17" t="str">
        <x:v>session://financial_qa_33499cfa81de4d06_2919_fbbc41c50c74/vars/v2</x:v>
      </x:c>
      <x:c r="Q989" s="17" t="str"/>
      <x:c r="R989" s="17" t="str">
        <x:v>stock.quote</x:v>
      </x:c>
      <x:c r="S989" s="17" t="str"/>
      <x:c r="T989" s="17" t="str"/>
      <x:c r="U989" s="17" t="str">
        <x:v>r2</x:v>
      </x:c>
      <x:c r="V989" s="30" t="n">
        <x:v>100</x:v>
      </x:c>
      <x:c r="W989" s="17" t="str">
        <x:v>high</x:v>
      </x:c>
    </x:row>
    <x:row r="990" ht="54" customHeight="1">
      <x:c r="A990" s="17" t="str">
        <x:v>BUS226</x:v>
      </x:c>
      <x:c r="B990" s="17" t="str">
        <x:v>统计机器人热点当前成分股中今天涨停的股票数量。</x:v>
      </x:c>
      <x:c r="C990" s="17" t="n">
        <x:v>6</x:v>
      </x:c>
      <x:c r="D990" s="17" t="str"/>
      <x:c r="E990" s="17" t="str">
        <x:v>工具调用</x:v>
      </x:c>
      <x:c r="F990" s="17" t="str">
        <x:v>load_finance_result</x:v>
      </x:c>
      <x:c r="G990" s="17" t="str"/>
      <x:c r="H990" s="17" t="str"/>
      <x:c r="I990" s="17" t="str">
        <x:v>合理操作</x:v>
      </x:c>
      <x:c r="J990" s="17" t="str">
        <x:v>是</x:v>
      </x:c>
      <x:c r="K990" s="18"/>
      <x:c r="L990" s="17" t="str">
        <x:v>否</x:v>
      </x:c>
      <x:c r="M990" s="17" t="str">
        <x:v>否</x:v>
      </x:c>
      <x:c r="N990" s="17" t="str">
        <x:v>load_truncated_result</x:v>
      </x:c>
      <x:c r="O990" s="17" t="str">
        <x:v>sample_incomplete_requires_full_result</x:v>
      </x:c>
      <x:c r="P990" s="17" t="str">
        <x:v>session://financial_qa_33499cfa81de4d06_2919_fbbc41c50c74/vars/v2</x:v>
      </x:c>
      <x:c r="Q990" s="17" t="str"/>
      <x:c r="R990" s="17" t="str"/>
      <x:c r="S990" s="17" t="str"/>
      <x:c r="T990" s="17" t="str"/>
      <x:c r="U990" s="17" t="str"/>
      <x:c r="V990" s="30"/>
      <x:c r="W990" s="17" t="str">
        <x:v>high</x:v>
      </x:c>
    </x:row>
    <x:row r="991" ht="54" customHeight="1">
      <x:c r="A991" s="17" t="str">
        <x:v>BUS227</x:v>
      </x:c>
      <x:c r="B991" s="17" t="str">
        <x:v>查询今天最热热点事件，并列出每个事件的龙头公司当前涨跌幅。</x:v>
      </x:c>
      <x:c r="C991" s="17" t="n">
        <x:v>1</x:v>
      </x:c>
      <x:c r="D991" s="17" t="str"/>
      <x:c r="E991" s="17" t="str">
        <x:v>工具调用</x:v>
      </x:c>
      <x:c r="F991" s="17" t="str">
        <x:v>read_finance_catalog</x:v>
      </x:c>
      <x:c r="G991" s="17" t="str"/>
      <x:c r="H991" s="17" t="str"/>
      <x:c r="I991" s="17" t="str">
        <x:v>合理操作</x:v>
      </x:c>
      <x:c r="J991" s="17" t="str">
        <x:v>是</x:v>
      </x:c>
      <x:c r="K991" s="18"/>
      <x:c r="L991" s="17" t="str">
        <x:v>否</x:v>
      </x:c>
      <x:c r="M991" s="17" t="str">
        <x:v>否</x:v>
      </x:c>
      <x:c r="N991" s="17" t="str">
        <x:v>subject_catalog_discovery</x:v>
      </x:c>
      <x:c r="O991" s="17" t="str">
        <x:v>expected_subject_catalog</x:v>
      </x:c>
      <x:c r="P991" s="17" t="str"/>
      <x:c r="Q991" s="17" t="str"/>
      <x:c r="R991" s="17" t="str"/>
      <x:c r="S991" s="17" t="str">
        <x:v>hot_event</x:v>
      </x:c>
      <x:c r="T991" s="17" t="str">
        <x:v>base_info</x:v>
      </x:c>
      <x:c r="U991" s="17" t="str"/>
      <x:c r="V991" s="30"/>
      <x:c r="W991" s="17" t="str">
        <x:v>medium</x:v>
      </x:c>
    </x:row>
    <x:row r="992" ht="54" customHeight="1">
      <x:c r="A992" s="17" t="str">
        <x:v>BUS227</x:v>
      </x:c>
      <x:c r="B992" s="17" t="str">
        <x:v>查询今天最热热点事件，并列出每个事件的龙头公司当前涨跌幅。</x:v>
      </x:c>
      <x:c r="C992" s="17" t="n">
        <x:v>2</x:v>
      </x:c>
      <x:c r="D992" s="17" t="str"/>
      <x:c r="E992" s="17" t="str">
        <x:v>工具调用</x:v>
      </x:c>
      <x:c r="F992" s="17" t="str">
        <x:v>read_finance_catalog</x:v>
      </x:c>
      <x:c r="G992" s="17" t="str"/>
      <x:c r="H992" s="17" t="str"/>
      <x:c r="I992" s="17" t="str">
        <x:v>合理操作</x:v>
      </x:c>
      <x:c r="J992" s="17" t="str">
        <x:v>是</x:v>
      </x:c>
      <x:c r="K992" s="18"/>
      <x:c r="L992" s="17" t="str">
        <x:v>否</x:v>
      </x:c>
      <x:c r="M992" s="17" t="str">
        <x:v>否</x:v>
      </x:c>
      <x:c r="N992" s="17" t="str">
        <x:v>target_catalog_located</x:v>
      </x:c>
      <x:c r="O992" s="17" t="str">
        <x:v>expected_dataview_catalog</x:v>
      </x:c>
      <x:c r="P992" s="17" t="str"/>
      <x:c r="Q992" s="17" t="str"/>
      <x:c r="R992" s="17" t="str"/>
      <x:c r="S992" s="17" t="str">
        <x:v>hot_event</x:v>
      </x:c>
      <x:c r="T992" s="17" t="str">
        <x:v>state</x:v>
      </x:c>
      <x:c r="U992" s="17" t="str"/>
      <x:c r="V992" s="30"/>
      <x:c r="W992" s="17" t="str">
        <x:v>high</x:v>
      </x:c>
    </x:row>
    <x:row r="993" ht="54" customHeight="1">
      <x:c r="A993" s="17" t="str">
        <x:v>BUS227</x:v>
      </x:c>
      <x:c r="B993" s="17" t="str">
        <x:v>查询今天最热热点事件，并列出每个事件的龙头公司当前涨跌幅。</x:v>
      </x:c>
      <x:c r="C993" s="17" t="n">
        <x:v>3</x:v>
      </x:c>
      <x:c r="D993" s="17" t="str"/>
      <x:c r="E993" s="17" t="str">
        <x:v>工具调用</x:v>
      </x:c>
      <x:c r="F993" s="17" t="str">
        <x:v>read_finance_catalog</x:v>
      </x:c>
      <x:c r="G993" s="17" t="str"/>
      <x:c r="H993" s="17" t="str"/>
      <x:c r="I993" s="17" t="str">
        <x:v>合理操作</x:v>
      </x:c>
      <x:c r="J993" s="17" t="str">
        <x:v>是</x:v>
      </x:c>
      <x:c r="K993" s="18"/>
      <x:c r="L993" s="17" t="str">
        <x:v>否</x:v>
      </x:c>
      <x:c r="M993" s="17" t="str">
        <x:v>否</x:v>
      </x:c>
      <x:c r="N993" s="17" t="str">
        <x:v>target_catalog_located</x:v>
      </x:c>
      <x:c r="O993" s="17" t="str">
        <x:v>expected_dataview_catalog</x:v>
      </x:c>
      <x:c r="P993" s="17" t="str"/>
      <x:c r="Q993" s="17" t="str"/>
      <x:c r="R993" s="17" t="str"/>
      <x:c r="S993" s="17" t="str">
        <x:v>hot_event</x:v>
      </x:c>
      <x:c r="T993" s="17" t="str">
        <x:v>member</x:v>
      </x:c>
      <x:c r="U993" s="17" t="str"/>
      <x:c r="V993" s="30"/>
      <x:c r="W993" s="17" t="str">
        <x:v>high</x:v>
      </x:c>
    </x:row>
    <x:row r="994" ht="54" customHeight="1">
      <x:c r="A994" s="17" t="str">
        <x:v>BUS227</x:v>
      </x:c>
      <x:c r="B994" s="17" t="str">
        <x:v>查询今天最热热点事件，并列出每个事件的龙头公司当前涨跌幅。</x:v>
      </x:c>
      <x:c r="C994" s="17" t="n">
        <x:v>4</x:v>
      </x:c>
      <x:c r="D994" s="17" t="str"/>
      <x:c r="E994" s="17" t="str">
        <x:v>工具调用</x:v>
      </x:c>
      <x:c r="F994" s="17" t="str">
        <x:v>finance_query</x:v>
      </x:c>
      <x:c r="G994" s="17" t="str">
        <x:v>r1 = hot_event.state(filter = "tradedate = -1", order = "heat_score desc", limit = 5, realtime = 0) -&gt; event_id, event, heat_score, avg_lift, limited_count, company_num, change_label</x:v>
      </x:c>
      <x:c r="H994" s="17" t="str"/>
      <x:c r="I994" s="17" t="str">
        <x:v>合理操作</x:v>
      </x:c>
      <x:c r="J994" s="17" t="str">
        <x:v>是</x:v>
      </x:c>
      <x:c r="K994" s="18"/>
      <x:c r="L994" s="17" t="str">
        <x:v>否</x:v>
      </x:c>
      <x:c r="M994" s="17" t="str">
        <x:v>否</x:v>
      </x:c>
      <x:c r="N994" s="17" t="str">
        <x:v>target_api_executed</x:v>
      </x:c>
      <x:c r="O994" s="17" t="str">
        <x:v>expected_dataview_coverage</x:v>
      </x:c>
      <x:c r="P994" s="17" t="str">
        <x:v>session://financial_qa_33499cfa81de4d06_2920_5043ee7957cf/vars/v1</x:v>
      </x:c>
      <x:c r="Q994" s="17" t="str"/>
      <x:c r="R994" s="17" t="str">
        <x:v>hot_event.state</x:v>
      </x:c>
      <x:c r="S994" s="17" t="str"/>
      <x:c r="T994" s="17" t="str"/>
      <x:c r="U994" s="17" t="str">
        <x:v>r1</x:v>
      </x:c>
      <x:c r="V994" s="30" t="n">
        <x:v>0</x:v>
      </x:c>
      <x:c r="W994" s="17" t="str">
        <x:v>high</x:v>
      </x:c>
    </x:row>
    <x:row r="995" ht="54" customHeight="1">
      <x:c r="A995" s="17" t="str">
        <x:v>BUS227</x:v>
      </x:c>
      <x:c r="B995" s="17" t="str">
        <x:v>查询今天最热热点事件，并列出每个事件的龙头公司当前涨跌幅。</x:v>
      </x:c>
      <x:c r="C995" s="17" t="n">
        <x:v>5</x:v>
      </x:c>
      <x:c r="D995" s="17" t="str"/>
      <x:c r="E995" s="17" t="str">
        <x:v>工具调用</x:v>
      </x:c>
      <x:c r="F995" s="17" t="str">
        <x:v>finance_query</x:v>
      </x:c>
      <x:c r="G995" s="17" t="str">
        <x:v>r2 = hot_event.member(filter = "event_id in r1.event_id and is_leader = 1 and tradedate = -1", limit = 20, realtime = 0) -&gt; event_id, event, stock_code, stock_name, is_leader</x:v>
      </x:c>
      <x:c r="H995" s="17" t="str"/>
      <x:c r="I995" s="17" t="str">
        <x:v>合理操作</x:v>
      </x:c>
      <x:c r="J995" s="17" t="str">
        <x:v>是</x:v>
      </x:c>
      <x:c r="K995" s="18"/>
      <x:c r="L995" s="17" t="str">
        <x:v>否</x:v>
      </x:c>
      <x:c r="M995" s="17" t="str">
        <x:v>否</x:v>
      </x:c>
      <x:c r="N995" s="17" t="str">
        <x:v>target_api_executed</x:v>
      </x:c>
      <x:c r="O995" s="17" t="str">
        <x:v>expected_dataview_coverage</x:v>
      </x:c>
      <x:c r="P995" s="17" t="str">
        <x:v>session://financial_qa_33499cfa81de4d06_2920_5043ee7957cf/vars/v2</x:v>
      </x:c>
      <x:c r="Q995" s="17" t="str"/>
      <x:c r="R995" s="17" t="str">
        <x:v>hot_event.member</x:v>
      </x:c>
      <x:c r="S995" s="17" t="str"/>
      <x:c r="T995" s="17" t="str"/>
      <x:c r="U995" s="17" t="str">
        <x:v>r2</x:v>
      </x:c>
      <x:c r="V995" s="30" t="n">
        <x:v>0</x:v>
      </x:c>
      <x:c r="W995" s="17" t="str">
        <x:v>high</x:v>
      </x:c>
    </x:row>
    <x:row r="996" ht="54" customHeight="1">
      <x:c r="A996" s="17" t="str">
        <x:v>BUS227</x:v>
      </x:c>
      <x:c r="B996" s="17" t="str">
        <x:v>查询今天最热热点事件，并列出每个事件的龙头公司当前涨跌幅。</x:v>
      </x:c>
      <x:c r="C996" s="17" t="n">
        <x:v>6</x:v>
      </x:c>
      <x:c r="D996" s="17" t="str"/>
      <x:c r="E996" s="17" t="str">
        <x:v>工具调用</x:v>
      </x:c>
      <x:c r="F996" s="17" t="str">
        <x:v>finance_query</x:v>
      </x:c>
      <x:c r="G996" s="17" t="str">
        <x:v>r3 = hot_event.state(order = "heat_score desc", limit = 5, realtime = 1) -&gt; event_id, event, heat_score, avg_lift, company_num, change_label</x:v>
      </x:c>
      <x:c r="H996" s="17" t="str"/>
      <x:c r="I996" s="17" t="str">
        <x:v>设计浪费</x:v>
      </x:c>
      <x:c r="J996" s="17" t="str">
        <x:v>否</x:v>
      </x:c>
      <x:c r="K996" s="18"/>
      <x:c r="L996" s="17" t="str">
        <x:v>否</x:v>
      </x:c>
      <x:c r="M996" s="17" t="str">
        <x:v>否</x:v>
      </x:c>
      <x:c r="N996" s="17" t="str">
        <x:v>requery_after_terminal_zero</x:v>
      </x:c>
      <x:c r="O996" s="17" t="str">
        <x:v>terminal_zero_requery</x:v>
      </x:c>
      <x:c r="P996" s="17" t="str">
        <x:v>session://financial_qa_33499cfa81de4d06_2920_5043ee7957cf/vars/v3</x:v>
      </x:c>
      <x:c r="Q996" s="17" t="str"/>
      <x:c r="R996" s="17" t="str">
        <x:v>hot_event.state</x:v>
      </x:c>
      <x:c r="S996" s="17" t="str"/>
      <x:c r="T996" s="17" t="str"/>
      <x:c r="U996" s="17" t="str">
        <x:v>r3</x:v>
      </x:c>
      <x:c r="V996" s="30" t="n">
        <x:v>5</x:v>
      </x:c>
      <x:c r="W996" s="17" t="str">
        <x:v>high</x:v>
      </x:c>
    </x:row>
    <x:row r="997" ht="54" customHeight="1">
      <x:c r="A997" s="17" t="str">
        <x:v>BUS227</x:v>
      </x:c>
      <x:c r="B997" s="17" t="str">
        <x:v>查询今天最热热点事件，并列出每个事件的龙头公司当前涨跌幅。</x:v>
      </x:c>
      <x:c r="C997" s="17" t="n">
        <x:v>7</x:v>
      </x:c>
      <x:c r="D997" s="17" t="str"/>
      <x:c r="E997" s="17" t="str">
        <x:v>工具调用</x:v>
      </x:c>
      <x:c r="F997" s="17" t="str">
        <x:v>load_finance_result</x:v>
      </x:c>
      <x:c r="G997" s="17" t="str"/>
      <x:c r="H997" s="17" t="str"/>
      <x:c r="I997" s="17" t="str">
        <x:v>合理操作</x:v>
      </x:c>
      <x:c r="J997" s="17" t="str">
        <x:v>是</x:v>
      </x:c>
      <x:c r="K997" s="18"/>
      <x:c r="L997" s="17" t="str">
        <x:v>否</x:v>
      </x:c>
      <x:c r="M997" s="17" t="str">
        <x:v>否</x:v>
      </x:c>
      <x:c r="N997" s="17" t="str">
        <x:v>load_truncated_result</x:v>
      </x:c>
      <x:c r="O997" s="17" t="str">
        <x:v>sample_incomplete_requires_full_result</x:v>
      </x:c>
      <x:c r="P997" s="17" t="str">
        <x:v>session://financial_qa_33499cfa81de4d06_2920_5043ee7957cf/vars/v3</x:v>
      </x:c>
      <x:c r="Q997" s="17" t="str"/>
      <x:c r="R997" s="17" t="str"/>
      <x:c r="S997" s="17" t="str"/>
      <x:c r="T997" s="17" t="str"/>
      <x:c r="U997" s="17" t="str"/>
      <x:c r="V997" s="30"/>
      <x:c r="W997" s="17" t="str">
        <x:v>high</x:v>
      </x:c>
    </x:row>
    <x:row r="998" ht="54" customHeight="1">
      <x:c r="A998" s="17" t="str">
        <x:v>BUS227</x:v>
      </x:c>
      <x:c r="B998" s="17" t="str">
        <x:v>查询今天最热热点事件，并列出每个事件的龙头公司当前涨跌幅。</x:v>
      </x:c>
      <x:c r="C998" s="17" t="n">
        <x:v>8</x:v>
      </x:c>
      <x:c r="D998" s="17" t="str"/>
      <x:c r="E998" s="17" t="str">
        <x:v>工具调用</x:v>
      </x:c>
      <x:c r="F998" s="17" t="str">
        <x:v>finance_query</x:v>
      </x:c>
      <x:c r="G998" s="17" t="str">
        <x:v>r4 = hot_event.base_info(filter = "is_active = 1", limit = 10, realtime = 1) -&gt; event_id, event, first_trigger_date, latest_trigger_date, current_company_num, core_event_desc</x:v>
      </x:c>
      <x:c r="H998" s="17" t="str"/>
      <x:c r="I998" s="17" t="str">
        <x:v>合理操作</x:v>
      </x:c>
      <x:c r="J998" s="17" t="str">
        <x:v>是</x:v>
      </x:c>
      <x:c r="K998" s="18"/>
      <x:c r="L998" s="17" t="str">
        <x:v>否</x:v>
      </x:c>
      <x:c r="M998" s="17" t="str">
        <x:v>否</x:v>
      </x:c>
      <x:c r="N998" s="17" t="str">
        <x:v>same_subject_dependency</x:v>
      </x:c>
      <x:c r="O998" s="17" t="str">
        <x:v>supporting_api_for_expected_subject</x:v>
      </x:c>
      <x:c r="P998" s="17" t="str">
        <x:v>session://financial_qa_33499cfa81de4d06_2920_5043ee7957cf/vars/v4</x:v>
      </x:c>
      <x:c r="Q998" s="17" t="str"/>
      <x:c r="R998" s="17" t="str">
        <x:v>hot_event.base_info</x:v>
      </x:c>
      <x:c r="S998" s="17" t="str"/>
      <x:c r="T998" s="17" t="str"/>
      <x:c r="U998" s="17" t="str">
        <x:v>r4</x:v>
      </x:c>
      <x:c r="V998" s="30" t="n">
        <x:v>10</x:v>
      </x:c>
      <x:c r="W998" s="17" t="str">
        <x:v>medium</x:v>
      </x:c>
    </x:row>
    <x:row r="999" ht="54" customHeight="1">
      <x:c r="A999" s="17" t="str">
        <x:v>BUS227</x:v>
      </x:c>
      <x:c r="B999" s="17" t="str">
        <x:v>查询今天最热热点事件，并列出每个事件的龙头公司当前涨跌幅。</x:v>
      </x:c>
      <x:c r="C999" s="17" t="n">
        <x:v>9</x:v>
      </x:c>
      <x:c r="D999" s="17" t="str"/>
      <x:c r="E999" s="17" t="str">
        <x:v>工具调用</x:v>
      </x:c>
      <x:c r="F999" s="17" t="str">
        <x:v>load_finance_result</x:v>
      </x:c>
      <x:c r="G999" s="17" t="str"/>
      <x:c r="H999" s="17" t="str"/>
      <x:c r="I999" s="17" t="str">
        <x:v>合理操作</x:v>
      </x:c>
      <x:c r="J999" s="17" t="str">
        <x:v>是</x:v>
      </x:c>
      <x:c r="K999" s="18"/>
      <x:c r="L999" s="17" t="str">
        <x:v>否</x:v>
      </x:c>
      <x:c r="M999" s="17" t="str">
        <x:v>否</x:v>
      </x:c>
      <x:c r="N999" s="17" t="str">
        <x:v>load_truncated_result</x:v>
      </x:c>
      <x:c r="O999" s="17" t="str">
        <x:v>sample_incomplete_requires_full_result</x:v>
      </x:c>
      <x:c r="P999" s="17" t="str">
        <x:v>session://financial_qa_33499cfa81de4d06_2920_5043ee7957cf/vars/v4</x:v>
      </x:c>
      <x:c r="Q999" s="17" t="str"/>
      <x:c r="R999" s="17" t="str"/>
      <x:c r="S999" s="17" t="str"/>
      <x:c r="T999" s="17" t="str"/>
      <x:c r="U999" s="17" t="str"/>
      <x:c r="V999" s="30"/>
      <x:c r="W999" s="17" t="str">
        <x:v>high</x:v>
      </x:c>
    </x:row>
    <x:row r="1000" ht="54" customHeight="1">
      <x:c r="A1000" s="17" t="str">
        <x:v>BUS227</x:v>
      </x:c>
      <x:c r="B1000" s="17" t="str">
        <x:v>查询今天最热热点事件，并列出每个事件的龙头公司当前涨跌幅。</x:v>
      </x:c>
      <x:c r="C1000" s="17" t="n">
        <x:v>10</x:v>
      </x:c>
      <x:c r="D1000" s="17" t="str"/>
      <x:c r="E1000" s="17" t="str">
        <x:v>工具调用</x:v>
      </x:c>
      <x:c r="F1000" s="17" t="str">
        <x:v>finance_query</x:v>
      </x:c>
      <x:c r="G1000" s="17" t="str">
        <x:v>r5 = hot_event.state(filter = "tradedate = -1", order = "heat_score desc", limit = 10, realtime = 1) -&gt; event_id, event, heat_score, avg_lift, company_num, change_label, tradedate</x:v>
      </x:c>
      <x:c r="H1000" s="17" t="str"/>
      <x:c r="I1000" s="17" t="str">
        <x:v>合理操作</x:v>
      </x:c>
      <x:c r="J1000" s="17" t="str">
        <x:v>是</x:v>
      </x:c>
      <x:c r="K1000" s="18"/>
      <x:c r="L1000" s="17" t="str">
        <x:v>否</x:v>
      </x:c>
      <x:c r="M1000" s="17" t="str">
        <x:v>否</x:v>
      </x:c>
      <x:c r="N1000" s="17" t="str">
        <x:v>target_api_executed</x:v>
      </x:c>
      <x:c r="O1000" s="17" t="str">
        <x:v>expected_dataview_coverage</x:v>
      </x:c>
      <x:c r="P1000" s="17" t="str">
        <x:v>session://financial_qa_33499cfa81de4d06_2920_5043ee7957cf/vars/v5</x:v>
      </x:c>
      <x:c r="Q1000" s="17" t="str"/>
      <x:c r="R1000" s="17" t="str">
        <x:v>hot_event.state</x:v>
      </x:c>
      <x:c r="S1000" s="17" t="str"/>
      <x:c r="T1000" s="17" t="str"/>
      <x:c r="U1000" s="17" t="str">
        <x:v>r5</x:v>
      </x:c>
      <x:c r="V1000" s="30" t="n">
        <x:v>0</x:v>
      </x:c>
      <x:c r="W1000" s="17" t="str">
        <x:v>high</x:v>
      </x:c>
    </x:row>
    <x:row r="1001" ht="54" customHeight="1">
      <x:c r="A1001" s="17" t="str">
        <x:v>BUS227</x:v>
      </x:c>
      <x:c r="B1001" s="17" t="str">
        <x:v>查询今天最热热点事件，并列出每个事件的龙头公司当前涨跌幅。</x:v>
      </x:c>
      <x:c r="C1001" s="17" t="n">
        <x:v>11</x:v>
      </x:c>
      <x:c r="D1001" s="17" t="str"/>
      <x:c r="E1001" s="17" t="str">
        <x:v>工具调用</x:v>
      </x:c>
      <x:c r="F1001" s="17" t="str">
        <x:v>finance_query</x:v>
      </x:c>
      <x:c r="G1001" s="17" t="str">
        <x:v>r6 = hot_event.state(order = "heat_score desc", limit = 20, realtime = 1) -&gt; event_id, event, heat_score, avg_lift, company_num, change_label, tradedate</x:v>
      </x:c>
      <x:c r="H1001" s="17" t="str"/>
      <x:c r="I1001" s="17" t="str">
        <x:v>设计浪费</x:v>
      </x:c>
      <x:c r="J1001" s="17" t="str">
        <x:v>否</x:v>
      </x:c>
      <x:c r="K1001" s="18"/>
      <x:c r="L1001" s="17" t="str">
        <x:v>否</x:v>
      </x:c>
      <x:c r="M1001" s="17" t="str">
        <x:v>否</x:v>
      </x:c>
      <x:c r="N1001" s="17" t="str">
        <x:v>requery_after_terminal_zero</x:v>
      </x:c>
      <x:c r="O1001" s="17" t="str">
        <x:v>terminal_zero_requery</x:v>
      </x:c>
      <x:c r="P1001" s="17" t="str">
        <x:v>session://financial_qa_33499cfa81de4d06_2920_5043ee7957cf/vars/v6</x:v>
      </x:c>
      <x:c r="Q1001" s="17" t="str"/>
      <x:c r="R1001" s="17" t="str">
        <x:v>hot_event.state</x:v>
      </x:c>
      <x:c r="S1001" s="17" t="str"/>
      <x:c r="T1001" s="17" t="str"/>
      <x:c r="U1001" s="17" t="str">
        <x:v>r6</x:v>
      </x:c>
      <x:c r="V1001" s="30" t="n">
        <x:v>20</x:v>
      </x:c>
      <x:c r="W1001" s="17" t="str">
        <x:v>high</x:v>
      </x:c>
    </x:row>
    <x:row r="1002" ht="54" customHeight="1">
      <x:c r="A1002" s="17" t="str">
        <x:v>BUS227</x:v>
      </x:c>
      <x:c r="B1002" s="17" t="str">
        <x:v>查询今天最热热点事件，并列出每个事件的龙头公司当前涨跌幅。</x:v>
      </x:c>
      <x:c r="C1002" s="17" t="n">
        <x:v>12</x:v>
      </x:c>
      <x:c r="D1002" s="17" t="str"/>
      <x:c r="E1002" s="17" t="str">
        <x:v>工具调用</x:v>
      </x:c>
      <x:c r="F1002" s="17" t="str">
        <x:v>load_finance_result</x:v>
      </x:c>
      <x:c r="G1002" s="17" t="str"/>
      <x:c r="H1002" s="17" t="str"/>
      <x:c r="I1002" s="17" t="str">
        <x:v>合理操作</x:v>
      </x:c>
      <x:c r="J1002" s="17" t="str">
        <x:v>是</x:v>
      </x:c>
      <x:c r="K1002" s="18"/>
      <x:c r="L1002" s="17" t="str">
        <x:v>否</x:v>
      </x:c>
      <x:c r="M1002" s="17" t="str">
        <x:v>否</x:v>
      </x:c>
      <x:c r="N1002" s="17" t="str">
        <x:v>load_truncated_result</x:v>
      </x:c>
      <x:c r="O1002" s="17" t="str">
        <x:v>sample_incomplete_requires_full_result</x:v>
      </x:c>
      <x:c r="P1002" s="17" t="str">
        <x:v>session://financial_qa_33499cfa81de4d06_2920_5043ee7957cf/vars/v6</x:v>
      </x:c>
      <x:c r="Q1002" s="17" t="str"/>
      <x:c r="R1002" s="17" t="str"/>
      <x:c r="S1002" s="17" t="str"/>
      <x:c r="T1002" s="17" t="str"/>
      <x:c r="U1002" s="17" t="str"/>
      <x:c r="V1002" s="30"/>
      <x:c r="W1002" s="17" t="str">
        <x:v>high</x:v>
      </x:c>
    </x:row>
    <x:row r="1003" ht="54" customHeight="1">
      <x:c r="A1003" s="17" t="str">
        <x:v>BUS227</x:v>
      </x:c>
      <x:c r="B1003" s="17" t="str">
        <x:v>查询今天最热热点事件，并列出每个事件的龙头公司当前涨跌幅。</x:v>
      </x:c>
      <x:c r="C1003" s="17" t="n">
        <x:v>13</x:v>
      </x:c>
      <x:c r="D1003" s="17" t="str"/>
      <x:c r="E1003" s="17" t="str">
        <x:v>工具调用</x:v>
      </x:c>
      <x:c r="F1003" s="17" t="str">
        <x:v>finance_query</x:v>
      </x:c>
      <x:c r="G1003" s="17" t="str">
        <x:v>r7 = hot_event.state(filter = "tradedate &gt;= 2026-07-30", order = "heat_score desc", limit = 10, realtime = 1) -&gt; event_id, event, heat_score, avg_lift, company_num, change_label, tradedate</x:v>
      </x:c>
      <x:c r="H1003" s="17" t="str"/>
      <x:c r="I1003" s="17" t="str">
        <x:v>合理操作</x:v>
      </x:c>
      <x:c r="J1003" s="17" t="str">
        <x:v>是</x:v>
      </x:c>
      <x:c r="K1003" s="18"/>
      <x:c r="L1003" s="17" t="str">
        <x:v>否</x:v>
      </x:c>
      <x:c r="M1003" s="17" t="str">
        <x:v>否</x:v>
      </x:c>
      <x:c r="N1003" s="17" t="str">
        <x:v>target_api_executed</x:v>
      </x:c>
      <x:c r="O1003" s="17" t="str">
        <x:v>expected_dataview_coverage</x:v>
      </x:c>
      <x:c r="P1003" s="17" t="str">
        <x:v>session://financial_qa_33499cfa81de4d06_2920_5043ee7957cf/vars/v7</x:v>
      </x:c>
      <x:c r="Q1003" s="17" t="str"/>
      <x:c r="R1003" s="17" t="str">
        <x:v>hot_event.state</x:v>
      </x:c>
      <x:c r="S1003" s="17" t="str"/>
      <x:c r="T1003" s="17" t="str"/>
      <x:c r="U1003" s="17" t="str">
        <x:v>r7</x:v>
      </x:c>
      <x:c r="V1003" s="30" t="n">
        <x:v>10</x:v>
      </x:c>
      <x:c r="W1003" s="17" t="str">
        <x:v>high</x:v>
      </x:c>
    </x:row>
    <x:row r="1004" ht="54" customHeight="1">
      <x:c r="A1004" s="17" t="str">
        <x:v>BUS227</x:v>
      </x:c>
      <x:c r="B1004" s="17" t="str">
        <x:v>查询今天最热热点事件，并列出每个事件的龙头公司当前涨跌幅。</x:v>
      </x:c>
      <x:c r="C1004" s="17" t="n">
        <x:v>14</x:v>
      </x:c>
      <x:c r="D1004" s="17" t="str"/>
      <x:c r="E1004" s="17" t="str">
        <x:v>工具调用</x:v>
      </x:c>
      <x:c r="F1004" s="17" t="str">
        <x:v>load_finance_result</x:v>
      </x:c>
      <x:c r="G1004" s="17" t="str"/>
      <x:c r="H1004" s="17" t="str"/>
      <x:c r="I1004" s="17" t="str">
        <x:v>合理操作</x:v>
      </x:c>
      <x:c r="J1004" s="17" t="str">
        <x:v>是</x:v>
      </x:c>
      <x:c r="K1004" s="18"/>
      <x:c r="L1004" s="17" t="str">
        <x:v>否</x:v>
      </x:c>
      <x:c r="M1004" s="17" t="str">
        <x:v>否</x:v>
      </x:c>
      <x:c r="N1004" s="17" t="str">
        <x:v>load_truncated_result</x:v>
      </x:c>
      <x:c r="O1004" s="17" t="str">
        <x:v>sample_incomplete_requires_full_result</x:v>
      </x:c>
      <x:c r="P1004" s="17" t="str">
        <x:v>session://financial_qa_33499cfa81de4d06_2920_5043ee7957cf/vars/v7</x:v>
      </x:c>
      <x:c r="Q1004" s="17" t="str"/>
      <x:c r="R1004" s="17" t="str"/>
      <x:c r="S1004" s="17" t="str"/>
      <x:c r="T1004" s="17" t="str"/>
      <x:c r="U1004" s="17" t="str"/>
      <x:c r="V1004" s="30"/>
      <x:c r="W1004" s="17" t="str">
        <x:v>high</x:v>
      </x:c>
    </x:row>
    <x:row r="1005" ht="54" customHeight="1">
      <x:c r="A1005" s="17" t="str">
        <x:v>BUS227</x:v>
      </x:c>
      <x:c r="B1005" s="17" t="str">
        <x:v>查询今天最热热点事件，并列出每个事件的龙头公司当前涨跌幅。</x:v>
      </x:c>
      <x:c r="C1005" s="17" t="n">
        <x:v>15</x:v>
      </x:c>
      <x:c r="D1005" s="17" t="str"/>
      <x:c r="E1005" s="17" t="str">
        <x:v>工具调用</x:v>
      </x:c>
      <x:c r="F1005" s="17" t="str">
        <x:v>finance_query</x:v>
      </x:c>
      <x:c r="G1005" s="17" t="str">
        <x:v>r8 = hot_event.state(filter = "tradedate &gt;= 2026-07-30 and tradedate &lt;= 2026-07-31", order = "heat_score desc", limit = 30, realtime = 1) -&gt; event_id, event, heat_score, avg_lift, company_num, change_label, tradedate</x:v>
      </x:c>
      <x:c r="H1005" s="17" t="str"/>
      <x:c r="I1005" s="17" t="str">
        <x:v>合理操作</x:v>
      </x:c>
      <x:c r="J1005" s="17" t="str">
        <x:v>是</x:v>
      </x:c>
      <x:c r="K1005" s="18"/>
      <x:c r="L1005" s="17" t="str">
        <x:v>否</x:v>
      </x:c>
      <x:c r="M1005" s="17" t="str">
        <x:v>否</x:v>
      </x:c>
      <x:c r="N1005" s="17" t="str">
        <x:v>target_api_executed</x:v>
      </x:c>
      <x:c r="O1005" s="17" t="str">
        <x:v>expected_dataview_coverage</x:v>
      </x:c>
      <x:c r="P1005" s="17" t="str">
        <x:v>session://financial_qa_33499cfa81de4d06_2920_5043ee7957cf/vars/v8</x:v>
      </x:c>
      <x:c r="Q1005" s="17" t="str"/>
      <x:c r="R1005" s="17" t="str">
        <x:v>hot_event.state</x:v>
      </x:c>
      <x:c r="S1005" s="17" t="str"/>
      <x:c r="T1005" s="17" t="str"/>
      <x:c r="U1005" s="17" t="str">
        <x:v>r8</x:v>
      </x:c>
      <x:c r="V1005" s="30" t="n">
        <x:v>30</x:v>
      </x:c>
      <x:c r="W1005" s="17" t="str">
        <x:v>high</x:v>
      </x:c>
    </x:row>
    <x:row r="1006" ht="54" customHeight="1">
      <x:c r="A1006" s="17" t="str">
        <x:v>BUS227</x:v>
      </x:c>
      <x:c r="B1006" s="17" t="str">
        <x:v>查询今天最热热点事件，并列出每个事件的龙头公司当前涨跌幅。</x:v>
      </x:c>
      <x:c r="C1006" s="17" t="n">
        <x:v>16</x:v>
      </x:c>
      <x:c r="D1006" s="17" t="str"/>
      <x:c r="E1006" s="17" t="str">
        <x:v>工具调用</x:v>
      </x:c>
      <x:c r="F1006" s="17" t="str">
        <x:v>load_finance_result</x:v>
      </x:c>
      <x:c r="G1006" s="17" t="str"/>
      <x:c r="H1006" s="17" t="str"/>
      <x:c r="I1006" s="17" t="str">
        <x:v>合理操作</x:v>
      </x:c>
      <x:c r="J1006" s="17" t="str">
        <x:v>是</x:v>
      </x:c>
      <x:c r="K1006" s="18"/>
      <x:c r="L1006" s="17" t="str">
        <x:v>否</x:v>
      </x:c>
      <x:c r="M1006" s="17" t="str">
        <x:v>否</x:v>
      </x:c>
      <x:c r="N1006" s="17" t="str">
        <x:v>load_truncated_result</x:v>
      </x:c>
      <x:c r="O1006" s="17" t="str">
        <x:v>sample_incomplete_requires_full_result</x:v>
      </x:c>
      <x:c r="P1006" s="17" t="str">
        <x:v>session://financial_qa_33499cfa81de4d06_2920_5043ee7957cf/vars/v8</x:v>
      </x:c>
      <x:c r="Q1006" s="17" t="str"/>
      <x:c r="R1006" s="17" t="str"/>
      <x:c r="S1006" s="17" t="str"/>
      <x:c r="T1006" s="17" t="str"/>
      <x:c r="U1006" s="17" t="str"/>
      <x:c r="V1006" s="30"/>
      <x:c r="W1006" s="17" t="str">
        <x:v>high</x:v>
      </x:c>
    </x:row>
    <x:row r="1007" ht="54" customHeight="1">
      <x:c r="A1007" s="17" t="str">
        <x:v>BUS227</x:v>
      </x:c>
      <x:c r="B1007" s="17" t="str">
        <x:v>查询今天最热热点事件，并列出每个事件的龙头公司当前涨跌幅。</x:v>
      </x:c>
      <x:c r="C1007" s="17" t="n">
        <x:v>17</x:v>
      </x:c>
      <x:c r="D1007" s="17" t="str"/>
      <x:c r="E1007" s="17" t="str">
        <x:v>工具调用</x:v>
      </x:c>
      <x:c r="F1007" s="17" t="str">
        <x:v>finance_query</x:v>
      </x:c>
      <x:c r="G1007" s="17" t="str">
        <x:v>r9 = hot_event.member(filter = "event_id in ('HE3F1192AD66D6DA17','HE3BBD7821158167F1','HE4E507E262C1F6A79','HE1F1758FC000155D2','HE8110C9F92DA1BF30','HEFECED315E805327E') and is_leader = 1 and tradedate = 2026-07-31", limit = 20, realtime = 1) -&gt; event_id, event, stock_code, stock_name, is_leader</x:v>
      </x:c>
      <x:c r="H1007" s="17" t="str"/>
      <x:c r="I1007" s="17" t="str">
        <x:v>设计浪费</x:v>
      </x:c>
      <x:c r="J1007" s="17" t="str">
        <x:v>否</x:v>
      </x:c>
      <x:c r="K1007" s="18"/>
      <x:c r="L1007" s="17" t="str">
        <x:v>否</x:v>
      </x:c>
      <x:c r="M1007" s="17" t="str">
        <x:v>否</x:v>
      </x:c>
      <x:c r="N1007" s="17" t="str">
        <x:v>requery_after_terminal_zero</x:v>
      </x:c>
      <x:c r="O1007" s="17" t="str">
        <x:v>terminal_zero_requery</x:v>
      </x:c>
      <x:c r="P1007" s="17" t="str">
        <x:v>session://financial_qa_33499cfa81de4d06_2920_5043ee7957cf/vars/v9</x:v>
      </x:c>
      <x:c r="Q1007" s="17" t="str"/>
      <x:c r="R1007" s="17" t="str">
        <x:v>hot_event.member</x:v>
      </x:c>
      <x:c r="S1007" s="17" t="str"/>
      <x:c r="T1007" s="17" t="str"/>
      <x:c r="U1007" s="17" t="str">
        <x:v>r9</x:v>
      </x:c>
      <x:c r="V1007" s="30" t="n">
        <x:v>0</x:v>
      </x:c>
      <x:c r="W1007" s="17" t="str">
        <x:v>high</x:v>
      </x:c>
    </x:row>
    <x:row r="1008" ht="54" customHeight="1">
      <x:c r="A1008" s="17" t="str">
        <x:v>BUS227</x:v>
      </x:c>
      <x:c r="B1008" s="17" t="str">
        <x:v>查询今天最热热点事件，并列出每个事件的龙头公司当前涨跌幅。</x:v>
      </x:c>
      <x:c r="C1008" s="17" t="n">
        <x:v>18</x:v>
      </x:c>
      <x:c r="D1008" s="17" t="str"/>
      <x:c r="E1008" s="17" t="str">
        <x:v>工具调用</x:v>
      </x:c>
      <x:c r="F1008" s="17" t="str">
        <x:v>finance_query</x:v>
      </x:c>
      <x:c r="G1008" s="17" t="str">
        <x:v>r10 = hot_event.member(filter = "event_id in ('HE3F1192AD66D6DA17','HE3BBD7821158167F1','HE4E507E262C1F6A79','HE1F1758FC000155D2','HE8110C9F92DA1BF30','HEFECED315E805327E')", limit = 30, realtime = 1) -&gt; event_id, event, stock_code, stock_name, is_leader, company_event</x:v>
      </x:c>
      <x:c r="H1008" s="17" t="str"/>
      <x:c r="I1008" s="17" t="str">
        <x:v>设计浪费</x:v>
      </x:c>
      <x:c r="J1008" s="17" t="str">
        <x:v>否</x:v>
      </x:c>
      <x:c r="K1008" s="18"/>
      <x:c r="L1008" s="17" t="str">
        <x:v>否</x:v>
      </x:c>
      <x:c r="M1008" s="17" t="str">
        <x:v>否</x:v>
      </x:c>
      <x:c r="N1008" s="17" t="str">
        <x:v>requery_after_terminal_zero</x:v>
      </x:c>
      <x:c r="O1008" s="17" t="str">
        <x:v>terminal_zero_requery</x:v>
      </x:c>
      <x:c r="P1008" s="17" t="str">
        <x:v>session://financial_qa_33499cfa81de4d06_2920_5043ee7957cf/vars/v10</x:v>
      </x:c>
      <x:c r="Q1008" s="17" t="str"/>
      <x:c r="R1008" s="17" t="str">
        <x:v>hot_event.member</x:v>
      </x:c>
      <x:c r="S1008" s="17" t="str"/>
      <x:c r="T1008" s="17" t="str"/>
      <x:c r="U1008" s="17" t="str">
        <x:v>r10</x:v>
      </x:c>
      <x:c r="V1008" s="30" t="n">
        <x:v>30</x:v>
      </x:c>
      <x:c r="W1008" s="17" t="str">
        <x:v>high</x:v>
      </x:c>
    </x:row>
    <x:row r="1009" ht="54" customHeight="1">
      <x:c r="A1009" s="17" t="str">
        <x:v>BUS227</x:v>
      </x:c>
      <x:c r="B1009" s="17" t="str">
        <x:v>查询今天最热热点事件，并列出每个事件的龙头公司当前涨跌幅。</x:v>
      </x:c>
      <x:c r="C1009" s="17" t="n">
        <x:v>19</x:v>
      </x:c>
      <x:c r="D1009" s="17" t="str"/>
      <x:c r="E1009" s="17" t="str">
        <x:v>工具调用</x:v>
      </x:c>
      <x:c r="F1009" s="17" t="str">
        <x:v>load_finance_result</x:v>
      </x:c>
      <x:c r="G1009" s="17" t="str"/>
      <x:c r="H1009" s="17" t="str"/>
      <x:c r="I1009" s="17" t="str">
        <x:v>合理操作</x:v>
      </x:c>
      <x:c r="J1009" s="17" t="str">
        <x:v>是</x:v>
      </x:c>
      <x:c r="K1009" s="18"/>
      <x:c r="L1009" s="17" t="str">
        <x:v>否</x:v>
      </x:c>
      <x:c r="M1009" s="17" t="str">
        <x:v>否</x:v>
      </x:c>
      <x:c r="N1009" s="17" t="str">
        <x:v>load_truncated_result</x:v>
      </x:c>
      <x:c r="O1009" s="17" t="str">
        <x:v>sample_incomplete_requires_full_result</x:v>
      </x:c>
      <x:c r="P1009" s="17" t="str">
        <x:v>session://financial_qa_33499cfa81de4d06_2920_5043ee7957cf/vars/v10</x:v>
      </x:c>
      <x:c r="Q1009" s="17" t="str"/>
      <x:c r="R1009" s="17" t="str"/>
      <x:c r="S1009" s="17" t="str"/>
      <x:c r="T1009" s="17" t="str"/>
      <x:c r="U1009" s="17" t="str"/>
      <x:c r="V1009" s="30"/>
      <x:c r="W1009" s="17" t="str">
        <x:v>high</x:v>
      </x:c>
    </x:row>
    <x:row r="1010" ht="54" customHeight="1">
      <x:c r="A1010" s="17" t="str">
        <x:v>BUS227</x:v>
      </x:c>
      <x:c r="B1010" s="17" t="str">
        <x:v>查询今天最热热点事件，并列出每个事件的龙头公司当前涨跌幅。</x:v>
      </x:c>
      <x:c r="C1010" s="17" t="n">
        <x:v>20</x:v>
      </x:c>
      <x:c r="D1010" s="17" t="str"/>
      <x:c r="E1010" s="17" t="str">
        <x:v>工具调用</x:v>
      </x:c>
      <x:c r="F1010" s="17" t="str">
        <x:v>finance_query</x:v>
      </x:c>
      <x:c r="G1010" s="17" t="str">
        <x:v>r11 = hot_event.member(filter = "event_id in ('HE3F1192AD66D6DA17','HE3BBD7821158167F1','HE4E507E262C1F6A79','HE1F1758FC000155D2','HE8110C9F92DA1BF30','HEFECED315E805327E') and is_leader = 1", limit = 20, realtime = 1) -&gt; event_id, event, stock_code, stock_name, is_leader, company_event</x:v>
      </x:c>
      <x:c r="H1010" s="17" t="str"/>
      <x:c r="I1010" s="17" t="str">
        <x:v>合理操作</x:v>
      </x:c>
      <x:c r="J1010" s="17" t="str">
        <x:v>是</x:v>
      </x:c>
      <x:c r="K1010" s="18"/>
      <x:c r="L1010" s="17" t="str">
        <x:v>否</x:v>
      </x:c>
      <x:c r="M1010" s="17" t="str">
        <x:v>否</x:v>
      </x:c>
      <x:c r="N1010" s="17" t="str">
        <x:v>target_api_executed</x:v>
      </x:c>
      <x:c r="O1010" s="17" t="str">
        <x:v>expected_dataview_coverage</x:v>
      </x:c>
      <x:c r="P1010" s="17" t="str">
        <x:v>session://financial_qa_33499cfa81de4d06_2920_5043ee7957cf/vars/v11</x:v>
      </x:c>
      <x:c r="Q1010" s="17" t="str"/>
      <x:c r="R1010" s="17" t="str">
        <x:v>hot_event.member</x:v>
      </x:c>
      <x:c r="S1010" s="17" t="str"/>
      <x:c r="T1010" s="17" t="str"/>
      <x:c r="U1010" s="17" t="str">
        <x:v>r11</x:v>
      </x:c>
      <x:c r="V1010" s="30" t="n">
        <x:v>0</x:v>
      </x:c>
      <x:c r="W1010" s="17" t="str">
        <x:v>high</x:v>
      </x:c>
    </x:row>
    <x:row r="1011" ht="54" customHeight="1">
      <x:c r="A1011" s="17" t="str">
        <x:v>BUS227</x:v>
      </x:c>
      <x:c r="B1011" s="17" t="str">
        <x:v>查询今天最热热点事件，并列出每个事件的龙头公司当前涨跌幅。</x:v>
      </x:c>
      <x:c r="C1011" s="17" t="n">
        <x:v>21</x:v>
      </x:c>
      <x:c r="D1011" s="17" t="str"/>
      <x:c r="E1011" s="17" t="str">
        <x:v>工具调用</x:v>
      </x:c>
      <x:c r="F1011" s="17" t="str">
        <x:v>finance_query</x:v>
      </x:c>
      <x:c r="G1011" s="17" t="str">
        <x:v>r12 = hot_event.member(filter = "event_id = 'HE3F1192AD66D6DA17'", limit = 20, realtime = 1) -&gt; event_id, event, stock_code, stock_name, is_leader, company_event</x:v>
      </x:c>
      <x:c r="H1011" s="17" t="str"/>
      <x:c r="I1011" s="17" t="str">
        <x:v>设计浪费</x:v>
      </x:c>
      <x:c r="J1011" s="17" t="str">
        <x:v>否</x:v>
      </x:c>
      <x:c r="K1011" s="18"/>
      <x:c r="L1011" s="17" t="str">
        <x:v>否</x:v>
      </x:c>
      <x:c r="M1011" s="17" t="str">
        <x:v>否</x:v>
      </x:c>
      <x:c r="N1011" s="17" t="str">
        <x:v>requery_after_terminal_zero</x:v>
      </x:c>
      <x:c r="O1011" s="17" t="str">
        <x:v>terminal_zero_requery</x:v>
      </x:c>
      <x:c r="P1011" s="17" t="str">
        <x:v>session://financial_qa_33499cfa81de4d06_2920_5043ee7957cf/vars/v12</x:v>
      </x:c>
      <x:c r="Q1011" s="17" t="str"/>
      <x:c r="R1011" s="17" t="str">
        <x:v>hot_event.member</x:v>
      </x:c>
      <x:c r="S1011" s="17" t="str"/>
      <x:c r="T1011" s="17" t="str"/>
      <x:c r="U1011" s="17" t="str">
        <x:v>r12</x:v>
      </x:c>
      <x:c r="V1011" s="30" t="n">
        <x:v>20</x:v>
      </x:c>
      <x:c r="W1011" s="17" t="str">
        <x:v>high</x:v>
      </x:c>
    </x:row>
    <x:row r="1012" ht="54" customHeight="1">
      <x:c r="A1012" s="17" t="str">
        <x:v>BUS227</x:v>
      </x:c>
      <x:c r="B1012" s="17" t="str">
        <x:v>查询今天最热热点事件，并列出每个事件的龙头公司当前涨跌幅。</x:v>
      </x:c>
      <x:c r="C1012" s="17" t="n">
        <x:v>22</x:v>
      </x:c>
      <x:c r="D1012" s="17" t="str"/>
      <x:c r="E1012" s="17" t="str">
        <x:v>工具调用</x:v>
      </x:c>
      <x:c r="F1012" s="17" t="str">
        <x:v>load_finance_result</x:v>
      </x:c>
      <x:c r="G1012" s="17" t="str"/>
      <x:c r="H1012" s="17" t="str"/>
      <x:c r="I1012" s="17" t="str">
        <x:v>合理操作</x:v>
      </x:c>
      <x:c r="J1012" s="17" t="str">
        <x:v>是</x:v>
      </x:c>
      <x:c r="K1012" s="18"/>
      <x:c r="L1012" s="17" t="str">
        <x:v>否</x:v>
      </x:c>
      <x:c r="M1012" s="17" t="str">
        <x:v>否</x:v>
      </x:c>
      <x:c r="N1012" s="17" t="str">
        <x:v>load_truncated_result</x:v>
      </x:c>
      <x:c r="O1012" s="17" t="str">
        <x:v>sample_incomplete_requires_full_result</x:v>
      </x:c>
      <x:c r="P1012" s="17" t="str">
        <x:v>session://financial_qa_33499cfa81de4d06_2920_5043ee7957cf/vars/v12</x:v>
      </x:c>
      <x:c r="Q1012" s="17" t="str"/>
      <x:c r="R1012" s="17" t="str"/>
      <x:c r="S1012" s="17" t="str"/>
      <x:c r="T1012" s="17" t="str"/>
      <x:c r="U1012" s="17" t="str"/>
      <x:c r="V1012" s="30"/>
      <x:c r="W1012" s="17" t="str">
        <x:v>high</x:v>
      </x:c>
    </x:row>
    <x:row r="1013" ht="54" customHeight="1">
      <x:c r="A1013" s="17" t="str">
        <x:v>BUS227</x:v>
      </x:c>
      <x:c r="B1013" s="17" t="str">
        <x:v>查询今天最热热点事件，并列出每个事件的龙头公司当前涨跌幅。</x:v>
      </x:c>
      <x:c r="C1013" s="17" t="n">
        <x:v>23</x:v>
      </x:c>
      <x:c r="D1013" s="17" t="str"/>
      <x:c r="E1013" s="17" t="str">
        <x:v>工具调用</x:v>
      </x:c>
      <x:c r="F1013" s="17" t="str">
        <x:v>finance_query</x:v>
      </x:c>
      <x:c r="G1013" s="17" t="str">
        <x:v>r13 = hot_event.member(filter = "event_id in ('HE4E507E262C1F6A79','HE8110C9F92DA1BF30','HEFECED315E805327E')", limit = 30, realtime = 1) -&gt; event_id, event, stock_code, stock_name, is_leader, company_event</x:v>
      </x:c>
      <x:c r="H1013" s="17" t="str"/>
      <x:c r="I1013" s="17" t="str">
        <x:v>合理操作</x:v>
      </x:c>
      <x:c r="J1013" s="17" t="str">
        <x:v>是</x:v>
      </x:c>
      <x:c r="K1013" s="18"/>
      <x:c r="L1013" s="17" t="str">
        <x:v>否</x:v>
      </x:c>
      <x:c r="M1013" s="17" t="str">
        <x:v>否</x:v>
      </x:c>
      <x:c r="N1013" s="17" t="str">
        <x:v>target_api_executed</x:v>
      </x:c>
      <x:c r="O1013" s="17" t="str">
        <x:v>expected_dataview_coverage</x:v>
      </x:c>
      <x:c r="P1013" s="17" t="str">
        <x:v>session://financial_qa_33499cfa81de4d06_2920_5043ee7957cf/vars/v13</x:v>
      </x:c>
      <x:c r="Q1013" s="17" t="str"/>
      <x:c r="R1013" s="17" t="str">
        <x:v>hot_event.member</x:v>
      </x:c>
      <x:c r="S1013" s="17" t="str"/>
      <x:c r="T1013" s="17" t="str"/>
      <x:c r="U1013" s="17" t="str">
        <x:v>r13</x:v>
      </x:c>
      <x:c r="V1013" s="30" t="n">
        <x:v>30</x:v>
      </x:c>
      <x:c r="W1013" s="17" t="str">
        <x:v>high</x:v>
      </x:c>
    </x:row>
    <x:row r="1014" ht="54" customHeight="1">
      <x:c r="A1014" s="17" t="str">
        <x:v>BUS227</x:v>
      </x:c>
      <x:c r="B1014" s="17" t="str">
        <x:v>查询今天最热热点事件，并列出每个事件的龙头公司当前涨跌幅。</x:v>
      </x:c>
      <x:c r="C1014" s="17" t="n">
        <x:v>24</x:v>
      </x:c>
      <x:c r="D1014" s="17" t="str"/>
      <x:c r="E1014" s="17" t="str">
        <x:v>工具调用</x:v>
      </x:c>
      <x:c r="F1014" s="17" t="str">
        <x:v>finance_query</x:v>
      </x:c>
      <x:c r="G1014" s="17" t="str">
        <x:v>r14 = stock.quote(filter = "code in ('002230','300418','600839','000032','300624','601360','603039','603171','000158','300133') and tradedate = -1", limit = 15, realtime = 0) -&gt; code, name, tradedate, close, pct, amount</x:v>
      </x:c>
      <x:c r="H1014" s="17" t="str"/>
      <x:c r="I1014" s="17" t="str">
        <x:v>合理操作</x:v>
      </x:c>
      <x:c r="J1014" s="17" t="str">
        <x:v>是</x:v>
      </x:c>
      <x:c r="K1014" s="18"/>
      <x:c r="L1014" s="17" t="str">
        <x:v>否</x:v>
      </x:c>
      <x:c r="M1014" s="17" t="str">
        <x:v>否</x:v>
      </x:c>
      <x:c r="N1014" s="17" t="str">
        <x:v>target_api_executed</x:v>
      </x:c>
      <x:c r="O1014" s="17" t="str">
        <x:v>expected_dataview_coverage</x:v>
      </x:c>
      <x:c r="P1014" s="17" t="str">
        <x:v>session://financial_qa_33499cfa81de4d06_2920_5043ee7957cf/vars/v14</x:v>
      </x:c>
      <x:c r="Q1014" s="17" t="str"/>
      <x:c r="R1014" s="17" t="str">
        <x:v>stock.quote</x:v>
      </x:c>
      <x:c r="S1014" s="17" t="str"/>
      <x:c r="T1014" s="17" t="str"/>
      <x:c r="U1014" s="17" t="str">
        <x:v>r14</x:v>
      </x:c>
      <x:c r="V1014" s="30" t="n">
        <x:v>10</x:v>
      </x:c>
      <x:c r="W1014" s="17" t="str">
        <x:v>high</x:v>
      </x:c>
    </x:row>
    <x:row r="1015" ht="54" customHeight="1">
      <x:c r="A1015" s="17" t="str">
        <x:v>BUS227</x:v>
      </x:c>
      <x:c r="B1015" s="17" t="str">
        <x:v>查询今天最热热点事件，并列出每个事件的龙头公司当前涨跌幅。</x:v>
      </x:c>
      <x:c r="C1015" s="17" t="n">
        <x:v>25</x:v>
      </x:c>
      <x:c r="D1015" s="17" t="str"/>
      <x:c r="E1015" s="17" t="str">
        <x:v>工具调用</x:v>
      </x:c>
      <x:c r="F1015" s="17" t="str">
        <x:v>load_finance_result</x:v>
      </x:c>
      <x:c r="G1015" s="17" t="str"/>
      <x:c r="H1015" s="17" t="str"/>
      <x:c r="I1015" s="17" t="str">
        <x:v>合理操作</x:v>
      </x:c>
      <x:c r="J1015" s="17" t="str">
        <x:v>是</x:v>
      </x:c>
      <x:c r="K1015" s="18"/>
      <x:c r="L1015" s="17" t="str">
        <x:v>否</x:v>
      </x:c>
      <x:c r="M1015" s="17" t="str">
        <x:v>否</x:v>
      </x:c>
      <x:c r="N1015" s="17" t="str">
        <x:v>load_truncated_result</x:v>
      </x:c>
      <x:c r="O1015" s="17" t="str">
        <x:v>sample_incomplete_requires_full_result</x:v>
      </x:c>
      <x:c r="P1015" s="17" t="str">
        <x:v>session://financial_qa_33499cfa81de4d06_2920_5043ee7957cf/vars/v14</x:v>
      </x:c>
      <x:c r="Q1015" s="17" t="str"/>
      <x:c r="R1015" s="17" t="str"/>
      <x:c r="S1015" s="17" t="str"/>
      <x:c r="T1015" s="17" t="str"/>
      <x:c r="U1015" s="17" t="str"/>
      <x:c r="V1015" s="30"/>
      <x:c r="W1015" s="17" t="str">
        <x:v>high</x:v>
      </x:c>
    </x:row>
    <x:row r="1016" ht="54" customHeight="1">
      <x:c r="A1016" s="17" t="str">
        <x:v>BUS228</x:v>
      </x:c>
      <x:c r="B1016" s="17" t="str">
        <x:v>查询PCB热点的基础信息、最新热度和当前成分股。</x:v>
      </x:c>
      <x:c r="C1016" s="17" t="n">
        <x:v>1</x:v>
      </x:c>
      <x:c r="D1016" s="17" t="str"/>
      <x:c r="E1016" s="17" t="str">
        <x:v>工具调用</x:v>
      </x:c>
      <x:c r="F1016" s="17" t="str">
        <x:v>read_finance_catalog</x:v>
      </x:c>
      <x:c r="G1016" s="17" t="str"/>
      <x:c r="H1016" s="17" t="str"/>
      <x:c r="I1016" s="17" t="str">
        <x:v>设计浪费</x:v>
      </x:c>
      <x:c r="J1016" s="17" t="str">
        <x:v>否</x:v>
      </x:c>
      <x:c r="K1016" s="18"/>
      <x:c r="L1016" s="17" t="str">
        <x:v>否</x:v>
      </x:c>
      <x:c r="M1016" s="17" t="str">
        <x:v>否</x:v>
      </x:c>
      <x:c r="N1016" s="17" t="str">
        <x:v>broad_catalog_then_specific_catalog</x:v>
      </x:c>
      <x:c r="O1016" s="17" t="str">
        <x:v>catalog_ladder</x:v>
      </x:c>
      <x:c r="P1016" s="17" t="str"/>
      <x:c r="Q1016" s="17" t="str"/>
      <x:c r="R1016" s="17" t="str"/>
      <x:c r="S1016" s="17" t="str">
        <x:v>hot_event</x:v>
      </x:c>
      <x:c r="T1016" s="17" t="str"/>
      <x:c r="U1016" s="17" t="str"/>
      <x:c r="V1016" s="30"/>
      <x:c r="W1016" s="17" t="str">
        <x:v>high</x:v>
      </x:c>
    </x:row>
    <x:row r="1017" ht="54" customHeight="1">
      <x:c r="A1017" s="17" t="str">
        <x:v>BUS228</x:v>
      </x:c>
      <x:c r="B1017" s="17" t="str">
        <x:v>查询PCB热点的基础信息、最新热度和当前成分股。</x:v>
      </x:c>
      <x:c r="C1017" s="17" t="n">
        <x:v>2</x:v>
      </x:c>
      <x:c r="D1017" s="17" t="str"/>
      <x:c r="E1017" s="17" t="str">
        <x:v>工具调用</x:v>
      </x:c>
      <x:c r="F1017" s="17" t="str">
        <x:v>read_finance_catalog</x:v>
      </x:c>
      <x:c r="G1017" s="17" t="str"/>
      <x:c r="H1017" s="17" t="str"/>
      <x:c r="I1017" s="17" t="str">
        <x:v>合理操作</x:v>
      </x:c>
      <x:c r="J1017" s="17" t="str">
        <x:v>是</x:v>
      </x:c>
      <x:c r="K1017" s="18"/>
      <x:c r="L1017" s="17" t="str">
        <x:v>否</x:v>
      </x:c>
      <x:c r="M1017" s="17" t="str">
        <x:v>否</x:v>
      </x:c>
      <x:c r="N1017" s="17" t="str">
        <x:v>target_catalog_located</x:v>
      </x:c>
      <x:c r="O1017" s="17" t="str">
        <x:v>expected_dataview_catalog</x:v>
      </x:c>
      <x:c r="P1017" s="17" t="str"/>
      <x:c r="Q1017" s="17" t="str"/>
      <x:c r="R1017" s="17" t="str"/>
      <x:c r="S1017" s="17" t="str">
        <x:v>hot_event</x:v>
      </x:c>
      <x:c r="T1017" s="17" t="str">
        <x:v>base_info</x:v>
      </x:c>
      <x:c r="U1017" s="17" t="str"/>
      <x:c r="V1017" s="30"/>
      <x:c r="W1017" s="17" t="str">
        <x:v>high</x:v>
      </x:c>
    </x:row>
    <x:row r="1018" ht="54" customHeight="1">
      <x:c r="A1018" s="17" t="str">
        <x:v>BUS228</x:v>
      </x:c>
      <x:c r="B1018" s="17" t="str">
        <x:v>查询PCB热点的基础信息、最新热度和当前成分股。</x:v>
      </x:c>
      <x:c r="C1018" s="17" t="n">
        <x:v>3</x:v>
      </x:c>
      <x:c r="D1018" s="17" t="str"/>
      <x:c r="E1018" s="17" t="str">
        <x:v>工具调用</x:v>
      </x:c>
      <x:c r="F1018" s="17" t="str">
        <x:v>read_finance_catalog</x:v>
      </x:c>
      <x:c r="G1018" s="17" t="str"/>
      <x:c r="H1018" s="17" t="str"/>
      <x:c r="I1018" s="17" t="str">
        <x:v>合理操作</x:v>
      </x:c>
      <x:c r="J1018" s="17" t="str">
        <x:v>是</x:v>
      </x:c>
      <x:c r="K1018" s="18"/>
      <x:c r="L1018" s="17" t="str">
        <x:v>否</x:v>
      </x:c>
      <x:c r="M1018" s="17" t="str">
        <x:v>否</x:v>
      </x:c>
      <x:c r="N1018" s="17" t="str">
        <x:v>target_catalog_located</x:v>
      </x:c>
      <x:c r="O1018" s="17" t="str">
        <x:v>expected_dataview_catalog</x:v>
      </x:c>
      <x:c r="P1018" s="17" t="str"/>
      <x:c r="Q1018" s="17" t="str"/>
      <x:c r="R1018" s="17" t="str"/>
      <x:c r="S1018" s="17" t="str">
        <x:v>hot_event</x:v>
      </x:c>
      <x:c r="T1018" s="17" t="str">
        <x:v>state</x:v>
      </x:c>
      <x:c r="U1018" s="17" t="str"/>
      <x:c r="V1018" s="30"/>
      <x:c r="W1018" s="17" t="str">
        <x:v>high</x:v>
      </x:c>
    </x:row>
    <x:row r="1019" ht="54" customHeight="1">
      <x:c r="A1019" s="17" t="str">
        <x:v>BUS228</x:v>
      </x:c>
      <x:c r="B1019" s="17" t="str">
        <x:v>查询PCB热点的基础信息、最新热度和当前成分股。</x:v>
      </x:c>
      <x:c r="C1019" s="17" t="n">
        <x:v>4</x:v>
      </x:c>
      <x:c r="D1019" s="17" t="str"/>
      <x:c r="E1019" s="17" t="str">
        <x:v>工具调用</x:v>
      </x:c>
      <x:c r="F1019" s="17" t="str">
        <x:v>read_finance_catalog</x:v>
      </x:c>
      <x:c r="G1019" s="17" t="str"/>
      <x:c r="H1019" s="17" t="str"/>
      <x:c r="I1019" s="17" t="str">
        <x:v>合理操作</x:v>
      </x:c>
      <x:c r="J1019" s="17" t="str">
        <x:v>是</x:v>
      </x:c>
      <x:c r="K1019" s="18"/>
      <x:c r="L1019" s="17" t="str">
        <x:v>否</x:v>
      </x:c>
      <x:c r="M1019" s="17" t="str">
        <x:v>否</x:v>
      </x:c>
      <x:c r="N1019" s="17" t="str">
        <x:v>target_catalog_located</x:v>
      </x:c>
      <x:c r="O1019" s="17" t="str">
        <x:v>expected_dataview_catalog</x:v>
      </x:c>
      <x:c r="P1019" s="17" t="str"/>
      <x:c r="Q1019" s="17" t="str"/>
      <x:c r="R1019" s="17" t="str"/>
      <x:c r="S1019" s="17" t="str">
        <x:v>hot_event</x:v>
      </x:c>
      <x:c r="T1019" s="17" t="str">
        <x:v>member</x:v>
      </x:c>
      <x:c r="U1019" s="17" t="str"/>
      <x:c r="V1019" s="30"/>
      <x:c r="W1019" s="17" t="str">
        <x:v>high</x:v>
      </x:c>
    </x:row>
    <x:row r="1020" ht="54" customHeight="1">
      <x:c r="A1020" s="17" t="str">
        <x:v>BUS228</x:v>
      </x:c>
      <x:c r="B1020" s="17" t="str">
        <x:v>查询PCB热点的基础信息、最新热度和当前成分股。</x:v>
      </x:c>
      <x:c r="C1020" s="17" t="n">
        <x:v>5</x:v>
      </x:c>
      <x:c r="D1020" s="17" t="str"/>
      <x:c r="E1020" s="17" t="str">
        <x:v>工具调用</x:v>
      </x:c>
      <x:c r="F1020" s="17" t="str">
        <x:v>finance_query</x:v>
      </x:c>
      <x:c r="G1020" s="17" t="str">
        <x:v>r1 = hot_event.base_info(filter = "event = 'PCB'", limit = 1) -&gt; event_id, event, first_trigger_date, latest_trigger_date, is_active, loop_times, slience_days, current_company_num, core_event_desc, latest_event_desc</x:v>
      </x:c>
      <x:c r="H1020" s="17" t="str"/>
      <x:c r="I1020" s="17" t="str">
        <x:v>合理操作</x:v>
      </x:c>
      <x:c r="J1020" s="17" t="str">
        <x:v>是</x:v>
      </x:c>
      <x:c r="K1020" s="18"/>
      <x:c r="L1020" s="17" t="str">
        <x:v>否</x:v>
      </x:c>
      <x:c r="M1020" s="17" t="str">
        <x:v>否</x:v>
      </x:c>
      <x:c r="N1020" s="17" t="str">
        <x:v>target_api_executed</x:v>
      </x:c>
      <x:c r="O1020" s="17" t="str">
        <x:v>expected_dataview_coverage</x:v>
      </x:c>
      <x:c r="P1020" s="17" t="str">
        <x:v>session://financial_qa_33499cfa81de4d06_2921_6aac1ec7aa50/vars/v1</x:v>
      </x:c>
      <x:c r="Q1020" s="17" t="str"/>
      <x:c r="R1020" s="17" t="str">
        <x:v>hot_event.base_info</x:v>
      </x:c>
      <x:c r="S1020" s="17" t="str"/>
      <x:c r="T1020" s="17" t="str"/>
      <x:c r="U1020" s="17" t="str">
        <x:v>r1</x:v>
      </x:c>
      <x:c r="V1020" s="30" t="n">
        <x:v>1</x:v>
      </x:c>
      <x:c r="W1020" s="17" t="str">
        <x:v>high</x:v>
      </x:c>
    </x:row>
    <x:row r="1021" ht="54" customHeight="1">
      <x:c r="A1021" s="17" t="str">
        <x:v>BUS228</x:v>
      </x:c>
      <x:c r="B1021" s="17" t="str">
        <x:v>查询PCB热点的基础信息、最新热度和当前成分股。</x:v>
      </x:c>
      <x:c r="C1021" s="17" t="n">
        <x:v>6</x:v>
      </x:c>
      <x:c r="D1021" s="17" t="str"/>
      <x:c r="E1021" s="17" t="str">
        <x:v>工具调用</x:v>
      </x:c>
      <x:c r="F1021" s="17" t="str">
        <x:v>finance_query</x:v>
      </x:c>
      <x:c r="G1021" s="17" t="str">
        <x:v>r2 = hot_event.state(filter = "event = 'PCB'", order = "tradedate desc", limit = 1) -&gt; event_id, event, tradedate, heat_score, change_label, avg_lift, limited_count, company_num, board_strength</x:v>
      </x:c>
      <x:c r="H1021" s="17" t="str"/>
      <x:c r="I1021" s="17" t="str">
        <x:v>合理操作</x:v>
      </x:c>
      <x:c r="J1021" s="17" t="str">
        <x:v>是</x:v>
      </x:c>
      <x:c r="K1021" s="18"/>
      <x:c r="L1021" s="17" t="str">
        <x:v>否</x:v>
      </x:c>
      <x:c r="M1021" s="17" t="str">
        <x:v>否</x:v>
      </x:c>
      <x:c r="N1021" s="17" t="str">
        <x:v>target_api_executed</x:v>
      </x:c>
      <x:c r="O1021" s="17" t="str">
        <x:v>expected_dataview_coverage</x:v>
      </x:c>
      <x:c r="P1021" s="17" t="str">
        <x:v>session://financial_qa_33499cfa81de4d06_2921_6aac1ec7aa50/vars/v2</x:v>
      </x:c>
      <x:c r="Q1021" s="17" t="str"/>
      <x:c r="R1021" s="17" t="str">
        <x:v>hot_event.state</x:v>
      </x:c>
      <x:c r="S1021" s="17" t="str"/>
      <x:c r="T1021" s="17" t="str"/>
      <x:c r="U1021" s="17" t="str">
        <x:v>r2</x:v>
      </x:c>
      <x:c r="V1021" s="30" t="n">
        <x:v>1</x:v>
      </x:c>
      <x:c r="W1021" s="17" t="str">
        <x:v>high</x:v>
      </x:c>
    </x:row>
    <x:row r="1022" ht="54" customHeight="1">
      <x:c r="A1022" s="17" t="str">
        <x:v>BUS228</x:v>
      </x:c>
      <x:c r="B1022" s="17" t="str">
        <x:v>查询PCB热点的基础信息、最新热度和当前成分股。</x:v>
      </x:c>
      <x:c r="C1022" s="17" t="n">
        <x:v>7</x:v>
      </x:c>
      <x:c r="D1022" s="17" t="str"/>
      <x:c r="E1022" s="17" t="str">
        <x:v>工具调用</x:v>
      </x:c>
      <x:c r="F1022" s="17" t="str">
        <x:v>finance_query</x:v>
      </x:c>
      <x:c r="G1022" s="17" t="str">
        <x:v>r3 = hot_event.member(filter = "event = 'PCB'", limit = -1) -&gt; event_id, event, stock_code, stock_name, is_leader, company_event</x:v>
      </x:c>
      <x:c r="H1022" s="17" t="str"/>
      <x:c r="I1022" s="17" t="str">
        <x:v>合理操作</x:v>
      </x:c>
      <x:c r="J1022" s="17" t="str">
        <x:v>是</x:v>
      </x:c>
      <x:c r="K1022" s="18"/>
      <x:c r="L1022" s="17" t="str">
        <x:v>否</x:v>
      </x:c>
      <x:c r="M1022" s="17" t="str">
        <x:v>否</x:v>
      </x:c>
      <x:c r="N1022" s="17" t="str">
        <x:v>target_api_executed</x:v>
      </x:c>
      <x:c r="O1022" s="17" t="str">
        <x:v>expected_dataview_coverage</x:v>
      </x:c>
      <x:c r="P1022" s="17" t="str">
        <x:v>session://financial_qa_33499cfa81de4d06_2921_6aac1ec7aa50/vars/v3</x:v>
      </x:c>
      <x:c r="Q1022" s="17" t="str"/>
      <x:c r="R1022" s="17" t="str">
        <x:v>hot_event.member</x:v>
      </x:c>
      <x:c r="S1022" s="17" t="str"/>
      <x:c r="T1022" s="17" t="str"/>
      <x:c r="U1022" s="17" t="str">
        <x:v>r3</x:v>
      </x:c>
      <x:c r="V1022" s="30" t="n">
        <x:v>100</x:v>
      </x:c>
      <x:c r="W1022" s="17" t="str">
        <x:v>high</x:v>
      </x:c>
    </x:row>
    <x:row r="1023" ht="54" customHeight="1">
      <x:c r="A1023" s="17" t="str">
        <x:v>BUS228</x:v>
      </x:c>
      <x:c r="B1023" s="17" t="str">
        <x:v>查询PCB热点的基础信息、最新热度和当前成分股。</x:v>
      </x:c>
      <x:c r="C1023" s="17" t="n">
        <x:v>8</x:v>
      </x:c>
      <x:c r="D1023" s="17" t="str"/>
      <x:c r="E1023" s="17" t="str">
        <x:v>工具调用</x:v>
      </x:c>
      <x:c r="F1023" s="17" t="str">
        <x:v>load_finance_result</x:v>
      </x:c>
      <x:c r="G1023" s="17" t="str"/>
      <x:c r="H1023" s="17" t="str"/>
      <x:c r="I1023" s="17" t="str">
        <x:v>合理操作</x:v>
      </x:c>
      <x:c r="J1023" s="17" t="str">
        <x:v>是</x:v>
      </x:c>
      <x:c r="K1023" s="18"/>
      <x:c r="L1023" s="17" t="str">
        <x:v>否</x:v>
      </x:c>
      <x:c r="M1023" s="17" t="str">
        <x:v>否</x:v>
      </x:c>
      <x:c r="N1023" s="17" t="str">
        <x:v>load_truncated_result</x:v>
      </x:c>
      <x:c r="O1023" s="17" t="str">
        <x:v>sample_incomplete_requires_full_result</x:v>
      </x:c>
      <x:c r="P1023" s="17" t="str">
        <x:v>session://financial_qa_33499cfa81de4d06_2921_6aac1ec7aa50/vars/v3</x:v>
      </x:c>
      <x:c r="Q1023" s="17" t="str"/>
      <x:c r="R1023" s="17" t="str"/>
      <x:c r="S1023" s="17" t="str"/>
      <x:c r="T1023" s="17" t="str"/>
      <x:c r="U1023" s="17" t="str"/>
      <x:c r="V1023" s="30"/>
      <x:c r="W1023" s="17" t="str">
        <x:v>high</x:v>
      </x:c>
    </x:row>
    <x:row r="1024" ht="54" customHeight="1">
      <x:c r="A1024" s="17" t="str">
        <x:v>BUS229</x:v>
      </x:c>
      <x:c r="B1024" s="17" t="str">
        <x:v>查询机器人热点成分股，并返回这些股票今天主力净流入前10名。</x:v>
      </x:c>
      <x:c r="C1024" s="17" t="n">
        <x:v>1</x:v>
      </x:c>
      <x:c r="D1024" s="17" t="str"/>
      <x:c r="E1024" s="17" t="str">
        <x:v>工具调用</x:v>
      </x:c>
      <x:c r="F1024" s="17" t="str">
        <x:v>read_finance_catalog</x:v>
      </x:c>
      <x:c r="G1024" s="17" t="str"/>
      <x:c r="H1024" s="17" t="str"/>
      <x:c r="I1024" s="17" t="str">
        <x:v>合理操作</x:v>
      </x:c>
      <x:c r="J1024" s="17" t="str">
        <x:v>是</x:v>
      </x:c>
      <x:c r="K1024" s="18"/>
      <x:c r="L1024" s="17" t="str">
        <x:v>否</x:v>
      </x:c>
      <x:c r="M1024" s="17" t="str">
        <x:v>否</x:v>
      </x:c>
      <x:c r="N1024" s="17" t="str">
        <x:v>target_catalog_located</x:v>
      </x:c>
      <x:c r="O1024" s="17" t="str">
        <x:v>expected_dataview_catalog</x:v>
      </x:c>
      <x:c r="P1024" s="17" t="str"/>
      <x:c r="Q1024" s="17" t="str"/>
      <x:c r="R1024" s="17" t="str"/>
      <x:c r="S1024" s="17" t="str">
        <x:v>hot_event</x:v>
      </x:c>
      <x:c r="T1024" s="17" t="str">
        <x:v>member</x:v>
      </x:c>
      <x:c r="U1024" s="17" t="str"/>
      <x:c r="V1024" s="30"/>
      <x:c r="W1024" s="17" t="str">
        <x:v>high</x:v>
      </x:c>
    </x:row>
    <x:row r="1025" ht="54" customHeight="1">
      <x:c r="A1025" s="17" t="str">
        <x:v>BUS229</x:v>
      </x:c>
      <x:c r="B1025" s="17" t="str">
        <x:v>查询机器人热点成分股，并返回这些股票今天主力净流入前10名。</x:v>
      </x:c>
      <x:c r="C1025" s="17" t="n">
        <x:v>2</x:v>
      </x:c>
      <x:c r="D1025" s="17" t="str"/>
      <x:c r="E1025" s="17" t="str">
        <x:v>工具调用</x:v>
      </x:c>
      <x:c r="F1025" s="17" t="str">
        <x:v>finance_query</x:v>
      </x:c>
      <x:c r="G1025" s="17" t="str">
        <x:v>r1 = hot_event.member(filter = "event like '%机器人%'", limit = -1) -&gt; event, stock_code, stock_name, is_leader</x:v>
      </x:c>
      <x:c r="H1025" s="17" t="str"/>
      <x:c r="I1025" s="17" t="str">
        <x:v>合理操作</x:v>
      </x:c>
      <x:c r="J1025" s="17" t="str">
        <x:v>是</x:v>
      </x:c>
      <x:c r="K1025" s="18"/>
      <x:c r="L1025" s="17" t="str">
        <x:v>否</x:v>
      </x:c>
      <x:c r="M1025" s="17" t="str">
        <x:v>否</x:v>
      </x:c>
      <x:c r="N1025" s="17" t="str">
        <x:v>target_api_executed</x:v>
      </x:c>
      <x:c r="O1025" s="17" t="str">
        <x:v>expected_dataview_coverage</x:v>
      </x:c>
      <x:c r="P1025" s="17" t="str">
        <x:v>session://financial_qa_33499cfa81de4d06_2922_c8c97d37f592/vars/v1</x:v>
      </x:c>
      <x:c r="Q1025" s="17" t="str"/>
      <x:c r="R1025" s="17" t="str">
        <x:v>hot_event.member</x:v>
      </x:c>
      <x:c r="S1025" s="17" t="str"/>
      <x:c r="T1025" s="17" t="str"/>
      <x:c r="U1025" s="17" t="str">
        <x:v>r1</x:v>
      </x:c>
      <x:c r="V1025" s="30" t="n">
        <x:v>100</x:v>
      </x:c>
      <x:c r="W1025" s="17" t="str">
        <x:v>high</x:v>
      </x:c>
    </x:row>
    <x:row r="1026" ht="54" customHeight="1">
      <x:c r="A1026" s="17" t="str">
        <x:v>BUS229</x:v>
      </x:c>
      <x:c r="B1026" s="17" t="str">
        <x:v>查询机器人热点成分股，并返回这些股票今天主力净流入前10名。</x:v>
      </x:c>
      <x:c r="C1026" s="17" t="n">
        <x:v>3</x:v>
      </x:c>
      <x:c r="D1026" s="17" t="str"/>
      <x:c r="E1026" s="17" t="str">
        <x:v>工具调用</x:v>
      </x:c>
      <x:c r="F1026" s="17" t="str">
        <x:v>load_finance_result</x:v>
      </x:c>
      <x:c r="G1026" s="17" t="str"/>
      <x:c r="H1026" s="17" t="str"/>
      <x:c r="I1026" s="17" t="str">
        <x:v>合理操作</x:v>
      </x:c>
      <x:c r="J1026" s="17" t="str">
        <x:v>是</x:v>
      </x:c>
      <x:c r="K1026" s="18"/>
      <x:c r="L1026" s="17" t="str">
        <x:v>否</x:v>
      </x:c>
      <x:c r="M1026" s="17" t="str">
        <x:v>否</x:v>
      </x:c>
      <x:c r="N1026" s="17" t="str">
        <x:v>load_truncated_result</x:v>
      </x:c>
      <x:c r="O1026" s="17" t="str">
        <x:v>sample_incomplete_requires_full_result</x:v>
      </x:c>
      <x:c r="P1026" s="17" t="str">
        <x:v>session://financial_qa_33499cfa81de4d06_2922_c8c97d37f592/vars/v1</x:v>
      </x:c>
      <x:c r="Q1026" s="17" t="str"/>
      <x:c r="R1026" s="17" t="str"/>
      <x:c r="S1026" s="17" t="str"/>
      <x:c r="T1026" s="17" t="str"/>
      <x:c r="U1026" s="17" t="str"/>
      <x:c r="V1026" s="30"/>
      <x:c r="W1026" s="17" t="str">
        <x:v>high</x:v>
      </x:c>
    </x:row>
    <x:row r="1027" ht="54" customHeight="1">
      <x:c r="A1027" s="17" t="str">
        <x:v>BUS229</x:v>
      </x:c>
      <x:c r="B1027" s="17" t="str">
        <x:v>查询机器人热点成分股，并返回这些股票今天主力净流入前10名。</x:v>
      </x:c>
      <x:c r="C1027" s="17" t="n">
        <x:v>4</x:v>
      </x:c>
      <x:c r="D1027" s="17" t="str"/>
      <x:c r="E1027" s="17" t="str">
        <x:v>工具调用</x:v>
      </x:c>
      <x:c r="F1027" s="17" t="str">
        <x:v>read_finance_catalog</x:v>
      </x:c>
      <x:c r="G1027" s="17" t="str"/>
      <x:c r="H1027" s="17" t="str"/>
      <x:c r="I1027" s="17" t="str">
        <x:v>合理操作</x:v>
      </x:c>
      <x:c r="J1027" s="17" t="str">
        <x:v>是</x:v>
      </x:c>
      <x:c r="K1027" s="18"/>
      <x:c r="L1027" s="17" t="str">
        <x:v>否</x:v>
      </x:c>
      <x:c r="M1027" s="17" t="str">
        <x:v>否</x:v>
      </x:c>
      <x:c r="N1027" s="17" t="str">
        <x:v>subject_catalog_discovery</x:v>
      </x:c>
      <x:c r="O1027" s="17" t="str">
        <x:v>expected_subject_catalog</x:v>
      </x:c>
      <x:c r="P1027" s="17" t="str"/>
      <x:c r="Q1027" s="17" t="str"/>
      <x:c r="R1027" s="17" t="str"/>
      <x:c r="S1027" s="17" t="str">
        <x:v>hot_event</x:v>
      </x:c>
      <x:c r="T1027" s="17" t="str">
        <x:v>base_info</x:v>
      </x:c>
      <x:c r="U1027" s="17" t="str"/>
      <x:c r="V1027" s="30"/>
      <x:c r="W1027" s="17" t="str">
        <x:v>medium</x:v>
      </x:c>
    </x:row>
    <x:row r="1028" ht="54" customHeight="1">
      <x:c r="A1028" s="17" t="str">
        <x:v>BUS229</x:v>
      </x:c>
      <x:c r="B1028" s="17" t="str">
        <x:v>查询机器人热点成分股，并返回这些股票今天主力净流入前10名。</x:v>
      </x:c>
      <x:c r="C1028" s="17" t="n">
        <x:v>5</x:v>
      </x:c>
      <x:c r="D1028" s="17" t="str"/>
      <x:c r="E1028" s="17" t="str">
        <x:v>工具调用</x:v>
      </x:c>
      <x:c r="F1028" s="17" t="str">
        <x:v>finance_query</x:v>
      </x:c>
      <x:c r="G1028" s="17" t="str">
        <x:v>r2 = hot_event.base_info(filter = "event like '%机器人%'", limit = 20) -&gt; event_id, event, current_company_num, is_active</x:v>
      </x:c>
      <x:c r="H1028" s="17" t="str"/>
      <x:c r="I1028" s="17" t="str">
        <x:v>合理操作</x:v>
      </x:c>
      <x:c r="J1028" s="17" t="str">
        <x:v>是</x:v>
      </x:c>
      <x:c r="K1028" s="18"/>
      <x:c r="L1028" s="17" t="str">
        <x:v>否</x:v>
      </x:c>
      <x:c r="M1028" s="17" t="str">
        <x:v>否</x:v>
      </x:c>
      <x:c r="N1028" s="17" t="str">
        <x:v>same_subject_dependency</x:v>
      </x:c>
      <x:c r="O1028" s="17" t="str">
        <x:v>supporting_api_for_expected_subject</x:v>
      </x:c>
      <x:c r="P1028" s="17" t="str">
        <x:v>session://financial_qa_33499cfa81de4d06_2922_c8c97d37f592/vars/v2</x:v>
      </x:c>
      <x:c r="Q1028" s="17" t="str"/>
      <x:c r="R1028" s="17" t="str">
        <x:v>hot_event.base_info</x:v>
      </x:c>
      <x:c r="S1028" s="17" t="str"/>
      <x:c r="T1028" s="17" t="str"/>
      <x:c r="U1028" s="17" t="str">
        <x:v>r2</x:v>
      </x:c>
      <x:c r="V1028" s="30" t="n">
        <x:v>20</x:v>
      </x:c>
      <x:c r="W1028" s="17" t="str">
        <x:v>medium</x:v>
      </x:c>
    </x:row>
    <x:row r="1029" ht="54" customHeight="1">
      <x:c r="A1029" s="17" t="str">
        <x:v>BUS229</x:v>
      </x:c>
      <x:c r="B1029" s="17" t="str">
        <x:v>查询机器人热点成分股，并返回这些股票今天主力净流入前10名。</x:v>
      </x:c>
      <x:c r="C1029" s="17" t="n">
        <x:v>6</x:v>
      </x:c>
      <x:c r="D1029" s="17" t="str"/>
      <x:c r="E1029" s="17" t="str">
        <x:v>工具调用</x:v>
      </x:c>
      <x:c r="F1029" s="17" t="str">
        <x:v>load_finance_result</x:v>
      </x:c>
      <x:c r="G1029" s="17" t="str"/>
      <x:c r="H1029" s="17" t="str"/>
      <x:c r="I1029" s="17" t="str">
        <x:v>合理操作</x:v>
      </x:c>
      <x:c r="J1029" s="17" t="str">
        <x:v>是</x:v>
      </x:c>
      <x:c r="K1029" s="18"/>
      <x:c r="L1029" s="17" t="str">
        <x:v>否</x:v>
      </x:c>
      <x:c r="M1029" s="17" t="str">
        <x:v>否</x:v>
      </x:c>
      <x:c r="N1029" s="17" t="str">
        <x:v>load_truncated_result</x:v>
      </x:c>
      <x:c r="O1029" s="17" t="str">
        <x:v>sample_incomplete_requires_full_result</x:v>
      </x:c>
      <x:c r="P1029" s="17" t="str">
        <x:v>session://financial_qa_33499cfa81de4d06_2922_c8c97d37f592/vars/v2</x:v>
      </x:c>
      <x:c r="Q1029" s="17" t="str"/>
      <x:c r="R1029" s="17" t="str"/>
      <x:c r="S1029" s="17" t="str"/>
      <x:c r="T1029" s="17" t="str"/>
      <x:c r="U1029" s="17" t="str"/>
      <x:c r="V1029" s="30"/>
      <x:c r="W1029" s="17" t="str">
        <x:v>high</x:v>
      </x:c>
    </x:row>
    <x:row r="1030" ht="54" customHeight="1">
      <x:c r="A1030" s="17" t="str">
        <x:v>BUS229</x:v>
      </x:c>
      <x:c r="B1030" s="17" t="str">
        <x:v>查询机器人热点成分股，并返回这些股票今天主力净流入前10名。</x:v>
      </x:c>
      <x:c r="C1030" s="17" t="n">
        <x:v>7</x:v>
      </x:c>
      <x:c r="D1030" s="17" t="str"/>
      <x:c r="E1030" s="17" t="str">
        <x:v>工具调用</x:v>
      </x:c>
      <x:c r="F1030" s="17" t="str">
        <x:v>finance_query</x:v>
      </x:c>
      <x:c r="G1030" s="17" t="str">
        <x:v>r3 = hot_event.member(filter = "event = '机器人'", limit = -1) -&gt; event, stock_code, stock_name, is_leader</x:v>
      </x:c>
      <x:c r="H1030" s="17" t="str"/>
      <x:c r="I1030" s="17" t="str">
        <x:v>合理操作</x:v>
      </x:c>
      <x:c r="J1030" s="17" t="str">
        <x:v>是</x:v>
      </x:c>
      <x:c r="K1030" s="18"/>
      <x:c r="L1030" s="17" t="str">
        <x:v>否</x:v>
      </x:c>
      <x:c r="M1030" s="17" t="str">
        <x:v>否</x:v>
      </x:c>
      <x:c r="N1030" s="17" t="str">
        <x:v>target_api_executed</x:v>
      </x:c>
      <x:c r="O1030" s="17" t="str">
        <x:v>expected_dataview_coverage</x:v>
      </x:c>
      <x:c r="P1030" s="17" t="str">
        <x:v>session://financial_qa_33499cfa81de4d06_2922_c8c97d37f592/vars/v3</x:v>
      </x:c>
      <x:c r="Q1030" s="17" t="str"/>
      <x:c r="R1030" s="17" t="str">
        <x:v>hot_event.member</x:v>
      </x:c>
      <x:c r="S1030" s="17" t="str"/>
      <x:c r="T1030" s="17" t="str"/>
      <x:c r="U1030" s="17" t="str">
        <x:v>r3</x:v>
      </x:c>
      <x:c r="V1030" s="30" t="n">
        <x:v>100</x:v>
      </x:c>
      <x:c r="W1030" s="17" t="str">
        <x:v>high</x:v>
      </x:c>
    </x:row>
    <x:row r="1031" ht="54" customHeight="1">
      <x:c r="A1031" s="17" t="str">
        <x:v>BUS229</x:v>
      </x:c>
      <x:c r="B1031" s="17" t="str">
        <x:v>查询机器人热点成分股，并返回这些股票今天主力净流入前10名。</x:v>
      </x:c>
      <x:c r="C1031" s="17" t="n">
        <x:v>8</x:v>
      </x:c>
      <x:c r="D1031" s="17" t="str"/>
      <x:c r="E1031" s="17" t="str">
        <x:v>工具调用</x:v>
      </x:c>
      <x:c r="F1031" s="17" t="str">
        <x:v>load_finance_result</x:v>
      </x:c>
      <x:c r="G1031" s="17" t="str"/>
      <x:c r="H1031" s="17" t="str"/>
      <x:c r="I1031" s="17" t="str">
        <x:v>合理操作</x:v>
      </x:c>
      <x:c r="J1031" s="17" t="str">
        <x:v>是</x:v>
      </x:c>
      <x:c r="K1031" s="18"/>
      <x:c r="L1031" s="17" t="str">
        <x:v>否</x:v>
      </x:c>
      <x:c r="M1031" s="17" t="str">
        <x:v>否</x:v>
      </x:c>
      <x:c r="N1031" s="17" t="str">
        <x:v>load_truncated_result</x:v>
      </x:c>
      <x:c r="O1031" s="17" t="str">
        <x:v>sample_incomplete_requires_full_result</x:v>
      </x:c>
      <x:c r="P1031" s="17" t="str">
        <x:v>session://financial_qa_33499cfa81de4d06_2922_c8c97d37f592/vars/v3</x:v>
      </x:c>
      <x:c r="Q1031" s="17" t="str"/>
      <x:c r="R1031" s="17" t="str"/>
      <x:c r="S1031" s="17" t="str"/>
      <x:c r="T1031" s="17" t="str"/>
      <x:c r="U1031" s="17" t="str"/>
      <x:c r="V1031" s="30"/>
      <x:c r="W1031" s="17" t="str">
        <x:v>high</x:v>
      </x:c>
    </x:row>
    <x:row r="1032" ht="54" customHeight="1">
      <x:c r="A1032" s="17" t="str">
        <x:v>BUS229</x:v>
      </x:c>
      <x:c r="B1032" s="17" t="str">
        <x:v>查询机器人热点成分股，并返回这些股票今天主力净流入前10名。</x:v>
      </x:c>
      <x:c r="C1032" s="17" t="n">
        <x:v>9</x:v>
      </x:c>
      <x:c r="D1032" s="17" t="str"/>
      <x:c r="E1032" s="17" t="str">
        <x:v>工具调用</x:v>
      </x:c>
      <x:c r="F1032" s="17" t="str">
        <x:v>read_finance_catalog</x:v>
      </x:c>
      <x:c r="G1032" s="17" t="str"/>
      <x:c r="H1032" s="17" t="str"/>
      <x:c r="I1032" s="17" t="str">
        <x:v>合理操作</x:v>
      </x:c>
      <x:c r="J1032" s="17" t="str">
        <x:v>是</x:v>
      </x:c>
      <x:c r="K1032" s="18"/>
      <x:c r="L1032" s="17" t="str">
        <x:v>否</x:v>
      </x:c>
      <x:c r="M1032" s="17" t="str">
        <x:v>否</x:v>
      </x:c>
      <x:c r="N1032" s="17" t="str">
        <x:v>target_catalog_located</x:v>
      </x:c>
      <x:c r="O1032" s="17" t="str">
        <x:v>expected_dataview_catalog</x:v>
      </x:c>
      <x:c r="P1032" s="17" t="str"/>
      <x:c r="Q1032" s="17" t="str"/>
      <x:c r="R1032" s="17" t="str"/>
      <x:c r="S1032" s="17" t="str">
        <x:v>stock</x:v>
      </x:c>
      <x:c r="T1032" s="17" t="str">
        <x:v>moneyflow</x:v>
      </x:c>
      <x:c r="U1032" s="17" t="str"/>
      <x:c r="V1032" s="30"/>
      <x:c r="W1032" s="17" t="str">
        <x:v>high</x:v>
      </x:c>
    </x:row>
    <x:row r="1033" ht="54" customHeight="1">
      <x:c r="A1033" s="17" t="str">
        <x:v>BUS229</x:v>
      </x:c>
      <x:c r="B1033" s="17" t="str">
        <x:v>查询机器人热点成分股，并返回这些股票今天主力净流入前10名。</x:v>
      </x:c>
      <x:c r="C1033" s="17" t="n">
        <x:v>10</x:v>
      </x:c>
      <x:c r="D1033" s="17" t="str"/>
      <x:c r="E1033" s="17" t="str">
        <x:v>工具调用</x:v>
      </x:c>
      <x:c r="F1033" s="17" t="str">
        <x:v>finance_query</x:v>
      </x:c>
      <x:c r="G1033" s="17" t="str">
        <x:v>r4 = stock.moneyflow(filter = "code in r3.stock_code", order = "main_net desc", limit = 10, realtime = 0) -&gt; code, name, tradedate, main_net, main_ratio</x:v>
      </x:c>
      <x:c r="H1033" s="17" t="str"/>
      <x:c r="I1033" s="17" t="str">
        <x:v>合理操作</x:v>
      </x:c>
      <x:c r="J1033" s="17" t="str">
        <x:v>是</x:v>
      </x:c>
      <x:c r="K1033" s="18"/>
      <x:c r="L1033" s="17" t="str">
        <x:v>否</x:v>
      </x:c>
      <x:c r="M1033" s="17" t="str">
        <x:v>否</x:v>
      </x:c>
      <x:c r="N1033" s="17" t="str">
        <x:v>target_api_executed</x:v>
      </x:c>
      <x:c r="O1033" s="17" t="str">
        <x:v>expected_dataview_coverage</x:v>
      </x:c>
      <x:c r="P1033" s="17" t="str">
        <x:v>session://financial_qa_33499cfa81de4d06_2922_c8c97d37f592/vars/v4</x:v>
      </x:c>
      <x:c r="Q1033" s="17" t="str"/>
      <x:c r="R1033" s="17" t="str">
        <x:v>stock.moneyflow</x:v>
      </x:c>
      <x:c r="S1033" s="17" t="str"/>
      <x:c r="T1033" s="17" t="str"/>
      <x:c r="U1033" s="17" t="str">
        <x:v>r4</x:v>
      </x:c>
      <x:c r="V1033" s="30" t="n">
        <x:v>10</x:v>
      </x:c>
      <x:c r="W1033" s="17" t="str">
        <x:v>high</x:v>
      </x:c>
    </x:row>
    <x:row r="1034" ht="54" customHeight="1">
      <x:c r="A1034" s="17" t="str">
        <x:v>BUS229</x:v>
      </x:c>
      <x:c r="B1034" s="17" t="str">
        <x:v>查询机器人热点成分股，并返回这些股票今天主力净流入前10名。</x:v>
      </x:c>
      <x:c r="C1034" s="17" t="n">
        <x:v>11</x:v>
      </x:c>
      <x:c r="D1034" s="17" t="str"/>
      <x:c r="E1034" s="17" t="str">
        <x:v>工具调用</x:v>
      </x:c>
      <x:c r="F1034" s="17" t="str">
        <x:v>load_finance_result</x:v>
      </x:c>
      <x:c r="G1034" s="17" t="str"/>
      <x:c r="H1034" s="17" t="str"/>
      <x:c r="I1034" s="17" t="str">
        <x:v>合理操作</x:v>
      </x:c>
      <x:c r="J1034" s="17" t="str">
        <x:v>是</x:v>
      </x:c>
      <x:c r="K1034" s="18"/>
      <x:c r="L1034" s="17" t="str">
        <x:v>否</x:v>
      </x:c>
      <x:c r="M1034" s="17" t="str">
        <x:v>否</x:v>
      </x:c>
      <x:c r="N1034" s="17" t="str">
        <x:v>load_truncated_result</x:v>
      </x:c>
      <x:c r="O1034" s="17" t="str">
        <x:v>sample_incomplete_requires_full_result</x:v>
      </x:c>
      <x:c r="P1034" s="17" t="str">
        <x:v>session://financial_qa_33499cfa81de4d06_2922_c8c97d37f592/vars/v4</x:v>
      </x:c>
      <x:c r="Q1034" s="17" t="str"/>
      <x:c r="R1034" s="17" t="str"/>
      <x:c r="S1034" s="17" t="str"/>
      <x:c r="T1034" s="17" t="str"/>
      <x:c r="U1034" s="17" t="str"/>
      <x:c r="V1034" s="30"/>
      <x:c r="W1034" s="17" t="str">
        <x:v>high</x:v>
      </x:c>
    </x:row>
    <x:row r="1035" ht="54" customHeight="1">
      <x:c r="A1035" s="17" t="str">
        <x:v>BUS230</x:v>
      </x:c>
      <x:c r="B1035" s="17" t="str">
        <x:v>同时查询人工智能热点热度和人工智能板块当前涨跌幅。</x:v>
      </x:c>
      <x:c r="C1035" s="17" t="n">
        <x:v>1</x:v>
      </x:c>
      <x:c r="D1035" s="17" t="str"/>
      <x:c r="E1035" s="17" t="str">
        <x:v>工具调用</x:v>
      </x:c>
      <x:c r="F1035" s="17" t="str">
        <x:v>read_finance_catalog</x:v>
      </x:c>
      <x:c r="G1035" s="17" t="str"/>
      <x:c r="H1035" s="17" t="str"/>
      <x:c r="I1035" s="17" t="str">
        <x:v>合理操作</x:v>
      </x:c>
      <x:c r="J1035" s="17" t="str">
        <x:v>是</x:v>
      </x:c>
      <x:c r="K1035" s="18"/>
      <x:c r="L1035" s="17" t="str">
        <x:v>否</x:v>
      </x:c>
      <x:c r="M1035" s="17" t="str">
        <x:v>否</x:v>
      </x:c>
      <x:c r="N1035" s="17" t="str">
        <x:v>subject_catalog_discovery</x:v>
      </x:c>
      <x:c r="O1035" s="17" t="str">
        <x:v>expected_subject_catalog</x:v>
      </x:c>
      <x:c r="P1035" s="17" t="str"/>
      <x:c r="Q1035" s="17" t="str"/>
      <x:c r="R1035" s="17" t="str"/>
      <x:c r="S1035" s="17" t="str">
        <x:v>hot_event</x:v>
      </x:c>
      <x:c r="T1035" s="17" t="str">
        <x:v>base_info</x:v>
      </x:c>
      <x:c r="U1035" s="17" t="str"/>
      <x:c r="V1035" s="30"/>
      <x:c r="W1035" s="17" t="str">
        <x:v>medium</x:v>
      </x:c>
    </x:row>
    <x:row r="1036" ht="54" customHeight="1">
      <x:c r="A1036" s="17" t="str">
        <x:v>BUS230</x:v>
      </x:c>
      <x:c r="B1036" s="17" t="str">
        <x:v>同时查询人工智能热点热度和人工智能板块当前涨跌幅。</x:v>
      </x:c>
      <x:c r="C1036" s="17" t="n">
        <x:v>2</x:v>
      </x:c>
      <x:c r="D1036" s="17" t="str"/>
      <x:c r="E1036" s="17" t="str">
        <x:v>工具调用</x:v>
      </x:c>
      <x:c r="F1036" s="17" t="str">
        <x:v>read_finance_catalog</x:v>
      </x:c>
      <x:c r="G1036" s="17" t="str"/>
      <x:c r="H1036" s="17" t="str"/>
      <x:c r="I1036" s="17" t="str">
        <x:v>合理操作</x:v>
      </x:c>
      <x:c r="J1036" s="17" t="str">
        <x:v>是</x:v>
      </x:c>
      <x:c r="K1036" s="18"/>
      <x:c r="L1036" s="17" t="str">
        <x:v>否</x:v>
      </x:c>
      <x:c r="M1036" s="17" t="str">
        <x:v>否</x:v>
      </x:c>
      <x:c r="N1036" s="17" t="str">
        <x:v>target_catalog_located</x:v>
      </x:c>
      <x:c r="O1036" s="17" t="str">
        <x:v>expected_dataview_catalog</x:v>
      </x:c>
      <x:c r="P1036" s="17" t="str"/>
      <x:c r="Q1036" s="17" t="str"/>
      <x:c r="R1036" s="17" t="str"/>
      <x:c r="S1036" s="17" t="str">
        <x:v>plate</x:v>
      </x:c>
      <x:c r="T1036" s="17" t="str">
        <x:v>quote</x:v>
      </x:c>
      <x:c r="U1036" s="17" t="str"/>
      <x:c r="V1036" s="30"/>
      <x:c r="W1036" s="17" t="str">
        <x:v>high</x:v>
      </x:c>
    </x:row>
    <x:row r="1037" ht="54" customHeight="1">
      <x:c r="A1037" s="17" t="str">
        <x:v>BUS230</x:v>
      </x:c>
      <x:c r="B1037" s="17" t="str">
        <x:v>同时查询人工智能热点热度和人工智能板块当前涨跌幅。</x:v>
      </x:c>
      <x:c r="C1037" s="17" t="n">
        <x:v>3</x:v>
      </x:c>
      <x:c r="D1037" s="17" t="str"/>
      <x:c r="E1037" s="17" t="str">
        <x:v>工具调用</x:v>
      </x:c>
      <x:c r="F1037" s="17" t="str">
        <x:v>read_finance_catalog</x:v>
      </x:c>
      <x:c r="G1037" s="17" t="str"/>
      <x:c r="H1037" s="17" t="str"/>
      <x:c r="I1037" s="17" t="str">
        <x:v>合理操作</x:v>
      </x:c>
      <x:c r="J1037" s="17" t="str">
        <x:v>是</x:v>
      </x:c>
      <x:c r="K1037" s="18"/>
      <x:c r="L1037" s="17" t="str">
        <x:v>否</x:v>
      </x:c>
      <x:c r="M1037" s="17" t="str">
        <x:v>否</x:v>
      </x:c>
      <x:c r="N1037" s="17" t="str">
        <x:v>target_catalog_located</x:v>
      </x:c>
      <x:c r="O1037" s="17" t="str">
        <x:v>expected_dataview_catalog</x:v>
      </x:c>
      <x:c r="P1037" s="17" t="str"/>
      <x:c r="Q1037" s="17" t="str"/>
      <x:c r="R1037" s="17" t="str"/>
      <x:c r="S1037" s="17" t="str">
        <x:v>hot_event</x:v>
      </x:c>
      <x:c r="T1037" s="17" t="str">
        <x:v>state</x:v>
      </x:c>
      <x:c r="U1037" s="17" t="str"/>
      <x:c r="V1037" s="30"/>
      <x:c r="W1037" s="17" t="str">
        <x:v>high</x:v>
      </x:c>
    </x:row>
    <x:row r="1038" ht="54" customHeight="1">
      <x:c r="A1038" s="17" t="str">
        <x:v>BUS230</x:v>
      </x:c>
      <x:c r="B1038" s="17" t="str">
        <x:v>同时查询人工智能热点热度和人工智能板块当前涨跌幅。</x:v>
      </x:c>
      <x:c r="C1038" s="17" t="n">
        <x:v>4</x:v>
      </x:c>
      <x:c r="D1038" s="17" t="str"/>
      <x:c r="E1038" s="17" t="str">
        <x:v>工具调用</x:v>
      </x:c>
      <x:c r="F1038" s="17" t="str">
        <x:v>read_finance_catalog</x:v>
      </x:c>
      <x:c r="G1038" s="17" t="str"/>
      <x:c r="H1038" s="17" t="str"/>
      <x:c r="I1038" s="17" t="str">
        <x:v>合理操作</x:v>
      </x:c>
      <x:c r="J1038" s="17" t="str">
        <x:v>是</x:v>
      </x:c>
      <x:c r="K1038" s="18"/>
      <x:c r="L1038" s="17" t="str">
        <x:v>否</x:v>
      </x:c>
      <x:c r="M1038" s="17" t="str">
        <x:v>否</x:v>
      </x:c>
      <x:c r="N1038" s="17" t="str">
        <x:v>subject_catalog_discovery</x:v>
      </x:c>
      <x:c r="O1038" s="17" t="str">
        <x:v>expected_subject_catalog</x:v>
      </x:c>
      <x:c r="P1038" s="17" t="str"/>
      <x:c r="Q1038" s="17" t="str"/>
      <x:c r="R1038" s="17" t="str"/>
      <x:c r="S1038" s="17" t="str">
        <x:v>plate</x:v>
      </x:c>
      <x:c r="T1038" s="17" t="str">
        <x:v>basic_info</x:v>
      </x:c>
      <x:c r="U1038" s="17" t="str"/>
      <x:c r="V1038" s="30"/>
      <x:c r="W1038" s="17" t="str">
        <x:v>medium</x:v>
      </x:c>
    </x:row>
    <x:row r="1039" ht="54" customHeight="1">
      <x:c r="A1039" s="17" t="str">
        <x:v>BUS230</x:v>
      </x:c>
      <x:c r="B1039" s="17" t="str">
        <x:v>同时查询人工智能热点热度和人工智能板块当前涨跌幅。</x:v>
      </x:c>
      <x:c r="C1039" s="17" t="n">
        <x:v>5</x:v>
      </x:c>
      <x:c r="D1039" s="17" t="str"/>
      <x:c r="E1039" s="17" t="str">
        <x:v>工具调用</x:v>
      </x:c>
      <x:c r="F1039" s="17" t="str">
        <x:v>finance_query</x:v>
      </x:c>
      <x:c r="G1039" s="17" t="str">
        <x:v>r1 = plate.basic_info(filter = "plate_name like '%人工智能%'", limit = 5) -&gt; plate_code, plate_name</x:v>
      </x:c>
      <x:c r="H1039" s="17" t="str"/>
      <x:c r="I1039" s="17" t="str">
        <x:v>合理操作</x:v>
      </x:c>
      <x:c r="J1039" s="17" t="str">
        <x:v>是</x:v>
      </x:c>
      <x:c r="K1039" s="18"/>
      <x:c r="L1039" s="17" t="str">
        <x:v>否</x:v>
      </x:c>
      <x:c r="M1039" s="17" t="str">
        <x:v>否</x:v>
      </x:c>
      <x:c r="N1039" s="17" t="str">
        <x:v>same_subject_dependency</x:v>
      </x:c>
      <x:c r="O1039" s="17" t="str">
        <x:v>supporting_api_for_expected_subject</x:v>
      </x:c>
      <x:c r="P1039" s="17" t="str">
        <x:v>session://financial_qa_33499cfa81de4d06_2923_a8fb967e4674/vars/v1</x:v>
      </x:c>
      <x:c r="Q1039" s="17" t="str"/>
      <x:c r="R1039" s="17" t="str">
        <x:v>plate.basic_info</x:v>
      </x:c>
      <x:c r="S1039" s="17" t="str"/>
      <x:c r="T1039" s="17" t="str"/>
      <x:c r="U1039" s="17" t="str">
        <x:v>r1</x:v>
      </x:c>
      <x:c r="V1039" s="30" t="n">
        <x:v>1</x:v>
      </x:c>
      <x:c r="W1039" s="17" t="str">
        <x:v>medium</x:v>
      </x:c>
    </x:row>
    <x:row r="1040" ht="54" customHeight="1">
      <x:c r="A1040" s="17" t="str">
        <x:v>BUS230</x:v>
      </x:c>
      <x:c r="B1040" s="17" t="str">
        <x:v>同时查询人工智能热点热度和人工智能板块当前涨跌幅。</x:v>
      </x:c>
      <x:c r="C1040" s="17" t="n">
        <x:v>6</x:v>
      </x:c>
      <x:c r="D1040" s="17" t="str"/>
      <x:c r="E1040" s="17" t="str">
        <x:v>工具调用</x:v>
      </x:c>
      <x:c r="F1040" s="17" t="str">
        <x:v>finance_query</x:v>
      </x:c>
      <x:c r="G1040" s="17" t="str">
        <x:v>r2 = hot_event.state(filter = "event = '人工智能'", realtime = 0, limit = 1) -&gt; event, heat_score, change_label, avg_lift, company_num, limited_count, tradedate</x:v>
      </x:c>
      <x:c r="H1040" s="17" t="str"/>
      <x:c r="I1040" s="17" t="str">
        <x:v>合理操作</x:v>
      </x:c>
      <x:c r="J1040" s="17" t="str">
        <x:v>是</x:v>
      </x:c>
      <x:c r="K1040" s="18"/>
      <x:c r="L1040" s="17" t="str">
        <x:v>否</x:v>
      </x:c>
      <x:c r="M1040" s="17" t="str">
        <x:v>否</x:v>
      </x:c>
      <x:c r="N1040" s="17" t="str">
        <x:v>target_api_executed</x:v>
      </x:c>
      <x:c r="O1040" s="17" t="str">
        <x:v>expected_dataview_coverage</x:v>
      </x:c>
      <x:c r="P1040" s="17" t="str">
        <x:v>session://financial_qa_33499cfa81de4d06_2923_a8fb967e4674/vars/v2</x:v>
      </x:c>
      <x:c r="Q1040" s="17" t="str"/>
      <x:c r="R1040" s="17" t="str">
        <x:v>hot_event.state</x:v>
      </x:c>
      <x:c r="S1040" s="17" t="str"/>
      <x:c r="T1040" s="17" t="str"/>
      <x:c r="U1040" s="17" t="str">
        <x:v>r2</x:v>
      </x:c>
      <x:c r="V1040" s="30" t="n">
        <x:v>1</x:v>
      </x:c>
      <x:c r="W1040" s="17" t="str">
        <x:v>high</x:v>
      </x:c>
    </x:row>
    <x:row r="1041" ht="54" customHeight="1">
      <x:c r="A1041" s="17" t="str">
        <x:v>BUS230</x:v>
      </x:c>
      <x:c r="B1041" s="17" t="str">
        <x:v>同时查询人工智能热点热度和人工智能板块当前涨跌幅。</x:v>
      </x:c>
      <x:c r="C1041" s="17" t="n">
        <x:v>7</x:v>
      </x:c>
      <x:c r="D1041" s="17" t="str"/>
      <x:c r="E1041" s="17" t="str">
        <x:v>工具调用</x:v>
      </x:c>
      <x:c r="F1041" s="17" t="str">
        <x:v>finance_query</x:v>
      </x:c>
      <x:c r="G1041" s="17" t="str">
        <x:v>r3 = plate.quote(filter = "code in r1.plate_code", realtime = 0, limit = 1) -&gt; code, name, tradedate, pct, close, differ, amount</x:v>
      </x:c>
      <x:c r="H1041" s="17" t="str"/>
      <x:c r="I1041" s="17" t="str">
        <x:v>合理操作</x:v>
      </x:c>
      <x:c r="J1041" s="17" t="str">
        <x:v>是</x:v>
      </x:c>
      <x:c r="K1041" s="18"/>
      <x:c r="L1041" s="17" t="str">
        <x:v>否</x:v>
      </x:c>
      <x:c r="M1041" s="17" t="str">
        <x:v>否</x:v>
      </x:c>
      <x:c r="N1041" s="17" t="str">
        <x:v>target_api_executed</x:v>
      </x:c>
      <x:c r="O1041" s="17" t="str">
        <x:v>expected_dataview_coverage</x:v>
      </x:c>
      <x:c r="P1041" s="17" t="str">
        <x:v>session://financial_qa_33499cfa81de4d06_2923_a8fb967e4674/vars/v3</x:v>
      </x:c>
      <x:c r="Q1041" s="17" t="str"/>
      <x:c r="R1041" s="17" t="str">
        <x:v>plate.quote</x:v>
      </x:c>
      <x:c r="S1041" s="17" t="str"/>
      <x:c r="T1041" s="17" t="str"/>
      <x:c r="U1041" s="17" t="str">
        <x:v>r3</x:v>
      </x:c>
      <x:c r="V1041" s="30" t="n">
        <x:v>1</x:v>
      </x:c>
      <x:c r="W1041" s="17" t="str">
        <x:v>high</x:v>
      </x:c>
    </x:row>
  </x:sheetData>
  <x:mergeCells>
    <x:mergeCell ref="A1:L1"/>
    <x:mergeCell ref="A2:L2"/>
  </x:mergeCells>
  <x:conditionalFormatting sqref="I5:I1041">
    <x:cfRule type="containsText" dxfId="3" priority="1" operator="containsText" text="设计浪费"/>
    <x:cfRule type="containsText" dxfId="4" priority="2" operator="containsText" text="错误/失败"/>
    <x:cfRule type="containsText" dxfId="5" priority="3" operator="containsText" text="合理操作"/>
    <x:cfRule type="containsText" dxfId="6" priority="4" operator="containsText" text="可解释探索"/>
  </x:conditionalFormatting>
  <x:pageMargins left="0.7" right="0.7" top="0.75" bottom="0.75" header="0.3" footer="0.3"/>
  <x:tableParts count="1">
    <x:tablePart xmlns:r="http://schemas.openxmlformats.org/officeDocument/2006/relationships" r:id="Ra083664b1a9840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11" hidden="0" customWidth="1"/>
    <x:col min="4" max="4" width="12" hidden="0" customWidth="1"/>
    <x:col min="5" max="5" width="12" hidden="0" customWidth="1"/>
    <x:col min="6" max="6" width="50" hidden="0" customWidth="1"/>
    <x:col min="7" max="7" width="48" hidden="0" customWidth="1"/>
    <x:col min="8" max="8" width="28" hidden="0" customWidth="1"/>
    <x:col min="9" max="9" width="28" hidden="0" customWidth="1"/>
    <x:col min="10" max="10" width="28" hidden="0" customWidth="1"/>
    <x:col min="11" max="11" width="28" hidden="0" customWidth="1"/>
    <x:col min="12" max="12" width="24" hidden="0" customWidth="1"/>
    <x:col min="13" max="13" width="10" hidden="0" customWidth="1"/>
    <x:col min="14" max="14" width="70" hidden="0" customWidth="1"/>
  </x:cols>
  <x:sheetData>
    <x:row r="1" ht="36" customHeight="1">
      <x:c r="A1" s="3" t="str">
        <x:v>答案审计｜把“执行成功”与“回答正确”分开</x:v>
      </x:c>
      <x:c r="B1" s="3"/>
      <x:c r="C1" s="3"/>
      <x:c r="D1" s="3"/>
      <x:c r="E1" s="3"/>
      <x:c r="F1" s="3"/>
      <x:c r="G1" s="3"/>
      <x:c r="H1" s="3"/>
      <x:c r="I1" s="3"/>
      <x:c r="J1" s="3"/>
      <x:c r="K1" s="3"/>
      <x:c r="L1" s="3"/>
    </x:row>
    <x:row r="2" ht="30" customHeight="1">
      <x:c r="A2" s="7" t="str">
        <x:v>生成时间：2026/08/02 05:26:21；空白或“未审计”表示证据不足，不自动视为错误。</x:v>
      </x:c>
      <x:c r="B2" s="7"/>
      <x:c r="C2" s="7"/>
      <x:c r="D2" s="7"/>
      <x:c r="E2" s="7"/>
      <x:c r="F2" s="7"/>
      <x:c r="G2" s="7"/>
      <x:c r="H2" s="7"/>
      <x:c r="I2" s="7"/>
      <x:c r="J2" s="7"/>
      <x:c r="K2" s="7"/>
      <x:c r="L2" s="7"/>
    </x:row>
    <x:row r="4" ht="28" customHeight="1">
      <x:c r="A4" s="13" t="str">
        <x:v>Case ID</x:v>
      </x:c>
      <x:c r="B4" s="13" t="str">
        <x:v>金融问题</x:v>
      </x:c>
      <x:c r="C4" s="13" t="str">
        <x:v>执行状态</x:v>
      </x:c>
      <x:c r="D4" s="13" t="str">
        <x:v>答案结论</x:v>
      </x:c>
      <x:c r="E4" s="13" t="str">
        <x:v>可观察规则通过率</x:v>
      </x:c>
      <x:c r="F4" s="13" t="str">
        <x:v>审计理由</x:v>
      </x:c>
      <x:c r="G4" s="13" t="str">
        <x:v>证据</x:v>
      </x:c>
      <x:c r="H4" s="13" t="str">
        <x:v>数据时效</x:v>
      </x:c>
      <x:c r="I4" s="13" t="str">
        <x:v>API/Schema合规</x:v>
      </x:c>
      <x:c r="J4" s="13" t="str">
        <x:v>数值一致性</x:v>
      </x:c>
      <x:c r="K4" s="13" t="str">
        <x:v>实体/日期正确性</x:v>
      </x:c>
      <x:c r="L4" s="13" t="str">
        <x:v>幻觉风险</x:v>
      </x:c>
      <x:c r="M4" s="13" t="str">
        <x:v>路由错配</x:v>
      </x:c>
      <x:c r="N4" s="13" t="str">
        <x:v>最终回答</x:v>
      </x:c>
    </x:row>
    <x:row r="5" ht="64" customHeight="1">
      <x:c r="A5" s="17" t="str">
        <x:v>BUS001</x:v>
      </x:c>
      <x:c r="B5" s="17" t="str">
        <x:v>查询贵州茅台的股票代码、所属行业和上市日期。</x:v>
      </x:c>
      <x:c r="C5" s="17" t="str">
        <x:v>成功</x:v>
      </x:c>
      <x:c r="D5" s="17" t="str">
        <x:v>正确</x:v>
      </x:c>
      <x:c r="E5" s="19" t="n">
        <x:v>1</x:v>
      </x:c>
      <x:c r="F5" s="17" t="str">
        <x:v>无实质问题。 主要根因：none 聚合：不涉及聚合。 证据对齐：行业、代码、上市日期均与完整结果一致。</x:v>
      </x:c>
      <x:c r="G5" s="17" t="str">
        <x:v>{
  "review_source": "deep_audit_001_060.json",
  "route_ok": true,
  "time": "不涉及动态时间口径。",
  "entity": "贵州茅台及证券代码识别正确。",
  "numeric": "上市日期与证据一致。",
  "aggregation": "不涉及聚合。",
  "evidence_alignment": "行业、代码、上市日期均与完整结果一致。"
}</x:v>
      </x:c>
      <x:c r="H5" s="17" t="str">
        <x:v>不涉及动态时间口径。</x:v>
      </x:c>
      <x:c r="I5" s="17" t="str">
        <x:v>stock.basic_info</x:v>
      </x:c>
      <x:c r="J5" s="17" t="str">
        <x:v>上市日期与证据一致。</x:v>
      </x:c>
      <x:c r="K5" s="17" t="str">
        <x:v>贵州茅台及证券代码识别正确。；不涉及动态时间口径。</x:v>
      </x:c>
      <x:c r="L5" s="17" t="str">
        <x:v>行业、代码、上市日期均与完整结果一致。</x:v>
      </x:c>
      <x:c r="M5" s="17" t="str">
        <x:v>否</x:v>
      </x:c>
      <x:c r="N5" s="17" t="str">
        <x:v>贵州茅台的基础信息如下：
- **股票代码**：600519.SH
- **所属行业**：白酒Ⅲ
- **上市日期**：2001-08-27</x:v>
      </x:c>
    </x:row>
    <x:row r="6" ht="64" customHeight="1">
      <x:c r="A6" s="17" t="str">
        <x:v>BUS002</x:v>
      </x:c>
      <x:c r="B6" s="17" t="str">
        <x:v>查询宁德时代的股票代码、股票名称、所属行业。</x:v>
      </x:c>
      <x:c r="C6" s="17" t="str">
        <x:v>成功</x:v>
      </x:c>
      <x:c r="D6" s="17" t="str">
        <x:v>正确</x:v>
      </x:c>
      <x:c r="E6" s="19" t="n">
        <x:v>1</x:v>
      </x:c>
      <x:c r="F6" s="17" t="str">
        <x:v>无实质问题。 主要根因：none 聚合：不涉及聚合。 证据对齐：公司与行业信息和证据一致。</x:v>
      </x:c>
      <x:c r="G6" s="17" t="str">
        <x:v>{
  "review_source": "deep_audit_001_060.json",
  "route_ok": true,
  "time": "不涉及动态时间口径。",
  "entity": "宁德时代实体和代码正确。",
  "numeric": "无需要二次计算的数值。",
  "aggregation": "不涉及聚合。",
  "evidence_alignment": "公司与行业信息和证据一致。"
}</x:v>
      </x:c>
      <x:c r="H6" s="17" t="str">
        <x:v>不涉及动态时间口径。</x:v>
      </x:c>
      <x:c r="I6" s="17" t="str">
        <x:v>stock.basic_info</x:v>
      </x:c>
      <x:c r="J6" s="17" t="str">
        <x:v>无需要二次计算的数值。</x:v>
      </x:c>
      <x:c r="K6" s="17" t="str">
        <x:v>宁德时代实体和代码正确。；不涉及动态时间口径。</x:v>
      </x:c>
      <x:c r="L6" s="17" t="str">
        <x:v>公司与行业信息和证据一致。</x:v>
      </x:c>
      <x:c r="M6" s="17" t="str">
        <x:v>否</x:v>
      </x:c>
      <x:c r="N6" s="17" t="str">
        <x:v>宁德时代的信息如下：
- **股票代码**：300750.SZ
- **股票名称**：宁德时代
- **所属行业**：锂电池</x:v>
      </x:c>
    </x:row>
    <x:row r="7" ht="64" customHeight="1">
      <x:c r="A7" s="17" t="str">
        <x:v>BUS003</x:v>
      </x:c>
      <x:c r="B7" s="17" t="str">
        <x:v>筛选所属行业包含银行的股票，返回代码、名称和上市日期。</x:v>
      </x:c>
      <x:c r="C7" s="17" t="str">
        <x:v>成功</x:v>
      </x:c>
      <x:c r="D7" s="17" t="str">
        <x:v>部分正确</x:v>
      </x:c>
      <x:c r="E7" s="19" t="n">
        <x:v>1</x:v>
      </x:c>
      <x:c r="F7" s="17" t="str">
        <x:v>Renderer 的分组计数错误。 主要根因：final_renderer_aggregation_error 聚合：正文称 5 家国有行加 10 家股份行，实际为 6 加 9。 证据对齐：明细对齐，汇总叙述未对齐明细。</x:v>
      </x:c>
      <x:c r="G7" s="17" t="str">
        <x:v>{
  "review_source": "deep_audit_001_060.json",
  "route_ok": true,
  "time": "不涉及动态时间口径。",
  "entity": "15 家银行实体均来自证据。",
  "numeric": "表格共 15 家，但正文分类计数错误。",
  "aggregation": "正文称 5 家国有行加 10 家股份行，实际为 6 加 9。",
  "evidence_alignment": "明细对齐，汇总叙述未对齐明细。"
}</x:v>
      </x:c>
      <x:c r="H7" s="17" t="str">
        <x:v>不涉及动态时间口径。</x:v>
      </x:c>
      <x:c r="I7" s="17" t="str">
        <x:v>stock.basic_info</x:v>
      </x:c>
      <x:c r="J7" s="17" t="str">
        <x:v>表格共 15 家，但正文分类计数错误。</x:v>
      </x:c>
      <x:c r="K7" s="17" t="str">
        <x:v>15 家银行实体均来自证据。；不涉及动态时间口径。</x:v>
      </x:c>
      <x:c r="L7" s="17" t="str">
        <x:v>明细对齐，汇总叙述未对齐明细。</x:v>
      </x:c>
      <x:c r="M7" s="17" t="str">
        <x:v>否</x:v>
      </x:c>
      <x:c r="N7" s="17" t="str">
        <x:v>A股所属行业为银行的股票共 **15 只**，涵盖国有大型银行和股份制银行两类，具体如下：
| 代码 | 名称 | 行业分类 | 上市日期 |
|:--|:--|:--|:--|
| 000001.SZ | 平安银行 | 股份制银行Ⅲ | 1991-04-03 |
| 600000.SH | 浦发银行 | 股份制银行Ⅲ | 1999-11-10 |
| 600015.SH | 华夏银行 | 股份制银行Ⅲ | 2003-09-12 |
| 600016.SH | 民生银行 | 股份制银行Ⅲ | 2000-12-19 |
| 600036.SH | 招商银行 | 股份制银行Ⅲ | 2002-04-09 |
| 601166.SH | 兴业银行 | 股份制银行Ⅲ | 2007-02-05 |
| 601288.SH | 农业银行 | 国有大型银行Ⅲ | 2010-07-15 |
| 601328.SH | 交通银行 | 国有大型银行Ⅲ | 2007-05-15 |
| 601398.SH | 工商银行 | 国有大型银行Ⅲ | 2006-10-27 |
| 601658.SH | 邮储银行 | 国有大型银行Ⅲ | 2019-12-10 |
| 601818.SH | 光大银行 | 股份制银行Ⅲ | 2010-08-18 |
| 601916.SH | 浙商银行 | 股份制银行Ⅲ | 2019-11-26 |
| 601939.SH | 建设银行 | 国有大型银行Ⅲ | 2007-09-25 |
| 601988.SH | 中国银行 | 国有大型银行Ⅲ | 2006-07-05 |
| 601998.SH | 中信银行 | 股份制银行Ⅲ | 2007-04-27 |
**分布特征：** 国有大型银行 5 家（工农中建交+邮储），股份制银行 10 家。上市时间最早的是平安银行（1991年），最晚的是邮储银行和浙商银行（均为2019年上市）。</x:v>
      </x:c>
    </x:row>
    <x:row r="8" ht="64" customHeight="1">
      <x:c r="A8" s="17" t="str">
        <x:v>BUS004</x:v>
      </x:c>
      <x:c r="B8" s="17" t="str">
        <x:v>列出上市日期最早的20只A股股票。</x:v>
      </x:c>
      <x:c r="C8" s="17" t="str">
        <x:v>成功</x:v>
      </x:c>
      <x:c r="D8" s="17" t="str">
        <x:v>证据不足</x:v>
      </x:c>
      <x:c r="E8" s="19" t="n">
        <x:v>0.95</x:v>
      </x:c>
      <x:c r="F8" s="17" t="str">
        <x:v>核心时间字段缺失，答案又附加了证据外推断。 主要根因：data_field_completeness 聚合：无法据此生成最早上市排名。 证据对齐：缺数说明合理，但随后对 IPO 失败原因的判断无证据。</x:v>
      </x:c>
      <x:c r="G8" s="17" t="str">
        <x:v>{
  "review_source": "deep_audit_001_060.json",
  "route_ok": true,
  "time": "上市日期字段为空，无法确定最早时间。",
  "entity": "返回了候选公司，但不能完成排序。",
  "numeric": "20 条候选的 listed_date 均为空。",
  "aggregation": "无法据此生成最早上市排名。",
  "evidence_alignment": "缺数说明合理，但随后对 IPO 失败原因的判断无证据。"
}</x:v>
      </x:c>
      <x:c r="H8" s="17" t="str">
        <x:v>上市日期字段为空，无法确定最早时间。</x:v>
      </x:c>
      <x:c r="I8" s="17" t="str">
        <x:v>stock.basic_info</x:v>
      </x:c>
      <x:c r="J8" s="17" t="str">
        <x:v>20 条候选的 listed_date 均为空。</x:v>
      </x:c>
      <x:c r="K8" s="17" t="str">
        <x:v>返回了候选公司，但不能完成排序。；上市日期字段为空，无法确定最早时间。</x:v>
      </x:c>
      <x:c r="L8" s="17" t="str">
        <x:v>缺数说明合理，但随后对 IPO 失败原因的判断无证据。</x:v>
      </x:c>
      <x:c r="M8" s="17" t="str">
        <x:v>否</x:v>
      </x:c>
      <x:c r="N8" s="17" t="str">
        <x:v>抱歉，当前数据源中 **上市日期（listed_date）** 字段不可用，虽然服务端返回了20条记录，但该字段全部为空值，无法确认上市日期并按之排序。
不过从返回结果来看，这20只股票实际上是按 `listed_date` 升序排列的候选记录，但该字段为空导致排序结果不具备参考意义。列表中包含的是一些比较特殊的公司，例如：
| 代码 | 名称 |
|------|------|
| 301707.SZ | 展芯股份 |
| 001232.SZ | 嘉立创 |
| 300361.SZ | 奥赛康 |
| 001235.SZ | 里得电科 |
| 002525.SZ | 胜景山河 |
| 301655.SZ | 绿控传动 |
| 301717.SZ | 超纯应材 |
| 002257.SZ | 立立电子 |
| 002710.SZ | 慈铭体检 |
| 300060.SZ | 苏州恒久 |
| 600349.SH | 富通昭和 |
| 603302.SH | 鑫广绿环 |
| 000991.SZ | 通海高科 |
| 603468.SH | 津富士达 |
| 002720.SZ | 宏良股份 |
| 300728.SZ | 天常股份 |
| 300646.SZ | 侨源气体 |
| 688688.SH | 蚂蚁集团 |
| 601206.SH | 海尔施 |
| 603361.SH | 浙江国祥 |
其中包含了不少**IPO未成功或已终止上市**的公司（如蚂蚁集团、胜景山河、立立电子、通海高科等），这进一步说明当前数据源中的 `listed_date` 字段内容不完整，无法据此准确筛选出A股中上市日期最早的20只股票。建议后续有更完整的上市日期数据源时再执行此查询。</x:v>
      </x:c>
    </x:row>
    <x:row r="9" ht="64" customHeight="1">
      <x:c r="A9" s="17" t="str">
        <x:v>BUS005</x:v>
      </x:c>
      <x:c r="B9" s="17" t="str">
        <x:v>查询名称包含新能源的股票代码、名称和所属行业。</x:v>
      </x:c>
      <x:c r="C9" s="17" t="str">
        <x:v>成功</x:v>
      </x:c>
      <x:c r="D9" s="17" t="str">
        <x:v>正确</x:v>
      </x:c>
      <x:c r="E9" s="19" t="n">
        <x:v>0.95</x:v>
      </x:c>
      <x:c r="F9" s="17" t="str">
        <x:v>无实质问题。 主要根因：none 聚合：模糊筛选和列表汇总合理。 证据对齐：对行业为空也作了透明说明。</x:v>
      </x:c>
      <x:c r="G9" s="17" t="str">
        <x:v>{
  "review_source": "deep_audit_001_060.json",
  "route_ok": true,
  "time": "不涉及动态时间口径。",
  "entity": "名称包含“新能源”的 4 家公司正确。",
  "numeric": "数量与完整结果一致。",
  "aggregation": "模糊筛选和列表汇总合理。",
  "evidence_alignment": "对行业为空也作了透明说明。"
}</x:v>
      </x:c>
      <x:c r="H9" s="17" t="str">
        <x:v>不涉及动态时间口径。</x:v>
      </x:c>
      <x:c r="I9" s="17" t="str">
        <x:v>stock.basic_info</x:v>
      </x:c>
      <x:c r="J9" s="17" t="str">
        <x:v>数量与完整结果一致。</x:v>
      </x:c>
      <x:c r="K9" s="17" t="str">
        <x:v>名称包含“新能源”的 4 家公司正确。；不涉及动态时间口径。</x:v>
      </x:c>
      <x:c r="L9" s="17" t="str">
        <x:v>对行业为空也作了透明说明。</x:v>
      </x:c>
      <x:c r="M9" s="17" t="str">
        <x:v>否</x:v>
      </x:c>
      <x:c r="N9" s="17" t="str">
        <x:v>名称包含"新能源"的股票共有 **4 只**，具体情况如下：
| 股票代码 | 股票名称 | 所属行业 |
|:---:|:---:|:---:|
| 000690.SZ | 宝新能源 | 火力发电 |
| 001248.SZ | 华润新能源 | — |
| 001258.SZ | 立新能源 | — |
| 600617.SH | 国新能源 | 燃气Ⅲ |
其中 **宝新能源**（000690.SZ）所属行业为火力发电，**国新能源**（600617.SH）所属行业为燃气Ⅲ。**华润新能源**（001248.SZ）和**立新能源**（001258.SZ）的行业归属在当前数据源中未提供。</x:v>
      </x:c>
    </x:row>
    <x:row r="10" ht="64" customHeight="1">
      <x:c r="A10" s="17" t="str">
        <x:v>BUS006</x:v>
      </x:c>
      <x:c r="B10" s="17" t="str">
        <x:v>筛选近三年上市的A股公司，返回代码、名称和行业。</x:v>
      </x:c>
      <x:c r="C10" s="17" t="str">
        <x:v>成功</x:v>
      </x:c>
      <x:c r="D10" s="17" t="str">
        <x:v>错误</x:v>
      </x:c>
      <x:c r="E10" s="19" t="n">
        <x:v>0.7</x:v>
      </x:c>
      <x:c r="F10" s="17" t="str">
        <x:v>顶层将金融筛选误分发为 system_operation/catalog_browse。 主要根因：dispatch_intent_misclassification 聚合：未执行。 证据对齐：明确筛选问题被转成目录浏览和范围澄清。</x:v>
      </x:c>
      <x:c r="G10" s="17" t="str">
        <x:v>{
  "review_source": "deep_audit_001_060.json",
  "route_ok": false,
  "time": "未进入数据查询。",
  "entity": "未执行全市场实体筛选。",
  "numeric": "无结果。",
  "aggregation": "未执行。",
  "evidence_alignment": "明确筛选问题被转成目录浏览和范围澄清。"
}</x:v>
      </x:c>
      <x:c r="H10" s="17" t="str">
        <x:v>未进入数据查询。</x:v>
      </x:c>
      <x:c r="I10" s="17" t="str">
        <x:v>stock.basic_info</x:v>
      </x:c>
      <x:c r="J10" s="17" t="str">
        <x:v>无结果。</x:v>
      </x:c>
      <x:c r="K10" s="17" t="str">
        <x:v>未执行全市场实体筛选。；未进入数据查询。</x:v>
      </x:c>
      <x:c r="L10" s="17" t="str">
        <x:v>明确筛选问题被转成目录浏览和范围澄清。</x:v>
      </x:c>
      <x:c r="M10" s="17" t="str">
        <x:v>是</x:v>
      </x:c>
      <x:c r="N1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"clarify_608e5eb2d0274895", "slot_hints": {"task_focus": "请说明你更想做个股深度分析，还是热点/概念追踪。"}, "context_summary": {"task_type": "", "code": "", "name": ""}}</x:v>
      </x:c>
    </x:row>
    <x:row r="11" ht="64" customHeight="1">
      <x:c r="A11" s="17" t="str">
        <x:v>BUS007</x:v>
      </x:c>
      <x:c r="B11" s="17" t="str">
        <x:v>贵州茅台当前最新价、涨跌幅和成交额是多少？</x:v>
      </x:c>
      <x:c r="C11" s="17" t="str">
        <x:v>成功</x:v>
      </x:c>
      <x:c r="D11" s="17" t="str">
        <x:v>正确</x:v>
      </x:c>
      <x:c r="E11" s="19" t="n">
        <x:v>1</x:v>
      </x:c>
      <x:c r="F11" s="17" t="str">
        <x:v>存在一次可避免的周末实时查询。 主要根因：none 聚合：不涉及复杂聚合。 证据对齐：最终采用 completed-day 数据正确；首次实时探测仅是效率损耗。</x:v>
      </x:c>
      <x:c r="G11" s="17" t="str">
        <x:v>{
  "review_source": "deep_audit_001_060.json",
  "route_ok": true,
  "time": "周末实时值为零后回退到 2026-07-31 已完成交易日。",
  "entity": "目标股票正确。",
  "numeric": "价格与涨跌幅和证据一致。",
  "aggregation": "不涉及复杂聚合。",
  "evidence_alignment": "最终采用 completed-day 数据正确；首次实时探测仅是效率损耗。"
}</x:v>
      </x:c>
      <x:c r="H11" s="17" t="str">
        <x:v>周末实时值为零后回退到 2026-07-31 已完成交易日。</x:v>
      </x:c>
      <x:c r="I11" s="17" t="str">
        <x:v>stock.quote</x:v>
      </x:c>
      <x:c r="J11" s="17" t="str">
        <x:v>价格与涨跌幅和证据一致。</x:v>
      </x:c>
      <x:c r="K11" s="17" t="str">
        <x:v>目标股票正确。；周末实时值为零后回退到 2026-07-31 已完成交易日。</x:v>
      </x:c>
      <x:c r="L11" s="17" t="str">
        <x:v>最终采用 completed-day 数据正确；首次实时探测仅是效率损耗。</x:v>
      </x:c>
      <x:c r="M11" s="17" t="str">
        <x:v>否</x:v>
      </x:c>
      <x:c r="N11" s="17" t="str">
        <x:v>贵州茅台最新行情数据如下（截至最近一个交易日 **2026-07-31**）：
- **最新价**：1,350.60 元
- **涨跌幅**：-0.82%
- **成交额**：约 73.73 亿元
由于今日是周日（8月2日），A股市场休市中，以上数据为上一个交易日（7月31日周五）的收盘情况。</x:v>
      </x:c>
    </x:row>
    <x:row r="12" ht="64" customHeight="1">
      <x:c r="A12" s="17" t="str">
        <x:v>BUS008</x:v>
      </x:c>
      <x:c r="B12" s="17" t="str">
        <x:v>今天A股涨幅最高的前20只股票是谁？</x:v>
      </x:c>
      <x:c r="C12" s="17" t="str">
        <x:v>成功</x:v>
      </x:c>
      <x:c r="D12" s="17" t="str">
        <x:v>正确</x:v>
      </x:c>
      <x:c r="E12" s="19" t="n">
        <x:v>1</x:v>
      </x:c>
      <x:c r="F12" s="17" t="str">
        <x:v>无实质问题。 主要根因：none 聚合：服务端排序和 limit 语义正确。 证据对齐：表格与完整结果对齐。</x:v>
      </x:c>
      <x:c r="G12" s="17" t="str">
        <x:v>{
  "review_source": "deep_audit_001_060.json",
  "route_ok": true,
  "time": "采用最近已完成交易日 2026-07-31。",
  "entity": "全市场股票范围正确。",
  "numeric": "涨幅前 20 数值与结果一致。",
  "aggregation": "服务端排序和 limit 语义正确。",
  "evidence_alignment": "表格与完整结果对齐。"
}</x:v>
      </x:c>
      <x:c r="H12" s="17" t="str">
        <x:v>采用最近已完成交易日 2026-07-31。</x:v>
      </x:c>
      <x:c r="I12" s="17" t="str">
        <x:v>stock.quote</x:v>
      </x:c>
      <x:c r="J12" s="17" t="str">
        <x:v>涨幅前 20 数值与结果一致。</x:v>
      </x:c>
      <x:c r="K12" s="17" t="str">
        <x:v>全市场股票范围正确。；采用最近已完成交易日 2026-07-31。</x:v>
      </x:c>
      <x:c r="L12" s="17" t="str">
        <x:v>表格与完整结果对齐。</x:v>
      </x:c>
      <x:c r="M12" s="17" t="str">
        <x:v>否</x:v>
      </x:c>
      <x:c r="N12" s="17" t="str">
        <x:v>今天（8月2日周日）A股休市，以下为**最近一个交易日（7月31日周五）**涨幅最高的前20只股票：
| 排名 | 代码 | 名称 | 最新价（元） | 涨幅（%） | 成交额（元） |
|:---:|:---:|:---:|:---:|:---:|:---:|
| 1 | 920130.BJ | 立方控股 | 20.42 | **+29.98** | 1.79亿 |
| 2 | 920575.BJ | *ST康乐 | 4.71 | **+23.95** | 1.15亿 |
| 3 | 300364.SZ | 中文在线 | 24.83 | **+20.01** | 20.54亿 |
| 4 | 300720.SZ | 海川智能 | 50.80 | **+20.01** | 3.35亿 |
| 5 | 301396.SZ | 宏景科技 | 156.16 | **+20.00** | 10.32亿 |
| 6 | 300789.SZ | 唐源电气 | 18.96 | **+20.00** | 1.73亿 |
| 7 | 300508.SZ | 维宏股份 | 38.52 | **+20.00** | 0.75亿 |
| 8 | 300795.SZ | 米奥会展 | 16.44 | **+20.00** | 8.95亿 |
| 9 | 300418.SZ | 昆仑万维 | 43.20 | **+20.00** | 60.66亿 |
| 10 | 688095.SH | 福昕软件 | 67.03 | **+20.00** | 4.58亿 |
| 11 | 301171.SZ | 易点天下 | 30.49 | **+19.99** | 20.77亿 |
| 12 | 301231.SZ | 荣信文化 | 26.41 | **+19.99** | 2.55亿 |
| 13 | 300058.SZ | 蓝色光标 | 14.35 | **+19.98** | 85.53亿 |
| 14 | 300996.SZ | 普联软件 | 18.62 | **+19.97** | 11.92亿 |
| 15 | 920238.BJ | 长鹰硬科 | 73.08 | **+19.78** | 6.33亿 |
| 16 | 920510.BJ | 丰光精密 | 21.17 | **+18.93** | 2.88亿 |
| 17 | 688661.SH | 和林微纳 | 81.28 | **+18.74** | 7.55亿 |
| 18 | 300017.SZ | 网宿科技 | 14.03 | **+17.50** | 38.08亿 |
| 19 | 688322.SH | 奥比中光 | 93.86 | **+17.35** | 22.08亿 |
| 20 | 920976.BJ | 视声智能 | 19.06 | **+17.29** | 0.79亿 |
**7月31日市场亮点：**
- 北交所表现突出，立方控股以 **+29.98%** 领涨全场，*ST康乐、长鹰硬科、丰光精密、视声智能也均上榜
- 20cm涨停（+20%）的创业板/科创板个股多达 **8只**：中文在线、海川智能、宏景科技、唐源电气、维宏股份、米奥会展、昆仑万维、福昕软件
- 成交额最大的为蓝色光标（85.53亿）和昆仑万维（60.66亿），资金博弈激烈</x:v>
      </x:c>
    </x:row>
    <x:row r="13" ht="64" customHeight="1">
      <x:c r="A13" s="17" t="str">
        <x:v>BUS009</x:v>
      </x:c>
      <x:c r="B13" s="17" t="str">
        <x:v>今天跌幅超过5%且成交额超过5亿元的股票有哪些？</x:v>
      </x:c>
      <x:c r="C13" s="17" t="str">
        <x:v>成功</x:v>
      </x:c>
      <x:c r="D13" s="17" t="str">
        <x:v>正确</x:v>
      </x:c>
      <x:c r="E13" s="19" t="n">
        <x:v>1</x:v>
      </x:c>
      <x:c r="F13" s="17" t="str">
        <x:v>无实质问题。 主要根因：none 聚合：筛选后排序合理。 证据对齐：结果与证据一致。</x:v>
      </x:c>
      <x:c r="G13" s="17" t="str">
        <x:v>{
  "review_source": "deep_audit_001_060.json",
  "route_ok": true,
  "time": "采用最近已完成交易日。",
  "entity": "全市场筛选范围正确。",
  "numeric": "跌幅和成交额阈值均正确应用。",
  "aggregation": "筛选后排序合理。",
  "evidence_alignment": "结果与证据一致。"
}</x:v>
      </x:c>
      <x:c r="H13" s="17" t="str">
        <x:v>采用最近已完成交易日。</x:v>
      </x:c>
      <x:c r="I13" s="17" t="str">
        <x:v>stock.quote</x:v>
      </x:c>
      <x:c r="J13" s="17" t="str">
        <x:v>跌幅和成交额阈值均正确应用。</x:v>
      </x:c>
      <x:c r="K13" s="17" t="str">
        <x:v>全市场筛选范围正确。；采用最近已完成交易日。</x:v>
      </x:c>
      <x:c r="L13" s="17" t="str">
        <x:v>结果与证据一致。</x:v>
      </x:c>
      <x:c r="M13" s="17" t="str">
        <x:v>否</x:v>
      </x:c>
      <x:c r="N13" s="17" t="str">
        <x:v>由于今天（8月2日）是周日，数据取自最近交易日 **2026年7月31日（周五）**。当日跌幅超过5%且成交额超过5亿元的股票共 **10只**，按跌幅从大到小排列：
| 股票 | 代码 | 收盘价 | 跌幅 | 成交额（亿元） |
|---|---|---|---|---|
| 凯发电气 | 300407.SZ | 11.39 | **-11.71%** | 5.44 |
| 中船特气 | 688146.SH | 266.00 | **-6.55%** | 85.77 |
| 日科化学 | 300214.SZ | 11.69 | **-6.10%** | 6.15 |
| 飞龙股份 | 002536.SZ | 34.60 | **-6.05%** | 24.02 |
| 百合花 | 603823.SH | 46.80 | **-6.04%** | 16.17 |
| 艾艾精工 | 603580.SH | 52.90 | **-5.87%** | 8.12 |
| 北新建材 | 000786.SZ | 19.28 | **-5.54%** | 7.17 |
| 托伦斯 | 301583.SZ | 149.60 | **-5.36%** | 28.27 |
| 博源化工 | 000683.SZ | 5.98 | **-5.23%** | 10.16 |
| 益方生物 | 688382.SH | 20.16 | **-5.13%** | 5.21 |
**简要说明：**
- **凯发电气**跌幅最猛，接近跌停（-11.71%），但成交额相对较小（5.44亿）。
- **中船特气**成交额最大，达85.77亿元，跌幅-6.55%，属于放量大幅下跌的典型。
- **飞龙股份**、**托伦斯**、**百合花**成交额也都在15亿元以上，筹码交换活跃。</x:v>
      </x:c>
    </x:row>
    <x:row r="14" ht="64" customHeight="1">
      <x:c r="A14" s="17" t="str">
        <x:v>BUS010</x:v>
      </x:c>
      <x:c r="B14" s="17" t="str">
        <x:v>查询宁德时代最近10个交易日的收盘价和涨跌幅。</x:v>
      </x:c>
      <x:c r="C14" s="17" t="str">
        <x:v>成功</x:v>
      </x:c>
      <x:c r="D14" s="17" t="str">
        <x:v>正确</x:v>
      </x:c>
      <x:c r="E14" s="19" t="n">
        <x:v>1</x:v>
      </x:c>
      <x:c r="F14" s="17" t="str">
        <x:v>无实质问题。 主要根因：none 聚合：按日期序列计算合理。 证据对齐：表格和结论均对齐证据。</x:v>
      </x:c>
      <x:c r="G14" s="17" t="str">
        <x:v>{
  "review_source": "deep_audit_001_060.json",
  "route_ok": true,
  "time": "最近 10 个交易日窗口正确。",
  "entity": "宁德时代识别正确。",
  "numeric": "区间约 5% 的计算与首尾价格一致。",
  "aggregation": "按日期序列计算合理。",
  "evidence_alignment": "表格和结论均对齐证据。"
}</x:v>
      </x:c>
      <x:c r="H14" s="17" t="str">
        <x:v>最近 10 个交易日窗口正确。</x:v>
      </x:c>
      <x:c r="I14" s="17" t="str">
        <x:v>stock.quote</x:v>
      </x:c>
      <x:c r="J14" s="17" t="str">
        <x:v>区间约 5% 的计算与首尾价格一致。</x:v>
      </x:c>
      <x:c r="K14" s="17" t="str">
        <x:v>宁德时代识别正确。；最近 10 个交易日窗口正确。</x:v>
      </x:c>
      <x:c r="L14" s="17" t="str">
        <x:v>表格和结论均对齐证据。</x:v>
      </x:c>
      <x:c r="M14" s="17" t="str">
        <x:v>否</x:v>
      </x:c>
      <x:c r="N14" s="17" t="str">
        <x:v>宁德时代（300750.SZ）最近10个交易日的收盘价和涨跌幅如下：
| 日期 | 收盘价（元） | 涨跌幅 |
|:---:|:---:|:---:|
| 2026-07-20 | 376.43 | +4.56% |
| 2026-07-21 | 382.20 | +1.53% |
| 2026-07-22 | 372.26 | -2.60% |
| 2026-07-23 | 385.99 | +3.69% |
| 2026-07-24 | 383.01 | -0.77% |
| 2026-07-27 | 400.00 | +4.44% |
| 2026-07-28 | 390.86 | -2.29% |
| 2026-07-29 | 396.84 | +1.53% |
| 2026-07-30 | 401.88 | +1.27% |
| 2026-07-31 | 395.30 | -1.64% |
最近10个交易日股价从376.43元涨至395.30元，区间累计涨幅约5.0%。其中7月20日和7月27日两个交易日涨幅均超过4%，上涨动能较为明显；7月22日回调幅度最大（-2.60%），但次日即反弹收复失地。最新交易日（7月31日）小幅收跌，收于395.30元。</x:v>
      </x:c>
    </x:row>
    <x:row r="15" ht="64" customHeight="1">
      <x:c r="A15" s="17" t="str">
        <x:v>BUS011</x:v>
      </x:c>
      <x:c r="B15" s="17" t="str">
        <x:v>过去20个交易日振幅最高的前20只股票。</x:v>
      </x:c>
      <x:c r="C15" s="17" t="str">
        <x:v>成功</x:v>
      </x:c>
      <x:c r="D15" s="17" t="str">
        <x:v>部分正确</x:v>
      </x:c>
      <x:c r="E15" s="19" t="n">
        <x:v>1</x:v>
      </x:c>
      <x:c r="F15" s="17" t="str">
        <x:v>业务聚合口径发生漂移。 主要根因：aggregation_semantic_drift 聚合：问题口径更接近区间振幅或累计口径，当前改成平均振幅会改变排名。 证据对齐：答案忠于所调指标，但指标与问题口径并非完全等价。</x:v>
      </x:c>
      <x:c r="G15" s="17" t="str">
        <x:v>{
  "review_source": "deep_audit_001_060.json",
  "route_ok": true,
  "time": "使用了 20 日窗口。",
  "entity": "全市场候选范围合理。",
  "numeric": "返回的是 20 日平均振幅指标。",
  "aggregation": "问题口径更接近区间振幅或累计口径，当前改成平均振幅会改变排名。",
  "evidence_alignment": "答案忠于所调指标，但指标与问题口径并非完全等价。"
}</x:v>
      </x:c>
      <x:c r="H15" s="17" t="str">
        <x:v>使用了 20 日窗口。</x:v>
      </x:c>
      <x:c r="I15" s="17" t="str">
        <x:v>stock.quote</x:v>
      </x:c>
      <x:c r="J15" s="17" t="str">
        <x:v>返回的是 20 日平均振幅指标。</x:v>
      </x:c>
      <x:c r="K15" s="17" t="str">
        <x:v>全市场候选范围合理。；使用了 20 日窗口。</x:v>
      </x:c>
      <x:c r="L15" s="17" t="str">
        <x:v>答案忠于所调指标，但指标与问题口径并非完全等价。</x:v>
      </x:c>
      <x:c r="M15" s="17" t="str">
        <x:v>否</x:v>
      </x:c>
      <x:c r="N15" s="17" t="str">
        <x:v>过去20个交易日平均振幅最高的前20只股票如下：
| 排名 | 代码 | 名称 | 20日平均振幅（%） |
|:---:|:---:|:---|:---:|
| 1 | 920176.BJ | 维琪科技 | 159.24 |
| 2 | 920065.BJ | 千岸科技 | 79.14 |
| 3 | 301677.SZ | 欣兴工具 | 58.18 |
| 4 | 688825.SH | 长鑫科技 | 49.18 |
| 5 | 301583.SZ | 托伦斯 | 34.37 |
| 6 | 920238.BJ | 长鹰硬科 | 31.75 |
| 7 | 688806.SH | 泰诺麦博 | 26.12 |
| 8 | 920305.BJ | 云创退 | 19.97 |
| 9 | 920189.BJ | 康美特 | 19.54 |
| 10 | 301520.SZ | 万邦医药 | 17.72 |
| 11 | 920079.BJ | 乔路铭 | 17.44 |
| 12 | 920367.BJ | 新赣江 | 17.08 |
| 13 | 688146.SH | 中船特气 | 15.63 |
| 14 | 688432.SH | 有研硅 | 15.45 |
| 15 | 688260.SH | 昀冢科技 | 15.06 |
| 16 | 688766.SH | 普冉股份 | 15.02 |
| 17 | 688371.SH | 菲沃泰 | 14.39 |
| 18 | 300029.SZ | 天龙退 | 14.32 |
| 19 | 920699.BJ | 海达尔 | 14.32 |
| 20 | 688328.SH | 深科达 | 14.26 |
**几点特征：**
- 北交所新股和次新股占主导：**维琪科技**以日均159%的振幅断崖式领先，属于极端波动；**千岸科技**、**长鹰硬科**、**康美特**等均为北交所标的，因上市初期筹码集中、流通盘小，日内振幅显著放大。
- 科创板次新紧随其后：**欣兴工具**（创业板）、**长鑫科技**、**泰诺麦博**等新上市股票也录得较高振幅。
- 前20只中，第1名（维琪科技）的振幅是第2名的2倍，分档明显；从第8名往后振幅集中在14%-20%区间，差异不大。</x:v>
      </x:c>
    </x:row>
    <x:row r="16" ht="64" customHeight="1">
      <x:c r="A16" s="17" t="str">
        <x:v>BUS012</x:v>
      </x:c>
      <x:c r="B16" s="17" t="str">
        <x:v>当前分钟成交量最大的前20只股票。</x:v>
      </x:c>
      <x:c r="C16" s="17" t="str">
        <x:v>成功</x:v>
      </x:c>
      <x:c r="D16" s="17" t="str">
        <x:v>证据不足</x:v>
      </x:c>
      <x:c r="E16" s="19" t="n">
        <x:v>1</x:v>
      </x:c>
      <x:c r="F16" s="17" t="str">
        <x:v>缺少分钟级时间证据且单次查询耗时 130 秒。 主要根因：missing_time_evidence 聚合：不涉及复杂聚合。 证据对齐：最终把无时间锚点的数值描述成当前分钟，证据不足。</x:v>
      </x:c>
      <x:c r="G16" s="17" t="str">
        <x:v>{
  "review_source": "deep_audit_001_060.json",
  "route_ok": true,
  "time": "周末查询且结果没有 tradedate 或分钟时间戳。",
  "entity": "目标实体无明显问题。",
  "numeric": "返回 volume，但无法证明是“当前一分钟”。",
  "aggregation": "不涉及复杂聚合。",
  "evidence_alignment": "最终把无时间锚点的数值描述成当前分钟，证据不足。"
}</x:v>
      </x:c>
      <x:c r="H16" s="17" t="str">
        <x:v>周末查询且结果没有 tradedate 或分钟时间戳。</x:v>
      </x:c>
      <x:c r="I16" s="17" t="str">
        <x:v>stock.quote</x:v>
      </x:c>
      <x:c r="J16" s="17" t="str">
        <x:v>返回 volume，但无法证明是“当前一分钟”。</x:v>
      </x:c>
      <x:c r="K16" s="17" t="str">
        <x:v>目标实体无明显问题。；周末查询且结果没有 tradedate 或分钟时间戳。</x:v>
      </x:c>
      <x:c r="L16" s="17" t="str">
        <x:v>最终把无时间锚点的数值描述成当前分钟，证据不足。</x:v>
      </x:c>
      <x:c r="M16" s="17" t="str">
        <x:v>否</x:v>
      </x:c>
      <x:c r="N16" s="17" t="str">
        <x:v>以下是当前分钟成交量最大的前20只股票（按分钟成交量降序排列，单位：手）：
| 排名 | 代码 | 名称 | 最新价(元) | 涨跌幅 | 分钟成交量(手) | 分钟成交额(元) |
|:---:|:---:|:---:|:---:|:---:|:---:|:---:|
| 1 | 600028 | 中国石化 | 5.26 | -0.19% | **75,698** | 39,817,042 |
| 2 | 601328 | 交通银行 | 7.18 | -1.91% | **65,682** | 47,159,676 |
| 3 | 601825 | 沪农商行 | 8.59 | -1.49% | **45,042** | 38,691,078 |
| 4 | 600016 | 民生银行 | 3.62 | -0.28% | 41,477 | 15,014,811 |
| 5 | 600008 | 首创环保 | 2.95 | +0.34% | 38,508 | 11,359,860 |
| 6 | 601211 | 国泰君安 | 18.36 | -3.52% | 33,882 | 62,208,270 |
| 7 | 600396 | 华电辽能 | 14.10 | -3.03% | 29,337 | 41,365,170 |
| 8 | 601857 | 中国石油 | 11.08 | -1.69% | 27,540 | 30,514,009 |
| 9 | 603993 | 洛阳钼业 | 19.52 | +2.95% | 26,235 | 51,210,720 |
| 10| 601801 | 皖新传媒 | 5.58 | -1.93% | 25,985 | 14,499,630 |
| 11| 600887 | 伊利股份 | 27.10 | -2.13% | 25,078 | 67,962,274 |
| 12| 601088 | 中国神华 | 45.69 | -0.02% | 24,003 | 109,669,707 |
| 13| 600487 | 亨通光电 | 47.61 | +0.87% | 23,514 | 111,947,630 |
| 14| 600900 | 长江电力 | 29.09 | -1.36% | 23,492 | 68,339,450 |
| 15| 601998 | 中信银行 | 7.82 | -1.39% | 21,891 | 17,118,574 |
| 16| 601678 | 滨化股份 | 6.29 | 0.00% | 20,852 | 13,115,669 |
| 17| 600733 | 北汽蓝谷 | 6.02 | +1.01% | 20,845 | 12,548,744 |
| 18| 600821 | 金开新能 | 6.44 | +5.40% | 20,238 | 13,033,272 |
| 19| 600666 | 奥瑞德 | 3.34 | +5.70% | 19,465 | 6,501,310 |
| 20| 601985 | 中国核电 | 9.06 | -0.11% | 19,441 | 17,613,546 |
**要点：**
- **中国石化、交通银行、沪农商行**位列前三，分钟成交量均超过4.5万手，遥遥领先。
- 上榜个股以**银行、能源、公用事业等大盘蓝筹**为主，这类股票流动性好、单笔挂单量大，单分钟成交活跃。
- 涨幅方面，**奥瑞德（+5.70%）和金开新能（+5.40%）** 在成交活跃的同时涨幅居前；而**国泰君安（-3.52%）和华电辽能（-3.03%）** 则是放量下跌的典型。
- 分钟成交额最大的是**亨通光电（约1.12亿元）和中国神华（约1.10亿元）**，主要由高价股属性驱动。</x:v>
      </x:c>
    </x:row>
    <x:row r="17" ht="64" customHeight="1">
      <x:c r="A17" s="17" t="str">
        <x:v>BUS013</x:v>
      </x:c>
      <x:c r="B17" s="17" t="str">
        <x:v>今天主力净流入最高的前20只股票有哪些？</x:v>
      </x:c>
      <x:c r="C17" s="17" t="str">
        <x:v>成功</x:v>
      </x:c>
      <x:c r="D17" s="17" t="str">
        <x:v>正确</x:v>
      </x:c>
      <x:c r="E17" s="19" t="n">
        <x:v>1</x:v>
      </x:c>
      <x:c r="F17" s="17" t="str">
        <x:v>无实质问题。 主要根因：none 聚合：排序与 limit 正确。 证据对齐：表格与完整结果一致。</x:v>
      </x:c>
      <x:c r="G17" s="17" t="str">
        <x:v>{
  "review_source": "deep_audit_001_060.json",
  "route_ok": true,
  "time": "采用最近已完成交易日。",
  "entity": "全市场范围正确。",
  "numeric": "主力净流入前 20 数值一致。",
  "aggregation": "排序与 limit 正确。",
  "evidence_alignment": "表格与完整结果一致。"
}</x:v>
      </x:c>
      <x:c r="H17" s="17" t="str">
        <x:v>采用最近已完成交易日。</x:v>
      </x:c>
      <x:c r="I17" s="17" t="str">
        <x:v>stock.moneyflow</x:v>
      </x:c>
      <x:c r="J17" s="17" t="str">
        <x:v>主力净流入前 20 数值一致。</x:v>
      </x:c>
      <x:c r="K17" s="17" t="str">
        <x:v>全市场范围正确。；采用最近已完成交易日。</x:v>
      </x:c>
      <x:c r="L17" s="17" t="str">
        <x:v>表格与完整结果一致。</x:v>
      </x:c>
      <x:c r="M17" s="17" t="str">
        <x:v>否</x:v>
      </x:c>
      <x:c r="N17" s="17" t="str">
        <x:v>以下是 **2026-07-31（上周五）** 主力净流入最高的前20只股票，按净流入金额从高到低排列：
| 排名 | 股票 | 主力净流入（元） | 主力净占比 |
|:---:|:---:|---:|:---:|
| 1 | **东山精密** | 35.46亿 | 16.52% |
| 2 | **太极实业** | 29.21亿 | 46.09% |
| 3 | **蓝色光标** | 24.16亿 | 28.25% |
| 4 | **中国巨石** | 22.88亿 | 14.48% |
| 5 | **新易盛** | 18.06亿 | 5.79% |
| 6 | **中际旭创** | 17.56亿 | 3.25% |
| 7 | **寒武纪** | 16.71亿 | 9.01% |
| 8 | **兆易创新** | 16.45亿 | 4.83% |
| 9 | **生益科技** | 14.43亿 | 16.42% |
| 10 | **三环集团** | 13.05亿 | 10.59% |
| 11 | **普冉股份** | 12.92亿 | 11.58% |
| 12 | **北京君正** | 12.24亿 | 12.10% |
| 13 | **利欧股份** | 11.89亿 | 31.62% |
| 14 | **昆仑万维** | 10.19亿 | 16.81% |
| 15 | **长鑫科技** | 10.06亿 | 2.00% |
| 16 | **云南锗业** | 9.68亿 | 25.11% |
| 17 | **利通电子** | 9.40亿 | 51.88% |
| 18 | **金山办公** | 9.04亿 | 11.62% |
| 19 | **光迅科技** | 8.68亿 | 9.92% |
| 20 | **佰维存储** | 8.43亿 | 6.36% |
**主力净流入** = 主力买入金额 − 主力卖出金额。当日东山精密以 **35.46亿** 净流入居首，太极实业、蓝色光标分列二三位。从净占比看，**利通电子（51.88%）** 和 **太极实业（46.09%）** 的主力资金主导性最强，说明这两只个股的买入力量几乎全部来自大资金。榜单中半导体、光通信和电子板块个股较为集中，资金偏好明显。</x:v>
      </x:c>
    </x:row>
    <x:row r="18" ht="64" customHeight="1">
      <x:c r="A18" s="17" t="str">
        <x:v>BUS014</x:v>
      </x:c>
      <x:c r="B18" s="17" t="str">
        <x:v>查询贵州茅台最新主力净额、主力净占比和大单净额。</x:v>
      </x:c>
      <x:c r="C18" s="17" t="str">
        <x:v>成功</x:v>
      </x:c>
      <x:c r="D18" s="17" t="str">
        <x:v>正确</x:v>
      </x:c>
      <x:c r="E18" s="19" t="n">
        <x:v>1</x:v>
      </x:c>
      <x:c r="F18" s="17" t="str">
        <x:v>无实质问题。 主要根因：none 聚合：不涉及跨实体聚合。 证据对齐：最终数值和证据一致。</x:v>
      </x:c>
      <x:c r="G18" s="17" t="str">
        <x:v>{
  "review_source": "deep_audit_001_060.json",
  "route_ok": true,
  "time": "最新可用交易日口径明确。",
  "entity": "贵州茅台正确。",
  "numeric": "main_net、main_ratio、large_net 均一致。",
  "aggregation": "不涉及跨实体聚合。",
  "evidence_alignment": "最终数值和证据一致。"
}</x:v>
      </x:c>
      <x:c r="H18" s="17" t="str">
        <x:v>最新可用交易日口径明确。</x:v>
      </x:c>
      <x:c r="I18" s="17" t="str">
        <x:v>stock.moneyflow</x:v>
      </x:c>
      <x:c r="J18" s="17" t="str">
        <x:v>main_net、main_ratio、large_net 均一致。</x:v>
      </x:c>
      <x:c r="K18" s="17" t="str">
        <x:v>贵州茅台正确。；最新可用交易日口径明确。</x:v>
      </x:c>
      <x:c r="L18" s="17" t="str">
        <x:v>最终数值和证据一致。</x:v>
      </x:c>
      <x:c r="M18" s="17" t="str">
        <x:v>否</x:v>
      </x:c>
      <x:c r="N18" s="17" t="str">
        <x:v>贵州茅台（600519.SH）最新交易日（2026-07-31）资金流向数据如下：
- **主力净额**：约 **-3.09 亿元**（-309,029,596 元）
- **主力净占比**：**-4.19%**
- **大单净额**：约 **-0.81 亿元**（-80,690,256 元）
三项指标均为负值，说明当日主力资金净流出约 3.09 亿元，其中大单（属主力的一部分）净流出约 0.81 亿元，主力整体呈净卖出态势。</x:v>
      </x:c>
    </x:row>
    <x:row r="19" ht="64" customHeight="1">
      <x:c r="A19" s="17" t="str">
        <x:v>BUS015</x:v>
      </x:c>
      <x:c r="B19" s="17" t="str">
        <x:v>近5个交易日主力净流入合计最高的前10只股票。</x:v>
      </x:c>
      <x:c r="C19" s="17" t="str">
        <x:v>成功</x:v>
      </x:c>
      <x:c r="D19" s="17" t="str">
        <x:v>部分正确</x:v>
      </x:c>
      <x:c r="E19" s="19" t="n">
        <x:v>1</x:v>
      </x:c>
      <x:c r="F19" s="17" t="str">
        <x:v>Renderer 添加了证据外因果解释。 主要根因：final_renderer_unsupported_inference 聚合：专用聚合 API 使用合理。 证据对齐：核心数据对齐，但对极端值解释为“新股资金”没有证据。</x:v>
      </x:c>
      <x:c r="G19" s="17" t="str">
        <x:v>{
  "review_source": "deep_audit_001_060.json",
  "route_ok": true,
  "time": "5 个交易日窗口正确。",
  "entity": "候选实体与结果一致。",
  "numeric": "累计主力净流入表格数值一致。",
  "aggregation": "专用聚合 API 使用合理。",
  "evidence_alignment": "核心数据对齐，但对极端值解释为“新股资金”没有证据。"
}</x:v>
      </x:c>
      <x:c r="H19" s="17" t="str">
        <x:v>5 个交易日窗口正确。</x:v>
      </x:c>
      <x:c r="I19" s="17" t="str">
        <x:v>stock.moneyflow</x:v>
      </x:c>
      <x:c r="J19" s="17" t="str">
        <x:v>累计主力净流入表格数值一致。</x:v>
      </x:c>
      <x:c r="K19" s="17" t="str">
        <x:v>候选实体与结果一致。；5 个交易日窗口正确。</x:v>
      </x:c>
      <x:c r="L19" s="17" t="str">
        <x:v>核心数据对齐，但对极端值解释为“新股资金”没有证据。</x:v>
      </x:c>
      <x:c r="M19" s="17" t="str">
        <x:v>否</x:v>
      </x:c>
      <x:c r="N19" s="17" t="str">
        <x:v>近5个交易日主力净流入合计最高的前10只股票如下：
| 排名 | 股票 | 代码 | 近5日主力净流入合计 |
|:---:|:---|:---:|---:|
| 1 | **长鑫科技** | 688825.SH | **812.80亿** |
| 2 | 中国巨石 | 600176.SH | 31.74亿 |
| 3 | 太极实业 | 600667.SH | 31.07亿 |
| 4 | 三环集团 | 300408.SZ | 28.15亿 |
| 5 | 蓝色光标 | 300058.SZ | 23.42亿 |
| 6 | 国际复材 | 301526.SZ | 19.89亿 |
| 7 | 普冉股份 | 688766.SH | 18.34亿 |
| 8 | 利欧股份 | 002131.SZ | 17.44亿 |
| 9 | 贵州茅台 | 600519.SH | 17.20亿 |
| 10 | 招商银行 | 600036.SH | 16.61亿 |
**长鑫科技**以超 **812亿** 的绝对优势位居榜首，远超其他个股，说明近5个交易日主力资金对该股有非常集中的净买入。其余9只股票主力净流入合计在16亿—32亿区间，与长鑫科技差距较大。中国巨石和太极实业分别以31.74亿和31.07亿位列第二、第三。</x:v>
      </x:c>
    </x:row>
    <x:row r="20" ht="64" customHeight="1">
      <x:c r="A20" s="17" t="str">
        <x:v>BUS016</x:v>
      </x:c>
      <x:c r="B20" s="17" t="str">
        <x:v>筛选今天大单净额为正且主力净占比超过5%的股票。</x:v>
      </x:c>
      <x:c r="C20" s="17" t="str">
        <x:v>成功</x:v>
      </x:c>
      <x:c r="D20" s="17" t="str">
        <x:v>错误</x:v>
      </x:c>
      <x:c r="E20" s="19" t="n">
        <x:v>0.7</x:v>
      </x:c>
      <x:c r="F20" s="17" t="str">
        <x:v>顶层意图分发错误。 主要根因：dispatch_intent_misclassification 聚合：未执行。 证据对齐：明确资金流筛选被错误转成目录浏览。</x:v>
      </x:c>
      <x:c r="G20" s="17" t="str">
        <x:v>{
  "review_source": "deep_audit_001_060.json",
  "route_ok": false,
  "time": "未进入数据查询。",
  "entity": "未完成市场范围筛选。",
  "numeric": "无结果。",
  "aggregation": "未执行。",
  "evidence_alignment": "明确资金流筛选被错误转成目录浏览。"
}</x:v>
      </x:c>
      <x:c r="H20" s="17" t="str">
        <x:v>未进入数据查询。</x:v>
      </x:c>
      <x:c r="I20" s="17" t="str">
        <x:v>stock.moneyflow</x:v>
      </x:c>
      <x:c r="J20" s="17" t="str">
        <x:v>无结果。</x:v>
      </x:c>
      <x:c r="K20" s="17" t="str">
        <x:v>未完成市场范围筛选。；未进入数据查询。</x:v>
      </x:c>
      <x:c r="L20" s="17" t="str">
        <x:v>明确资金流筛选被错误转成目录浏览。</x:v>
      </x:c>
      <x:c r="M20" s="17" t="str">
        <x:v>是</x:v>
      </x:c>
      <x:c r="N2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"clarify_99a54c5628f84838", "slot_hints": {"task_focus": "请说明你更想做个股深度分析，还是热点/概念追踪。"}, "context_summary": {"task_type": "", "code": "", "name": ""}}</x:v>
      </x:c>
    </x:row>
    <x:row r="21" ht="64" customHeight="1">
      <x:c r="A21" s="17" t="str">
        <x:v>BUS017</x:v>
      </x:c>
      <x:c r="B21" s="17" t="str">
        <x:v>查询宁德时代最近10个交易日的主力净流入明细。</x:v>
      </x:c>
      <x:c r="C21" s="17" t="str">
        <x:v>成功</x:v>
      </x:c>
      <x:c r="D21" s="17" t="str">
        <x:v>证据不足</x:v>
      </x:c>
      <x:c r="E21" s="19" t="n">
        <x:v>1</x:v>
      </x:c>
      <x:c r="F21" s="17" t="str">
        <x:v>moneyflow 历史覆盖不足。 主要根因：history_data_coverage 聚合：缺少窗口数据，不能完成趋势或累计分析。 证据对齐：答案透明说明了覆盖不足。</x:v>
      </x:c>
      <x:c r="G21" s="17" t="str">
        <x:v>{
  "review_source": "deep_audit_001_060.json",
  "route_ok": true,
  "time": "请求 10 日，仅返回 1 日数据。",
  "entity": "目标股票正确。",
  "numeric": "单日数值正确，但无法形成 10 日序列。",
  "aggregation": "缺少窗口数据，不能完成趋势或累计分析。",
  "evidence_alignment": "答案透明说明了覆盖不足。"
}</x:v>
      </x:c>
      <x:c r="H21" s="17" t="str">
        <x:v>请求 10 日，仅返回 1 日数据。</x:v>
      </x:c>
      <x:c r="I21" s="17" t="str">
        <x:v>stock.moneyflow</x:v>
      </x:c>
      <x:c r="J21" s="17" t="str">
        <x:v>单日数值正确，但无法形成 10 日序列。</x:v>
      </x:c>
      <x:c r="K21" s="17" t="str">
        <x:v>目标股票正确。；请求 10 日，仅返回 1 日数据。</x:v>
      </x:c>
      <x:c r="L21" s="17" t="str">
        <x:v>答案透明说明了覆盖不足。</x:v>
      </x:c>
      <x:c r="M21" s="17" t="str">
        <x:v>否</x:v>
      </x:c>
      <x:c r="N21" s="17" t="str">
        <x:v>宁德时代最近10个交易日的主力资金明细，当前数据源返回了最近一个交易日（2026-07-31）的记录，数据如下：
**2026-07-31（周五）**
| 指标 | 金额（元） |
|------|-----------|
| 主力流入 | 91.64 亿 |
| 主力流出 | 104.86 亿 |
| **主力净流入** | **-13.21 亿** |
| 主力净流入占比 | -8.47% |
| 超大单流入 | 60.15 亿 |
| 超大单流出 | 73.68 亿 |
| 大单净流入 | 0.32 亿 |
| 大单净流入占比 | 0.20% |
| 中单流入 | 39.94 亿 |
| 中单流出 | 31.98 亿 |
| 小单流入 | 24.45 亿 |
| 小单流出 | 19.19 亿 |
**小结：** 7月31日宁德时代主力资金净流出约 **13.21 亿元**，主力净流入占比为 -8.47%，说明当日主力整体呈净卖出态势。其中超大单净流出约 13.53 亿，是主力流出的主要来源；而大单小幅净流入 0.32 亿，部分对冲了超大单的流出。散户（小单）和中单均为净流入，承接了主力的抛压。
&gt; 数据源仅返回了最近1个交易日的主力资金明细，非完整的10个交易日记录，当前数据覆盖范围有限。</x:v>
      </x:c>
    </x:row>
    <x:row r="22" ht="64" customHeight="1">
      <x:c r="A22" s="17" t="str">
        <x:v>BUS018</x:v>
      </x:c>
      <x:c r="B22" s="17" t="str">
        <x:v>今天超大单买入额最高的前10只股票。</x:v>
      </x:c>
      <x:c r="C22" s="17" t="str">
        <x:v>成功</x:v>
      </x:c>
      <x:c r="D22" s="17" t="str">
        <x:v>正确</x:v>
      </x:c>
      <x:c r="E22" s="19" t="n">
        <x:v>1</x:v>
      </x:c>
      <x:c r="F22" s="17" t="str">
        <x:v>无实质问题。 主要根因：none 聚合：排序正确。 证据对齐：核心结果对齐；行业叙述不是必要证据。</x:v>
      </x:c>
      <x:c r="G22" s="17" t="str">
        <x:v>{
  "review_source": "deep_audit_001_060.json",
  "route_ok": true,
  "time": "最近已完成交易日口径正确。",
  "entity": "全市场范围正确。",
  "numeric": "超大单净流入前 10 与证据一致。",
  "aggregation": "排序正确。",
  "evidence_alignment": "核心结果对齐；行业叙述不是必要证据。"
}</x:v>
      </x:c>
      <x:c r="H22" s="17" t="str">
        <x:v>最近已完成交易日口径正确。</x:v>
      </x:c>
      <x:c r="I22" s="17" t="str">
        <x:v>stock.moneyflow</x:v>
      </x:c>
      <x:c r="J22" s="17" t="str">
        <x:v>超大单净流入前 10 与证据一致。</x:v>
      </x:c>
      <x:c r="K22" s="17" t="str">
        <x:v>全市场范围正确。；最近已完成交易日口径正确。</x:v>
      </x:c>
      <x:c r="L22" s="17" t="str">
        <x:v>核心结果对齐；行业叙述不是必要证据。</x:v>
      </x:c>
      <x:c r="M22" s="17" t="str">
        <x:v>否</x:v>
      </x:c>
      <x:c r="N22" s="17" t="str">
        <x:v>今天是 **2026年8月2日（周日）**，所属最近交易日为 **7月31日（周五）**，当日超大单买入额最高的前10只股票如下：
| 排名 | 股票 | 超大单买入额（元） | 超大单净流入占比 | 主力净流入（元） |
|:---:|:---|:---|---:|:---|
| 1 | **中际旭创** | 313.73亿 | +5.52% | +17.56亿 |
| 2 | **长鑫科技** | 272.84亿 | +1.29% | +10.06亿 |
| 3 | **新易盛** | 160.70亿 | +8.11% | +18.06亿 |
| 4 | **兆易创新** | 151.30亿 | +7.27% | +16.45亿 |
| 5 | **东山精密** | 96.36亿 | +18.31% | +35.46亿 |
| 6 | **寒武纪** | 72.35亿 | +9.14% | +16.71亿 |
| 7 | **德明利** | 66.84亿 | +7.35% | +7.73亿 |
| 8 | **宁德时代** | 60.15亿 | -8.67% | -13.21亿 |
| 9 | **三环集团** | 59.47亿 | +12.25% | +13.05亿 |
| 10 | **澜起科技** | 57.89亿 | +5.31% | +2.77亿 |
**主要特征：** 前10中半导体/AI算力链占据绝对主导——中际旭创、长鑫科技、新易盛、兆易创新、寒武纪、澜起科技等均属于光模块、存储和AI芯片方向，当日超大单资金高度聚焦科技硬件赛道。东山精密以 **+18.31%** 的超大单净流入占比居首，主力净流入达35.46亿元，为榜单中资金净流入力度最大的个股。宁德时代则是唯一超大单净流入占比为负的个股（-8.67%），虽有60亿超大单买入，但卖出更多，主力整体净流出。</x:v>
      </x:c>
    </x:row>
    <x:row r="23" ht="64" customHeight="1">
      <x:c r="A23" s="17" t="str">
        <x:v>BUS019</x:v>
      </x:c>
      <x:c r="B23" s="17" t="str">
        <x:v>查询招商银行当前PE、PB和总市值。</x:v>
      </x:c>
      <x:c r="C23" s="17" t="str">
        <x:v>成功</x:v>
      </x:c>
      <x:c r="D23" s="17" t="str">
        <x:v>部分正确</x:v>
      </x:c>
      <x:c r="E23" s="19" t="n">
        <x:v>1</x:v>
      </x:c>
      <x:c r="F23" s="17" t="str">
        <x:v>用单点估值推断历史位置。 主要根因：final_renderer_unsupported_inference 聚合：不涉及聚合。 证据对齐：单点数值对齐，但“历史低位”需要历史序列支持。</x:v>
      </x:c>
      <x:c r="G23" s="17" t="str">
        <x:v>{
  "review_source": "deep_audit_001_060.json",
  "route_ok": true,
  "time": "仅有最新单点快照。",
  "entity": "目标股票正确。",
  "numeric": "PE、PB、市值与证据一致。",
  "aggregation": "不涉及聚合。",
  "evidence_alignment": "单点数值对齐，但“历史低位”需要历史序列支持。"
}</x:v>
      </x:c>
      <x:c r="H23" s="17" t="str">
        <x:v>仅有最新单点快照。</x:v>
      </x:c>
      <x:c r="I23" s="17" t="str">
        <x:v>stock.pricevalue</x:v>
      </x:c>
      <x:c r="J23" s="17" t="str">
        <x:v>PE、PB、市值与证据一致。</x:v>
      </x:c>
      <x:c r="K23" s="17" t="str">
        <x:v>目标股票正确。；仅有最新单点快照。</x:v>
      </x:c>
      <x:c r="L23" s="17" t="str">
        <x:v>单点数值对齐，但“历史低位”需要历史序列支持。</x:v>
      </x:c>
      <x:c r="M23" s="17" t="str">
        <x:v>否</x:v>
      </x:c>
      <x:c r="N23" s="17" t="str">
        <x:v>截至 **2026年7月31日**（上一个交易日），招商银行的关键估值数据如下：
- **PE（市盈率）**：6.63 倍
- **PB（市净率）**：0.88 倍
- **总市值**：约 **1.02 万亿元**（1,019,587,139,881.5 元）
当前 PE 和 PB 均处于历史低位区间，PB 低于 1 倍，属于破净状态。</x:v>
      </x:c>
    </x:row>
    <x:row r="24" ht="64" customHeight="1">
      <x:c r="A24" s="17" t="str">
        <x:v>BUS020</x:v>
      </x:c>
      <x:c r="B24" s="17" t="str">
        <x:v>筛选PE_TTM低于15且PB低于1.5的股票。</x:v>
      </x:c>
      <x:c r="C24" s="17" t="str">
        <x:v>成功</x:v>
      </x:c>
      <x:c r="D24" s="17" t="str">
        <x:v>错误</x:v>
      </x:c>
      <x:c r="E24" s="19" t="n">
        <x:v>0.7</x:v>
      </x:c>
      <x:c r="F24" s="17" t="str">
        <x:v>顶层意图分发错误。 主要根因：dispatch_intent_misclassification 聚合：未执行。 证据对齐：明确估值筛选被误路由。</x:v>
      </x:c>
      <x:c r="G24" s="17" t="str">
        <x:v>{
  "review_source": "deep_audit_001_060.json",
  "route_ok": false,
  "time": "未进入数据查询。",
  "entity": "未完成实体筛选。",
  "numeric": "无结果。",
  "aggregation": "未执行。",
  "evidence_alignment": "明确估值筛选被误路由。"
}</x:v>
      </x:c>
      <x:c r="H24" s="17" t="str">
        <x:v>未进入数据查询。</x:v>
      </x:c>
      <x:c r="I24" s="17" t="str">
        <x:v>stock.pricevalue</x:v>
      </x:c>
      <x:c r="J24" s="17" t="str">
        <x:v>无结果。</x:v>
      </x:c>
      <x:c r="K24" s="17" t="str">
        <x:v>未完成实体筛选。；未进入数据查询。</x:v>
      </x:c>
      <x:c r="L24" s="17" t="str">
        <x:v>明确估值筛选被误路由。</x:v>
      </x:c>
      <x:c r="M24" s="17" t="str">
        <x:v>是</x:v>
      </x:c>
      <x:c r="N24" s="17" t="str">
        <x:v>已识别为自然语言请求，当前 agent = investment_analyst，route_type = clarify。
需要澄清: {"state_type": "clarification_state", "status": "needs_user_input", "missing_slots": ["task_focus"], "prompt": "请说明你更想做个股深度分析，还是热点/概念追踪。", "resume_token": "clarify_8186229eea19410d", "slot_hints": {"task_focus": "请说明你更想做个股深度分析，还是热点/概念追踪。"}, "context_summary": {"task_type": "", "code": "", "name": ""}}</x:v>
      </x:c>
    </x:row>
    <x:row r="25" ht="64" customHeight="1">
      <x:c r="A25" s="17" t="str">
        <x:v>BUS021</x:v>
      </x:c>
      <x:c r="B25" s="17" t="str">
        <x:v>当前总市值最大的前20只股票有哪些？</x:v>
      </x:c>
      <x:c r="C25" s="17" t="str">
        <x:v>成功</x:v>
      </x:c>
      <x:c r="D25" s="17" t="str">
        <x:v>正确</x:v>
      </x:c>
      <x:c r="E25" s="19" t="n">
        <x:v>1</x:v>
      </x:c>
      <x:c r="F25" s="17" t="str">
        <x:v>存在目录查找冗余。 主要根因：none 聚合：服务端排序正确。 证据对齐：答案对齐；额外 3 次目录读取只影响效率。</x:v>
      </x:c>
      <x:c r="G25" s="17" t="str">
        <x:v>{
  "review_source": "deep_audit_001_060.json",
  "route_ok": true,
  "time": "最新估值快照口径正确。",
  "entity": "全市场范围正确。",
  "numeric": "总市值前 20 与证据一致。",
  "aggregation": "服务端排序正确。",
  "evidence_alignment": "答案对齐；额外 3 次目录读取只影响效率。"
}</x:v>
      </x:c>
      <x:c r="H25" s="17" t="str">
        <x:v>最新估值快照口径正确。</x:v>
      </x:c>
      <x:c r="I25" s="17" t="str">
        <x:v>stock.pricevalue</x:v>
      </x:c>
      <x:c r="J25" s="17" t="str">
        <x:v>总市值前 20 与证据一致。</x:v>
      </x:c>
      <x:c r="K25" s="17" t="str">
        <x:v>全市场范围正确。；最新估值快照口径正确。</x:v>
      </x:c>
      <x:c r="L25" s="17" t="str">
        <x:v>答案对齐；额外 3 次目录读取只影响效率。</x:v>
      </x:c>
      <x:c r="M25" s="17" t="str">
        <x:v>否</x:v>
      </x:c>
      <x:c r="N25" s="17" t="str">
        <x:v>以 **2026年7月31日** 收盘数据为准，总市值最大的前20只股票如下：
| 排名 | 股票 | 总市值 | 自由流通市值 | PE(TTM) | PB |
|:---:|:---|---:|---:|:---:|:---:|
| 1 | **长鑫科技** (688825.SH) | **3.61万亿** | 2381亿 | 128.0 | 44.2 |
| 2 | **工商银行** (601398.SH) | **2.72万亿** | 2542亿 | 7.7 | 0.72 |
| 3 | **农业银行** (601288.SH) | **2.37万亿** | 2035亿 | 8.2 | 0.85 |
| 4 | **建设银行** (601939.SH) | **2.15万亿** | 728亿 | 8.3 | 0.80 |
| 5 | **中国石油** (601857.SH) | **1.98万亿** | 1278亿 | 12.8 | 1.25 |
| 6 | **宁德时代** (300750.SZ) | **1.86万亿** | 1.13万亿 | 21.5 | 4.82 |
| 7 | **中国银行** (601988.SH) | **1.84万亿** | 750亿 | 8.0 | 0.71 |
| 8 | **贵州茅台** (600519.SH) | **1.69万亿** | 7366亿 | 20.4 | 6.23 |
| 9 | **中国移动** (600941.SH) | **1.59万亿** | 891亿 | 15.6 | 1.48 |
| 10 | **工业富联** (601138.SH) | **1.13万亿** | 1731亿 | 27.7 | 6.39 |
| 11 | **中际旭创** (300308.SZ) | **1.05万亿** | 7132亿 | 70.6 | 29.6 |
| 12 | **招商银行** (600036.SH) | **1.02万亿** | 4752亿 | 6.6 | 0.88 |
| 13 | **中国海油** (600938.SH) | **1.01万亿** | 973亿 | 12.3 | 1.83 |
| 14 | **中国人寿** (601628.SH) | **1.01万亿** | 596亿 | 7.7 | 1.87 |
| 15 | **中国神华** (601088.SH) | **9637亿** | 1219亿 | 19.2 | 2.06 |
| 16 | **中国平安** (601318.SH) | **9633亿** | 5411亿 | 7.5 | 0.98 |
| 17 | **紫金矿业** (601899.SH) | **8511亿** | 4747亿 | 14.2 | 4.44 |
| 18 | **比亚迪** (002594.SZ) | **8206亿** | 2363亿 | 31.7 | 3.77 |
| 19 | **长江电力** (600900.SH) | **7118亿** | 3374亿 | 19.7 | 3.12 |
| 20 | **寒武纪** (688256.SH) | **6949亿** | 3197亿 | 255.8 | 54.0 |
**几个看点：**
- **长鑫科技**以3.61万亿总市值位居榜首，成为A股"市值一哥"，自由流通市值仅2381亿（占比约6.6%），PB高达44倍。
- 前10名中，**银行股占了4席**（工商银行、农业银行、建设银行、中国银行），估值普遍处于破净状态（PB&lt;1）。
- **科技成长股**在榜单中占据重要位置：宁德时代、工业富联、中际旭创、寒武纪均位列前20，但PE估值差异较大，寒武纪PE高达255倍，而招商银行仅6.6倍。</x:v>
      </x:c>
    </x:row>
    <x:row r="26" ht="64" customHeight="1">
      <x:c r="A26" s="17" t="str">
        <x:v>BUS022</x:v>
      </x:c>
      <x:c r="B26" s="17" t="str">
        <x:v>查询宁德时代最近20个交易日PE_TTM和PB变化。</x:v>
      </x:c>
      <x:c r="C26" s="17" t="str">
        <x:v>成功</x:v>
      </x:c>
      <x:c r="D26" s="17" t="str">
        <x:v>证据不足</x:v>
      </x:c>
      <x:c r="E26" s="19" t="n">
        <x:v>0.9545454545454546</x:v>
      </x:c>
      <x:c r="F26" s="17" t="str">
        <x:v>估值历史数据覆盖不足。 主要根因：history_data_coverage 聚合：quote 历史不能替代 PE/PB 历史。 证据对齐：答案明确说明估值历史不可得。</x:v>
      </x:c>
      <x:c r="G26" s="17" t="str">
        <x:v>{
  "review_source": "deep_audit_001_060.json",
  "route_ok": true,
  "time": "请求 20 日估值历史，pricevalue 只返回 1 日。",
  "entity": "目标股票正确。",
  "numeric": "最新 PE/PB 可核对，历史位置不可核对。",
  "aggregation": "quote 历史不能替代 PE/PB 历史。",
  "evidence_alignment": "答案明确说明估值历史不可得。"
}</x:v>
      </x:c>
      <x:c r="H26" s="17" t="str">
        <x:v>请求 20 日估值历史，pricevalue 只返回 1 日。</x:v>
      </x:c>
      <x:c r="I26" s="17" t="str">
        <x:v>stock.pricevalue</x:v>
      </x:c>
      <x:c r="J26" s="17" t="str">
        <x:v>最新 PE/PB 可核对，历史位置不可核对。</x:v>
      </x:c>
      <x:c r="K26" s="17" t="str">
        <x:v>目标股票正确。；请求 20 日估值历史，pricevalue 只返回 1 日。</x:v>
      </x:c>
      <x:c r="L26" s="17" t="str">
        <x:v>答案明确说明估值历史不可得。</x:v>
      </x:c>
      <x:c r="M26" s="17" t="str">
        <x:v>否</x:v>
      </x:c>
      <x:c r="N26" s="17" t="str">
        <x:v>根据数据源查询结果，**宁德时代**的估值数据如下：
**最新估值（2026-07-31）**
- PE_TTM（滚动市盈率）：**21.52 倍**
- PB（市净率）：**4.82 倍**
**最近20个交易日收盘价走势**
| 日期 | 收盘价（元） |
|------|:-----------:|
| 07-31 | 395.30 |
| 07-30 | 401.88 |
| 07-29 | 396.84 |
| 07-28 | 390.86 |
| 07-27 | 400.00 |
| 07-24 | 383.01 |
| 07-23 | 385.99 |
| 07-22 | 372.26 |
| 07-21 | 382.20 |
| 07-20 | 376.43 |
| 07-17 | 360.00 |
| 07-16 | 366.20 |
| 07-15 | 373.00 |
| 07-14 | 364.01 |
| 07-13 | 359.06 |
| 07-10 | 348.76 |
| 07-09 | 375.50 |
| 07-08 | 361.00 |
| 07-07 | 372.49 |
| 07-06 | 374.51 |
不过需要说明的是，当前数据源只返回了**最新交易日（07-31）**的 PE_TTM 和 PB 数据，未提供历史每日的估值序列，因此无法展示 PE_TTM 和 PB 在过去20个交易日的逐日变化轨迹。从价格走势看，这20个交易日宁德时代股价从 374.51 元涨至 395.30 元，区间涨幅约 **5.5%**，估值在最新收盘水平上对应 PE_TTM 21.52 倍、PB 4.82 倍。</x:v>
      </x:c>
    </x:row>
    <x:row r="27" ht="64" customHeight="1">
      <x:c r="A27" s="17" t="str">
        <x:v>BUS023</x:v>
      </x:c>
      <x:c r="B27" s="17" t="str">
        <x:v>当前自由流通市值最高的前20只股票。</x:v>
      </x:c>
      <x:c r="C27" s="17" t="str">
        <x:v>成功</x:v>
      </x:c>
      <x:c r="D27" s="17" t="str">
        <x:v>部分正确</x:v>
      </x:c>
      <x:c r="E27" s="19" t="n">
        <x:v>1</x:v>
      </x:c>
      <x:c r="F27" s="17" t="str">
        <x:v>Renderer 加入未取证解释。 主要根因：final_renderer_unsupported_inference 聚合：排序正确。 证据对齐：核心数据对齐，但股东结构与资金流原因未被查询。</x:v>
      </x:c>
      <x:c r="G27" s="17" t="str">
        <x:v>{
  "review_source": "deep_audit_001_060.json",
  "route_ok": true,
  "time": "最新快照口径合理。",
  "entity": "自由流通市值排序实体正确。",
  "numeric": "表格数值与证据一致。",
  "aggregation": "排序正确。",
  "evidence_alignment": "核心数据对齐，但股东结构与资金流原因未被查询。"
}</x:v>
      </x:c>
      <x:c r="H27" s="17" t="str">
        <x:v>最新快照口径合理。</x:v>
      </x:c>
      <x:c r="I27" s="17" t="str">
        <x:v>stock.pricevalue</x:v>
      </x:c>
      <x:c r="J27" s="17" t="str">
        <x:v>表格数值与证据一致。</x:v>
      </x:c>
      <x:c r="K27" s="17" t="str">
        <x:v>自由流通市值排序实体正确。；最新快照口径合理。</x:v>
      </x:c>
      <x:c r="L27" s="17" t="str">
        <x:v>核心数据对齐，但股东结构与资金流原因未被查询。</x:v>
      </x:c>
      <x:c r="M27" s="17" t="str">
        <x:v>否</x:v>
      </x:c>
      <x:c r="N27" s="17" t="str">
        <x:v>以下是以 **2026年7月31日** 收盘数据为准，自由流通市值最高的前20只股票（单位：亿元）：
| 排名 | 代码 | 名称 | 自由流通市值 | 总市值 | 流通市值 |
|:---:|:---:|:---|:---:|:---:|:---:|
| 1 | 300750.SZ | 宁德时代 | **11,333** | 18,602 | 16,840 |
| 2 | 600519.SH | 贵州茅台 | **7,366** | 16,884 | 16,884 |
| 3 | 300308.SZ | 中际旭创 | **7,132** | 10,544 | 10,012 |
| 4 | 601318.SH | 中国平安 | **5,411** | 9,633 | 5,852 |
| 5 | 600036.SH | 招商银行 | **4,752** | 10,196 | 8,173 |
| 6 | 601899.SH | 紫金矿业 | **4,747** | 8,511 | 6,788 |
| 7 | 300502.SZ | 新易盛 | **4,482** | 5,521 | 4,967 |
| 8 | 000333.SZ | 美的集团 | **4,192** | 6,671 | 6,030 |
| 9 | 600900.SH | 长江电力 | **3,374** | 7,118 | 7,118 |
| 10 | 688256.SH | 寒武纪 | **3,197** | 6,949 | 6,949 |
| 11 | 601166.SH | 兴业银行 | **2,889** | 4,000 | 4,000 |
| 12 | 002371.SZ | 北方华创 | **2,884** | 4,985 | 4,982 |
| 13 | 603259.SH | 药明康德 | **2,694** | 3,887 | 3,176 |
| 14 | 002475.SZ | 立讯精密 | **2,680** | 4,405 | 4,210 |
| 15 | 600030.SH | 中信证券 | **2,557** | 4,088 | 3,462 |
| 16 | 688012.SH | 中微公司 | **2,550** | 3,295 | 3,241 |
| 17 | 601398.SH | 工商银行 | **2,542** | 27,184 | 21,542 |
| 18 | 300059.SZ | 东方财富 | **2,484** | 3,191 | 2,693 |
| 19 | 688041.SH | 海光信息 | **2,456** | 6,438 | 6,438 |
| 20 | 688825.SH | 长鑫科技 | **2,381** | 36,096 | 2,430 |
**几个值得关注的要点：**
- **宁德时代**以约11,333亿元的自由流通市值居首，是唯一突破万亿的个股，但总市值约18,602亿，说明有相当比例股份尚未完全自由流通。
- **贵州茅台**总市值约16,884亿，但自由流通市值仅7,366亿，排在第二，与第一大股东持股比例高有关。
- **中际旭创**以7,132亿位列第三，与宁德时代、茅台一起形成"三千亿级"自由流通市值梯队。
- **工商银行**总市值高达27,184亿，但自由流通市值仅2,542亿（排名第17），国有大行流通比例较低是其特点。
- 榜单中科技成长股占比较高，包括宁德时代、中际旭创、新易盛、寒武纪、北方华创、海光信息等，反映市场对科技赛道的定价权重。</x:v>
      </x:c>
    </x:row>
    <x:row r="28" ht="64" customHeight="1">
      <x:c r="A28" s="17" t="str">
        <x:v>BUS024</x:v>
      </x:c>
      <x:c r="B28" s="17" t="str">
        <x:v>筛选PS_TTM低于3且总市值超过500亿元的股票。</x:v>
      </x:c>
      <x:c r="C28" s="17" t="str">
        <x:v>成功</x:v>
      </x:c>
      <x:c r="D28" s="17" t="str">
        <x:v>部分正确</x:v>
      </x:c>
      <x:c r="E28" s="19" t="n">
        <x:v>1</x:v>
      </x:c>
      <x:c r="F28" s="17" t="str">
        <x:v>把分页上限当成完整统计。 主要根因：result_pagination_cap 聚合：未分页却声称“100 只以上”，不能证明全集规模。 证据对齐：展示前 10 可核对，完整性结论证据不足。</x:v>
      </x:c>
      <x:c r="G28" s="17" t="str">
        <x:v>{
  "review_source": "deep_audit_001_060.json",
  "route_ok": true,
  "time": "最新快照口径合理。",
  "entity": "返回样本符合条件。",
  "numeric": "结果恰好达到 limit=100。",
  "aggregation": "未分页却声称“100 只以上”，不能证明全集规模。",
  "evidence_alignment": "展示前 10 可核对，完整性结论证据不足。"
}</x:v>
      </x:c>
      <x:c r="H28" s="17" t="str">
        <x:v>最新快照口径合理。</x:v>
      </x:c>
      <x:c r="I28" s="17" t="str">
        <x:v>stock.pricevalue</x:v>
      </x:c>
      <x:c r="J28" s="17" t="str">
        <x:v>结果恰好达到 limit=100。</x:v>
      </x:c>
      <x:c r="K28" s="17" t="str">
        <x:v>返回样本符合条件。；最新快照口径合理。</x:v>
      </x:c>
      <x:c r="L28" s="17" t="str">
        <x:v>展示前 10 可核对，完整性结论证据不足。</x:v>
      </x:c>
      <x:c r="M28" s="17" t="str">
        <x:v>否</x:v>
      </x:c>
      <x:c r="N28" s="17" t="str">
        <x:v>共筛选出 **PS_TTM &lt; 3 且总市值 &gt; 500亿元** 的股票 **100 只以上**（按总市值降序排列，仅展示前100）。以下是重点一览：
---
**市值最大的前10名（按总市值排序）：**
| 股票 | 代码 | PS_TTM | 总市值（亿元） |
|------|------|--------|------------|
| 中国石油 | 601857.SH | 0.71 | 19,756 |
| 中国银行 | 601988.SH | 2.90 | 18,447 |
| 中国移动 | 600941.SH | 2.01 | 15,926 |
| 工业富联 | 601138.SH | 1.13 | 11,252 |
| 招商银行 | 600036.SH | 2.93 | 10,196 |
| 中国人寿 | 601628.SH | 1.87 | 10,110 |
| 中国平安 | 601318.SH | 0.96 | 9,633 |
| 紫金矿业 | 601899.SH | 2.38 | 8,511 |
| 比亚迪 | 002594.SZ | 1.11 | 8,206 |
| 美的集团 | 000333.SZ | 1.45 | 6,671 |
**分布特征：**
- **银行保险**占比最高：中国银行、招商银行、中国平安、交通银行、兴业银行等多家均入选，PS_TTM多在 1–3 之间，银行股普遍低市销率属性明显。
- **能源资源类**：中国石油（0.71）、中国石化（0.23）、紫金矿业（2.38）、陕西煤业（1.53）、中煤能源（1.27）等。
- **电信/制造龙头**：中国移动（2.01）、中国电信（1.11）、工业富联（1.13）、比亚迪（1.11）、美的集团（1.45）。
- **最低PS_TTM**：中国建筑（0.095）、中国中铁（0.105）、中国交建（0.140），均低于 0.15，属于典型的低市销率基建央企。
**说明：** 数据基于最近一个交易日（2026-07-31 前后）的估值快照，不含数据缺失的股票。实际符合条件总数超过100只，这里展示了市值最大的前100只。</x:v>
      </x:c>
    </x:row>
    <x:row r="29" ht="64" customHeight="1">
      <x:c r="A29" s="17" t="str">
        <x:v>BUS025</x:v>
      </x:c>
      <x:c r="B29" s="17" t="str">
        <x:v>查询贵州茅台最新报告期营收、净利润和ROE。</x:v>
      </x:c>
      <x:c r="C29" s="17" t="str">
        <x:v>成功</x:v>
      </x:c>
      <x:c r="D29" s="17" t="str">
        <x:v>证据不足</x:v>
      </x:c>
      <x:c r="E29" s="19" t="n">
        <x:v>0.95</x:v>
      </x:c>
      <x:c r="F29" s="17" t="str">
        <x:v>数据覆盖不足并触发重复尝试。 主要根因：history_data_coverage_and_retry_policy 聚合：未能完成财务比较。 证据对齐：最终诚实说明不可用，但等价重试过多。</x:v>
      </x:c>
      <x:c r="G29" s="17" t="str">
        <x:v>{
  "review_source": "deep_audit_001_060.json",
  "route_ok": true,
  "time": "多个报告期尝试后仍无财务数据。",
  "entity": "贵州茅台识别正确。",
  "numeric": "没有可验证的财务数值。",
  "aggregation": "未能完成财务比较。",
  "evidence_alignment": "最终诚实说明不可用，但等价重试过多。"
}</x:v>
      </x:c>
      <x:c r="H29" s="17" t="str">
        <x:v>多个报告期尝试后仍无财务数据。</x:v>
      </x:c>
      <x:c r="I29" s="17" t="str">
        <x:v>stock.financial_3_table</x:v>
      </x:c>
      <x:c r="J29" s="17" t="str">
        <x:v>没有可验证的财务数值。</x:v>
      </x:c>
      <x:c r="K29" s="17" t="str">
        <x:v>贵州茅台识别正确。；多个报告期尝试后仍无财务数据。</x:v>
      </x:c>
      <x:c r="L29" s="17" t="str">
        <x:v>最终诚实说明不可用，但等价重试过多。</x:v>
      </x:c>
      <x:c r="M29" s="17" t="str">
        <x:v>否</x:v>
      </x:c>
      <x:c r="N29" s="17" t="str">
        <x:v>目前查询贵州茅台（600519.SH）的财务数据时，`financial_3_table` 数据源返回了零行记录，营收、净利润和 ROE 这三个字段均无法获取。虽然股票代码和名称已确认无误，但该数据源当前暂未提供贵州茅台的财报数据。
建议换个时间再试，或通过其他数据渠道查询贵州茅台最新报告期的这三项财务指标。</x:v>
      </x:c>
    </x:row>
    <x:row r="30" ht="64" customHeight="1">
      <x:c r="A30" s="17" t="str">
        <x:v>BUS026</x:v>
      </x:c>
      <x:c r="B30" s="17" t="str">
        <x:v>最新年报ROE最高的前20家公司有哪些？</x:v>
      </x:c>
      <x:c r="C30" s="17" t="str">
        <x:v>成功</x:v>
      </x:c>
      <x:c r="D30" s="17" t="str">
        <x:v>部分正确</x:v>
      </x:c>
      <x:c r="E30" s="19" t="n">
        <x:v>0.95</x:v>
      </x:c>
      <x:c r="F30" s="17" t="str">
        <x:v>8 次查询后发生语义替代，形成明显长尾。 主要根因：query_semantic_substitution 聚合：排序正确，但年度口径被替换为中报口径。 证据对齐：有清晰降级说明，但回答的是不同期间。</x:v>
      </x:c>
      <x:c r="G30" s="17" t="str">
        <x:v>{
  "review_source": "deep_audit_001_060.json",
  "route_ok": true,
  "time": "请求最新年度数据，失败后改用 2026 年中报。",
  "entity": "返回的公司实体可核对。",
  "numeric": "中报 ROE 前 20 数值与证据一致。",
  "aggregation": "排序正确，但年度口径被替换为中报口径。",
  "evidence_alignment": "有清晰降级说明，但回答的是不同期间。"
}</x:v>
      </x:c>
      <x:c r="H30" s="17" t="str">
        <x:v>请求最新年度数据，失败后改用 2026 年中报。</x:v>
      </x:c>
      <x:c r="I30" s="17" t="str">
        <x:v>stock.financial_3_table</x:v>
      </x:c>
      <x:c r="J30" s="17" t="str">
        <x:v>中报 ROE 前 20 数值与证据一致。</x:v>
      </x:c>
      <x:c r="K30" s="17" t="str">
        <x:v>返回的公司实体可核对。；请求最新年度数据，失败后改用 2026 年中报。</x:v>
      </x:c>
      <x:c r="L30" s="17" t="str">
        <x:v>有清晰降级说明，但回答的是不同期间。</x:v>
      </x:c>
      <x:c r="M30" s="17" t="str">
        <x:v>否</x:v>
      </x:c>
      <x:c r="N30" s="17" t="str">
        <x:v>数据源中没有2025年及之前的年报数据，但最新可用的报告期是**2026年中报（2026-06-30）**。以下是该报告期ROE最高的前20家公司：
| 排名 | 代码 | 名称 | ROE(%) | 扣非ROE(%) |
|:---:|:---:|:---|:---:|:---:|
| 1 | 600306.SH | 退市商城 | **101.36** | 0.83 |
| 2 | 002611.SZ | 东方精工 | **50.44** | 1.13 |
| 3 | 688266.SH | 泽璟制药 | **45.70** | 44.02 |
| 4 | 600844.SH | 金煤科技 | **28.56** | 26.75 |
| 5 | 603929.SH | 亚翔集成 | **20.91** | 20.90 |
| 6 | 601168.SH | 西部矿业 | **20.41** | 20.41 |
| 7 | 605499.SH | 东鹏饮料 | **19.84** | 17.98 |
| 8 | 688313.SH | 仕佳光子 | **19.28** | 18.91 |
| 9 | 000933.SZ | 神火股份 | **18.30** | 18.30 |
| 10 | 300503.SZ | 昊志机电 | **15.66** | 14.62 |
| 11 | 001339.SZ | 智微智能 | **15.63** | 14.98 |
| 12 | 002290.SZ | 禾盛新材 | **13.49** | 8.74 |
| 13 | 300750.SZ | 宁德时代 | **12.08** | 10.89 |
| 14 | 920258.BJ | 聚仁新材 | **11.48** | 11.42 |
| 15 | 603162.SH | 海通发展 | **11.14** | 11.10 |
| 16 | 002868.SZ | 绿康生化 | **10.91** | 10.91 |
| 17 | 000603.SZ | 盛达资源 | **10.76** | 10.55 |
| 18 | 600711.SH | 盛屯矿业 | **10.50** | 10.50 |
| 19 | 002107.SZ | 沃华医药 | **9.44** | 9.22 |
| 20 | 002415.SZ | 海康威视 | **9.42** | 9.20 |
**需要说明的是：** 当前数据源中2024、2025年年报数据暂未入库，无法按"最新年报"口径查询。以上结果为**2026年中报（半年报）**数据，是数据源中最新可用的完整报告期，ROE均为半年度累计口径，与年报全年口径不可直接等同。
**几点值得注意：**
- **退市商城**（101.36%）和**东方精工**（50.44%）ROE异常高，但扣非后分别仅0.83%和1.13%，说明高ROE主要来自非经常性损益，可持续性存疑。
- **泽璟制药**（45.70%）扣非后也达44.02%，盈利质量较扎实。
- 资源类公司如**西部矿业**（20.41%）、**神火股份**（18.30%）及**盛屯矿业**（10.50%）扣非与ROE一致，盈利质量较高。
- 知名公司中**宁德时代**（12.08%）、**海康威视**（9.42%）均在前20之列。</x:v>
      </x:c>
    </x:row>
    <x:row r="31" ht="64" customHeight="1">
      <x:c r="A31" s="17" t="str">
        <x:v>BUS027</x:v>
      </x:c>
      <x:c r="B31" s="17" t="str">
        <x:v>筛选资产负债率低于40%且毛利率高于30%的公司。</x:v>
      </x:c>
      <x:c r="C31" s="17" t="str">
        <x:v>成功</x:v>
      </x:c>
      <x:c r="D31" s="17" t="str">
        <x:v>正确</x:v>
      </x:c>
      <x:c r="E31" s="19" t="n">
        <x:v>1</x:v>
      </x:c>
      <x:c r="F31" s="17" t="str">
        <x:v>无实质问题。 主要根因：none 聚合：筛选逻辑正确。 证据对齐：明细与完整结果一致。</x:v>
      </x:c>
      <x:c r="G31" s="17" t="str">
        <x:v>{
  "review_source": "deep_audit_001_060.json",
  "route_ok": true,
  "time": "使用最新可用 2026 年中报并明确标注。",
  "entity": "21 家筛选结果与证据一致。",
  "numeric": "资产负债率和毛利率阈值正确。",
  "aggregation": "筛选逻辑正确。",
  "evidence_alignment": "明细与完整结果一致。"
}</x:v>
      </x:c>
      <x:c r="H31" s="17" t="str">
        <x:v>使用最新可用 2026 年中报并明确标注。</x:v>
      </x:c>
      <x:c r="I31" s="17" t="str">
        <x:v>stock.financial_3_table</x:v>
      </x:c>
      <x:c r="J31" s="17" t="str">
        <x:v>资产负债率和毛利率阈值正确。</x:v>
      </x:c>
      <x:c r="K31" s="17" t="str">
        <x:v>21 家筛选结果与证据一致。；使用最新可用 2026 年中报并明确标注。</x:v>
      </x:c>
      <x:c r="L31" s="17" t="str">
        <x:v>明细与完整结果一致。</x:v>
      </x:c>
      <x:c r="M31" s="17" t="str">
        <x:v>否</x:v>
      </x:c>
      <x:c r="N31" s="17" t="str">
        <x:v>筛选完成。基于 **2026年半年报**（报告期 2026-06-30），全市场共有 **21家公司** 满足资产负债率低于40%且毛利率高于30%的条件。按毛利率从高到低排列如下：
| 排名 | 代码 | 名称 | 资产负债率 | 毛利率 | 营收（亿元） | 净利润（亿元） |
|:---:|:---:|:---|:---:|:---:|:---:|:---:|
| 1 | 002107.SZ | 沃华医药 | 26.3% | **77.8%** | 3.93 | 0.71 |
| 2 | 603877.SH | 太平鸟 | 38.7% | **61.2%** | 28.78 | 1.02 |
| 3 | 002296.SZ | 辉煌科技 | 24.2% | **59.5%** | 3.72 | 1.18 |
| 4 | 300463.SZ | 迈克生物 | 19.0% | **57.3%** | 10.34 | 0.30 |
| 5 | 600351.SH | 亚宝药业 | 15.0% | **54.0%** | 11.45 | 1.79 |
| 6 | 688475.SH | 萤石网络 | 37.4% | **50.3%** | 30.07 | 4.10 |
| 7 | 002415.SZ | 海康威视 | 32.4% | **50.0%** | 468.23 | 91.23 |
| 8 | 688018.SH | 乐鑫科技 | 10.3% | **49.3%** | 14.81 | 3.35 |
| 9 | 300508.SZ | 维宏股份 | 19.0% | **48.6%** | 2.86 | 0.06 |
| 10 | 600306.SH | 退市商城 | 18.3% | **46.9%** | 0.39 | 3.01 |
| 11 | 920262.BJ | 太湖雪 | 37.1% | **44.6%** | 3.25 | 0.27 |
| 12 | 603309.SH | 维力医疗 | 34.3% | **43.3%** | 7.69 | 1.08 |
| 13 | 300416.SZ | 苏试试验 | 39.5% | **42.2%** | 10.79 | 1.39 |
| 14 | 920258.BJ | 聚仁新材 | 11.2% | **39.7%** | 3.89 | 0.99 |
| 15 | 605033.SH | 美邦股份 | 35.8% | **37.2%** | 5.55 | 0.51 |
| 16 | 002413.SZ | 雷科防务 | 36.2% | **36.8%** | 5.61 | -0.18 |
| 17 | 001359.SZ | 平安电工 | 19.2% | **35.2%** | 6.86 | 1.25 |
| 18 | 301071.SZ | 力量钻石 | 19.5% | **34.4%** | 4.38 | 0.90 |
| 19 | 600885.SH | 宏发股份 | 34.3% | **32.7%** | 110.22 | 15.15 |
| 20 | 688146.SH | 中船特气 | 21.4% | **31.8%** | 19.04 | 3.48 |
| 21 | 002549.SZ | 凯美特气 | 28.0% | **31.1%** | 3.16 | 0.22 |
**核心发现：**
- **高毛利率阵营**：沃华医药（77.8%）、太平鸟（61.2%）、辉煌科技（59.5%）位列前三，以医药和科技类公司为主。
- **低负债突出**：乐鑫科技资产负债率仅10.3%，聚仁新材11.2%、亚宝药业15.0%，财务结构非常保守。
- **体量最大**：海康威视以468亿营收、91亿净利润居首，同时保持32.4%的低负债和50%的高毛利率，质量突出。
- **注意**：退市商城（600306.SH）已处于退市状态，其数据需审慎看待；雷科防务（002413.SZ）上半年亏损，需结合其他指标综合判断。
这是全量结果（21家），如需进一步分析某几家公司的详情，或增加其他筛选条件，随时告诉我。</x:v>
      </x:c>
    </x:row>
    <x:row r="32" ht="64" customHeight="1">
      <x:c r="A32" s="17" t="str">
        <x:v>BUS028</x:v>
      </x:c>
      <x:c r="B32" s="17" t="str">
        <x:v>查询宁德时代最近4个报告期研发费用和净利润。</x:v>
      </x:c>
      <x:c r="C32" s="17" t="str">
        <x:v>成功</x:v>
      </x:c>
      <x:c r="D32" s="17" t="str">
        <x:v>证据不足</x:v>
      </x:c>
      <x:c r="E32" s="19" t="n">
        <x:v>0.95</x:v>
      </x:c>
      <x:c r="F32" s="17" t="str">
        <x:v>历史覆盖不足并伴随重复查询。 主要根因：history_data_coverage_and_retry_policy 聚合：无法完成四期趋势。 证据对齐：答案透明说明缺失，但连续试探可压缩。</x:v>
      </x:c>
      <x:c r="G32" s="17" t="str">
        <x:v>{
  "review_source": "deep_audit_001_060.json",
  "route_ok": true,
  "time": "请求 4 个报告期，仅 1 期有数据。",
  "entity": "目标股票正确。",
  "numeric": "单期数值可核对，跨期变化不可计算。",
  "aggregation": "无法完成四期趋势。",
  "evidence_alignment": "答案透明说明缺失，但连续试探可压缩。"
}</x:v>
      </x:c>
      <x:c r="H32" s="17" t="str">
        <x:v>请求 4 个报告期，仅 1 期有数据。</x:v>
      </x:c>
      <x:c r="I32" s="17" t="str">
        <x:v>stock.financial_3_table</x:v>
      </x:c>
      <x:c r="J32" s="17" t="str">
        <x:v>单期数值可核对，跨期变化不可计算。</x:v>
      </x:c>
      <x:c r="K32" s="17" t="str">
        <x:v>目标股票正确。；请求 4 个报告期，仅 1 期有数据。</x:v>
      </x:c>
      <x:c r="L32" s="17" t="str">
        <x:v>答案透明说明缺失，但连续试探可压缩。</x:v>
      </x:c>
      <x:c r="M32" s="17" t="str">
        <x:v>否</x:v>
      </x:c>
      <x:c r="N32" s="17" t="str">
        <x:v>宁德时代当前数据源中仅收录了最近一个完整报告期（2026年中报）的财务数据，无法获取到4个报告期的序列。已获取到的数据如下：
**宁德时代 2026年上半年（报告期 2026-06-30）**
| 指标 | 金额（元） |
|------|-----------|
| 研发费用 | 113.77 亿 |
| 净利润 | 470.31 亿 |
2026年上半年，宁德时代研发费用为 **113.77 亿元**，净利润为 **470.31 亿元**。更早的报告期（2025年年报及之前）在当前数据源中暂未收录，因此无法提供4个报告期的完整对比序列。</x:v>
      </x:c>
    </x:row>
    <x:row r="33" ht="64" customHeight="1">
      <x:c r="A33" s="17" t="str">
        <x:v>BUS029</x:v>
      </x:c>
      <x:c r="B33" s="17" t="str">
        <x:v>筛选最新报告期经营现金流为正且净利润为正的公司。</x:v>
      </x:c>
      <x:c r="C33" s="17" t="str">
        <x:v>成功</x:v>
      </x:c>
      <x:c r="D33" s="17" t="str">
        <x:v>部分正确</x:v>
      </x:c>
      <x:c r="E33" s="19" t="n">
        <x:v>1</x:v>
      </x:c>
      <x:c r="F33" s="17" t="str">
        <x:v>默认 limit 被当成完整筛选总数。 主要根因：result_pagination_cap 聚合：limit=20 后称“共 20 家”，不能证明全集仅 20 家。 证据对齐：样本正确，完整数量表达过度。</x:v>
      </x:c>
      <x:c r="G33" s="17" t="str">
        <x:v>{
  "review_source": "deep_audit_001_060.json",
  "route_ok": true,
  "time": "先确定最新可用报告期 2026 年中报。",
  "entity": "展示的 20 家符合条件。",
  "numeric": "明细数值对齐。",
  "aggregation": "limit=20 后称“共 20 家”，不能证明全集仅 20 家。",
  "evidence_alignment": "样本正确，完整数量表达过度。"
}</x:v>
      </x:c>
      <x:c r="H33" s="17" t="str">
        <x:v>先确定最新可用报告期 2026 年中报。</x:v>
      </x:c>
      <x:c r="I33" s="17" t="str">
        <x:v>stock.financial_3_table</x:v>
      </x:c>
      <x:c r="J33" s="17" t="str">
        <x:v>明细数值对齐。</x:v>
      </x:c>
      <x:c r="K33" s="17" t="str">
        <x:v>展示的 20 家符合条件。；先确定最新可用报告期 2026 年中报。</x:v>
      </x:c>
      <x:c r="L33" s="17" t="str">
        <x:v>样本正确，完整数量表达过度。</x:v>
      </x:c>
      <x:c r="M33" s="17" t="str">
        <x:v>否</x:v>
      </x:c>
      <x:c r="N33" s="17" t="str">
        <x:v>以下是筛选结果。
---
**筛选口径**：2026年中报（报告期 2026-06-30）| 经营现金流 &gt; 0 且 净利润 &gt; 0 | 共返回 **20 家公司**（限前20条）
| 代码 | 名称 | 经营现金流(元) | 净利润(元) |
|------|------|---------------|-----------|
| 000603.SZ | 盛达资源 | 5.73亿 | 4.33亿 |
| 600351.SH | 亚宝药业 | 3.53亿 | 1.79亿 |
| 603058.SH | 永吉股份 | 0.69亿 | 0.92亿 |
| 002064.SZ | 华峰化学 | 13.73亿 | 19.84亿 |
| 605507.SH | 国邦医药 | 4.55亿 | 3.41亿 |
| 300738.SZ | 奥飞数据 | 8.52亿 | 2.17亿 |
| 688266.SH | 泽璟制药 | 8.09亿 | 6.40亿 |
| 601198.SH | 东兴证券 | 103.60亿 | 10.25亿 |
| 600236.SH | 桂冠电力 | 38.03亿 | 20.28亿 |
| 300508.SZ | 维宏股份 | 0.23亿 | 0.06亿 |
| 600423.SH | *ST柳化 | 0.03亿 | 0.14亿 |
| 601059.SH | 信达证券 | 6.39亿 | 11.28亿 |
| 300947.SZ | 德必集团 | 3.32亿 | 0.06亿 |
| 603101.SH | 汇嘉时代 | 2.57亿 | 0.98亿 |
| 603309.SH | 维力医疗 | 1.60亿 | 1.08亿 |
| 603797.SH | 联泰环保 | 1.47亿 | 0.83亿 |
| 603877.SH | 太平鸟 | 2.41亿 | 1.02亿 |
| 605499.SH | 东鹏饮料 | 24.93亿 | 28.67亿 |
| 688018.SH | 乐鑫科技 | 0.72亿 | 3.35亿 |
| 920050.BJ | 爱伦医疗 | 0.73亿 | 0.57亿 |
**几点观察**：
- **经营现金流与净利润双高**的头部公司：东兴证券（经营现金流103.6亿）、东鹏饮料（24.9亿经营现金流、28.7亿净利润）、桂冠电力（38.0亿经营现金流、20.3亿净利润）、华峰化学（13.7亿经营现金流、19.8亿净利润）。
- **净利润规模最大**：东鹏饮料（28.7亿）居首，其次是华峰化学（19.8亿）和桂冠电力（20.3亿）。
- 覆盖多个行业，包括有色金属（盛达资源）、医药（亚宝药业、泽璟制药、国邦医药）、化工（华峰化学）、电力（桂冠电力）、证券（东兴证券、信达证券）、食品饮料（东鹏饮料）等。
&gt; ⚠️ 说明：该结果基于当前数据库中已披露2026年中报的公司，返回前20条。实际满足条件的公司数可能更多，如需完整名单可放宽 limit 限制。</x:v>
      </x:c>
    </x:row>
    <x:row r="34" ht="64" customHeight="1">
      <x:c r="A34" s="17" t="str">
        <x:v>BUS030</x:v>
      </x:c>
      <x:c r="B34" s="17" t="str">
        <x:v>最新报告期净利率最高的前20家公司。</x:v>
      </x:c>
      <x:c r="C34" s="17" t="str">
        <x:v>成功</x:v>
      </x:c>
      <x:c r="D34" s="17" t="str">
        <x:v>部分正确</x:v>
      </x:c>
      <x:c r="E34" s="19" t="n">
        <x:v>1</x:v>
      </x:c>
      <x:c r="F34" s="17" t="str">
        <x:v>结果说明超出查询证据。 主要根因：final_renderer_unsupported_inference 聚合：排序正确。 证据对齐：核心排名对齐，但非经常性收益原因没有对应字段证据。</x:v>
      </x:c>
      <x:c r="G34" s="17" t="str">
        <x:v>{
  "review_source": "deep_audit_001_060.json",
  "route_ok": true,
  "time": "最新可用报告期口径明确。",
  "entity": "净利率前 20 实体正确。",
  "numeric": "表格数值与证据一致。",
  "aggregation": "排序正确。",
  "evidence_alignment": "核心排名对齐，但非经常性收益原因没有对应字段证据。"
}</x:v>
      </x:c>
      <x:c r="H34" s="17" t="str">
        <x:v>最新可用报告期口径明确。</x:v>
      </x:c>
      <x:c r="I34" s="17" t="str">
        <x:v>stock.financial_3_table</x:v>
      </x:c>
      <x:c r="J34" s="17" t="str">
        <x:v>表格数值与证据一致。</x:v>
      </x:c>
      <x:c r="K34" s="17" t="str">
        <x:v>净利率前 20 实体正确。；最新可用报告期口径明确。</x:v>
      </x:c>
      <x:c r="L34" s="17" t="str">
        <x:v>核心排名对齐，但非经常性收益原因没有对应字段证据。</x:v>
      </x:c>
      <x:c r="M34" s="17" t="str">
        <x:v>否</x:v>
      </x:c>
      <x:c r="N34" s="17" t="str">
        <x:v>以下是2026年中报（报告期2026-06-30）净利率排名前20的公司：
| 排名 | 公司 | 净利率(%) | 营业收入(元) | 净利润(元) |
|:---:|:---|:---:|:---|:---|
| 1 | 退市商城 | **775.18** | 3,886万 | 3.01亿 |
| 2 | 东方精工 | **228.52** | 16.91亿 | 38.64亿 |
| 3 | 泽璟制药 | **53.10** | 12.05亿 | 6.40亿 |
| 4 | 信达证券 | **46.33** | 24.35亿 | 11.28亿 |
| 5 | 东兴证券 | **40.93** | 25.06亿 | 10.25亿 |
| 6 | 盛达资源 | **37.57** | 11.52亿 | 4.33亿 |
| 7 | 桂冠电力 | **35.48** | 57.16亿 | 20.28亿 |
| 8 | 辉煌科技 | **31.59** | 3.72亿 | 1.18亿 |
| 9 | 永吉股份 | **25.67** | 3.57亿 | 9,153万 |
| 10 | 聚仁新材 | **25.36** | 3.89亿 | 9,869万 |
| 11 | 神火股份 | **24.52** | 247.91亿 | 60.78亿 |
| 12 | 东鹏饮料 | **23.04** | 124.43亿 | 28.67亿 |
| 13 | 乐鑫科技 | **22.64** | 14.81亿 | 3.35亿 |
| 14 | 智微智能 | **22.16** | 30.50亿 | 6.76亿 |
| 15 | 仕佳光子 | **21.05** | 14.95亿 | 3.15亿 |
| 16 | 力量钻石 | **20.57** | 4.38亿 | 9,005万 |
| 17 | 昊志机电 | **19.85** | 11.66亿 | 2.32亿 |
| 18 | 海康威视 | **19.48** | 468.23亿 | 91.23亿 |
| 19 | 亚翔集成 | **19.20** | 25.48亿 | 4.89亿 |
| 20 | *ST柳化 | **18.50** | 7,668万 | 1,418万 |
**几点说明：**
- **退市商城**（775%）和**东方精工**（228%）净利率远超100%，说明净利润中包含了大量非经常性损益（如资产处置、债务重组收益等），并非纯经营利润，参考性有限。剔除这两家后，**泽璟制药**（53.1%）以创新药高毛利特征居首。
- 券商板块表现突出，**信达证券**（46.3%）和**东兴证券**（40.9%）分列第4、5位，经纪与投资业务贡献了较高的利润留存。
- 大市值公司中，**海康威视**（19.5%）以468亿营收实现91亿净利润，净利率在科技硬件领域相当稳健；**东鹏饮料**（23.0%）和**神火股份**（24.5%）也保持了较强的盈利能力。</x:v>
      </x:c>
    </x:row>
    <x:row r="35" ht="64" customHeight="1">
      <x:c r="A35" s="17" t="str">
        <x:v>BUS031</x:v>
      </x:c>
      <x:c r="B35" s="17" t="str">
        <x:v>贵州茅台最新融资余额、融资买入额和融资偿还额是多少？</x:v>
      </x:c>
      <x:c r="C35" s="17" t="str">
        <x:v>成功</x:v>
      </x:c>
      <x:c r="D35" s="17" t="str">
        <x:v>正确</x:v>
      </x:c>
      <x:c r="E35" s="19" t="n">
        <x:v>1</x:v>
      </x:c>
      <x:c r="F35" s="17" t="str">
        <x:v>无实质问题。 主要根因：none 聚合：不涉及复杂聚合。 证据对齐：结果正确；文案宜称“最新可用日”而非全市场最近交易日。</x:v>
      </x:c>
      <x:c r="G35" s="17" t="str">
        <x:v>{
  "review_source": "deep_audit_001_060.json",
  "route_ok": true,
  "time": "使用该视图最新可用日期 2026-07-30。",
  "entity": "目标股票正确。",
  "numeric": "融资融券数值与证据一致。",
  "aggregation": "不涉及复杂聚合。",
  "evidence_alignment": "结果正确；文案宜称“最新可用日”而非全市场最近交易日。"
}</x:v>
      </x:c>
      <x:c r="H35" s="17" t="str">
        <x:v>使用该视图最新可用日期 2026-07-30。</x:v>
      </x:c>
      <x:c r="I35" s="17" t="str">
        <x:v>stock.margin</x:v>
      </x:c>
      <x:c r="J35" s="17" t="str">
        <x:v>融资融券数值与证据一致。</x:v>
      </x:c>
      <x:c r="K35" s="17" t="str">
        <x:v>目标股票正确。；使用该视图最新可用日期 2026-07-30。</x:v>
      </x:c>
      <x:c r="L35" s="17" t="str">
        <x:v>结果正确；文案宜称“最新可用日”而非全市场最近交易日。</x:v>
      </x:c>
      <x:c r="M35" s="17" t="str">
        <x:v>否</x:v>
      </x:c>
      <x:c r="N35" s="17" t="str">
        <x:v>截至 **2026-07-30**（最近一个交易日），贵州茅台（600519.SH）融资数据如下：
- **融资余额**：172.43 亿元
- **融资买入额**：3.85 亿元
- **融资偿还额**：7.40 亿元
当日融资偿还额明显高于融资买入额，净偿还约 3.56 亿元，显示融资客在当日以减仓为主。</x:v>
      </x:c>
    </x:row>
    <x:row r="36" ht="64" customHeight="1">
      <x:c r="A36" s="17" t="str">
        <x:v>BUS032</x:v>
      </x:c>
      <x:c r="B36" s="17" t="str">
        <x:v>最新融资余额最高的前20只股票有哪些？</x:v>
      </x:c>
      <x:c r="C36" s="17" t="str">
        <x:v>成功</x:v>
      </x:c>
      <x:c r="D36" s="17" t="str">
        <x:v>正确</x:v>
      </x:c>
      <x:c r="E36" s="19" t="n">
        <x:v>0.9</x:v>
      </x:c>
      <x:c r="F36" s="17" t="str">
        <x:v>可把视图最新日期发现固化以减少探测。 主要根因：none 聚合：日期固定后排序正确。 证据对齐：恢复路径虽多一步，但结论正确。</x:v>
      </x:c>
      <x:c r="G36" s="17" t="str">
        <x:v>{
  "review_source": "deep_audit_001_060.json",
  "route_ok": true,
  "time": "7 月 31 日无记录后找到并固定 7 月 30 日最新可用日。",
  "entity": "全市场范围正确。",
  "numeric": "融资净买入前 20 与证据一致。",
  "aggregation": "日期固定后排序正确。",
  "evidence_alignment": "恢复路径虽多一步，但结论正确。"
}</x:v>
      </x:c>
      <x:c r="H36" s="17" t="str">
        <x:v>7 月 31 日无记录后找到并固定 7 月 30 日最新可用日。</x:v>
      </x:c>
      <x:c r="I36" s="17" t="str">
        <x:v>stock.margin</x:v>
      </x:c>
      <x:c r="J36" s="17" t="str">
        <x:v>融资净买入前 20 与证据一致。</x:v>
      </x:c>
      <x:c r="K36" s="17" t="str">
        <x:v>全市场范围正确。；7 月 31 日无记录后找到并固定 7 月 30 日最新可用日。</x:v>
      </x:c>
      <x:c r="L36" s="17" t="str">
        <x:v>恢复路径虽多一步，但结论正确。</x:v>
      </x:c>
      <x:c r="M36" s="17" t="str">
        <x:v>否</x:v>
      </x:c>
      <x:c r="N36" s="17" t="str">
        <x:v>以下是最新数据日（2026-07-30）融资余额最高的前20只股票，数据按融资余额从高到低排列：
| 排名 | 代码 | 名称 | 融资余额（元） | 两融余额（元） | 融资余额占流通市值比 |
|:---:|:---:|:---|---:|:---:|:---:|
| 1 | 601318.SH | 中国平安 | 354.57亿 | 356.47亿 | 5.96% |
| 2 | 300308.SZ | 中际旭创 | 321.66亿 | 322.82亿 | 3.35% |
| 3 | 300059.SZ | 东方财富 | 232.38亿 | 232.89亿 | 8.71% |
| 4 | 300750.SZ | 宁德时代 | 222.89亿 | 224.48亿 | 1.30% |
| 5 | 300502.SZ | 新易盛 | 208.94亿 | 209.78亿 | 4.49% |
| 6 | 603986.SH | 兆易创新 | 182.02亿 | 182.49亿 | 7.34% |
| 7 | 600030.SH | 中信证券 | 181.84亿 | 182.09亿 | 5.24% |
| 8 | 600519.SH | 贵州茅台 | 172.43亿 | 174.15亿 | 1.01% |
| 9 | 688256.SH | 寒武纪 | 171.64亿 | 172.37亿 | 2.62% |
| 10 | 300476.SZ | 胜宏科技 | 156.80亿 | 157.07亿 | 10.05% |
| 11 | 688008.SH | 澜起科技 | 147.14亿 | 147.64亿 | 6.53% |
| 12 | 688825.SH | 长鑫科技 | 136.12亿 | 136.12亿 | 5.72% |
| 13 | 002594.SZ | 比亚迪 | 127.21亿 | 127.65亿 | 3.79% |
| 14 | 000725.SZ | 京东方A | 118.16亿 | 118.41亿 | 6.14% |
| 15 | 600900.SH | 长江电力 | 115.21亿 | 116.65亿 | 1.60% |
| 16 | 002384.SZ | 东山精密 | 109.81亿 | 110.21亿 | 4.90% |
| 17 | 688981.SH | 中芯国际 | 108.50亿 | 109.02亿 | 4.41% |
| 18 | 600036.SH | 招商银行 | 104.17亿 | 105.97亿 | 1.25% |
| 19 | 601899.SH | 紫金矿业 | 100.86亿 | 101.78亿 | 1.50% |
| 20 | 000063.SZ | 中兴通讯 | 98.55亿 | 98.74亿 | 7.35% |
**简要解读：**
- **中国平安**以354.57亿融资余额居首，是唯一超300亿的个股，同时两融余额也最大。
- 前5名中，**中际旭创**（321.66亿）和**东方财富**（232.38亿）紧随其后，这两只也是近年融资资金持续聚集的标的。
- **胜宏科技**融资余额占流通市值比例最高（10.05%），反映其筹码对融资资金依赖度较高；**贵州茅台**和**招商银行**该比例最低（约1%），融资杠杆参与度相对较低。
- 榜单行业分布以**科技（光模块、半导体）、金融（保险、券商、银行）**和**新能源**为主，也是当前融资资金重仓的几大方向。
&gt; 注：数据日期为2026-07-30（数据源最新可用交易日），融资余额单位均为元。</x:v>
      </x:c>
    </x:row>
    <x:row r="37" ht="64" customHeight="1">
      <x:c r="A37" s="17" t="str">
        <x:v>BUS033</x:v>
      </x:c>
      <x:c r="B37" s="17" t="str">
        <x:v>近5个交易日融资净买入合计最高的前10只股票。</x:v>
      </x:c>
      <x:c r="C37" s="17" t="str">
        <x:v>成功</x:v>
      </x:c>
      <x:c r="D37" s="17" t="str">
        <x:v>部分正确</x:v>
      </x:c>
      <x:c r="E37" s="19" t="n">
        <x:v>1</x:v>
      </x:c>
      <x:c r="F37" s="17" t="str">
        <x:v>Renderer 添加未取证因果。 主要根因：final_renderer_unsupported_inference 聚合：专用聚合 API 使用正确。 证据对齐：核心表格对齐，但“新股资金涌入”等原因无证据。</x:v>
      </x:c>
      <x:c r="G37" s="17" t="str">
        <x:v>{
  "review_source": "deep_audit_001_060.json",
  "route_ok": true,
  "time": "5 个交易日聚合窗口正确。",
  "entity": "前 10 实体与证据一致。",
  "numeric": "累计融资净买入数值一致。",
  "aggregation": "专用聚合 API 使用正确。",
  "evidence_alignment": "核心表格对齐，但“新股资金涌入”等原因无证据。"
}</x:v>
      </x:c>
      <x:c r="H37" s="17" t="str">
        <x:v>5 个交易日聚合窗口正确。</x:v>
      </x:c>
      <x:c r="I37" s="17" t="str">
        <x:v>stock.margin</x:v>
      </x:c>
      <x:c r="J37" s="17" t="str">
        <x:v>累计融资净买入数值一致。</x:v>
      </x:c>
      <x:c r="K37" s="17" t="str">
        <x:v>前 10 实体与证据一致。；5 个交易日聚合窗口正确。</x:v>
      </x:c>
      <x:c r="L37" s="17" t="str">
        <x:v>核心表格对齐，但“新股资金涌入”等原因无证据。</x:v>
      </x:c>
      <x:c r="M37" s="17" t="str">
        <x:v>否</x:v>
      </x:c>
      <x:c r="N37" s="17" t="str">
        <x:v>近5个交易日融资净买入合计最高的前10只股票如下：
| 排名 | 股票 | 代码 | 近5日融资净买入合计 |
|:---:|:---|:---:|---:|
| 1 | **长鑫科技** | 688825.SH | **136.12 亿元** |
| 2 | 中国巨石 | 600176.SH | 5.33 亿元 |
| 3 | 永鼎股份 | 600105.SH | 3.36 亿元 |
| 4 | 国际复材 | 301526.SZ | 3.25 亿元 |
| 5 | 国瓷材料 | 300285.SZ | 2.75 亿元 |
| 6 | 精测电子 | 300567.SZ | 2.29 亿元 |
| 7 | 华泰证券 | 601688.SH | 2.14 亿元 |
| 8 | 雅克科技 | 002409.SZ | 2.06 亿元 |
| 9 | 科伦药业 | 002422.SZ | 2.01 亿元 |
| 10 | 新莱应材 | 300260.SZ | 1.99 亿元 |
**长鑫科技**以 **136.12 亿元**的融资净买入遥遥领先，远超其余个股，这与其近期新股上市后的融资资金涌入有关。其余9只股票的融资净买入集中在 **1.99~5.33 亿元**，分布相对均匀，涉及玻纤（中国巨石、国际复材）、电子材料（国瓷材料、雅克科技、新莱应材）、券商（华泰证券）和医药（科伦药业）等多个方向。</x:v>
      </x:c>
    </x:row>
    <x:row r="38" ht="64" customHeight="1">
      <x:c r="A38" s="17" t="str">
        <x:v>BUS034</x:v>
      </x:c>
      <x:c r="B38" s="17" t="str">
        <x:v>最新融券余量最高的前20只股票。</x:v>
      </x:c>
      <x:c r="C38" s="17" t="str">
        <x:v>成功</x:v>
      </x:c>
      <x:c r="D38" s="17" t="str">
        <x:v>错误</x:v>
      </x:c>
      <x:c r="E38" s="19" t="n">
        <x:v>0.9</x:v>
      </x:c>
      <x:c r="F38" s="17" t="str">
        <x:v>跨 dataview 复用交易日，而没有解析视图自身 freshness。 主要根因：dataview_freshness_resolution 聚合：未进入正确日期上的排序。 证据对齐：与相邻案例已验证的 7 月 30 日数据冲突。</x:v>
      </x:c>
      <x:c r="G38" s="17" t="str">
        <x:v>{
  "review_source": "deep_audit_001_060.json",
  "route_ok": true,
  "time": "只查 2026-07-31 空值，没有回退到该视图最新可用的 7 月 30 日。",
  "entity": "目标市场范围无问题。",
  "numeric": "把日期空窗误当成无数据。",
  "aggregation": "未进入正确日期上的排序。",
  "evidence_alignment": "与相邻案例已验证的 7 月 30 日数据冲突。"
}</x:v>
      </x:c>
      <x:c r="H38" s="17" t="str">
        <x:v>只查 2026-07-31 空值，没有回退到该视图最新可用的 7 月 30 日。</x:v>
      </x:c>
      <x:c r="I38" s="17" t="str">
        <x:v>stock.margin</x:v>
      </x:c>
      <x:c r="J38" s="17" t="str">
        <x:v>把日期空窗误当成无数据。</x:v>
      </x:c>
      <x:c r="K38" s="17" t="str">
        <x:v>目标市场范围无问题。；只查 2026-07-31 空值，没有回退到该视图最新可用的 7 月 30 日。</x:v>
      </x:c>
      <x:c r="L38" s="17" t="str">
        <x:v>与相邻案例已验证的 7 月 30 日数据冲突。</x:v>
      </x:c>
      <x:c r="M38" s="17" t="str">
        <x:v>否</x:v>
      </x:c>
      <x:c r="N38" s="17" t="str">
        <x:v>根据最新交易日（2026-07-31）的查询，数据源中未返回融券余量的记录，当前条件下无法列出融券余量最高的前20只股票。
这可能是数据源中该日两融明细数据尚未加载或不可用导致的。建议后续交易日数据更新后再查询确认。</x:v>
      </x:c>
    </x:row>
    <x:row r="39" ht="64" customHeight="1">
      <x:c r="A39" s="17" t="str">
        <x:v>BUS035</x:v>
      </x:c>
      <x:c r="B39" s="17" t="str">
        <x:v>筛选融资余额占流通市值比例超过5%的股票。</x:v>
      </x:c>
      <x:c r="C39" s="17" t="str">
        <x:v>成功</x:v>
      </x:c>
      <x:c r="D39" s="17" t="str">
        <x:v>错误</x:v>
      </x:c>
      <x:c r="E39" s="19" t="n">
        <x:v>0.9</x:v>
      </x:c>
      <x:c r="F39" s="17" t="str">
        <x:v>缺少 dataview 级最新可用日期解析。 主要根因：dataview_freshness_resolution 聚合：正确日期上实际存在多条符合记录。 证据对齐：结论被空日期结果误导。</x:v>
      </x:c>
      <x:c r="G39" s="17" t="str">
        <x:v>{
  "review_source": "deep_audit_001_060.json",
  "route_ok": true,
  "time": "仅查询 7 月 31 日，未回退到 margin 最新可用的 7 月 30 日。",
  "entity": "全市场筛选目标正确。",
  "numeric": "错误报告没有融资余额占比大于 5% 的公司。",
  "aggregation": "正确日期上实际存在多条符合记录。",
  "evidence_alignment": "结论被空日期结果误导。"
}</x:v>
      </x:c>
      <x:c r="H39" s="17" t="str">
        <x:v>仅查询 7 月 31 日，未回退到 margin 最新可用的 7 月 30 日。</x:v>
      </x:c>
      <x:c r="I39" s="17" t="str">
        <x:v>stock.margin</x:v>
      </x:c>
      <x:c r="J39" s="17" t="str">
        <x:v>错误报告没有融资余额占比大于 5% 的公司。</x:v>
      </x:c>
      <x:c r="K39" s="17" t="str">
        <x:v>全市场筛选目标正确。；仅查询 7 月 31 日，未回退到 margin 最新可用的 7 月 30 日。</x:v>
      </x:c>
      <x:c r="L39" s="17" t="str">
        <x:v>结论被空日期结果误导。</x:v>
      </x:c>
      <x:c r="M39" s="17" t="str">
        <x:v>否</x:v>
      </x:c>
      <x:c r="N39" s="17" t="str">
        <x:v>截至上一个交易日（2026-07-31），**没有融资余额占流通市值比例超过5%的股票**，查询结果为零条记录。
这个比例阈值在当前市场整体融资水平下相对较高（通常融资余额占流通市值比例在2%-4%区间较为常见，超过5%属于偏高水平），因此没有股票达到该条件是符合市场实际情况的。</x:v>
      </x:c>
    </x:row>
    <x:row r="40" ht="64" customHeight="1">
      <x:c r="A40" s="17" t="str">
        <x:v>BUS036</x:v>
      </x:c>
      <x:c r="B40" s="17" t="str">
        <x:v>最新融资偿还额最高的前20只股票。</x:v>
      </x:c>
      <x:c r="C40" s="17" t="str">
        <x:v>成功</x:v>
      </x:c>
      <x:c r="D40" s="17" t="str">
        <x:v>错误</x:v>
      </x:c>
      <x:c r="E40" s="19" t="n">
        <x:v>0.95</x:v>
      </x:c>
      <x:c r="F40" s="17" t="str">
        <x:v>多字段排序与 limit 的语义被误解。 主要根因：multi_column_order_topn_truncation 聚合：tradedate desc, financing_repay desc 加 limit=20 先按日期截断，再被误作全市场排名。 证据对齐：答案忠于错误候选集，却错误宣称市场 Top20。</x:v>
      </x:c>
      <x:c r="G40" s="17" t="str">
        <x:v>{
  "review_source": "deep_audit_001_060.json",
  "route_ok": true,
  "time": "查询包含多个日期，但未先固定最新日期。",
  "entity": "结果只覆盖证券代码靠前的截断候选。",
  "numeric": "展示值来自样本，但不是全市场 Top20。",
  "aggregation": "tradedate desc, financing_repay desc 加 limit=20 先按日期截断，再被误作全市场排名。",
  "evidence_alignment": "答案忠于错误候选集，却错误宣称市场 Top20。"
}</x:v>
      </x:c>
      <x:c r="H40" s="17" t="str">
        <x:v>查询包含多个日期，但未先固定最新日期。</x:v>
      </x:c>
      <x:c r="I40" s="17" t="str">
        <x:v>stock.margin</x:v>
      </x:c>
      <x:c r="J40" s="17" t="str">
        <x:v>展示值来自样本，但不是全市场 Top20。</x:v>
      </x:c>
      <x:c r="K40" s="17" t="str">
        <x:v>结果只覆盖证券代码靠前的截断候选。；查询包含多个日期，但未先固定最新日期。</x:v>
      </x:c>
      <x:c r="L40" s="17" t="str">
        <x:v>答案忠于错误候选集，却错误宣称市场 Top20。</x:v>
      </x:c>
      <x:c r="M40" s="17" t="str">
        <x:v>否</x:v>
      </x:c>
      <x:c r="N40" s="17" t="str">
        <x:v>2026-07-31（周五）的两融数据尚未入库，最新可用数据截至 **2026-07-30（周四）**。按融资偿还额从高到低排序，前20只股票如下：
| 排名 | 股票 | 融资偿还额 | 融资买入额 | 融资净买入 |
|:---:|:---|:---|:---|:---|
| 1 | **深科技** | **4.22亿** | 3.81亿 | -4,161万 |
| 2 | **平安银行** | **2.61亿** | 2.15亿 | -4,517万 |
| 3 | **深桑达A** | **1.60亿** | 6,643万 | -9,350万 |
| 4 | **神州数码** | **1.02亿** | 9,114万 | -1,095万 |
| 5 | **万科A** | **5,824万** | 5,439万 | -384万 |
| 6 | 中国宝安 | 2,243万 | 2,310万 | +67万 |
| 7 | 深圳能源 | 2,237万 | 1,355万 | -881万 |
| 8 | 中国天楹 | 1,933万 | 1,460万 | -473万 |
| 9 | 中集集团 | 1,751万 | 1,128万 | -622万 |
| 10 | 华联控股 | 1,728万 | 1,318万 | -410万 |
| 11 | 深振业A | 1,559万 | 1,582万 | +22万 |
| 12 | 深深房A | 1,292万 | 779万 | -513万 |
| 13 | 特力A | 1,243万 | 2,595万 | +1,352万 |
| 14 | 京基智农 | 1,180万 | 4,619万 | +3,439万 |
| 15 | 大悦城 | 831万 | 781万 | -49万 |
| 16 | 南玻A | 789万 | 801万 | +11万 |
| 17 | 国药一致 | 636万 | 405万 | -231万 |
| 18 | 富奥股份 | 526万 | 355万 | -170万 |
| 19 | 神州高铁 | 507万 | 452万 | -55万 |
| 20 | 中洲控股 | 374万 | 517万 | +144万 |
**要点：** 深科技以 **4.22亿** 融资偿还额居首，同时融资买入额也达3.81亿，整体融资净偿还4,161万；平安银行以2.61亿排在第二，净偿还4,517万；深桑达A虽然偿还额1.60亿排名第三，但融资买入仅6,643万，净偿还高达9,350万，是前20中融资净流出最大的个股。前20中多数呈融资净偿还状态，仅中国宝安、深振业A、特力A、京基智农、南玻A和中洲控股为小额净买入。</x:v>
      </x:c>
    </x:row>
    <x:row r="41" ht="64" customHeight="1">
      <x:c r="A41" s="17" t="str">
        <x:v>BUS037</x:v>
      </x:c>
      <x:c r="B41" s="17" t="str">
        <x:v>查询贵州茅台最新一期股东户数和截止日期。</x:v>
      </x:c>
      <x:c r="C41" s="17" t="str">
        <x:v>成功</x:v>
      </x:c>
      <x:c r="D41" s="17" t="str">
        <x:v>正确</x:v>
      </x:c>
      <x:c r="E41" s="19" t="n">
        <x:v>0.95</x:v>
      </x:c>
      <x:c r="F41" s="17" t="str">
        <x:v>结果正确但单次简单查询耗时 60 秒。 主要根因：none 聚合：不涉及复杂聚合。 证据对齐：回答与完整结果一致。</x:v>
      </x:c>
      <x:c r="G41" s="17" t="str">
        <x:v>{
  "review_source": "deep_audit_001_060.json",
  "route_ok": true,
  "time": "最新报告期 2026-03-31 正确。",
  "entity": "贵州茅台正确。",
  "numeric": "股东户数 243159 与证据一致。",
  "aggregation": "不涉及复杂聚合。",
  "evidence_alignment": "回答与完整结果一致。"
}</x:v>
      </x:c>
      <x:c r="H41" s="17" t="str">
        <x:v>最新报告期 2026-03-31 正确。</x:v>
      </x:c>
      <x:c r="I41" s="17" t="str">
        <x:v>stock.shareholder</x:v>
      </x:c>
      <x:c r="J41" s="17" t="str">
        <x:v>股东户数 243159 与证据一致。</x:v>
      </x:c>
      <x:c r="K41" s="17" t="str">
        <x:v>贵州茅台正确。；最新报告期 2026-03-31 正确。</x:v>
      </x:c>
      <x:c r="L41" s="17" t="str">
        <x:v>回答与完整结果一致。</x:v>
      </x:c>
      <x:c r="M41" s="17" t="str">
        <x:v>否</x:v>
      </x:c>
      <x:c r="N41" s="17" t="str">
        <x:v>贵州茅台最新一期披露的股东户数为 **243,159 户**，截止日期为 **2026‑03‑31**（2026 年一季报），该数据于 2026‑04‑25 公告。</x:v>
      </x:c>
    </x:row>
    <x:row r="42" ht="64" customHeight="1">
      <x:c r="A42" s="17" t="str">
        <x:v>BUS038</x:v>
      </x:c>
      <x:c r="B42" s="17" t="str">
        <x:v>查询宁德时代最新前十大流通股东名称、持股数量和持股比例。</x:v>
      </x:c>
      <x:c r="C42" s="17" t="str">
        <x:v>成功</x:v>
      </x:c>
      <x:c r="D42" s="17" t="str">
        <x:v>正确</x:v>
      </x:c>
      <x:c r="E42" s="19" t="n">
        <x:v>1</x:v>
      </x:c>
      <x:c r="F42" s="17" t="str">
        <x:v>结果正确但耗时偏高。 主要根因：none 聚合：模型对完整 10 条按 rank 排序合理。 证据对齐：核心表格正确；控制权评论不影响结论。</x:v>
      </x:c>
      <x:c r="G42" s="17" t="str">
        <x:v>{
  "review_source": "deep_audit_001_060.json",
  "route_ok": true,
  "time": "10 条均来自同一最新报告期。",
  "entity": "宁德时代前十大流通股东正确。",
  "numeric": "持股数量和比例与证据一致。",
  "aggregation": "模型对完整 10 条按 rank 排序合理。",
  "evidence_alignment": "核心表格正确；控制权评论不影响结论。"
}</x:v>
      </x:c>
      <x:c r="H42" s="17" t="str">
        <x:v>10 条均来自同一最新报告期。</x:v>
      </x:c>
      <x:c r="I42" s="17" t="str">
        <x:v>stock.shareholder</x:v>
      </x:c>
      <x:c r="J42" s="17" t="str">
        <x:v>持股数量和比例与证据一致。</x:v>
      </x:c>
      <x:c r="K42" s="17" t="str">
        <x:v>宁德时代前十大流通股东正确。；10 条均来自同一最新报告期。</x:v>
      </x:c>
      <x:c r="L42" s="17" t="str">
        <x:v>核心表格正确；控制权评论不影响结论。</x:v>
      </x:c>
      <x:c r="M42" s="17" t="str">
        <x:v>否</x:v>
      </x:c>
      <x:c r="N42" s="17" t="str">
        <x:v>宁德时代最新一期（截止 2026-07-24）前十大流通股东明细如下：
| 排名 | 股东名称 | 持股数量（股） | 持股比例（%） |
|:---:|:---|--:|--:|
| 1 | 厦门瑞庭投资有限公司 | 10.20亿 | 22.04 |
| 2 | 香港中央结算有限公司 | 8.81亿 | 19.05 |
| 3 | 黄世霖 | 4.20亿 | 9.09 |
| 4 | 宁波联合创新新能源投资管理合伙企业(有限合伙) | 2.26亿 | 4.89 |
| 5 | HKSCC NOMINEES LIMITED | 2.18亿 | 4.72 |
| 6 | 李平 | 4,936.5万 | 1.07 |
| 7 | 富泰华工业(深圳)有限公司 | 2,870.7万 | 0.62 |
| 8 | 宁德时代回购专用证券账户 | 2,831.9万 | 0.61 |
| 9 | 易方达创业板ETF | 2,510.5万 | 0.54 |
| 10 | 北京华鼎新动力股权投资基金(有限合伙) | 2,389.3万 | 0.52 |
**要点：** 前两大股东——厦门瑞庭投资（实际控制人曾毓群控制）与香港中央结算（北向资金托管通道）合计持股超 **41%**；创始人黄世霖以 9.09% 位列第三；宁德时代回购专户以 2,832 万股排在第八位，体现了公司近期的回购力度。</x:v>
      </x:c>
    </x:row>
    <x:row r="43" ht="64" customHeight="1">
      <x:c r="A43" s="17" t="str">
        <x:v>BUS039</x:v>
      </x:c>
      <x:c r="B43" s="17" t="str">
        <x:v>筛选最新股东户数最多的前20家公司。</x:v>
      </x:c>
      <x:c r="C43" s="17" t="str">
        <x:v>成功</x:v>
      </x:c>
      <x:c r="D43" s="17" t="str">
        <x:v>错误</x:v>
      </x:c>
      <x:c r="E43" s="19" t="n">
        <x:v>1</x:v>
      </x:c>
      <x:c r="F43" s="17" t="str">
        <x:v>group-wise latest 缺口叠加候选截断，且耗时 146 秒。 主要根因：groupwise_latest_query_gap 聚合：未实现“每家公司最新一条”后再做全市场 Top20。 证据对齐：答案与截断样本一致，但与问题要求的全集排名不一致。</x:v>
      </x:c>
      <x:c r="G43" s="17" t="str">
        <x:v>{
  "review_source": "deep_audit_001_060.json",
  "route_ok": true,
  "time": "混合报告期后按 end_date desc 截取候选。",
  "entity": "只从 20 条近期记录去重，遗漏神州数码等高户数公司。",
  "numeric": "声称仅 17 家且排名不完整。",
  "aggregation": "未实现“每家公司最新一条”后再做全市场 Top20。",
  "evidence_alignment": "答案与截断样本一致，但与问题要求的全集排名不一致。"
}</x:v>
      </x:c>
      <x:c r="H43" s="17" t="str">
        <x:v>混合报告期后按 end_date desc 截取候选。</x:v>
      </x:c>
      <x:c r="I43" s="17" t="str">
        <x:v>stock.shareholder</x:v>
      </x:c>
      <x:c r="J43" s="17" t="str">
        <x:v>声称仅 17 家且排名不完整。</x:v>
      </x:c>
      <x:c r="K43" s="17" t="str">
        <x:v>只从 20 条近期记录去重，遗漏神州数码等高户数公司。；混合报告期后按 end_date desc 截取候选。</x:v>
      </x:c>
      <x:c r="L43" s="17" t="str">
        <x:v>答案与截断样本一致，但与问题要求的全集排名不一致。</x:v>
      </x:c>
      <x:c r="M43" s="17" t="str">
        <x:v>否</x:v>
      </x:c>
      <x:c r="N43" s="17" t="str">
        <x:v>好的，我来梳理结果。由于数据中存在同一公司多条记录（不同披露期），我去重后按**各公司最新一期**的股东户数降序排列，整理如下：
---
**股东户数最多的前20家公司（2026年最新披露）**
| 排名 | 代码 | 名称 | 截止日期 | 股东户数（户） |
|:---:|:---:|:---:|:---:|:---:|
| 1 | 688825.SH | **长鑫科技** | 2026-07-27 | **3,456,664** |
| 2 | 000858.SZ | **五粮液** | 2026-07-26 | **600,000** |
| 3 | 300699.SZ | **光威复材** | 2026-07-31 | **93,866** |
| 4 | 600572.SH | **康恩贝** | 2026-07-20 | **88,939** |
| 5 | 001257.SZ | **盛龙股份** | 2026-07-20 | **68,502** |
| 6 | 300674.SZ | **宇信科技** | 2026-07-20 | **62,981** |
| 7 | 300397.SZ | **天和防务** | 2026-07-31 | **52,121** |
| 8 | 000523.SZ | **红棉股份** | 2026-07-21 | **45,810** |
| 9 | 300777.SZ | **中简科技** | 2026-07-31 | **44,407** |
| 10 | 688806.SH | **泰诺麦博** | 2026-07-21 | **43,772** |
| 11 | 002906.SZ | **华阳集团** | 2026-07-20 | **37,728** |
| 12 | 301677.SZ | **欣兴工具** | 2026-07-30 | **30,353** |
| 13 | 600971.SH | **恒源煤电** | 2026-07-30 | **28,350** |
| 14 | 000702.SZ | **正虹科技** | 2026-07-20 | **26,163** |
| 15 | 300765.SZ | **石药创新** | 2026-07-20 | **25,432** |
| 16 | 001301.SZ | **尚太科技** | 2026-07-20 | **18,813** |
| 17 | 603231.SH | **索宝蛋白** | 2026-07-30 | **15,566** |
**数据说明：**
- 以2026年最新披露的股东户数为准，取各公司其最新一期数据，按户数降序排列。
- **长鑫科技**以约 **345.7万户** 遥遥领先，也是唯一突破百万户的公司；**五粮液**以 **60万户** 位居第二，其余公司均在10万户以下。
- 当前数据源覆盖的2026年披露记录中，去重后共17家公司的股东户数数据可查，未满20家。部分大盘股（如中国电信、三峡能源等）的股东户数历史数据更高，但最新披露期不在2026年内，故未包含在内。</x:v>
      </x:c>
    </x:row>
    <x:row r="44" ht="64" customHeight="1">
      <x:c r="A44" s="17" t="str">
        <x:v>BUS040</x:v>
      </x:c>
      <x:c r="B44" s="17" t="str">
        <x:v>查询中央汇金持有的上市公司、持股比例和报告期。</x:v>
      </x:c>
      <x:c r="C44" s="17" t="str">
        <x:v>成功</x:v>
      </x:c>
      <x:c r="D44" s="17" t="str">
        <x:v>部分正确</x:v>
      </x:c>
      <x:c r="E44" s="19" t="n">
        <x:v>0.95</x:v>
      </x:c>
      <x:c r="F44" s="17" t="str">
        <x:v>limit=100 完整性不足，且输出遗漏报告期字段。 主要根因：result_pagination_cap 聚合：未分页且未为每家公司稳定选最新期。 证据对齐：核心示例来自证据，表格却缺用户要求的报告期。</x:v>
      </x:c>
      <x:c r="G44" s="17" t="str">
        <x:v>{
  "review_source": "deep_audit_001_060.json",
  "route_ok": true,
  "time": "记录跨多个报告期。",
  "entity": "返回 100 条记录、约 88 个唯一公司，示例实体可核对。",
  "numeric": "示例持股比例基本一致，但总量只能视作下限。",
  "aggregation": "未分页且未为每家公司稳定选最新期。",
  "evidence_alignment": "核心示例来自证据，表格却缺用户要求的报告期。"
}</x:v>
      </x:c>
      <x:c r="H44" s="17" t="str">
        <x:v>记录跨多个报告期。</x:v>
      </x:c>
      <x:c r="I44" s="17" t="str">
        <x:v>stock.shareholder</x:v>
      </x:c>
      <x:c r="J44" s="17" t="str">
        <x:v>示例持股比例基本一致，但总量只能视作下限。</x:v>
      </x:c>
      <x:c r="K44" s="17" t="str">
        <x:v>返回 100 条记录、约 88 个唯一公司，示例实体可核对。；记录跨多个报告期。</x:v>
      </x:c>
      <x:c r="L44" s="17" t="str">
        <x:v>核心示例来自证据，表格却缺用户要求的报告期。</x:v>
      </x:c>
      <x:c r="M44" s="17" t="str">
        <x:v>否</x:v>
      </x:c>
      <x:c r="N44" s="17" t="str">
        <x:v>查询到中央汇金作为前十大股东（或前十大流通股东）持有的上市公司，共计涉及约 **80余家公司**，最新报告期主要为 **2026年一季报（2026-03-31）**，部分为近期公告更新。中央汇金主要通过两个主体持股：
---
### 一、中央汇金投资有限责任公司（大比例控股）
| 上市公司 | 持股比例 | 股东排名 | 股份数量 |
|:--|:--:|:--:|:--:|
| **中国银行** (601988.SH) | **58.59%** | 第1大股东 | 188.79亿股 |
| **建设银行** (601939.SH) | **54.61%** | 第1大股东 | 142.86亿股 |
| **农业银行** (601288.SH) | **40.14%** | 第1大股东 | 1,404.89亿股 |
| **中金公司** (601995.SH) | **40.11%** | 第1大股东 | 19.36亿股 |
| **工商银行** (601398.SH) | **34.79%** | 第1大股东 | 1,240.05亿股 |
| **新华保险** (601336.SH) | **31.34%** | 第1大股东 | 9.78亿股 |
| **中信建投** (601066.SH) | **30.76%** | 第2大股东 | 23.86亿股 |
| **申万宏源** (000166.SZ) | **20.05%** | 第2大股东 | 5.02亿股 |
这是中央汇金作为国家金融稳定平台的核心持股，以**国有大行和头部券商**为主，均为控股或重要股东身份。
---
### 二、中央汇金资产管理有限责任公司（少数持股、分散配置）
该主体持股比例多在 **0.5%–3.3%** 之间，属于前十大股东的财务性持股，代表性公司包括：
| 上市公司 | 持股比例 | 排名 |
|:--|:--:|:--:|
| 软控股份 | 3.25% | 第2 |
| 康缘药业 | 3.16% | 第3/第4 |
| 现代投资 | 3.11% | 第4 |
| **中国平安** | **2.60%** | 第5 |
| 永安药业 | 2.58% | 第3 |
| 鲁泰A | 2.43% | 第3 |
| 兰生股份 | 2.42% | 第3 |
| 长江传媒 | 2.40% | 第3 |
| 华发股份 | 2.36% | 第3 |
| 阳光照明 | 2.26% | 第4 |
| 友阿股份 | 2.21% | 第2 |
| 歌华有线 | 2.15% | 第3 |
| 中国医药 | 2.04% | 第4 |
| 浦东建设 | 2.04% | 第3 |
此外还持有**美的集团、五粮液、海螺水泥、中国建筑、中国神华、中国石油、中国石化、宝钢股份、上汽集团、万科A、立讯精密、隆基绿能、泸州老窖、云南白药、国电南瑞、大秦铁路、中国中车、中国中铁、中国铁建、中国电建、中国交建、中国能建、华电国际**等一大批龙头公司，持股比例多在 **0.5%–1.5%** 之间。
---
**报告期说明**：绝大多数数据以 **2026年一季报（2026-03-31）** 为截止日；美的集团、海螺水泥、ST文峰等少数公司已有更晚的公告（2026年4–5月），但未标注具体报告期。</x:v>
      </x:c>
    </x:row>
    <x:row r="45" ht="64" customHeight="1">
      <x:c r="A45" s="17" t="str">
        <x:v>BUS041</x:v>
      </x:c>
      <x:c r="B45" s="17" t="str">
        <x:v>筛选最新持股比例超过5%的股东记录。</x:v>
      </x:c>
      <x:c r="C45" s="17" t="str">
        <x:v>成功</x:v>
      </x:c>
      <x:c r="D45" s="17" t="str">
        <x:v>错误</x:v>
      </x:c>
      <x:c r="E45" s="19" t="n">
        <x:v>0.8</x:v>
      </x:c>
      <x:c r="F45" s="17" t="str">
        <x:v>进入金融路由后仍进行了不必要的范围澄清。 主要根因：unnecessary_scope_clarification 聚合：未执行可支持的全市场持股比例筛选。 证据对齐：只有目录读取，没有业务证据。</x:v>
      </x:c>
      <x:c r="G45" s="17" t="str">
        <x:v>{
  "review_source": "deep_audit_001_060.json",
  "route_ok": true,
  "time": "无需用户补充时间即可查询最新报告期。",
  "entity": "问题是明确的全市场筛选，却要求用户先指定股票。",
  "numeric": "无结果。",
  "aggregation": "未执行可支持的全市场持股比例筛选。",
  "evidence_alignment": "只有目录读取，没有业务证据。"
}</x:v>
      </x:c>
      <x:c r="H45" s="17" t="str">
        <x:v>无需用户补充时间即可查询最新报告期。</x:v>
      </x:c>
      <x:c r="I45" s="17" t="str">
        <x:v>stock.shareholder</x:v>
      </x:c>
      <x:c r="J45" s="17" t="str">
        <x:v>无结果。</x:v>
      </x:c>
      <x:c r="K45" s="17" t="str">
        <x:v>问题是明确的全市场筛选，却要求用户先指定股票。；无需用户补充时间即可查询最新报告期。</x:v>
      </x:c>
      <x:c r="L45" s="17" t="str">
        <x:v>只有目录读取，没有业务证据。</x:v>
      </x:c>
      <x:c r="M45" s="17" t="str">
        <x:v>否</x:v>
      </x:c>
      <x:c r="N45" s="17" t="str">
        <x:v>您想筛选持股比例超过5%的股东记录，但还需要确认一下查询范围——**是针对哪只股票（或哪些股票）？** 当前会话中没有指定具体的股票代码，而股东明细数据需要按个股查询。
请告诉我您关注的是哪只股票（或哪些股票），我来帮您查询最新一期中持股比例超过5%的股东名单。</x:v>
      </x:c>
    </x:row>
    <x:row r="46" ht="64" customHeight="1">
      <x:c r="A46" s="17" t="str">
        <x:v>BUS042</x:v>
      </x:c>
      <x:c r="B46" s="17" t="str">
        <x:v>查询万科A最新前十大股东及其股份性质。</x:v>
      </x:c>
      <x:c r="C46" s="17" t="str">
        <x:v>成功</x:v>
      </x:c>
      <x:c r="D46" s="17" t="str">
        <x:v>正确</x:v>
      </x:c>
      <x:c r="E46" s="19" t="n">
        <x:v>1</x:v>
      </x:c>
      <x:c r="F46" s="17" t="str">
        <x:v>结果正确但耗时 66 秒。 主要根因：none 聚合：对完整 10 条求和正确。 证据对齐：表格和汇总均对齐。</x:v>
      </x:c>
      <x:c r="G46" s="17" t="str">
        <x:v>{
  "review_source": "deep_audit_001_060.json",
  "route_ok": true,
  "time": "最新报告期口径正确。",
  "entity": "万科 A 前十大股东正确。",
  "numeric": "合计持股比例 50.96% 与明细计算一致。",
  "aggregation": "对完整 10 条求和正确。",
  "evidence_alignment": "表格和汇总均对齐。"
}</x:v>
      </x:c>
      <x:c r="H46" s="17" t="str">
        <x:v>最新报告期口径正确。</x:v>
      </x:c>
      <x:c r="I46" s="17" t="str">
        <x:v>stock.shareholder</x:v>
      </x:c>
      <x:c r="J46" s="17" t="str">
        <x:v>合计持股比例 50.96% 与明细计算一致。</x:v>
      </x:c>
      <x:c r="K46" s="17" t="str">
        <x:v>万科 A 前十大股东正确。；最新报告期口径正确。</x:v>
      </x:c>
      <x:c r="L46" s="17" t="str">
        <x:v>表格和汇总均对齐。</x:v>
      </x:c>
      <x:c r="M46" s="17" t="str">
        <x:v>否</x:v>
      </x:c>
      <x:c r="N46" s="17" t="str">
        <x:v>截至 **2026年一季报（2026-03-31）**，万科A前十大股东持股及股份性质如下：
| 排名 | 股东名称 | 持股数量（股） | 持股比例 | 股份性质 |
|:---:|---|---:|---:|:---:|
| 1 | **深圳市地铁集团有限公司** | 32.43亿 | **27.18%** | 流通A股 |
| 2 | HKSCC NOMINEES LIMITED | 22.06亿 | 18.49% | 流通H股 |
| 3 | 中央汇金资产管理有限责任公司 | 1.85亿 | 1.55% | 流通A股 |
| 4 | 香港中央结算有限公司 | 1.47亿 | 1.23% | 流通A股 |
| 5 | 南方中证全指房地产ETF | 8,200万 | 0.69% | 流通A股 |
| 6 | 招商沪深300地产等权重指数分级 | 6,056万 | 0.51% | 流通A股 |
| 7 | 华泰柏瑞沪深300ETF | 5,479万 | 0.46% | 流通A股 |
| 8 | 易方达沪深300ETF | 3,807万 | 0.32% | 流通A股 |
| 9 | **卢毅**（个人） | 3,300万 | 0.28% | 流通A股 |
| 10 | 武汉盛隆创业投资有限公司 | 3,035万 | 0.25% | 流通A股 |
**要点：**
- **深铁集团**持股27.18%，为第一大股东，股份性质为流通A股；
- **HKSCC NOMINEES**（为H股股东名义持有）持股18.49%，为第二大股东，股份性质为流通H股；
- 第3–8名均为机构投资者，中央汇金持股1.55%居第三；
- 第9名卢毅为个人股东（自然人），持股0.28%，是前十中唯一的自然人股东；
- 前十股东合计持股约 **50.96%**，其中流通A股占比约32.47%，流通H股占比约18.49%。</x:v>
      </x:c>
    </x:row>
    <x:row r="47" ht="64" customHeight="1">
      <x:c r="A47" s="17" t="str">
        <x:v>BUS043</x:v>
      </x:c>
      <x:c r="B47" s="17" t="str">
        <x:v>查询万科A最新股权质押比例和累计质押股数。</x:v>
      </x:c>
      <x:c r="C47" s="17" t="str">
        <x:v>成功</x:v>
      </x:c>
      <x:c r="D47" s="17" t="str">
        <x:v>部分正确</x:v>
      </x:c>
      <x:c r="E47" s="19" t="n">
        <x:v>0.95</x:v>
      </x:c>
      <x:c r="F47" s="17" t="str">
        <x:v>用外部假设替代空的累计质押股数字段。 主要根因：final_renderer_unsupported_inference 聚合：比例字段可直接使用，股数不应在缺字段时自行估算。 证据对齐：一项核心数值对齐，一项数值超出证据。</x:v>
      </x:c>
      <x:c r="G47" s="17" t="str">
        <x:v>{
  "review_source": "deep_audit_001_060.json",
  "route_ok": true,
  "time": "最新可用质押快照口径合理。",
  "entity": "目标股票正确。",
  "numeric": "质押比例 1.23% 有证据；约 1.46 亿股是用未查询总股本反推。",
  "aggregation": "比例字段可直接使用，股数不应在缺字段时自行估算。",
  "evidence_alignment": "一项核心数值对齐，一项数值超出证据。"
}</x:v>
      </x:c>
      <x:c r="H47" s="17" t="str">
        <x:v>最新可用质押快照口径合理。</x:v>
      </x:c>
      <x:c r="I47" s="17" t="str">
        <x:v>stock.pledge</x:v>
      </x:c>
      <x:c r="J47" s="17" t="str">
        <x:v>质押比例 1.23% 有证据；约 1.46 亿股是用未查询总股本反推。</x:v>
      </x:c>
      <x:c r="K47" s="17" t="str">
        <x:v>目标股票正确。；最新可用质押快照口径合理。</x:v>
      </x:c>
      <x:c r="L47" s="17" t="str">
        <x:v>一项核心数值对齐，一项数值超出证据。</x:v>
      </x:c>
      <x:c r="M47" s="17" t="str">
        <x:v>否</x:v>
      </x:c>
      <x:c r="N47" s="17" t="str">
        <x:v>截至最新披露日（2024-04-30），万科A的股权质押比例为 **1.23%**，处于较低水平。
累计质押股数方面，当前数据源未提供该字段的具体数值，无法直接展示。不过从1.23%的质押比例来看，以万科A约119亿股的总股本推算，累计质押股数大约在1.46亿股左右，整体质押规模不大。</x:v>
      </x:c>
    </x:row>
    <x:row r="48" ht="64" customHeight="1">
      <x:c r="A48" s="17" t="str">
        <x:v>BUS044</x:v>
      </x:c>
      <x:c r="B48" s="17" t="str">
        <x:v>最新公司累计质押比例最高的前20只股票。</x:v>
      </x:c>
      <x:c r="C48" s="17" t="str">
        <x:v>成功</x:v>
      </x:c>
      <x:c r="D48" s="17" t="str">
        <x:v>证据不足</x:v>
      </x:c>
      <x:c r="E48" s="19" t="n">
        <x:v>0.95</x:v>
      </x:c>
      <x:c r="F48" s="17" t="str">
        <x:v>关键质押字段完整性不足。 主要根因：data_field_completeness 聚合：无法形成可靠排名。 证据对齐：答案正确拒绝给出伪排名。</x:v>
      </x:c>
      <x:c r="G48" s="17" t="str">
        <x:v>{
  "review_source": "deep_audit_001_060.json",
  "route_ok": true,
  "time": "最新记录可返回，但关键指标为空。",
  "entity": "候选实体存在。",
  "numeric": "pledge_ratio_comp 等排序字段均为空。",
  "aggregation": "无法形成可靠排名。",
  "evidence_alignment": "答案正确拒绝给出伪排名。"
}</x:v>
      </x:c>
      <x:c r="H48" s="17" t="str">
        <x:v>最新记录可返回，但关键指标为空。</x:v>
      </x:c>
      <x:c r="I48" s="17" t="str">
        <x:v>stock.pledge</x:v>
      </x:c>
      <x:c r="J48" s="17" t="str">
        <x:v>pledge_ratio_comp 等排序字段均为空。</x:v>
      </x:c>
      <x:c r="K48" s="17" t="str">
        <x:v>候选实体存在。；最新记录可返回，但关键指标为空。</x:v>
      </x:c>
      <x:c r="L48" s="17" t="str">
        <x:v>答案正确拒绝给出伪排名。</x:v>
      </x:c>
      <x:c r="M48" s="17" t="str">
        <x:v>否</x:v>
      </x:c>
      <x:c r="N48" s="17" t="str">
        <x:v>查询已返回20只股票的身份信息，但当前数据源中 **累计质押比例（`pledge_ratio_comp`）** 字段均为空，无法给出具体的比例数值和排名。
从返回的股票名单来看，最新的质押数据截止日期为 **2026-07-31**，前3只样例股票为：
| 代码 | 名称 |
|------|------|
| 000056.SZ | \*ST皇庭 |
| 000010.SZ | \*ST美丽 |
| 000050.SZ | 深天马A |
遗憾的是，由于数据源中 `pledge_ratio_comp`（占公司总股本比例）字段未提供具体数值，无法按质押比例排序并给出前20只的完整排名。建议后续通过公司公告或交易所披露的质押信息进一步核实具体比例。</x:v>
      </x:c>
    </x:row>
    <x:row r="49" ht="64" customHeight="1">
      <x:c r="A49" s="17" t="str">
        <x:v>BUS045</x:v>
      </x:c>
      <x:c r="B49" s="17" t="str">
        <x:v>查询尚未解除质押的股权质押记录。</x:v>
      </x:c>
      <x:c r="C49" s="17" t="str">
        <x:v>成功</x:v>
      </x:c>
      <x:c r="D49" s="17" t="str">
        <x:v>错误</x:v>
      </x:c>
      <x:c r="E49" s="19" t="n">
        <x:v>0.8</x:v>
      </x:c>
      <x:c r="F49" s="17" t="str">
        <x:v>不必要地向用户索要股票范围。 主要根因：unnecessary_scope_clarification 聚合：未执行接口已支持的筛选。 证据对齐：只有目录读取，没有查询证据。</x:v>
      </x:c>
      <x:c r="G49" s="17" t="str">
        <x:v>{
  "review_source": "deep_audit_001_060.json",
  "route_ok": true,
  "time": "问题已明确要求最新未解押记录。",
  "entity": "全市场范围无需先指定单股。",
  "numeric": "无结果。",
  "aggregation": "未执行接口已支持的筛选。",
  "evidence_alignment": "只有目录读取，没有查询证据。"
}</x:v>
      </x:c>
      <x:c r="H49" s="17" t="str">
        <x:v>问题已明确要求最新未解押记录。</x:v>
      </x:c>
      <x:c r="I49" s="17" t="str">
        <x:v>stock.pledge</x:v>
      </x:c>
      <x:c r="J49" s="17" t="str">
        <x:v>无结果。</x:v>
      </x:c>
      <x:c r="K49" s="17" t="str">
        <x:v>全市场范围无需先指定单股。；问题已明确要求最新未解押记录。</x:v>
      </x:c>
      <x:c r="L49" s="17" t="str">
        <x:v>只有目录读取，没有查询证据。</x:v>
      </x:c>
      <x:c r="M49" s="17" t="str">
        <x:v>否</x:v>
      </x:c>
      <x:c r="N49" s="17" t="str">
        <x:v>从目录来看，股权质押数据（`stock.pledge`）是按个股组织的，通过 `source=pledgeinfo` 可以查询质押/解押明细记录，其中 **`is_discharge`** 字段标识是否已解押。
不过，您没有指定具体的证券。请问您想查询**哪只股票**（或哪几家上市公司）的尚未解除质押的股权质押记录？</x:v>
      </x:c>
    </x:row>
    <x:row r="50" ht="64" customHeight="1">
      <x:c r="A50" s="17" t="str">
        <x:v>BUS046</x:v>
      </x:c>
      <x:c r="B50" s="17" t="str">
        <x:v>查询贵州茅台主要股东的股权质押明细。</x:v>
      </x:c>
      <x:c r="C50" s="17" t="str">
        <x:v>成功</x:v>
      </x:c>
      <x:c r="D50" s="17" t="str">
        <x:v>部分正确</x:v>
      </x:c>
      <x:c r="E50" s="19" t="n">
        <x:v>0.9</x:v>
      </x:c>
      <x:c r="F50" s="17" t="str">
        <x:v>把数据库零结果扩展成现实世界断言。 主要根因：final_renderer_unsupported_inference 聚合：不涉及复杂聚合。 证据对齐：查询证据只能说明库中无记录，不能支持“几乎从不质押”的现实结论。</x:v>
      </x:c>
      <x:c r="G50" s="17" t="str">
        <x:v>{
  "review_source": "deep_audit_001_060.json",
  "route_ok": true,
  "time": "最新查询返回零记录。",
  "entity": "贵州茅台正确。",
  "numeric": "零结果本身被正确报告。",
  "aggregation": "不涉及复杂聚合。",
  "evidence_alignment": "查询证据只能说明库中无记录，不能支持“几乎从不质押”的现实结论。"
}</x:v>
      </x:c>
      <x:c r="H50" s="17" t="str">
        <x:v>最新查询返回零记录。</x:v>
      </x:c>
      <x:c r="I50" s="17" t="str">
        <x:v>stock.pledge</x:v>
      </x:c>
      <x:c r="J50" s="17" t="str">
        <x:v>零结果本身被正确报告。</x:v>
      </x:c>
      <x:c r="K50" s="17" t="str">
        <x:v>贵州茅台正确。；最新查询返回零记录。</x:v>
      </x:c>
      <x:c r="L50" s="17" t="str">
        <x:v>查询证据只能说明库中无记录，不能支持“几乎从不质押”的现实结论。</x:v>
      </x:c>
      <x:c r="M50" s="17" t="str">
        <x:v>否</x:v>
      </x:c>
      <x:c r="N50" s="17" t="str">
        <x:v>根据查询结果，**当前数据源中未查到贵州茅台（600519.SH）主要股东的股权质押明细记录**，具体包括：
- **质押/解押明细**：无任何质押或解押事件记录
- **股东累计质押与冻结汇总**：无股东累计质押或冻结数据
这一结果与贵州茅台作为A股核心资产的实际情况相符——茅台长期股权结构稳定，大股东（如贵州茅台集团）历史上极少进行股权质押融资，几乎没有公开的质押信息披露。</x:v>
      </x:c>
    </x:row>
    <x:row r="51" ht="64" customHeight="1">
      <x:c r="A51" s="17" t="str">
        <x:v>BUS047</x:v>
      </x:c>
      <x:c r="B51" s="17" t="str">
        <x:v>筛选最新冻结股数最高的前20家公司。</x:v>
      </x:c>
      <x:c r="C51" s="17" t="str">
        <x:v>成功</x:v>
      </x:c>
      <x:c r="D51" s="17" t="str">
        <x:v>错误</x:v>
      </x:c>
      <x:c r="E51" s="19" t="n">
        <x:v>0.85</x:v>
      </x:c>
      <x:c r="F51" s="17" t="str">
        <x:v>group-wise latest 与分页缺口造成错误排名，耗时 107 秒。 主要根因：groupwise_latest_query_gap 聚合：先 limit 再按公司去重，且客户端排序不稳定。 证据对齐：部分数值来自证据，但排名和完整性错误。</x:v>
      </x:c>
      <x:c r="G51" s="17" t="str">
        <x:v>{
  "review_source": "deep_audit_001_060.json",
  "route_ok": true,
  "time": "从历史冻结记录和 2025 年后记录中截取候选。",
  "entity": "去重后只剩 11 家，不能代表全市场最新 Top20。",
  "numeric": "排名甚至将 97.3 亿股实体放在更小数值之后。",
  "aggregation": "先 limit 再按公司去重，且客户端排序不稳定。",
  "evidence_alignment": "部分数值来自证据，但排名和完整性错误。"
}</x:v>
      </x:c>
      <x:c r="H51" s="17" t="str">
        <x:v>从历史冻结记录和 2025 年后记录中截取候选。</x:v>
      </x:c>
      <x:c r="I51" s="17" t="str">
        <x:v>stock.pledge</x:v>
      </x:c>
      <x:c r="J51" s="17" t="str">
        <x:v>排名甚至将 97.3 亿股实体放在更小数值之后。</x:v>
      </x:c>
      <x:c r="K51" s="17" t="str">
        <x:v>去重后只剩 11 家，不能代表全市场最新 Top20。；从历史冻结记录和 2025 年后记录中截取候选。</x:v>
      </x:c>
      <x:c r="L51" s="17" t="str">
        <x:v>部分数值来自证据，但排名和完整性错误。</x:v>
      </x:c>
      <x:c r="M51" s="17" t="str">
        <x:v>否</x:v>
      </x:c>
      <x:c r="N51" s="17" t="str">
        <x:v>以下是最新一期（2025年以来）前十大股东中累计冻结股数最高的前20家公司数据，已按每家公司最新记录展示：
| 排名 | 公司 | 冻结股东 | 累计冻结股数 | 数据截止日 |
|:--:|:--|:--|--:|:--:|
| 1 | **\*ST三房** | 三房巷集团有限公司 | **29.67亿股** | 2026-03-31 |
| 2 | **\*ST泛海** | 中国泛海控股集团有限公司 | **28.81亿股** | 2025-12-31 |
| 3 | **ST中南** | 中南城市建设投资有限公司 | **12.74亿股** | 2025-12-31 |
| 4 | **ST亿利** | 亿利资源集团有限公司 | **12.19亿股** | 2025-12-31 |
| 5 | **三安光电** | 厦门三安电子有限公司 | **12.14亿股** | 2026-03-31 |
| 6 | **民生银行** | 东方集团股份有限公司 | **11.85亿股** | 2025-09-30 |
| 7 | **新光退** | 新光控股集团有限公司 | **11.34亿股** | 2025-12-31 |
| 8 | **ST迪马** | 重庆东银控股集团有限公司 | **8.86亿股** | 2025-12-31 |
| 9 | **\*ST中天** | 金世旗国际控股股份有限公司 | **8.65亿股** | 2025-12-31 |
| 10 | **退市美都** | 闻掌华 | **9.73亿股** | 2025-12-31 |
| 11 | **\*ST利源** | 倍有智能科技(长春)有限公司 | **8.00亿股** | 2025-12-31 |
**几点说明：**
- 数据来源为个股前十大股东（`holdertop`）明细，反映的是**控股股东或重要股东**个人名下的累计冻结股份，而非上市公司全部冻结股份的总和。
- **\*ST三房**（29.67亿股）和 **\*ST泛海**（28.81亿股）的冻结规模遥遥领先，均属风险警示公司，其控股股东所持股份已几乎全部冻结。
- 其余公司的股东冻结规模在 8亿~13亿股之间，多为地产、能源类 ST 公司，与经营困境和债务问题高度相关。
- 三安光电是其中唯一非 ST 公司，控股股东所持 12.14亿股被冻结，值得关注其后续进展。</x:v>
      </x:c>
    </x:row>
    <x:row r="52" ht="64" customHeight="1">
      <x:c r="A52" s="17" t="str">
        <x:v>BUS048</x:v>
      </x:c>
      <x:c r="B52" s="17" t="str">
        <x:v>查询质押比例超过30%的公司和质押股东。</x:v>
      </x:c>
      <x:c r="C52" s="17" t="str">
        <x:v>成功</x:v>
      </x:c>
      <x:c r="D52" s="17" t="str">
        <x:v>证据不足</x:v>
      </x:c>
      <x:c r="E52" s="19" t="n">
        <x:v>0.9</x:v>
      </x:c>
      <x:c r="F52" s="17" t="str">
        <x:v>质押数据覆盖或字段支持不足。 主要根因：history_data_coverage 聚合：不能完成排名。 证据对齐：答案正确强调零记录不等于市场不存在。</x:v>
      </x:c>
      <x:c r="G52" s="17" t="str">
        <x:v>{
  "review_source": "deep_audit_001_060.json",
  "route_ok": true,
  "time": "两个质押来源均返回零记录。",
  "entity": "市场范围查询已尝试。",
  "numeric": "无可排名数值。",
  "aggregation": "不能完成排名。",
  "evidence_alignment": "答案正确强调零记录不等于市场不存在。"
}</x:v>
      </x:c>
      <x:c r="H52" s="17" t="str">
        <x:v>两个质押来源均返回零记录。</x:v>
      </x:c>
      <x:c r="I52" s="17" t="str">
        <x:v>stock.pledge</x:v>
      </x:c>
      <x:c r="J52" s="17" t="str">
        <x:v>无可排名数值。</x:v>
      </x:c>
      <x:c r="K52" s="17" t="str">
        <x:v>市场范围查询已尝试。；两个质押来源均返回零记录。</x:v>
      </x:c>
      <x:c r="L52" s="17" t="str">
        <x:v>答案正确强调零记录不等于市场不存在。</x:v>
      </x:c>
      <x:c r="M52" s="17" t="str">
        <x:v>否</x:v>
      </x:c>
      <x:c r="N52" s="17" t="str">
        <x:v>根据当前数据源查询，未检索到质押比例超过30%的公司记录。
具体分别在两个数据来源中进行了查询：
- **质押比例汇总（pledgeratio）**：筛选 `pledge_ratio_comp &gt; 30`，返回零行
- **股东累计质押/冻结汇总（pledge_frozen）**：筛选 `pledge_ratio_comp &gt; 30`，同样返回零行
当前数据源暂未收录质押比例超过30%的公司及对应质押股东信息。这可能是因为数据覆盖范围有限，而非市场上确实不存在此类公司。如需更全面的质押数据，建议结合其他数据源或交易所公开信息进一步核实。</x:v>
      </x:c>
    </x:row>
    <x:row r="53" ht="64" customHeight="1">
      <x:c r="A53" s="17" t="str">
        <x:v>BUS049</x:v>
      </x:c>
      <x:c r="B53" s="17" t="str">
        <x:v>查询贵州茅台最近一次现金分红方案。</x:v>
      </x:c>
      <x:c r="C53" s="17" t="str">
        <x:v>成功</x:v>
      </x:c>
      <x:c r="D53" s="17" t="str">
        <x:v>正确</x:v>
      </x:c>
      <x:c r="E53" s="19" t="n">
        <x:v>0.95</x:v>
      </x:c>
      <x:c r="F53" s="17" t="str">
        <x:v>无实质问题。 主要根因：none 聚合：不涉及复杂聚合。 证据对齐：最终回答与记录一致。</x:v>
      </x:c>
      <x:c r="G53" s="17" t="str">
        <x:v>{
  "review_source": "deep_audit_001_060.json",
  "route_ok": true,
  "time": "贵州茅台最新分红记录时间正确。",
  "entity": "目标股票正确。",
  "numeric": "分红金额和日期与证据一致。",
  "aggregation": "不涉及复杂聚合。",
  "evidence_alignment": "最终回答与记录一致。"
}</x:v>
      </x:c>
      <x:c r="H53" s="17" t="str">
        <x:v>贵州茅台最新分红记录时间正确。</x:v>
      </x:c>
      <x:c r="I53" s="17" t="str">
        <x:v>stock.corporate_action</x:v>
      </x:c>
      <x:c r="J53" s="17" t="str">
        <x:v>分红金额和日期与证据一致。</x:v>
      </x:c>
      <x:c r="K53" s="17" t="str">
        <x:v>目标股票正确。；贵州茅台最新分红记录时间正确。</x:v>
      </x:c>
      <x:c r="L53" s="17" t="str">
        <x:v>最终回答与记录一致。</x:v>
      </x:c>
      <x:c r="M53" s="17" t="str">
        <x:v>否</x:v>
      </x:c>
      <x:c r="N53" s="17" t="str">
        <x:v>贵州茅台（600519.SH）最近一次现金分红方案已实施完毕，具体如下：
**2025 年度利润分配**
| 项目 | 内容 |
|------|------|
| 公告日期 | 2026-06-22 |
| 股权登记日 | 2026-06-25 |
| 除权除息日 | 2026-06-26 |
| 税前现金分红 | **28.02 元/股**（每 10 股派 280.24 元） |
| 现金分红总额 | **约 350.33 亿元** |
| 分红进度 | 已实施（无送股及转增） |
本次分红对应 2025 年度，每股派发现金红利 28.02 元，已于 6 月 26 日完成除权除息。</x:v>
      </x:c>
    </x:row>
    <x:row r="54" ht="64" customHeight="1">
      <x:c r="A54" s="17" t="str">
        <x:v>BUS050</x:v>
      </x:c>
      <x:c r="B54" s="17" t="str">
        <x:v>查询近期除权除息的股票、除权日和每股现金分红。</x:v>
      </x:c>
      <x:c r="C54" s="17" t="str">
        <x:v>成功</x:v>
      </x:c>
      <x:c r="D54" s="17" t="str">
        <x:v>部分正确</x:v>
      </x:c>
      <x:c r="E54" s="19" t="n">
        <x:v>1</x:v>
      </x:c>
      <x:c r="F54" s="17" t="str">
        <x:v>Renderer 混淆登记日和除权日。 主要根因：final_renderer_field_role_confusion 聚合：南华期货、粤高速 A 被按 record_date 和 ex_date 重复归组。 证据对齐：源数据正确，最终展示发生字段角色混淆和重复。</x:v>
      </x:c>
      <x:c r="G54" s="17" t="str">
        <x:v>{
  "review_source": "deep_audit_001_060.json",
  "route_ok": true,
  "time": "事件日期字段同时包含登记日与除权日。",
  "entity": "20 条源记录实体正确。",
  "numeric": "正文宣称 20 条，但实际渲染出 22 个条目。",
  "aggregation": "南华期货、粤高速 A 被按 record_date 和 ex_date 重复归组。",
  "evidence_alignment": "源数据正确，最终展示发生字段角色混淆和重复。"
}</x:v>
      </x:c>
      <x:c r="H54" s="17" t="str">
        <x:v>事件日期字段同时包含登记日与除权日。</x:v>
      </x:c>
      <x:c r="I54" s="17" t="str">
        <x:v>stock.corporate_action</x:v>
      </x:c>
      <x:c r="J54" s="17" t="str">
        <x:v>正文宣称 20 条，但实际渲染出 22 个条目。</x:v>
      </x:c>
      <x:c r="K54" s="17" t="str">
        <x:v>20 条源记录实体正确。；事件日期字段同时包含登记日与除权日。</x:v>
      </x:c>
      <x:c r="L54" s="17" t="str">
        <x:v>源数据正确，最终展示发生字段角色混淆和重复。</x:v>
      </x:c>
      <x:c r="M54" s="17" t="str">
        <x:v>否</x:v>
      </x:c>
      <x:c r="N54" s="17" t="str">
        <x:v>以下是近期（2026年7月1日以来）已公告分红方案的除权除息股票，共20只，按除权日降序排列：
**除权日 2026-08-10（即将除权）**
| 股票 | 每股现金分红（元） | 股权登记日 |
|------|:---:|:---:|
| 南华期货 | 0.069 | 08-07 |
| 粤高速A | 0.604 | 08-07 |
**除权日 2026-08-07**
| 股票 | 每股现金分红（元） | 股权登记日 |
|------|:---:|:---:|
| 新华保险 | **2.060** | 08-06 |
| 九号公司 | **1.239** | 08-06 |
| 海信视像 | 0.940 | 08-06 |
| 时代电气 | 0.680 | 08-06 |
| 粤高速A | 0.604 | 08-07 |
| 国投电力 | 0.508 | 08-06 |
| 广发证券 | 0.500 | 08-06 |
| 金钼股份 | 0.400 | 08-05 |
| 上汽集团 | 0.266 | 08-06 |
| 东吴证券 | 0.220 | 08-06 |
| 金风科技 | 0.200 | 08-06 |
| 青达环保 | 0.280 | 08-05 |
| 新集能源 | 0.120 | 08-06 |
| 华谊集团 | 0.110 | 08-06 |
| 泰山石油 | 0.086 | 08-06 |
| 铁建重工 | 0.084 | 08-06 |
| 南华期货 | 0.069 | 08-07 |
| 四川长虹 | 0.060 | 08-06 |
| 粤传媒 | 0.063 | 08-05 |
| 弘业期货 | 0.004 | 08-06 |
**要点：**
- 派息最慷慨的是 **新华保险**（2.06元/股）、**九号公司**（1.24元/股）和 **海信视像**（0.94元/股）。
- 本金分红较低的如弘业期货（0.004元/股）和南华期货（0.069元/股）。
- 除权日集中在 **8月6日～7日**，这两天是密集除权窗口；8月10日还有粤高速A和南华期货。若持有上述股票，登记日收盘前买入即可享有本次分红权益。</x:v>
      </x:c>
    </x:row>
    <x:row r="55" ht="64" customHeight="1">
      <x:c r="A55" s="17" t="str">
        <x:v>BUS051</x:v>
      </x:c>
      <x:c r="B55" s="17" t="str">
        <x:v>筛选现金分红总额最高的前20家公司。</x:v>
      </x:c>
      <x:c r="C55" s="17" t="str">
        <x:v>成功</x:v>
      </x:c>
      <x:c r="D55" s="17" t="str">
        <x:v>部分正确</x:v>
      </x:c>
      <x:c r="E55" s="19" t="n">
        <x:v>1</x:v>
      </x:c>
      <x:c r="F55" s="17" t="str">
        <x:v>Renderer 的类别计数错误。 主要根因：final_renderer_aggregation_error 聚合：正文说有 6 家银行，实际名单和表格有 7 家。 证据对齐：核心排名对齐，分类计数不对齐。</x:v>
      </x:c>
      <x:c r="G55" s="17" t="str">
        <x:v>{
  "review_source": "deep_audit_001_060.json",
  "route_ok": true,
  "time": "第二次查询固定 2025 年年度分红，时间口径正确。",
  "entity": "前 20 实体与证据一致。",
  "numeric": "分红排名数值正确。",
  "aggregation": "正文说有 6 家银行，实际名单和表格有 7 家。",
  "evidence_alignment": "核心排名对齐，分类计数不对齐。"
}</x:v>
      </x:c>
      <x:c r="H55" s="17" t="str">
        <x:v>第二次查询固定 2025 年年度分红，时间口径正确。</x:v>
      </x:c>
      <x:c r="I55" s="17" t="str">
        <x:v>stock.corporate_action</x:v>
      </x:c>
      <x:c r="J55" s="17" t="str">
        <x:v>分红排名数值正确。</x:v>
      </x:c>
      <x:c r="K55" s="17" t="str">
        <x:v>前 20 实体与证据一致。；第二次查询固定 2025 年年度分红，时间口径正确。</x:v>
      </x:c>
      <x:c r="L55" s="17" t="str">
        <x:v>核心排名对齐，分类计数不对齐。</x:v>
      </x:c>
      <x:c r="M55" s="17" t="str">
        <x:v>否</x:v>
      </x:c>
      <x:c r="N55" s="17" t="str">
        <x:v>以下是 **2025年年报（2025-12-31报告期）现金分红总额最高的前20家公司**，按分红金额从高到低排列：
| 排名 | 公司 | 代码 | 现金分红总额 | 每股分红（税前） |
|:---:|:---|:---:|---:|:---:|
| 1 | **工商银行** | 601398.SH | **455.4亿** | 0.169元 |
| 2 | **农业银行** | 601288.SH | **415.0亿** | 0.130元 |
| 3 | **中国石油** | 601857.SH | **404.8亿** | 0.250元 |
| 4 | **贵州茅台** | 600519.SH | **350.3亿** | 28.024元 |
| 5 | **宁德时代** | 300750.SZ | **304.5亿** | 6.957元 |
| 6 | **中国银行** | 601988.SH | **278.9亿** | 0.117元 |
| 7 | **美的集团** | 000333.SZ | **259.2亿** | 3.800元 |
| 8 | **招商银行** | 600036.SH | **206.9亿** | 1.003元 |
| 9 | **长江电力** | 600900.SH | **193.3亿** | 0.790元 |
| 10 | **中国神华** | 601088.SH | **188.6亿** | 1.030元 |
| 11 | **中国平安** | 601318.SH | **186.6亿** | 1.750元 |
| 12 | **浦发银行** | 600000.SH | **139.9亿** | 0.420元 |
| 13 | **工业富联** | 601138.SH | **129.0亿** | 0.650元 |
| 14 | **中国人寿** | 601628.SH | **128.7亿** | 0.618元 |
| 15 | **中国建筑** | 601668.SH | **112.3亿** | 0.272元 |
| 16 | **格力电器** | 000651.SZ | **111.7亿** | 2.000元 |
| 17 | **中国石化** | 600028.SH | **108.8亿** | 0.112元 |
| 18 | **兴业银行** | 601166.SH | **106.0亿** | 0.501元 |
| 19 | **五粮液** | 000858.SZ | **100.1亿** | 2.580元 |
| 20 | **邮储银行** | 601658.SH | **95.5亿** | 0.095元 |
**主要特征：**
- **银行股占据绝对主导**：前20中银行占了6家（工商银行、农业银行、中国银行、招商银行、浦发银行、兴业银行、邮储银行），且工商银行以455.4亿元高居榜首。
- **"两桶油"分红慷慨**：中国石油（404.8亿）和中国石化（108.8亿）双双上榜，中石油排名第3。
- **白酒龙头分红力度大**：贵州茅台每股分红高达28.024元，是榜单中每股分红最高的公司，总额350.3亿排第4；五粮液也以100.1亿排第19。
- **新能源龙头宁德时代**以304.5亿位列第5，体现了其强劲的盈利能力和股东回报意愿。
&gt; 数据口径：2025年年报（报告期截止日 2025-12-31）披露的现金分红方案，金额单位为人民币元。</x:v>
      </x:c>
    </x:row>
    <x:row r="56" ht="64" customHeight="1">
      <x:c r="A56" s="17" t="str">
        <x:v>BUS052</x:v>
      </x:c>
      <x:c r="B56" s="17" t="str">
        <x:v>查询未来30天有限售股解禁的股票和解禁数量。</x:v>
      </x:c>
      <x:c r="C56" s="17" t="str">
        <x:v>成功</x:v>
      </x:c>
      <x:c r="D56" s="17" t="str">
        <x:v>部分正确</x:v>
      </x:c>
      <x:c r="E56" s="19" t="n">
        <x:v>1</x:v>
      </x:c>
      <x:c r="F56" s="17" t="str">
        <x:v>最大行数限制阻断完整时间区间。 主要根因：result_pagination_cap 聚合：没有分页，不能完成完整 30 日计划表。 证据对齐：答案正确承认只覆盖到 8 月 6 日。</x:v>
      </x:c>
      <x:c r="G56" s="17" t="str">
        <x:v>{
  "review_source": "deep_audit_001_060.json",
  "route_ok": true,
  "time": "请求未来 30 日，但 limit=100 的最早事件只覆盖到 8 月 6 日。",
  "entity": "已返回事件实体可核对。",
  "numeric": "100 条是单页上限，不是 30 日总量。",
  "aggregation": "没有分页，不能完成完整 30 日计划表。",
  "evidence_alignment": "答案正确承认只覆盖到 8 月 6 日。"
}</x:v>
      </x:c>
      <x:c r="H56" s="17" t="str">
        <x:v>请求未来 30 日，但 limit=100 的最早事件只覆盖到 8 月 6 日。</x:v>
      </x:c>
      <x:c r="I56" s="17" t="str">
        <x:v>stock.corporate_action</x:v>
      </x:c>
      <x:c r="J56" s="17" t="str">
        <x:v>100 条是单页上限，不是 30 日总量。</x:v>
      </x:c>
      <x:c r="K56" s="17" t="str">
        <x:v>已返回事件实体可核对。；请求未来 30 日，但 limit=100 的最早事件只覆盖到 8 月 6 日。</x:v>
      </x:c>
      <x:c r="L56" s="17" t="str">
        <x:v>答案正确承认只覆盖到 8 月 6 日。</x:v>
      </x:c>
      <x:c r="M56" s="17" t="str">
        <x:v>否</x:v>
      </x:c>
      <x:c r="N56" s="17" t="str">
        <x:v>查询结果已返回，共涉及 **100 条限售股解禁记录**，时间跨度从 **2026-08-03 至 2026-08-06**（未来 30 天窗口内的数据）。以下是按股票汇总的概况：
---
### 主要解禁标的（按解禁日期排列）
**8月3日（周一）**
| 股票 | 代码 | 合计解禁数量 | 备注 |
|------|------|-------------|------|
| **锌业股份** | 000751.SZ | **2.06亿股** | 单一股东葫芦岛宏跃集团 |
| **浙江荣泰** | 603119.SH | **2.08亿股** | 主要为葛泰荣等个人股东 |
| **正虹科技** | 000702.SZ | **8,000万股** | 岳阳观盛投资 |
| **岱勒新材** | 300700.SZ | **7,532万股** | 湖南诚熙颐科技 |
| **步步高** | 002251.SZ | **7,000万股** | 外贸信托产品 |
| **北方国际** | 000065.SZ | **约9,006万股** | 诺德、财通基金等多家机构参与定增 |
| 楚天科技 | 300358.SZ | 356万股 | 个人股东 |
| 纬达光电/芭薇股份/曙光数创等 | 北交所 | 数百万股 | 多为小规模解禁 |
**8月4日（周二）**
| 股票 | 代码 | 合计解禁数量 | 备注 |
|------|------|-------------|------|
| **星湖科技** | 600866.SH | **4.06亿股** | 广新控股集团单一股东，规模最大 |
| **中贝通信** | 603220.SH | **约8,038万股** | 诺德、财通基金等多家定增机构 |
| **永创智能** | 603901.SH | **约2,586万股** | 多家私募及个人股东 |
**8月5日（周三）**
| 股票 | 代码 | 合计解禁数量 | 备注 |
|------|------|-------------|------|
| **科翔股份** | 300903.SZ | **约1,603万股** | 诺德基金等多家参与 |
| **北芯生命** | 688712.SH | **849万股** | 网下限售股份 |
| **奥浦迈** | 688293.SH | **332万股** | 多家创投机构 |
| 敷尔佳 | 301371.SZ | 12万股 | 个人小规模解禁 |
**8月6日（周四）**
| 股票 | 代码 | 合计解禁数量 | 备注 |
|------|------|-------------|------|
| **麦格米特** | 002851.SZ | **约2,968万股** | 易方达基金等多家机构 |
| **汉桑科技** | 301491.SZ | **约940万股** | 多家创投及战略配售 |
---
### 整体概况
- **单笔规模最大**：星湖科技（8月4日，4.06亿股，广新控股集团）；锌业股份（8月3日，2.06亿股）；浙江荣泰（8月3日，2.08亿股）
- **机构参与较密集的个股**：北方国际、中贝通信、永创智能、麦格米特、科翔股份——均为定增配售股份解禁，涉及多家基金和券商
- 其余多为首发原股东限售、网下配售限售或员工持股计划解禁，规模相对较小
&gt; ⚠️ 数据覆盖至 2026-08-06，共 100 条记录，后续日期的解禁信息在当前数据源中暂未返回。如需关注某只个股的详细解禁股东结构，可以进一步查询。</x:v>
      </x:c>
    </x:row>
    <x:row r="57" ht="64" customHeight="1">
      <x:c r="A57" s="17" t="str">
        <x:v>BUS053</x:v>
      </x:c>
      <x:c r="B57" s="17" t="str">
        <x:v>查询最近定增进展为已实施的公司、发行价格和募资金额。</x:v>
      </x:c>
      <x:c r="C57" s="17" t="str">
        <x:v>成功</x:v>
      </x:c>
      <x:c r="D57" s="17" t="str">
        <x:v>错误</x:v>
      </x:c>
      <x:c r="E57" s="19" t="n">
        <x:v>0.7</x:v>
      </x:c>
      <x:c r="F57" s="17" t="str">
        <x:v>顶层意图分发错误。 主要根因：dispatch_intent_misclassification 聚合：未执行。 证据对齐：明确公司行为问题被误路由到目录浏览。</x:v>
      </x:c>
      <x:c r="G57" s="17" t="str">
        <x:v>{
  "review_source": "deep_audit_001_060.json",
  "route_ok": false,
  "time": "未进入事件查询。",
  "entity": "未执行全市场范围。",
  "numeric": "无结果。",
  "aggregation": "未执行。",
  "evidence_alignment": "明确公司行为问题被误路由到目录浏览。"
}</x:v>
      </x:c>
      <x:c r="H57" s="17" t="str">
        <x:v>未进入事件查询。</x:v>
      </x:c>
      <x:c r="I57" s="17" t="str">
        <x:v>stock.corporate_action</x:v>
      </x:c>
      <x:c r="J57" s="17" t="str">
        <x:v>无结果。</x:v>
      </x:c>
      <x:c r="K57" s="17" t="str">
        <x:v>未执行全市场范围。；未进入事件查询。</x:v>
      </x:c>
      <x:c r="L57" s="17" t="str">
        <x:v>明确公司行为问题被误路由到目录浏览。</x:v>
      </x:c>
      <x:c r="M57" s="17" t="str">
        <x:v>是</x:v>
      </x:c>
      <x:c r="N57"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"clarify_68d03177096e49b5", "slot_hints": {"task_focus": "请说明你更想做个股深度分析，还是热点/概念追踪。"}, "context_summary": {"task_type": "", "code": "", "name": ""}}</x:v>
      </x:c>
    </x:row>
    <x:row r="58" ht="64" customHeight="1">
      <x:c r="A58" s="17" t="str">
        <x:v>BUS054</x:v>
      </x:c>
      <x:c r="B58" s="17" t="str">
        <x:v>查询配股比例最高的股票及配股价格。</x:v>
      </x:c>
      <x:c r="C58" s="17" t="str">
        <x:v>成功</x:v>
      </x:c>
      <x:c r="D58" s="17" t="str">
        <x:v>正确</x:v>
      </x:c>
      <x:c r="E58" s="19" t="n">
        <x:v>0.95</x:v>
      </x:c>
      <x:c r="F58" s="17" t="str">
        <x:v>无实质问题。 主要根因：none 聚合：同值并列与去重处理合理。 证据对齐：核心结论对齐完整结果。</x:v>
      </x:c>
      <x:c r="G58" s="17" t="str">
        <x:v>{
  "review_source": "deep_audit_001_060.json",
  "route_ok": true,
  "time": "使用最新可用配股记录。",
  "entity": "天下秀和 ST 平能重复源记录被合理去重。",
  "numeric": "最高配股比例 0.7 与证据一致。",
  "aggregation": "同值并列与去重处理合理。",
  "evidence_alignment": "核心结论对齐完整结果。"
}</x:v>
      </x:c>
      <x:c r="H58" s="17" t="str">
        <x:v>使用最新可用配股记录。</x:v>
      </x:c>
      <x:c r="I58" s="17" t="str">
        <x:v>stock.corporate_action</x:v>
      </x:c>
      <x:c r="J58" s="17" t="str">
        <x:v>最高配股比例 0.7 与证据一致。</x:v>
      </x:c>
      <x:c r="K58" s="17" t="str">
        <x:v>天下秀和 ST 平能重复源记录被合理去重。；使用最新可用配股记录。</x:v>
      </x:c>
      <x:c r="L58" s="17" t="str">
        <x:v>核心结论对齐完整结果。</x:v>
      </x:c>
      <x:c r="M58" s="17" t="str">
        <x:v>否</x:v>
      </x:c>
      <x:c r="N58" s="17" t="str">
        <x:v>根据查询结果，**配股比例最高为 0.7（即10配7）**，共有两只股票达到这一比例：
| 股票 | 代码 | 配股比例 | 配股价格 | 公告日期 | 进度 |
|------|------|---------|---------|---------|------|
| **天下秀** | 600556.SH | 10配7（0.7） | **6.37 元/股** | 2004-09-09 | 已实施 |
| **ST平能** | 000780.SZ | 10配7（0.7） | **6.43 元/股** | 2002-12-20 | 已实施 |
两只股票的配股事项均为历史事件（均已实施完毕），时间较早，属于早期资本市场的高比例配股案例。
配股比例次高的（0.6，即10配6）还有：
- **方正科技**（600601.SH）— 配股价 5.58 元/股，2003年实施
- ***ST美丽**（000010.SZ）— 配股价 2.50 元/股，1995年实施
- **退市富控**（600634.SH）— 配股价 3.30 元/股，1994年实施
整体来看，配股比例 0.7 是 A 股历史上配股方案中较常见的最高一档，但相关案例时间较早，近年已较少见如此高比例的配股方案。</x:v>
      </x:c>
    </x:row>
    <x:row r="59" ht="64" customHeight="1">
      <x:c r="A59" s="17" t="str">
        <x:v>BUS055</x:v>
      </x:c>
      <x:c r="B59" s="17" t="str">
        <x:v>查询宁德时代最新业绩预告类型、预告摘要和公告日期。</x:v>
      </x:c>
      <x:c r="C59" s="17" t="str">
        <x:v>成功</x:v>
      </x:c>
      <x:c r="D59" s="17" t="str">
        <x:v>正确</x:v>
      </x:c>
      <x:c r="E59" s="19" t="n">
        <x:v>1</x:v>
      </x:c>
      <x:c r="F59" s="17" t="str">
        <x:v>无实质问题。 主要根因：none 聚合：不涉及跨实体聚合。 证据对齐：业绩原因也来自结果字段。</x:v>
      </x:c>
      <x:c r="G59" s="17" t="str">
        <x:v>{
  "review_source": "deep_audit_001_060.json",
  "route_ok": true,
  "time": "宁德时代最新业绩预告记录正确。",
  "entity": "目标股票正确。",
  "numeric": "净利润范围和变动幅度一致。",
  "aggregation": "不涉及跨实体聚合。",
  "evidence_alignment": "业绩原因也来自结果字段。"
}</x:v>
      </x:c>
      <x:c r="H59" s="17" t="str">
        <x:v>宁德时代最新业绩预告记录正确。</x:v>
      </x:c>
      <x:c r="I59" s="17" t="str">
        <x:v>stock.performance_notice</x:v>
      </x:c>
      <x:c r="J59" s="17" t="str">
        <x:v>净利润范围和变动幅度一致。</x:v>
      </x:c>
      <x:c r="K59" s="17" t="str">
        <x:v>目标股票正确。；宁德时代最新业绩预告记录正确。</x:v>
      </x:c>
      <x:c r="L59" s="17" t="str">
        <x:v>业绩原因也来自结果字段。</x:v>
      </x:c>
      <x:c r="M59" s="17" t="str">
        <x:v>否</x:v>
      </x:c>
      <x:c r="N59" s="17" t="str">
        <x:v>宁德时代（300750.SZ）最新业绩预告如下：
**公告日期**：2025-01-21（对应2024年年度报告期）
**预告类型**：业绩预增
**预告摘要**：预计2024年归属于母公司股东的净利润为 **490亿元至530亿元**，同比增长 **11.06%～20.12%**。上年同期净利润为441.21亿元。
**业绩变动主要原因**：电池产品销量持续增长，但碳酸锂等原材料价格下降导致产品价格相应调整，营业收入同比有所下降；利润实现增长主要得益于技术研发能力与产品竞争力持续增强，新产品、新技术不断推出，在不同市场领域均取得良好表现。</x:v>
      </x:c>
    </x:row>
    <x:row r="60" ht="64" customHeight="1">
      <x:c r="A60" s="17" t="str">
        <x:v>BUS056</x:v>
      </x:c>
      <x:c r="B60" s="17" t="str">
        <x:v>筛选最新业绩预告为预增的公司。</x:v>
      </x:c>
      <x:c r="C60" s="17" t="str">
        <x:v>成功</x:v>
      </x:c>
      <x:c r="D60" s="17" t="str">
        <x:v>部分正确</x:v>
      </x:c>
      <x:c r="E60" s="19" t="n">
        <x:v>0.9</x:v>
      </x:c>
      <x:c r="F60" s="17" t="str">
        <x:v>group-wise latest 与 limit 完整性不足。 主要根因：groupwise_latest_query_gap 聚合：没有保证每家公司的最新一条预告仍为预增，也没有分页。 证据对齐：样本对齐，但“最新预告为预增的全部公司”结论过度。</x:v>
      </x:c>
      <x:c r="G60" s="17" t="str">
        <x:v>{
  "review_source": "deep_audit_001_060.json",
  "route_ok": true,
  "time": "按公告时间取最新 50 条匹配记录。",
  "entity": "展示实体均有“预增”记录。",
  "numeric": "恰好 50 条是查询上限。",
  "aggregation": "没有保证每家公司的最新一条预告仍为预增，也没有分页。",
  "evidence_alignment": "样本对齐，但“最新预告为预增的全部公司”结论过度。"
}</x:v>
      </x:c>
      <x:c r="H60" s="17" t="str">
        <x:v>按公告时间取最新 50 条匹配记录。</x:v>
      </x:c>
      <x:c r="I60" s="17" t="str">
        <x:v>stock.performance_notice</x:v>
      </x:c>
      <x:c r="J60" s="17" t="str">
        <x:v>恰好 50 条是查询上限。</x:v>
      </x:c>
      <x:c r="K60" s="17" t="str">
        <x:v>展示实体均有“预增”记录。；按公告时间取最新 50 条匹配记录。</x:v>
      </x:c>
      <x:c r="L60" s="17" t="str">
        <x:v>样本对齐，但“最新预告为预增的全部公司”结论过度。</x:v>
      </x:c>
      <x:c r="M60" s="17" t="str">
        <x:v>否</x:v>
      </x:c>
      <x:c r="N60" s="17" t="str">
        <x:v>以下是截至 **2026年8月2日**，最新发布业绩预告为**预增**的公司，共 **50家**，全部为 **2026年半年度（2026-06-30）** 报告期。按公告日期从近到远排列：
| 公司 | 代码 | 公告日期 | 净利润变动区间 |
|------|------|---------|--------------|
| 全聚德 | 002186.SZ | 07-25 | +3.39% ~ +25.20% |
| 东风股份 | 600006.SH | 07-24 | +23.45% ~ +33.74% |
| 海达股份 | 300320.SZ | 07-24 | +20% ~ +30% |
| 晶晨股份 | 688099.SH | 07-24 | +22.44% |
| 优利德 | 688628.SH | 07-23 | +42.82% |
| 腾景科技 | 688195.SH | 07-22 | +31.19% ~ +42.12% |
| 煌上煌 | 002695.SZ | 07-22 | +10.50% ~ +19.60% |
| 上港集团 | 600018.SH | 07-21 | +5.35% |
| 晶华新材 | 603683.SH | 07-21 | +16.79% ~ +35.37% |
| 纳睿雷达 | 688522.SH | 07-21 | +8.75% |
| 华特气体 | 688268.SH | 07-21 | +19.36% |
| 璞泰来 | 603659.SH | 07-20 | +32.66% ~ +42.14% |
| 菲利华 | 300395.SZ | 07-20 | +21.78% ~ +39.82% |
| 扬杰科技 | 300373.SZ | 07-20 | +20% ~ +40% |
| 传音控股 | 688036.SH | 07-20 | +44.82% |
| 特锐德 | 300001.SZ | 07-20 | +20% ~ +40% |
| 金禄电子 | 301282.SZ | 07-20 | +5.04% ~ +14.59% |
| 立中集团 | 300428.SZ | 07-18 | +34.57% ~ +45.78% |
| 天孚通信 | 300394.SZ | 07-18 | +25% ~ +45% |
| 厦门象屿 | 600057.SH | 07-17 | +1% ~ +5% |
| 艾力斯 | 688578.SH | 07-17 | +46.49% |
| 千岸科技 | 920065.BJ | 07-16 | -4.49% ~ +0.72% |
| 思特威 | 688213.SH | 07-16 | +29% ~ +34% |
| 锡业股份 | 000960.SZ | 07-15 | +38.43% ~ +47.85% |
| 孩子王 | 301078.SZ | 07-15 | +10% ~ +30% |
| 厦门港务 | 000905.SZ | 07-15 | -8.71% ~ +2.09% |
| 中国神华 | 601088.SH | 07-15 | -4.70% ~ +8% |
| 岭南控股 | 000524.SZ | 07-15 | +11.05% ~ +25.19% |
| 天奥电子 | 002935.SZ | 07-15 | +6.60% ~ +18.64% |
| 中水渔业 | 000798.SZ | 07-15 | +10.07% ~ +21.65% |
| 恒生电子 | 600570.SH | 07-15 | +0.69% |
| 建发致新 | 301584.SZ | 07-15 | +2.16% ~ +16.76% |
| 神通科技 | 605228.SH | 07-15 | +40.02% ~ +47.80% |
| 英联股份 | 002846.SZ | 07-15 | +27.10% ~ +39.01% |
| 仙坛股份 | 002746.SZ | 07-14 | +24.33% ~ +32.37% |
| 广电计量 | 002967.SZ | 07-14 | +18.17% ~ +28.45% |
| 亿联网络 | 300628.SZ | 07-14 | +20% ~ +24% |
| 康龙化成 | 300759.SZ | 07-13 | +4% ~ +10% |
| 珠江啤酒 | 002461.SZ | 07-11 | +5% ~ +15% |
| 艾迪精密 | 603638.SH | 07-10 | +44.02% ~ +48.80% |
| 甘肃能源 | 000791.SZ | 07-10 | +0.03% ~ +2.45</x:v>
      </x:c>
    </x:row>
    <x:row r="61" ht="64" customHeight="1">
      <x:c r="A61" s="17" t="str">
        <x:v>BUS057</x:v>
      </x:c>
      <x:c r="B61" s="17" t="str">
        <x:v>最新业绩预告净利润同比上限最高的前20家公司。</x:v>
      </x:c>
      <x:c r="C61" s="17" t="str">
        <x:v>成功</x:v>
      </x:c>
      <x:c r="D61" s="17" t="str">
        <x:v>错误</x:v>
      </x:c>
      <x:c r="E61" s="19" t="n">
        <x:v>1</x:v>
      </x:c>
      <x:c r="F61" s="17" t="str">
        <x:v>多字段排序和候选截断导致伪 TopN。 主要根因：multi_column_order_topn_truncation 聚合：ann_date desc, net_profit_chg_upper desc 加 limit=20 不是全市场按增长上限 Top20。 证据对齐：表格来自截断结果，但排名语义错误。</x:v>
      </x:c>
      <x:c r="G61" s="17" t="str">
        <x:v>{
  "review_source": "deep_audit_001_060.json",
  "route_ok": true,
  "time": "按 ann_date desc 优先截取最新 20 条公告。",
  "entity": "只覆盖最新公告候选，非全市场增长上限候选。",
  "numeric": "所谓 Top20 中甚至包含负增长值。",
  "aggregation": "ann_date desc, net_profit_chg_upper desc 加 limit=20 不是全市场按增长上限 Top20。",
  "evidence_alignment": "表格来自截断结果，但排名语义错误。"
}</x:v>
      </x:c>
      <x:c r="H61" s="17" t="str">
        <x:v>按 ann_date desc 优先截取最新 20 条公告。</x:v>
      </x:c>
      <x:c r="I61" s="17" t="str">
        <x:v>stock.performance_notice</x:v>
      </x:c>
      <x:c r="J61" s="17" t="str">
        <x:v>所谓 Top20 中甚至包含负增长值。</x:v>
      </x:c>
      <x:c r="K61" s="17" t="str">
        <x:v>只覆盖最新公告候选，非全市场增长上限候选。；按 ann_date desc 优先截取最新 20 条公告。</x:v>
      </x:c>
      <x:c r="L61" s="17" t="str">
        <x:v>表格来自截断结果，但排名语义错误。</x:v>
      </x:c>
      <x:c r="M61" s="17" t="str">
        <x:v>否</x:v>
      </x:c>
      <x:c r="N61" s="17" t="str">
        <x:v>以下是2026年中期（2026-06-30报告期）最新业绩预告中，**净利润同比变动上限最高**的前20家公司：
**Top 5 增幅最大：**
1. **中红医疗**（300981.SZ）— 净利润同比上限 **+3,557%**，预告净利润1.4亿~2.1亿元，业绩大幅上升，7月29日披露
2. **富瀚微**（300613.SZ）— 净利润同比上限 **+1,420.19%**，预告净利润2.7亿~3.5亿元，业绩大幅上升，7月31日披露
3. **并行科技**（920493.BJ）— 净利润同比上限 **+845.14%**，预告净利润4,000万~4,800万元，业绩大幅上升，7月28日披露
4. **福立旺**（688678.SH）— 净利润同比上限 **+489%**，预告净利润约6,900万元，预计扭亏，7月30日披露
5. **金山办公**（688111.SH）— 净利润同比上限 **+263.89%**，预告净利润23.16亿~27.19亿元，业绩大幅上升，7月29日披露
**第6~10名：**
6. **壹石通**（688733.SH）— 同比上限 +180.08%，预计扭亏（950~1,400万元）
7. **江苏北人**（688218.SH）— 同比上限 +166.71%，预计扭亏（约1,582万元）
8. **聚辰股份**（688123.SH）— 同比上限 +156.07%，净利润约5.25亿元，业绩大幅上升
9. ***ST京化**（600889.SH）— 同比上限 +153.97%，预计扭亏（4,000~4,800万元）
10. **海昌智能**（920156.BJ）— 同比上限 +130.14%，净利润1.2亿~1.4亿元，业绩大幅上升
**第11~15名：**
11. **海博思创**（688411.SH）— +121.63%，净利润6.2亿~7亿元
12. **大烨智能**（300670.SZ）— +120.82%，预计扭亏（600~900万元）
13. **华曙高科**（688433.SH）— +87.09%，净利润约843万元
14. **康农种业**（920403.BJ）— +84.15%，净利润1,400~1,600万元
15. **三未信安**（688489.SH）— +57.25%，预计减亏（-1,256万元）
**第16~20名：**（同比上限为负值，但按排序仍在前20内）
16. **双林股份**（300100.SZ）— -61.7%
17. **新天科技**（300259.SZ）— -69.58%
18. **百奥泰**（688177.SH）— -84.1%
19. **天微电子**（688511.SH）— -94.12%
20. **景业智能**（688290.SH）— -511.13%
前5名中，**中红医疗**和**富瀚微**的净利润同比增幅上限均超过1,000%，远超其他公司，主要受益于各自行业景气度回升和低基数效应。整体来看，业绩大幅上升类型占比最高，榜单中也有多家公司属于扭亏为盈，反映2026年上半年不少企业盈利改善明显。</x:v>
      </x:c>
    </x:row>
    <x:row r="62" ht="64" customHeight="1">
      <x:c r="A62" s="17" t="str">
        <x:v>BUS058</x:v>
      </x:c>
      <x:c r="B62" s="17" t="str">
        <x:v>筛选最新业绩预告为亏损或预减的公司。</x:v>
      </x:c>
      <x:c r="C62" s="17" t="str">
        <x:v>成功</x:v>
      </x:c>
      <x:c r="D62" s="17" t="str">
        <x:v>部分正确</x:v>
      </x:c>
      <x:c r="E62" s="19" t="n">
        <x:v>0.95</x:v>
      </x:c>
      <x:c r="F62" s="17" t="str">
        <x:v>filter 协议未可靠执行，Renderer 未用结果重新验算计数。 主要根因：filter_protocol_and_count_verification 聚合：按报告期过滤的结果混入其他期间，后续 OR 分类计数又未严格校验。 证据对齐：部分明细正确，但过滤和最终计数均有偏差。</x:v>
      </x:c>
      <x:c r="G62" s="17" t="str">
        <x:v>{
  "review_source": "deep_audit_001_060.json",
  "route_ok": true,
  "time": "先探测最新报告期，再进行类型筛选。",
  "entity": "返回的业绩类型实体可核对。",
  "numeric": "亏损类实际为 35 预亏加 6 增亏等于 41，答案写 44；合计也随之错误。",
  "aggregation": "按报告期过滤的结果混入其他期间，后续 OR 分类计数又未严格校验。",
  "evidence_alignment": "部分明细正确，但过滤和最终计数均有偏差。"
}</x:v>
      </x:c>
      <x:c r="H62" s="17" t="str">
        <x:v>先探测最新报告期，再进行类型筛选。</x:v>
      </x:c>
      <x:c r="I62" s="17" t="str">
        <x:v>stock.performance_notice</x:v>
      </x:c>
      <x:c r="J62" s="17" t="str">
        <x:v>亏损类实际为 35 预亏加 6 增亏等于 41，答案写 44；合计也随之错误。</x:v>
      </x:c>
      <x:c r="K62" s="17" t="str">
        <x:v>返回的业绩类型实体可核对。；先探测最新报告期，再进行类型筛选。</x:v>
      </x:c>
      <x:c r="L62" s="17" t="str">
        <x:v>部分明细正确，但过滤和最终计数均有偏差。</x:v>
      </x:c>
      <x:c r="M62" s="17" t="str">
        <x:v>否</x:v>
      </x:c>
      <x:c r="N62" s="17" t="str">
        <x:v>以下是截至 **2026年8月2日**，**2026年中报（报告期2026-06-30）**最新业绩预告为亏损或预减的公司名单：
---
## 一、亏损（业绩预亏/预计增亏）— 共44家
**业绩预亏：** 太极股份、东瑞股份、海格通信、元祖股份、ST葫芦娃、兰石重装、绿能慧充、爱仕达、长鸿高科、辽宁能源、ST麦趣、安阳钢铁、凤凰股份、*ST春天、华发股份、*ST瑞茂、金能科技、威帝股份、粤电力A、合肥城建、文灿股份、*ST威领、新五丰、厦工股份、山鹰国际、广电电气、*ST联翔、ST龙元、中农联合、富煌钢构、联创电子、春光科技、赛福天、梦网科技、栖霞建设等
**预计增亏（亏损扩大）：** 罗牛山、欢瑞世纪、唐人神、金新农、*ST发展、*ST集友
&gt; 亏损幅度最大的包括：**东瑞股份**（净利下降约139倍）、**太极股份**（净亏损3~4.2亿元）、**海格通信**（净亏损1.5~1.95亿元）、**华发股份**（净亏损30~40亿元）、**辽宁能源**（净亏损3.6~5.4亿元）
---
## 二、预减（业绩预降）— 共15家
| 公司 | 净利润变动 | 预告摘要 |
|------|-----------|---------|
| 哈尔斯 | -49.65%~-39.79% | 归母净利润4600~5500万元 |
| 航天智造 | -45%~-30% | 归母净利润2.15~2.74亿元 |
| 川金诺 | -38.03%~-26.76% | 归母净利润1.1~1.3亿元 |
| 锦浪科技 | -31.91%~-23.61% | 归母净利润4.1~4.6亿元 |
| 华润新能源 | -29.81%~-19.18% | 归母净利润33~38亿元 |
| 硕贝德 | -28.42%~-19.48% | 归母净利润2400~2700万元 |
| 光启技术 | -24.30%~-5.64% | 归母净利润2.92~3.64亿元 |
| 金宏气体 | -24.11%~-9.27% | 归母净利润6238~7458万元 |
| 晨光生物 | -17.66%~-11.62% | 归母净利润1.77~1.9亿元 |
| 惠科股份 | -14.42%~-5.17% | 归母净利润18.5~20.5亿元 |
| 彩客科技 | -14.39%~-3.97% | 归母净利润7400~8300万元 |
| 永大股份 | -14.35%~-1.19% | 归母净利润6103~7040万元 |
| 电投产融 | -13.71%~-6.09% | 归母净利润17~18.5亿元 |
| 维通利 | -12.90%~-6.42% | 归母净利润1.21~1.3亿元 |
| 红旗连锁 | -5.27%~-2.06% | 归母净利润2.66~2.75亿元 |
---
**合计：** 最新中报业绩预告披露中，**亏损类公司约44家**（含预亏和增亏），**预降类公司15家**，合计约59家公司业绩预告为亏损或预减。
&gt; 数据口径：报告期 = 2026-06-30（2026年中报），业绩预告类型 = 业绩预亏/预计增亏/业绩预降。净利润变动幅度为同比变化。</x:v>
      </x:c>
    </x:row>
    <x:row r="63" ht="64" customHeight="1">
      <x:c r="A63" s="17" t="str">
        <x:v>BUS059</x:v>
      </x:c>
      <x:c r="B63" s="17" t="str">
        <x:v>查询贵州茅台最近一次业绩预告的净利润区间。</x:v>
      </x:c>
      <x:c r="C63" s="17" t="str">
        <x:v>成功</x:v>
      </x:c>
      <x:c r="D63" s="17" t="str">
        <x:v>正确</x:v>
      </x:c>
      <x:c r="E63" s="19" t="n">
        <x:v>1</x:v>
      </x:c>
      <x:c r="F63" s="17" t="str">
        <x:v>无实质问题。 主要根因：none 聚合：不涉及复杂聚合。 证据对齐：最终回答与结果一致。</x:v>
      </x:c>
      <x:c r="G63" s="17" t="str">
        <x:v>{
  "review_source": "deep_audit_001_060.json",
  "route_ok": true,
  "time": "贵州茅台最新业绩预告期间正确。",
  "entity": "目标股票正确。",
  "numeric": "净利润区间约 857 亿元与证据一致。",
  "aggregation": "不涉及复杂聚合。",
  "evidence_alignment": "最终回答与结果一致。"
}</x:v>
      </x:c>
      <x:c r="H63" s="17" t="str">
        <x:v>贵州茅台最新业绩预告期间正确。</x:v>
      </x:c>
      <x:c r="I63" s="17" t="str">
        <x:v>stock.performance_notice</x:v>
      </x:c>
      <x:c r="J63" s="17" t="str">
        <x:v>净利润区间约 857 亿元与证据一致。</x:v>
      </x:c>
      <x:c r="K63" s="17" t="str">
        <x:v>目标股票正确。；贵州茅台最新业绩预告期间正确。</x:v>
      </x:c>
      <x:c r="L63" s="17" t="str">
        <x:v>最终回答与结果一致。</x:v>
      </x:c>
      <x:c r="M63" s="17" t="str">
        <x:v>否</x:v>
      </x:c>
      <x:c r="N63" s="17" t="str">
        <x:v>贵州茅台最新一次业绩预告发布于 **2025年1月3日**，对应 **2024年年报**（报告期 2024-12-31）。
- **净利润区间**：约 **857 亿元**（下限和上限均为 857 亿元）
- **业绩变动**：归属于母公司股东的净利润增长约 **14.67%**
- **预告类型**：不确定（点估计式披露，非区间预告）
数据来源：贵州茅台 2024 年度业绩预告公告（币种 CNY）。</x:v>
      </x:c>
    </x:row>
    <x:row r="64" ht="64" customHeight="1">
      <x:c r="A64" s="17" t="str">
        <x:v>BUS060</x:v>
      </x:c>
      <x:c r="B64" s="17" t="str">
        <x:v>最新业绩预告收入上限最高的前20家公司。</x:v>
      </x:c>
      <x:c r="C64" s="17" t="str">
        <x:v>成功</x:v>
      </x:c>
      <x:c r="D64" s="17" t="str">
        <x:v>正确</x:v>
      </x:c>
      <x:c r="E64" s="19" t="n">
        <x:v>1</x:v>
      </x:c>
      <x:c r="F64" s="17" t="str">
        <x:v>结果正确，首次全历史探测可进一步减少。 主要根因：none 聚合：固定报告期后排序正确。 证据对齐：最终表格对齐证据。</x:v>
      </x:c>
      <x:c r="G64" s="17" t="str">
        <x:v>{
  "review_source": "deep_audit_001_060.json",
  "route_ok": true,
  "time": "首次全历史探测后固定 2026 年中报最新报告期。",
  "entity": "营业收入上限前 20 实体正确。",
  "numeric": "排名数值与完整结果一致。",
  "aggregation": "固定报告期后排序正确。",
  "evidence_alignment": "最终表格对齐证据。"
}</x:v>
      </x:c>
      <x:c r="H64" s="17" t="str">
        <x:v>首次全历史探测后固定 2026 年中报最新报告期。</x:v>
      </x:c>
      <x:c r="I64" s="17" t="str">
        <x:v>stock.performance_notice</x:v>
      </x:c>
      <x:c r="J64" s="17" t="str">
        <x:v>排名数值与完整结果一致。</x:v>
      </x:c>
      <x:c r="K64" s="17" t="str">
        <x:v>营业收入上限前 20 实体正确。；首次全历史探测后固定 2026 年中报最新报告期。</x:v>
      </x:c>
      <x:c r="L64" s="17" t="str">
        <x:v>最终表格对齐证据。</x:v>
      </x:c>
      <x:c r="M64" s="17" t="str">
        <x:v>否</x:v>
      </x:c>
      <x:c r="N64" s="17" t="str">
        <x:v>以下是2026年中报（报告期2026-06-30）已披露业绩预告中，**收入上限最高的前20家公司**，按收入上限从高到低排列：
| 排名 | 公司 | 代码 | 收入上限（亿元） | 业绩预告类型 | 公告日期 |
|:---:|:---|:---|:---:|:---|:---:|
| 1 | **厦门象屿** | 600057.SH | **213.5** | 业绩预增 | 2026-07-17 |
| 2 | **长鑫科技** | 688825.SH | **120.0** | 预计扭亏 | 2026-07-09 |
| 3 | **华勤技术** | 603296.SH | **95.0** | 业绩大幅上升 | 2026-07-14 |
| 4 | **天音控股** | 000829.SZ | **59.0** | 预计扭亏 | 2026-07-15 |
| 5 | **传音控股** | 688036.SH | **35.7** | 业绩预增 | 2026-07-20 |
| 6 | **环旭电子** | 601231.SH | **27.3** | 不确定 | 2026-07-10 |
| 7 | **江波龙** | 301308.SZ | **25.0** | 业绩大幅上升 | 2026-07-03 |
| 8 | **世纪华通** | 002602.SZ | **22.0** | 业绩大幅上升 | 2026-07-15 |
| 9 | **惠科股份** | 001399.SZ | **22.0** | 业绩预降 | 2026-06-04 |
| 10 | **招商轮船** | 601872.SH | **20.6** | 业绩大幅上升 | 2026-07-06 |
| 11 | **德明利** | 001309.SZ | **18.0** | 预计扭亏 | 2026-07-15 |
| 12 | **佰维存储** | 688525.SH | **16.0** | 预计扭亏 | 2026-07-16 |
| 13 | **豪威集团** | 603501.SH | **14.0** | 不确定 | 2026-04-30 |
| 14 | **华润新能源** | 001248.SZ | **13.6** | 业绩预降 | 2026-06-11 |
| 15 | **兆易创新** | 603986.SH | **11.5** | 业绩大幅上升 | 2026-07-10 |
| 16 | **飞南资源** | 301500.SZ | **10.0** | 业绩大幅上升 | 2026-07-22 |
| 17 | **海光信息** | 688041.SH | **9.3** | 业绩大幅上升 | 2026-07-17 |
| 18 | **大连重工** | 002204.SZ | **8.0** | 业绩预增 | 2026-07-04 |
| 19 | **嘉元科技** | 688388.SH | **7.8** | 业绩大幅上升 | 2026-07-16 |
| 20 | **康龙化成** | 300759.SZ | **7.7** | 业绩预增 | 2026-07-13 |
**简要解读：**
- **厦门象屿**以213.5亿元的收入上限遥遥领先，是唯一一家半年报预告收入超200亿的公司，且预告类型为业绩预增，增长势头稳健。
- **长鑫科技**（120亿）和**华勤技术**（95亿）分列第二、三位，长鑫科技预计扭亏，华勤技术大幅上升，半导体与消费电子产业链景气度较高。
- 榜单中**业绩大幅上升**类型占多数（10家），**预计扭亏**有4家，整体预喜率较高，反映出2026年上半年多数公司经营改善。
数据来源：2026年中报（报告期2026-06-30）业绩预告，按营业收入上限排序，单位亿元。</x:v>
      </x:c>
    </x:row>
    <x:row r="65" ht="64" customHeight="1">
      <x:c r="A65" s="17" t="str">
        <x:v>BUS061</x:v>
      </x:c>
      <x:c r="B65" s="17" t="str">
        <x:v>查询贵州茅台最新主营业务分部收入、成本和毛利率。</x:v>
      </x:c>
      <x:c r="C65" s="17" t="str">
        <x:v>成功</x:v>
      </x:c>
      <x:c r="D65" s="17" t="str">
        <x:v>部分正确</x:v>
      </x:c>
      <x:c r="E65" s="19" t="n">
        <x:v>0.95</x:v>
      </x:c>
      <x:c r="F65" s="17" t="str">
        <x:v>2025年茅台酒成本写成9.48亿元，但收入1464.99亿元、毛利1370.15亿元及毛利率93.53%共同反推成本约94.84亿元，存在10倍单位错误。 主要根因：Renderer由模型自由换算单位，缺少收入-成本=毛利及毛利率的一致性校验。 聚合：warn 证据对齐：fail</x:v>
      </x:c>
      <x:c r="G65" s="17" t="str">
        <x:v>{
  "review_source": "deep_audit_061_120.json",
  "route_ok": true,
  "time": "pass",
  "entity": "pass",
  "numeric": "fail",
  "aggregation": "warn",
  "evidence_alignment": "fail"
}</x:v>
      </x:c>
      <x:c r="H65" s="17" t="str">
        <x:v>pass</x:v>
      </x:c>
      <x:c r="I65" s="17" t="str">
        <x:v>PASS: expected_dataview_coverage</x:v>
      </x:c>
      <x:c r="J65" s="17" t="str">
        <x:v>fail</x:v>
      </x:c>
      <x:c r="K65" s="17" t="str">
        <x:v>pass；pass</x:v>
      </x:c>
      <x:c r="L65" s="17" t="str">
        <x:v>fail</x:v>
      </x:c>
      <x:c r="M65" s="17" t="str">
        <x:v>否</x:v>
      </x:c>
      <x:c r="N65" s="17" t="str">
        <x:v>以下是贵州茅台最新主营业务分部数据。
---
## 最新季度：2026年一季度（2026-03-31）
一季报中仅披露了分部收入，**成本、毛利和毛利率数据暂未提供**。
**按产品：**
| 产品 | 收入 |
|---|---|
| 茅台酒 | 46.00 亿元 |
| 系列酒 | 7.88 亿元 |
| 其他业务 | 0.82 亿元 |
**按渠道：**
| 渠道 | 收入 |
|---|---|
| 直销 | 29.50 亿元 |
| 批发代理 | 24.38 亿元 |
**按地区：**
| 地区 | 收入 |
|---|---|
| 国内 | 53.73 亿元 |
| 国外 | 0.15 亿元 |
---
## 最近完整年度：2025年全年（2025-12-31）
完整披露了收入、成本和毛利率数据。
**按产品：**
| 产品 | 收入 | 成本 | 毛利 | 毛利率 |
|---|---|---|---|---|
| 茅台酒 | 1,464.99 亿 | 9.48 亿 | 1,370.15 亿 | **93.53%** |
| 其他系列酒 | 222.75 亿 | 53.21 亿 | 169.54 亿 | **76.11%** |
| 其他业务 | 32.80 亿 | 0.86 亿 | 31.93 亿 | 97.37% |
**按渠道：**
| 渠道 | 收入 | 成本 | 毛利 | 毛利率 |
|---|---|---|---|---|
| 直销 | 845.43 亿 | 45.80 亿 | 799.63 亿 | **94.58%** |
| 批发代理 | 842.32 亿 | 102.26 亿 | 740.05 亿 | **87.86%** |
**按地区：**
| 地区 | 收入 | 成本 | 毛利 | 毛利率 |
|---|---|---|---|---|
| 国内 | 1,639.24 亿 | 144.03 亿 | 1,495.22 亿 | **91.21%** |
| 国外 | 48.50 亿 | 4.03 亿 | 44.47 亿 | **91.69%** |
**酒类整体（合计）：** 收入 1,687.75 亿元，成本 148.06 亿元，毛利 1,539.69 亿元，**整体毛利率 91.23%**。
---
核心看点上，茅台酒 93.53% 的毛利率依然是公司利润的绝对支柱，直销渠道 94.58% 的毛利率也显著高于批发代理的 87.86%，渠道结构持续优化。2026年一季度的成本与毛利率数据将在中报或年报中进一步披露。</x:v>
      </x:c>
    </x:row>
    <x:row r="66" ht="64" customHeight="1">
      <x:c r="A66" s="17" t="str">
        <x:v>BUS062</x:v>
      </x:c>
      <x:c r="B66" s="17" t="str">
        <x:v>查询宁德时代按产品分部的销售收入和收入占比。</x:v>
      </x:c>
      <x:c r="C66" s="17" t="str">
        <x:v>成功</x:v>
      </x:c>
      <x:c r="D66" s="17" t="str">
        <x:v>正确</x:v>
      </x:c>
      <x:c r="E66" s="19" t="n">
        <x:v>0.85</x:v>
      </x:c>
      <x:c r="F66" s="17" t="str">
        <x:v>最终结果正确，但先用segment_type='product'空查一次，随后才发现产品分部实际枚举为2。 主要根因：Catalog未让分部类型的数值枚举足够显式，或Harness没有优先使用枚举说明。 聚合：pass 证据对齐：pass</x:v>
      </x:c>
      <x:c r="G66" s="17" t="str">
        <x:v>{
  "review_source": "deep_audit_061_120.json",
  "route_ok": true,
  "time": "pass",
  "entity": "pass",
  "numeric": "pass",
  "aggregation": "pass",
  "evidence_alignment": "pass"
}</x:v>
      </x:c>
      <x:c r="H66" s="17" t="str">
        <x:v>pass</x:v>
      </x:c>
      <x:c r="I66" s="17" t="str">
        <x:v>FAIL: expected_dataview_coverage</x:v>
      </x:c>
      <x:c r="J66" s="17" t="str">
        <x:v>pass</x:v>
      </x:c>
      <x:c r="K66" s="17" t="str">
        <x:v>pass；pass</x:v>
      </x:c>
      <x:c r="L66" s="17" t="str">
        <x:v>pass</x:v>
      </x:c>
      <x:c r="M66" s="17" t="str">
        <x:v>否</x:v>
      </x:c>
      <x:c r="N66" s="17" t="str">
        <x:v>以下是宁德时代（300750.SZ）最新报告期（**2026年上半年**）按产品分部的销售收入及收入占比：
| 产品分部 | 销售收入（元） | 收入占比 |
|:---|:---|:---|
| **动力电池系统** | 1,921.25 亿 | **69.38%** |
| **储能电池系统** | 532.61 亿 | **19.23%** |
| 电池材料及回收、矿产资源 | 188.11 亿 | 6.79% |
| 其他业务 | 127.20 亿 | 4.59% |
| **合计** | **2,769.17 亿** | **100%** |
**核心结论：** 动力电池系统仍是宁德时代的绝对主业，贡献近七成收入；储能电池系统已跃升至第二大收入来源（19.2%），较上年同期（15.9%）明显提升，反映储能业务正在加速放量。电池材料及回收与矿产资源合计占比约 6.8%，其他业务占 4.6%。</x:v>
      </x:c>
    </x:row>
    <x:row r="67" ht="64" customHeight="1">
      <x:c r="A67" s="17" t="str">
        <x:v>BUS063</x:v>
      </x:c>
      <x:c r="B67" s="17" t="str">
        <x:v>筛选最新报告期毛利率最高的业务分部记录。</x:v>
      </x:c>
      <x:c r="C67" s="17" t="str">
        <x:v>成功</x:v>
      </x:c>
      <x:c r="D67" s="17" t="str">
        <x:v>错误</x:v>
      </x:c>
      <x:c r="E67" s="19" t="n">
        <x:v>1</x:v>
      </x:c>
      <x:c r="F67" s="17" t="str">
        <x:v>仅取20条后在样本内找最大值；返回样本同报告期毛利率顺序为9.69%、79.76%、87.08%，与声明的复合降序不符，不能证明是全市场最新期最高记录。 主要根因：“先锁定全局最新报告期，再全量求max/top-k”的两阶段聚合没有被可靠表达，limit先于正确聚合。 聚合：fail 证据对齐：fail</x:v>
      </x:c>
      <x:c r="G67" s="17" t="str">
        <x:v>{
  "review_source": "deep_audit_061_120.json",
  "route_ok": true,
  "time": "pass",
  "entity": "na",
  "numeric": "pass",
  "aggregation": "fail",
  "evidence_alignment": "fail"
}</x:v>
      </x:c>
      <x:c r="H67" s="17" t="str">
        <x:v>pass</x:v>
      </x:c>
      <x:c r="I67" s="17" t="str">
        <x:v>PASS: expected_dataview_coverage</x:v>
      </x:c>
      <x:c r="J67" s="17" t="str">
        <x:v>pass</x:v>
      </x:c>
      <x:c r="K67" s="17" t="str">
        <x:v>na；pass</x:v>
      </x:c>
      <x:c r="L67" s="17" t="str">
        <x:v>fail</x:v>
      </x:c>
      <x:c r="M67" s="17" t="str">
        <x:v>否</x:v>
      </x:c>
      <x:c r="N67" s="17" t="str">
        <x:v>最新报告期（2026-06-30）中，毛利率最高的业务分部记录如下：
**🥇 盛达资源（000603.SZ）— 银精粉(含金) — 毛利率 87.08%**
收入 3.98 亿元，毛利 3.47 亿元，属于产品分部。
**🥈 盛达资源 — 内蒙古自治区内 — 毛利率 79.76%**
收入 1.61 亿元，毛利 1.29 亿元，属于地区分部。
**🥉 盛达资源 — 有色金属采选（行业）— 毛利率 78.37%**
收入 10.17 亿元，毛利 7.97 亿元，金额最大。
其余进入前五的还有：
- **盛达资源** — 铅精粉(含银) — **73.59%**
- **盛达资源** — 锌精粉(含银) — **70.64%**
**整体来看**，盛达资源在报告期内旗下多个业务分部毛利率极高，银精粉、铅精粉、锌精粉等产品线毛利率均超 70%，有色金属采选行业整体毛利率也在 78% 以上，是当前样本中毛利率表现最突出的公司。合金投资（000633.SZ）和太湖雪（920262.BJ）的毛利率相对较低，最高分部毛利率分别为 35.20%（其他业务）和 43.58%（线下销售）。盛达资源的再生新能源金属分部则出现亏损，毛利率为 **-6.69%**。</x:v>
      </x:c>
    </x:row>
    <x:row r="68" ht="64" customHeight="1">
      <x:c r="A68" s="17" t="str">
        <x:v>BUS064</x:v>
      </x:c>
      <x:c r="B68" s="17" t="str">
        <x:v>查询美的集团按地区分部的收入占比。</x:v>
      </x:c>
      <x:c r="C68" s="17" t="str">
        <x:v>成功</x:v>
      </x:c>
      <x:c r="D68" s="17" t="str">
        <x:v>部分正确</x:v>
      </x:c>
      <x:c r="E68" s="19" t="n">
        <x:v>0.95</x:v>
      </x:c>
      <x:c r="F68" s="17" t="str">
        <x:v>核心地区收入占比正确，但先用中文枚举“地区”空查；结论称海外占比持续提升，而2023年较2022年实际下降。 主要根因：分部枚举语义不清导致试错，Synthesis又把非单调序列概括成持续提升。 聚合：warn 证据对齐：warn</x:v>
      </x:c>
      <x:c r="G68" s="17" t="str">
        <x:v>{
  "review_source": "deep_audit_061_120.json",
  "route_ok": true,
  "time": "pass",
  "entity": "pass",
  "numeric": "pass",
  "aggregation": "warn",
  "evidence_alignment": "warn"
}</x:v>
      </x:c>
      <x:c r="H68" s="17" t="str">
        <x:v>pass</x:v>
      </x:c>
      <x:c r="I68" s="17" t="str">
        <x:v>PASS: expected_dataview_coverage</x:v>
      </x:c>
      <x:c r="J68" s="17" t="str">
        <x:v>pass</x:v>
      </x:c>
      <x:c r="K68" s="17" t="str">
        <x:v>pass；pass</x:v>
      </x:c>
      <x:c r="L68" s="17" t="str">
        <x:v>warn</x:v>
      </x:c>
      <x:c r="M68" s="17" t="str">
        <x:v>否</x:v>
      </x:c>
      <x:c r="N68" s="17" t="str">
        <x:v>美的集团按地区分部的收入占比如下（以最新年报 **2025年度** 为主）：
---
**2025年度（最新年报）**
| 地区 | 收入（亿元） | 占比 |
|------|------------|:---:|
| 国内 | 2,605.04 | **56.82%** |
| 海外 | 1,959.48 | **42.74%** |
| 其他业务 | 20.51 | 0.45% |
**近年趋势对比**
| 报告期 | 国内 | 海外 |
|--------|:---:|:---:|
| 2022年度 | 58.22% | 41.26% |
| 2023年度 | 59.17% | 40.38% |
| 2024年度 | 58.21% | 41.32% |
| 2025年度 | **56.82%** | **42.74%** |
美的集团收入结构以国内为主（约57%），海外占比持续提升，从2023年的40.4%增长至2025年的42.7%，海外收入规模已达约1,959亿元，国际化程度在同业中处于领先水平。</x:v>
      </x:c>
    </x:row>
    <x:row r="69" ht="64" customHeight="1">
      <x:c r="A69" s="17" t="str">
        <x:v>BUS065</x:v>
      </x:c>
      <x:c r="B69" s="17" t="str">
        <x:v>最新报告期业务分部销售收入最高的前20条记录。</x:v>
      </x:c>
      <x:c r="C69" s="17" t="str">
        <x:v>成功</x:v>
      </x:c>
      <x:c r="D69" s="17" t="str">
        <x:v>正确</x:v>
      </x:c>
      <x:c r="E69" s="19" t="n">
        <x:v>0.95</x:v>
      </x:c>
      <x:c r="F69" s="17" t="str">
        <x:v>最终先取最新报告期再按收入降序Top20，结果正确；中间因裸用r1.report_period触发一次REF_ERROR后改为in绑定。 主要根因：DSL跨结果引用规则未被一次性掌握，但Harness校验反馈有效且成功收敛。 聚合：pass 证据对齐：pass</x:v>
      </x:c>
      <x:c r="G69" s="17" t="str">
        <x:v>{
  "review_source": "deep_audit_061_120.json",
  "route_ok": true,
  "time": "pass",
  "entity": "na",
  "numeric": "pass",
  "aggregation": "pass",
  "evidence_alignment": "pass"
}</x:v>
      </x:c>
      <x:c r="H69" s="17" t="str">
        <x:v>pass</x:v>
      </x:c>
      <x:c r="I69" s="17" t="str">
        <x:v>PASS: expected_dataview_coverage</x:v>
      </x:c>
      <x:c r="J69" s="17" t="str">
        <x:v>pass</x:v>
      </x:c>
      <x:c r="K69" s="17" t="str">
        <x:v>na；pass</x:v>
      </x:c>
      <x:c r="L69" s="17" t="str">
        <x:v>pass</x:v>
      </x:c>
      <x:c r="M69" s="17" t="str">
        <x:v>否</x:v>
      </x:c>
      <x:c r="N69" s="17" t="str">
        <x:v>最新报告期 **2026-06-30（中报）** 业务分部销售收入最高的前20条记录如下：
| 排名 | 公司 | 分部类型 | 项目名称 | 销售收入（元） | 收入占比 |
|:---:|:---|:---:|:---|:---:|:---:|
| 1 | 宁德时代 | 行业 | 电气机械及器材制造业 | 2,769.17亿 | 100.0% |
| 2 | 宁德时代 | 产品 | 动力电池系统 | 1,921.25亿 | 69.4% |
| 3 | 宁德时代 | 地区 | 境内 | 1,897.87亿 | 68.5% |
| 4 | 宁德时代 | 地区 | 境外 | 871.29亿 | 31.5% |
| 5 | 宁德时代 | 产品 | 储能电池系统 | 532.61亿 | 19.2% |
| 6 | 海康威视 | 行业 | 智能物联产品及服务 | 468.23亿 | 100.0% |
| 7 | 西部矿业 | 地区 | 中国大陆 | 393.58亿 | 99.8% |
| 8 | 西部矿业 | 行业 | 有色金属采选冶 | 350.30亿 | 88.8% |
| 9 | 海康威视 | 产品 | 主业产品及服务 | 306.16亿 | 65.4% |
| 10 | 海康威视 | 地区 | 境内 | 297.59亿 | 63.6% |
| 11 | 神火股份 | 行业 | 有色金属冶炼和压延加工 | 207.09亿 | 83.5% |
| 12 | 宁德时代 | 产品 | 电池材料及回收、矿产资源 | 188.11亿 | 6.8% |
| 13 | 海康威视 | 地区 | 境外 | 170.64亿 | 36.4% |
| 14 | 神火股份 | 产品 | 电解铝 | 170.51亿 | 68.8% |
| 15 | 海康威视 | 产品 | 创新业务 | 151.70亿 | 32.4% |
| 16 | 盛屯矿业 | 行业 | 能源金属业务 | 145.43亿 | 75.5% |
| 17 | 华峰化学 | 行业 | 工业 | 141.67亿 | 100.0% |
| 18 | 盛屯矿业 | 地区 | 境外收入 | 138.15亿 | 71.7% |
| 19 | 宁德时代 | 产品 | 其他业务 | 127.20亿 | 4.6% |
| 20 | 华峰化学 | 地区 | 国内 | 119.58亿 | 84.4% |
**要点：**
- **宁德时代** 包揽前5名，其动力电池系统（1,921亿）和储能电池系统（533亿）是最大收入来源，境内外收入分别约1,898亿和871亿。
- **海康威视** 主业产品及服务（306亿）和创新业务（152亿）贡献主要营收，境内收入298亿，境外171亿。
- **西部矿业、神火股份、盛屯矿业、华峰化学** 分别以有色金属采选冶、电解铝、能源金属等业务进入前20，收入集中在140亿~394亿区间。</x:v>
      </x:c>
    </x:row>
    <x:row r="70" ht="64" customHeight="1">
      <x:c r="A70" s="17" t="str">
        <x:v>BUS066</x:v>
      </x:c>
      <x:c r="B70" s="17" t="str">
        <x:v>查询项目名称包含新能源的业务分部销售收入和毛利率。</x:v>
      </x:c>
      <x:c r="C70" s="17" t="str">
        <x:v>成功</x:v>
      </x:c>
      <x:c r="D70" s="17" t="str">
        <x:v>部分正确</x:v>
      </x:c>
      <x:c r="E70" s="19" t="n">
        <x:v>1</x:v>
      </x:c>
      <x:c r="F70" s="17" t="str">
        <x:v>匹配和数值基本正确，但limit=50且row_count=50时直接声称“共有50条”，无法证明没有第51条及以后记录。 主要根因：结果缺少total_count/has_more，Renderer把页大小误当成全集数量。 聚合：warn 证据对齐：warn</x:v>
      </x:c>
      <x:c r="G70" s="17" t="str">
        <x:v>{
  "review_source": "deep_audit_061_120.json",
  "route_ok": true,
  "time": "pass",
  "entity": "pass",
  "numeric": "pass",
  "aggregation": "warn",
  "evidence_alignment": "warn"
}</x:v>
      </x:c>
      <x:c r="H70" s="17" t="str">
        <x:v>pass</x:v>
      </x:c>
      <x:c r="I70" s="17" t="str">
        <x:v>PASS: expected_dataview_coverage</x:v>
      </x:c>
      <x:c r="J70" s="17" t="str">
        <x:v>pass</x:v>
      </x:c>
      <x:c r="K70" s="17" t="str">
        <x:v>pass；pass</x:v>
      </x:c>
      <x:c r="L70" s="17" t="str">
        <x:v>warn</x:v>
      </x:c>
      <x:c r="M70" s="17" t="str">
        <x:v>否</x:v>
      </x:c>
      <x:c r="N70" s="17" t="str">
        <x:v>共有 **50条记录**，涉及多家上市公司在新能源领域的业务分部，涵盖 2025 年报、2026 一季报和 2026 中报三个报告期。以下是主要结果：
---
### 2026 年中报（最新）
| 公司 | 项目名称 | 销售收入（元） | 毛利率 |
|------|---------|--------------|-------|
| **盛达资源** | 再生新能源金属 | 8,488万 | **-6.69%** |
| **平安电工** | 新能源热失控安全防护件 | 2.08亿 | **37.22%** |
### 2026 年一季报
| 公司 | 项目名称 | 销售收入（元） | 毛利率 |
|------|---------|--------------|-------|
| **兴发集团** | 新能源材料 | 8.17亿 | — |
| **禾望电气** | 新能源电控业务 | 4.45亿 | 36.16% |
| **卧龙新能** | 新能源 | 3.81亿 | — |
| **东材科技** | 新能源材料 | 3.05亿 | — |
| **英威腾** | 新能源动力业务 | 1.35亿 | — |
| **北巴传媒** | 新能源充电服务 | 7,490万 | 26.61% |
| **北巴传媒** | 新能源与循环经济业务 | 8,222万 | 25.34% |
| **申华控股** | 新能源发电/新能源业 | 415万 | 51.41% |
| **\*ST纳川** | 新能源业务 | 840万 | 40.12% |
| **麦加芯彩** | 新能源行业涂料 | 1.42亿 | — |
| **科瑞技术** | 新能源业务 | 1.29亿 | — |
| **智新电子** | 汽车及新能源类连接器线缆组件 | 4,299万 | — |
### 2025 年报（部分重点）
- **TCL科技** — 新能源光伏及半导体材料业务 **29.05亿**，毛利率 **-6.36%**
- **浙商中拓** — 新能源供应链 **129.71亿**，毛利率 **2.64%**
- **越秀资本** — 新能源业务 **46.44亿**，毛利率 **26.76%**（另一条记录毛利率 51.52%）
- **绿发电力** — 新能源发电 **47.93亿**，毛利率 **46.29%**
- **中通客车** — 新能源客车 **36.51亿**，毛利率 **17.29%**
- **许继电气** — 新能源及系统集成 **14.21亿**，毛利率 **13.80%**
- **珠海港** — 新能源板块 **24.72亿**，毛利率 **24.53%**
- **银星能源** — 新能源发电 **12.49亿**，毛利率 **35.39%**
- **华鲁恒升** — 新能源新材料相关产品 **45.55亿**，毛利率未披露
- **美锦能源** — 新能源车辆及运营 **4.09亿**，毛利率 **-31.44%**
- **盛达资源** — 再生新能源金属 **1.50亿**，毛利率 **-36.48%**
- **方大集团** — 新能源产业 **1,856万**，毛利率 **57.06%**
- **金房能源** — 新能源-供热运营 **7,161万**，毛利率 **13.70%**
- **欧克科技** — 新能源锂电智能装备 **1.30亿**，毛利率 **35.12%**
- **豪鹏科技** — 储能类应用场景新能源解决方案产品 **6.50亿**，毛利率 **5.77%**
- **长虹华意** — 新能源汽车空调压缩机 **6.68亿**，毛利率 **8.68%**
- **国风新材** — 新能源汽车配套材料 **3.22亿**，毛利率 **4.80%**
- 另有 **粤桂股份**（新能源材料，毛利率 -0.29%）、**东莞控股**（新能源汽车充电业务，毛利率 -1.16%）、**南京公用**（新能源业务，毛利率 -4.33%）、**金圆股份**（新能源材料行业，毛利率 -2.77%）等分部毛利率为负。
---
**说明：** 部分公司该字段未披露（标记为"—"），毛利率为 null 表示数据源中未提供该数值。数据按 `report_period desc` 排序，同一公司可能有多个报告期的记录。整体来看，新能源业务分部毛利率差异很大，**绿发电力、方大集团、申华控股**等毛利率较高（超 45%），而 **TCL科技、盛达资源、美锦能源**的新能源分部毛利率为负，仍处于亏损或低利润阶段。</x:v>
      </x:c>
    </x:row>
    <x:row r="71" ht="64" customHeight="1">
      <x:c r="A71" s="17" t="str">
        <x:v>BUS067</x:v>
      </x:c>
      <x:c r="B71" s="17" t="str">
        <x:v>按申万一级行业统计今天股票平均涨跌幅和上涨家数。</x:v>
      </x:c>
      <x:c r="C71" s="17" t="str">
        <x:v>成功</x:v>
      </x:c>
      <x:c r="D71" s="17" t="str">
        <x:v>正确</x:v>
      </x:c>
      <x:c r="E71" s="19" t="n">
        <x:v>0.95</x:v>
      </x:c>
      <x:c r="F71" s="17" t="str">
        <x:v>最终31行业统计及周末回退到7月31日均正确，但共11次工具调用、7次查询、3次空查，先后错误套用level字段并额外测试银行样本。 主要根因：industry.basic_info与industry.constitution字段作用域边界不够清楚，导致Catalog定位后仍靠探测学习。 聚合：pass 证据对齐：pass</x:v>
      </x:c>
      <x:c r="G71" s="17" t="str">
        <x:v>{
  "review_source": "deep_audit_061_120.json",
  "route_ok": true,
  "time": "pass",
  "entity": "pass",
  "numeric": "pass",
  "aggregation": "pass",
  "evidence_alignment": "pass"
}</x:v>
      </x:c>
      <x:c r="H71" s="17" t="str">
        <x:v>pass</x:v>
      </x:c>
      <x:c r="I71" s="17" t="str">
        <x:v>PASS: expected_dataview_coverage</x:v>
      </x:c>
      <x:c r="J71" s="17" t="str">
        <x:v>pass</x:v>
      </x:c>
      <x:c r="K71" s="17" t="str">
        <x:v>pass；pass</x:v>
      </x:c>
      <x:c r="L71" s="17" t="str">
        <x:v>pass</x:v>
      </x:c>
      <x:c r="M71" s="17" t="str">
        <x:v>否</x:v>
      </x:c>
      <x:c r="N71" s="17" t="str">
        <x:v>数据已获取完毕。今天是 **2026-08-02（周日）**，数据取自最近交易日 **2026-07-31（周五）**，覆盖全部31个申万一级行业。以下是按行业统计的结果：
---
### 行业平均涨跌幅 TOP 5
| 行业 | 平均涨跌幅 |
|:--|--:|
| 计算机 | **+5.35%** |
| 传媒 | **+4.66%** |
| 通信 | **+3.72%** |
| 电子 | **+3.39%** |
| 机械设备 | **+3.33%** |
30个行业平均收涨，仅 **银行（-0.76%）** 录得平均下跌，钢铁（+0.31%）、非银金融（+0.58%）、石油石化（+0.58%）涨幅垫底。
---
### 上涨家数 TOP 5
| 行业 | 上涨家数 |
|:--|--:|
| 机械设备 | **384** |
| 医药生物 | **321** |
| 电子 | **295** |
| 计算机 | **256** |
| 基础化工 | **243** |
上涨家数最少的行业是银行（9家）、煤炭（19家）、综合（19家）、美容护理（20家）和钢铁（21家）。
---
**整体格局：** TMT板块（计算机、传媒、通信、电子）领涨，平均涨幅均超3.3%，市场情绪偏向科技成长方向；银行是唯一平均下跌的行业，且仅9只成分股收涨，表现最弱。</x:v>
      </x:c>
    </x:row>
    <x:row r="72" ht="64" customHeight="1">
      <x:c r="A72" s="17" t="str">
        <x:v>BUS068</x:v>
      </x:c>
      <x:c r="B72" s="17" t="str">
        <x:v>筛选近20个交易日累计涨幅超过30%且当前成交额超过10亿元的股票。</x:v>
      </x:c>
      <x:c r="C72" s="17" t="str">
        <x:v>成功</x:v>
      </x:c>
      <x:c r="D72" s="17" t="str">
        <x:v>部分正确</x:v>
      </x:c>
      <x:c r="E72" s="19" t="n">
        <x:v>1</x:v>
      </x:c>
      <x:c r="F72" s="17" t="str">
        <x:v>两阶段筛选证据正确，但智度股份一行多出“20日涨幅”单元格，Markdown表格列错位。 主要根因：最终展示仍由自由文本生成，未经过表格列数或结构化Renderer校验。 聚合：pass 证据对齐：warn</x:v>
      </x:c>
      <x:c r="G72" s="17" t="str">
        <x:v>{
  "review_source": "deep_audit_061_120.json",
  "route_ok": true,
  "time": "pass",
  "entity": "pass",
  "numeric": "pass",
  "aggregation": "pass",
  "evidence_alignment": "warn"
}</x:v>
      </x:c>
      <x:c r="H72" s="17" t="str">
        <x:v>pass</x:v>
      </x:c>
      <x:c r="I72" s="17" t="str">
        <x:v>PASS: expected_dataview_coverage</x:v>
      </x:c>
      <x:c r="J72" s="17" t="str">
        <x:v>pass</x:v>
      </x:c>
      <x:c r="K72" s="17" t="str">
        <x:v>pass；pass</x:v>
      </x:c>
      <x:c r="L72" s="17" t="str">
        <x:v>warn</x:v>
      </x:c>
      <x:c r="M72" s="17" t="str">
        <x:v>否</x:v>
      </x:c>
      <x:c r="N72" s="17" t="str">
        <x:v>筛选完成！以下是同时满足**近20日累计涨幅超30%**且**最新交易日成交额超10亿元**的14只股票（数据截至2026-07-31）：
| 股票 | 代码 | 近20日涨幅 | 7/31成交额 | 7/31涨跌幅 |
|------|------|-----------|-----------|-----------|
| **深信服** | 300454.SZ | 32.78% | **50.37亿** | +14.77% |
| **西部矿业** | 601168.SH | 34.17% | **26.00亿** | +4.88% |
| **哈药股份** | 600664.SH | 85.22% | **24.27亿** | +5.94% |
| **通源石油** | 300164.SZ | 53.34% | **22.70亿** | -0.08% |
| **立新能源** | 001258.SZ | 76.29% | **19.88亿** | -0.08% |
| **惠城环保** | 300779.SZ | 33.91% | **16.25亿** | +9.82% |
| **宏桥控股** | 002379.SZ | 36.91% | **16.20亿** | -1.10% |
| **恒尚节能** | 603137.SH | 32.00% | **13.09亿** | -4.62% |
| **金牛化工** | 600722.SH | 31.78% | **12.80亿** | -1.29% |
| **科蓝软件** | 300663.SZ | 61.64% | **12.46亿** | +13.95% |
| **陇神戎发** | 300534.SZ | 80.66% | **12.45亿** | +2.69% |
| **普联软件** | 300996.SZ | 64.92% | **11.92亿** | +19.97% |
| **绿盟科技** | 300369.SZ | 34.54% | **10.87亿** | +13.41% |
| **智度股份** | 000676.SZ | 20日涨幅 | 43.21% | **10.20亿** | +9.99% |
**概况**：全市场有41只股票近20日涨幅超30%，其中14只同时满足最新日成交额超10亿元。哈药股份（+85.2%）、陇神戎发（+80.7%）、立新能源（+76.3%）累计涨幅居前，且7/31当日成交额均超10亿，显示资金承接力度较强。此外，深信服、普联软件、科蓝软件、绿盟科技等软件/信息安全类个股在7/31当日仍保持10%以上的单日涨幅，短期动量延续。</x:v>
      </x:c>
    </x:row>
    <x:row r="73" ht="64" customHeight="1">
      <x:c r="A73" s="17" t="str">
        <x:v>BUS069</x:v>
      </x:c>
      <x:c r="B73" s="17" t="str">
        <x:v>找出近5日主力净流入合计最高且今天涨幅为正的前20只股票。</x:v>
      </x:c>
      <x:c r="C73" s="17" t="str">
        <x:v>成功</x:v>
      </x:c>
      <x:c r="D73" s="17" t="str">
        <x:v>部分正确</x:v>
      </x:c>
      <x:c r="E73" s="19" t="n">
        <x:v>0.9090909090909091</x:v>
      </x:c>
      <x:c r="F73" s="17" t="str">
        <x:v>交集后按5日净流入顺序取Top20基本正确，但周日运行仍称“今日”且未给实际行情日期；r1、r2各被重复load一次，98.4秒为本段最慢。 主要根因：realtime结果缺少强制as-of展示，且Harness未去重相同result_ref的读取。 聚合：pass 证据对齐：pass</x:v>
      </x:c>
      <x:c r="G73" s="17" t="str">
        <x:v>{
  "review_source": "deep_audit_061_120.json",
  "route_ok": true,
  "time": "warn",
  "entity": "pass",
  "numeric": "pass",
  "aggregation": "pass",
  "evidence_alignment": "pass"
}</x:v>
      </x:c>
      <x:c r="H73" s="17" t="str">
        <x:v>warn</x:v>
      </x:c>
      <x:c r="I73" s="17" t="str">
        <x:v>PASS: expected_dataview_coverage</x:v>
      </x:c>
      <x:c r="J73" s="17" t="str">
        <x:v>pass</x:v>
      </x:c>
      <x:c r="K73" s="17" t="str">
        <x:v>pass；warn</x:v>
      </x:c>
      <x:c r="L73" s="17" t="str">
        <x:v>pass</x:v>
      </x:c>
      <x:c r="M73" s="17" t="str">
        <x:v>否</x:v>
      </x:c>
      <x:c r="N73" s="17" t="str">
        <x:v>现在我来整理最终结果。从 r1（按近5日主力净流入合计排序）中筛选出 r2（今日涨幅为正）的股票，得到前20名。
---
**近5日主力净流入合计最高且今日涨幅为正的Top 20股票：**
| 排名 | 股票 | 近5日主力净流入(元) | 今日涨幅(%) |
|:---:|:---|:---:|:---:|
| 1 | **中国巨石** | 31.74亿 | +3.28 |
| 2 | **太极实业** | 31.07亿 | +10.03 |
| 3 | **三环集团** | 28.15亿 | +6.86 |
| 4 | **蓝色光标** | 23.42亿 | +19.98 |
| 5 | **普冉股份** | 18.34亿 | +0.50 |
| 6 | **利欧股份** | 17.44亿 | +9.91 |
| 7 | **江淮汽车** | 11.96亿 | +7.67 |
| 8 | **紫金矿业** | 10.77亿 | +0.76 |
| 9 | **金山办公** | 10.70亿 | +6.67 |
| 10 | **昆仑万维** | 9.45亿 | +20.00 |
| 11 | **药明康德** | 9.15亿 | +2.41 |
| 12 | **华峰测控** | 8.74亿 | +7.13 |
| 13 | **巨人网络** | 7.70亿 | +5.85 |
| 14 | **赛力斯** | 7.44亿 | +1.11 |
| 15 | **国瓷材料** | 7.31亿 | +1.24 |
| 16 | **正帆科技** | 7.25亿 | +1.78 |
| 17 | **博迁新材** | 6.84亿 | +2.35 |
| 18 | **宏和科技** | 6.08亿 | +2.38 |
| 19 | **利和兴** | 5.84亿 | +11.81 |
| 20 | **双星新材** | 5.82亿 | +4.16 |
**要点：**
- 近5日主力净流入合计最高的是**长鑫科技**（812.8亿），但今日涨幅未转正，因此未进入前20。
- 前20中，**昆仑万维**（+20.00%）、**蓝色光标**（+19.98%）和**太极实业**（+10.03%）今日涨幅领先，其中蓝色光标和昆仑万维近5日主力净流入均超9亿，量价配合明显。
- 整体来看，榜单覆盖了玻纤（中国巨石）、半导体（太极实业、华峰测控）、AI应用（昆仑万维、蓝色光标、金山办公）、新能源车（江淮汽车、赛力斯）等多条主线，资金面与股价表现同步共振较强。</x:v>
      </x:c>
    </x:row>
    <x:row r="74" ht="64" customHeight="1">
      <x:c r="A74" s="17" t="str">
        <x:v>BUS070</x:v>
      </x:c>
      <x:c r="B74" s="17" t="str">
        <x:v>筛选ROE高于15%、PE_TTM低于25且最新涨幅为正的股票。</x:v>
      </x:c>
      <x:c r="C74" s="17" t="str">
        <x:v>成功</x:v>
      </x:c>
      <x:c r="D74" s="17" t="str">
        <x:v>错误</x:v>
      </x:c>
      <x:c r="E74" s="19" t="n">
        <x:v>1</x:v>
      </x:c>
      <x:c r="F74" s="17" t="str">
        <x:v>ROE首步只返回11只股票，实际上是当前全局最新中报的小样本，不能代表所有股票各自最新财报；周日又称盘中实时行情。 主要根因：缺少“每只股票取各自最新一期再筛选”的groupwise-latest能力，模型用全局最新报告期/有限结果替代全市场。 聚合：fail 证据对齐：fail</x:v>
      </x:c>
      <x:c r="G74" s="17" t="str">
        <x:v>{
  "review_source": "deep_audit_061_120.json",
  "route_ok": true,
  "time": "fail",
  "entity": "warn",
  "numeric": "pass",
  "aggregation": "fail",
  "evidence_alignment": "fail"
}</x:v>
      </x:c>
      <x:c r="H74" s="17" t="str">
        <x:v>fail</x:v>
      </x:c>
      <x:c r="I74" s="17" t="str">
        <x:v>PASS: expected_dataview_coverage</x:v>
      </x:c>
      <x:c r="J74" s="17" t="str">
        <x:v>pass</x:v>
      </x:c>
      <x:c r="K74" s="17" t="str">
        <x:v>warn；fail</x:v>
      </x:c>
      <x:c r="L74" s="17" t="str">
        <x:v>fail</x:v>
      </x:c>
      <x:c r="M74" s="17" t="str">
        <x:v>否</x:v>
      </x:c>
      <x:c r="N74" s="17" t="str">
        <x:v>筛选完成，以下是全过程和结果：
---
**筛选条件：ROE &gt; 15% 且 PE_TTM &lt; 25 且 最新涨幅为正**
**数据口径：** 财务数据基于最新一期报告（2026-06-30 中报），估值数据为最新交易日，涨跌幅为盘中实时行情。
**第一步：ROE &gt; 15% → 11 只股票入围**
泽璟制药（45.70%）、东方精工（50.44%）、金煤科技（28.56%）、亚翔集成（20.91%）、西部矿业（20.41%）、东鹏饮料（19.84%）、仕佳光子（19.28%）、神火股份（18.30%）、昊志机电（15.66%）、智微智能（15.63%）、退市商城（101.36%）。
**第二步：PE_TTM &lt; 25 → 5 只通过**
| 股票 | ROE | PE_TTM |
|------|:---:|:------:|
| 东方精工 | 50.44% | 4.66 |
| 神火股份 | 18.30% | 8.52 |
| 西部矿业 | 20.41% | 15.41 |
| 东鹏饮料 | 19.84% | 20.33 |
| 金煤科技 | 28.56% | -44.03 |
**第三步：最新涨幅为正 → 最终 2 只命中**
- **东方精工（002611）** — ROE 50.44%，PE_TTM 4.66，最新涨幅 **+1.85%**，收盘价 15.98 元
- **西部矿业（601168）** — ROE 20.41%，PE_TTM 15.41，最新涨幅 **+4.15%**，收盘价 38.17 元
两只股票的共同特征是：高盈利（ROE均超20%）、低估值（PE_TTM均低于16倍），且当天盘中均保持上涨态势。</x:v>
      </x:c>
    </x:row>
    <x:row r="75" ht="64" customHeight="1">
      <x:c r="A75" s="17" t="str">
        <x:v>BUS071</x:v>
      </x:c>
      <x:c r="B75" s="17" t="str">
        <x:v>同时查询贵州茅台当前行情、最新PE/PB和最新股东户数。</x:v>
      </x:c>
      <x:c r="C75" s="17" t="str">
        <x:v>成功</x:v>
      </x:c>
      <x:c r="D75" s="17" t="str">
        <x:v>部分正确</x:v>
      </x:c>
      <x:c r="E75" s="19" t="n">
        <x:v>1</x:v>
      </x:c>
      <x:c r="F75" s="17" t="str">
        <x:v>行情、估值和股东户数均与证据一致，但仅查当前估值就断言“处于历史相对偏低水平”，缺少历史估值证据。 主要根因：Synthesis允许超出result_refs的金融判断，没有把证据边界约束到最终叙述。 聚合：na 证据对齐：warn</x:v>
      </x:c>
      <x:c r="G75" s="17" t="str">
        <x:v>{
  "review_source": "deep_audit_061_120.json",
  "route_ok": true,
  "time": "pass",
  "entity": "pass",
  "numeric": "pass",
  "aggregation": "na",
  "evidence_alignment": "warn"
}</x:v>
      </x:c>
      <x:c r="H75" s="17" t="str">
        <x:v>pass</x:v>
      </x:c>
      <x:c r="I75" s="17" t="str">
        <x:v>PASS: expected_dataview_coverage</x:v>
      </x:c>
      <x:c r="J75" s="17" t="str">
        <x:v>pass</x:v>
      </x:c>
      <x:c r="K75" s="17" t="str">
        <x:v>pass；pass</x:v>
      </x:c>
      <x:c r="L75" s="17" t="str">
        <x:v>warn</x:v>
      </x:c>
      <x:c r="M75" s="17" t="str">
        <x:v>否</x:v>
      </x:c>
      <x:c r="N75" s="17" t="str">
        <x:v>三项数据均已查到，口径如下：
**📊 最新行情（2026-07-31 周五）**
- 收盘价：**1,350.60 元**，跌 0.82%
- 成交额：73.73 亿元，换手率 0.44%
**📈 最新估值（同日）**
- PE（静态）：**20.41 倍** | PE（TTM）：**20.41 倍**
- PB：**6.23 倍**
- 总市值：**1.69 万亿元**
**👥 最新股东户数**
- 截至 **2026-03-31**（一季报）：**243,159 户**
茅台当前静态 PE 约 20.4 倍，处于历史相对偏低水平，市值维持在 1.69 万亿。股东户数数据目前披露至一季报，最新二季报披露后可查到更近的户数变化。</x:v>
      </x:c>
    </x:row>
    <x:row r="76" ht="64" customHeight="1">
      <x:c r="A76" s="17" t="str">
        <x:v>BUS072</x:v>
      </x:c>
      <x:c r="B76" s="17" t="str">
        <x:v>找出今天主力净流入前20只股票，并返回它们的融资余额和涨跌幅。</x:v>
      </x:c>
      <x:c r="C76" s="17" t="str">
        <x:v>成功</x:v>
      </x:c>
      <x:c r="D76" s="17" t="str">
        <x:v>部分正确</x:v>
      </x:c>
      <x:c r="E76" s="19" t="n">
        <x:v>0.95</x:v>
      </x:c>
      <x:c r="F76" s="17" t="str">
        <x:v>主力净流入与涨跌幅正确，但融资余额被强制查询7月31日后返回0行，未继续查询margin视图自身的最近可用日期。 主要根因：统一交易日被直接套到存在披露滞后的数据视图，未按dataview最大有效日期解析。 聚合：pass 证据对齐：pass</x:v>
      </x:c>
      <x:c r="G76" s="17" t="str">
        <x:v>{
  "review_source": "deep_audit_061_120.json",
  "route_ok": true,
  "time": "pass",
  "entity": "pass",
  "numeric": "pass",
  "aggregation": "pass",
  "evidence_alignment": "pass"
}</x:v>
      </x:c>
      <x:c r="H76" s="17" t="str">
        <x:v>pass</x:v>
      </x:c>
      <x:c r="I76" s="17" t="str">
        <x:v>PASS: expected_dataview_coverage</x:v>
      </x:c>
      <x:c r="J76" s="17" t="str">
        <x:v>pass</x:v>
      </x:c>
      <x:c r="K76" s="17" t="str">
        <x:v>pass；pass</x:v>
      </x:c>
      <x:c r="L76" s="17" t="str">
        <x:v>pass</x:v>
      </x:c>
      <x:c r="M76" s="17" t="str">
        <x:v>否</x:v>
      </x:c>
      <x:c r="N76" s="17" t="str">
        <x:v>数据已全部取回。以下是 **7月31日（最近交易日）** 主力净流入前20只股票的情况：
---
**主力净流入前20 &amp; 涨跌幅**
| 排名 | 股票 | 主力净流入（元） | 涨跌幅 |
|:---:|:---|:---|:---:|
| 1 | 东山精密 | 35.46亿 | +5.98% |
| 2 | 太极实业 | 29.21亿 | +10.03% |
| 3 | 蓝色光标 | 24.16亿 | +19.98% |
| 4 | 中国巨石 | 22.88亿 | +3.30% |
| 5 | 新易盛 | 18.06亿 | +6.71% |
| 6 | 中际旭创 | 17.56亿 | +4.40% |
| 7 | 寒武纪 | 16.71亿 | +6.10% |
| 8 | 兆易创新 | 16.45亿 | +2.02% |
| 9 | 生益科技 | 14.43亿 | +5.56% |
| 10 | 三环集团 | 13.05亿 | +6.06% |
| 11 | 普冉股份 | 12.92亿 | +0.50% |
| 12 | 北京君正 | 12.24亿 | +2.55% |
| 13 | 利欧股份 | 11.89亿 | +9.91% |
| 14 | 昆仑万维 | 10.19亿 | +20.00% |
| 15 | 长鑫科技 | 10.06亿 | +2.08% |
| 16 | 云南锗业 | 9.68亿 | +8.33% |
| 17 | 利通电子 | 9.40亿 | +10.00% |
| 18 | 金山办公 | 9.04亿 | +6.90% |
| 19 | 光迅科技 | 8.68亿 | +6.12% |
| 20 | 佰维存储 | 8.43亿 | +2.80% |
**融资余额**：当前数据源未返回融资余额记录，该字段暂不可得。
**整体特征**：当日主力资金大幅流入科技/半导体方向（东山精密、太极实业、新易盛、中际旭创、寒武纪等），且前20只股票全部收涨，其中昆仑万维（+20%）、蓝色光标（+20%）和太极实业（+10%）涨停或逼近涨停，显示主力资金驱动下的强势行情。</x:v>
      </x:c>
    </x:row>
    <x:row r="77" ht="64" customHeight="1">
      <x:c r="A77" s="17" t="str">
        <x:v>BUS073</x:v>
      </x:c>
      <x:c r="B77" s="17" t="str">
        <x:v>查询宁德时代最新财务ROE、当前估值和最近10日股价表现。</x:v>
      </x:c>
      <x:c r="C77" s="17" t="str">
        <x:v>成功</x:v>
      </x:c>
      <x:c r="D77" s="17" t="str">
        <x:v>正确</x:v>
      </x:c>
      <x:c r="E77" s="19" t="n">
        <x:v>1</x:v>
      </x:c>
      <x:c r="F77" s="17" t="str">
        <x:v>ROE、估值、10日行情及5.0%区间变化均与证据一致，无明显无效重试。 主要根因：无实质问题；这是稳定的多视图并行/串联查询正例。 聚合：pass 证据对齐：pass</x:v>
      </x:c>
      <x:c r="G77" s="17" t="str">
        <x:v>{
  "review_source": "deep_audit_061_120.json",
  "route_ok": true,
  "time": "pass",
  "entity": "pass",
  "numeric": "pass",
  "aggregation": "pass",
  "evidence_alignment": "pass"
}</x:v>
      </x:c>
      <x:c r="H77" s="17" t="str">
        <x:v>pass</x:v>
      </x:c>
      <x:c r="I77" s="17" t="str">
        <x:v>PASS: expected_dataview_coverage</x:v>
      </x:c>
      <x:c r="J77" s="17" t="str">
        <x:v>pass</x:v>
      </x:c>
      <x:c r="K77" s="17" t="str">
        <x:v>pass；pass</x:v>
      </x:c>
      <x:c r="L77" s="17" t="str">
        <x:v>pass</x:v>
      </x:c>
      <x:c r="M77" s="17" t="str">
        <x:v>否</x:v>
      </x:c>
      <x:c r="N77" s="17" t="str">
        <x:v>以下是宁德时代（300750.SZ）三项核心数据：
---
**① 最新ROE（2026年半年报，截至2026-06-30）**
| 指标 | 数值 |
|------|------|
| ROE | **12.08%** |
| 扣非ROE | 10.89% |
| 归母净利润 | 432.84亿元 |
| 归母权益 | 3,793.54亿元 |
半年ROE已达12%，全年维度盈利能力强劲。
---
**② 当前估值（2026-07-31收盘）**
| 指标 | 数值 |
|------|------|
| PE（TTM） | **21.52倍** |
| PB（MRQ） | **4.82倍** |
| 总市值 | **1.86万亿元** |
---
**③ 最近10个交易日股价表现（2026-07-20 → 2026-07-31）**
期间从376.43元涨至395.30元，累计上涨 **+5.0%**。节奏上先扬后震荡：
| 日期 | 收盘价（元） | 涨跌幅 | 成交额（亿元） |
|------|------------|-------|-------------|
| 07-20 | 376.43 | **+4.56%** | 16.63 |
| 07-21 | 382.20 | +1.53% | 16.94 |
| 07-22 | 372.26 | -2.60% | 11.69 |
| 07-23 | 385.99 | **+3.69%** | 13.61 |
| 07-24 | 383.01 | -0.77% | 9.82 |
| 07-27 | 400.00 | **+4.44%** | 18.88 |
| 07-28 | 390.86 | -2.29% | 14.65 |
| 07-29 | 396.84 | +1.53% | 15.93 |
| 07-30 | 401.88 | +1.27% | 18.10 |
| 07-31 | 395.30 | -1.64% | 15.60 |
整体来看，10日中有两个明显放量阳线（7/20和7/27涨幅超4.4%），股价中枢从376元上移至395元附近，成交额日均约15.2亿元，交投活跃。</x:v>
      </x:c>
    </x:row>
    <x:row r="78" ht="64" customHeight="1">
      <x:c r="A78" s="17" t="str">
        <x:v>BUS074</x:v>
      </x:c>
      <x:c r="B78" s="17" t="str">
        <x:v>筛选最新现金分红较高且当前PE_TTM低于20的股票。</x:v>
      </x:c>
      <x:c r="C78" s="17" t="str">
        <x:v>成功</x:v>
      </x:c>
      <x:c r="D78" s="17" t="str">
        <x:v>错误</x:v>
      </x:c>
      <x:c r="E78" s="19" t="n">
        <x:v>0.95</x:v>
      </x:c>
      <x:c r="F78" s="17" t="str">
        <x:v>未实现“每股最新分红后按分红高低筛选”：查询先按公告日排序并截断200条，最终表也未按每股分红降序；声称2026-08-01是最新交易日但当天为周六，并用手写代码列表二次查估值。 主要根因：groupwise-latest、跨结果稳定Join及排序口径没有形成HARD执行计划，模型用截断结果和手工代码搬运代替。 聚合：fail 证据对齐：fail</x:v>
      </x:c>
      <x:c r="G78" s="17" t="str">
        <x:v>{
  "review_source": "deep_audit_061_120.json",
  "route_ok": true,
  "time": "fail",
  "entity": "warn",
  "numeric": "warn",
  "aggregation": "fail",
  "evidence_alignment": "fail"
}</x:v>
      </x:c>
      <x:c r="H78" s="17" t="str">
        <x:v>fail</x:v>
      </x:c>
      <x:c r="I78" s="17" t="str">
        <x:v>PASS: expected_dataview_coverage</x:v>
      </x:c>
      <x:c r="J78" s="17" t="str">
        <x:v>warn</x:v>
      </x:c>
      <x:c r="K78" s="17" t="str">
        <x:v>warn；fail</x:v>
      </x:c>
      <x:c r="L78" s="17" t="str">
        <x:v>fail</x:v>
      </x:c>
      <x:c r="M78" s="17" t="str">
        <x:v>否</x:v>
      </x:c>
      <x:c r="N78" s="17" t="str">
        <x:v>筛选完成！以下是 **PE_TTM &lt; 20 且最新现金分红较高的股票**，按每股分红金额降序排列（数据截至 2026-08-01 最新交易日）：
---
### 🏆 Top 候选
| 股票 | 每股分红(元) | 公告日 | PE_TTM | 总市值(亿) |
|:--|:--:|:--:|:--:|:--:|
| **山西汾酒** | **6.56** | 07-27 | 14.14 | 1,552 |
| **达仁堂** | **2.34** | 07-03 | 13.52 | 218 |
| **新华保险** | **2.06** | 07-31 | **5.34** | 1,750 |
| **中国太保** | **1.15** | 07-09 | **5.77** | 2,949 |
| **招商银行** | **1.00** | 07-04 | **6.63** | 10,196 |
| **华域汽车** | **1.00** | 07-22 | **7.41** | 532 |
| **新奥股份** | **0.96** | 07-03 | 12.64 | 551 |
| **海信视像** | **0.94** | 08-01 | 14.23 | 355 |
| **成都银行** | **0.92** | 07-07 | **5.84** | 784 |
| **宁波银行** | **0.90** | 07-09 | **6.99** | 2,105 |
| **瀚蓝环境** | **0.80** | 07-10 | 11.84 | 252 |
| **招商港口** | **0.80** | 07-08 | — | — |
| **老凤祥** | **1.32** | 07-08 | 11.17 | 157 |
| **中国人寿** | **0.62** | 07-03 | **7.72** | 10,110 |
| **广发证券** | **0.50** | 07-31 | 10.68 | 1,545 |
---
### 关键发现
**双重低估值+高分红的代表**：新华保险（PE 5.34 + 每股派2.06元）、招商银行（PE 6.63 + 每股派1.00元）、成都银行（PE 5.84 + 每股派0.92元）、中国太保（PE 5.77 + 每股派1.15元）等，既满足 PE_TTM &lt; 20，又给出了业内领先的现金分红方案。
**高分红的行业分布**：银行（招商、浦发、宁波、成都）、保险（新华、太保、人寿）、白酒（山西汾酒）、中药（达仁堂）和公用事业（瀚蓝环境、申能股份）是 PE 低且分红高的主要板块。
**筛选口径说明**：PE_TTM 取自最新交易日（2026-08-01 前最近交易日），现金分红为最新公告的分红预案（div_progress=5 表示已实施或已公告），每股分红为税前金额。
需要我进一步分析其中某只股票的分红可持续性，或按股息率排序做个对比吗？</x:v>
      </x:c>
    </x:row>
    <x:row r="79" ht="64" customHeight="1">
      <x:c r="A79" s="17" t="str">
        <x:v>BUS075</x:v>
      </x:c>
      <x:c r="B79" s="17" t="str">
        <x:v>查询沪深300指数代码和指数名称。</x:v>
      </x:c>
      <x:c r="C79" s="17" t="str">
        <x:v>成功</x:v>
      </x:c>
      <x:c r="D79" s="17" t="str">
        <x:v>正确</x:v>
      </x:c>
      <x:c r="E79" s="19" t="n">
        <x:v>1</x:v>
      </x:c>
      <x:c r="F79" s="17" t="str">
        <x:v>代码和名称完全正确，一次查询完成。 主要根因：无实质问题。 聚合：na 证据对齐：pass</x:v>
      </x:c>
      <x:c r="G79" s="17" t="str">
        <x:v>{
  "review_source": "deep_audit_061_120.json",
  "route_ok": true,
  "time": "na",
  "entity": "pass",
  "numeric": "na",
  "aggregation": "na",
  "evidence_alignment": "pass"
}</x:v>
      </x:c>
      <x:c r="H79" s="17" t="str">
        <x:v>na</x:v>
      </x:c>
      <x:c r="I79" s="17" t="str">
        <x:v>PASS: expected_dataview_coverage</x:v>
      </x:c>
      <x:c r="J79" s="17" t="str">
        <x:v>na</x:v>
      </x:c>
      <x:c r="K79" s="17" t="str">
        <x:v>pass；na</x:v>
      </x:c>
      <x:c r="L79" s="17" t="str">
        <x:v>pass</x:v>
      </x:c>
      <x:c r="M79" s="17" t="str">
        <x:v>否</x:v>
      </x:c>
      <x:c r="N79" s="17" t="str">
        <x:v>沪深300指数的信息如下：
- **指数代码**：000300.SH
- **指数名称**：沪深300
该指数由沪深市场中规模大、流动性好的最具代表性的300只证券组成，综合反映沪深市场上市公司证券的整体表现。</x:v>
      </x:c>
    </x:row>
    <x:row r="80" ht="64" customHeight="1">
      <x:c r="A80" s="17" t="str">
        <x:v>BUS076</x:v>
      </x:c>
      <x:c r="B80" s="17" t="str">
        <x:v>列出名称包含中证的指数代码和名称。</x:v>
      </x:c>
      <x:c r="C80" s="17" t="str">
        <x:v>成功</x:v>
      </x:c>
      <x:c r="D80" s="17" t="str">
        <x:v>部分正确</x:v>
      </x:c>
      <x:c r="E80" s="19" t="n">
        <x:v>0.9</x:v>
      </x:c>
      <x:c r="F80" s="17" t="str">
        <x:v>limit=100且恰好返回100条，却声称“共100只、完整列表”，完整性未经证明。 主要根因：分页/总数协议缺失，limit命中上限时没有has_more警示。 聚合：fail 证据对齐：fail</x:v>
      </x:c>
      <x:c r="G80" s="17" t="str">
        <x:v>{
  "review_source": "deep_audit_061_120.json",
  "route_ok": true,
  "time": "na",
  "entity": "pass",
  "numeric": "na",
  "aggregation": "fail",
  "evidence_alignment": "fail"
}</x:v>
      </x:c>
      <x:c r="H80" s="17" t="str">
        <x:v>na</x:v>
      </x:c>
      <x:c r="I80" s="17" t="str">
        <x:v>PASS: expected_dataview_coverage</x:v>
      </x:c>
      <x:c r="J80" s="17" t="str">
        <x:v>na</x:v>
      </x:c>
      <x:c r="K80" s="17" t="str">
        <x:v>pass；na</x:v>
      </x:c>
      <x:c r="L80" s="17" t="str">
        <x:v>fail</x:v>
      </x:c>
      <x:c r="M80" s="17" t="str">
        <x:v>否</x:v>
      </x:c>
      <x:c r="N80" s="17" t="str">
        <x:v>名称包含"中证"的指数共 **100 只**，以下是完整列表：
| 代码 | 名称 |
|------|------|
| 000510.CSI | 中证A500 |
| 000510CNY010.CSI | 中证A500全收益 |
| 000510CNY020.CSI | 中证A500净收益 |
| 000510HKD200.CSI | 中证A500HKD |
| 000510HKD210.CSI | 中证A500(全)HKD |
| 000510HKD220.CSI | 中证A500(净)HKD |
| 000510HKD300.CSI | 中证A500HKD(CNH) |
| 000510HKD310.CSI | 中证A500(全)HKD(CNH) |
| 000510HKD320.CSI | 中证A500(净)HKD(CNH) |
| 000510USD200.CSI | 中证A500USD |
| 000510USD210.CSI | 中证A500(全)USD |
| 000510USD220.CSI | 中证A500(净)USD |
| 000510USD300.CSI | 中证A500USD(CNH) |
| 000510USD310.CSI | 中证A500(全)USD(CNH) |
| 000510USD320.CSI | 中证A500(净)USD(CNH) |
| 000827.SH | 中证环保 |
| 000852.SH | 中证1000 |
| 000894.CSI | 中证A100USD |
| 000902.CSI | 中证流通 |
| 000903.SH | 中证A100 |
| 000903USD210.CSI | 中证A100(全)USD |
| 000903USD220.CSI | 中证A100(净)USD |
| 000904.CSI | 中证200 |
| 000905.SH | 中证500 |
| 000905SEK200.CSI | 中证500SEK |
| 000906.SH | 中证800 |
| 000907.CSI | 中证700 |
| 000922.CSI | 中证红利 |
| 000922CNY020.CSI | 中证红利净收益 |
| 000926.CSI | 中证央企 |
| 000938.CSI | 中证民企 |
| 000949.CSI | 中证农业 |
| 000953.CSI | 中证地企 |
| 000955.CSI | 中证国企 |
| 000961.CSI | 中证上游 |
| 000962.CSI | 中证中游 |
| 000963.CSI | 中证下游 |
| 000964.CSI | 中证新兴 |
| 000980.CSI | 中证超大 |
| 000985.CSI | 中证全指 |
| 000985USD210.CSI | 中证全指(全)USD |
| 000985USD220.CSI | 中证全指(净)USD |
| 000985USD310.CSI | 中证全指(全)USD(CNH) |
| 000985USD320.CSI | 中证全指(净)USD(CNH) |
| 000998.CSI | 中证TMT |
| 399804.SZ | 中证体育 |
| 399808.SZ | 中证新能 |
| 399813.SZ | 中证国安 |
| 399852.SZ | 中证1000 |
| 399903.SZ | 中证A100 |
| 399904.SZ | 中证200 |
| 399905.SZ | 中证500 |
| 399922.SZ | 中证红利 |
| 399931.SZ | 中证可选 |
| 399961.SZ | 中证上游 |
| 399963.SZ | 中证下游 |
| 399964.SZ | 中证新兴 |
| 399967.SZ | 中证军工 |
| 399971.SZ | 中证传媒 |
| 399973.SZ | 中证国防 |
| 399986.SZ | 中证银行 |
| 399987.SZ | 中证酒 |
| 399989.SZ | 中证医疗 |
| 399997.SZ | 中证白酒 |
| 399997CNY02.CSI | 中证白酒净收益 |
| 399998.SZ | 中证煤炭 |
| 883304.TI | 中证500 |
| 921381.CSI | 中证长三角全收益 |
| 921459.SH | 中证800(全)USD |
| 921460.CSI | 中证1000(全)USD |
| 930050.CSI | 中证A50 |
| 930050CNY010.CSI | 中证A50全收益 |
| 930050C</x:v>
      </x:c>
    </x:row>
    <x:row r="81" ht="64" customHeight="1">
      <x:c r="A81" s="17" t="str">
        <x:v>BUS077</x:v>
      </x:c>
      <x:c r="B81" s="17" t="str">
        <x:v>查询上证指数、深证成指、创业板指的代码和名称。</x:v>
      </x:c>
      <x:c r="C81" s="17" t="str">
        <x:v>成功</x:v>
      </x:c>
      <x:c r="D81" s="17" t="str">
        <x:v>正确</x:v>
      </x:c>
      <x:c r="E81" s="19" t="n">
        <x:v>1</x:v>
      </x:c>
      <x:c r="F81" s="17" t="str">
        <x:v>三个指数一次IN查询准确返回，无无效操作。 主要根因：无实质问题。 聚合：na 证据对齐：pass</x:v>
      </x:c>
      <x:c r="G81" s="17" t="str">
        <x:v>{
  "review_source": "deep_audit_061_120.json",
  "route_ok": true,
  "time": "na",
  "entity": "pass",
  "numeric": "na",
  "aggregation": "na",
  "evidence_alignment": "pass"
}</x:v>
      </x:c>
      <x:c r="H81" s="17" t="str">
        <x:v>na</x:v>
      </x:c>
      <x:c r="I81" s="17" t="str">
        <x:v>PASS: expected_dataview_coverage</x:v>
      </x:c>
      <x:c r="J81" s="17" t="str">
        <x:v>na</x:v>
      </x:c>
      <x:c r="K81" s="17" t="str">
        <x:v>pass；na</x:v>
      </x:c>
      <x:c r="L81" s="17" t="str">
        <x:v>pass</x:v>
      </x:c>
      <x:c r="M81" s="17" t="str">
        <x:v>否</x:v>
      </x:c>
      <x:c r="N81" s="17" t="str">
        <x:v>三大指数的代码和名称如下：
| 指数名称 | 代码 |
|---------|------|
| **上证指数** | 000001.SH |
| **深证成指** | 399001.SZ |
| **创业板指** | 399006.SZ |</x:v>
      </x:c>
    </x:row>
    <x:row r="82" ht="64" customHeight="1">
      <x:c r="A82" s="17" t="str">
        <x:v>BUS078</x:v>
      </x:c>
      <x:c r="B82" s="17" t="str">
        <x:v>列出名称包含红利的指数代码和名称。</x:v>
      </x:c>
      <x:c r="C82" s="17" t="str">
        <x:v>成功</x:v>
      </x:c>
      <x:c r="D82" s="17" t="str">
        <x:v>部分正确</x:v>
      </x:c>
      <x:c r="E82" s="19" t="n">
        <x:v>1</x:v>
      </x:c>
      <x:c r="F82" s="17" t="str">
        <x:v>limit=100且返回100条后断言“总计刚好100只”，无法排除更多匹配记录。 主要根因：与BUS076相同，页大小被误解为全集计数。 聚合：fail 证据对齐：fail</x:v>
      </x:c>
      <x:c r="G82" s="17" t="str">
        <x:v>{
  "review_source": "deep_audit_061_120.json",
  "route_ok": true,
  "time": "na",
  "entity": "pass",
  "numeric": "na",
  "aggregation": "fail",
  "evidence_alignment": "fail"
}</x:v>
      </x:c>
      <x:c r="H82" s="17" t="str">
        <x:v>na</x:v>
      </x:c>
      <x:c r="I82" s="17" t="str">
        <x:v>PASS: expected_dataview_coverage</x:v>
      </x:c>
      <x:c r="J82" s="17" t="str">
        <x:v>na</x:v>
      </x:c>
      <x:c r="K82" s="17" t="str">
        <x:v>pass；na</x:v>
      </x:c>
      <x:c r="L82" s="17" t="str">
        <x:v>fail</x:v>
      </x:c>
      <x:c r="M82" s="17" t="str">
        <x:v>否</x:v>
      </x:c>
      <x:c r="N82" s="17" t="str">
        <x:v>名称包含"红利"的指数共有 **100** 只，以下是主要品种（已剔除全收益/净收益/人民币中间价等衍生版本，仅保留主代码）：
| 代码 | 名称 |
|------|------|
| 000015.SH | 红利指数 |
| 000149.SH | 180红利 |
| 000150.SH | 380红利 |
| 000151.SH | 上国红利 |
| 000152.SH | 上央红利 |
| 000153.SH | 上民红利 |
| 000821.CSI | 300红利 |
| 000822.CSI | 500红利 |
| 000824.CSI | 国企红利 |
| 000825.CSI | 央企红利 |
| 000826.CSI | 民企红利 |
| 000922.CSI | 中证红利 |
| 399321.SZ | 国证红利 |
| 399324.SZ | 深证红利 |
| 399411.SZ | 红利100 |
| 399649.SZ | 中小红利 |
| 399672.SZ | 深红利50 |
| 399922.SZ | 中证红利 |
| 803614.SL | SWHY红利增长 |
| 930740.CSI | 300红利低波 |
| 930784.CSI | HK红利EW |
| 930955.CSI | 红利低波100 |
| 930992.CSI | 沪港深红利低波 |
| 931056.CSI | 红利增长 |
| 931130.CSI | 红利成长低波 |
| 931132.CSI | 诚通央企红利 |
| 931157.CSI | SHS红利成长LV |
| 931231.CSI | 央企红利50 |
| 931233.CSI | 港股通央企红利 |
| 931345.CSI | 大湾区红利低波 |
| 931376.CSI | 泰康红利LV |
| 931446.CSI | 东证红利低波 |
| 931468.CSI | 红利质量 |
| 931644.CSI | 800红利 |
| 931645.CSI | 1000红利 |
| 931722.CSI | 国新港股通央企红利 |
| 931847.CSI | 500红利低波 |
| 931848.CSI | 800红利低波 |
| 931849.CSI | 1000红利低波 |
| 932017.CSI | 800红利增长 |
| 932018.CSI | 300红利增长 |
| 932019.CSI | 500红利增长 |
| 932020.CSI | 1000红利增长 |
| 932021.CSI | 中证红利SGD |
| 932072.CSI | 红利增长50 |
| 932154.CSI | A500红利 |
| 932254.CSI | 质量红利50 |
| 932255.CSI | A500红利增长 |
| 932308.CSI | 红利200 |
此外还有对应各主指数的**全收益、净收益、人民币中间价、港元/USD计价**等衍生版本，总计刚好 **100 只**指数名称中包含"红利"二字。</x:v>
      </x:c>
    </x:row>
    <x:row r="83" ht="64" customHeight="1">
      <x:c r="A83" s="17" t="str">
        <x:v>BUS079</x:v>
      </x:c>
      <x:c r="B83" s="17" t="str">
        <x:v>查询科创50指数的代码和名称。</x:v>
      </x:c>
      <x:c r="C83" s="17" t="str">
        <x:v>成功</x:v>
      </x:c>
      <x:c r="D83" s="17" t="str">
        <x:v>正确</x:v>
      </x:c>
      <x:c r="E83" s="19" t="n">
        <x:v>1</x:v>
      </x:c>
      <x:c r="F83" s="17" t="str">
        <x:v>科创50代码和名称准确，一次查询完成。 主要根因：无实质问题。 聚合：na 证据对齐：pass</x:v>
      </x:c>
      <x:c r="G83" s="17" t="str">
        <x:v>{
  "review_source": "deep_audit_061_120.json",
  "route_ok": true,
  "time": "na",
  "entity": "pass",
  "numeric": "na",
  "aggregation": "na",
  "evidence_alignment": "pass"
}</x:v>
      </x:c>
      <x:c r="H83" s="17" t="str">
        <x:v>na</x:v>
      </x:c>
      <x:c r="I83" s="17" t="str">
        <x:v>PASS: expected_dataview_coverage</x:v>
      </x:c>
      <x:c r="J83" s="17" t="str">
        <x:v>na</x:v>
      </x:c>
      <x:c r="K83" s="17" t="str">
        <x:v>pass；na</x:v>
      </x:c>
      <x:c r="L83" s="17" t="str">
        <x:v>pass</x:v>
      </x:c>
      <x:c r="M83" s="17" t="str">
        <x:v>否</x:v>
      </x:c>
      <x:c r="N83" s="17" t="str">
        <x:v>科创50指数：**代码** 000688.SH，**名称** 科创50。</x:v>
      </x:c>
    </x:row>
    <x:row r="84" ht="64" customHeight="1">
      <x:c r="A84" s="17" t="str">
        <x:v>BUS080</x:v>
      </x:c>
      <x:c r="B84" s="17" t="str">
        <x:v>查询名称包含医药的指数代码和名称。</x:v>
      </x:c>
      <x:c r="C84" s="17" t="str">
        <x:v>成功</x:v>
      </x:c>
      <x:c r="D84" s="17" t="str">
        <x:v>部分正确</x:v>
      </x:c>
      <x:c r="E84" s="19" t="n">
        <x:v>0.95</x:v>
      </x:c>
      <x:c r="F84" s="17" t="str">
        <x:v>先用name like 医药空查，再改为%医药%；limit=50命中上限后仍声称“共50只”。 主要根因：中文模糊查询语法没有统一规范化，且分页完整性协议缺失。 聚合：fail 证据对齐：fail</x:v>
      </x:c>
      <x:c r="G84" s="17" t="str">
        <x:v>{
  "review_source": "deep_audit_061_120.json",
  "route_ok": true,
  "time": "na",
  "entity": "pass",
  "numeric": "na",
  "aggregation": "fail",
  "evidence_alignment": "fail"
}</x:v>
      </x:c>
      <x:c r="H84" s="17" t="str">
        <x:v>na</x:v>
      </x:c>
      <x:c r="I84" s="17" t="str">
        <x:v>PASS: expected_dataview_coverage</x:v>
      </x:c>
      <x:c r="J84" s="17" t="str">
        <x:v>na</x:v>
      </x:c>
      <x:c r="K84" s="17" t="str">
        <x:v>pass；na</x:v>
      </x:c>
      <x:c r="L84" s="17" t="str">
        <x:v>fail</x:v>
      </x:c>
      <x:c r="M84" s="17" t="str">
        <x:v>否</x:v>
      </x:c>
      <x:c r="N84" s="17" t="str">
        <x:v>查询到名称包含"医药"的指数共 **50只**，列表如下：
| 代码 | 名称 |
|------|------|
| 000037.SH | 上证医药 |
| 000075.SH | 医药等权 |
| 000109.SH | 380医药 |
| 000121.SH | 医药主题 |
| 000808.CSI | 医药生物 |
| 000814.SH | 细分医药 |
| 000841.CSI | 800医药 |
| 000857.SH | 500医药 |
| 000913.SH | 300医药 |
| 000978.CSI | 医药100 |
| 000991.SH | 全指医药 |
| 002091.CJ | 医药流通及零售(长江) |
| 003163.CJ | 医药检测(长江) |
| 003233.CJ | 医药零售(长江) |
| 003234.CJ | 医药流通(长江) |
| 399275.SZ | 创医药 |
| 399386.SZ | 1000医药 |
| 399394.SZ | 国证医药 |
| 399441.SZ | 生物医药 |
| 399618.SZ | 深证医药 |
| 399647.SZ | 深医药50 |
| 399674.SZ | 深A医药 |
| 399676.SZ | 深医药EW |
| 399685.SZ | 深成医药 |
| 399913.SZ | 300医药 |
| 399978.SZ | 医药100 |
| 480013.SZ | 湾区医药R |
| 480014.SZ | 湾区医药R(港币) |
| 483023.SZ | 深港通医药卫生R |
| 483024.SZ | 深港通医药卫生R(港币) |
| 801150.SL | 医药生物 |
| 801154.SL | 医药商业 |
| 801274.SL | 医药医疗 |
| 806080.SL | 申万三板医药生物 |
| 851541.SL | 医药商业 |
| 851542.SL | 医药流通 |
| 865026.TI | 抗癌医药[US] |
| 865077.TI | 生物医药[US] |
| 875038.TI | 医药股[HK] |
| 875057.TI | 中医药[HK] |
| 875134.TI | 生物医药[HK] |
| 875188.TI | 生物医药B类[HK] |
| 881143.TI | 医药商业 |
| 885403.TI | 生物医药 |
| 885661.TI | 医药电商 |
| 899304.NQ | 三板医药 |
| 921383.CSI | CS医药50全收益 |
| 921467.CSI | 医药龙头全收益 |
| 921484.CSI | CS医药创新全收益 |
| 930681.CSI | 500医药(二级) |
覆盖了上交所、深交所、中证、国证、申万、长江、行业等多类指数的医药相关品种。如果对其中某只指数需要进一步查看行情、成分股等信息，可以继续查询。</x:v>
      </x:c>
    </x:row>
    <x:row r="85" ht="64" customHeight="1">
      <x:c r="A85" s="17" t="str">
        <x:v>BUS081</x:v>
      </x:c>
      <x:c r="B85" s="17" t="str">
        <x:v>沪深300当前点位、涨跌幅和成交额是多少？</x:v>
      </x:c>
      <x:c r="C85" s="17" t="str">
        <x:v>成功</x:v>
      </x:c>
      <x:c r="D85" s="17" t="str">
        <x:v>部分正确</x:v>
      </x:c>
      <x:c r="E85" s="19" t="n">
        <x:v>0.95</x:v>
      </x:c>
      <x:c r="F85" s="17" t="str">
        <x:v>点位和涨跌幅正确，但证据amount=832,909,109,293元，应约8329.09亿元，回答写成832.91亿元，少10倍。 主要根因：金额字段缺少机器可消费的单位/缩放元数据，模型自由换算出错。 聚合：na 证据对齐：fail</x:v>
      </x:c>
      <x:c r="G85" s="17" t="str">
        <x:v>{
  "review_source": "deep_audit_061_120.json",
  "route_ok": true,
  "time": "pass",
  "entity": "pass",
  "numeric": "fail",
  "aggregation": "na",
  "evidence_alignment": "fail"
}</x:v>
      </x:c>
      <x:c r="H85" s="17" t="str">
        <x:v>pass</x:v>
      </x:c>
      <x:c r="I85" s="17" t="str">
        <x:v>PASS: expected_dataview_coverage</x:v>
      </x:c>
      <x:c r="J85" s="17" t="str">
        <x:v>fail</x:v>
      </x:c>
      <x:c r="K85" s="17" t="str">
        <x:v>pass；pass</x:v>
      </x:c>
      <x:c r="L85" s="17" t="str">
        <x:v>fail</x:v>
      </x:c>
      <x:c r="M85" s="17" t="str">
        <x:v>否</x:v>
      </x:c>
      <x:c r="N85" s="17" t="str">
        <x:v>沪深300指数（截至 **2026-07-31** 收盘）情况如下：
- **最新点位**：4,588.20 点
- **涨跌幅**：+0.85%
- **成交额**：约 832.91 亿元
当日指数高开于 4,623.85 点，盘中最高触及 4,635.59 点，最低下探至 4,588.20 点，收盘基本收于日内低点附近，全天小幅收涨。</x:v>
      </x:c>
    </x:row>
    <x:row r="86" ht="64" customHeight="1">
      <x:c r="A86" s="17" t="str">
        <x:v>BUS082</x:v>
      </x:c>
      <x:c r="B86" s="17" t="str">
        <x:v>今天涨幅最高的指数前20名。</x:v>
      </x:c>
      <x:c r="C86" s="17" t="str">
        <x:v>成功</x:v>
      </x:c>
      <x:c r="D86" s="17" t="str">
        <x:v>部分正确</x:v>
      </x:c>
      <x:c r="E86" s="19" t="n">
        <x:v>1</x:v>
      </x:c>
      <x:c r="F86" s="17" t="str">
        <x:v>Top20排序和值正确，但周日只写“今天（最近交易日）”，查询输出未带tradedate，用户无法确认实际日期。 主要根因：realtime榜单未强制返回并展示as_of/tradedate。 聚合：pass 证据对齐：pass</x:v>
      </x:c>
      <x:c r="G86" s="17" t="str">
        <x:v>{
  "review_source": "deep_audit_061_120.json",
  "route_ok": true,
  "time": "warn",
  "entity": "pass",
  "numeric": "pass",
  "aggregation": "pass",
  "evidence_alignment": "pass"
}</x:v>
      </x:c>
      <x:c r="H86" s="17" t="str">
        <x:v>warn</x:v>
      </x:c>
      <x:c r="I86" s="17" t="str">
        <x:v>PASS: expected_dataview_coverage</x:v>
      </x:c>
      <x:c r="J86" s="17" t="str">
        <x:v>pass</x:v>
      </x:c>
      <x:c r="K86" s="17" t="str">
        <x:v>pass；warn</x:v>
      </x:c>
      <x:c r="L86" s="17" t="str">
        <x:v>pass</x:v>
      </x:c>
      <x:c r="M86" s="17" t="str">
        <x:v>否</x:v>
      </x:c>
      <x:c r="N86" s="17" t="str">
        <x:v>以下是今天（最近交易日）涨幅最高的前 **20 只指数**：
| 排名 | 指数名称 | 收盘点位 | 涨跌幅 |
|:---:|:---|:---:|:---:|
| 1 | 营销代理 | 2,339.79 | **+13.00%** |
| 2 | 中韩半导体 | 9,709.49 | **+12.35%** |
| 3 | 创业板传媒R | 1,230.37 | **+10.03%** |
| 4 | 创业板传媒 | 1,190.36 | **+10.03%** |
| 5 | 会展服务 | 2,022.74 | **+9.41%** |
| 6 | 其他自动化设备 | 5,270.44 | **+9.26%** |
| 7 | 广告营销 | 2,580.48 | **+9.02%** |
| 8 | 中韩50 | 3,272.12 | **+8.88%** |
| 9 | 机器人 | 12,553.57 | **+8.77%** |
| 10 | 科创计算机 | 1,039.79 | **+8.62%** |
| 11 | 科创计算机全收益 | 1,052.56 | **+8.62%** |
| 12 | 横向通用软件 | 24,247.79 | **+8.24%** |
| 13 | 创业软件R | 1,247.31 | **+8.21%** |
| 14 | 创业软件 | 1,204.51 | **+8.21%** |
| 15 | 港股通信息服务(全) | 1,192.78 | **+8.05%** |
| 16 | 港股通信息服务 | 1,145.06 | **+8.05%** |
| 17 | 港股通信息服务人民币中间价(全) | 1,262.79 | **+8.03%** |
| 18 | 港股通信息服务人民币中间价 | 1,212.27 | **+8.03%** |
| 19 | 深证AIGCR | 2,409.05 | **+8.03%** |
| 20 | 深证AIGC | 2,247.24 | **+8.03%** |
**今日亮点：** 涨幅居前的主要集中在**科技成长主题**——营销代理以 **+13.00%** 领涨全场，中韩半导体（+12.35%）紧随其后，传媒、机器人、软件、计算机和AIGC等方向也普遍录得 **8% 以上** 的涨幅，显示市场风险偏好较高，TMT 板块整体强势。</x:v>
      </x:c>
    </x:row>
    <x:row r="87" ht="64" customHeight="1">
      <x:c r="A87" s="17" t="str">
        <x:v>BUS083</x:v>
      </x:c>
      <x:c r="B87" s="17" t="str">
        <x:v>查询上证指数最近10个交易日收盘点位和涨跌幅。</x:v>
      </x:c>
      <x:c r="C87" s="17" t="str">
        <x:v>成功</x:v>
      </x:c>
      <x:c r="D87" s="17" t="str">
        <x:v>正确</x:v>
      </x:c>
      <x:c r="E87" s="19" t="n">
        <x:v>1</x:v>
      </x:c>
      <x:c r="F87" s="17" t="str">
        <x:v>10个交易日数据、时间顺序及约0.95%区间变化均合理。 主要根因：无实质问题。 聚合：pass 证据对齐：pass</x:v>
      </x:c>
      <x:c r="G87" s="17" t="str">
        <x:v>{
  "review_source": "deep_audit_061_120.json",
  "route_ok": true,
  "time": "pass",
  "entity": "pass",
  "numeric": "pass",
  "aggregation": "pass",
  "evidence_alignment": "pass"
}</x:v>
      </x:c>
      <x:c r="H87" s="17" t="str">
        <x:v>pass</x:v>
      </x:c>
      <x:c r="I87" s="17" t="str">
        <x:v>PASS: expected_dataview_coverage</x:v>
      </x:c>
      <x:c r="J87" s="17" t="str">
        <x:v>pass</x:v>
      </x:c>
      <x:c r="K87" s="17" t="str">
        <x:v>pass；pass</x:v>
      </x:c>
      <x:c r="L87" s="17" t="str">
        <x:v>pass</x:v>
      </x:c>
      <x:c r="M87" s="17" t="str">
        <x:v>否</x:v>
      </x:c>
      <x:c r="N87" s="17" t="str">
        <x:v>以下是上证指数最近10个交易日的收盘点位与涨跌幅（按时间顺序排列）：
| 日期 | 收盘点位（点） | 涨跌幅 |
|:---:|:---:|:---:|
| 2026-07-20 | 3,796.28 | +0.85% |
| 2026-07-21 | 3,864.37 | +1.79% |
| 2026-07-22 | 3,867.03 | +0.07% |
| 2026-07-23 | 3,876.78 | +0.25% |
| 2026-07-24 | 3,814.20 | -1.61% |
| 2026-07-27 | 3,858.25 | +1.15% |
| 2026-07-28 | 3,813.31 | -1.16% |
| 2026-07-29 | 3,828.47 | +0.40% |
| 2026-07-30 | 3,804.69 | -0.62% |
| 2026-07-31 | 3,832.26 | +0.72% |
**要点：** 截至7月31日，上证指数收于3,832.26点，最近10个交易日累计上涨约+0.95%（从3,796.28→3,832.26）。期间指数在3,796~3,877点区间波动，7月21日涨幅最大（+1.79%），7月24日回调最深（-1.61%），整体呈现震荡格局。</x:v>
      </x:c>
    </x:row>
    <x:row r="88" ht="64" customHeight="1">
      <x:c r="A88" s="17" t="str">
        <x:v>BUS084</x:v>
      </x:c>
      <x:c r="B88" s="17" t="str">
        <x:v>筛选今天成交额超过1000亿元且上涨的指数。</x:v>
      </x:c>
      <x:c r="C88" s="17" t="str">
        <x:v>成功</x:v>
      </x:c>
      <x:c r="D88" s="17" t="str">
        <x:v>错误</x:v>
      </x:c>
      <x:c r="E88" s="19" t="n">
        <x:v>0.7</x:v>
      </x:c>
      <x:c r="F88" s="17" t="str">
        <x:v>明确的指数行情筛选被顶层路由成clarify，并追问“个股深度分析还是热点/概念追踪”，没有进入金融查询。 主要根因：顶层意图/业务路由误判发生在Harness之前，澄清模板与原问题语义脱节。 聚合：unknown 证据对齐：fail</x:v>
      </x:c>
      <x:c r="G88" s="17" t="str">
        <x:v>{
  "review_source": "deep_audit_061_120.json",
  "route_ok": false,
  "time": "unknown",
  "entity": "unknown",
  "numeric": "unknown",
  "aggregation": "unknown",
  "evidence_alignment": "fail"
}</x:v>
      </x:c>
      <x:c r="H88" s="17" t="str">
        <x:v>unknown</x:v>
      </x:c>
      <x:c r="I88" s="17" t="str">
        <x:v>FAIL: expected_dataview_coverage</x:v>
      </x:c>
      <x:c r="J88" s="17" t="str">
        <x:v>unknown</x:v>
      </x:c>
      <x:c r="K88" s="17" t="str">
        <x:v>unknown；unknown</x:v>
      </x:c>
      <x:c r="L88" s="17" t="str">
        <x:v>fail</x:v>
      </x:c>
      <x:c r="M88" s="17" t="str">
        <x:v>是</x:v>
      </x:c>
      <x:c r="N88" s="17" t="str">
        <x:v>已识别为自然语言请求，当前 agent = investment_analyst，route_type = clarify。
需要澄清: {"state_type": "clarification_state", "status": "needs_user_input", "missing_slots": ["task_focus"], "prompt": "请说明你更想做个股深度分析，还是热点/概念追踪。", "resume_token": "clarify_75c2f67256f94b61", "slot_hints": {"task_focus": "请说明你更想做个股深度分析，还是热点/概念追踪。"}, "context_summary": {"task_type": "", "code": "", "name": ""}}</x:v>
      </x:c>
    </x:row>
    <x:row r="89" ht="64" customHeight="1">
      <x:c r="A89" s="17" t="str">
        <x:v>BUS085</x:v>
      </x:c>
      <x:c r="B89" s="17" t="str">
        <x:v>过去20个交易日跌幅最大的指数前10名。</x:v>
      </x:c>
      <x:c r="C89" s="17" t="str">
        <x:v>成功</x:v>
      </x:c>
      <x:c r="D89" s="17" t="str">
        <x:v>正确</x:v>
      </x:c>
      <x:c r="E89" s="19" t="n">
        <x:v>1</x:v>
      </x:c>
      <x:c r="F89" s="17" t="str">
        <x:v>专用kd_pct_sum一次完成20日跌幅Top10，排序和数值均有证据。 主要根因：无实质问题；这是专用聚合API有效减少循环的正例。 聚合：pass 证据对齐：pass</x:v>
      </x:c>
      <x:c r="G89" s="17" t="str">
        <x:v>{
  "review_source": "deep_audit_061_120.json",
  "route_ok": true,
  "time": "pass",
  "entity": "pass",
  "numeric": "pass",
  "aggregation": "pass",
  "evidence_alignment": "pass"
}</x:v>
      </x:c>
      <x:c r="H89" s="17" t="str">
        <x:v>pass</x:v>
      </x:c>
      <x:c r="I89" s="17" t="str">
        <x:v>PASS: expected_dataview_coverage</x:v>
      </x:c>
      <x:c r="J89" s="17" t="str">
        <x:v>pass</x:v>
      </x:c>
      <x:c r="K89" s="17" t="str">
        <x:v>pass；pass</x:v>
      </x:c>
      <x:c r="L89" s="17" t="str">
        <x:v>pass</x:v>
      </x:c>
      <x:c r="M89" s="17" t="str">
        <x:v>否</x:v>
      </x:c>
      <x:c r="N89" s="17" t="str">
        <x:v>以下是过去20个交易日累计跌幅最大的前10个指数：
| 排名 | 指数名称 | 20日累计涨跌幅 |
|:---:|:---|:---:|
| 1 | 通信线缆及配套 | **-40.24%** |
| 2 | 磨具磨料 | **-39.07%** |
| 3 | 玻纤制造 | **-38.14%** |
| 4 | 玻璃玻纤 | **-35.86%** |
| 5 | 分立器件 | **-35.78%** |
| 6 | 非金属材料Ⅲ | **-35.53%** |
| 7 | 非金属材料Ⅱ | **-35.53%** |
| 8 | 激光设备 | **-34.66%** |
| 9 | 半导体材料 | **-34.62%** |
| 10 | 电子化学品Ⅱ | **-33.44%** |
这10个指数过去20个交易日累计跌幅均超过33%，其中**通信线缆及配套**以-40.24%的跌幅居首，**磨具磨料**（-39.07%）和**玻纤制造**（-38.14%）紧随其后。从板块属性看，这些指数主要集中于**材料**（玻纤、非金属材料、电子化学品）和**科技硬件**（通信线缆、分立器件、半导体材料、激光设备）两大方向，说明过去一个月上述领域整体承压较重。</x:v>
      </x:c>
    </x:row>
    <x:row r="90" ht="64" customHeight="1">
      <x:c r="A90" s="17" t="str">
        <x:v>BUS086</x:v>
      </x:c>
      <x:c r="B90" s="17" t="str">
        <x:v>查询创业板指当前开盘价、最高价、最低价和最新点位。</x:v>
      </x:c>
      <x:c r="C90" s="17" t="str">
        <x:v>成功</x:v>
      </x:c>
      <x:c r="D90" s="17" t="str">
        <x:v>正确</x:v>
      </x:c>
      <x:c r="E90" s="19" t="n">
        <x:v>1</x:v>
      </x:c>
      <x:c r="F90" s="17" t="str">
        <x:v>请求的开高低收均正确；额外“振幅约3.6%”未按官方振幅口径使用前收，仅宜理解为日内高低区间。 主要根因：核心无问题；额外衍生指标缺少口径标签。 聚合：na 证据对齐：warn</x:v>
      </x:c>
      <x:c r="G90" s="17" t="str">
        <x:v>{
  "review_source": "deep_audit_061_120.json",
  "route_ok": true,
  "time": "pass",
  "entity": "pass",
  "numeric": "pass",
  "aggregation": "na",
  "evidence_alignment": "warn"
}</x:v>
      </x:c>
      <x:c r="H90" s="17" t="str">
        <x:v>pass</x:v>
      </x:c>
      <x:c r="I90" s="17" t="str">
        <x:v>PASS: expected_dataview_coverage</x:v>
      </x:c>
      <x:c r="J90" s="17" t="str">
        <x:v>pass</x:v>
      </x:c>
      <x:c r="K90" s="17" t="str">
        <x:v>pass；pass</x:v>
      </x:c>
      <x:c r="L90" s="17" t="str">
        <x:v>warn</x:v>
      </x:c>
      <x:c r="M90" s="17" t="str">
        <x:v>否</x:v>
      </x:c>
      <x:c r="N90" s="17" t="str">
        <x:v>创业板指（399006.SZ）最新行情数据如下（截至最后一个交易日 **2026-07-31**）：
| 指标 | 点位（点） |
|------|-----------|
| **开盘价** | 3,411.61 |
| **最高价** | 3,464.90 |
| **最低价** | 3,343.96 |
| **最新收盘价** | 3,343.96 |
当日创业板指高开至 3,411.61 点，盘中冲高到 3,464.90 点后回落，最终收于日内最低点 3,343.96 点，全天振幅约 3.6%。</x:v>
      </x:c>
    </x:row>
    <x:row r="91" ht="64" customHeight="1">
      <x:c r="A91" s="17" t="str">
        <x:v>BUS087</x:v>
      </x:c>
      <x:c r="B91" s="17" t="str">
        <x:v>查询沪深300最新PE、PB和总市值。</x:v>
      </x:c>
      <x:c r="C91" s="17" t="str">
        <x:v>成功</x:v>
      </x:c>
      <x:c r="D91" s="17" t="str">
        <x:v>证据不足</x:v>
      </x:c>
      <x:c r="E91" s="19" t="n">
        <x:v>0.95</x:v>
      </x:c>
      <x:c r="F91" s="17" t="str">
        <x:v>index.pricevalue仅返回2026-08-02周日占位记录，PE/PB/市值全为null；回答如实说明不可得。 主要根因：指数估值视图生成了自然日占位行且核心字段为空，没有回退到最近有值记录。 聚合：na 证据对齐：pass</x:v>
      </x:c>
      <x:c r="G91" s="17" t="str">
        <x:v>{
  "review_source": "deep_audit_061_120.json",
  "route_ok": true,
  "time": "fail",
  "entity": "pass",
  "numeric": "unknown",
  "aggregation": "na",
  "evidence_alignment": "pass"
}</x:v>
      </x:c>
      <x:c r="H91" s="17" t="str">
        <x:v>fail</x:v>
      </x:c>
      <x:c r="I91" s="17" t="str">
        <x:v>PASS: expected_dataview_coverage</x:v>
      </x:c>
      <x:c r="J91" s="17" t="str">
        <x:v>unknown</x:v>
      </x:c>
      <x:c r="K91" s="17" t="str">
        <x:v>pass；fail</x:v>
      </x:c>
      <x:c r="L91" s="17" t="str">
        <x:v>pass</x:v>
      </x:c>
      <x:c r="M91" s="17" t="str">
        <x:v>否</x:v>
      </x:c>
      <x:c r="N91" s="17" t="str">
        <x:v>查询结果显示，沪深300（000300.SH）数据记录已返回，交易日期为 **2026-08-02**，但当前数据源中 **PE、PB 和总市值** 三个字段均为空值，未提供该指数的估值与市值数据。
目前无法获取沪深300的最新PE、PB和总市值。建议通过其他数据源（如中证指数官网、Wind、Choice等终端）查询这些指标，或确认当前数据源是否已更新对沪深300估值数据的覆盖范围。</x:v>
      </x:c>
    </x:row>
    <x:row r="92" ht="64" customHeight="1">
      <x:c r="A92" s="17" t="str">
        <x:v>BUS088</x:v>
      </x:c>
      <x:c r="B92" s="17" t="str">
        <x:v>当前PE_TTM最低的指数前20名。</x:v>
      </x:c>
      <x:c r="C92" s="17" t="str">
        <x:v>成功</x:v>
      </x:c>
      <x:c r="D92" s="17" t="str">
        <x:v>证据不足</x:v>
      </x:c>
      <x:c r="E92" s="19" t="n">
        <x:v>0.9</x:v>
      </x:c>
      <x:c r="F92" s="17" t="str">
        <x:v>pe_ttm&gt;0返回0行，去掉过滤后仅得到全null记录；系统正确拒绝伪造排名。 主要根因：index.pricevalue缺少有效估值覆盖；空值不是Harness可通过重试修复的问题。 聚合：na 证据对齐：pass</x:v>
      </x:c>
      <x:c r="G92" s="17" t="str">
        <x:v>{
  "review_source": "deep_audit_061_120.json",
  "route_ok": true,
  "time": "unknown",
  "entity": "na",
  "numeric": "unknown",
  "aggregation": "na",
  "evidence_alignment": "pass"
}</x:v>
      </x:c>
      <x:c r="H92" s="17" t="str">
        <x:v>unknown</x:v>
      </x:c>
      <x:c r="I92" s="17" t="str">
        <x:v>PASS: expected_dataview_coverage</x:v>
      </x:c>
      <x:c r="J92" s="17" t="str">
        <x:v>unknown</x:v>
      </x:c>
      <x:c r="K92" s="17" t="str">
        <x:v>na；unknown</x:v>
      </x:c>
      <x:c r="L92" s="17" t="str">
        <x:v>pass</x:v>
      </x:c>
      <x:c r="M92" s="17" t="str">
        <x:v>否</x:v>
      </x:c>
      <x:c r="N92" s="17" t="str">
        <x:v>当前数据源中，**指数估值数据（PE_TTM）暂时不可用**。查询返回了20只指数（如红利指数、上证50、上证指数、180金融等）的身份信息，但 `pe_ttm`、`pe`、`pb` 等估值字段均未提供数值，无法据此排序并给出PE_TTM最低的前20名榜单。
如果你需要了解特定指数的估值情况，可以告知指数名称，我尝试通过其他途径查询。或者，你是否想查看其他维度（如板块、行业）的PE_TTM排名？</x:v>
      </x:c>
    </x:row>
    <x:row r="93" ht="64" customHeight="1">
      <x:c r="A93" s="17" t="str">
        <x:v>BUS089</x:v>
      </x:c>
      <x:c r="B93" s="17" t="str">
        <x:v>筛选PB低于1.5的指数。</x:v>
      </x:c>
      <x:c r="C93" s="17" t="str">
        <x:v>成功</x:v>
      </x:c>
      <x:c r="D93" s="17" t="str">
        <x:v>证据不足</x:v>
      </x:c>
      <x:c r="E93" s="19" t="n">
        <x:v>0.9</x:v>
      </x:c>
      <x:c r="F93" s="17" t="str">
        <x:v>两次正PB过滤均为0，抽样仅见2026-08-02周日全null占位记录；回答正确说明不可筛选。 主要根因：index.pricevalue的PB字段无有效数据并存在周末占位日期。 聚合：na 证据对齐：pass</x:v>
      </x:c>
      <x:c r="G93" s="17" t="str">
        <x:v>{
  "review_source": "deep_audit_061_120.json",
  "route_ok": true,
  "time": "fail",
  "entity": "pass",
  "numeric": "unknown",
  "aggregation": "na",
  "evidence_alignment": "pass"
}</x:v>
      </x:c>
      <x:c r="H93" s="17" t="str">
        <x:v>fail</x:v>
      </x:c>
      <x:c r="I93" s="17" t="str">
        <x:v>PASS: expected_dataview_coverage</x:v>
      </x:c>
      <x:c r="J93" s="17" t="str">
        <x:v>unknown</x:v>
      </x:c>
      <x:c r="K93" s="17" t="str">
        <x:v>pass；fail</x:v>
      </x:c>
      <x:c r="L93" s="17" t="str">
        <x:v>pass</x:v>
      </x:c>
      <x:c r="M93" s="17" t="str">
        <x:v>否</x:v>
      </x:c>
      <x:c r="N93" s="17" t="str">
        <x:v>抱歉，当前数据源中的指数估值数据并未提供 PB（市净率）字段——查询返回了上证指数、A股指数、B股指数等指数记录，但 **pb 字段均为空值**。因此无法通过 PB 低于 1.5 的条件来筛选指数。
如果您有其他条件或想通过其他角度（如指数行情、成分股等）来筛选，可以告诉我，我换一条路径试试。</x:v>
      </x:c>
    </x:row>
    <x:row r="94" ht="64" customHeight="1">
      <x:c r="A94" s="17" t="str">
        <x:v>BUS090</x:v>
      </x:c>
      <x:c r="B94" s="17" t="str">
        <x:v>查询中证500最近估值PE和PB。</x:v>
      </x:c>
      <x:c r="C94" s="17" t="str">
        <x:v>成功</x:v>
      </x:c>
      <x:c r="D94" s="17" t="str">
        <x:v>证据不足</x:v>
      </x:c>
      <x:c r="E94" s="19" t="n">
        <x:v>0.9</x:v>
      </x:c>
      <x:c r="F94" s="17" t="str">
        <x:v>最新、前一交易日和历史探测都未取得中证500有效PE/PB，仅有2026-08-02全null占位；回答没有编造。 主要根因：指数估值数据视图无历史有效值/没有按最近非空值回退。 聚合：na 证据对齐：pass</x:v>
      </x:c>
      <x:c r="G94" s="17" t="str">
        <x:v>{
  "review_source": "deep_audit_061_120.json",
  "route_ok": true,
  "time": "fail",
  "entity": "pass",
  "numeric": "unknown",
  "aggregation": "na",
  "evidence_alignment": "pass"
}</x:v>
      </x:c>
      <x:c r="H94" s="17" t="str">
        <x:v>fail</x:v>
      </x:c>
      <x:c r="I94" s="17" t="str">
        <x:v>PASS: expected_dataview_coverage</x:v>
      </x:c>
      <x:c r="J94" s="17" t="str">
        <x:v>unknown</x:v>
      </x:c>
      <x:c r="K94" s="17" t="str">
        <x:v>pass；fail</x:v>
      </x:c>
      <x:c r="L94" s="17" t="str">
        <x:v>pass</x:v>
      </x:c>
      <x:c r="M94" s="17" t="str">
        <x:v>否</x:v>
      </x:c>
      <x:c r="N94" s="17" t="str">
        <x:v>当前数据源中，中证500（000905.SH）在最新记录日期 **2026-08-02** 的身份信息已返回，但 **PE、PE_TTM、PB、PB_MRQ 四个估值字段均为空值**，当前数据源未提供该指数的有效估值数据。</x:v>
      </x:c>
    </x:row>
    <x:row r="95" ht="64" customHeight="1">
      <x:c r="A95" s="17" t="str">
        <x:v>BUS091</x:v>
      </x:c>
      <x:c r="B95" s="17" t="str">
        <x:v>当前市场规模最大的指数前20名。</x:v>
      </x:c>
      <x:c r="C95" s="17" t="str">
        <x:v>成功</x:v>
      </x:c>
      <x:c r="D95" s="17" t="str">
        <x:v>部分正确</x:v>
      </x:c>
      <x:c r="E95" s="19" t="n">
        <x:v>0.85</x:v>
      </x:c>
      <x:c r="F95" s="17" t="str">
        <x:v>目标市值字段全为空，系统最终如实说明无法给出市场规模前20名；但先后进行了大量目录、分页和不支持的跨表聚合探测，并未经用户确认展示成交额替代榜单。 主要根因：index.pricevalue数据缺口与constitution跨表聚合能力缺失；Harness在能力已证伪后仍继续扩散搜索。 聚合：fail 证据对齐：pass</x:v>
      </x:c>
      <x:c r="G95" s="17" t="str">
        <x:v>{
  "review_source": "deep_audit_061_120.json",
  "route_ok": true,
  "time": "pass",
  "entity": "pass",
  "numeric": "pass",
  "aggregation": "fail",
  "evidence_alignment": "pass"
}</x:v>
      </x:c>
      <x:c r="H95" s="17" t="str">
        <x:v>pass</x:v>
      </x:c>
      <x:c r="I95" s="17" t="str">
        <x:v>PASS: expected_dataview_coverage</x:v>
      </x:c>
      <x:c r="J95" s="17" t="str">
        <x:v>pass</x:v>
      </x:c>
      <x:c r="K95" s="17" t="str">
        <x:v>pass；pass</x:v>
      </x:c>
      <x:c r="L95" s="17" t="str">
        <x:v>pass</x:v>
      </x:c>
      <x:c r="M95" s="17" t="str">
        <x:v>否</x:v>
      </x:c>
      <x:c r="N95" s="17" t="str">
        <x:v>感谢你的查询。我尝试了多种方式获取指数的"市场规模"（即成分股总市值），但当前数据源有以下限制：
- **`index.pricevalue` 的 `market_value`（总市值）字段**：返回为空，该字段暂未提供数据。
- **`index.constitution.agg` 聚合**：不支持对 `stock.pricevalue.market_value` 做聚合计算，无法通过成分股汇总得到指数总市值。
- **成分股数据**：数据源中仅有上证指数、沪深300、上证50、科创50、创业板指 5 只指数有成分股记录，不足以覆盖前20名。
因此，目前无法直接给出按成分股总市值排序的指数前20名。
作为替代参考，以下是 **2026年7月31日成交额最大的指数前20名**（成交额反映市场交易规模，一定程度上体现指数的市场覆盖广度）：
| 排名 | 指数名称 | 成交额（元） | 收盘点位 | 涨跌幅 |
|:---:|:---|:---|---:|:---:|
| 1 | 两岸三地(全)TWD | 5.10万亿 | 5,876.0 | +2.28% |
| 2 | 沪港深通综合HKD | 2.83万亿 | 2,954.7 | +1.39% |
| 3 | 中国内地全指 | 2.59万亿 | 4,078.9 | +1.42% |
| 4 | 申万Ａ指 | 2.49万亿 | 4,448.4 | +1.86% |
| 5 | 国证A指 | 2.47万亿 | 6,648.4 | +1.80% |
| 6 | 中证流通 | 2.46万亿 | 6,032.1 | +1.80% |
| 7 | 中证A股 | 2.46万亿 | 3,914.5 | +1.80% |
| 8 | 中证全指 | 2.45万亿 | 5,681.2 | +1.79% |
| 9 | 全指等权 | 2.45万亿 | 2,763.7 | +2.32% |
另外，数据源中主要宽基指数的成分股覆盖情况为：**上证指数**（2,184只）覆盖范围最广，其次是**沪深300**（300只）、**创业板指**（100只）、**上证50**（50只）和**科创50**（50只）。
如果你需要我按其他维度（如覆盖的市值规模）进一步分析，请告诉我具体的口径，我可以尝试其他方法。</x:v>
      </x:c>
    </x:row>
    <x:row r="96" ht="64" customHeight="1">
      <x:c r="A96" s="17" t="str">
        <x:v>BUS092</x:v>
      </x:c>
      <x:c r="B96" s="17" t="str">
        <x:v>筛选PS_TTM低于2的指数。</x:v>
      </x:c>
      <x:c r="C96" s="17" t="str">
        <x:v>成功</x:v>
      </x:c>
      <x:c r="D96" s="17" t="str">
        <x:v>错误</x:v>
      </x:c>
      <x:c r="E96" s="19" t="n">
        <x:v>1</x:v>
      </x:c>
      <x:c r="F96" s="17" t="str">
        <x:v>ps_ttm&lt;2返回0行，但该视图实际存在全null占位记录；回答把“没有可用值”错误推断为“所有指数PS_TTM都不低于2”。 主要根因：零结果与缺数据语义未区分，Synthesis对空集合做了全称反推。 聚合：na 证据对齐：fail</x:v>
      </x:c>
      <x:c r="G96" s="17" t="str">
        <x:v>{
  "review_source": "deep_audit_061_120.json",
  "route_ok": true,
  "time": "fail",
  "entity": "pass",
  "numeric": "fail",
  "aggregation": "na",
  "evidence_alignment": "fail"
}</x:v>
      </x:c>
      <x:c r="H96" s="17" t="str">
        <x:v>fail</x:v>
      </x:c>
      <x:c r="I96" s="17" t="str">
        <x:v>PASS: expected_dataview_coverage</x:v>
      </x:c>
      <x:c r="J96" s="17" t="str">
        <x:v>fail</x:v>
      </x:c>
      <x:c r="K96" s="17" t="str">
        <x:v>pass；fail</x:v>
      </x:c>
      <x:c r="L96" s="17" t="str">
        <x:v>fail</x:v>
      </x:c>
      <x:c r="M96" s="17" t="str">
        <x:v>否</x:v>
      </x:c>
      <x:c r="N96" s="17" t="str">
        <x:v>当前数据源中，**没有查询到 PS_TTM 低于 2 的指数记录**。查询条件（`ps_ttm &lt; 2`）已正确执行，但返回零行，说明现有指数估值数据中所有指数的滚动市销率均不低于 2。</x:v>
      </x:c>
    </x:row>
    <x:row r="97" ht="64" customHeight="1">
      <x:c r="A97" s="17" t="str">
        <x:v>BUS093</x:v>
      </x:c>
      <x:c r="B97" s="17" t="str">
        <x:v>列出沪深300当前成分股和权重。</x:v>
      </x:c>
      <x:c r="C97" s="17" t="str">
        <x:v>成功</x:v>
      </x:c>
      <x:c r="D97" s="17" t="str">
        <x:v>部分正确</x:v>
      </x:c>
      <x:c r="E97" s="19" t="n">
        <x:v>0.85</x:v>
      </x:c>
      <x:c r="F97" s="17" t="str">
        <x:v>系统正确披露weight全空且仅返回100只深市成分股，但未能交付完整300只名单和权重，最终回答还在第100只附近被截断。 主要根因：index.constitution权重字段和沪市覆盖缺失，同时完整列表展示没有文件化/分页Renderer。 聚合：fail 证据对齐：pass</x:v>
      </x:c>
      <x:c r="G97" s="17" t="str">
        <x:v>{
  "review_source": "deep_audit_061_120.json",
  "route_ok": true,
  "time": "na",
  "entity": "warn",
  "numeric": "unknown",
  "aggregation": "fail",
  "evidence_alignment": "pass"
}</x:v>
      </x:c>
      <x:c r="H97" s="17" t="str">
        <x:v>na</x:v>
      </x:c>
      <x:c r="I97" s="17" t="str">
        <x:v>PASS: expected_dataview_coverage</x:v>
      </x:c>
      <x:c r="J97" s="17" t="str">
        <x:v>unknown</x:v>
      </x:c>
      <x:c r="K97" s="17" t="str">
        <x:v>warn；na</x:v>
      </x:c>
      <x:c r="L97" s="17" t="str">
        <x:v>pass</x:v>
      </x:c>
      <x:c r="M97" s="17" t="str">
        <x:v>否</x:v>
      </x:c>
      <x:c r="N97" s="17" t="str">
        <x:v>沪深300当前成分股已查询到，但有两个限制需要说明：
**1. 权重数据不可得** — `weight` 字段在当前数据源中全部为空，无法提供各成分股的权重信息。
**2. 成分股名单不完整** — 当前数据源返回了 **100 只成分股**（均为深市股票，如宁德时代、美的集团、比亚迪、五粮液等），缺少沪市股票部分（600/601/603/688开头），并非沪深300全量300只成分股名单。
以下是返回的100只深市成分股（按代码排序）：
| 代码 | 名称 | 权重 |
|:---:|:---|:---:|
| 000001.SZ | 平安银行 | — |
| 000002.SZ | 万科A | — |
| 000063.SZ | 中兴通讯 | — |
| 000100.SZ | TCL科技 | — |
| 000157.SZ | 中联重科 | — |
| 000166.SZ | 申万宏源 | — |
| 000301.SZ | 东方盛虹 | — |
| 000333.SZ | 美的集团 | — |
| 000338.SZ | 潍柴动力 | — |
| 000408.SZ | 藏格矿业 | — |
| 000425.SZ | 徐工机械 | — |
| 000538.SZ | 云南白药 | — |
| 000568.SZ | 泸州老窖 | — |
| 000596.SZ | 古井贡酒 | — |
| 000617.SZ | 中油资本 | — |
| 000625.SZ | 长安汽车 | — |
| 000630.SZ | 铜陵有色 | — |
| 000651.SZ | 格力电器 | — |
| 000657.SZ | 中钨高新 | — |
| 000708.SZ | 中信特钢 | — |
| 000725.SZ | 京东方A | — |
| 000768.SZ | 中航西飞 | — |
| 000776.SZ | 广发证券 | — |
| 000792.SZ | 盐湖股份 | — |
| 000807.SZ | 云铝股份 | — |
| 000858.SZ | 五粮液 | — |
| 000895.SZ | 双汇发展 | — |
| 000938.SZ | 紫光股份 | — |
| 000963.SZ | 华东医药 | — |
| 000975.SZ | 山金国际 | — |
| 000977.SZ | 浪潮信息 | — |
| 000988.SZ | 华工科技 | — |
| 000999.SZ | 华润三九 | — |
| 001280.SZ | 中国铀业 | — |
| 001391.SZ | 国货航 | — |
| 001965.SZ | 招商公路 | — |
| 001979.SZ | 招商蛇口 | — |
| 002001.SZ | 新和成 | — |
| 002027.SZ | 分众传媒 | — |
| 002028.SZ | 思源电气 | — |
| 002049.SZ | 紫光国微 | — |
| 002050.SZ | 三花智控 | — |
| 002074.SZ | 国轩高科 | — |
| 002142.SZ | 宁波银行 | — |
| 002179.SZ | 中航光电 | — |
| 002202.SZ | 金风科技 | — |
| 002230.SZ | 科大讯飞 | — |
| 002236.SZ | 大华股份 | — |
| 002241.SZ | 歌尔股份 | — |
| 002304.SZ | 洋河股份 | — |
| 002311.SZ | 海大集团 | — |
| 002352.SZ | 顺丰控股 | — |
| 002353.SZ | 杰瑞股份 | — |
| 002371.SZ | 北方华创 | — |
| 002384.SZ | 东山精密 | — |
| 002415.SZ | 海康威视 | — |
| 002422.SZ | 科伦药业 | — |
| 002460.SZ | 赣锋锂业 | — |
| 002463.SZ | 沪电股份 | — |
| 002466.SZ | 天齐锂业 | — |
| 002475.SZ | 立讯精密 | — |
| 002493.SZ | 荣盛石化 | — |
| 002532.SZ | 天山铝业 | — |
| 002558.SZ | 巨人网络 | — |
| 002594.SZ | 比亚迪 | — |
| 002600.SZ | 领益智造 | — |
| 002602.SZ | 世纪华通 | — |
| 002625.SZ | 光启技术 | — |
| 002648.SZ | 卫星化学 | — |
| 002709.SZ | 天赐材</x:v>
      </x:c>
    </x:row>
    <x:row r="98" ht="64" customHeight="1">
      <x:c r="A98" s="17" t="str">
        <x:v>BUS094</x:v>
      </x:c>
      <x:c r="B98" s="17" t="str">
        <x:v>查询沪深300前10大权重股。</x:v>
      </x:c>
      <x:c r="C98" s="17" t="str">
        <x:v>成功</x:v>
      </x:c>
      <x:c r="D98" s="17" t="str">
        <x:v>证据不足</x:v>
      </x:c>
      <x:c r="E98" s="19" t="n">
        <x:v>0.95</x:v>
      </x:c>
      <x:c r="F98" s="17" t="str">
        <x:v>weight字段全为空，返回的10只只是代码顺序而非前十大权重股；回答明确披露限制，没有伪造权重。 主要根因：index.constitution缺少有效权重数据，null列无法支持Top-K。 聚合：fail 证据对齐：pass</x:v>
      </x:c>
      <x:c r="G98" s="17" t="str">
        <x:v>{
  "review_source": "deep_audit_061_120.json",
  "route_ok": true,
  "time": "na",
  "entity": "pass",
  "numeric": "unknown",
  "aggregation": "fail",
  "evidence_alignment": "pass"
}</x:v>
      </x:c>
      <x:c r="H98" s="17" t="str">
        <x:v>na</x:v>
      </x:c>
      <x:c r="I98" s="17" t="str">
        <x:v>PASS: expected_dataview_coverage</x:v>
      </x:c>
      <x:c r="J98" s="17" t="str">
        <x:v>unknown</x:v>
      </x:c>
      <x:c r="K98" s="17" t="str">
        <x:v>pass；na</x:v>
      </x:c>
      <x:c r="L98" s="17" t="str">
        <x:v>pass</x:v>
      </x:c>
      <x:c r="M98" s="17" t="str">
        <x:v>否</x:v>
      </x:c>
      <x:c r="N98" s="17" t="str">
        <x:v>根据查询结果，当前数据源中沪深300指数的成分股信息可以获取，但**权重字段（weight）为空值**，因此无法提供各成分股的具体权重数据，也无法确定真正的前10大权重股排名。
按数据源返回的10只成分股名单如下：
| 代码 | 名称 |
|------|------|
| 000001.SZ | 平安银行 |
| 000002.SZ | 万科A |
| 000063.SZ | 中兴通讯 |
| 000100.SZ | TCL科技 |
| 000157.SZ | 中联重科 |
| 000166.SZ | 申万宏源 |
| 000301.SZ | 东方盛虹 |
| 000333.SZ | 美的集团 |
| 000338.SZ | 潍柴动力 |
| 000408.SZ | 藏格矿业 |
**需要说明的是**：由于权重字段缺失，上述列表按股票代码排序展示，并非真正的权重排名。要获取沪深300精确的权重排名，建议参考中证指数公司官网的定期权重公告，或通过其他数据源补充。</x:v>
      </x:c>
    </x:row>
    <x:row r="99" ht="64" customHeight="1">
      <x:c r="A99" s="17" t="str">
        <x:v>BUS095</x:v>
      </x:c>
      <x:c r="B99" s="17" t="str">
        <x:v>筛选沪深300成分股中权重超过2%的股票。</x:v>
      </x:c>
      <x:c r="C99" s="17" t="str">
        <x:v>成功</x:v>
      </x:c>
      <x:c r="D99" s="17" t="str">
        <x:v>错误</x:v>
      </x:c>
      <x:c r="E99" s="19" t="n">
        <x:v>0.7</x:v>
      </x:c>
      <x:c r="F99" s="17" t="str">
        <x:v>明确的指数成分股筛选被路由成clarify，并追问个股深度分析或热点追踪，没有进入金融查询。 主要根因：顶层意图路由对结构清晰的金融数据请求误触发通用澄清模板。 聚合：unknown 证据对齐：fail</x:v>
      </x:c>
      <x:c r="G99" s="17" t="str">
        <x:v>{
  "review_source": "deep_audit_061_120.json",
  "route_ok": false,
  "time": "unknown",
  "entity": "unknown",
  "numeric": "unknown",
  "aggregation": "unknown",
  "evidence_alignment": "fail"
}</x:v>
      </x:c>
      <x:c r="H99" s="17" t="str">
        <x:v>unknown</x:v>
      </x:c>
      <x:c r="I99" s="17" t="str">
        <x:v>FAIL: expected_dataview_coverage</x:v>
      </x:c>
      <x:c r="J99" s="17" t="str">
        <x:v>unknown</x:v>
      </x:c>
      <x:c r="K99" s="17" t="str">
        <x:v>unknown；unknown</x:v>
      </x:c>
      <x:c r="L99" s="17" t="str">
        <x:v>fail</x:v>
      </x:c>
      <x:c r="M99" s="17" t="str">
        <x:v>是</x:v>
      </x:c>
      <x:c r="N99" s="17" t="str">
        <x:v>已识别为自然语言请求，当前 agent = investment_analyst，route_type = clarify。
需要澄清: {"state_type": "clarification_state", "status": "needs_user_input", "missing_slots": ["task_focus"], "prompt": "请说明你更想做个股深度分析，还是热点/概念追踪。", "resume_token": "clarify_abbbf36e58d2465e", "slot_hints": {"task_focus": "请说明你更想做个股深度分析，还是热点/概念追踪。"}, "context_summary": {"task_type": "", "code": "", "name": ""}}</x:v>
      </x:c>
    </x:row>
    <x:row r="100" ht="64" customHeight="1">
      <x:c r="A100" s="17" t="str">
        <x:v>BUS096</x:v>
      </x:c>
      <x:c r="B100" s="17" t="str">
        <x:v>查询中证500当前成分股数量。</x:v>
      </x:c>
      <x:c r="C100" s="17" t="str">
        <x:v>成功</x:v>
      </x:c>
      <x:c r="D100" s="17" t="str">
        <x:v>正确</x:v>
      </x:c>
      <x:c r="E100" s="19" t="n">
        <x:v>1</x:v>
      </x:c>
      <x:c r="F100" s="17" t="str">
        <x:v>两个同名指数代码均聚合为500只，回答正确归并为中证500当前成分股数量500。 主要根因：无实质问题；专用constitution.agg一次得到可靠计数。 聚合：pass 证据对齐：pass</x:v>
      </x:c>
      <x:c r="G100" s="17" t="str">
        <x:v>{
  "review_source": "deep_audit_061_120.json",
  "route_ok": true,
  "time": "na",
  "entity": "pass",
  "numeric": "pass",
  "aggregation": "pass",
  "evidence_alignment": "pass"
}</x:v>
      </x:c>
      <x:c r="H100" s="17" t="str">
        <x:v>na</x:v>
      </x:c>
      <x:c r="I100" s="17" t="str">
        <x:v>PASS: expected_dataview_coverage</x:v>
      </x:c>
      <x:c r="J100" s="17" t="str">
        <x:v>pass</x:v>
      </x:c>
      <x:c r="K100" s="17" t="str">
        <x:v>pass；na</x:v>
      </x:c>
      <x:c r="L100" s="17" t="str">
        <x:v>pass</x:v>
      </x:c>
      <x:c r="M100" s="17" t="str">
        <x:v>否</x:v>
      </x:c>
      <x:c r="N100" s="17" t="str">
        <x:v>中证500当前成分股共 **500 只**，与指数编制规则一致。</x:v>
      </x:c>
    </x:row>
    <x:row r="101" ht="64" customHeight="1">
      <x:c r="A101" s="17" t="str">
        <x:v>BUS097</x:v>
      </x:c>
      <x:c r="B101" s="17" t="str">
        <x:v>查询创业板指权重最高的前20只成分股。</x:v>
      </x:c>
      <x:c r="C101" s="17" t="str">
        <x:v>成功</x:v>
      </x:c>
      <x:c r="D101" s="17" t="str">
        <x:v>错误</x:v>
      </x:c>
      <x:c r="E101" s="19" t="n">
        <x:v>0.95</x:v>
      </x:c>
      <x:c r="F101" s="17" t="str">
        <x:v>weight全部为空时order by weight desc没有排名意义，但回答仍将代码顺序的20只股票标成“权重最高前20名”。 主要根因：null排序结果没有触发不可排名保护，Renderer虽提示权重缺失仍保留了虚假排名语义。 聚合：fail 证据对齐：fail</x:v>
      </x:c>
      <x:c r="G101" s="17" t="str">
        <x:v>{
  "review_source": "deep_audit_061_120.json",
  "route_ok": true,
  "time": "na",
  "entity": "pass",
  "numeric": "unknown",
  "aggregation": "fail",
  "evidence_alignment": "fail"
}</x:v>
      </x:c>
      <x:c r="H101" s="17" t="str">
        <x:v>na</x:v>
      </x:c>
      <x:c r="I101" s="17" t="str">
        <x:v>PASS: expected_dataview_coverage</x:v>
      </x:c>
      <x:c r="J101" s="17" t="str">
        <x:v>unknown</x:v>
      </x:c>
      <x:c r="K101" s="17" t="str">
        <x:v>pass；na</x:v>
      </x:c>
      <x:c r="L101" s="17" t="str">
        <x:v>fail</x:v>
      </x:c>
      <x:c r="M101" s="17" t="str">
        <x:v>否</x:v>
      </x:c>
      <x:c r="N101" s="17" t="str">
        <x:v>以下是按权重排序的创业板指前20大成分股（按降序排列）：
| 排名 | 代码 | 名称 |
|:---:|:---:|:---:|
| 1 | 300001.SZ | 特锐德 |
| 2 | 300002.SZ | 神州泰岳 |
| 3 | 300003.SZ | 乐普医疗 |
| 4 | 300012.SZ | 华测检测 |
| 5 | 300014.SZ | 亿纬锂能 |
| 6 | 300015.SZ | 爱尔眼科 |
| 7 | 300017.SZ | 网宿科技 |
| 8 | 300024.SZ | 机器人 |
| 9 | 300033.SZ | 同花顺 |
| 10 | 300037.SZ | 新宙邦 |
| 11 | 300054.SZ | 鼎龙股份 |
| 12 | 300058.SZ | 蓝色光标 |
| 13 | 300059.SZ | 东方财富 |
| 14 | 300073.SZ | 当升科技 |
| 15 | 300115.SZ | 长盈精密 |
| 16 | 300122.SZ | 智飞生物 |
| 17 | 300124.SZ | 汇川技术 |
| 18 | 300136.SZ | 信维通信 |
| 19 | 300144.SZ | 宋城演艺 |
| 20 | 300207.SZ | 欣旺达 |
**说明：** 上述20只成分股已按权重降序排列，但当前数据源未返回各成分股的具体权重数值，因此无法列出精确的权重占比。名单中涵盖了新能源（亿纬锂能、当升科技）、医药医疗（爱尔眼科、乐普医疗、智飞生物）、TMT（东方财富、同花顺、信维通信）等创业板代表性行业的龙头公司。</x:v>
      </x:c>
    </x:row>
    <x:row r="102" ht="64" customHeight="1">
      <x:c r="A102" s="17" t="str">
        <x:v>BUS098</x:v>
      </x:c>
      <x:c r="B102" s="17" t="str">
        <x:v>查询贵州茅台是否属于沪深300成分股。</x:v>
      </x:c>
      <x:c r="C102" s="17" t="str">
        <x:v>成功</x:v>
      </x:c>
      <x:c r="D102" s="17" t="str">
        <x:v>正确</x:v>
      </x:c>
      <x:c r="E102" s="19" t="n">
        <x:v>0.9</x:v>
      </x:c>
      <x:c r="F102" s="17" t="str">
        <x:v>直接用指数名称与股票名称过滤得到两个指数代码下的贵州茅台记录，结论明确且无需额外basic_info查询。 主要根因：无实质问题；直接成员关系查询比旧两步流程更高效。 聚合：na 证据对齐：pass</x:v>
      </x:c>
      <x:c r="G102" s="17" t="str">
        <x:v>{
  "review_source": "deep_audit_061_120.json",
  "route_ok": true,
  "time": "na",
  "entity": "pass",
  "numeric": "na",
  "aggregation": "na",
  "evidence_alignment": "pass"
}</x:v>
      </x:c>
      <x:c r="H102" s="17" t="str">
        <x:v>na</x:v>
      </x:c>
      <x:c r="I102" s="17" t="str">
        <x:v>FAIL: expected_dataview_coverage</x:v>
      </x:c>
      <x:c r="J102" s="17" t="str">
        <x:v>na</x:v>
      </x:c>
      <x:c r="K102" s="17" t="str">
        <x:v>pass；na</x:v>
      </x:c>
      <x:c r="L102" s="17" t="str">
        <x:v>pass</x:v>
      </x:c>
      <x:c r="M102" s="17" t="str">
        <x:v>否</x:v>
      </x:c>
      <x:c r="N102" s="17" t="str">
        <x:v>是的，贵州茅台（600519.SH）属于沪深300指数成分股。
查询结果显示，沪深300指数（000300.SH / 399300.SZ）的成分股列表中明确包含贵州茅台。</x:v>
      </x:c>
    </x:row>
    <x:row r="103" ht="64" customHeight="1">
      <x:c r="A103" s="17" t="str">
        <x:v>BUS099</x:v>
      </x:c>
      <x:c r="B103" s="17" t="str">
        <x:v>计算沪深300成分股今天平均涨跌幅和上涨家数。</x:v>
      </x:c>
      <x:c r="C103" s="17" t="str">
        <x:v>成功</x:v>
      </x:c>
      <x:c r="D103" s="17" t="str">
        <x:v>正确</x:v>
      </x:c>
      <x:c r="E103" s="19" t="n">
        <x:v>0.9</x:v>
      </x:c>
      <x:c r="F103" s="17" t="str">
        <x:v>最近交易日2026-07-31、平均涨幅1.03%和上涨169家均由constitution.agg直接支持；两个指数代码结果一致。 主要根因：无实质问题；聚合API避免了逐股循环。 聚合：pass 证据对齐：pass</x:v>
      </x:c>
      <x:c r="G103" s="17" t="str">
        <x:v>{
  "review_source": "deep_audit_061_120.json",
  "route_ok": true,
  "time": "pass",
  "entity": "pass",
  "numeric": "pass",
  "aggregation": "pass",
  "evidence_alignment": "pass"
}</x:v>
      </x:c>
      <x:c r="H103" s="17" t="str">
        <x:v>pass</x:v>
      </x:c>
      <x:c r="I103" s="17" t="str">
        <x:v>FAIL: expected_dataview_coverage</x:v>
      </x:c>
      <x:c r="J103" s="17" t="str">
        <x:v>pass</x:v>
      </x:c>
      <x:c r="K103" s="17" t="str">
        <x:v>pass；pass</x:v>
      </x:c>
      <x:c r="L103" s="17" t="str">
        <x:v>pass</x:v>
      </x:c>
      <x:c r="M103" s="17" t="str">
        <x:v>否</x:v>
      </x:c>
      <x:c r="N103" s="17" t="str">
        <x:v>沪深300成分股在最近交易日（2026年7月31日）表现如下：
- **平均涨跌幅**：**+1.03%**
- **上涨家数**：**169家**（占全部300只成分股的约56%）</x:v>
      </x:c>
    </x:row>
    <x:row r="104" ht="64" customHeight="1">
      <x:c r="A104" s="17" t="str">
        <x:v>BUS100</x:v>
      </x:c>
      <x:c r="B104" s="17" t="str">
        <x:v>比较沪深300和中证500最近20个交易日累计涨幅。</x:v>
      </x:c>
      <x:c r="C104" s="17" t="str">
        <x:v>成功</x:v>
      </x:c>
      <x:c r="D104" s="17" t="str">
        <x:v>正确</x:v>
      </x:c>
      <x:c r="E104" s="19" t="n">
        <x:v>1</x:v>
      </x:c>
      <x:c r="F104" s="17" t="str">
        <x:v>kd_pct_sum一次返回沪深300为-5.24%、中证500为-13.38%，比较与倍数描述基本一致。 主要根因：无实质问题；专用窗口聚合能力有效。 聚合：pass 证据对齐：pass</x:v>
      </x:c>
      <x:c r="G104" s="17" t="str">
        <x:v>{
  "review_source": "deep_audit_061_120.json",
  "route_ok": true,
  "time": "pass",
  "entity": "pass",
  "numeric": "pass",
  "aggregation": "pass",
  "evidence_alignment": "pass"
}</x:v>
      </x:c>
      <x:c r="H104" s="17" t="str">
        <x:v>pass</x:v>
      </x:c>
      <x:c r="I104" s="17" t="str">
        <x:v>PASS: expected_dataview_coverage</x:v>
      </x:c>
      <x:c r="J104" s="17" t="str">
        <x:v>pass</x:v>
      </x:c>
      <x:c r="K104" s="17" t="str">
        <x:v>pass；pass</x:v>
      </x:c>
      <x:c r="L104" s="17" t="str">
        <x:v>pass</x:v>
      </x:c>
      <x:c r="M104" s="17" t="str">
        <x:v>否</x:v>
      </x:c>
      <x:c r="N104" s="17" t="str">
        <x:v>最近20个交易日，沪深300和中证500均录得下跌，但跌幅差异明显：
- **沪深300** 累计下跌 **-5.24%**
- **中证500** 累计下跌 **-13.38%**
中证500的跌幅大约是沪深300的2.5倍，说明近一个月中小盘风格调整幅度远大于大盘蓝筹，市场呈现明显的防御性偏好。</x:v>
      </x:c>
    </x:row>
    <x:row r="105" ht="64" customHeight="1">
      <x:c r="A105" s="17" t="str">
        <x:v>BUS101</x:v>
      </x:c>
      <x:c r="B105" s="17" t="str">
        <x:v>筛选沪深300成分股中PE_TTM低于20且今天上涨的股票。</x:v>
      </x:c>
      <x:c r="C105" s="17" t="str">
        <x:v>成功</x:v>
      </x:c>
      <x:c r="D105" s="17" t="str">
        <x:v>部分正确</x:v>
      </x:c>
      <x:c r="E105" s="19" t="n">
        <x:v>1</x:v>
      </x:c>
      <x:c r="F105" s="17" t="str">
        <x:v>PE与涨幅数值在返回子集中正确，且负PE得到单独说明；但沪深300成分股只返回100只深市样本，18只结果不能代表完整300只成分股。 主要根因：跨视图筛选缺少上游集合完整性约束，limit=-1仍被100行数据覆盖上限截断。 聚合：fail 证据对齐：warn</x:v>
      </x:c>
      <x:c r="G105" s="17" t="str">
        <x:v>{
  "review_source": "deep_audit_061_120.json",
  "route_ok": true,
  "time": "pass",
  "entity": "warn",
  "numeric": "pass",
  "aggregation": "fail",
  "evidence_alignment": "warn"
}</x:v>
      </x:c>
      <x:c r="H105" s="17" t="str">
        <x:v>pass</x:v>
      </x:c>
      <x:c r="I105" s="17" t="str">
        <x:v>PASS: expected_dataview_coverage</x:v>
      </x:c>
      <x:c r="J105" s="17" t="str">
        <x:v>pass</x:v>
      </x:c>
      <x:c r="K105" s="17" t="str">
        <x:v>warn；pass</x:v>
      </x:c>
      <x:c r="L105" s="17" t="str">
        <x:v>warn</x:v>
      </x:c>
      <x:c r="M105" s="17" t="str">
        <x:v>否</x:v>
      </x:c>
      <x:c r="N105" s="17" t="str">
        <x:v>在沪深300成分股中，PE_TTM低于20且在上一个交易日（2026-07-31，周五）上涨的股票共有 **18只**，以下按涨幅从高到低排列：
**涨幅前5名：**
| 股票 | PE_TTM | 涨幅 |
|------|--------|------|
| 昆仑万维 | -32.45 | **+20.00%** |
| 润泽科技 | 19.95 | **+9.24%** |
| 光线传媒 | -109.25 | **+5.76%** |
| 大华股份 | 14.01 | **+3.47%** |
| 世纪华通 | 15.89 | **+2.65%** |
**其余13只：** 古井贡酒(+2.55%)、智飞生物(+1.09%)、山金国际(+0.91%)、广发证券(+0.75%)、天山铝业(+0.53%)、云铝股份(+0.45%)、泸州老窖(+0.43%)、中油资本(+0.42%)、万科A(+0.30%)、TCL科技(+0.21%)、云南白药(+0.21%)、平安银行(+0.17%)、卫星化学(+0.08%)
**几点观察：**
- 其中4只（昆仑万维、光线传媒、智飞生物、万科A）PE_TTM为负值，说明当前处于亏损状态，严格来说属于"PE为负"而非传统意义上的低估值。
- 剔除负PE后，**正PE的低估值上涨股**有14只，多数集中在10~20倍PE区间，覆盖证券、有色、白酒、家电、医药等多个行业。
- 昆仑万维当日涨停（+20%），PE_TTM为-32.45，属于亏损状态下的资金驱动型上涨，与传统的低估值逻辑不同。</x:v>
      </x:c>
    </x:row>
    <x:row r="106" ht="64" customHeight="1">
      <x:c r="A106" s="17" t="str">
        <x:v>BUS102</x:v>
      </x:c>
      <x:c r="B106" s="17" t="str">
        <x:v>统计中证500成分股当前总市值最大的前10只股票。</x:v>
      </x:c>
      <x:c r="C106" s="17" t="str">
        <x:v>成功</x:v>
      </x:c>
      <x:c r="D106" s="17" t="str">
        <x:v>错误</x:v>
      </x:c>
      <x:c r="E106" s="19" t="n">
        <x:v>1</x:v>
      </x:c>
      <x:c r="F106" s="17" t="str">
        <x:v>总市值数值对已返回股票正确，但中证500成分股只取得100只，回答却把这100只中的Top10表述为全体500只中的Top10。 主要根因：上游成分股集合静默截断，Harness没有在后续Top-K前校验预期500与实际100。 聚合：fail 证据对齐：fail</x:v>
      </x:c>
      <x:c r="G106" s="17" t="str">
        <x:v>{
  "review_source": "deep_audit_061_120.json",
  "route_ok": true,
  "time": "unknown",
  "entity": "warn",
  "numeric": "pass",
  "aggregation": "fail",
  "evidence_alignment": "fail"
}</x:v>
      </x:c>
      <x:c r="H106" s="17" t="str">
        <x:v>unknown</x:v>
      </x:c>
      <x:c r="I106" s="17" t="str">
        <x:v>PASS: expected_dataview_coverage</x:v>
      </x:c>
      <x:c r="J106" s="17" t="str">
        <x:v>pass</x:v>
      </x:c>
      <x:c r="K106" s="17" t="str">
        <x:v>warn；unknown</x:v>
      </x:c>
      <x:c r="L106" s="17" t="str">
        <x:v>fail</x:v>
      </x:c>
      <x:c r="M106" s="17" t="str">
        <x:v>否</x:v>
      </x:c>
      <x:c r="N106" s="17" t="str">
        <x:v>以下是中证500成分股中当前总市值最大的前10只股票（数据截至最近交易日，单位：亿元）：
| 排名 | 股票 | 代码 | 总市值（亿元） |
|:---:|:---:|:---:|:---:|
| 1 | 光迅科技 | 002281.SZ | 1,338.22 |
| 2 | 德明利 | 001309.SZ | 875.40 |
| 3 | 大族激光 | 002008.SZ | 870.12 |
| 4 | 广合科技 | 001389.SZ | 645.14 |
| 5 | 恒逸石化 | 000703.SZ | 614.89 |
| 6 | 深科技 | 000021.SZ | 586.14 |
| 7 | 锡业股份 | 000960.SZ | 561.09 |
| 8 | 华峰化学 | 002064.SZ | 544.89 |
| 9 | 华天科技 | 002185.SZ | 514.13 |
| 10 | 中国稀土 | 000831.SZ | 507.48 |
**要点：**
- **光迅科技**以约1,338亿元的总市值遥遥领先，是第二名德明利的1.5倍，也是中证500中唯一市值超千亿的成分股。
- 前10名市值分布在507亿~1,338亿元区间，集中度较高，头部效应明显。
- 从行业分布看，多以光通信（光迅科技）、存储芯片（德明利）、半导体设备（大族激光）等科技制造类公司为主，反映出中证500在科技成长方向的侧重。</x:v>
      </x:c>
    </x:row>
    <x:row r="107" ht="64" customHeight="1">
      <x:c r="A107" s="17" t="str">
        <x:v>BUS103</x:v>
      </x:c>
      <x:c r="B107" s="17" t="str">
        <x:v>同时查询沪深300当前点位、最新估值和前十大权重股。</x:v>
      </x:c>
      <x:c r="C107" s="17" t="str">
        <x:v>成功</x:v>
      </x:c>
      <x:c r="D107" s="17" t="str">
        <x:v>部分正确</x:v>
      </x:c>
      <x:c r="E107" s="19" t="n">
        <x:v>0.95</x:v>
      </x:c>
      <x:c r="F107" s="17" t="str">
        <x:v>当前点位与涨幅正确；估值字段为空且权重不可用，回答如实披露，但2026-08-02周日估值占位行和代码顺序成分股无法满足后两个子目标。 主要根因：index.pricevalue周末空占位与index.constitution权重数据缺失，属于数据能力缺口。 聚合：fail 证据对齐：pass</x:v>
      </x:c>
      <x:c r="G107" s="17" t="str">
        <x:v>{
  "review_source": "deep_audit_061_120.json",
  "route_ok": true,
  "time": "warn",
  "entity": "pass",
  "numeric": "pass",
  "aggregation": "fail",
  "evidence_alignment": "pass"
}</x:v>
      </x:c>
      <x:c r="H107" s="17" t="str">
        <x:v>warn</x:v>
      </x:c>
      <x:c r="I107" s="17" t="str">
        <x:v>PASS: expected_dataview_coverage</x:v>
      </x:c>
      <x:c r="J107" s="17" t="str">
        <x:v>pass</x:v>
      </x:c>
      <x:c r="K107" s="17" t="str">
        <x:v>pass；warn</x:v>
      </x:c>
      <x:c r="L107" s="17" t="str">
        <x:v>pass</x:v>
      </x:c>
      <x:c r="M107" s="17" t="str">
        <x:v>否</x:v>
      </x:c>
      <x:c r="N107" s="17" t="str">
        <x:v>好的，三个查询结果如下：
---
**1. 当前点位** — 沪深300最新收于 **4,588.20 点**（2026-07-31），当日上涨 0.85%。
**2. 最新估值** — 当前数据源未提供沪深300指数实时的 PE_TTM 和 PB_MRQ 数据，估值部分暂无法展示。
**3. 前十大成分股**（按权重排序，但权重字段当前数据源未返回，以下按代码顺序列出）：
| 排名 | 代码 | 名称 |
|:---:|:---:|:---:|
| 1 | 000001.SZ | 平安银行 |
| 2 | 000002.SZ | 万科A |
| 3 | 000063.SZ | 中兴通讯 |
| 4 | 000100.SZ | TCL科技 |
| 5 | 000157.SZ | 中联重科 |
| 6 | 000166.SZ | 申万宏源 |
| 7 | 000301.SZ | 东方盛虹 |
| 8 | 000333.SZ | 美的集团 |
| 9 | 000338.SZ | 潍柴动力 |
| 10 | 000408.SZ | 藏格矿业 |
&gt; 需要说明的是，当前数据源中成分股的**权重字段**为空，因此排序结果未能按实际权重排列，而是按代码顺序展示。如需精确权重数据，建议通过交易所或中证指数公司官网获取最新权重文件。</x:v>
      </x:c>
    </x:row>
    <x:row r="108" ht="64" customHeight="1">
      <x:c r="A108" s="17" t="str">
        <x:v>BUS104</x:v>
      </x:c>
      <x:c r="B108" s="17" t="str">
        <x:v>查询创业板指涨跌幅，并列出其权重最高的成分股当前涨跌幅。</x:v>
      </x:c>
      <x:c r="C108" s="17" t="str">
        <x:v>成功</x:v>
      </x:c>
      <x:c r="D108" s="17" t="str">
        <x:v>错误</x:v>
      </x:c>
      <x:c r="E108" s="19" t="n">
        <x:v>0.95</x:v>
      </x:c>
      <x:c r="F108" s="17" t="str">
        <x:v>指数行情数值正确，但weight全空，所谓“权重最高前10只”实际只是代码最前10只；回答仍称其为权重股并据此总结，成员选择不成立。 主要根因：null权重未阻断下游跨结果行情查询，错误的Top-K集合被继续当作权威输入。 聚合：fail 证据对齐：fail</x:v>
      </x:c>
      <x:c r="G108" s="17" t="str">
        <x:v>{
  "review_source": "deep_audit_061_120.json",
  "route_ok": true,
  "time": "pass",
  "entity": "fail",
  "numeric": "pass",
  "aggregation": "fail",
  "evidence_alignment": "fail"
}</x:v>
      </x:c>
      <x:c r="H108" s="17" t="str">
        <x:v>pass</x:v>
      </x:c>
      <x:c r="I108" s="17" t="str">
        <x:v>PASS: expected_dataview_coverage</x:v>
      </x:c>
      <x:c r="J108" s="17" t="str">
        <x:v>pass</x:v>
      </x:c>
      <x:c r="K108" s="17" t="str">
        <x:v>fail；pass</x:v>
      </x:c>
      <x:c r="L108" s="17" t="str">
        <x:v>fail</x:v>
      </x:c>
      <x:c r="M108" s="17" t="str">
        <x:v>否</x:v>
      </x:c>
      <x:c r="N108" s="17" t="str">
        <x:v>创业板指（399006.SZ）在 **2026年7月31日** 大涨 **+3.06%**，收报 **3343.96 点**，成交额约 **3560.84 亿元**。
权重最高的前10只成分股当日涨跌幅如下：
| 成分股 | 代码 | 涨跌幅 | 收盘价 |
|:---|---:|---:|---:|
| 特锐德 | 300001.SZ | **+4.12%** | 35.10 |
| 神州泰岳 | 300002.SZ | **+4.77%** | 8.56 |
| 乐普医疗 | 300003.SZ | +0.15% | 13.07 |
| 华测检测 | 300012.SZ | +0.56% | 14.38 |
| 亿纬锂能 | 300014.SZ | +0.07% | 54.26 |
| 爱尔眼科 | 300015.SZ | 0.00% | 9.08 |
| 网宿科技 | 300017.SZ | **+17.50%** | 14.03 |
| 机器人 | 300024.SZ | +2.54% | 15.37 |
| 同花顺 | 300033.SZ | +4.02% | 234.96 |
| 新宙邦 | 300037.SZ | +2.52% | 62.60 |
10只权重股全部收涨（爱尔眼科平收），其中 **网宿科技** 大涨 **+17.50%** 最为突出，神州泰岳、特锐德和同花顺涨幅也均超过4%，整体与指数强势表现一致。</x:v>
      </x:c>
    </x:row>
    <x:row r="109" ht="64" customHeight="1">
      <x:c r="A109" s="17" t="str">
        <x:v>BUS105</x:v>
      </x:c>
      <x:c r="B109" s="17" t="str">
        <x:v>对比沪深300指数和沪深300ETF今天的涨跌幅。</x:v>
      </x:c>
      <x:c r="C109" s="17" t="str">
        <x:v>成功</x:v>
      </x:c>
      <x:c r="D109" s="17" t="str">
        <x:v>正确</x:v>
      </x:c>
      <x:c r="E109" s="19" t="n">
        <x:v>1</x:v>
      </x:c>
      <x:c r="F109" s="17" t="str">
        <x:v>2026-07-31指数+0.85%、ETF+1.04%和0.19个百分点差异均与证据一致。 主要根因：无实质问题；两视图并行查询路径清晰。 聚合：na 证据对齐：pass</x:v>
      </x:c>
      <x:c r="G109" s="17" t="str">
        <x:v>{
  "review_source": "deep_audit_061_120.json",
  "route_ok": true,
  "time": "pass",
  "entity": "pass",
  "numeric": "pass",
  "aggregation": "na",
  "evidence_alignment": "pass"
}</x:v>
      </x:c>
      <x:c r="H109" s="17" t="str">
        <x:v>pass</x:v>
      </x:c>
      <x:c r="I109" s="17" t="str">
        <x:v>PASS: expected_dataview_coverage</x:v>
      </x:c>
      <x:c r="J109" s="17" t="str">
        <x:v>pass</x:v>
      </x:c>
      <x:c r="K109" s="17" t="str">
        <x:v>pass；pass</x:v>
      </x:c>
      <x:c r="L109" s="17" t="str">
        <x:v>pass</x:v>
      </x:c>
      <x:c r="M109" s="17" t="str">
        <x:v>否</x:v>
      </x:c>
      <x:c r="N109" s="17" t="str">
        <x:v>**2026年7月31日（最近一个交易日）对比：**
| 标的 | 收盘 | 涨跌幅 |
|------|------|:------:|
| **沪深300指数**（000300.SH） | 4,588.20 点 | **+0.85%** |
| **华泰柏瑞沪深300ETF**（510300.SH） | 4.653 元 | **+1.04%** |
两者均录得上涨，但ETF的涨幅（+1.04%）略高于指数本身（+0.85%），相差约0.19个百分点。这种小幅偏离通常由ETF盘中交易价格相对于净值（IOPV）的折溢价、买卖盘博弈以及交易成本等因素引起，属于正常现象。</x:v>
      </x:c>
    </x:row>
    <x:row r="110" ht="64" customHeight="1">
      <x:c r="A110" s="17" t="str">
        <x:v>BUS106</x:v>
      </x:c>
      <x:c r="B110" s="17" t="str">
        <x:v>查询中证500当前估值，并统计其成分股主力净流入前10名。</x:v>
      </x:c>
      <x:c r="C110" s="17" t="str">
        <x:v>成功</x:v>
      </x:c>
      <x:c r="D110" s="17" t="str">
        <x:v>部分正确</x:v>
      </x:c>
      <x:c r="E110" s="19" t="n">
        <x:v>0.85</x:v>
      </x:c>
      <x:c r="F110" s="17" t="str">
        <x:v>系统正确说明指数估值不可得，并明确主力净流入排名仅基于返回的100只成分股样本；因此数值可信但不是中证500全体Top10。另有一次日期未加引号的可避免错误。 主要根因：成分股覆盖静默截断叠加指数估值空值；Harness缺少完整集合门槛和日期字面量规范化。 聚合：fail 证据对齐：pass</x:v>
      </x:c>
      <x:c r="G110" s="17" t="str">
        <x:v>{
  "review_source": "deep_audit_061_120.json",
  "route_ok": true,
  "time": "warn",
  "entity": "warn",
  "numeric": "pass",
  "aggregation": "fail",
  "evidence_alignment": "pass"
}</x:v>
      </x:c>
      <x:c r="H110" s="17" t="str">
        <x:v>warn</x:v>
      </x:c>
      <x:c r="I110" s="17" t="str">
        <x:v>PASS: expected_dataview_coverage</x:v>
      </x:c>
      <x:c r="J110" s="17" t="str">
        <x:v>pass</x:v>
      </x:c>
      <x:c r="K110" s="17" t="str">
        <x:v>warn；warn</x:v>
      </x:c>
      <x:c r="L110" s="17" t="str">
        <x:v>pass</x:v>
      </x:c>
      <x:c r="M110" s="17" t="str">
        <x:v>否</x:v>
      </x:c>
      <x:c r="N110" s="17" t="str">
        <x:v>数据已全部到位，下面给你汇报结果。
---
## 中证500当前估值
查询系统返回了中证500指数数据（2026-08-02），但 PE、PB、PS 等估值字段当前数据源均未提供，无法获取该指数的具体估值数值。
---
## 成分股主力净流入前10名（2026-07-31）
在当天中证500成分股中，主力资金净流入最多的10只股票如下：
| 排名 | 股票 | 主力净流入（元） | 主力净流入占比 |
|:---:|:---|:---|:---:|
| 1 | **利欧股份**（002131.SZ） | 11.89 亿 | 31.62% |
| 2 | **光迅科技**（002281.SZ） | 8.68 亿 | 9.92% |
| 3 | **德明利**（001309.SZ） | 7.73 亿 | 4.45% |
| 4 | **顺络电子**（002138.SZ） | 3.42 亿 | 11.85% |
| 5 | **锡业股份**（000960.SZ） | 3.03 亿 | 10.59% |
| 6 | **深科技**（000021.SZ） | 2.07 亿 | 3.40% |
| 7 | **盈峰环境**（000967.SZ） | 1.99 亿 | 57.63% |
| 8 | **中国宝安**（000009.SZ） | 1.96 亿 | 17.74% |
| 9 | **华天科技**（002185.SZ） | 1.62 亿 | 2.72% |
| 10 | **航天电器**（002025.SZ） | 1.59 亿 | 12.89% |
**几点看点：**
- **利欧股份**以近 **11.89 亿**的主力净流入高居榜首，且主力净流入占比高达 **31.62%**，说明当天主力资金介入非常集中。
- **盈峰环境**虽然净流入金额排第7（约2亿），但主力净流入占比高达 **57.63%**，是榜单中占比最高的，表明其盘中的资金结构以主力主导。
- 光迅科技和德明利分别以 8.68 亿和 7.73 亿位列第二、第三，也是当日中证500成分股中主力资金明显加仓的标的。
&gt; 说明：估值数据当前数据源暂未覆盖中证500指数；成分股数据返回了100只样本，主力净流入排名基于该样本范围统计。</x:v>
      </x:c>
    </x:row>
    <x:row r="111" ht="64" customHeight="1">
      <x:c r="A111" s="17" t="str">
        <x:v>BUS107</x:v>
      </x:c>
      <x:c r="B111" s="17" t="str">
        <x:v>查询所有申万一级行业的行业代码和行业名称。</x:v>
      </x:c>
      <x:c r="C111" s="17" t="str">
        <x:v>成功</x:v>
      </x:c>
      <x:c r="D111" s="17" t="str">
        <x:v>正确</x:v>
      </x:c>
      <x:c r="E111" s="19" t="n">
        <x:v>1</x:v>
      </x:c>
      <x:c r="F111" s="17" t="str">
        <x:v>31个申万一级行业代码和名称完整列出，row_count与列表一致。 主要根因：无实质问题。 聚合：pass 证据对齐：pass</x:v>
      </x:c>
      <x:c r="G111" s="17" t="str">
        <x:v>{
  "review_source": "deep_audit_061_120.json",
  "route_ok": true,
  "time": "na",
  "entity": "pass",
  "numeric": "pass",
  "aggregation": "pass",
  "evidence_alignment": "pass"
}</x:v>
      </x:c>
      <x:c r="H111" s="17" t="str">
        <x:v>na</x:v>
      </x:c>
      <x:c r="I111" s="17" t="str">
        <x:v>PASS: expected_dataview_coverage</x:v>
      </x:c>
      <x:c r="J111" s="17" t="str">
        <x:v>pass</x:v>
      </x:c>
      <x:c r="K111" s="17" t="str">
        <x:v>pass；na</x:v>
      </x:c>
      <x:c r="L111" s="17" t="str">
        <x:v>pass</x:v>
      </x:c>
      <x:c r="M111" s="17" t="str">
        <x:v>否</x:v>
      </x:c>
      <x:c r="N111" s="17" t="str">
        <x:v>以下为全部 **31 个申万一级行业**的代码与名称：
| 行业代码 | 行业名称 | 行业代码 | 行业名称 |
|---|---|---|---|
| 110000 | 农林牧渔 | 220000 | 基础化工 |
| 230000 | 钢铁 | 240000 | 有色金属 |
| 270000 | 电子 | 280000 | 汽车 |
| 330000 | 家用电器 | 340000 | 食品饮料 |
| 350000 | 纺织服饰 | 360000 | 轻工制造 |
| 370000 | 医药生物 | 410000 | 公用事业 |
| 420000 | 交通运输 | 430000 | 房地产 |
| 450000 | 商贸零售 | 460000 | 社会服务 |
| 480000 | 银行 | 490000 | 非银金融 |
| 510000 | 综合 | 610000 | 建筑材料 |
| 620000 | 建筑装饰 | 630000 | 电力设备 |
| 640000 | 机械设备 | 650000 | 国防军工 |
| 710000 | 计算机 | 720000 | 传媒 |
| 730000 | 通信 | 740000 | 煤炭 |
| 750000 | 石油石化 | 760000 | 环保 |
| 770000 | 美容护理 |  |  |
共 **31 个**申万一级行业，代码为六位数字编码，前两位反映行业大类归属。</x:v>
      </x:c>
    </x:row>
    <x:row r="112" ht="64" customHeight="1">
      <x:c r="A112" s="17" t="str">
        <x:v>BUS108</x:v>
      </x:c>
      <x:c r="B112" s="17" t="str">
        <x:v>查询半导体所属的申万行业级别和上级行业。</x:v>
      </x:c>
      <x:c r="C112" s="17" t="str">
        <x:v>成功</x:v>
      </x:c>
      <x:c r="D112" s="17" t="str">
        <x:v>正确</x:v>
      </x:c>
      <x:c r="E112" s="19" t="n">
        <x:v>0.7</x:v>
      </x:c>
      <x:c r="F112" s="17" t="str">
        <x:v>最终证据可确认半导体为电子下的二级行业；但basic_info多次无结果后才转constitution，共10次工具调用，路径明显过长。 主要根因：industry.basic_info的精确名称查询/字段返回不稳定，行业层级信息在两个dataview间边界不清，促成探测式执行。 聚合：na 证据对齐：pass</x:v>
      </x:c>
      <x:c r="G112" s="17" t="str">
        <x:v>{
  "review_source": "deep_audit_061_120.json",
  "route_ok": true,
  "time": "na",
  "entity": "pass",
  "numeric": "na",
  "aggregation": "na",
  "evidence_alignment": "pass"
}</x:v>
      </x:c>
      <x:c r="H112" s="17" t="str">
        <x:v>na</x:v>
      </x:c>
      <x:c r="I112" s="17" t="str">
        <x:v>FAIL: expected_dataview_coverage</x:v>
      </x:c>
      <x:c r="J112" s="17" t="str">
        <x:v>na</x:v>
      </x:c>
      <x:c r="K112" s="17" t="str">
        <x:v>pass；na</x:v>
      </x:c>
      <x:c r="L112" s="17" t="str">
        <x:v>pass</x:v>
      </x:c>
      <x:c r="M112" s="17" t="str">
        <x:v>否</x:v>
      </x:c>
      <x:c r="N112" s="17" t="str">
        <x:v>从查询结果来看，**"半导体"** 在申万行业分类体系中的位置如下：
- **申万级别**：**二级行业**（Level 2）
- **上级行业**：**电子**（申万一级行业）
也就是说，半导体是申万二级行业，归属在电子（申万一级）这个大类之下，其下还包含分立器件、集成电路设计等申万三级子行业。</x:v>
      </x:c>
    </x:row>
    <x:row r="113" ht="64" customHeight="1">
      <x:c r="A113" s="17" t="str">
        <x:v>BUS109</x:v>
      </x:c>
      <x:c r="B113" s="17" t="str">
        <x:v>列出电子行业下的二级行业。</x:v>
      </x:c>
      <x:c r="C113" s="17" t="str">
        <x:v>成功</x:v>
      </x:c>
      <x:c r="D113" s="17" t="str">
        <x:v>正确</x:v>
      </x:c>
      <x:c r="E113" s="19" t="n">
        <x:v>0.85</x:v>
      </x:c>
      <x:c r="F113" s="17" t="str">
        <x:v>6个电子二级行业及成分股数量正确，前三行业合计约71%的计算也一致；一次不支持的count(stock_code)后改用count(stock.quote.code)。 主要根因：核心结果无问题；聚合字段合同仍不够直观，造成一次可避免的试错。 聚合：pass 证据对齐：pass</x:v>
      </x:c>
      <x:c r="G113" s="17" t="str">
        <x:v>{
  "review_source": "deep_audit_061_120.json",
  "route_ok": true,
  "time": "na",
  "entity": "pass",
  "numeric": "pass",
  "aggregation": "pass",
  "evidence_alignment": "pass"
}</x:v>
      </x:c>
      <x:c r="H113" s="17" t="str">
        <x:v>na</x:v>
      </x:c>
      <x:c r="I113" s="17" t="str">
        <x:v>FAIL: expected_dataview_coverage</x:v>
      </x:c>
      <x:c r="J113" s="17" t="str">
        <x:v>pass</x:v>
      </x:c>
      <x:c r="K113" s="17" t="str">
        <x:v>pass；na</x:v>
      </x:c>
      <x:c r="L113" s="17" t="str">
        <x:v>pass</x:v>
      </x:c>
      <x:c r="M113" s="17" t="str">
        <x:v>否</x:v>
      </x:c>
      <x:c r="N113" s="17" t="str">
        <x:v>电子行业（申万一级）下共包含 **6个二级行业**，按成分股数量排序如下：
| 二级行业 | 成分股数量 |
|---|---|
| **光学光电子** | 78 只 |
| **消费电子** | 75 只 |
| **半导体** | 74 只 |
| **元件** | 42 只 |
| **其他电子Ⅱ** | 28 只 |
| **电子化学品Ⅱ** | 21 只 |
其中光学光电子、消费电子和半导体是电子行业下规模最大的三个二级行业，合计占了约 **71%** 的成分股。</x:v>
      </x:c>
    </x:row>
    <x:row r="114" ht="64" customHeight="1">
      <x:c r="A114" s="17" t="str">
        <x:v>BUS110</x:v>
      </x:c>
      <x:c r="B114" s="17" t="str">
        <x:v>查询计算机设备行业的一级、二级和三级行业名称。</x:v>
      </x:c>
      <x:c r="C114" s="17" t="str">
        <x:v>成功</x:v>
      </x:c>
      <x:c r="D114" s="17" t="str">
        <x:v>错误</x:v>
      </x:c>
      <x:c r="E114" s="19" t="n">
        <x:v>0.8</x:v>
      </x:c>
      <x:c r="F114" s="17" t="str">
        <x:v>industry_name like '%计算机%'实际返回未过滤的前N行，系统仍据此断言数据源没有计算机相关行业；回答还自相矛盾地称总共100条，而后续已取到500条。 主要根因：中文LIKE条件被静默忽略且没有过滤效果校验，分页前缀样本又被误当作全库不存在证明。 聚合：fail 证据对齐：fail</x:v>
      </x:c>
      <x:c r="G114" s="17" t="str">
        <x:v>{
  "review_source": "deep_audit_061_120.json",
  "route_ok": true,
  "time": "na",
  "entity": "fail",
  "numeric": "na",
  "aggregation": "fail",
  "evidence_alignment": "fail"
}</x:v>
      </x:c>
      <x:c r="H114" s="17" t="str">
        <x:v>na</x:v>
      </x:c>
      <x:c r="I114" s="17" t="str">
        <x:v>PASS: expected_dataview_coverage</x:v>
      </x:c>
      <x:c r="J114" s="17" t="str">
        <x:v>na</x:v>
      </x:c>
      <x:c r="K114" s="17" t="str">
        <x:v>fail；na</x:v>
      </x:c>
      <x:c r="L114" s="17" t="str">
        <x:v>fail</x:v>
      </x:c>
      <x:c r="M114" s="17" t="str">
        <x:v>否</x:v>
      </x:c>
      <x:c r="N114" s="17" t="str">
        <x:v>根据查询结果，当前行业数据源总共包含 100 条行业记录，覆盖的范围为农林牧渔、基础化工、钢铁、有色金属、电子等一级行业及其下属二三级行业，其中**未包含"计算机设备"或与"计算机"相关的行业记录**，因此无法从当前数据源中获取其一级、二级、三级行业名称。
如果您需要查询的是申万行业分类下的"计算机设备"，当前数据源暂未收录该分类体系下计算机相关的行业数据。</x:v>
      </x:c>
    </x:row>
    <x:row r="115" ht="64" customHeight="1">
      <x:c r="A115" s="17" t="str">
        <x:v>BUS111</x:v>
      </x:c>
      <x:c r="B115" s="17" t="str">
        <x:v>筛选行业级别为3的申万行业，返回行业代码和名称。</x:v>
      </x:c>
      <x:c r="C115" s="17" t="str">
        <x:v>成功</x:v>
      </x:c>
      <x:c r="D115" s="17" t="str">
        <x:v>错误</x:v>
      </x:c>
      <x:c r="E115" s="19" t="n">
        <x:v>1</x:v>
      </x:c>
      <x:c r="F115" s="17" t="str">
        <x:v>limit=-1仍只返回100条且sample_complete=false，回答却声称三级行业共有100条并提供“完整列表”；申万三级行业实际明显多于100。 主要根因：分页上限命中后缺少has_more/total_count和完整性阻断，Renderer把100行上限当成总数。 聚合：fail 证据对齐：fail</x:v>
      </x:c>
      <x:c r="G115" s="17" t="str">
        <x:v>{
  "review_source": "deep_audit_061_120.json",
  "route_ok": true,
  "time": "na",
  "entity": "pass",
  "numeric": "fail",
  "aggregation": "fail",
  "evidence_alignment": "fail"
}</x:v>
      </x:c>
      <x:c r="H115" s="17" t="str">
        <x:v>na</x:v>
      </x:c>
      <x:c r="I115" s="17" t="str">
        <x:v>PASS: expected_dataview_coverage</x:v>
      </x:c>
      <x:c r="J115" s="17" t="str">
        <x:v>fail</x:v>
      </x:c>
      <x:c r="K115" s="17" t="str">
        <x:v>pass；na</x:v>
      </x:c>
      <x:c r="L115" s="17" t="str">
        <x:v>fail</x:v>
      </x:c>
      <x:c r="M115" s="17" t="str">
        <x:v>否</x:v>
      </x:c>
      <x:c r="N115" s="17" t="str">
        <x:v>查询完成，申万三级行业共有 **100 条记录**，以下是完整的行业代码和名称列表：
| 行业代码 | 行业名称 | 行业代码 | 行业名称 |
|---------|---------|---------|---------|
| 110101 | 种子 | 110102 | 粮食种植 |
| 110103 | 其他种植业 | 110104 | 食用菌 |
| 110201 | 海洋捕捞 | 110202 | 水产养殖 |
| 110301 | 林业Ⅲ | 110402 | 畜禽饲料 |
| 110403 | 水产饲料 | 110404 | 宠物食品 |
| 110501 | 果蔬加工 | 110502 | 粮油加工 |
| 110504 | 其他农产品加工 | 110702 | 生猪养殖 |
| 110703 | 肉鸡养殖 | 110704 | 其他养殖 |
| 110801 | 动物保健Ⅲ | 110901 | 农业综合Ⅲ |
| 220201 | 纯碱 | 220202 | 氯碱 |
| 220203 | 无机盐 | 220204 | 其他化学原料 |
| 220205 | 煤化工 | 220206 | 钛白粉 |
| 220305 | 涂料油墨 | 220307 | 民爆制品 |
| 220308 | 纺织化学制品 | 220309 | 其他化学制品 |
| 220311 | 氟化工 | 220313 | 聚氨酯 |
| 220315 | 食品及饲料添加剂 | 220316 | 有机硅 |
| 220317 | 胶黏剂及胶带 | 220401 | 涤纶 |
| 220403 | 粘胶 | 220404 | 其他化学纤维 |
| 220405 | 氨纶 | 220406 | 锦纶 |
| 220501 | 其他塑料制品 | 220503 | 改性塑料 |
| 220504 | 合成树脂 | 220505 | 膜材料 |
| 220602 | 其他橡胶制品 | 220603 | 炭黑 |
| 220604 | 橡胶助剂 | 220801 | 氮肥 |
| 220802 | 磷肥及磷化工 | 220803 | 农药 |
| 220804 | 钾肥 | 220805 | 复合肥 |
| 220901 | 非金属材料Ⅲ | 230301 | 铁矿石 |
| 230302 | 冶钢辅料 | 230401 | 长材 |
| 230402 | 板材 | 230403 | 钢铁管材 |
| 230501 | 特钢Ⅲ | 240201 | 其他金属新材料 |
| 240202 | 磁性材料 | 240301 | 铝 |
| 240302 | 铜 | 240303 | 铅锌 |
| 240401 | 黄金 | 240402 | 白银 |
| 240501 | 稀土 | 240502 | 钨 |
| 240504 | 其他小金属 | 240505 | 钼 |
| 240601 | 钴 | 240602 | 镍 |
| 240603 | 锂 | 270102 | 分立器件 |
| 270103 | 半导体材料 | 270104 | 数字芯片设计 |
| 270105 | 模拟芯片设计 | 270106 | 集成电路制造 |
| 270107 | 集成电路封测 | 270108 | 半导体设备 |
| 270202 | 印制电路板 | 270203 | 被动元件 |
| 270301 | 面板 | 270302 | LED |
| 270303 | 光学元件 | 270401 | 其他电子Ⅲ |
| 270503 | 品牌消费电子 | 270504 | 消费电子零部件及组装 |
| 270601 | 电子化学品Ⅲ | 280202 | 车身附件及饰件 |
| 280203 | 底盘与发动机系统 | 280204 | 轮胎轮毂 |
| 280205 | 其他汽车零部件 | 280206 | 汽车电子电气系统 |
| 280302 | 汽车经销商 | 280303 | 汽车综合服务 |
| 280401 | 其他运输设备 | 280402 | 摩托车 |
| 280501 | 电动乘用车 | 280502 | 综合乘用车 |
| 280601 | 商用载货车 | 280602 | 商用载客车 |
共 **100 个**申万三级行业，涵盖农业、化工、钢铁、有色金属、电子、汽车等多个大类产业下的细分方向。</x:v>
      </x:c>
    </x:row>
    <x:row r="116" ht="64" customHeight="1">
      <x:c r="A116" s="17" t="str">
        <x:v>BUS112</x:v>
      </x:c>
      <x:c r="B116" s="17" t="str">
        <x:v>查询名称包含新能源的申万行业及其行业级别。</x:v>
      </x:c>
      <x:c r="C116" s="17" t="str">
        <x:v>成功</x:v>
      </x:c>
      <x:c r="D116" s="17" t="str">
        <x:v>证据不足</x:v>
      </x:c>
      <x:c r="E116" s="19" t="n">
        <x:v>0.85</x:v>
      </x:c>
      <x:c r="F116" s="17" t="str">
        <x:v>两种LIKE写法都返回无关的前N行，随后加载500条再自由搜索；“没有名称直接包含新能源”及替代行业表缺少可审计的精确匹配证据，同时重复load同一结果多次。 主要根因：模糊查询契约失效、结果全集/搜索能力不足，模型用大结果人工检索替代可靠过滤。 聚合：fail 证据对齐：fail</x:v>
      </x:c>
      <x:c r="G116" s="17" t="str">
        <x:v>{
  "review_source": "deep_audit_061_120.json",
  "route_ok": true,
  "time": "na",
  "entity": "unknown",
  "numeric": "na",
  "aggregation": "fail",
  "evidence_alignment": "fail"
}</x:v>
      </x:c>
      <x:c r="H116" s="17" t="str">
        <x:v>na</x:v>
      </x:c>
      <x:c r="I116" s="17" t="str">
        <x:v>PASS: expected_dataview_coverage</x:v>
      </x:c>
      <x:c r="J116" s="17" t="str">
        <x:v>na</x:v>
      </x:c>
      <x:c r="K116" s="17" t="str">
        <x:v>unknown；na</x:v>
      </x:c>
      <x:c r="L116" s="17" t="str">
        <x:v>fail</x:v>
      </x:c>
      <x:c r="M116" s="17" t="str">
        <x:v>否</x:v>
      </x:c>
      <x:c r="N116" s="17" t="str">
        <x:v>根据查询结果，在当前申万行业分类数据中，**没有名称直接包含"新能源"三个字的行业**。
不过，与新能源密切相关的申万行业主要包括：
| 行业名称 | 行业级别 | 归属 |
|---------|---------|------|
| **电力设备** | 一级行业 | 独立一级行业 |
| **光伏设备** | 二级行业 | 隶属于电力设备 |
| **风电设备** | 二级行业 | 隶属于电力设备 |
| **电池** | 二级行业 | 隶属于电力设备 |
| **光伏发电** | 三级行业 | 隶属于公用事业→电力 |
| **风力发电** | 三级行业 | 隶属于公用事业→电力 |
| **电动乘用车** | 三级行业 | 隶属于汽车→乘用车 |
申万行业分类体系中，新能源相关业务分散在**电力设备、公用事业、汽车**等一级行业下的多个子行业中，但并没有一个行业直接以"新能源"冠名。</x:v>
      </x:c>
    </x:row>
    <x:row r="117" ht="64" customHeight="1">
      <x:c r="A117" s="17" t="str">
        <x:v>BUS113</x:v>
      </x:c>
      <x:c r="B117" s="17" t="str">
        <x:v>查询半导体行业当前成分股列表。</x:v>
      </x:c>
      <x:c r="C117" s="17" t="str">
        <x:v>成功</x:v>
      </x:c>
      <x:c r="D117" s="17" t="str">
        <x:v>部分正确</x:v>
      </x:c>
      <x:c r="E117" s="19" t="n">
        <x:v>1</x:v>
      </x:c>
      <x:c r="F117" s="17" t="str">
        <x:v>总成分股74只有查询依据，但各分组标题数量与实际列出的名称数多处不一致，例如数字芯片设计标19只却列出22个名称、分立器件标7只却列10个。 主要根因：自由文本Renderer承担分组计数与长名单排版，缺少结构化分组结果和行数一致性校验。 聚合：fail 证据对齐：warn</x:v>
      </x:c>
      <x:c r="G117" s="17" t="str">
        <x:v>{
  "review_source": "deep_audit_061_120.json",
  "route_ok": true,
  "time": "na",
  "entity": "pass",
  "numeric": "fail",
  "aggregation": "fail",
  "evidence_alignment": "warn"
}</x:v>
      </x:c>
      <x:c r="H117" s="17" t="str">
        <x:v>na</x:v>
      </x:c>
      <x:c r="I117" s="17" t="str">
        <x:v>PASS: expected_dataview_coverage</x:v>
      </x:c>
      <x:c r="J117" s="17" t="str">
        <x:v>fail</x:v>
      </x:c>
      <x:c r="K117" s="17" t="str">
        <x:v>pass；na</x:v>
      </x:c>
      <x:c r="L117" s="17" t="str">
        <x:v>warn</x:v>
      </x:c>
      <x:c r="M117" s="17" t="str">
        <x:v>否</x:v>
      </x:c>
      <x:c r="N117" s="17" t="str">
        <x:v>根据申万行业分类，**半导体行业**当前共 **74 只**成分股，覆盖 7 个三级子行业。以下是完整列表：
---
**数字芯片设计（19只）**  
*ST盈方、紫光国微、纳思达、欧比特、国民技术、北京君正、中颖电子、全志科技、富瀚微、国科微、*ST大唐、韦尔股份、瑞芯微、兆易创新、澜起科技、乐鑫科技、晶晨股份、聚辰股份、寒武纪-U、芯原股份-U、力合微、恒玄科技
**模拟芯片设计（12只）**  
圣邦股份、富满电子、卓胜微、上海贝岭、博通集成、汇顶科技、敏芯股份、晶丰明源、芯朋微、思瑞浦、芯海科技、力芯微、明微电子
**分立器件（7只）**  
苏州固锝、台基股份、扬杰科技、捷捷微电、派瑞股份、华微电子、士兰微、斯达半导、新洁能、银河微电
**半导体材料（7只）**  
康强电子、雅克科技、中晶科技、江丰电子、阿石创、有研新材、立昂微、沪硅产业-U、清溢光电、神工股份
**半导体设备（6只）**  
北方华创、华亚智能、长川科技、易天股份、至纯科技、中微公司、芯源微、华峰测控
**集成电路封测（6只）**  
大港股份、通富微电、华天科技、长电科技、太极实业、晶方科技、利扬芯片、气派科技
**集成电路制造（3只）**  
赛微电子、华润微、中芯国际
---
涵盖的龙头公司包括中芯国际（晶圆代工）、韦尔股份（CIS芯片）、北方华创（设备）、紫光国微（特种芯片）、卓胜微（射频）、中微公司（刻蚀设备）等。</x:v>
      </x:c>
    </x:row>
    <x:row r="118" ht="64" customHeight="1">
      <x:c r="A118" s="17" t="str">
        <x:v>BUS114</x:v>
      </x:c>
      <x:c r="B118" s="17" t="str">
        <x:v>查询白酒行业成分股数量和股票名单。</x:v>
      </x:c>
      <x:c r="C118" s="17" t="str">
        <x:v>成功</x:v>
      </x:c>
      <x:c r="D118" s="17" t="str">
        <x:v>部分正确</x:v>
      </x:c>
      <x:c r="E118" s="19" t="n">
        <x:v>0.9</x:v>
      </x:c>
      <x:c r="F118" s="17" t="str">
        <x:v>白酒Ⅲ代码、19只总数及名单正确，但“深圳上市（6只）”实际列出8只；为定位白酒Ⅲ先经历多次失效LIKE和空查。 主要根因：Renderer子组计数未校验，且行业中文名称规范化/模糊查询合同不可靠。 聚合：warn 证据对齐：pass</x:v>
      </x:c>
      <x:c r="G118" s="17" t="str">
        <x:v>{
  "review_source": "deep_audit_061_120.json",
  "route_ok": true,
  "time": "na",
  "entity": "pass",
  "numeric": "fail",
  "aggregation": "warn",
  "evidence_alignment": "pass"
}</x:v>
      </x:c>
      <x:c r="H118" s="17" t="str">
        <x:v>na</x:v>
      </x:c>
      <x:c r="I118" s="17" t="str">
        <x:v>PASS: expected_dataview_coverage</x:v>
      </x:c>
      <x:c r="J118" s="17" t="str">
        <x:v>fail</x:v>
      </x:c>
      <x:c r="K118" s="17" t="str">
        <x:v>pass；na</x:v>
      </x:c>
      <x:c r="L118" s="17" t="str">
        <x:v>pass</x:v>
      </x:c>
      <x:c r="M118" s="17" t="str">
        <x:v>否</x:v>
      </x:c>
      <x:c r="N118" s="17" t="str">
        <x:v>根据申万行业分类，**白酒行业**（白酒Ⅲ，行业代码 340501，隶属食品饮料一级行业）共有 **19 只**成分股，按代码排序如下：
**深圳上市（6只）**
- 000568.SZ 泸州老窖
- 000596.SZ 古井贡酒
- 000799.SZ 酒鬼酒
- 000858.SZ 五粮液
- 000860.SZ 顺鑫农业
- 000995.SZ 皇台酒业
- 002304.SZ 洋河股份
- 002646.SZ 青青稞酒
**上海上市（11只）**
- 600197.SH 伊力特
- 600199.SH 金种子酒
- 600519.SH 贵州茅台
- 600559.SH 老白干酒
- 600702.SH 舍得酒业
- 600779.SH 水井坊
- 600809.SH 山西汾酒
- 603198.SH 迎驾贡酒
- 603369.SH 今世缘
- 603589.SH 口子窖
- 603919.SH 金徽酒
**合计 19 家**，覆盖了从高端（贵州茅台、五粮液、泸州老窖）到次高端和区域白酒的主要上市公司。</x:v>
      </x:c>
    </x:row>
    <x:row r="119" ht="64" customHeight="1">
      <x:c r="A119" s="17" t="str">
        <x:v>BUS115</x:v>
      </x:c>
      <x:c r="B119" s="17" t="str">
        <x:v>查询电子一级行业下所有成分股及对应三级行业。</x:v>
      </x:c>
      <x:c r="C119" s="17" t="str">
        <x:v>成功</x:v>
      </x:c>
      <x:c r="D119" s="17" t="str">
        <x:v>错误</x:v>
      </x:c>
      <x:c r="E119" s="19" t="n">
        <x:v>0.9</x:v>
      </x:c>
      <x:c r="F119" s="17" t="str">
        <x:v>上游只返回100行且sample_complete=false，回答却称电子一级行业共有100只、覆盖6个二级和12个三级行业并作为“所有成分股”展示，明显是截断子集。 主要根因：limit=-1的100行上限未被Harness识别为不完整集合，长名单任务缺少分页/文件化输出。 聚合：fail 证据对齐：fail</x:v>
      </x:c>
      <x:c r="G119" s="17" t="str">
        <x:v>{
  "review_source": "deep_audit_061_120.json",
  "route_ok": true,
  "time": "na",
  "entity": "warn",
  "numeric": "fail",
  "aggregation": "fail",
  "evidence_alignment": "fail"
}</x:v>
      </x:c>
      <x:c r="H119" s="17" t="str">
        <x:v>na</x:v>
      </x:c>
      <x:c r="I119" s="17" t="str">
        <x:v>FAIL: expected_dataview_coverage</x:v>
      </x:c>
      <x:c r="J119" s="17" t="str">
        <x:v>fail</x:v>
      </x:c>
      <x:c r="K119" s="17" t="str">
        <x:v>warn；na</x:v>
      </x:c>
      <x:c r="L119" s="17" t="str">
        <x:v>fail</x:v>
      </x:c>
      <x:c r="M119" s="17" t="str">
        <x:v>否</x:v>
      </x:c>
      <x:c r="N119" s="17" t="str">
        <x:v>电子一级行业（申万分类）下共有 **100 只成分股**，覆盖 6 个二级行业、12 个三级行业。以下是按三级行业分组的结果：
---
### 半导体（二级）
| 三级行业 | 成分股 |
|---|---|
| **数字芯片设计** | *ST盈方、紫光国微、纳思达 |
| **分立器件** | 苏州固锝 |
| **半导体材料** | 康强电子、雅克科技 |
| **半导体设备** | 北方华创 |
| **集成电路封测** | 大港股份、通富微电、华天科技 |
### 元件（二级）
| 三级行业 | 成分股 |
|---|---|
| **印制电路板** | 超声电子、天津普林、超华科技、东山精密、兴森科技、沪电股份、中京电子、*ST丹邦、金安国纪、崇达技术、奥士康、深南电路、鹏鼎控股 |
| **被动元件** | 风华高科、顺络电子、东晶电子、江海股份 |
### 光学光电子（二级）
| 三级行业 | 成分股 |
|---|---|
| **面板** | 深华发A、深纺织A、深天马A、TCL科技、东旭光电、华映科技、京东方A、冠捷科技、莱宝高科、合力泰、宇顺电子、维信诺、蓝黛科技、同兴达、三利谱、亚世光电、鸿合科技、宝明科技、宸展光电 |
| **LED** | 国星光电、奥拓电子、万润科技、木林森、芯瑞达 |
| **光学元件** | 联创电子、福晶科技、水晶光电、欧菲光、恒久科技、五方光电、日久光电 |
### 消费电子（二级）
| 三级行业 | 成分股 |
|---|---|
| **消费电子零部件及组装** | 深科技、得润电子、拓邦股份、歌尔股份、卓翼科技、和而泰、立讯精密、春兴精工、领益智造、安洁科技、共达电声、茂硕电源、奋达科技、可立克、捷荣技术、瀛通通讯、传艺科技、美格智能、京泉华、盈趣科技、兴瑞科技、恒铭达、瑞玛工业、朝阳科技、奥海科技 |
| **品牌消费电子** | 国光电器、漫步者、惠威科技 |
### 其他电子Ⅱ（二级）
| 三级行业 | 成分股 |
|---|---|
| **其他电子Ⅲ** | 深圳华强、厦门信达、沃尔核材、贤丰控股、远望谷、新亚制程、海洋王、好利来、洁美科技、金溢科技、伊戈尔 |
### 电子化学品Ⅱ（二级）
| 三级行业 | 成分股 |
|---|---|
| **电子化学品Ⅲ** | 西陇科学、万润股份、光华科技 |
---
**数据口径**：申万行业分类，截至数据源最新更新日。若需要查看某一只成分股的详细数据或进一步分析，可以继续提问。</x:v>
      </x:c>
    </x:row>
    <x:row r="120" ht="64" customHeight="1">
      <x:c r="A120" s="17" t="str">
        <x:v>BUS116</x:v>
      </x:c>
      <x:c r="B120" s="17" t="str">
        <x:v>查询宁德时代所在行业的其他成分股。</x:v>
      </x:c>
      <x:c r="C120" s="17" t="str">
        <x:v>成功</x:v>
      </x:c>
      <x:c r="D120" s="17" t="str">
        <x:v>正确</x:v>
      </x:c>
      <x:c r="E120" s="19" t="n">
        <x:v>1</x:v>
      </x:c>
      <x:c r="F120" s="17" t="str">
        <x:v>宁德时代所属锂电池行业、总计15只及排除宁德后的14只名单均一致。 主要根因：无实质问题；实体解析与跨视图成员查询正确。 聚合：pass 证据对齐：pass</x:v>
      </x:c>
      <x:c r="G120" s="17" t="str">
        <x:v>{
  "review_source": "deep_audit_061_120.json",
  "route_ok": true,
  "time": "na",
  "entity": "pass",
  "numeric": "pass",
  "aggregation": "pass",
  "evidence_alignment": "pass"
}</x:v>
      </x:c>
      <x:c r="H120" s="17" t="str">
        <x:v>na</x:v>
      </x:c>
      <x:c r="I120" s="17" t="str">
        <x:v>PASS: expected_dataview_coverage</x:v>
      </x:c>
      <x:c r="J120" s="17" t="str">
        <x:v>pass</x:v>
      </x:c>
      <x:c r="K120" s="17" t="str">
        <x:v>pass；na</x:v>
      </x:c>
      <x:c r="L120" s="17" t="str">
        <x:v>pass</x:v>
      </x:c>
      <x:c r="M120" s="17" t="str">
        <x:v>否</x:v>
      </x:c>
      <x:c r="N120" s="17" t="str">
        <x:v>宁德时代所属行业为**锂电池**（行业代码 630701），该行业共有 **15 只成分股**。除宁德时代外，其他 14 只成分股如下：
| 代码 | 名称 |
|:---:|:---:|
| 000049.SZ | 德赛电池 |
| 002074.SZ | 国轩高科 |
| 002245.SZ | 蔚蓝锂芯 |
| 002850.SZ | 科达利 |
| 300014.SZ | 亿纬锂能 |
| 300116.SZ | 保力新 |
| 300207.SZ | 欣旺达 |
| 300438.SZ | 鹏辉能源 |
| 600152.SH | 维科技术 |
| 600478.SH | 科力远 |
| 600877.SH | 电能股份 |
| 688063.SH | 派能科技 |
| 688345.SH | 博力威 |
| 688567.SH | 孚能科技 |
这些公司覆盖了锂电池产业链的多个环节，包括电池制造（亿纬锂能、国轩高科、孚能科技）、电池材料（科达利）、电池模组（德赛电池、欣旺达）以及储能（派能科技）等方向。</x:v>
      </x:c>
    </x:row>
    <x:row r="121" ht="64" customHeight="1">
      <x:c r="A121" s="17" t="str">
        <x:v>BUS117</x:v>
      </x:c>
      <x:c r="B121" s="17" t="str">
        <x:v>查询成分股数量最多的申万三级行业前20名。</x:v>
      </x:c>
      <x:c r="C121" s="17" t="str">
        <x:v>成功</x:v>
      </x:c>
      <x:c r="D121" s="17" t="str">
        <x:v>正确</x:v>
      </x:c>
      <x:c r="E121" s="19" t="n">
        <x:v>0.9</x:v>
      </x:c>
      <x:c r="F121" s="17" t="str">
        <x:v>constitution.agg一次完成申万三级行业成分股数量Top20，排序和值均有直接证据。 主要根因：无实质问题；专用聚合API是高效正例。 聚合：pass 证据对齐：pass</x:v>
      </x:c>
      <x:c r="G121" s="17" t="str">
        <x:v>{
  "review_source": "deep_audit_061_120.json",
  "route_ok": true,
  "time": "na",
  "entity": "pass",
  "numeric": "pass",
  "aggregation": "pass",
  "evidence_alignment": "pass"
}</x:v>
      </x:c>
      <x:c r="H121" s="17" t="str">
        <x:v>na</x:v>
      </x:c>
      <x:c r="I121" s="17" t="str">
        <x:v>FAIL: expected_dataview_coverage</x:v>
      </x:c>
      <x:c r="J121" s="17" t="str">
        <x:v>pass</x:v>
      </x:c>
      <x:c r="K121" s="17" t="str">
        <x:v>pass；na</x:v>
      </x:c>
      <x:c r="L121" s="17" t="str">
        <x:v>pass</x:v>
      </x:c>
      <x:c r="M121" s="17" t="str">
        <x:v>否</x:v>
      </x:c>
      <x:c r="N121" s="17" t="str">
        <x:v>以下是成分股数量最多的申万三级行业前20名：
| 排名 | 三级行业 | 成分股数量 |
|:---:|:---|:---:|
| 1 | **IT服务Ⅲ** | 98 |
| 2 | **化学制剂** | 85 |
| 3 | **住宅开发** | 82 |
| 4 | **底盘与发动机系统** | 75 |
| 5 | **垂直应用软件** | 75 |
| 6 | **其他专用设备** | 70 |
| 7 | **消费电子零部件及组装** | 69 |
| 8 | **中药Ⅲ** | 64 |
| 9 | **金属制品** | 62 |
| 10 | **其他计算机设备** | 49 |
| 11 | **证券Ⅲ** | 47 |
| 12 | **其他化学制品** | 44 |
| 13 | **水务及水治理** | 43 |
| 14 | **能源及重型设备** | 39 |
| 15 | **军工电子Ⅲ** | 39 |
| 16 | **仪器仪表** | 38 |
| 17 | **航空装备Ⅲ** | 38 |
| 18 | **面板** | 35 |
| 19 | **医疗耗材** | 35 |
| 20 | **体外诊断** | 35 |
**IT服务Ⅲ**以98只成分股位居榜首，是唯一接近百股规模的申万三级行业；**化学制剂**（85只）和**住宅开发**（82只）紧随其后，也属于成分股高度分散的行业。前20名中，TMT（IT服务、垂直应用软件、消费电子零部件）、医药（化学制剂、中药、医疗耗材、体外诊断）和制造业（底盘与发动机系统、专用设备、金属制品）分布最为密集。</x:v>
      </x:c>
    </x:row>
    <x:row r="122" ht="64" customHeight="1">
      <x:c r="A122" s="17" t="str">
        <x:v>BUS118</x:v>
      </x:c>
      <x:c r="B122" s="17" t="str">
        <x:v>查询银行行业成分股代码和名称。</x:v>
      </x:c>
      <x:c r="C122" s="17" t="str">
        <x:v>成功</x:v>
      </x:c>
      <x:c r="D122" s="17" t="str">
        <x:v>错误</x:v>
      </x:c>
      <x:c r="E122" s="19" t="n">
        <x:v>0.7</x:v>
      </x:c>
      <x:c r="F122" s="17" t="str">
        <x:v>明确的银行行业成分股查询被路由成clarify，追问个股分析或热点追踪，完全未执行金融查询。 主要根因：顶层意图路由误判，通用澄清模板覆盖了明确的数据查询语义。 聚合：unknown 证据对齐：fail</x:v>
      </x:c>
      <x:c r="G122" s="17" t="str">
        <x:v>{
  "review_source": "deep_audit_061_120.json",
  "route_ok": false,
  "time": "unknown",
  "entity": "unknown",
  "numeric": "unknown",
  "aggregation": "unknown",
  "evidence_alignment": "fail"
}</x:v>
      </x:c>
      <x:c r="H122" s="17" t="str">
        <x:v>unknown</x:v>
      </x:c>
      <x:c r="I122" s="17" t="str">
        <x:v>FAIL: expected_dataview_coverage</x:v>
      </x:c>
      <x:c r="J122" s="17" t="str">
        <x:v>unknown</x:v>
      </x:c>
      <x:c r="K122" s="17" t="str">
        <x:v>unknown；unknown</x:v>
      </x:c>
      <x:c r="L122" s="17" t="str">
        <x:v>fail</x:v>
      </x:c>
      <x:c r="M122" s="17" t="str">
        <x:v>是</x:v>
      </x:c>
      <x:c r="N122" s="17" t="str">
        <x:v>已识别为自然语言请求，当前 agent = investment_analyst，route_type = clarify。
需要澄清: {"state_type": "clarification_state", "status": "needs_user_input", "missing_slots": ["task_focus"], "prompt": "请说明你更想做个股深度分析，还是热点/概念追踪。", "resume_token": "clarify_7470a8807ba34967", "slot_hints": {"task_focus": "请说明你更想做个股深度分析，还是热点/概念追踪。"}, "context_summary": {"task_type": "", "code": "", "name": ""}}</x:v>
      </x:c>
    </x:row>
    <x:row r="123" ht="64" customHeight="1">
      <x:c r="A123" s="17" t="str">
        <x:v>BUS119</x:v>
      </x:c>
      <x:c r="B123" s="17" t="str">
        <x:v>按申万一级行业汇总今天股票平均涨跌幅和上涨家数。</x:v>
      </x:c>
      <x:c r="C123" s="17" t="str">
        <x:v>成功</x:v>
      </x:c>
      <x:c r="D123" s="17" t="str">
        <x:v>错误</x:v>
      </x:c>
      <x:c r="E123" s="19" t="n">
        <x:v>0.7</x:v>
      </x:c>
      <x:c r="F123" s="17" t="str">
        <x:v>明确的申万一级行业聚合请求被路由成clarify，未进入金融查询，也没有任何工具证据。 主要根因：顶层路由对行业级聚合语义识别不稳定，错误触发与问题无关的通用澄清。 聚合：unknown 证据对齐：fail</x:v>
      </x:c>
      <x:c r="G123" s="17" t="str">
        <x:v>{
  "review_source": "deep_audit_061_120.json",
  "route_ok": false,
  "time": "unknown",
  "entity": "unknown",
  "numeric": "unknown",
  "aggregation": "unknown",
  "evidence_alignment": "fail"
}</x:v>
      </x:c>
      <x:c r="H123" s="17" t="str">
        <x:v>unknown</x:v>
      </x:c>
      <x:c r="I123" s="17" t="str">
        <x:v>FAIL: expected_dataview_coverage</x:v>
      </x:c>
      <x:c r="J123" s="17" t="str">
        <x:v>unknown</x:v>
      </x:c>
      <x:c r="K123" s="17" t="str">
        <x:v>unknown；unknown</x:v>
      </x:c>
      <x:c r="L123" s="17" t="str">
        <x:v>fail</x:v>
      </x:c>
      <x:c r="M123" s="17" t="str">
        <x:v>是</x:v>
      </x:c>
      <x:c r="N123" s="17" t="str">
        <x:v>已识别为自然语言请求，当前 agent = investment_analyst，route_type = clarify。
需要澄清: {"state_type": "clarification_state", "status": "needs_user_input", "missing_slots": ["task_focus"], "prompt": "请说明你更想做个股深度分析，还是热点/概念追踪。", "resume_token": "clarify_d86e0ebd359540e0", "slot_hints": {"task_focus": "请说明你更想做个股深度分析，还是热点/概念追踪。"}, "context_summary": {"task_type": "", "code": "", "name": ""}}</x:v>
      </x:c>
    </x:row>
    <x:row r="124" ht="64" customHeight="1">
      <x:c r="A124" s="17" t="str">
        <x:v>BUS120</x:v>
      </x:c>
      <x:c r="B124" s="17" t="str">
        <x:v>筛选半导体行业中今天涨幅最高的前10只股票。</x:v>
      </x:c>
      <x:c r="C124" s="17" t="str">
        <x:v>成功</x:v>
      </x:c>
      <x:c r="D124" s="17" t="str">
        <x:v>错误</x:v>
      </x:c>
      <x:c r="E124" s="19" t="n">
        <x:v>0.85</x:v>
      </x:c>
      <x:c r="F124" s="17" t="str">
        <x:v>半导体74只成分股获取正确，但下游stock.quote使用不存在的stock_code字段过滤，条件被静默忽略，结果是全市场涨幅前10；立方控股、中文在线、昆仑万维等并非半导体成分股，却被错误标为半导体榜单。 主要根因：跨结果字段绑定缺少schema校验，失效过滤未报错且Harness未做成员集合一致性校验。 聚合：fail 证据对齐：fail</x:v>
      </x:c>
      <x:c r="G124" s="17" t="str">
        <x:v>{
  "review_source": "deep_audit_061_120.json",
  "route_ok": true,
  "time": "pass",
  "entity": "fail",
  "numeric": "pass",
  "aggregation": "fail",
  "evidence_alignment": "fail"
}</x:v>
      </x:c>
      <x:c r="H124" s="17" t="str">
        <x:v>pass</x:v>
      </x:c>
      <x:c r="I124" s="17" t="str">
        <x:v>PASS: expected_dataview_coverage</x:v>
      </x:c>
      <x:c r="J124" s="17" t="str">
        <x:v>pass</x:v>
      </x:c>
      <x:c r="K124" s="17" t="str">
        <x:v>fail；pass</x:v>
      </x:c>
      <x:c r="L124" s="17" t="str">
        <x:v>fail</x:v>
      </x:c>
      <x:c r="M124" s="17" t="str">
        <x:v>否</x:v>
      </x:c>
      <x:c r="N124" s="17" t="str">
        <x:v>以下是半导体行业（申万二级）**2026年7月31日（最近交易日）** 涨幅最高的前10只股票：
| 排名 | 代码 | 名称 | 收盘价（元） | 涨幅 | 成交额（元） |
|:---:|:---:|:---:|:---:|:---:|:---:|
| 1 | 920130.BJ | 立方控股 | 20.42 | **+30.0%** | 1.79亿 |
| 2 | 920575.BJ | *ST康乐 | 4.71 | **+23.9%** | 1.15亿 |
| 3 | 300364.SZ | 中文在线 | 24.83 | **+20.0%** | 20.54亿 |
| 4 | 300720.SZ | 海川智能 | 50.80 | **+20.0%** | 3.35亿 |
| 5 | 301396.SZ | 宏景科技 | 156.16 | **+20.0%** | 10.32亿 |
| 6 | 300795.SZ | 米奥会展 | 16.44 | **+20.0%** | 8.95亿 |
| 7 | 300418.SZ | 昆仑万维 | 43.20 | **+20.0%** | 60.66亿 |
| 8 | 300789.SZ | 唐源电气 | 18.96 | **+20.0%** | 1.73亿 |
| 9 | 300508.SZ | 维宏股份 | 38.52 | **+20.0%** | 0.75亿 |
| 10 | 688095.SH | 福昕软件 | 67.03 | **+20.0%** | 4.58亿 |
**要点：**
- 半导体行业（含分立器件等二级子行业）共74只成分股，当日涨幅榜前10中有7只封住20%涨停（含科创板），多头情绪非常强势。
- **立方控股**以近30%的涨幅领涨，北交所个股弹性突出；**昆仑万维**成交额超60亿元，是当日资金最活跃的半导体相关标的。
- 数据日期为2026-07-31（周五），今日（8月2日周日）休市，以上为最近一个完整交易日的数据。</x:v>
      </x:c>
    </x:row>
    <x:row r="125" ht="64" customHeight="1">
      <x:c r="A125" s="17" t="str">
        <x:v>BUS121</x:v>
      </x:c>
      <x:c r="B125" s="17" t="str">
        <x:v>统计白酒行业成分股最新PE_TTM均值和最高市值股票。</x:v>
      </x:c>
      <x:c r="C125" s="17" t="str">
        <x:v>成功</x:v>
      </x:c>
      <x:c r="D125" s="17" t="str">
        <x:v>正确</x:v>
      </x:c>
      <x:c r="E125" s="19" t="n">
        <x:v>0.85</x:v>
      </x:c>
      <x:c r="F125" s="17" t="str">
        <x:v>17次工具调用偏多，曾因不支持的聚合与零结果绕行，但未污染最终结论。 主要根因：none 聚合：{"status":"pass","note":"均值、条件均值和最大值复算一致。"} 证据对齐：{"status":"pass","note":"结论均可由结果行支持。"}</x:v>
      </x:c>
      <x:c r="G125" s="17" t="str">
        <x:v>{
  "review_source": "deep_audit_121_180.json",
  "route_ok": true,
  "time": {
    "status": "pass",
    "note": "最新估值口径与结果一致。"
  },
  "entity": {
    "status": "pass",
    "note": "白酒Ⅲ19只成分股范围正确。"
  },
  "numeric": {
    "status": "pass",
    "note": "PE均值3.8593、正PE均值51.4449及贵州茅台市值均与完整结果一致。"
  },
  "aggregation": {
    "status": "pass",
    "note": "均值、条件均值和最大值复算一致。"
  },
  "evidence_alignment": {
    "status": "pass",
    "note": "结论均可由结果行支持。"
  }
}</x:v>
      </x:c>
      <x:c r="H125" s="17" t="str">
        <x:v>{"status":"pass","note":"最新估值口径与结果一致。"}</x:v>
      </x:c>
      <x:c r="I125" s="17" t="str">
        <x:v>["industry.basic_info","industry.constitution","stock.pricevalue"]</x:v>
      </x:c>
      <x:c r="J125" s="17" t="str">
        <x:v>{"status":"pass","note":"PE均值3.8593、正PE均值51.4449及贵州茅台市值均与完整结果一致。"}</x:v>
      </x:c>
      <x:c r="K125" s="17" t="str">
        <x:v>{"status":"pass","note":"白酒Ⅲ19只成分股范围正确。"}；{"status":"pass","note":"最新估值口径与结果一致。"}</x:v>
      </x:c>
      <x:c r="L125" s="17" t="str">
        <x:v>{"status":"pass","note":"结论均可由结果行支持。"}</x:v>
      </x:c>
      <x:c r="M125" s="17" t="str">
        <x:v>否</x:v>
      </x:c>
      <x:c r="N125" s="17" t="str">
        <x:v>白酒行业（申万三级行业"白酒Ⅲ"）共19只成分股，最新估值和市值数据如下：
**PE_TTM 均值**：约 **3.9 倍**（全样本平均）。若剔除4只亏损股（酒鬼酒、顺鑫农业、天佑德酒、金种子酒，PE_TTM为负值），盈利公司平均 PE_TTM 约 **51.4 倍**。
**市值最高的股票**：**贵州茅台（600519.SH）**，最新总市值约 **1.69 万亿元**，PE_TTM 为 20.4 倍。
其余市值居前的还有五粮液（约3,028亿，PE 24.0倍）、山西汾酒（约1,552亿，PE 14.1倍）和泸州老窖（约1,338亿，PE 13.5倍）。</x:v>
      </x:c>
    </x:row>
    <x:row r="126" ht="64" customHeight="1">
      <x:c r="A126" s="17" t="str">
        <x:v>BUS122</x:v>
      </x:c>
      <x:c r="B126" s="17" t="str">
        <x:v>查询电子行业成分股中近5日主力净流入最高的前10只股票。</x:v>
      </x:c>
      <x:c r="C126" s="17" t="str">
        <x:v>成功</x:v>
      </x:c>
      <x:c r="D126" s="17" t="str">
        <x:v>错误</x:v>
      </x:c>
      <x:c r="E126" s="19" t="n">
        <x:v>1</x:v>
      </x:c>
      <x:c r="F126" s="17" t="str">
        <x:v>industry.constitution limit=-1仍返回100行；下游未传播sample completeness。 主要根因：upstream_constituent_cap_not_propagated 聚合：{"status":"fail","note":"前10排名不是完整电子行业全局排名。"} 证据对齐：{"status":"fail","note":"答案把子集结果表述为全行业结果。"}</x:v>
      </x:c>
      <x:c r="G126" s="17" t="str">
        <x:v>{
  "review_source": "deep_audit_121_180.json",
  "route_ok": true,
  "time": {
    "status": "pass",
    "note": "近5日窗口调用正确。"
  },
  "entity": {
    "status": "partial",
    "note": "电子行业成分股只取得按代码排序的前100只，且未识别上游截断。"
  },
  "numeric": {
    "status": "partial",
    "note": "数值只对该100只子集成立。"
  },
  "aggregation": {
    "status": "fail",
    "note": "前10排名不是完整电子行业全局排名。"
  },
  "evidence_alignment": {
    "status": "fail",
    "note": "答案把子集结果表述为全行业结果。"
  }
}</x:v>
      </x:c>
      <x:c r="H126" s="17" t="str">
        <x:v>{"status":"pass","note":"近5日窗口调用正确。"}</x:v>
      </x:c>
      <x:c r="I126" s="17" t="str">
        <x:v>["industry.constitution","stock.moneyflow"]</x:v>
      </x:c>
      <x:c r="J126" s="17" t="str">
        <x:v>{"status":"partial","note":"数值只对该100只子集成立。"}</x:v>
      </x:c>
      <x:c r="K126" s="17" t="str">
        <x:v>{"status":"partial","note":"电子行业成分股只取得按代码排序的前100只，且未识别上游截断。"}；{"status":"pass","note":"近5日窗口调用正确。"}</x:v>
      </x:c>
      <x:c r="L126" s="17" t="str">
        <x:v>{"status":"fail","note":"答案把子集结果表述为全行业结果。"}</x:v>
      </x:c>
      <x:c r="M126" s="17" t="str">
        <x:v>否</x:v>
      </x:c>
      <x:c r="N126" s="17" t="str">
        <x:v>以下是电子行业（申万一级）近 **5 个交易日主力净流入最高**的 10 只股票，数据口径为截至上一个交易日的累计净流入（单位：元）：
| 排名 | 代码 | 名称 | 近5日主力净流入（元） |
|:---:|:---:|:---:|:---:|
| 1 | 000636.SZ | **风华高科** | 12.39 亿 |
| 2 | 002138.SZ | **顺络电子** | 3.26 亿 |
| 3 | 002859.SZ | **洁美科技** | 2.61 亿 |
| 4 | 002916.SZ | **深南电路** | 2.26 亿 |
| 5 | 002141.SZ | **贤丰控股** | 1.60 亿 |
| 6 | 002409.SZ | **雅克科技** | 1.36 亿 |
| 7 | 002484.SZ | **江海股份** | 0.97 亿 |
| 8 | 002119.SZ | **康强电子** | 0.77 亿 |
| 9 | 002387.SZ | **维信诺** | 0.76 亿 |
| 10 | 002130.SZ | **沃尔核材** | 0.71 亿 |
**关键看点：**
- **风华高科**以近 12.39 亿元的主力净流入断层领先，是第二名顺络电子的近 4 倍，资金集中度极高。
- 前十名中，被动元件（风华高科、顺络电子、洁美科技、江海股份）和 PCB/半导体封装（深南电路、康强电子）占据多数席位，电子细分领域资金偏好明显。
- 整体来看，电子行业近 5 日主力资金呈现"头部集中"特征，前三名合计吸金约 18.25 亿元，占前十总额的 60% 以上。</x:v>
      </x:c>
    </x:row>
    <x:row r="127" ht="64" customHeight="1">
      <x:c r="A127" s="17" t="str">
        <x:v>BUS123</x:v>
      </x:c>
      <x:c r="B127" s="17" t="str">
        <x:v>查询半导体行业层级信息、成分股列表和今天平均涨跌幅。</x:v>
      </x:c>
      <x:c r="C127" s="17" t="str">
        <x:v>成功</x:v>
      </x:c>
      <x:c r="D127" s="17" t="str">
        <x:v>部分正确</x:v>
      </x:c>
      <x:c r="E127" s="19" t="n">
        <x:v>0.85</x:v>
      </x:c>
      <x:c r="F127" s="17" t="str">
        <x:v>跨层级聚合时混淆子组均值与全样本均值。 主要根因：aggregation_grain_mismatch 聚合：{"status":"fail","note":"对7个子行业均值做未加权平均3.3904%，正确按股票数加权约3.5987%。"} 证据对齐：{"status":"partial","note":"层级与明细可靠，总体均值口径未说明。"}</x:v>
      </x:c>
      <x:c r="G127" s="17" t="str">
        <x:v>{
  "review_source": "deep_audit_121_180.json",
  "route_ok": true,
  "time": {
    "status": "pass",
    "note": "使用2026-07-31当日行情。"
  },
  "entity": {
    "status": "pass",
    "note": "行业层级、7个三级行业和74只成分股范围正确。"
  },
  "numeric": {
    "status": "partial",
    "note": "7个子行业均值正确，但总体3.4%并非74只股票直接均值。"
  },
  "aggregation": {
    "status": "fail",
    "note": "对7个子行业均值做未加权平均3.3904%，正确按股票数加权约3.5987%。"
  },
  "evidence_alignment": {
    "status": "partial",
    "note": "层级与明细可靠，总体均值口径未说明。"
  }
}</x:v>
      </x:c>
      <x:c r="H127" s="17" t="str">
        <x:v>{"status":"pass","note":"使用2026-07-31当日行情。"}</x:v>
      </x:c>
      <x:c r="I127" s="17" t="str">
        <x:v>["industry.basic_info","industry.constitution"]</x:v>
      </x:c>
      <x:c r="J127" s="17" t="str">
        <x:v>{"status":"partial","note":"7个子行业均值正确，但总体3.4%并非74只股票直接均值。"}</x:v>
      </x:c>
      <x:c r="K127" s="17" t="str">
        <x:v>{"status":"pass","note":"行业层级、7个三级行业和74只成分股范围正确。"}；{"status":"pass","note":"使用2026-07-31当日行情。"}</x:v>
      </x:c>
      <x:c r="L127" s="17" t="str">
        <x:v>{"status":"partial","note":"层级与明细可靠，总体均值口径未说明。"}</x:v>
      </x:c>
      <x:c r="M127" s="17" t="str">
        <x:v>否</x:v>
      </x:c>
      <x:c r="N127" s="17" t="str">
        <x:v>以下是半导体行业的完整信息。
---
## 半导体行业层级结构
申万行业分类中，**半导体（270100）** 属于 **二级行业**，归属 **一级行业：电子（270000）**。其下包含 **7个三级子行业**：
| 三级行业 | 代码 |
|---------|------|
| 分立器件 | 270102 |
| 半导体材料 | 270103 |
| 数字芯片设计 | 270104 |
| 模拟芯片设计 | 270105 |
| 集成电路制造 | 270106 |
| 集成电路封测 | 270107 |
| 半导体设备 | 270108 |
---
## 成分股列表（共74只）
**分立器件（10只）：** 苏州固锝、台基股份、扬杰科技、捷捷微电、派瑞股份、华微电子、士兰微、斯达半导、新洁能、银河微电
**半导体材料（10只）：** 康强电子、雅克科技、中晶科技、江丰电子、阿石创、有研新材、立昂微、沪硅产业-U、清溢光电、神工股份
**数字芯片设计（22只）：** *ST盈方、紫光国微、纳思达、欧比特、国民技术、北京君正、中颖电子、全志科技、富瀚微、国科微、*ST大唐、韦尔股份、瑞芯微、兆易创新、澜起科技、乐鑫科技、晶晨股份、聚辰股份、寒武纪-U、芯原股份-U、力合微、恒玄科技
**模拟芯片设计（13只）：** 圣邦股份、富满电子、卓胜微、上海贝岭、博通集成、汇顶科技、敏芯股份、晶丰明源、芯朋微、思瑞浦、芯海科技、力芯微、明微电子
**集成电路制造（3只）：** 赛微电子、华润微、中芯国际
**集成电路封测（8只）：** 大港股份、通富微电、华天科技、长电科技、太极实业、晶方科技、利扬芯片、气派科技
**半导体设备（8只）：** 北方华创、华亚智能、长川科技、易天股份、至纯科技、中微公司、芯源微、华峰测控
---
## 上一个交易日（2026-07-31）平均涨跌幅
| 三级子行业 | 平均涨跌幅 |
|-----------|:---------:|
| 分立器件 | **+2.64%** |
| 半导体材料 | **+2.83%** |
| 数字芯片设计 | **+3.80%** |
| 模拟芯片设计 | **+4.68%** |
| 集成电路制造 | **+2.22%** |
| 集成电路封测 | **+4.31%** |
| 半导体设备 | **+3.26%** |
**整体来看，7月31日半导体板块全线走强**，所有子行业均录得正涨幅。模拟芯片设计（+4.68%）和集成电路封测（+4.31%）领涨，集成电路制造（+2.22%）和分立器件（+2.64%）涨幅相对靠后，整体板块算术平均涨幅约 **+3.4%**。</x:v>
      </x:c>
    </x:row>
    <x:row r="128" ht="64" customHeight="1">
      <x:c r="A128" s="17" t="str">
        <x:v>BUS124</x:v>
      </x:c>
      <x:c r="B128" s="17" t="str">
        <x:v>查询宁德时代所属行业，并列出该行业成分股的融资余额前10名。</x:v>
      </x:c>
      <x:c r="C128" s="17" t="str">
        <x:v>成功</x:v>
      </x:c>
      <x:c r="D128" s="17" t="str">
        <x:v>正确</x:v>
      </x:c>
      <x:c r="E128" s="19" t="n">
        <x:v>0.95</x:v>
      </x:c>
      <x:c r="F128" s="17" t="str">
        <x:v>出现过零日期过滤重试，但最终恢复到正确口径。 主要根因：none 聚合：{"status":"pass","note":"排序与占比正确。"} 证据对齐：{"status":"pass","note":"答案与结果行一致。"}</x:v>
      </x:c>
      <x:c r="G128" s="17" t="str">
        <x:v>{
  "review_source": "deep_audit_121_180.json",
  "route_ok": true,
  "time": {
    "status": "pass",
    "note": "融资余额日期2026-07-30明确。"
  },
  "entity": {
    "status": "pass",
    "note": "宁德时代所属锂电池行业及15只成分股正确。"
  },
  "numeric": {
    "status": "pass",
    "note": "前10融资余额、总额和宁德时代占比复算一致。"
  },
  "aggregation": {
    "status": "pass",
    "note": "排序与占比正确。"
  },
  "evidence_alignment": {
    "status": "pass",
    "note": "答案与结果行一致。"
  }
}</x:v>
      </x:c>
      <x:c r="H128" s="17" t="str">
        <x:v>{"status":"pass","note":"融资余额日期2026-07-30明确。"}</x:v>
      </x:c>
      <x:c r="I128" s="17" t="str">
        <x:v>["stock.basic_info","industry.constitution","stock.margin"]</x:v>
      </x:c>
      <x:c r="J128" s="17" t="str">
        <x:v>{"status":"pass","note":"前10融资余额、总额和宁德时代占比复算一致。"}</x:v>
      </x:c>
      <x:c r="K128" s="17" t="str">
        <x:v>{"status":"pass","note":"宁德时代所属锂电池行业及15只成分股正确。"}；{"status":"pass","note":"融资余额日期2026-07-30明确。"}</x:v>
      </x:c>
      <x:c r="L128" s="17" t="str">
        <x:v>{"status":"pass","note":"答案与结果行一致。"}</x:v>
      </x:c>
      <x:c r="M128" s="17" t="str">
        <x:v>否</x:v>
      </x:c>
      <x:c r="N128" s="17" t="str">
        <x:v>宁德时代所属行业为 **锂电池**（申万三级行业），该行业共15只成分股，其中13只可查到融资余额数据。截至 **2026-07-30**，融资余额前10名如下：
| 排名 | 股票 | 融资余额（元） |
|:---:|:---|:---:|
| 1 | **宁德时代** | 222.89亿 |
| 2 | **亿纬锂能** | 50.41亿 |
| 3 | **国轩高科** | 24.40亿 |
| 4 | **欣旺达** | 17.95亿 |
| 5 | **派能科技** | 8.41亿 |
| 6 | **鹏辉能源** | 7.94亿 |
| 7 | **蔚蓝锂芯** | 6.45亿 |
| 8 | **电科芯片** | 5.47亿 |
| 9 | **孚能科技** | 4.93亿 |
| 10 | **科达利** | 4.53亿 |
**宁德时代**以222.89亿元的融资余额遥遥领先，是第二名亿纬锂能的4.4倍，占整个锂电池行业融资余额的约**60%**，融资资金对该龙头的集中度非常高。</x:v>
      </x:c>
    </x:row>
    <x:row r="129" ht="64" customHeight="1">
      <x:c r="A129" s="17" t="str">
        <x:v>BUS125</x:v>
      </x:c>
      <x:c r="B129" s="17" t="str">
        <x:v>查询银行行业成分股，并返回每只股票最新PB和今天涨跌幅。</x:v>
      </x:c>
      <x:c r="C129" s="17" t="str">
        <x:v>成功</x:v>
      </x:c>
      <x:c r="D129" s="17" t="str">
        <x:v>正确</x:v>
      </x:c>
      <x:c r="E129" s="19" t="n">
        <x:v>1</x:v>
      </x:c>
      <x:c r="F129" s="17" t="str">
        <x:v>主要根因：none 聚合：{"status":"pass","note":"一对一拼接未发现错配。"} 证据对齐：{"status":"pass","note":"完整表格有结果引用支撑。"}</x:v>
      </x:c>
      <x:c r="G129" s="17" t="str">
        <x:v>{
  "review_source": "deep_audit_121_180.json",
  "route_ok": true,
  "time": {
    "status": "pass",
    "note": "PB最新值与2026-07-31行情日期处理正确。"
  },
  "entity": {
    "status": "pass",
    "note": "银行行业40只成分股完整。"
  },
  "numeric": {
    "status": "pass",
    "note": "逐股PB和涨跌幅与结果一致。"
  },
  "aggregation": {
    "status": "pass",
    "note": "一对一拼接未发现错配。"
  },
  "evidence_alignment": {
    "status": "pass",
    "note": "完整表格有结果引用支撑。"
  }
}</x:v>
      </x:c>
      <x:c r="H129" s="17" t="str">
        <x:v>{"status":"pass","note":"PB最新值与2026-07-31行情日期处理正确。"}</x:v>
      </x:c>
      <x:c r="I129" s="17" t="str">
        <x:v>["industry.constitution","stock.pricevalue","stock.quote"]</x:v>
      </x:c>
      <x:c r="J129" s="17" t="str">
        <x:v>{"status":"pass","note":"逐股PB和涨跌幅与结果一致。"}</x:v>
      </x:c>
      <x:c r="K129" s="17" t="str">
        <x:v>{"status":"pass","note":"银行行业40只成分股完整。"}；{"status":"pass","note":"PB最新值与2026-07-31行情日期处理正确。"}</x:v>
      </x:c>
      <x:c r="L129" s="17" t="str">
        <x:v>{"status":"pass","note":"完整表格有结果引用支撑。"}</x:v>
      </x:c>
      <x:c r="M129" s="17" t="str">
        <x:v>否</x:v>
      </x:c>
      <x:c r="N129" s="17" t="str">
        <x:v>数据已全部就绪。银行行业共有 **40 只成分股**，数据截至 **2026-07-31（周五）**，以下是完整结果：
| 股票名称 | 代码 | PB（倍） | 涨跌幅（%） |
|---------|------|---------|-----------|
| 平安银行 | 000001.SZ | 0.49 | +0.17 |
| 宁波银行 | 002142.SZ | 0.91 | **-3.10** |
| 江阴银行 | 002807.SZ | 0.56 | +0.73 |
| 张家港行 | 002839.SZ | 0.59 | -0.65 |
| 郑州银行 | 002936.SZ | 0.36 | -0.54 |
| 青岛银行 | 002948.SZ | 0.80 | -0.85 |
| 青农商行 | 002958.SZ | 0.47 | -0.31 |
| 苏州银行 | 002966.SZ | 0.73 | -1.05 |
| 浦发银行 | 600000.SH | 0.42 | -2.06 |
| 华夏银行 | 600015.SH | 0.35 | -0.85 |
| 民生银行 | 600016.SH | 0.28 | -0.28 |
| 招商银行 | 600036.SH | 0.88 | **-2.29** |
| 无锡银行 | 600908.SH | 0.54 | -0.18 |
| 江苏银行 | 600919.SH | 0.82 | +0.08 |
| 杭州银行 | 600926.SH | 0.85 | -0.30 |
| 西安银行 | 600928.SH | 0.45 | -0.27 |
| 南京银行 | 601009.SH | 0.76 | -1.27 |
| 渝农商行 | 601077.SH | 0.56 | -1.02 |
| 常熟银行 | 601128.SH | 0.73 | -0.31 |
| 兴业银行 | 601166.SH | 0.48 | -1.05 |
| 北京银行 | 601169.SH | 0.39 | +0.19 |
| 厦门银行 | 601187.SH | 0.75 | **+1.30** |
| 上海银行 | 601229.SH | 0.53 | -1.46 |
| 农业银行 | 601288.SH | 0.85 | **-2.95** |
| 交通银行 | 601328.SH | 0.55 | -1.91 |
| 工商银行 | 601398.SH | 0.72 | -1.96 |
| 瑞丰银行 | 601528.SH | 0.49 | +0.40 |
| 长沙银行 | 601577.SH | 0.52 | -1.45 |
| 邮储银行 | 601658.SH | 0.60 | -0.77 |
| 齐鲁银行 | 601665.SH | 0.78 | +0.16 |
| 光大银行 | 601818.SH | 0.37 | -0.63 |
| 成都银行 | 601838.SH | 0.85 | -1.12 |
| 紫金银行 | 601860.SH | 0.48 | -0.37 |
| 浙商银行 | 601916.SH | 0.45 | +0.33 |
| 建设银行 | 601939.SH | 0.80 | -1.09 |
| 重庆银行 | 601963.SH | 0.71 | -1.21 |
| 中国银行 | 601988.SH | 0.71 | -1.30 |
| 贵阳银行 | 601997.SH | 0.32 | +0.17 |
| 中信银行 | 601998.SH | 0.59 | -1.39 |
| 苏农银行 | 603323.SH | 0.51 | 0.00 |
**几个要点：**
- **PB方面**：40只银行股全部处于破净状态（PB&lt;1），估值最低的是民生银行（0.28倍）、贵阳银行（0.32倍）和华夏银行（0.35倍）；PB相对最高的为宁波银行（0.91倍）、招商银行（0.88倍）、农业银行（0.85倍）和成都银行（0.85倍）。
- **7月31日表现**：整体偏弱，仅厦门银行（+1.30%）、江阴银行（+0.73%）、瑞丰银行（+0.40%）等少数个股收涨；跌幅较大的有宁波银行（-3.10%）、农业银行（-2.95%）、招商银行（-2.29%）和浦发银行（-2.06%），国有大行和股份行龙头普遍回调。</x:v>
      </x:c>
    </x:row>
    <x:row r="130" ht="64" customHeight="1">
      <x:c r="A130" s="17" t="str">
        <x:v>BUS126</x:v>
      </x:c>
      <x:c r="B130" s="17" t="str">
        <x:v>同时查询申万一级行业列表和沪深300前十大权重股。</x:v>
      </x:c>
      <x:c r="C130" s="17" t="str">
        <x:v>成功</x:v>
      </x:c>
      <x:c r="D130" s="17" t="str">
        <x:v>错误</x:v>
      </x:c>
      <x:c r="E130" s="19" t="n">
        <x:v>0.7</x:v>
      </x:c>
      <x:c r="F130" s="17" t="str">
        <x:v>0次金融工具调用；不必要的澄清中断主线。 主要根因：route_misclassification 聚合：{"status":"not_applicable","note":"无执行。"} 证据对齐：{"status":"fail","note":"明确的双查询被误判为需要澄清task_focus。"}</x:v>
      </x:c>
      <x:c r="G130" s="17" t="str">
        <x:v>{
  "review_source": "deep_audit_121_180.json",
  "route_ok": false,
  "time": {
    "status": "not_applicable",
    "note": "未进入数据查询。"
  },
  "entity": {
    "status": "fail",
    "note": "没有解析申万一级行业与沪深300两个明确对象。"
  },
  "numeric": {
    "status": "not_applicable",
    "note": "无查询结果。"
  },
  "aggregation": {
    "status": "not_applicable",
    "note": "无执行。"
  },
  "evidence_alignment": {
    "status": "fail",
    "note": "明确的双查询被误判为需要澄清task_focus。"
  }
}</x:v>
      </x:c>
      <x:c r="H130" s="17" t="str">
        <x:v>{"status":"not_applicable","note":"未进入数据查询。"}</x:v>
      </x:c>
      <x:c r="I130" s="17" t="str">
        <x:v>["industry.basic_info","index.constitution"]</x:v>
      </x:c>
      <x:c r="J130" s="17" t="str">
        <x:v>{"status":"not_applicable","note":"无查询结果。"}</x:v>
      </x:c>
      <x:c r="K130" s="17" t="str">
        <x:v>{"status":"fail","note":"没有解析申万一级行业与沪深300两个明确对象。"}；{"status":"not_applicable","note":"未进入数据查询。"}</x:v>
      </x:c>
      <x:c r="L130" s="17" t="str">
        <x:v>{"status":"fail","note":"明确的双查询被误判为需要澄清task_focus。"}</x:v>
      </x:c>
      <x:c r="M130" s="17" t="str">
        <x:v>是</x:v>
      </x:c>
      <x:c r="N130" s="17" t="str">
        <x:v>已识别为自然语言请求，当前 agent = investment_analyst，route_type = clarify。
需要澄清: {"state_type": "clarification_state", "status": "needs_user_input", "missing_slots": ["task_focus"], "prompt": "请说明你更想做个股深度分析，还是热点/概念追踪。", "resume_token": "clarify_f930a24c47804509", "slot_hints": {"task_focus": "请说明你更想做个股深度分析，还是热点/概念追踪。"}, "context_summary": {"task_type": "", "code": "", "name": ""}}</x:v>
      </x:c>
    </x:row>
    <x:row r="131" ht="64" customHeight="1">
      <x:c r="A131" s="17" t="str">
        <x:v>BUS127</x:v>
      </x:c>
      <x:c r="B131" s="17" t="str">
        <x:v>查询所有板块代码和板块名称。</x:v>
      </x:c>
      <x:c r="C131" s="17" t="str">
        <x:v>成功</x:v>
      </x:c>
      <x:c r="D131" s="17" t="str">
        <x:v>错误</x:v>
      </x:c>
      <x:c r="E131" s="19" t="n">
        <x:v>0.7</x:v>
      </x:c>
      <x:c r="F131" s="17" t="str">
        <x:v>0次工具调用。 主要根因：route_misclassification 聚合：{"status":"not_applicable","note":"无执行。"} 证据对齐：{"status":"fail","note":"问题明确却返回澄清。"}</x:v>
      </x:c>
      <x:c r="G131" s="17" t="str">
        <x:v>{
  "review_source": "deep_audit_121_180.json",
  "route_ok": false,
  "time": {
    "status": "not_applicable",
    "note": "无时间条件。"
  },
  "entity": {
    "status": "fail",
    "note": "未执行板块列表查询。"
  },
  "numeric": {
    "status": "not_applicable",
    "note": "无查询结果。"
  },
  "aggregation": {
    "status": "not_applicable",
    "note": "无执行。"
  },
  "evidence_alignment": {
    "status": "fail",
    "note": "问题明确却返回澄清。"
  }
}</x:v>
      </x:c>
      <x:c r="H131" s="17" t="str">
        <x:v>{"status":"not_applicable","note":"无时间条件。"}</x:v>
      </x:c>
      <x:c r="I131" s="17" t="str">
        <x:v>["plate.basic_info"]</x:v>
      </x:c>
      <x:c r="J131" s="17" t="str">
        <x:v>{"status":"not_applicable","note":"无查询结果。"}</x:v>
      </x:c>
      <x:c r="K131" s="17" t="str">
        <x:v>{"status":"fail","note":"未执行板块列表查询。"}；{"status":"not_applicable","note":"无时间条件。"}</x:v>
      </x:c>
      <x:c r="L131" s="17" t="str">
        <x:v>{"status":"fail","note":"问题明确却返回澄清。"}</x:v>
      </x:c>
      <x:c r="M131" s="17" t="str">
        <x:v>是</x:v>
      </x:c>
      <x:c r="N131" s="17" t="str">
        <x:v>已识别为自然语言请求，当前 agent = investment_analyst，route_type = clarify。
需要澄清: {"state_type": "clarification_state", "status": "needs_user_input", "missing_slots": ["task_focus"], "prompt": "请说明你更想做个股深度分析，还是热点/概念追踪。", "resume_token": "clarify_426588399fba4f8d", "slot_hints": {"task_focus": "请说明你更想做个股深度分析，还是热点/概念追踪。"}, "context_summary": {"task_type": "", "code": "", "name": ""}}</x:v>
      </x:c>
    </x:row>
    <x:row r="132" ht="64" customHeight="1">
      <x:c r="A132" s="17" t="str">
        <x:v>BUS128</x:v>
      </x:c>
      <x:c r="B132" s="17" t="str">
        <x:v>查询名称包含人工智能的板块代码和名称。</x:v>
      </x:c>
      <x:c r="C132" s="17" t="str">
        <x:v>成功</x:v>
      </x:c>
      <x:c r="D132" s="17" t="str">
        <x:v>正确</x:v>
      </x:c>
      <x:c r="E132" s="19" t="n">
        <x:v>1</x:v>
      </x:c>
      <x:c r="F132" s="17" t="str">
        <x:v>主要根因：none 聚合：{"status":"not_applicable","note":"简单检索。"} 证据对齐：{"status":"pass","note":"答案直接来自结果。"}</x:v>
      </x:c>
      <x:c r="G132" s="17" t="str">
        <x:v>{
  "review_source": "deep_audit_121_180.json",
  "route_ok": true,
  "time": {
    "status": "not_applicable",
    "note": "无时间条件。"
  },
  "entity": {
    "status": "pass",
    "note": "人工智能板块882347匹配正确。"
  },
  "numeric": {
    "status": "pass",
    "note": "返回1条与结果一致。"
  },
  "aggregation": {
    "status": "not_applicable",
    "note": "简单检索。"
  },
  "evidence_alignment": {
    "status": "pass",
    "note": "答案直接来自结果。"
  }
}</x:v>
      </x:c>
      <x:c r="H132" s="17" t="str">
        <x:v>{"status":"not_applicable","note":"无时间条件。"}</x:v>
      </x:c>
      <x:c r="I132" s="17" t="str">
        <x:v>["plate.basic_info"]</x:v>
      </x:c>
      <x:c r="J132" s="17" t="str">
        <x:v>{"status":"pass","note":"返回1条与结果一致。"}</x:v>
      </x:c>
      <x:c r="K132" s="17" t="str">
        <x:v>{"status":"pass","note":"人工智能板块882347匹配正确。"}；{"status":"not_applicable","note":"无时间条件。"}</x:v>
      </x:c>
      <x:c r="L132" s="17" t="str">
        <x:v>{"status":"pass","note":"答案直接来自结果。"}</x:v>
      </x:c>
      <x:c r="M132" s="17" t="str">
        <x:v>否</x:v>
      </x:c>
      <x:c r="N132" s="17" t="str">
        <x:v>名称包含"人工智能"的板块共查到 **1 个**：
| 板块代码 | 板块名称 |
|---------|--------|
| 882347 | 人工智能 |</x:v>
      </x:c>
    </x:row>
    <x:row r="133" ht="64" customHeight="1">
      <x:c r="A133" s="17" t="str">
        <x:v>BUS129</x:v>
      </x:c>
      <x:c r="B133" s="17" t="str">
        <x:v>查询名称包含新能源车的板块列表。</x:v>
      </x:c>
      <x:c r="C133" s="17" t="str">
        <x:v>成功</x:v>
      </x:c>
      <x:c r="D133" s="17" t="str">
        <x:v>正确</x:v>
      </x:c>
      <x:c r="E133" s="19" t="n">
        <x:v>1</x:v>
      </x:c>
      <x:c r="F133" s="17" t="str">
        <x:v>主要根因：none 聚合：{"status":"pass","note":"零结果语义处理正确。"} 证据对齐：{"status":"pass","note":"如实说明未找到并提出可选扩展，不伪造实体。"}</x:v>
      </x:c>
      <x:c r="G133" s="17" t="str">
        <x:v>{
  "review_source": "deep_audit_121_180.json",
  "route_ok": true,
  "time": {
    "status": "not_applicable",
    "note": "无时间条件。"
  },
  "entity": {
    "status": "pass",
    "note": "按用户原词精确模糊查询，确实零行。"
  },
  "numeric": {
    "status": "not_applicable",
    "note": "无数值结论。"
  },
  "aggregation": {
    "status": "pass",
    "note": "零结果语义处理正确。"
  },
  "evidence_alignment": {
    "status": "pass",
    "note": "如实说明未找到并提出可选扩展，不伪造实体。"
  }
}</x:v>
      </x:c>
      <x:c r="H133" s="17" t="str">
        <x:v>{"status":"not_applicable","note":"无时间条件。"}</x:v>
      </x:c>
      <x:c r="I133" s="17" t="str">
        <x:v>["plate.basic_info"]</x:v>
      </x:c>
      <x:c r="J133" s="17" t="str">
        <x:v>{"status":"not_applicable","note":"无数值结论。"}</x:v>
      </x:c>
      <x:c r="K133" s="17" t="str">
        <x:v>{"status":"pass","note":"按用户原词精确模糊查询，确实零行。"}；{"status":"not_applicable","note":"无时间条件。"}</x:v>
      </x:c>
      <x:c r="L133" s="17" t="str">
        <x:v>{"status":"pass","note":"如实说明未找到并提出可选扩展，不伪造实体。"}</x:v>
      </x:c>
      <x:c r="M133" s="17" t="str">
        <x:v>否</x:v>
      </x:c>
      <x:c r="N133" s="17" t="str">
        <x:v>当前数据源中，未查询到名称包含"新能源车"的板块记录。可能的原因包括：
- 数据源中板块名称未使用"新能源车"这一表述，例如可能归类为"新能源"、"新能源汽车"等关键词。
- 当前数据源覆盖的板块分类体系有限。
如果需要，我可以尝试以"新能源"或"新能源汽车"等关键词来查询，看看是否有相关的板块记录。</x:v>
      </x:c>
    </x:row>
    <x:row r="134" ht="64" customHeight="1">
      <x:c r="A134" s="17" t="str">
        <x:v>BUS130</x:v>
      </x:c>
      <x:c r="B134" s="17" t="str">
        <x:v>查询证券板块代码和板块名称。</x:v>
      </x:c>
      <x:c r="C134" s="17" t="str">
        <x:v>成功</x:v>
      </x:c>
      <x:c r="D134" s="17" t="str">
        <x:v>错误</x:v>
      </x:c>
      <x:c r="E134" s="19" t="n">
        <x:v>0.7</x:v>
      </x:c>
      <x:c r="F134" s="17" t="str">
        <x:v>0次金融工具调用。 主要根因：route_misclassification 聚合：{"status":"not_applicable","note":"无执行。"} 证据对齐：{"status":"fail","note":"明确基础查询被误判为澄清。"}</x:v>
      </x:c>
      <x:c r="G134" s="17" t="str">
        <x:v>{
  "review_source": "deep_audit_121_180.json",
  "route_ok": false,
  "time": {
    "status": "not_applicable",
    "note": "无时间条件。"
  },
  "entity": {
    "status": "fail",
    "note": "未解析明确的证券板块。"
  },
  "numeric": {
    "status": "not_applicable",
    "note": "无查询结果。"
  },
  "aggregation": {
    "status": "not_applicable",
    "note": "无执行。"
  },
  "evidence_alignment": {
    "status": "fail",
    "note": "明确基础查询被误判为澄清。"
  }
}</x:v>
      </x:c>
      <x:c r="H134" s="17" t="str">
        <x:v>{"status":"not_applicable","note":"无时间条件。"}</x:v>
      </x:c>
      <x:c r="I134" s="17" t="str">
        <x:v>["plate.basic_info"]</x:v>
      </x:c>
      <x:c r="J134" s="17" t="str">
        <x:v>{"status":"not_applicable","note":"无查询结果。"}</x:v>
      </x:c>
      <x:c r="K134" s="17" t="str">
        <x:v>{"status":"fail","note":"未解析明确的证券板块。"}；{"status":"not_applicable","note":"无时间条件。"}</x:v>
      </x:c>
      <x:c r="L134" s="17" t="str">
        <x:v>{"status":"fail","note":"明确基础查询被误判为澄清。"}</x:v>
      </x:c>
      <x:c r="M134" s="17" t="str">
        <x:v>是</x:v>
      </x:c>
      <x:c r="N134" s="17" t="str">
        <x:v>已识别为自然语言请求，当前 agent = investment_analyst，route_type = clarify。
需要澄清: {"state_type": "clarification_state", "status": "needs_user_input", "missing_slots": ["task_focus"], "prompt": "请说明你更想做个股深度分析，还是热点/概念追踪。", "resume_token": "clarify_6cc11093aded4934", "slot_hints": {"task_focus": "请说明你更想做个股深度分析，还是热点/概念追踪。"}, "context_summary": {"task_type": "", "code": "", "name": ""}}</x:v>
      </x:c>
    </x:row>
    <x:row r="135" ht="64" customHeight="1">
      <x:c r="A135" s="17" t="str">
        <x:v>BUS131</x:v>
      </x:c>
      <x:c r="B135" s="17" t="str">
        <x:v>查询名称包含半导体的板块代码。</x:v>
      </x:c>
      <x:c r="C135" s="17" t="str">
        <x:v>成功</x:v>
      </x:c>
      <x:c r="D135" s="17" t="str">
        <x:v>正确</x:v>
      </x:c>
      <x:c r="E135" s="19" t="n">
        <x:v>1</x:v>
      </x:c>
      <x:c r="F135" s="17" t="str">
        <x:v>主要根因：none 聚合：{"status":"pass","note":"名称过滤正确。"} 证据对齐：{"status":"pass","note":"答案完整承接查询结果。"}</x:v>
      </x:c>
      <x:c r="G135" s="17" t="str">
        <x:v>{
  "review_source": "deep_audit_121_180.json",
  "route_ok": true,
  "time": {
    "status": "not_applicable",
    "note": "无时间条件。"
  },
  "entity": {
    "status": "pass",
    "note": "7个名称含半导体的板块均返回。"
  },
  "numeric": {
    "status": "pass",
    "note": "数量与代码列表一致。"
  },
  "aggregation": {
    "status": "pass",
    "note": "名称过滤正确。"
  },
  "evidence_alignment": {
    "status": "pass",
    "note": "答案完整承接查询结果。"
  }
}</x:v>
      </x:c>
      <x:c r="H135" s="17" t="str">
        <x:v>{"status":"not_applicable","note":"无时间条件。"}</x:v>
      </x:c>
      <x:c r="I135" s="17" t="str">
        <x:v>["plate.basic_info"]</x:v>
      </x:c>
      <x:c r="J135" s="17" t="str">
        <x:v>{"status":"pass","note":"数量与代码列表一致。"}</x:v>
      </x:c>
      <x:c r="K135" s="17" t="str">
        <x:v>{"status":"pass","note":"7个名称含半导体的板块均返回。"}；{"status":"not_applicable","note":"无时间条件。"}</x:v>
      </x:c>
      <x:c r="L135" s="17" t="str">
        <x:v>{"status":"pass","note":"答案完整承接查询结果。"}</x:v>
      </x:c>
      <x:c r="M135" s="17" t="str">
        <x:v>否</x:v>
      </x:c>
      <x:c r="N135" s="17" t="str">
        <x:v>名称包含"半导体"的板块共有 **7 个**，具体如下：
| 板块代码 | 板块名称 |
|:---|:---|
| 883547 | 第三代半导体 |
| 883720 | 半导体 |
| 883912 | 半导体材料 |
| 883914 | 半导体硅片 |
| 883924 | 半导体器件 |
| 883927 | 半导体设备 |
| 884243 | 功率半导体 |
其中代码 **883720** 对应的是最核心的"半导体"板块，其余为半导体产业链上的细分板块。</x:v>
      </x:c>
    </x:row>
    <x:row r="136" ht="64" customHeight="1">
      <x:c r="A136" s="17" t="str">
        <x:v>BUS132</x:v>
      </x:c>
      <x:c r="B136" s="17" t="str">
        <x:v>列出名称包含消费的板块。</x:v>
      </x:c>
      <x:c r="C136" s="17" t="str">
        <x:v>成功</x:v>
      </x:c>
      <x:c r="D136" s="17" t="str">
        <x:v>正确</x:v>
      </x:c>
      <x:c r="E136" s="19" t="n">
        <x:v>1</x:v>
      </x:c>
      <x:c r="F136" s="17" t="str">
        <x:v>主要根因：none 聚合：{"status":"pass","note":"名称过滤正确。"} 证据对齐：{"status":"pass","note":"未扩大或伪造范围。"}</x:v>
      </x:c>
      <x:c r="G136" s="17" t="str">
        <x:v>{
  "review_source": "deep_audit_121_180.json",
  "route_ok": true,
  "time": {
    "status": "not_applicable",
    "note": "无时间条件。"
  },
  "entity": {
    "status": "pass",
    "note": "当前数据中仅消费电子命中。"
  },
  "numeric": {
    "status": "pass",
    "note": "数量与结果一致。"
  },
  "aggregation": {
    "status": "pass",
    "note": "名称过滤正确。"
  },
  "evidence_alignment": {
    "status": "pass",
    "note": "未扩大或伪造范围。"
  }
}</x:v>
      </x:c>
      <x:c r="H136" s="17" t="str">
        <x:v>{"status":"not_applicable","note":"无时间条件。"}</x:v>
      </x:c>
      <x:c r="I136" s="17" t="str">
        <x:v>["plate.basic_info"]</x:v>
      </x:c>
      <x:c r="J136" s="17" t="str">
        <x:v>{"status":"pass","note":"数量与结果一致。"}</x:v>
      </x:c>
      <x:c r="K136" s="17" t="str">
        <x:v>{"status":"pass","note":"当前数据中仅消费电子命中。"}；{"status":"not_applicable","note":"无时间条件。"}</x:v>
      </x:c>
      <x:c r="L136" s="17" t="str">
        <x:v>{"status":"pass","note":"未扩大或伪造范围。"}</x:v>
      </x:c>
      <x:c r="M136" s="17" t="str">
        <x:v>否</x:v>
      </x:c>
      <x:c r="N136" s="17" t="str">
        <x:v>当前数据源中，名称包含"消费"的板块只有 **消费电子**（板块代码 883402）。</x:v>
      </x:c>
    </x:row>
    <x:row r="137" ht="64" customHeight="1">
      <x:c r="A137" s="17" t="str">
        <x:v>BUS133</x:v>
      </x:c>
      <x:c r="B137" s="17" t="str">
        <x:v>人工智能板块当前涨跌幅、成交额和成交量是多少？</x:v>
      </x:c>
      <x:c r="C137" s="17" t="str">
        <x:v>成功</x:v>
      </x:c>
      <x:c r="D137" s="17" t="str">
        <x:v>部分正确</x:v>
      </x:c>
      <x:c r="E137" s="19" t="n">
        <x:v>1</x:v>
      </x:c>
      <x:c r="F137" s="17" t="str">
        <x:v>同一字段的元到亿元换算缺少统一元数据约束。 主要根因：unit_conversion_error 聚合：{"status":"not_applicable","note":"单行行情。"} 证据对齐：{"status":"fail","note":"成交额单位转换与原始值不一致。"}</x:v>
      </x:c>
      <x:c r="G137" s="17" t="str">
        <x:v>{
  "review_source": "deep_audit_121_180.json",
  "route_ok": true,
  "time": {
    "status": "pass",
    "note": "明确披露板块数据最新为2026-07-27。"
  },
  "entity": {
    "status": "pass",
    "note": "人工智能板块正确。"
  },
  "numeric": {
    "status": "fail",
    "note": "amount=684392029660元应为6843.92亿元，答案写684.39亿元，低10倍；涨跌幅和成交量正确。"
  },
  "aggregation": {
    "status": "not_applicable",
    "note": "单行行情。"
  },
  "evidence_alignment": {
    "status": "fail",
    "note": "成交额单位转换与原始值不一致。"
  }
}</x:v>
      </x:c>
      <x:c r="H137" s="17" t="str">
        <x:v>{"status":"pass","note":"明确披露板块数据最新为2026-07-27。"}</x:v>
      </x:c>
      <x:c r="I137" s="17" t="str">
        <x:v>["plate.quote"]</x:v>
      </x:c>
      <x:c r="J137" s="17" t="str">
        <x:v>{"status":"fail","note":"amount=684392029660元应为6843.92亿元，答案写684.39亿元，低10倍；涨跌幅和成交量正确。"}</x:v>
      </x:c>
      <x:c r="K137" s="17" t="str">
        <x:v>{"status":"pass","note":"人工智能板块正确。"}；{"status":"pass","note":"明确披露板块数据最新为2026-07-27。"}</x:v>
      </x:c>
      <x:c r="L137" s="17" t="str">
        <x:v>{"status":"fail","note":"成交额单位转换与原始值不一致。"}</x:v>
      </x:c>
      <x:c r="M137" s="17" t="str">
        <x:v>否</x:v>
      </x:c>
      <x:c r="N137" s="17" t="str">
        <x:v>人工智能板块最新行情数据如下（数据截至最近一个交易日 **2026-07-27**）：
- **涨跌幅**：**+3.34%**
- **成交额**：约 **684.39 亿元**
- **成交量**：约 **320.09 亿股**
当日板块涨幅超过 3%，成交额接近 685 亿元，量价配合较为活跃。</x:v>
      </x:c>
    </x:row>
    <x:row r="138" ht="64" customHeight="1">
      <x:c r="A138" s="17" t="str">
        <x:v>BUS134</x:v>
      </x:c>
      <x:c r="B138" s="17" t="str">
        <x:v>今天涨幅最高的板块前20名。</x:v>
      </x:c>
      <x:c r="C138" s="17" t="str">
        <x:v>成功</x:v>
      </x:c>
      <x:c r="D138" s="17" t="str">
        <x:v>部分正确</x:v>
      </x:c>
      <x:c r="E138" s="19" t="n">
        <x:v>0.95</x:v>
      </x:c>
      <x:c r="F138" s="17" t="str">
        <x:v>金额渲染错误系统性重复。 主要根因：unit_conversion_error 聚合：{"status":"pass","note":"涨幅降序排名正确。"} 证据对齐：{"status":"partial","note":"排名与涨幅可靠，成交额列不可靠。"}</x:v>
      </x:c>
      <x:c r="G138" s="17" t="str">
        <x:v>{
  "review_source": "deep_audit_121_180.json",
  "route_ok": true,
  "time": {
    "status": "pass",
    "note": "识别周日并使用板块表最新2026-07-27。"
  },
  "entity": {
    "status": "pass",
    "note": "涨幅前20板块排序对象正确。"
  },
  "numeric": {
    "status": "fail",
    "note": "榜单成交额普遍被低估10倍。"
  },
  "aggregation": {
    "status": "pass",
    "note": "涨幅降序排名正确。"
  },
  "evidence_alignment": {
    "status": "partial",
    "note": "排名与涨幅可靠，成交额列不可靠。"
  }
}</x:v>
      </x:c>
      <x:c r="H138" s="17" t="str">
        <x:v>{"status":"pass","note":"识别周日并使用板块表最新2026-07-27。"}</x:v>
      </x:c>
      <x:c r="I138" s="17" t="str">
        <x:v>["plate.quote"]</x:v>
      </x:c>
      <x:c r="J138" s="17" t="str">
        <x:v>{"status":"fail","note":"榜单成交额普遍被低估10倍。"}</x:v>
      </x:c>
      <x:c r="K138" s="17" t="str">
        <x:v>{"status":"pass","note":"涨幅前20板块排序对象正确。"}；{"status":"pass","note":"识别周日并使用板块表最新2026-07-27。"}</x:v>
      </x:c>
      <x:c r="L138" s="17" t="str">
        <x:v>{"status":"partial","note":"排名与涨幅可靠，成交额列不可靠。"}</x:v>
      </x:c>
      <x:c r="M138" s="17" t="str">
        <x:v>否</x:v>
      </x:c>
      <x:c r="N138" s="17" t="str">
        <x:v>今天（2026-08-02）是周日，市场没有交易。板块行情数据最新的交易日为 **2026-07-27（周一）**，当日涨幅最高的前20个板块如下：
| 排名 | 板块名称 | 涨跌幅 | 收盘点位 | 成交额（亿元） |
|:---:|:---|:---:|:---:|:---:|
| 1 | 电子玻纤布 | **+9.66%** | 2,993.34 | 26.69 |
| 2 | 洁净室 | **+5.87%** | 710.12 | 9.76 |
| 3 | 阶跃星辰概念 | **+5.79%** | 831.13 | 2.99 |
| 4 | 重组胶原蛋白 | **+5.78%** | 855.72 | 1.47 |
| 5 | 脑机接口 | **+5.60%** | 1,302.78 | 26.78 |
| 6 | AI电商 | **+5.55%** | 910.98 | 2.86 |
| 7 | Kimi智能应用 | **+5.45%** | 921.56 | 6.63 |
| 8 | 被动元件 | **+5.37%** | 4,379.94 | 24.40 |
| 9 | 覆铜板 | **+5.33%** | 4,690.78 | 33.82 |
| 10 | 变压器 | **+5.25%** | 869.48 | 4.76 |
| 11 | 气凝胶 | **+5.21%** | 1,097.68 | 1.40 |
| 12 | 智能戒指 | **+5.19%** | 683.12 | 2.15 |
| 13 | MLCC | **+5.17%** | 669.11 | 45.45 |
| 14 | 激光武器 | **+5.14%** | 1,262.32 | 4.49 |
| 15 | 动力电池 | **+5.11%** | 824.18 | 38.35 |
| 16 | 苹果MR概念股 | **+5.10%** | 1,170.22 | 14.48 |
| 17 | 固态电解质 | **+4.97%** | 1,089.34 | 48.51 |
| 18 | 富锂锰基正极 | **+4.95%** | 800.11 | 5.04 |
| 19 | 硅基负极 | **+4.92%** | 1,534.35 | 13.32 |
| 20 | 骨架膜 | **+4.90%** | 1,050.09 | 4.94 |
**亮点简析：** 当日板块涨幅整体活跃，**电子玻纤布**以+9.66%的涨幅一枝独秀，接近涨停。电子元器件相关板块（被动元件、覆铜板、MLCC）和AI主题（阶跃星辰、Kimi智能应用、AI电商）表现突出，涨幅普遍在5%以上。新能源材料方向也有多板块上榜，固态电解质以48.5亿元的成交额居首。</x:v>
      </x:c>
    </x:row>
    <x:row r="139" ht="64" customHeight="1">
      <x:c r="A139" s="17" t="str">
        <x:v>BUS135</x:v>
      </x:c>
      <x:c r="B139" s="17" t="str">
        <x:v>筛选今天成交额超过100亿元且上涨的板块。</x:v>
      </x:c>
      <x:c r="C139" s="17" t="str">
        <x:v>成功</x:v>
      </x:c>
      <x:c r="D139" s="17" t="str">
        <x:v>错误</x:v>
      </x:c>
      <x:c r="E139" s="19" t="n">
        <x:v>0.9</x:v>
      </x:c>
      <x:c r="F139" s="17" t="str">
        <x:v>应以目标数据表最大交易日或显式可用日为准。 主要根因：cross_table_latest_date_mismatch 聚合：{"status":"fail","note":"在空的错误日期集合上做筛选。"} 证据对齐：{"status":"fail","note":"把缺数据解释为没有满足条件的板块。"}</x:v>
      </x:c>
      <x:c r="G139" s="17" t="str">
        <x:v>{
  "review_source": "deep_audit_121_180.json",
  "route_ok": true,
  "time": {
    "status": "fail",
    "note": "tradedate=-1解析为全局2026-07-31，而plate.quote最新仅到2026-07-27。"
  },
  "entity": {
    "status": "pass",
    "note": "板块全集对象正确。"
  },
  "numeric": {
    "status": "unknown",
    "note": "零行来自日期错配，不能据此判断阈值。"
  },
  "aggregation": {
    "status": "fail",
    "note": "在空的错误日期集合上做筛选。"
  },
  "evidence_alignment": {
    "status": "fail",
    "note": "把缺数据解释为没有满足条件的板块。"
  }
}</x:v>
      </x:c>
      <x:c r="H139" s="17" t="str">
        <x:v>{"status":"fail","note":"tradedate=-1解析为全局2026-07-31，而plate.quote最新仅到2026-07-27。"}</x:v>
      </x:c>
      <x:c r="I139" s="17" t="str">
        <x:v>["plate.quote"]</x:v>
      </x:c>
      <x:c r="J139" s="17" t="str">
        <x:v>{"status":"unknown","note":"零行来自日期错配，不能据此判断阈值。"}</x:v>
      </x:c>
      <x:c r="K139" s="17" t="str">
        <x:v>{"status":"pass","note":"板块全集对象正确。"}；{"status":"fail","note":"tradedate=-1解析为全局2026-07-31，而plate.quote最新仅到2026-07-27。"}</x:v>
      </x:c>
      <x:c r="L139" s="17" t="str">
        <x:v>{"status":"fail","note":"把缺数据解释为没有满足条件的板块。"}</x:v>
      </x:c>
      <x:c r="M139" s="17" t="str">
        <x:v>否</x:v>
      </x:c>
      <x:c r="N139" s="17" t="str">
        <x:v>今天是 **2026年8月2日（周日）**，A股休市，因此查询的是最近一个交易日 **2026年7月31日（周五）** 的板块数据。
在当日所有板块中，**没有满足"成交额超过100亿元且上涨"的板块**。这意味着要么板块成交额未达到100亿元门槛，要么上涨的板块成交额不足这一量级，两者条件未同时满足。</x:v>
      </x:c>
    </x:row>
    <x:row r="140" ht="64" customHeight="1">
      <x:c r="A140" s="17" t="str">
        <x:v>BUS136</x:v>
      </x:c>
      <x:c r="B140" s="17" t="str">
        <x:v>查询半导体板块最近10个交易日涨跌幅。</x:v>
      </x:c>
      <x:c r="C140" s="17" t="str">
        <x:v>成功</x:v>
      </x:c>
      <x:c r="D140" s="17" t="str">
        <x:v>部分正确</x:v>
      </x:c>
      <x:c r="E140" s="19" t="n">
        <x:v>1</x:v>
      </x:c>
      <x:c r="F140" s="17" t="str">
        <x:v>窗口问题的序列与累计语义未在规划时明确。 主要根因：time_window_semantic_mismatch 聚合：{"status":"partial","note":"用户可能要10日逐日涨跌幅，答案只给区间累计值。"} 证据对齐：{"status":"partial","note":"没有解释窗口输出语义。"}</x:v>
      </x:c>
      <x:c r="G140" s="17" t="str">
        <x:v>{
  "review_source": "deep_audit_121_180.json",
  "route_ok": true,
  "time": {
    "status": "partial",
    "note": "10日窗口执行，但未披露实际结束日。"
  },
  "entity": {
    "status": "pass",
    "note": "半导体板块匹配正确。"
  },
  "numeric": {
    "status": "pass",
    "note": "6.26%与kd_pct_sum结果一致。"
  },
  "aggregation": {
    "status": "partial",
    "note": "用户可能要10日逐日涨跌幅，答案只给区间累计值。"
  },
  "evidence_alignment": {
    "status": "partial",
    "note": "没有解释窗口输出语义。"
  }
}</x:v>
      </x:c>
      <x:c r="H140" s="17" t="str">
        <x:v>{"status":"partial","note":"10日窗口执行，但未披露实际结束日。"}</x:v>
      </x:c>
      <x:c r="I140" s="17" t="str">
        <x:v>["plate.quote"]</x:v>
      </x:c>
      <x:c r="J140" s="17" t="str">
        <x:v>{"status":"pass","note":"6.26%与kd_pct_sum结果一致。"}</x:v>
      </x:c>
      <x:c r="K140" s="17" t="str">
        <x:v>{"status":"pass","note":"半导体板块匹配正确。"}；{"status":"partial","note":"10日窗口执行，但未披露实际结束日。"}</x:v>
      </x:c>
      <x:c r="L140" s="17" t="str">
        <x:v>{"status":"partial","note":"没有解释窗口输出语义。"}</x:v>
      </x:c>
      <x:c r="M140" s="17" t="str">
        <x:v>否</x:v>
      </x:c>
      <x:c r="N140" s="17" t="str">
        <x:v>半导体板块最近10个交易日累计上涨 **6.26%**。</x:v>
      </x:c>
    </x:row>
    <x:row r="141" ht="64" customHeight="1">
      <x:c r="A141" s="17" t="str">
        <x:v>BUS137</x:v>
      </x:c>
      <x:c r="B141" s="17" t="str">
        <x:v>过去20个交易日累计涨幅最高的板块前10名。</x:v>
      </x:c>
      <x:c r="C141" s="17" t="str">
        <x:v>成功</x:v>
      </x:c>
      <x:c r="D141" s="17" t="str">
        <x:v>正确</x:v>
      </x:c>
      <x:c r="E141" s="19" t="n">
        <x:v>1</x:v>
      </x:c>
      <x:c r="F141" s="17" t="str">
        <x:v>主要根因：none 聚合：{"status":"pass","note":"按区间收益降序。"} 证据对齐：{"status":"pass","note":"榜单有结果支撑。"}</x:v>
      </x:c>
      <x:c r="G141" s="17" t="str">
        <x:v>{
  "review_source": "deep_audit_121_180.json",
  "route_ok": true,
  "time": {
    "status": "pass",
    "note": "20交易日窗口方法正确。"
  },
  "entity": {
    "status": "pass",
    "note": "全板块排名范围正确。"
  },
  "numeric": {
    "status": "pass",
    "note": "前10累计涨幅与结果一致。"
  },
  "aggregation": {
    "status": "pass",
    "note": "按区间收益降序。"
  },
  "evidence_alignment": {
    "status": "pass",
    "note": "榜单有结果支撑。"
  }
}</x:v>
      </x:c>
      <x:c r="H141" s="17" t="str">
        <x:v>{"status":"pass","note":"20交易日窗口方法正确。"}</x:v>
      </x:c>
      <x:c r="I141" s="17" t="str">
        <x:v>["plate.quote"]</x:v>
      </x:c>
      <x:c r="J141" s="17" t="str">
        <x:v>{"status":"pass","note":"前10累计涨幅与结果一致。"}</x:v>
      </x:c>
      <x:c r="K141" s="17" t="str">
        <x:v>{"status":"pass","note":"全板块排名范围正确。"}；{"status":"pass","note":"20交易日窗口方法正确。"}</x:v>
      </x:c>
      <x:c r="L141" s="17" t="str">
        <x:v>{"status":"pass","note":"榜单有结果支撑。"}</x:v>
      </x:c>
      <x:c r="M141" s="17" t="str">
        <x:v>否</x:v>
      </x:c>
      <x:c r="N141" s="17" t="str">
        <x:v>过去20个交易日累计涨幅最高的板块前10名如下：
| 排名 | 板块 | 累计涨幅 |
|:---:|:---|:---:|
| 1 | **水电** | **+8.48%** |
| 2 | 兵装重组概念 | +7.16% |
| 3 | 胃肠道中成药 | +6.74% |
| 4 | 银行 | +5.10% |
| 5 | 港口 | +4.98% |
| 6 | 蓝箭航天 | +3.75% |
| 7 | 兵器装备集团 | +3.44% |
| 8 | 遥感测控 | +3.27% |
| 9 | 火箭发射 | +3.16% |
| 10 | 证金(国家队) | +2.85% |
**水电板块**以8.48%的涨幅领跑，显著领先其他板块；**兵装重组概念**和**胃肠道中成药**分列二三位，涨幅在6.7%–7.2%之间。银行、港口等传统板块也有不错表现，而航天军工相关概念（蓝箭航天、遥感测控、火箭发射）集体上榜，呈现一定的主题轮动特征。</x:v>
      </x:c>
    </x:row>
    <x:row r="142" ht="64" customHeight="1">
      <x:c r="A142" s="17" t="str">
        <x:v>BUS138</x:v>
      </x:c>
      <x:c r="B142" s="17" t="str">
        <x:v>查询证券板块当前开盘价、最高价、最低价和最新价。</x:v>
      </x:c>
      <x:c r="C142" s="17" t="str">
        <x:v>成功</x:v>
      </x:c>
      <x:c r="D142" s="17" t="str">
        <x:v>部分正确</x:v>
      </x:c>
      <x:c r="E142" s="19" t="n">
        <x:v>1</x:v>
      </x:c>
      <x:c r="F142" s="17" t="str">
        <x:v>行情结果未投影tradedate，renderer无法可靠标注时点。 主要根因：stale_source_date_not_exposed 聚合：{"status":"not_applicable","note":"单行行情。"} 证据对齐：{"status":"fail","note":"陈述全天走势却隐藏了数据陈旧性。"}</x:v>
      </x:c>
      <x:c r="G142" s="17" t="str">
        <x:v>{
  "review_source": "deep_audit_121_180.json",
  "route_ok": true,
  "time": {
    "status": "fail",
    "note": "答案称当前但未披露实际数据日期2026-07-27。"
  },
  "entity": {
    "status": "pass",
    "note": "证券板块884162正确。"
  },
  "numeric": {
    "status": "pass",
    "note": "开高低收数值与结果一致。"
  },
  "aggregation": {
    "status": "not_applicable",
    "note": "单行行情。"
  },
  "evidence_alignment": {
    "status": "fail",
    "note": "陈述全天走势却隐藏了数据陈旧性。"
  }
}</x:v>
      </x:c>
      <x:c r="H142" s="17" t="str">
        <x:v>{"status":"fail","note":"答案称当前但未披露实际数据日期2026-07-27。"}</x:v>
      </x:c>
      <x:c r="I142" s="17" t="str">
        <x:v>["plate.quote"]</x:v>
      </x:c>
      <x:c r="J142" s="17" t="str">
        <x:v>{"status":"pass","note":"开高低收数值与结果一致。"}</x:v>
      </x:c>
      <x:c r="K142" s="17" t="str">
        <x:v>{"status":"pass","note":"证券板块884162正确。"}；{"status":"fail","note":"答案称当前但未披露实际数据日期2026-07-27。"}</x:v>
      </x:c>
      <x:c r="L142" s="17" t="str">
        <x:v>{"status":"fail","note":"陈述全天走势却隐藏了数据陈旧性。"}</x:v>
      </x:c>
      <x:c r="M142" s="17" t="str">
        <x:v>否</x:v>
      </x:c>
      <x:c r="N142" s="17" t="str">
        <x:v>证券板块（代码 884162）当前行情数据如下：
| 指标 | 点位 |
|------|------|
| **开盘价** | 998.85 |
| **最高价** | 1,009.55 |
| **最低价** | 992.73 |
| **最新价** | 1,008.98 |
| 涨跌幅 | +0.91% |
板块全天低开高走，开盘 998.85 后下探至 992.73，随后回升并收于 1,008.98，盘中振幅约 1.69%。</x:v>
      </x:c>
    </x:row>
    <x:row r="143" ht="64" customHeight="1">
      <x:c r="A143" s="17" t="str">
        <x:v>BUS139</x:v>
      </x:c>
      <x:c r="B143" s="17" t="str">
        <x:v>今天主力净流入最高的板块前20名。</x:v>
      </x:c>
      <x:c r="C143" s="17" t="str">
        <x:v>成功</x:v>
      </x:c>
      <x:c r="D143" s="17" t="str">
        <x:v>错误</x:v>
      </x:c>
      <x:c r="E143" s="19" t="n">
        <x:v>0.9</x:v>
      </x:c>
      <x:c r="F143" s="17" t="str">
        <x:v>零结果未区分无匹配与目标日期无数据。 主要根因：cross_table_latest_date_mismatch 聚合：{"status":"fail","note":"无法形成应有的top20。"} 证据对齐：{"status":"fail","note":"把日期错配归因于数据源未覆盖。"}</x:v>
      </x:c>
      <x:c r="G143" s="17" t="str">
        <x:v>{
  "review_source": "deep_audit_121_180.json",
  "route_ok": true,
  "time": {
    "status": "fail",
    "note": "全局-1落到2026-07-31，而板块资金流表最新日期更早。"
  },
  "entity": {
    "status": "pass",
    "note": "板块资金流对象正确。"
  },
  "numeric": {
    "status": "unknown",
    "note": "错误日期零行。"
  },
  "aggregation": {
    "status": "fail",
    "note": "无法形成应有的top20。"
  },
  "evidence_alignment": {
    "status": "fail",
    "note": "把日期错配归因于数据源未覆盖。"
  }
}</x:v>
      </x:c>
      <x:c r="H143" s="17" t="str">
        <x:v>{"status":"fail","note":"全局-1落到2026-07-31，而板块资金流表最新日期更早。"}</x:v>
      </x:c>
      <x:c r="I143" s="17" t="str">
        <x:v>["plate.moneyflow"]</x:v>
      </x:c>
      <x:c r="J143" s="17" t="str">
        <x:v>{"status":"unknown","note":"错误日期零行。"}</x:v>
      </x:c>
      <x:c r="K143" s="17" t="str">
        <x:v>{"status":"pass","note":"板块资金流对象正确。"}；{"status":"fail","note":"全局-1落到2026-07-31，而板块资金流表最新日期更早。"}</x:v>
      </x:c>
      <x:c r="L143" s="17" t="str">
        <x:v>{"status":"fail","note":"把日期错配归因于数据源未覆盖。"}</x:v>
      </x:c>
      <x:c r="M143" s="17" t="str">
        <x:v>否</x:v>
      </x:c>
      <x:c r="N143" s="17" t="str">
        <x:v>查询结果为空。最近一个交易日（2026年7月31日，周五）的板块资金流数据在当前数据源中未返回记录，因此无法提供主力净流入最高的板块排名。
这可能是因为板块级别的资金流数据在当日暂未收录或数据源未覆盖该日期的板块资金流向。建议关注交易日（周一至周五）盘中或盘后实时查询，数据会更完整。</x:v>
      </x:c>
    </x:row>
    <x:row r="144" ht="64" customHeight="1">
      <x:c r="A144" s="17" t="str">
        <x:v>BUS140</x:v>
      </x:c>
      <x:c r="B144" s="17" t="str">
        <x:v>查询人工智能板块最新主力净额和主力净占比。</x:v>
      </x:c>
      <x:c r="C144" s="17" t="str">
        <x:v>成功</x:v>
      </x:c>
      <x:c r="D144" s="17" t="str">
        <x:v>部分正确</x:v>
      </x:c>
      <x:c r="E144" s="19" t="n">
        <x:v>0.95</x:v>
      </x:c>
      <x:c r="F144" s="17" t="str">
        <x:v>比例字段缺少percentage-point语义。 主要根因：percentage_unit_misinterpretation 聚合：{"status":"not_applicable","note":"单行资金流。"} 证据对齐：{"status":"fail","note":"占比解释及衍生文字均建立在错误单位上。"}</x:v>
      </x:c>
      <x:c r="G144" s="17" t="str">
        <x:v>{
  "review_source": "deep_audit_121_180.json",
  "route_ok": true,
  "time": {
    "status": "pass",
    "note": "数据日期2026-07-27披露正确。"
  },
  "entity": {
    "status": "pass",
    "note": "人工智能板块正确。"
  },
  "numeric": {
    "status": "fail",
    "note": "main_ratio=0.1982表示0.1982%，答案写19.82%，放大100倍；主力净额正确。"
  },
  "aggregation": {
    "status": "not_applicable",
    "note": "单行资金流。"
  },
  "evidence_alignment": {
    "status": "fail",
    "note": "占比解释及衍生文字均建立在错误单位上。"
  }
}</x:v>
      </x:c>
      <x:c r="H144" s="17" t="str">
        <x:v>{"status":"pass","note":"数据日期2026-07-27披露正确。"}</x:v>
      </x:c>
      <x:c r="I144" s="17" t="str">
        <x:v>["plate.basic_info","plate.moneyflow"]</x:v>
      </x:c>
      <x:c r="J144" s="17" t="str">
        <x:v>{"status":"fail","note":"main_ratio=0.1982表示0.1982%，答案写19.82%，放大100倍；主力净额正确。"}</x:v>
      </x:c>
      <x:c r="K144" s="17" t="str">
        <x:v>{"status":"pass","note":"人工智能板块正确。"}；{"status":"pass","note":"数据日期2026-07-27披露正确。"}</x:v>
      </x:c>
      <x:c r="L144" s="17" t="str">
        <x:v>{"status":"fail","note":"占比解释及衍生文字均建立在错误单位上。"}</x:v>
      </x:c>
      <x:c r="M144" s="17" t="str">
        <x:v>否</x:v>
      </x:c>
      <x:c r="N144" s="17" t="str">
        <x:v>人工智能板块（882347）最新主力资金数据如下：
**主力净流入：27.09 亿元**，**主力净流入占比：19.82%**，数据日期为 2026-07-27。
- 主力净额 27.09 亿元，说明当天超大单和大单资金整体在积极买入人工智能板块。
- 主力净占比 19.82%，意味着主力资金净流入额占该板块当日总成交额的比例接近两成，资金参与度较高，属于明显的主动流入信号。
近5日主力净额合计同样为 27.09 亿元，说明该区间内主力资金呈净流入态势，没有出现明显的多日分歧。</x:v>
      </x:c>
    </x:row>
    <x:row r="145" ht="64" customHeight="1">
      <x:c r="A145" s="17" t="str">
        <x:v>BUS141</x:v>
      </x:c>
      <x:c r="B145" s="17" t="str">
        <x:v>近5日主力净流入合计最高的板块前10名。</x:v>
      </x:c>
      <x:c r="C145" s="17" t="str">
        <x:v>成功</x:v>
      </x:c>
      <x:c r="D145" s="17" t="str">
        <x:v>部分正确</x:v>
      </x:c>
      <x:c r="E145" s="19" t="n">
        <x:v>1</x:v>
      </x:c>
      <x:c r="F145" s="17" t="str">
        <x:v>窗口API未返回/投影end_date时renderer仍生成确定日期。 主要根因：window_end_date_fabricated 聚合：{"status":"pass","note":"排序正确。"} 证据对齐：{"status":"fail","note":"窗口结束日期被模型自行补写。"}</x:v>
      </x:c>
      <x:c r="G145" s="17" t="str">
        <x:v>{
  "review_source": "deep_audit_121_180.json",
  "route_ok": true,
  "time": {
    "status": "fail",
    "note": "答案声称截至8月1日，但结果没有end_date证据且数据实际锚点更早。"
  },
  "entity": {
    "status": "pass",
    "note": "板块榜单范围正确。"
  },
  "numeric": {
    "status": "pass",
    "note": "前10近5日主力净流入值与结果一致。"
  },
  "aggregation": {
    "status": "pass",
    "note": "排序正确。"
  },
  "evidence_alignment": {
    "status": "fail",
    "note": "窗口结束日期被模型自行补写。"
  }
}</x:v>
      </x:c>
      <x:c r="H145" s="17" t="str">
        <x:v>{"status":"fail","note":"答案声称截至8月1日，但结果没有end_date证据且数据实际锚点更早。"}</x:v>
      </x:c>
      <x:c r="I145" s="17" t="str">
        <x:v>["plate.moneyflow"]</x:v>
      </x:c>
      <x:c r="J145" s="17" t="str">
        <x:v>{"status":"pass","note":"前10近5日主力净流入值与结果一致。"}</x:v>
      </x:c>
      <x:c r="K145" s="17" t="str">
        <x:v>{"status":"pass","note":"板块榜单范围正确。"}；{"status":"fail","note":"答案声称截至8月1日，但结果没有end_date证据且数据实际锚点更早。"}</x:v>
      </x:c>
      <x:c r="L145" s="17" t="str">
        <x:v>{"status":"fail","note":"窗口结束日期被模型自行补写。"}</x:v>
      </x:c>
      <x:c r="M145" s="17" t="str">
        <x:v>否</x:v>
      </x:c>
      <x:c r="N145" s="17" t="str">
        <x:v>近5个交易日（截至8月1日）主力净流入合计最高的板块前10名如下：
| 排名 | 板块 | 近5日主力净流入合计 |
|:---:|:---|:---:|
| 1 | 融资融券 | 991.63 亿 |
| 2 | 电子 | 939.85 亿 |
| 3 | 预盈预增 | 884.93 亿 |
| 4 | 新股及次新股 | 817.62 亿 |
| 5 | 注册制次新股 | 817.62 亿 |
| 6 | 半导体 | 793.69 亿 |
| 7 | 国家大基金持股 | 776.92 亿 |
| 8 | 存储芯片 | 772.69 亿 |
| 9 | DRAM | 766.00 亿 |
| 10 | 深股通 | 156.49 亿 |
**要点**：融资融券板块以近992亿的主力净流入居首，但该板块更多是交易属性标签。剔除融资融券后，**电子**（940亿）、**半导体**（794亿）及存储芯片、DRAM等相关板块均位居前列，反映出近一周资金高度集中在以半导体为核心的科技方向。预盈预增板块（885亿）也显示出资金对业绩确定性标的的偏好。</x:v>
      </x:c>
    </x:row>
    <x:row r="146" ht="64" customHeight="1">
      <x:c r="A146" s="17" t="str">
        <x:v>BUS142</x:v>
      </x:c>
      <x:c r="B146" s="17" t="str">
        <x:v>筛选大单净额为正且主力净占比超过5%的板块。</x:v>
      </x:c>
      <x:c r="C146" s="17" t="str">
        <x:v>成功</x:v>
      </x:c>
      <x:c r="D146" s="17" t="str">
        <x:v>错误</x:v>
      </x:c>
      <x:c r="E146" s="19" t="n">
        <x:v>0.9</x:v>
      </x:c>
      <x:c r="F146" s="17" t="str">
        <x:v>零结果语义与日期可用性未分离。 主要根因：cross_table_latest_date_mismatch 聚合：{"status":"fail","note":"筛选建立在错误日期空集。"} 证据对齐：{"status":"fail","note":"进一步编造市场资金偏弱的因果解释。"}</x:v>
      </x:c>
      <x:c r="G146" s="17" t="str">
        <x:v>{
  "review_source": "deep_audit_121_180.json",
  "route_ok": true,
  "time": {
    "status": "fail",
    "note": "使用了板块表无数据的2026-07-31。"
  },
  "entity": {
    "status": "pass",
    "note": "筛选字段对应板块资金流。"
  },
  "numeric": {
    "status": "unknown",
    "note": "零行不能证明不存在满足项。"
  },
  "aggregation": {
    "status": "fail",
    "note": "筛选建立在错误日期空集。"
  },
  "evidence_alignment": {
    "status": "fail",
    "note": "进一步编造市场资金偏弱的因果解释。"
  }
}</x:v>
      </x:c>
      <x:c r="H146" s="17" t="str">
        <x:v>{"status":"fail","note":"使用了板块表无数据的2026-07-31。"}</x:v>
      </x:c>
      <x:c r="I146" s="17" t="str">
        <x:v>["plate.moneyflow"]</x:v>
      </x:c>
      <x:c r="J146" s="17" t="str">
        <x:v>{"status":"unknown","note":"零行不能证明不存在满足项。"}</x:v>
      </x:c>
      <x:c r="K146" s="17" t="str">
        <x:v>{"status":"pass","note":"筛选字段对应板块资金流。"}；{"status":"fail","note":"使用了板块表无数据的2026-07-31。"}</x:v>
      </x:c>
      <x:c r="L146" s="17" t="str">
        <x:v>{"status":"fail","note":"进一步编造市场资金偏弱的因果解释。"}</x:v>
      </x:c>
      <x:c r="M146" s="17" t="str">
        <x:v>否</x:v>
      </x:c>
      <x:c r="N146" s="17" t="str">
        <x:v>截至上一个交易日（2026-07-31，周五），**没有板块同时满足大单净额为正且主力净占比超过5%这两个条件**，筛选结果为空。
这通常意味着上周五市场整体资金面偏弱，各板块的主力资金参与度不够积极——要么大单处于净流出状态，要么主力净占比未超过5%的阈值，或两者兼有。</x:v>
      </x:c>
    </x:row>
    <x:row r="147" ht="64" customHeight="1">
      <x:c r="A147" s="17" t="str">
        <x:v>BUS143</x:v>
      </x:c>
      <x:c r="B147" s="17" t="str">
        <x:v>查询半导体板块最近10日主力净流入。</x:v>
      </x:c>
      <x:c r="C147" s="17" t="str">
        <x:v>成功</x:v>
      </x:c>
      <x:c r="D147" s="17" t="str">
        <x:v>正确</x:v>
      </x:c>
      <x:c r="E147" s="19" t="n">
        <x:v>0.9545454545454546</x:v>
      </x:c>
      <x:c r="F147" s="17" t="str">
        <x:v>有一次验证重试但结果未受影响。 主要根因：none 聚合：{"status":"pass","note":"10日主力净流入求和正确。"} 证据对齐：{"status":"pass","note":"结论由正合计支持。"}</x:v>
      </x:c>
      <x:c r="G147" s="17" t="str">
        <x:v>{
  "review_source": "deep_audit_121_180.json",
  "route_ok": true,
  "time": {
    "status": "pass",
    "note": "10交易日窗口调用正确。"
  },
  "entity": {
    "status": "pass",
    "note": "半导体板块正确。"
  },
  "numeric": {
    "status": "pass",
    "note": "488.49亿元与原始合计一致。"
  },
  "aggregation": {
    "status": "pass",
    "note": "10日主力净流入求和正确。"
  },
  "evidence_alignment": {
    "status": "pass",
    "note": "结论由正合计支持。"
  }
}</x:v>
      </x:c>
      <x:c r="H147" s="17" t="str">
        <x:v>{"status":"pass","note":"10交易日窗口调用正确。"}</x:v>
      </x:c>
      <x:c r="I147" s="17" t="str">
        <x:v>["plate.moneyflow"]</x:v>
      </x:c>
      <x:c r="J147" s="17" t="str">
        <x:v>{"status":"pass","note":"488.49亿元与原始合计一致。"}</x:v>
      </x:c>
      <x:c r="K147" s="17" t="str">
        <x:v>{"status":"pass","note":"半导体板块正确。"}；{"status":"pass","note":"10交易日窗口调用正确。"}</x:v>
      </x:c>
      <x:c r="L147" s="17" t="str">
        <x:v>{"status":"pass","note":"结论由正合计支持。"}</x:v>
      </x:c>
      <x:c r="M147" s="17" t="str">
        <x:v>否</x:v>
      </x:c>
      <x:c r="N147" s="17" t="str">
        <x:v>半导体板块（883720）最近10个交易日主力资金净流入合计 **488.49 亿元**，说明近两周主力资金整体呈明显的净流入态势。</x:v>
      </x:c>
    </x:row>
    <x:row r="148" ht="64" customHeight="1">
      <x:c r="A148" s="17" t="str">
        <x:v>BUS144</x:v>
      </x:c>
      <x:c r="B148" s="17" t="str">
        <x:v>今天超大单买入额最高的板块前10名。</x:v>
      </x:c>
      <x:c r="C148" s="17" t="str">
        <x:v>成功</x:v>
      </x:c>
      <x:c r="D148" s="17" t="str">
        <x:v>错误</x:v>
      </x:c>
      <x:c r="E148" s="19" t="n">
        <x:v>0.9</x:v>
      </x:c>
      <x:c r="F148" s="17" t="str">
        <x:v>把日期无数据误诊为字段能力缺失。 主要根因：cross_table_latest_date_mismatch 聚合：{"status":"fail","note":"未得到top10。"} 证据对齐：{"status":"fail","note":"字段实际存在，却误称数据源未提供。"}</x:v>
      </x:c>
      <x:c r="G148" s="17" t="str">
        <x:v>{
  "review_source": "deep_audit_121_180.json",
  "route_ok": true,
  "time": {
    "status": "fail",
    "note": "全局最近交易日与plate.moneyflow表日期错位。"
  },
  "entity": {
    "status": "pass",
    "note": "目标是板块超大单买入榜。"
  },
  "numeric": {
    "status": "unknown",
    "note": "错误日期零行。"
  },
  "aggregation": {
    "status": "fail",
    "note": "未得到top10。"
  },
  "evidence_alignment": {
    "status": "fail",
    "note": "字段实际存在，却误称数据源未提供。"
  }
}</x:v>
      </x:c>
      <x:c r="H148" s="17" t="str">
        <x:v>{"status":"fail","note":"全局最近交易日与plate.moneyflow表日期错位。"}</x:v>
      </x:c>
      <x:c r="I148" s="17" t="str">
        <x:v>["plate.moneyflow"]</x:v>
      </x:c>
      <x:c r="J148" s="17" t="str">
        <x:v>{"status":"unknown","note":"错误日期零行。"}</x:v>
      </x:c>
      <x:c r="K148" s="17" t="str">
        <x:v>{"status":"pass","note":"目标是板块超大单买入榜。"}；{"status":"fail","note":"全局最近交易日与plate.moneyflow表日期错位。"}</x:v>
      </x:c>
      <x:c r="L148" s="17" t="str">
        <x:v>{"status":"fail","note":"字段实际存在，却误称数据源未提供。"}</x:v>
      </x:c>
      <x:c r="M148" s="17" t="str">
        <x:v>否</x:v>
      </x:c>
      <x:c r="N148" s="17" t="str">
        <x:v>今天（2026-08-02，周日）A股市场休市，数据源对应的最近交易日为 **2026年7月31日（周五）**。在该日期下，板块资金流向数据未返回记录，当前数据源暂未提供板块级别的超大单买入额数据，因此无法列出前10名。</x:v>
      </x:c>
    </x:row>
    <x:row r="149" ht="64" customHeight="1">
      <x:c r="A149" s="17" t="str">
        <x:v>BUS145</x:v>
      </x:c>
      <x:c r="B149" s="17" t="str">
        <x:v>查询人工智能板块最新PE_TTM和PB。</x:v>
      </x:c>
      <x:c r="C149" s="17" t="str">
        <x:v>成功</x:v>
      </x:c>
      <x:c r="D149" s="17" t="str">
        <x:v>正确</x:v>
      </x:c>
      <x:c r="E149" s="19" t="n">
        <x:v>0.95</x:v>
      </x:c>
      <x:c r="F149" s="17" t="str">
        <x:v>主要根因：none 聚合：{"status":"not_applicable","note":"单行估值。"} 证据对齐：{"status":"partial","note":"数值有证据；偏高和成长溢价是未基于历史分位的解释。"}</x:v>
      </x:c>
      <x:c r="G149" s="17" t="str">
        <x:v>{
  "review_source": "deep_audit_121_180.json",
  "route_ok": true,
  "time": {
    "status": "pass",
    "note": "估值日期2026-07-24明确。"
  },
  "entity": {
    "status": "pass",
    "note": "人工智能板块正确。"
  },
  "numeric": {
    "status": "pass",
    "note": "PE_TTM=50.7、PB=2.92准确。"
  },
  "aggregation": {
    "status": "not_applicable",
    "note": "单行估值。"
  },
  "evidence_alignment": {
    "status": "partial",
    "note": "数值有证据；偏高和成长溢价是未基于历史分位的解释。"
  }
}</x:v>
      </x:c>
      <x:c r="H149" s="17" t="str">
        <x:v>{"status":"pass","note":"估值日期2026-07-24明确。"}</x:v>
      </x:c>
      <x:c r="I149" s="17" t="str">
        <x:v>["plate.pricevalue"]</x:v>
      </x:c>
      <x:c r="J149" s="17" t="str">
        <x:v>{"status":"pass","note":"PE_TTM=50.7、PB=2.92准确。"}</x:v>
      </x:c>
      <x:c r="K149" s="17" t="str">
        <x:v>{"status":"pass","note":"人工智能板块正确。"}；{"status":"pass","note":"估值日期2026-07-24明确。"}</x:v>
      </x:c>
      <x:c r="L149" s="17" t="str">
        <x:v>{"status":"partial","note":"数值有证据；偏高和成长溢价是未基于历史分位的解释。"}</x:v>
      </x:c>
      <x:c r="M149" s="17" t="str">
        <x:v>否</x:v>
      </x:c>
      <x:c r="N149" s="17" t="str">
        <x:v>人工智能板块的最新估值数据如下（截至 **2026-07-24** 交易日）：
| 指标 | 数值 |
|------|------|
| **PE_TTM**（滚动市盈率） | **50.7 倍** |
| **PB**（市净率） | **2.92 倍** |
滚动市盈率约 50.7 倍，处于偏高水平，反映市场对人工智能板块整体给予了较高的成长溢价预期；市净率 2.92 倍，说明板块整体资产溢价也在合理偏高区间。两个估值指标结合起来看，市场对人工智能板块的定价主要基于对其未来盈利增长的乐观预期。</x:v>
      </x:c>
    </x:row>
    <x:row r="150" ht="64" customHeight="1">
      <x:c r="A150" s="17" t="str">
        <x:v>BUS146</x:v>
      </x:c>
      <x:c r="B150" s="17" t="str">
        <x:v>当前PE_TTM最低的板块前20名。</x:v>
      </x:c>
      <x:c r="C150" s="17" t="str">
        <x:v>成功</x:v>
      </x:c>
      <x:c r="D150" s="17" t="str">
        <x:v>正确</x:v>
      </x:c>
      <x:c r="E150" s="19" t="n">
        <x:v>0.95</x:v>
      </x:c>
      <x:c r="F150" s="17" t="str">
        <x:v>主要根因：none 聚合：{"status":"pass","note":"按PE_TTM升序取20。"} 证据对齐：{"status":"pass","note":"明确解释负PE而未假装为低估。"}</x:v>
      </x:c>
      <x:c r="G150" s="17" t="str">
        <x:v>{
  "review_source": "deep_audit_121_180.json",
  "route_ok": true,
  "time": {
    "status": "partial",
    "note": "未在答案中标明估值表实际日期。"
  },
  "entity": {
    "status": "pass",
    "note": "全板块估值排名。"
  },
  "numeric": {
    "status": "pass",
    "note": "负PE值与结果一致。"
  },
  "aggregation": {
    "status": "pass",
    "note": "按PE_TTM升序取20。"
  },
  "evidence_alignment": {
    "status": "pass",
    "note": "明确解释负PE而未假装为低估。"
  }
}</x:v>
      </x:c>
      <x:c r="H150" s="17" t="str">
        <x:v>{"status":"partial","note":"未在答案中标明估值表实际日期。"}</x:v>
      </x:c>
      <x:c r="I150" s="17" t="str">
        <x:v>["plate.pricevalue"]</x:v>
      </x:c>
      <x:c r="J150" s="17" t="str">
        <x:v>{"status":"pass","note":"负PE值与结果一致。"}</x:v>
      </x:c>
      <x:c r="K150" s="17" t="str">
        <x:v>{"status":"pass","note":"全板块估值排名。"}；{"status":"partial","note":"未在答案中标明估值表实际日期。"}</x:v>
      </x:c>
      <x:c r="L150" s="17" t="str">
        <x:v>{"status":"pass","note":"明确解释负PE而未假装为低估。"}</x:v>
      </x:c>
      <x:c r="M150" s="17" t="str">
        <x:v>否</x:v>
      </x:c>
      <x:c r="N150" s="17" t="str">
        <x:v>以下是当前 PE_TTM（滚动市盈率）最低的前 20 个板块，按 pe_ttm 升序排列。由于这些板块整体净利润为负，PE_TTM 均为负值：
| 排名 | 板块名称 | PE_TTM | PB |
|:---:|:---|:---:|:---:|
| 1 | 压缩空气储能 | **-14,990.77** | 1.37 |
| 2 | 饲料 | **-4,579.35** | 2.17 |
| 3 | 卫星通信 | **-4,036.39** | 5.61 |
| 4 | 航空航天零部件 | **-3,897.22** | 3.16 |
| 5 | 食品安全 | **-3,554.93** | 2.18 |
| 6 | 重组蛋白 | **-3,185.93** | 2.69 |
| 7 | 真人短剧 | **-2,427.25** | 2.36 |
| 8 | 大豆 | **-2,120.03** | 1.56 |
| 9 | 储能热管理器 | **-1,403.90** | 10.41 |
| 10 | AI漫剧 | **-1,271.00** | 2.38 |
| 11 | 鲸鸿动能广告 | **-640.23** | 2.49 |
| 12 | 商业航天 | **-610.41** | 3.60 |
| 13 | 快手概念 | **-534.92** | 5.70 |
| 14 | 华为哈勃投资持股 | **-524.02** | 10.71 |
| 15 | 种子 | **-498.17** | 2.01 |
| 16 | 卫星制造 | **-490.82** | 4.97 |
| 17 | 阿里千问概念 | **-483.27** | 2.77 |
| 18 | 华为鲲鹏 | **-468.52** | 3.19 |
| 19 | 京津冀一体化 | **-438.73** | 1.82 |
| 20 | 虚拟运营商 | **-424.35** | 2.80 |
**要点说明：**
- 这 20 个板块的 PE_TTM 均为负值，说明板块内成分股整体处于亏损或微利状态，导致市盈率失去常规参考意义。
- **压缩空气储能**（-14,990.77）负值幅度最大，主要受板块整体盈利为负影响；其静态 PE LYR 为 54.47 倍，说明历史盈利尚可，但近期的滚动盈利大幅转负。
- **饲料**（-4,579.35）、**卫星通信**（-4,036.39）紧随其后，同样属于板块整体亏损。
- 从 PB 来看，**华为哈勃投资持股**（10.71 倍）和**储能热管理器**（10.41 倍）估值相对较高，说明市场对其资产价值仍有溢价预期；而**压缩空气储能**（1.37 倍）、**大豆**（1.56 倍）等 PB 接近净资产，市场定价相对保守。</x:v>
      </x:c>
    </x:row>
    <x:row r="151" ht="64" customHeight="1">
      <x:c r="A151" s="17" t="str">
        <x:v>BUS147</x:v>
      </x:c>
      <x:c r="B151" s="17" t="str">
        <x:v>筛选PB低于2的板块。</x:v>
      </x:c>
      <x:c r="C151" s="17" t="str">
        <x:v>成功</x:v>
      </x:c>
      <x:c r="D151" s="17" t="str">
        <x:v>错误</x:v>
      </x:c>
      <x:c r="E151" s="19" t="n">
        <x:v>0.9</x:v>
      </x:c>
      <x:c r="F151" s="17" t="str">
        <x:v>与BUS135/139/142/144同一日期锚点根因。 主要根因：cross_table_latest_date_mismatch 聚合：{"status":"fail","note":"错误日期上的筛选。"} 证据对齐：{"status":"fail","note":"断言所有板块PB都在2以上。"}</x:v>
      </x:c>
      <x:c r="G151" s="17" t="str">
        <x:v>{
  "review_source": "deep_audit_121_180.json",
  "route_ok": true,
  "time": {
    "status": "fail",
    "note": "使用无板块估值数据的2026-07-31，而表最新为2026-07-24。"
  },
  "entity": {
    "status": "pass",
    "note": "PB筛选字段正确。"
  },
  "numeric": {
    "status": "unknown",
    "note": "空集不是PB均高于2的证据。"
  },
  "aggregation": {
    "status": "fail",
    "note": "错误日期上的筛选。"
  },
  "evidence_alignment": {
    "status": "fail",
    "note": "断言所有板块PB都在2以上。"
  }
}</x:v>
      </x:c>
      <x:c r="H151" s="17" t="str">
        <x:v>{"status":"fail","note":"使用无板块估值数据的2026-07-31，而表最新为2026-07-24。"}</x:v>
      </x:c>
      <x:c r="I151" s="17" t="str">
        <x:v>["plate.pricevalue"]</x:v>
      </x:c>
      <x:c r="J151" s="17" t="str">
        <x:v>{"status":"unknown","note":"空集不是PB均高于2的证据。"}</x:v>
      </x:c>
      <x:c r="K151" s="17" t="str">
        <x:v>{"status":"pass","note":"PB筛选字段正确。"}；{"status":"fail","note":"使用无板块估值数据的2026-07-31，而表最新为2026-07-24。"}</x:v>
      </x:c>
      <x:c r="L151" s="17" t="str">
        <x:v>{"status":"fail","note":"断言所有板块PB都在2以上。"}</x:v>
      </x:c>
      <x:c r="M151" s="17" t="str">
        <x:v>否</x:v>
      </x:c>
      <x:c r="N151" s="17" t="str">
        <x:v>截至上一个交易日（2026-07-31），**没有板块的PB（市净率）低于2**。
当前数据源中，所有板块的PB估值均在2倍以上，所以没有满足该条件的板块被筛选出来。</x:v>
      </x:c>
    </x:row>
    <x:row r="152" ht="64" customHeight="1">
      <x:c r="A152" s="17" t="str">
        <x:v>BUS148</x:v>
      </x:c>
      <x:c r="B152" s="17" t="str">
        <x:v>查询半导体板块最近估值PE和PS。</x:v>
      </x:c>
      <x:c r="C152" s="17" t="str">
        <x:v>成功</x:v>
      </x:c>
      <x:c r="D152" s="17" t="str">
        <x:v>正确</x:v>
      </x:c>
      <x:c r="E152" s="19" t="n">
        <x:v>0.95</x:v>
      </x:c>
      <x:c r="F152" s="17" t="str">
        <x:v>主要根因：none 聚合：{"status":"not_applicable","note":"单行估值。"} 证据对齐：{"status":"partial","note":"数值可靠；高估值判断未引用历史或同业基准。"}</x:v>
      </x:c>
      <x:c r="G152" s="17" t="str">
        <x:v>{
  "review_source": "deep_audit_121_180.json",
  "route_ok": true,
  "time": {
    "status": "pass",
    "note": "估值日期2026-07-24明确。"
  },
  "entity": {
    "status": "pass",
    "note": "半导体板块正确。"
  },
  "numeric": {
    "status": "pass",
    "note": "PE_TTM=83.31、PS=4.41准确。"
  },
  "aggregation": {
    "status": "not_applicable",
    "note": "单行估值。"
  },
  "evidence_alignment": {
    "status": "partial",
    "note": "数值可靠；高估值判断未引用历史或同业基准。"
  }
}</x:v>
      </x:c>
      <x:c r="H152" s="17" t="str">
        <x:v>{"status":"pass","note":"估值日期2026-07-24明确。"}</x:v>
      </x:c>
      <x:c r="I152" s="17" t="str">
        <x:v>["plate.pricevalue"]</x:v>
      </x:c>
      <x:c r="J152" s="17" t="str">
        <x:v>{"status":"pass","note":"PE_TTM=83.31、PS=4.41准确。"}</x:v>
      </x:c>
      <x:c r="K152" s="17" t="str">
        <x:v>{"status":"pass","note":"半导体板块正确。"}；{"status":"pass","note":"估值日期2026-07-24明确。"}</x:v>
      </x:c>
      <x:c r="L152" s="17" t="str">
        <x:v>{"status":"partial","note":"数值可靠；高估值判断未引用历史或同业基准。"}</x:v>
      </x:c>
      <x:c r="M152" s="17" t="str">
        <x:v>否</x:v>
      </x:c>
      <x:c r="N152" s="17" t="str">
        <x:v>以最近一个交易日（2026-07-24）的数据来看，半导体板块的估值为：
- **PE（市盈率）**：83.31 倍（静态与滚动一致）
- **PS（市销率）**：4.41 倍
当前半导体板块的 PE 超过 80 倍，处于高估值区间，这与市场对该板块的高成长预期一致；PS 为 4.41 倍，反映的是相对营收的溢价水平，也处于偏高位置。</x:v>
      </x:c>
    </x:row>
    <x:row r="153" ht="64" customHeight="1">
      <x:c r="A153" s="17" t="str">
        <x:v>BUS149</x:v>
      </x:c>
      <x:c r="B153" s="17" t="str">
        <x:v>筛选PS_TTM低于3的板块。</x:v>
      </x:c>
      <x:c r="C153" s="17" t="str">
        <x:v>成功</x:v>
      </x:c>
      <x:c r="D153" s="17" t="str">
        <x:v>部分正确</x:v>
      </x:c>
      <x:c r="E153" s="19" t="n">
        <x:v>1</x:v>
      </x:c>
      <x:c r="F153" s="17" t="str">
        <x:v>结果上限信息没有进入回答契约。 主要根因：result_limit_unacknowledged 聚合：{"status":"partial","note":"limit=50且sample_complete=false，不能称完整列表或总数正好50。"} 证据对齐：{"status":"fail","note":"答案明确过度声称完整性。"}</x:v>
      </x:c>
      <x:c r="G153" s="17" t="str">
        <x:v>{
  "review_source": "deep_audit_121_180.json",
  "route_ok": true,
  "time": {
    "status": "partial",
    "note": "未披露实际估值日期。"
  },
  "entity": {
    "status": "pass",
    "note": "PS&lt;3的板块过滤正确。"
  },
  "numeric": {
    "status": "pass",
    "note": "返回行数值符合阈值。"
  },
  "aggregation": {
    "status": "partial",
    "note": "limit=50且sample_complete=false，不能称完整列表或总数正好50。"
  },
  "evidence_alignment": {
    "status": "fail",
    "note": "答案明确过度声称完整性。"
  }
}</x:v>
      </x:c>
      <x:c r="H153" s="17" t="str">
        <x:v>{"status":"partial","note":"未披露实际估值日期。"}</x:v>
      </x:c>
      <x:c r="I153" s="17" t="str">
        <x:v>["plate.pricevalue"]</x:v>
      </x:c>
      <x:c r="J153" s="17" t="str">
        <x:v>{"status":"pass","note":"返回行数值符合阈值。"}</x:v>
      </x:c>
      <x:c r="K153" s="17" t="str">
        <x:v>{"status":"pass","note":"PS&lt;3的板块过滤正确。"}；{"status":"partial","note":"未披露实际估值日期。"}</x:v>
      </x:c>
      <x:c r="L153" s="17" t="str">
        <x:v>{"status":"fail","note":"答案明确过度声称完整性。"}</x:v>
      </x:c>
      <x:c r="M153" s="17" t="str">
        <x:v>否</x:v>
      </x:c>
      <x:c r="N153" s="17" t="str">
        <x:v>当前共有 **50个板块** 的PS_TTM低于3，以下是完整列表（按PS值从低到高排列）：
**PS &lt; 1 的板块（低市销率）**
| 板块 | PS_TTM | PE_TTM | PB |
|------|-------|--------|-----|
| 转基因 | 0.33 | 134.46 | 1.46 |
| 土壤治理 | 0.52 | 39.44 | 1.44 |
| 上海国企改革 | 0.58 | 21.26 | 1.02 |
| 页岩气 | 0.59 | 15.63 | 1.23 |
| 农村电商 | 0.63 | -36.76 | 1.48 |
| 一带一路 | 0.65 | 23.57 | 1.47 |
| 中字头股票 | 0.66 | 14.58 | 1.29 |
| 足球概念 | 0.85 | 18.23 | 1.22 |
| 猪肉 | 0.86 | 93.66 | 2.40 |
| 核电 | 0.86 | 27.26 | 1.73 |
| 污水处理 | 0.94 | 48.11 | 1.65 |
| 国企改革 | 0.95 | 16.35 | 1.32 |
| 环保 | 0.96 | 26.41 | 1.87 |
**PS 1～2 的板块**
| 板块 | PS_TTM | PE_TTM | PB |
|------|-------|--------|-----|
| 电商 | 1.00 | 40.84 | 2.16 |
| 福建自贸区 | 1.02 | 16.75 | 1.66 |
| 超导 | 1.12 | 40.81 | 2.78 |
| 碳纤维 | 1.16 | 45.23 | 2.51 |
| 医药电商 | 1.16 | 30.57 | 1.99 |
| 草甘膦 | 1.18 | 36.10 | 1.43 |
| 证金(国家队) | 1.23 | 10.73 | 1.14 |
| 车联网(车路协同) | 1.24 | 64.87 | 2.47 |
| 智慧城市 | 1.25 | 36.36 | 2.08 |
| 小米概念 | 1.25 | 29.48 | 3.42 |
| 混改 | 1.25 | 14.51 | 1.50 |
| 石墨烯 | 1.29 | 184.04 | 1.74 |
| 中药 | 1.29 | 38.82 | 2.06 |
| 海峡两岸 | 1.33 | 30.73 | 2.63 |
| 移动支付 | 1.39 | 30.61 | 1.89 |
| 沪股通 | 1.40 | 17.51 | 1.51 |
| 光伏概念 | 1.41 | -163.05 | 2.31 |
| 职业教育 | 1.45 | 281.54 | 2.15 |
| 三胎概念 | 1.53 | 19.19 | 2.05 |
| 智慧医疗 | 1.65 | 34.23 | 2.42 |
| PM2.5 | 1.68 | 273.74 | 2.34 |
| 物联网 | 1.70 | 39.04 | 2.93 |
| 大飞机 | 1.79 | 57.97 | 2.71 |
| 中韩自贸区 | 1.84 | 19.20 | 1.45 |
| 固废处理 | 1.15 | 28.44 | 2.34 |
| 电子竞技 | 1.95 | 9.25 | 2.24 |
| 创投 | 1.95 | 43.83 | 2.64 |
**PS 2～3 的板块**
| 板块 | PS_TTM | PE_TTM | PB |
|------|-------|--------|-----|
| 互联网金融 | 2.01 | 54.65 | 1.91 |
| 深股通 | 2.01 | 38.95 | 2.72 |
| 国产航母 | 2.05 | 68.80 | 2.22 |
| 军工集团 | 2.14 | 57.31 | 2.83 |
| 信息安全 | 2.30 | 80.54 | 3.37 |
| 3D打印 | 2.30 | 62.23 | 3.66 |
| 智能穿戴 | 2.31 | 68.69 | 3.95 |
| 生物疫苗 | 2.35 | -83.42 | 1.76 |
| 量子科技 | 2.48 | 64.87 | 3.07 |
| 传感器 | 2.75 | 63.24 | 3.47 |
**小结**：目前共有 **50个板块** PS_TTM低于3，其中 **13个板块** 低于1倍（市销率极低），主要集中在国企改革、一带一路、环保、农业等传统或政策导向型板块；PS在1~2倍的板块数量最多，涵盖科技、消费、医药等多个领域；PS在2~3倍的则多集中在军工、信息安全、科技制造等方向。</x:v>
      </x:c>
    </x:row>
    <x:row r="154" ht="64" customHeight="1">
      <x:c r="A154" s="17" t="str">
        <x:v>BUS150</x:v>
      </x:c>
      <x:c r="B154" s="17" t="str">
        <x:v>查询证券板块最新PE、PB和PS。</x:v>
      </x:c>
      <x:c r="C154" s="17" t="str">
        <x:v>成功</x:v>
      </x:c>
      <x:c r="D154" s="17" t="str">
        <x:v>正确</x:v>
      </x:c>
      <x:c r="E154" s="19" t="n">
        <x:v>1</x:v>
      </x:c>
      <x:c r="F154" s="17" t="str">
        <x:v>主要根因：none 聚合：{"status":"not_applicable","note":"单行估值。"} 证据对齐：{"status":"partial","note":"数值有证据；低估值判断缺少比较基准。"}</x:v>
      </x:c>
      <x:c r="G154" s="17" t="str">
        <x:v>{
  "review_source": "deep_audit_121_180.json",
  "route_ok": true,
  "time": {
    "status": "pass",
    "note": "日期2026-07-24明确。"
  },
  "entity": {
    "status": "pass",
    "note": "证券板块正确。"
  },
  "numeric": {
    "status": "pass",
    "note": "PE/PB/PS均与结果一致。"
  },
  "aggregation": {
    "status": "not_applicable",
    "note": "单行估值。"
  },
  "evidence_alignment": {
    "status": "partial",
    "note": "数值有证据；低估值判断缺少比较基准。"
  }
}</x:v>
      </x:c>
      <x:c r="H154" s="17" t="str">
        <x:v>{"status":"pass","note":"日期2026-07-24明确。"}</x:v>
      </x:c>
      <x:c r="I154" s="17" t="str">
        <x:v>["plate.pricevalue"]</x:v>
      </x:c>
      <x:c r="J154" s="17" t="str">
        <x:v>{"status":"pass","note":"PE/PB/PS均与结果一致。"}</x:v>
      </x:c>
      <x:c r="K154" s="17" t="str">
        <x:v>{"status":"pass","note":"证券板块正确。"}；{"status":"pass","note":"日期2026-07-24明确。"}</x:v>
      </x:c>
      <x:c r="L154" s="17" t="str">
        <x:v>{"status":"partial","note":"数值有证据；低估值判断缺少比较基准。"}</x:v>
      </x:c>
      <x:c r="M154" s="17" t="str">
        <x:v>否</x:v>
      </x:c>
      <x:c r="N154" s="17" t="str">
        <x:v>证券板块（884162）截至 **2026-07-24** 的最新估值数据如下：
- **PE（滚动市盈率）**：15.73 倍
- **PE（静态市盈率）**：16.38 倍
- **PB（市净率）**：1.29 倍
- **PS（市销率）**：5.97 倍
当前板块滚动市盈率约 15.7 倍，市净率仅 1.29 倍，整体处于较低估值水平，尤其 PB 在 1 倍附近，反映市场对证券行业的资产价值定价偏谨慎。</x:v>
      </x:c>
    </x:row>
    <x:row r="155" ht="64" customHeight="1">
      <x:c r="A155" s="17" t="str">
        <x:v>BUS151</x:v>
      </x:c>
      <x:c r="B155" s="17" t="str">
        <x:v>查询人工智能板块当前成分股。</x:v>
      </x:c>
      <x:c r="C155" s="17" t="str">
        <x:v>成功</x:v>
      </x:c>
      <x:c r="D155" s="17" t="str">
        <x:v>部分正确</x:v>
      </x:c>
      <x:c r="E155" s="19" t="n">
        <x:v>0.8</x:v>
      </x:c>
      <x:c r="F155" s="17" t="str">
        <x:v>数据结果上限与答案长度上限叠加。 主要根因：result_cap_and_answer_truncation 聚合：{"status":"partial","note":"列表又受2000字答案上限截断。"} 证据对齐：{"status":"fail","note":"答案称当前共有100只且完整列表。"}</x:v>
      </x:c>
      <x:c r="G155" s="17" t="str">
        <x:v>{
  "review_source": "deep_audit_121_180.json",
  "route_ok": true,
  "time": {
    "status": "not_applicable",
    "note": "成分关系无行情日期要求。"
  },
  "entity": {
    "status": "partial",
    "note": "limit=-1仍被上限截成100行，实际完整性未知。"
  },
  "numeric": {
    "status": "partial",
    "note": "100只是返回行数，不能当完整成分股数。"
  },
  "aggregation": {
    "status": "partial",
    "note": "列表又受2000字答案上限截断。"
  },
  "evidence_alignment": {
    "status": "fail",
    "note": "答案称当前共有100只且完整列表。"
  }
}</x:v>
      </x:c>
      <x:c r="H155" s="17" t="str">
        <x:v>{"status":"not_applicable","note":"成分关系无行情日期要求。"}</x:v>
      </x:c>
      <x:c r="I155" s="17" t="str">
        <x:v>["plate.constitution"]</x:v>
      </x:c>
      <x:c r="J155" s="17" t="str">
        <x:v>{"status":"partial","note":"100只是返回行数，不能当完整成分股数。"}</x:v>
      </x:c>
      <x:c r="K155" s="17" t="str">
        <x:v>{"status":"partial","note":"limit=-1仍被上限截成100行，实际完整性未知。"}；{"status":"not_applicable","note":"成分关系无行情日期要求。"}</x:v>
      </x:c>
      <x:c r="L155" s="17" t="str">
        <x:v>{"status":"fail","note":"答案称当前共有100只且完整列表。"}</x:v>
      </x:c>
      <x:c r="M155" s="17" t="str">
        <x:v>否</x:v>
      </x:c>
      <x:c r="N155" s="17" t="str">
        <x:v>人工智能板块（代码 882347）当前共有 **100 只成分股**，完整列表如下：
| 代码 | 名称 | 代码 | 名称 |
|------|------|------|------|
| 000010.SZ | *ST美丽 | 000016.SZ | *ST康佳A |
| 000027.SZ | 深圳能源 | 000032.SZ | 深桑达A |
| 000034.SZ | 神州数码 | 000039.SZ | 中集集团 |
| 000055.SZ | 方大集团 | 000060.SZ | 中金岭南 |
| 000062.SZ | 深圳华强 | 000063.SZ | 中兴通讯 |
| 000066.SZ | 中国长城 | 000069.SZ | 华侨城A |
| 000070.SZ | 特发信息 | 000096.SZ | 广聚能源 |
| 000100.SZ | TCL科技 | 000156.SZ | 华数传媒 |
| 000157.SZ | 中联重科 | 000158.SZ | 常山北明 |
| 000166.SZ | 申万宏源 | 000338.SZ | 潍柴动力 |
| 000400.SZ | 许继电气 | 000403.SZ | 派林生物 |
| 000409.SZ | 云鼎科技 | 000417.SZ | 合百集团 |
| 000498.SZ | 山东路桥 | 000513.SZ | 丽珠集团 |
| 000516.SZ | 国际医学 | 000521.SZ | 长虹美菱 |
| 000524.SZ | 岭南控股 | 000526.SZ | 学大教育 |
| 000528.SZ | 柳工 | 000532.SZ | 华金资本 |
| 000533.SZ | 顺钠股份 | 000539.SZ | 粤电力A |
| 000541.SZ | 佛山照明 | 000547.SZ | 航天发展 |
| 000555.SZ | 神州信息 | 000560.SZ | 我爱我家 |
| 000566.SZ | 海南海药 | 000582.SZ | 北部湾港 |
| 000591.SZ | 太阳能 | 000600.SZ | 建投能源 |
| 000601.SZ | 韶能股份 | 000607.SZ | 华媒控股 |
| 000625.SZ | 长安汽车 | 000628.SZ | 高新发展 |
| 000636.SZ | 风华高科 | 000650.SZ | 仁和药业 |
| 000657.SZ | 中钨高新 | 000665.SZ | 湖北广电 |
| 000676.SZ | 智度股份 | 000681.SZ | 视觉中国 |
| 000682.SZ | 东方电子 | 000710.SZ | 贝瑞基因 |
| 000712.SZ | 锦龙股份 | 000717.SZ | 中南股份 |
| 000719.SZ | 中原传媒 | 000750.SZ | 国海证券 |
| 000753.SZ | 漳州发展 | 000766.SZ | 通化金马 |
| 000776.SZ | 广发证券 | 000779.SZ | 甘咨询 |
| 000783.SZ | 长江证券 | 000785.SZ | 居然智家 |
| 000786.SZ | 北新建材 | 000791.SZ | 甘肃能源 |
| 000800.SZ | 一汽解放 | 000801.SZ | 四川九洲 |
| 000810.SZ | 创维数字 | 000815.SZ | 美利云 |
| 000818.SZ | 航锦科技 | 000821.SZ | ST京机 |
| 000823.SZ | 超声电子 | 000839.SZ | 国安股份 |
| 000886.SZ | 海南高速 | 000887.SZ | 中鼎股份 |
| 000889.SZ | 中嘉博创 | 000892.SZ | 欢瑞世纪 |
| 000893.SZ | 亚钾国际 | 000917.SZ | 电广传媒 |
| 000921.SZ | 海信家电 | 000925.SZ | 众合科技 |
| 000936.SZ | 华西股份 | 000938.SZ | 紫光股份 |
| 000948.SZ | 南天信息 | 000959.SZ | 首钢股份 |
| 000967.SZ | 盈峰环境 | 000977.SZ | 浪潮信息 |
| 000978.SZ | 桂林旅游 | 000988.SZ | 华工科技 |
| 000997.SZ | 新大陆 | 001230.SZ | 劲旅环境 |
| 001258.SZ | 立新能源 | 001278.SZ | 一彬科技 |
| 001287.SZ | 中电港 | 001288</x:v>
      </x:c>
    </x:row>
    <x:row r="156" ht="64" customHeight="1">
      <x:c r="A156" s="17" t="str">
        <x:v>BUS152</x:v>
      </x:c>
      <x:c r="B156" s="17" t="str">
        <x:v>查询半导体板块权重最高的前20只成分股。</x:v>
      </x:c>
      <x:c r="C156" s="17" t="str">
        <x:v>成功</x:v>
      </x:c>
      <x:c r="D156" s="17" t="str">
        <x:v>证据不足</x:v>
      </x:c>
      <x:c r="E156" s="19" t="n">
        <x:v>0.95</x:v>
      </x:c>
      <x:c r="F156" s="17" t="str">
        <x:v>工具契约暴露weight，但当前数据源不提供值。 主要根因：source_field_unavailable 聚合：{"status":"unknown","note":"无法按权重排序。"} 证据对齐：{"status":"pass","note":"答案诚实说明不能确认权重前20。"}</x:v>
      </x:c>
      <x:c r="G156" s="17" t="str">
        <x:v>{
  "review_source": "deep_audit_121_180.json",
  "route_ok": true,
  "time": {
    "status": "not_applicable",
    "note": "成分关系无时间要求。"
  },
  "entity": {
    "status": "pass",
    "note": "半导体板块及20条成分关系查询成功。"
  },
  "numeric": {
    "status": "unknown",
    "note": "weight字段全为空。"
  },
  "aggregation": {
    "status": "unknown",
    "note": "无法按权重排序。"
  },
  "evidence_alignment": {
    "status": "pass",
    "note": "答案诚实说明不能确认权重前20。"
  }
}</x:v>
      </x:c>
      <x:c r="H156" s="17" t="str">
        <x:v>{"status":"not_applicable","note":"成分关系无时间要求。"}</x:v>
      </x:c>
      <x:c r="I156" s="17" t="str">
        <x:v>["plate.constitution"]</x:v>
      </x:c>
      <x:c r="J156" s="17" t="str">
        <x:v>{"status":"unknown","note":"weight字段全为空。"}</x:v>
      </x:c>
      <x:c r="K156" s="17" t="str">
        <x:v>{"status":"pass","note":"半导体板块及20条成分关系查询成功。"}；{"status":"not_applicable","note":"成分关系无时间要求。"}</x:v>
      </x:c>
      <x:c r="L156" s="17" t="str">
        <x:v>{"status":"pass","note":"答案诚实说明不能确认权重前20。"}</x:v>
      </x:c>
      <x:c r="M156" s="17" t="str">
        <x:v>否</x:v>
      </x:c>
      <x:c r="N156" s="17" t="str">
        <x:v>根据查询结果，半导体板块（代码 883720）的成分股数据已返回 20 只股票，但该数据源未提供各成分股的**权重（weight）**字段，因此无法按权重排序确认前 20 名。
不过，这 20 只成分股的名单如下：
| 代码 | 名称 |
|:---|:---|
| 000006.SZ | 深振业A |
| 000021.SZ | 深科技 |
| 000032.SZ | 深桑达A |
| 000045.SZ | 深纺织A |
| 000049.SZ | 德赛电池 |
| 000062.SZ | 深圳华强 |
| 000063.SZ | 中兴通讯 |
| 000066.SZ | 中国长城 |
| 000333.SZ | 美的集团 |
| 000417.SZ | 合百集团 |
| 000422.SZ | 湖北宜化 |
| 000533.SZ | 顺钠股份 |
| 000536.SZ | 华映科技 |
| 000541.SZ | 佛山照明 |
| 000551.SZ | 创元科技 |
| 000559.SZ | 万向钱潮 |
| 000576.SZ | 甘化科工 |
| 000609.SZ | *ST中迪 |
| 000620.SZ | 盈新发展 |
| 000651.SZ | 格力电器 |
需要说明的是，当前数据源中该板块的 **weight 字段均为空**，无法按权重排序给出前 20 只。如果你希望了解该板块成分股按**市值、成交额或行情表现**等其他维度的排序，我可以进一步查询。</x:v>
      </x:c>
    </x:row>
    <x:row r="157" ht="64" customHeight="1">
      <x:c r="A157" s="17" t="str">
        <x:v>BUS153</x:v>
      </x:c>
      <x:c r="B157" s="17" t="str">
        <x:v>筛选证券板块成分股中权重超过2%的股票。</x:v>
      </x:c>
      <x:c r="C157" s="17" t="str">
        <x:v>成功</x:v>
      </x:c>
      <x:c r="D157" s="17" t="str">
        <x:v>证据不足</x:v>
      </x:c>
      <x:c r="E157" s="19" t="n">
        <x:v>0.95</x:v>
      </x:c>
      <x:c r="F157" s="17" t="str">
        <x:v>应在catalog中明确字段可用性。 主要根因：source_field_unavailable 聚合：{"status":"unknown","note":"无法筛选weight&gt;2%。"} 证据对齐：{"status":"pass","note":"没有用占位值或伪造筛选结果。"}</x:v>
      </x:c>
      <x:c r="G157" s="17" t="str">
        <x:v>{
  "review_source": "deep_audit_121_180.json",
  "route_ok": true,
  "time": {
    "status": "not_applicable",
    "note": "成分关系无时间要求。"
  },
  "entity": {
    "status": "pass",
    "note": "证券板块59只成分股范围正确。"
  },
  "numeric": {
    "status": "unknown",
    "note": "weight字段全为空。"
  },
  "aggregation": {
    "status": "unknown",
    "note": "无法筛选weight&gt;2%。"
  },
  "evidence_alignment": {
    "status": "pass",
    "note": "没有用占位值或伪造筛选结果。"
  }
}</x:v>
      </x:c>
      <x:c r="H157" s="17" t="str">
        <x:v>{"status":"not_applicable","note":"成分关系无时间要求。"}</x:v>
      </x:c>
      <x:c r="I157" s="17" t="str">
        <x:v>["plate.constitution"]</x:v>
      </x:c>
      <x:c r="J157" s="17" t="str">
        <x:v>{"status":"unknown","note":"weight字段全为空。"}</x:v>
      </x:c>
      <x:c r="K157" s="17" t="str">
        <x:v>{"status":"pass","note":"证券板块59只成分股范围正确。"}；{"status":"not_applicable","note":"成分关系无时间要求。"}</x:v>
      </x:c>
      <x:c r="L157" s="17" t="str">
        <x:v>{"status":"pass","note":"没有用占位值或伪造筛选结果。"}</x:v>
      </x:c>
      <x:c r="M157" s="17" t="str">
        <x:v>否</x:v>
      </x:c>
      <x:c r="N157" s="17" t="str">
        <x:v>证券板块（884162）共查询到 **59 只成分股**，但当前数据源中该板块的 **weight（权重）字段为空**，因此无法按"权重超过2%"的条件进行筛选。
以下是证券板块的全部成分股列表：
| 代码 | 名称 | 代码 | 名称 |
|------|------|------|------|
| 000166.SZ | 申万宏源 | 600030.SH | 中信证券 |
| 000686.SZ | 东北证券 | 600061.SH | 国投资本 |
| 000712.SZ | 锦龙股份 | 600095.SH | 湘财股份 |
| 000728.SZ | 国元证券 | 600109.SH | 国金证券 |
| 000750.SZ | 国海证券 | 600155.SH | 华创云信 |
| 000776.SZ | 广发证券 | 600369.SH | 西南证券 |
| 000783.SZ | 长江证券 | 600621.SH | 华鑫股份 |
| 000828.SZ | 东莞控股 | 600906.SH | 财达证券 |
| 002500.SZ | 山西证券 | 600909.SH | 华安证券 |
| 002670.SZ | 国盛证券 | 600918.SH | 中泰证券 |
| 002673.SZ | 西部证券 | 600958.SH | 东方证券 |
| 002736.SZ | 国信证券 | 600999.SH | 招商证券 |
| 002797.SZ | 第一创业 | 601059.SH | 信达证券 |
| 002926.SZ | 华西证券 | 601066.SH | 中信建投 |
| 002939.SZ | 长城证券 | 601099.SH | 太平洋 |
| 002945.SZ | 华林证券 | 601108.SH | 财通证券 |
| 300059.SZ | 东方财富 | 601136.SH | 首创证券 |
| 300085.SZ | 银之杰 | 601162.SH | 天风证券 |
| 600191.SH | 华资实业 | 601198.SH | 东兴证券 |
| 600390.SH | 五矿资本 | 601211.SH | 国泰海通 |
| 600663.SH | 陆家嘴 | 601236.SH | 红塔证券 |
| 600739.SH | 辽宁成大 | 601375.SH | 中原证券 |
| 600851.SH | 海欣股份 | 601377.SH | 兴业证券 |
| 600864.SH | 哈投股份 | 601456.SH | 国联民生 |
| 601555.SH | 东吴证券 | 601878.SH | 浙商证券 |
| 601688.SH | 华泰证券 | 601881.SH | 中国银河 |
| 601696.SH | 中银证券 | 601901.SH | 方正证券 |
| 601788.SH | 光大证券 | 601990.SH | 南京证券 |
| 601995.SH | 中金公司 | 603828.SH | \*ST利达 |
共 **59 只**，包含券商股以及部分参股/控股券商的企业（如银之杰、华资实业、辽宁成大等）。如需进一步分析，我可以尝试通过其他口径（如总市值占比）来近似估算权重分布。</x:v>
      </x:c>
    </x:row>
    <x:row r="158" ht="64" customHeight="1">
      <x:c r="A158" s="17" t="str">
        <x:v>BUS154</x:v>
      </x:c>
      <x:c r="B158" s="17" t="str">
        <x:v>查询白酒板块成分股数量。</x:v>
      </x:c>
      <x:c r="C158" s="17" t="str">
        <x:v>成功</x:v>
      </x:c>
      <x:c r="D158" s="17" t="str">
        <x:v>正确</x:v>
      </x:c>
      <x:c r="E158" s="19" t="n">
        <x:v>0.95</x:v>
      </x:c>
      <x:c r="F158" s="17" t="str">
        <x:v>主要根因：none 聚合：{"status":"pass","note":"计数正确。"} 证据对齐：{"status":"pass","note":"实体替代有明确说明。"}</x:v>
      </x:c>
      <x:c r="G158" s="17" t="str">
        <x:v>{
  "review_source": "deep_audit_121_180.json",
  "route_ok": true,
  "time": {
    "status": "not_applicable",
    "note": "成分关系无时间要求。"
  },
  "entity": {
    "status": "pass",
    "note": "精确白酒无结果后透明采用白酒概念883341。"
  },
  "numeric": {
    "status": "pass",
    "note": "48只与结果一致。"
  },
  "aggregation": {
    "status": "pass",
    "note": "计数正确。"
  },
  "evidence_alignment": {
    "status": "pass",
    "note": "实体替代有明确说明。"
  }
}</x:v>
      </x:c>
      <x:c r="H158" s="17" t="str">
        <x:v>{"status":"not_applicable","note":"成分关系无时间要求。"}</x:v>
      </x:c>
      <x:c r="I158" s="17" t="str">
        <x:v>["plate.constitution"]</x:v>
      </x:c>
      <x:c r="J158" s="17" t="str">
        <x:v>{"status":"pass","note":"48只与结果一致。"}</x:v>
      </x:c>
      <x:c r="K158" s="17" t="str">
        <x:v>{"status":"pass","note":"精确白酒无结果后透明采用白酒概念883341。"}；{"status":"not_applicable","note":"成分关系无时间要求。"}</x:v>
      </x:c>
      <x:c r="L158" s="17" t="str">
        <x:v>{"status":"pass","note":"实体替代有明确说明。"}</x:v>
      </x:c>
      <x:c r="M158" s="17" t="str">
        <x:v>否</x:v>
      </x:c>
      <x:c r="N158" s="17" t="str">
        <x:v>白酒板块（"白酒概念"板块，代码 883341）共有 **48 只** 成分股。</x:v>
      </x:c>
    </x:row>
    <x:row r="159" ht="64" customHeight="1">
      <x:c r="A159" s="17" t="str">
        <x:v>BUS155</x:v>
      </x:c>
      <x:c r="B159" s="17" t="str">
        <x:v>查询宁德时代是否属于新能源车板块成分股。</x:v>
      </x:c>
      <x:c r="C159" s="17" t="str">
        <x:v>成功</x:v>
      </x:c>
      <x:c r="D159" s="17" t="str">
        <x:v>正确</x:v>
      </x:c>
      <x:c r="E159" s="19" t="n">
        <x:v>0.85</x:v>
      </x:c>
      <x:c r="F159" s="17" t="str">
        <x:v>主要根因：none 聚合：{"status":"pass","note":"成员关系判断与结果一致。"} 证据对齐：{"status":"partial","note":"核心结论可靠；共100个板块的完整性表述受目录上限影响。"}</x:v>
      </x:c>
      <x:c r="G159" s="17" t="str">
        <x:v>{
  "review_source": "deep_audit_121_180.json",
  "route_ok": true,
  "time": {
    "status": "not_applicable",
    "note": "成员关系无时间要求。"
  },
  "entity": {
    "status": "pass",
    "note": "未找到新能源车精确板块，并用锂电池/充电桩关系作透明补充。"
  },
  "numeric": {
    "status": "not_applicable",
    "note": "无核心数值计算。"
  },
  "aggregation": {
    "status": "pass",
    "note": "成员关系判断与结果一致。"
  },
  "evidence_alignment": {
    "status": "partial",
    "note": "核心结论可靠；共100个板块的完整性表述受目录上限影响。"
  }
}</x:v>
      </x:c>
      <x:c r="H159" s="17" t="str">
        <x:v>{"status":"not_applicable","note":"成员关系无时间要求。"}</x:v>
      </x:c>
      <x:c r="I159" s="17" t="str">
        <x:v>["stock.basic_info","plate.constitution"]</x:v>
      </x:c>
      <x:c r="J159" s="17" t="str">
        <x:v>{"status":"not_applicable","note":"无核心数值计算。"}</x:v>
      </x:c>
      <x:c r="K159" s="17" t="str">
        <x:v>{"status":"pass","note":"未找到新能源车精确板块，并用锂电池/充电桩关系作透明补充。"}；{"status":"not_applicable","note":"成员关系无时间要求。"}</x:v>
      </x:c>
      <x:c r="L159" s="17" t="str">
        <x:v>{"status":"partial","note":"核心结论可靠；共100个板块的完整性表述受目录上限影响。"}</x:v>
      </x:c>
      <x:c r="M159" s="17" t="str">
        <x:v>否</x:v>
      </x:c>
      <x:c r="N159" s="17" t="str">
        <x:v>根据查询结果，当前数据源中**没有"新能源车"或"新能源汽车"板块**（共100个板块中不存在该名称），因此无法直接确认宁德时代是否属于该板块。
不过，宁德时代（300750.SZ）目前属于以下与新能源车产业链相关的板块：
| 板块 | 是否属于 |
|------|---------|
| **锂电池**（882335） | ✅ **是** |
| **充电桩**（882218） | ✅ **是** |
| 汽车电子 | ❌ 否 |
| 无人驾驶 | ❌ 否 |
| 车联网(车路协同) | ❌ 否 |
简单来说，虽然数据源中没有"新能源车"这个板块名称，但宁德时代作为**锂电池**和**充电桩**板块的成分股，与新能源车产业链高度关联。</x:v>
      </x:c>
    </x:row>
    <x:row r="160" ht="64" customHeight="1">
      <x:c r="A160" s="17" t="str">
        <x:v>BUS156</x:v>
      </x:c>
      <x:c r="B160" s="17" t="str">
        <x:v>查询机器人板块成分股代码、名称和权重。</x:v>
      </x:c>
      <x:c r="C160" s="17" t="str">
        <x:v>成功</x:v>
      </x:c>
      <x:c r="D160" s="17" t="str">
        <x:v>错误</x:v>
      </x:c>
      <x:c r="E160" s="19" t="n">
        <x:v>0.85</x:v>
      </x:c>
      <x:c r="F160" s="17" t="str">
        <x:v>实体解析失败后的跨域fallback没有语义守门。 主要根因：entity_resolution_failed_then_cross_domain_substitution 聚合：{"status":"fail","note":"历史多期成员被当成全部成分股，且无权重。"} 证据对齐：{"status":"fail","note":"回答对象已不是用户要求的板块成分关系。"}</x:v>
      </x:c>
      <x:c r="G160" s="17" t="str">
        <x:v>{
  "review_source": "deep_audit_121_180.json",
  "route_ok": false,
  "time": {
    "status": "not_applicable",
    "note": "成员关系无时间要求。"
  },
  "entity": {
    "status": "fail",
    "note": "未模糊定位机器人概念板块，转而跨域替换为hot_event。"
  },
  "numeric": {
    "status": "fail",
    "note": "热点当前23家公司与100条历史成员混在同一答案。"
  },
  "aggregation": {
    "status": "fail",
    "note": "历史多期成员被当成全部成分股，且无权重。"
  },
  "evidence_alignment": {
    "status": "fail",
    "note": "回答对象已不是用户要求的板块成分关系。"
  }
}</x:v>
      </x:c>
      <x:c r="H160" s="17" t="str">
        <x:v>{"status":"not_applicable","note":"成员关系无时间要求。"}</x:v>
      </x:c>
      <x:c r="I160" s="17" t="str">
        <x:v>["plate.constitution"]</x:v>
      </x:c>
      <x:c r="J160" s="17" t="str">
        <x:v>{"status":"fail","note":"热点当前23家公司与100条历史成员混在同一答案。"}</x:v>
      </x:c>
      <x:c r="K160" s="17" t="str">
        <x:v>{"status":"fail","note":"未模糊定位机器人概念板块，转而跨域替换为hot_event。"}；{"status":"not_applicable","note":"成员关系无时间要求。"}</x:v>
      </x:c>
      <x:c r="L160" s="17" t="str">
        <x:v>{"status":"fail","note":"回答对象已不是用户要求的板块成分关系。"}</x:v>
      </x:c>
      <x:c r="M160" s="17" t="str">
        <x:v>是</x:v>
      </x:c>
      <x:c r="N160" s="17" t="str">
        <x:v>在当前的板块数据源中，没有名为"机器人"的板块（plate）。不过，"机器人" 是系统中的一个**热点概念**（hot event），当前关联了 **23 家成分公司**。热点概念的 member 视图没有权重字段，因此只能提供代码和名称。
以下是"机器人"概念的全部成分股（100 条记录，含历史各期关联，当前活跃为 23 家）：
| 股票代码 | 股票名称 |
|:---|:---|
| 000020 | 深华发A |
| 000062 | 深圳华强 |
| 000532 | 华金资本 |
| 000678 | 襄阳轴承 |
| 000700 | 模塑科技 |
| 000726 | 鲁泰A |
| 000785 | 居然智家 |
| 000973 | 佛塑科技 |
| 000981 | 山子高科 |
| 001230 | 劲旅环境 |
| 001278 | 一彬科技 |
| 001288 | 运机集团 |
| 002009 | 天奇股份 |
| 002036 | 联创电子 |
| 002152 | 广电运通 |
| 002230 | 科大讯飞 |
| 002277 | 友阿股份 |
| 002348 | 高乐股份 |
| 002415 | 海康威视 |
| 002456 | 欧菲光 |
| 002543 | 万和电气 |
| 002599 | 盛通股份 |
| 002678 | 珠江钢琴 |
| 002736 | 国信证券 |
| 002831 | 裕同科技 |
| 002850 | 科达利 |
| 002896 | 中大力德 |
| 002902 | 铭普光磁 |
| 002915 | 中欣氟材 |
| 002921 | 联诚精密 |
| 002931 | 锋龙股份 |
| 002933 | 新兴装备 |
| 002965 | 祥鑫科技 |
| 002969 | 嘉美包装 |
| 300040 | 九洲集团 |
| 300083 | 创世纪 |
| 300128 | 锦富技术 |
| 300248 | 新开普 |
| 300285 | 国瓷材料 |
| 300308 | 中际旭创 |
| 300353 | 东土科技 |
| 300458 | 全志科技 |
| 300488 | 恒锋工具 |
| 300503 | 昊志机电 |
| 300552 | 万集科技 |
| 300607 | 拓斯达 |
| 300626 | 华瑞股份 |
| 300652 | 雷迪克 |
| 300720 | 海川智能 |
| 300757 | 罗博特科 |
| 300843 | 胜蓝股份 |
| 300885 | 海昌新材 |
| 300916 | 朗特智能 |
| 300975 | 商络电子 |
| 301022 | 海泰科 |
| 301179 | 泽宇智能 |
| 301366 | 一博科技 |
| 301529 | 福赛科技 |
| 301603 | 乔锋智能 |
| 600143 | 金发科技 |
| 600302 | 标准股份 |
| 600325 | 华发股份 |
| 600376 | 首开股份 |
| 600545 | 卓郎智能 |
| 600580 | 卧龙电驱 |
| 600604 | 市北高新 |
| 600623 | 华谊集团 |
| 600860 | 京城股份 |
| 600869 | 远东股份 |
| 600989 | 宝丰能源 |
| 603030 | 全筑股份 |
| 603045 | 福达合金 |
| 603095 | 越剑智能 |
| 603119 | 浙江荣泰 |
| 603150 | 万朗磁塑 |
| 603165 | 荣晟环保 |
| 603272 | *ST联翔 |
| 603373 | 安邦护卫 |
| 603381 | 永臻股份 |
| 603616 | 韩建河山 |
| 603626 | 科森科技 |
| 603667 | 五洲新春 |
| 603687 | 大胜达 |
| 603933 | 睿能科技 |
| 603966 | 法兰泰克 |
| 603986 | 兆易创新 |
| 603990 | 麦迪科技 |
| 605050 | 福然德 |
| 688017 | 绿的谐波 |
| 688090 | 瑞松科技 |
| 688097 | 博众精工 |
| 688165 | 埃夫特 |
| 688215 | 瑞晟智能 |
| 688227 | 品高股份 |
| 688322 | 奥比中光 |
| 688400 | 凌云光 |
| 688800 | 瑞可达 |
| 920275 | 驱动力 |
**说明：**
- "机器人"在数据源中以**热点概念（hot event）**形式存在，而非板块（p</x:v>
      </x:c>
    </x:row>
    <x:row r="161" ht="64" customHeight="1">
      <x:c r="A161" s="17" t="str">
        <x:v>BUS157</x:v>
      </x:c>
      <x:c r="B161" s="17" t="str">
        <x:v>计算人工智能板块成分股今天平均涨跌幅和涨停家数。</x:v>
      </x:c>
      <x:c r="C161" s="17" t="str">
        <x:v>成功</x:v>
      </x:c>
      <x:c r="D161" s="17" t="str">
        <x:v>错误</x:v>
      </x:c>
      <x:c r="E161" s="19" t="n">
        <x:v>1</x:v>
      </x:c>
      <x:c r="F161" s="17" t="str">
        <x:v>下游stock.quote无法知道上游成员集合被截断。 主要根因：upstream_constituent_cap_not_propagated 聚合：{"status":"fail","note":"平均涨跌幅和涨停家数不是完整板块口径。"} 证据对齐：{"status":"fail","note":"答案把截断子集称作板块全体。"}</x:v>
      </x:c>
      <x:c r="G161" s="17" t="str">
        <x:v>{
  "review_source": "deep_audit_121_180.json",
  "route_ok": true,
  "time": {
    "status": "pass",
    "note": "使用2026-07-31行情并说明周日回退。"
  },
  "entity": {
    "status": "partial",
    "note": "人工智能成分股只拿到上限100只。"
  },
  "numeric": {
    "status": "partial",
    "note": "100只子集内均值与涨停数可复算。"
  },
  "aggregation": {
    "status": "fail",
    "note": "平均涨跌幅和涨停家数不是完整板块口径。"
  },
  "evidence_alignment": {
    "status": "fail",
    "note": "答案把截断子集称作板块全体。"
  }
}</x:v>
      </x:c>
      <x:c r="H161" s="17" t="str">
        <x:v>{"status":"pass","note":"使用2026-07-31行情并说明周日回退。"}</x:v>
      </x:c>
      <x:c r="I161" s="17" t="str">
        <x:v>["plate.constitution"]</x:v>
      </x:c>
      <x:c r="J161" s="17" t="str">
        <x:v>{"status":"partial","note":"100只子集内均值与涨停数可复算。"}</x:v>
      </x:c>
      <x:c r="K161" s="17" t="str">
        <x:v>{"status":"partial","note":"人工智能成分股只拿到上限100只。"}；{"status":"pass","note":"使用2026-07-31行情并说明周日回退。"}</x:v>
      </x:c>
      <x:c r="L161" s="17" t="str">
        <x:v>{"status":"fail","note":"答案把截断子集称作板块全体。"}</x:v>
      </x:c>
      <x:c r="M161" s="17" t="str">
        <x:v>否</x:v>
      </x:c>
      <x:c r="N161" s="17" t="str">
        <x:v>今天（8月2日）是周日，A股休市，已自动取最近一个交易日——**2026年7月31日（周五）**的数据。
**人工智能板块（882347）当日表现：**
- **平均涨跌幅：+2.16%**（100只成分股涨跌幅的简单平均）
- **涨停家数：5家**，分别是深桑达A（+9.99%）、智度股份（+9.99%）、美利云（+10.00%）、欢瑞世纪（+10.15%）、盈峰环境（+9.94%）
板块整体表现强势，100只成分股中绝大多数收涨，平均涨幅超过2%，且涨停股集中在AI应用和智能硬件方向。</x:v>
      </x:c>
    </x:row>
    <x:row r="162" ht="64" customHeight="1">
      <x:c r="A162" s="17" t="str">
        <x:v>BUS158</x:v>
      </x:c>
      <x:c r="B162" s="17" t="str">
        <x:v>筛选半导体板块成分股中今天主力净流入最高的前10只股票。</x:v>
      </x:c>
      <x:c r="C162" s="17" t="str">
        <x:v>成功</x:v>
      </x:c>
      <x:c r="D162" s="17" t="str">
        <x:v>错误</x:v>
      </x:c>
      <x:c r="E162" s="19" t="n">
        <x:v>0.7</x:v>
      </x:c>
      <x:c r="F162" s="17" t="str">
        <x:v>0次金融工具调用。 主要根因：route_misclassification 聚合：{"status":"not_applicable","note":"无top10执行。"} 证据对齐：{"status":"fail","note":"错误要求澄清task_focus。"}</x:v>
      </x:c>
      <x:c r="G162" s="17" t="str">
        <x:v>{
  "review_source": "deep_audit_121_180.json",
  "route_ok": false,
  "time": {
    "status": "not_applicable",
    "note": "未执行当日查询。"
  },
  "entity": {
    "status": "fail",
    "note": "明确的半导体板块与成分股任务未解析。"
  },
  "numeric": {
    "status": "not_applicable",
    "note": "无结果。"
  },
  "aggregation": {
    "status": "not_applicable",
    "note": "无top10执行。"
  },
  "evidence_alignment": {
    "status": "fail",
    "note": "错误要求澄清task_focus。"
  }
}</x:v>
      </x:c>
      <x:c r="H162" s="17" t="str">
        <x:v>{"status":"not_applicable","note":"未执行当日查询。"}</x:v>
      </x:c>
      <x:c r="I162" s="17" t="str">
        <x:v>["plate.constitution","stock.moneyflow"]</x:v>
      </x:c>
      <x:c r="J162" s="17" t="str">
        <x:v>{"status":"not_applicable","note":"无结果。"}</x:v>
      </x:c>
      <x:c r="K162" s="17" t="str">
        <x:v>{"status":"fail","note":"明确的半导体板块与成分股任务未解析。"}；{"status":"not_applicable","note":"未执行当日查询。"}</x:v>
      </x:c>
      <x:c r="L162" s="17" t="str">
        <x:v>{"status":"fail","note":"错误要求澄清task_focus。"}</x:v>
      </x:c>
      <x:c r="M162" s="17" t="str">
        <x:v>是</x:v>
      </x:c>
      <x:c r="N162" s="17" t="str">
        <x:v>已识别为自然语言请求，当前 agent = investment_analyst，route_type = clarify。
需要澄清: {"state_type": "clarification_state", "status": "needs_user_input", "missing_slots": ["task_focus"], "prompt": "请说明你更想做个股深度分析，还是热点/概念追踪。", "resume_token": "clarify_d9705308fbc14be2", "slot_hints": {"task_focus": "请说明你更想做个股深度分析，还是热点/概念追踪。"}, "context_summary": {"task_type": "", "code": "", "name": ""}}</x:v>
      </x:c>
    </x:row>
    <x:row r="163" ht="64" customHeight="1">
      <x:c r="A163" s="17" t="str">
        <x:v>BUS159</x:v>
      </x:c>
      <x:c r="B163" s="17" t="str">
        <x:v>比较人工智能、半导体和机器人板块最近20个交易日累计涨幅。</x:v>
      </x:c>
      <x:c r="C163" s="17" t="str">
        <x:v>成功</x:v>
      </x:c>
      <x:c r="D163" s="17" t="str">
        <x:v>部分正确</x:v>
      </x:c>
      <x:c r="E163" s="19" t="n">
        <x:v>1</x:v>
      </x:c>
      <x:c r="F163" s="17" t="str">
        <x:v>窗口方法应强制回传end_date供渲染。 主要根因：window_end_date_fabricated 聚合：{"status":"pass","note":"横向比较与排序正确。"} 证据对齐：{"status":"fail","note":"确定性as-of日期被自行补写。"}</x:v>
      </x:c>
      <x:c r="G163" s="17" t="str">
        <x:v>{
  "review_source": "deep_audit_121_180.json",
  "route_ok": true,
  "time": {
    "status": "fail",
    "note": "答案写截至8月2日前后，但窗口结果没有该日期证据。"
  },
  "entity": {
    "status": "pass",
    "note": "人工智能、半导体、机器人概念三个板块匹配。"
  },
  "numeric": {
    "status": "pass",
    "note": "三个20日区间涨幅与结果一致。"
  },
  "aggregation": {
    "status": "pass",
    "note": "横向比较与排序正确。"
  },
  "evidence_alignment": {
    "status": "fail",
    "note": "确定性as-of日期被自行补写。"
  }
}</x:v>
      </x:c>
      <x:c r="H163" s="17" t="str">
        <x:v>{"status":"fail","note":"答案写截至8月2日前后，但窗口结果没有该日期证据。"}</x:v>
      </x:c>
      <x:c r="I163" s="17" t="str">
        <x:v>["plate.quote"]</x:v>
      </x:c>
      <x:c r="J163" s="17" t="str">
        <x:v>{"status":"pass","note":"三个20日区间涨幅与结果一致。"}</x:v>
      </x:c>
      <x:c r="K163" s="17" t="str">
        <x:v>{"status":"pass","note":"人工智能、半导体、机器人概念三个板块匹配。"}；{"status":"fail","note":"答案写截至8月2日前后，但窗口结果没有该日期证据。"}</x:v>
      </x:c>
      <x:c r="L163" s="17" t="str">
        <x:v>{"status":"fail","note":"确定性as-of日期被自行补写。"}</x:v>
      </x:c>
      <x:c r="M163" s="17" t="str">
        <x:v>否</x:v>
      </x:c>
      <x:c r="N163" s="17" t="str">
        <x:v>近20个交易日（截至8月2日前后），三个板块全线收跌，分化明显：
| 板块 | 近20日累计涨幅 |
|------|:------------:|
| **人工智能** | **-8.78%** |
| **机器人概念** | **-16.37%** |
| **半导体** | **-21.15%** |
**人工智能**跌幅最小（-8.78%），相对抗跌；**机器人概念**居中，回撤约16%；**半导体**跌幅最深，累计下挫超过21%，是三者中表现最弱的板块。整体来看，近一个月科技成长方向普遍承压，半导体调整幅度最大，人工智能相对韧性更强。</x:v>
      </x:c>
    </x:row>
    <x:row r="164" ht="64" customHeight="1">
      <x:c r="A164" s="17" t="str">
        <x:v>BUS160</x:v>
      </x:c>
      <x:c r="B164" s="17" t="str">
        <x:v>统计证券板块成分股最新PE_TTM均值和PB中位数。</x:v>
      </x:c>
      <x:c r="C164" s="17" t="str">
        <x:v>成功</x:v>
      </x:c>
      <x:c r="D164" s="17" t="str">
        <x:v>正确</x:v>
      </x:c>
      <x:c r="E164" s="19" t="n">
        <x:v>0.95</x:v>
      </x:c>
      <x:c r="F164" s="17" t="str">
        <x:v>89秒、15次调用偏慢，但没有因此降低正确性。 主要根因：none 聚合：{"status":"pass","note":"均值和中位数口径正确。"} 证据对齐：{"status":"pass","note":"结果及异常值解释均可追溯。"}</x:v>
      </x:c>
      <x:c r="G164" s="17" t="str">
        <x:v>{
  "review_source": "deep_audit_121_180.json",
  "route_ok": true,
  "time": {
    "status": "pass",
    "note": "使用逐股最新估值。"
  },
  "entity": {
    "status": "pass",
    "note": "证券板块59只成分股完整进入估值查询。"
  },
  "numeric": {
    "status": "pass",
    "note": "PE_TTM均值28.5495、PB中位数1.2132复算一致。"
  },
  "aggregation": {
    "status": "pass",
    "note": "均值和中位数口径正确。"
  },
  "evidence_alignment": {
    "status": "pass",
    "note": "结果及异常值解释均可追溯。"
  }
}</x:v>
      </x:c>
      <x:c r="H164" s="17" t="str">
        <x:v>{"status":"pass","note":"使用逐股最新估值。"}</x:v>
      </x:c>
      <x:c r="I164" s="17" t="str">
        <x:v>["plate.constitution"]</x:v>
      </x:c>
      <x:c r="J164" s="17" t="str">
        <x:v>{"status":"pass","note":"PE_TTM均值28.5495、PB中位数1.2132复算一致。"}</x:v>
      </x:c>
      <x:c r="K164" s="17" t="str">
        <x:v>{"status":"pass","note":"证券板块59只成分股完整进入估值查询。"}；{"status":"pass","note":"使用逐股最新估值。"}</x:v>
      </x:c>
      <x:c r="L164" s="17" t="str">
        <x:v>{"status":"pass","note":"结果及异常值解释均可追溯。"}</x:v>
      </x:c>
      <x:c r="M164" s="17" t="str">
        <x:v>否</x:v>
      </x:c>
      <x:c r="N164" s="17" t="str">
        <x:v>证券板块共有 **59 只成分股**，基于最新估值数据：
**PE_TTM 均值 ≈ 28.55 倍**，**PB 中位数 ≈ 1.21 倍**。
板块内部分化明显：PE_TTM 因少数亏损股（银之杰 -162.75 倍、\*ST利达 -10.14 倍）和个别高估值股（天风证券 283.36 倍、太平洋 141.24 倍）而被拉高，中大型券商如中信证券（12.51 倍）、华泰证券（10.10 倍）、国泰海通（14.74 倍）的 PE_TTM 实际集中在 10-15 倍区间。PB 方面，半数以上券商股仍处于破净或略高于净资产的状态，中位数 1.21 倍反映出板块整体估值处于历史偏低水平。</x:v>
      </x:c>
    </x:row>
    <x:row r="165" ht="64" customHeight="1">
      <x:c r="A165" s="17" t="str">
        <x:v>BUS161</x:v>
      </x:c>
      <x:c r="B165" s="17" t="str">
        <x:v>同时查询人工智能板块当前涨跌幅、主力净流入和前十大成分股。</x:v>
      </x:c>
      <x:c r="C165" s="17" t="str">
        <x:v>成功</x:v>
      </x:c>
      <x:c r="D165" s="17" t="str">
        <x:v>部分正确</x:v>
      </x:c>
      <x:c r="E165" s="19" t="n">
        <x:v>0.9</x:v>
      </x:c>
      <x:c r="F165" s="17" t="str">
        <x:v>renderer未消费unavailable_columns与单位元数据。 主要根因：renderer_unit_and_order_overclaim 聚合：{"status":"fail","note":"weight全空却称前十大按权重排序，实际只是任意前10。"} 证据对齐：{"status":"fail","note":"同时存在单位错误和排序过度声称。"}</x:v>
      </x:c>
      <x:c r="G165" s="17" t="str">
        <x:v>{
  "review_source": "deep_audit_121_180.json",
  "route_ok": true,
  "time": {
    "status": "fail",
    "note": "答案称最近交易日但未披露plate数据实际时点。"
  },
  "entity": {
    "status": "pass",
    "note": "人工智能板块正确。"
  },
  "numeric": {
    "status": "partial",
    "note": "涨跌幅、主力净额/占比正确；成交额684.39亿元低估10倍。"
  },
  "aggregation": {
    "status": "fail",
    "note": "weight全空却称前十大按权重排序，实际只是任意前10。"
  },
  "evidence_alignment": {
    "status": "fail",
    "note": "同时存在单位错误和排序过度声称。"
  }
}</x:v>
      </x:c>
      <x:c r="H165" s="17" t="str">
        <x:v>{"status":"fail","note":"答案称最近交易日但未披露plate数据实际时点。"}</x:v>
      </x:c>
      <x:c r="I165" s="17" t="str">
        <x:v>["plate.quote","plate.moneyflow","plate.constitution"]</x:v>
      </x:c>
      <x:c r="J165" s="17" t="str">
        <x:v>{"status":"partial","note":"涨跌幅、主力净额/占比正确；成交额684.39亿元低估10倍。"}</x:v>
      </x:c>
      <x:c r="K165" s="17" t="str">
        <x:v>{"status":"pass","note":"人工智能板块正确。"}；{"status":"fail","note":"答案称最近交易日但未披露plate数据实际时点。"}</x:v>
      </x:c>
      <x:c r="L165" s="17" t="str">
        <x:v>{"status":"fail","note":"同时存在单位错误和排序过度声称。"}</x:v>
      </x:c>
      <x:c r="M165" s="17" t="str">
        <x:v>否</x:v>
      </x:c>
      <x:c r="N165" s="17" t="str">
        <x:v>以下是人工智能板块的最新数据（截至最近交易日收市）：
**涨跌幅：+3.34%**，收于 2309.80 点，上涨 74.56 点，成交额约 **684.39 亿元**。
**主力资金净流入约 27.09 亿元**，主力买入 2,522.54 亿元，卖出 2,495.45 亿元，主力净流入占比 0.20%。
**前十大成分股**（按权重排序，但权重数据源未提供具体数值）：
| 代码 | 名称 |
|------|------|
| 000010.SZ | \*ST美丽 |
| 000016.SZ | \*ST康佳A |
| 000027.SZ | 深圳能源 |
| 000032.SZ | 深桑达A |
| 000034.SZ | 神州数码 |
| 000039.SZ | 中集集团 |
| 000055.SZ | 方大集团 |
| 000060.SZ | 中金岭南 |
| 000062.SZ | 深圳华强 |
| 000063.SZ | 中兴通讯 |
板块整体表现活跃，涨幅超 3% 且主力资金呈净流入态势，成交额近 700 亿元，显示市场对该板块关注度较高。</x:v>
      </x:c>
    </x:row>
    <x:row r="166" ht="64" customHeight="1">
      <x:c r="A166" s="17" t="str">
        <x:v>BUS162</x:v>
      </x:c>
      <x:c r="B166" s="17" t="str">
        <x:v>查询半导体板块估值，并列出其成分股今天涨幅前10名。</x:v>
      </x:c>
      <x:c r="C166" s="17" t="str">
        <x:v>成功</x:v>
      </x:c>
      <x:c r="D166" s="17" t="str">
        <x:v>错误</x:v>
      </x:c>
      <x:c r="E166" s="19" t="n">
        <x:v>0.95</x:v>
      </x:c>
      <x:c r="F166" s="17" t="str">
        <x:v>与BUS122/BUS157同类跨步骤完整性丢失。 主要根因：upstream_constituent_cap_not_propagated 聚合：{"status":"fail","note":"涨幅前10不是完整板块全局top10。"} 证据对齐：{"status":"fail","note":"答案未披露上游范围不完整。"}</x:v>
      </x:c>
      <x:c r="G166" s="17" t="str">
        <x:v>{
  "review_source": "deep_audit_121_180.json",
  "route_ok": true,
  "time": {
    "status": "pass",
    "note": "估值日期2026-07-24与当日行情口径区分明确。"
  },
  "entity": {
    "status": "partial",
    "note": "半导体成分股集合在100行处截断。"
  },
  "numeric": {
    "status": "partial",
    "note": "估值正确，涨幅数值只对截断子集有效。"
  },
  "aggregation": {
    "status": "fail",
    "note": "涨幅前10不是完整板块全局top10。"
  },
  "evidence_alignment": {
    "status": "fail",
    "note": "答案未披露上游范围不完整。"
  }
}</x:v>
      </x:c>
      <x:c r="H166" s="17" t="str">
        <x:v>{"status":"pass","note":"估值日期2026-07-24与当日行情口径区分明确。"}</x:v>
      </x:c>
      <x:c r="I166" s="17" t="str">
        <x:v>["plate.pricevalue","plate.constitution"]</x:v>
      </x:c>
      <x:c r="J166" s="17" t="str">
        <x:v>{"status":"partial","note":"估值正确，涨幅数值只对截断子集有效。"}</x:v>
      </x:c>
      <x:c r="K166" s="17" t="str">
        <x:v>{"status":"partial","note":"半导体成分股集合在100行处截断。"}；{"status":"pass","note":"估值日期2026-07-24与当日行情口径区分明确。"}</x:v>
      </x:c>
      <x:c r="L166" s="17" t="str">
        <x:v>{"status":"fail","note":"答案未披露上游范围不完整。"}</x:v>
      </x:c>
      <x:c r="M166" s="17" t="str">
        <x:v>否</x:v>
      </x:c>
      <x:c r="N166" s="17" t="str">
        <x:v>## 半导体板块估值与今日涨幅前10名
**板块估值**（数据截至 2026-07-24）
| 指标 | 数值 |
|------|------|
| 滚动市盈率 PE TTM | **83.31 倍** |
| 静态市盈率 PE LYR | **90.68 倍** |
| 市净率 PB | **5.55 倍** |
| 市销率 PS | **4.41 倍** |
半导体板块整体估值处于较高水平，PE TTM 超过 80 倍，反映市场对其盈利增长预期较强。
---
**成分股当日涨幅前 10 名**（2026-07-31，最近交易日）
| 排名 | 代码 | 名称 | 收盘价 | 涨幅 | 成交额(元) |
|:---:|:---:|:---:|:---:|:---:|:---:|
| 1 | 002346.SZ | 柘中股份 | 17.13 | **+10.02%** | 1.14亿 |
| 2 | 001267.SZ | 汇绿生态 | 29.82 | **+10.00%** | 9.91亿 |
| 3 | 000032.SZ | 深桑达A | 13.54 | **+9.99%** | 8.46亿 |
| 4 | 002131.SZ | 利欧股份 | 4.66 | **+9.91%** | 37.62亿 |
| 5 | 002428.SZ | 云南锗业 | 66.95 | **+8.33%** | 38.55亿 |
| 6 | 001389.SZ | 广合科技 | 141.82 | **+7.93%** | 18.92亿 |
| 7 | 002025.SZ | 航天电器 | 61.37 | **+7.37%** | 12.30亿 |
| 8 | 000962.SZ | 东方钽业 | 43.88 | **+6.89%** | 14.07亿 |
| 9 | 002158.SZ | 汉钟精机 | 25.52 | **+6.73%** | 4.91亿 |
| 10 | 002119.SZ | 康强电子 | 20.40 | **+6.25%** | 9.89亿 |
当日板块内多只个股涨停或接近涨停，柘中股份、汇绿生态、深桑达A 均封板，云南锗业和广合科技等也涨幅显著，整体做多情绪较强。</x:v>
      </x:c>
    </x:row>
    <x:row r="167" ht="64" customHeight="1">
      <x:c r="A167" s="17" t="str">
        <x:v>BUS163</x:v>
      </x:c>
      <x:c r="B167" s="17" t="str">
        <x:v>查询新能源车板块资金流，并返回宁德时代当前行情和融资余额。</x:v>
      </x:c>
      <x:c r="C167" s="17" t="str">
        <x:v>成功</x:v>
      </x:c>
      <x:c r="D167" s="17" t="str">
        <x:v>正确</x:v>
      </x:c>
      <x:c r="E167" s="19" t="n">
        <x:v>0.85</x:v>
      </x:c>
      <x:c r="F167" s="17" t="str">
        <x:v>主要根因：none 聚合：{"status":"pass","note":"多部分回答边界清楚。"} 证据对齐：{"status":"pass","note":"没有为缺失板块资金流造数。"}</x:v>
      </x:c>
      <x:c r="G167" s="17" t="str">
        <x:v>{
  "review_source": "deep_audit_121_180.json",
  "route_ok": true,
  "time": {
    "status": "pass",
    "note": "宁德时代行情2026-07-31、融资2026-07-30均明确。"
  },
  "entity": {
    "status": "pass",
    "note": "新能源车板块未命中被如实说明，宁德时代正确。"
  },
  "numeric": {
    "status": "pass",
    "note": "行情与融资余额值一致。"
  },
  "aggregation": {
    "status": "pass",
    "note": "多部分回答边界清楚。"
  },
  "evidence_alignment": {
    "status": "pass",
    "note": "没有为缺失板块资金流造数。"
  }
}</x:v>
      </x:c>
      <x:c r="H167" s="17" t="str">
        <x:v>{"status":"pass","note":"宁德时代行情2026-07-31、融资2026-07-30均明确。"}</x:v>
      </x:c>
      <x:c r="I167" s="17" t="str">
        <x:v>["plate.moneyflow","stock.quote","stock.margin"]</x:v>
      </x:c>
      <x:c r="J167" s="17" t="str">
        <x:v>{"status":"pass","note":"行情与融资余额值一致。"}</x:v>
      </x:c>
      <x:c r="K167" s="17" t="str">
        <x:v>{"status":"pass","note":"新能源车板块未命中被如实说明，宁德时代正确。"}；{"status":"pass","note":"宁德时代行情2026-07-31、融资2026-07-30均明确。"}</x:v>
      </x:c>
      <x:c r="L167" s="17" t="str">
        <x:v>{"status":"pass","note":"没有为缺失板块资金流造数。"}</x:v>
      </x:c>
      <x:c r="M167" s="17" t="str">
        <x:v>否</x:v>
      </x:c>
      <x:c r="N167" s="17" t="str">
        <x:v>以下是查询结果：
---
**🔋 新能源车板块资金流**
当前数据源中未找到名为"新能源车"或含"新能源"的板块记录，无法提供板块资金流数据。可能是该板块名称在当前数据源中以其他命名方式存在（如行业分类概念板块等），建议尝试更具体的板块名称。
---
**📈 宁德时代（300750）当前行情**（数据日期：2026-07-31）
| 指标 | 数值 |
|------|------|
| 最新收盘价 | **397.66 元** |
| 涨跌幅 | **-1.05%** |
| 开盘价 | 397.66 元 |
| 最高价 | 400.20 元 |
| 最低价 | 389.00 元 |
当日小幅低开后下探至389元，随后回升，最终收于397.66元，日内振幅约2.9%。
---
**💰 宁德时代融资余额**（数据日期：2026-07-30）
| 指标 | 数值 |
|------|------|
| 融资余额 | **222.89 亿元** |
| 融资净买入 | **-3.06 亿元**（净偿还） |
| 两融余额 | **224.48 亿元** |
融资余额约222.89亿元，当日净偿还3.06亿元，显示融资客在当日以偿还为主。两融余额（含融券）合计约224.48亿元。</x:v>
      </x:c>
    </x:row>
    <x:row r="168" ht="64" customHeight="1">
      <x:c r="A168" s="17" t="str">
        <x:v>BUS164</x:v>
      </x:c>
      <x:c r="B168" s="17" t="str">
        <x:v>查询证券板块行情，并对比银行行业成分股今天平均涨跌幅。</x:v>
      </x:c>
      <x:c r="C168" s="17" t="str">
        <x:v>成功</x:v>
      </x:c>
      <x:c r="D168" s="17" t="str">
        <x:v>错误</x:v>
      </x:c>
      <x:c r="E168" s="19" t="n">
        <x:v>1</x:v>
      </x:c>
      <x:c r="F168" s="17" t="str">
        <x:v>跨数据源join缺少as_of_date对齐硬事实。 主要根因：cross_source_date_alignment_missing 聚合：{"status":"fail","note":"1.67个百分点比较建立在不同日期。"} 证据对齐：{"status":"fail","note":"未披露跨源日期不可比。"}</x:v>
      </x:c>
      <x:c r="G168" s="17" t="str">
        <x:v>{
  "review_source": "deep_audit_121_180.json",
  "route_ok": true,
  "time": {
    "status": "fail",
    "note": "证券板块用2026-07-27，银行成分股均值用2026-07-31，直接横比。"
  },
  "entity": {
    "status": "pass",
    "note": "证券板块与银行行业对象均正确。"
  },
  "numeric": {
    "status": "fail",
    "note": "证券成交额274.73亿元被写成27.47亿元。"
  },
  "aggregation": {
    "status": "fail",
    "note": "1.67个百分点比较建立在不同日期。"
  },
  "evidence_alignment": {
    "status": "fail",
    "note": "未披露跨源日期不可比。"
  }
}</x:v>
      </x:c>
      <x:c r="H168" s="17" t="str">
        <x:v>{"status":"fail","note":"证券板块用2026-07-27，银行成分股均值用2026-07-31，直接横比。"}</x:v>
      </x:c>
      <x:c r="I168" s="17" t="str">
        <x:v>["plate.quote","industry.constitution"]</x:v>
      </x:c>
      <x:c r="J168" s="17" t="str">
        <x:v>{"status":"fail","note":"证券成交额274.73亿元被写成27.47亿元。"}</x:v>
      </x:c>
      <x:c r="K168" s="17" t="str">
        <x:v>{"status":"pass","note":"证券板块与银行行业对象均正确。"}；{"status":"fail","note":"证券板块用2026-07-27，银行成分股均值用2026-07-31，直接横比。"}</x:v>
      </x:c>
      <x:c r="L168" s="17" t="str">
        <x:v>{"status":"fail","note":"未披露跨源日期不可比。"}</x:v>
      </x:c>
      <x:c r="M168" s="17" t="str">
        <x:v>否</x:v>
      </x:c>
      <x:c r="N168" s="17" t="str">
        <x:v>## 证券板块 vs 银行行业：今日行情对比
**证券板块**最新交易日（2026-07-27）收于 **1008.98 点**，上涨 **+0.91%**（+9.10 点），成交额约 **27.47 亿元**，成交量 **24.41 亿股**。
**银行行业**（申万一级）成分股今日平均涨跌幅则为 **-0.76%**，整体承压。细分来看，各子行业全线下跌：国有大型银行Ⅲ平均 **-1.67%**，股份制银行Ⅲ **-0.89%**，城商行Ⅲ **-0.67%**，农商行Ⅲ跌幅最小 **-0.19%**。
**对比结论**：证券板块当日录得近1%的正收益，而银行行业整体下跌约0.76%，两者走势明显分化，证券板块跑赢银行行业约1.67个百分点。</x:v>
      </x:c>
    </x:row>
    <x:row r="169" ht="64" customHeight="1">
      <x:c r="A169" s="17" t="str">
        <x:v>BUS165</x:v>
      </x:c>
      <x:c r="B169" s="17" t="str">
        <x:v>查询沪深300ETF的基金代码、简称和全称。</x:v>
      </x:c>
      <x:c r="C169" s="17" t="str">
        <x:v>成功</x:v>
      </x:c>
      <x:c r="D169" s="17" t="str">
        <x:v>部分正确</x:v>
      </x:c>
      <x:c r="E169" s="19" t="n">
        <x:v>1</x:v>
      </x:c>
      <x:c r="F169" s="17" t="str">
        <x:v>renderer自行施加真ETF过滤，却没有类型字段或解释被排除记录。 主要根因：unrequested_type_filter_or_output_omission 聚合：{"status":"partial","note":"未按用户原始名称条件完整输出。"} 证据对齐：{"status":"fail","note":"规模最大、首只等附加断言无result_ref支撑。"}</x:v>
      </x:c>
      <x:c r="G169" s="17" t="str">
        <x:v>{
  "review_source": "deep_audit_121_180.json",
  "route_ok": true,
  "time": {
    "status": "not_applicable",
    "note": "基础信息无时间要求。"
  },
  "entity": {
    "status": "partial",
    "note": "查询命中10只名称含沪深300ETF的基金，答案擅自只保留8只。"
  },
  "numeric": {
    "status": "partial",
    "note": "称10只但表中仅8只。"
  },
  "aggregation": {
    "status": "partial",
    "note": "未按用户原始名称条件完整输出。"
  },
  "evidence_alignment": {
    "status": "fail",
    "note": "规模最大、首只等附加断言无result_ref支撑。"
  }
}</x:v>
      </x:c>
      <x:c r="H169" s="17" t="str">
        <x:v>{"status":"not_applicable","note":"基础信息无时间要求。"}</x:v>
      </x:c>
      <x:c r="I169" s="17" t="str">
        <x:v>["fund.basic_info"]</x:v>
      </x:c>
      <x:c r="J169" s="17" t="str">
        <x:v>{"status":"partial","note":"称10只但表中仅8只。"}</x:v>
      </x:c>
      <x:c r="K169" s="17" t="str">
        <x:v>{"status":"partial","note":"查询命中10只名称含沪深300ETF的基金，答案擅自只保留8只。"}；{"status":"not_applicable","note":"基础信息无时间要求。"}</x:v>
      </x:c>
      <x:c r="L169" s="17" t="str">
        <x:v>{"status":"fail","note":"规模最大、首只等附加断言无result_ref支撑。"}</x:v>
      </x:c>
      <x:c r="M169" s="17" t="str">
        <x:v>否</x:v>
      </x:c>
      <x:c r="N169" s="17" t="str">
        <x:v>查询到名称中包含"沪深300ETF"的基金共10只，其中**真正的ETF（交易型开放式指数基金）**有8只，信息如下：
| 代码 | 基金简称 | 基金全称 |
|------|---------|---------|
| **510300.SH** | 华泰柏瑞沪深300ETF | 华泰柏瑞沪深300交易型开放式指数证券投资基金 |
| **159919.SZ** | 嘉实沪深300ETF | 嘉实沪深300交易型开放式指数证券投资基金 |
| **159925.SZ** | 南方沪深300ETF | 南方沪深300交易型开放式指数证券投资基金 |
| **159300.SZ** | 富国沪深300ETF | 富国沪深300交易型开放式指数证券投资基金 |
| **159393.SZ** | 万家沪深300ETF | 万家沪深300交易型开放式指数证券投资基金 |
| **159330.SZ** | 沪深300ETF基金 | 东财沪深300交易型开放式指数证券投资基金 |
| **159673.SZ** | 鹏华沪深300ETF | 鹏华沪深300交易型开放式指数证券投资基金 |
| **159927.SZ** | 鹏华沪深300ETF | 鹏华沪深300交易型开放式指数证券投资基金 |
其中规模最大、流动性最好的是 **华泰柏瑞沪深300ETF（510300.SH）**，也是市场上首只沪深300ETF产品。</x:v>
      </x:c>
    </x:row>
    <x:row r="170" ht="64" customHeight="1">
      <x:c r="A170" s="17" t="str">
        <x:v>BUS166</x:v>
      </x:c>
      <x:c r="B170" s="17" t="str">
        <x:v>查询名称包含红利的基金代码和名称。</x:v>
      </x:c>
      <x:c r="C170" s="17" t="str">
        <x:v>成功</x:v>
      </x:c>
      <x:c r="D170" s="17" t="str">
        <x:v>部分正确</x:v>
      </x:c>
      <x:c r="E170" s="19" t="n">
        <x:v>1</x:v>
      </x:c>
      <x:c r="F170" s="17" t="str">
        <x:v>完整性标志未约束总数措辞；分组计数也未程序化复算。 主要根因：result_limit_unacknowledged 聚合：{"status":"partial","note":"列表本身覆盖返回50行，完整性未知。"} 证据对齐：{"status":"fail","note":"答案把受限结果称为总数。"}</x:v>
      </x:c>
      <x:c r="G170" s="17" t="str">
        <x:v>{
  "review_source": "deep_audit_121_180.json",
  "route_ok": true,
  "time": {
    "status": "not_applicable",
    "note": "基础信息无时间要求。"
  },
  "entity": {
    "status": "partial",
    "note": "limit=50且sample_complete=false，无法确认全部名称含红利的基金。"
  },
  "numeric": {
    "status": "partial",
    "note": "返回50条正确，但分交易所标题写SZ 26/SH 23，实际为SZ 28/SH 22。"
  },
  "aggregation": {
    "status": "partial",
    "note": "列表本身覆盖返回50行，完整性未知。"
  },
  "evidence_alignment": {
    "status": "fail",
    "note": "答案把受限结果称为总数。"
  }
}</x:v>
      </x:c>
      <x:c r="H170" s="17" t="str">
        <x:v>{"status":"not_applicable","note":"基础信息无时间要求。"}</x:v>
      </x:c>
      <x:c r="I170" s="17" t="str">
        <x:v>["fund.basic_info"]</x:v>
      </x:c>
      <x:c r="J170" s="17" t="str">
        <x:v>{"status":"partial","note":"返回50条正确，但分交易所标题写SZ 26/SH 23，实际为SZ 28/SH 22。"}</x:v>
      </x:c>
      <x:c r="K170" s="17" t="str">
        <x:v>{"status":"partial","note":"limit=50且sample_complete=false，无法确认全部名称含红利的基金。"}；{"status":"not_applicable","note":"基础信息无时间要求。"}</x:v>
      </x:c>
      <x:c r="L170" s="17" t="str">
        <x:v>{"status":"fail","note":"答案把受限结果称为总数。"}</x:v>
      </x:c>
      <x:c r="M170" s="17" t="str">
        <x:v>否</x:v>
      </x:c>
      <x:c r="N170" s="17" t="str">
        <x:v>查询到 **50 只**名称包含"红利"的基金，按交易所和代码列出如下：
**深交所上市 (SZ) — 26 只**
| 代码 | 名称 |
|------|------|
| 159083.SZ | 嘉实中证红利低波动100ETF |
| 159117.SZ | 鹏华港股通低波红利ETF |
| 159118.SZ | 华夏标普港股通低波红利ETF |
| 159143.SZ | 平安恒生中国央企红利ETF |
| 159188.SZ | 景顺长城标普中国A股红利100ETF |
| 159209.SZ | 招商中证全指红利质量ETF |
| 159220.SZ | 华宝标普港股通低波红利ETF |
| 159228.SZ | 长城中证红利低波100ETF |
| 159266.SZ | 港股央企红利ETF永赢 |
| 159281.SZ | 天弘中证港股通央企红利ETF |
| 159296.SZ | 华宝中证A500红利低波动ETF |
| 159307.SZ | 博时中证红利低波100ETF |
| 159332.SZ | 富国中证中央企业红利ETF |
| 159333.SZ | 万家中证港股通央企红利ETF |
| 159336.SZ | 融通中证诚通央企红利ETF |
| 159355.SZ | 华宝中证800红利低波动ETF |
| 159515.SZ | 鹏扬中证国有企业红利ETF |
| 159525.SZ | 富国中证红利低波动ETF |
| 159547.SZ | 华夏中证红利低波动ETF |
| 159549.SZ | 天弘中证红利低波动100ETF |
| 159569.SZ | 景顺长城国证港股通红利低波动率ETF |
| 159581.SZ | 万家中证红利ETF |
| 159589.SZ | 广发中证红利ETF |
| 159691.SZ | 港股红利ETF工 |
| 159708.SZ | 红利ETF |
| 159758.SZ | 华夏中证红利质量ETF |
| 159905.SZ | 红利ETF工银 |
| 161907_1.SZ | 万家红利A |
**上交所上市 (SH) — 23 只**
| 代码 | 名称 |
|------|------|
| 501029.SH | 华宝标普中国A股红利机会ETF联接A(LOF) |
| 501059.SH | 西部利得国企红利指数增强A |
| 501072.SH | 国金红利增强 |
| 501089.SH | 方正富邦消费红利指数增强(LOF) |
| 501227.SH | 泓德红利优选混合(LOF)A |
| 501307.SH | 沪港深红利LOF |
| 510720.SH | 国泰上证国有企业红利ETF |
| 510880.SH | 华泰柏瑞上证红利ETF |
| 510890.SH | 红利低波ETF |
| 512530.SH | 建信沪深300红利ETF |
| 512890.SH | 华泰柏瑞中证红利低波动ETF |
| 513630.SH | 摩根标普港股通低波红利ETF |
| 513910.SH | 华夏中证港股通央企红利ETF |
| 513920.SH | 华安恒生港股通中国央企红利ETF |
| 515080.SH | 招商中证红利ETF |
| 515100.SH | 景顺长城中证红利低波动100ETF |
| 515180.SH | 易方达中证红利ETF |
| 515300.SH | 嘉实沪深300红利低波动ETF |
| 515450.SH | 南方标普中国A股大盘红利低波50ETF |
| 515460.SH | 南方中证全指红利质量ETF |
| 515480.SH | 南方中证红利低波动100ETF |
| 515570.SH | 山证红利ETF |
这批基金覆盖了**红利、低波红利、红利质量、央企红利、国企红利、港股红利**等多个细分策略类型，既有场内 ETF 也有 LOF 和联接基金。如果需要对其中某只做进一步分析，随时告诉我。</x:v>
      </x:c>
    </x:row>
    <x:row r="171" ht="64" customHeight="1">
      <x:c r="A171" s="17" t="str">
        <x:v>BUS167</x:v>
      </x:c>
      <x:c r="B171" s="17" t="str">
        <x:v>查询名称包含半导体的基金列表。</x:v>
      </x:c>
      <x:c r="C171" s="17" t="str">
        <x:v>成功</x:v>
      </x:c>
      <x:c r="D171" s="17" t="str">
        <x:v>部分正确</x:v>
      </x:c>
      <x:c r="E171" s="19" t="n">
        <x:v>1</x:v>
      </x:c>
      <x:c r="F171" s="17" t="str">
        <x:v>仅凭名称让renderer推断基金类型。 主要根因：renderer_unverified_fund_type_classification 聚合：{"status":"pass","note":"名称过滤及列表完整承接返回结果。"} 证据对齐：{"status":"fail","note":"声称全部为ETF，但501225是QDII-LOF，类型判断无字段证据。"}</x:v>
      </x:c>
      <x:c r="G171" s="17" t="str">
        <x:v>{
  "review_source": "deep_audit_121_180.json",
  "route_ok": true,
  "time": {
    "status": "not_applicable",
    "note": "基础信息无时间要求。"
  },
  "entity": {
    "status": "pass",
    "note": "18条名称含半导体的基金均列出。"
  },
  "numeric": {
    "status": "pass",
    "note": "数量18与结果一致。"
  },
  "aggregation": {
    "status": "pass",
    "note": "名称过滤及列表完整承接返回结果。"
  },
  "evidence_alignment": {
    "status": "fail",
    "note": "声称全部为ETF，但501225是QDII-LOF，类型判断无字段证据。"
  }
}</x:v>
      </x:c>
      <x:c r="H171" s="17" t="str">
        <x:v>{"status":"not_applicable","note":"基础信息无时间要求。"}</x:v>
      </x:c>
      <x:c r="I171" s="17" t="str">
        <x:v>["fund.basic_info"]</x:v>
      </x:c>
      <x:c r="J171" s="17" t="str">
        <x:v>{"status":"pass","note":"数量18与结果一致。"}</x:v>
      </x:c>
      <x:c r="K171" s="17" t="str">
        <x:v>{"status":"pass","note":"18条名称含半导体的基金均列出。"}；{"status":"not_applicable","note":"基础信息无时间要求。"}</x:v>
      </x:c>
      <x:c r="L171" s="17" t="str">
        <x:v>{"status":"fail","note":"声称全部为ETF，但501225是QDII-LOF，类型判断无字段证据。"}</x:v>
      </x:c>
      <x:c r="M171" s="17" t="str">
        <x:v>否</x:v>
      </x:c>
      <x:c r="N171" s="17" t="str">
        <x:v>查询到名称包含"半导体"的基金共 **18只**，全部为ETF（含2只QDII），以下是完整列表：
| 代码 | 基金简称 |
|:---:|:---|
| 159325.SZ | 南方中证半导体行业精选ETF |
| 159327.SZ | 万家中证半导体材料设备主题ETF |
| 159516.SZ | 国泰中证半导体材料设备主题ETF |
| 159558.SZ | 易方达中证半导体材料设备主题ETF |
| 159582.SZ | 博时中证半导体产业ETF |
| 159665.SZ | 半导体龙头ETF工银 |
| 159801.SZ | 广发国证半导体芯片ETF |
| 159995.SZ | 华夏国证半导体芯片ETF |
| 501225.SH | 景顺长城全球半导体芯片股票A(QDII-LOF) |
| 512480.SH | 国联安半导体ETF |
| 512760.SH | 国泰CES半导体芯片行业ETF |
| 513310.SH | 华泰柏瑞中证韩交所中韩半导体ETF(QDII) |
| 560780.SH | 广发中证半导体材料设备ETF |
| 561980.SH | 招商中证半导体产业ETF |
| 562590.SH | 华夏中证半导体材料设备主题ETF |
| 588170.SH | 华夏上证科创板半导体材料设备主题ETF |
| 588710.SH | 华泰柏瑞上证科创板半导体材料设备主题ETF |
| 589020.SH | 鹏华科创板半导体材料设备主题ETF |
从类型分布来看，主要覆盖以下几个方向：
- **半导体芯片/产业**：华夏国证半导体芯片ETF（159995）、国联安半导体ETF（512480）、国泰CES半导体芯片行业ETF（512760）、招商中证半导体产业ETF（561980）等
- **半导体材料设备**：万家、国泰、易方达、华夏、广发等多只聚焦半导体材料设备主题的ETF
- **科创板半导体**：华夏、华泰柏瑞、鹏华三只科创板半导体材料设备主题ETF
- **跨境半导体**：景顺长城全球半导体芯片（QDII-LOF）和 华泰柏瑞中韩半导体ETF（QDII）
需要进一步查看某只基金的具体持仓、净值或行情表现吗？</x:v>
      </x:c>
    </x:row>
    <x:row r="172" ht="64" customHeight="1">
      <x:c r="A172" s="17" t="str">
        <x:v>BUS168</x:v>
      </x:c>
      <x:c r="B172" s="17" t="str">
        <x:v>查询名称包含债券的基金代码和名称。</x:v>
      </x:c>
      <x:c r="C172" s="17" t="str">
        <x:v>成功</x:v>
      </x:c>
      <x:c r="D172" s="17" t="str">
        <x:v>部分正确</x:v>
      </x:c>
      <x:c r="E172" s="19" t="n">
        <x:v>0.9</x:v>
      </x:c>
      <x:c r="F172" s="17" t="str">
        <x:v>大结果缺少分页/附件/表格artifact降级策略；另有一次错误base_info目录读取。 主要根因：final_answer_length_cap_without_pagination 聚合：{"status":"partial","note":"答案在2000字符上限处于第67条中途截断。"} 证据对齐：{"status":"fail","note":"开头仍称93只全部结果。"}</x:v>
      </x:c>
      <x:c r="G172" s="17" t="str">
        <x:v>{
  "review_source": "deep_audit_121_180.json",
  "route_ok": true,
  "time": {
    "status": "not_applicable",
    "note": "基础信息无时间要求。"
  },
  "entity": {
    "status": "pass",
    "note": "93条名称含债券的基金查询正确。"
  },
  "numeric": {
    "status": "pass",
    "note": "源结果行数93。"
  },
  "aggregation": {
    "status": "partial",
    "note": "答案在2000字符上限处于第67条中途截断。"
  },
  "evidence_alignment": {
    "status": "fail",
    "note": "开头仍称93只全部结果。"
  }
}</x:v>
      </x:c>
      <x:c r="H172" s="17" t="str">
        <x:v>{"status":"not_applicable","note":"基础信息无时间要求。"}</x:v>
      </x:c>
      <x:c r="I172" s="17" t="str">
        <x:v>["fund.basic_info"]</x:v>
      </x:c>
      <x:c r="J172" s="17" t="str">
        <x:v>{"status":"pass","note":"源结果行数93。"}</x:v>
      </x:c>
      <x:c r="K172" s="17" t="str">
        <x:v>{"status":"pass","note":"93条名称含债券的基金查询正确。"}；{"status":"not_applicable","note":"基础信息无时间要求。"}</x:v>
      </x:c>
      <x:c r="L172" s="17" t="str">
        <x:v>{"status":"fail","note":"开头仍称93只全部结果。"}</x:v>
      </x:c>
      <x:c r="M172" s="17" t="str">
        <x:v>否</x:v>
      </x:c>
      <x:c r="N172" s="17" t="str">
        <x:v>查询到名称中包含"债券"的基金共 **93** 只，全部结果如下：
| 基金代码 | 基金名称 |
|:---|:---|
| 150020.SZ | 富国汇利回报分级债券A |
| 150020\_1.SZ | 富国汇利分级债券封闭A |
| 150021.SZ | 富国汇利回报分级债券B |
| 150021\_1.SZ | 富国汇利分级债券封闭B |
| 150025.SZ | 大成景丰分级债券A |
| 150026.SZ | 大成景丰分级债券B |
| 150038.SZ | 万家添利分级债券B |
| 150039.SZ | 中欧鼎利分级债券A |
| 150040.SZ | 中欧鼎利分级债券B |
| 150041.SZ | 富国天盈分级债券B |
| 150043.SZ | 博时裕祥分级债券B |
| 150044.SZ | 海富通稳进增利分级债券A |
| 150045.SZ | 海富通稳进增利分级债券B |
| 150062.SZ | 浦银安盛增利分级债券A |
| 150063.SZ | 浦银安盛增利分级债券B |
| 150080.SZ | 国联安双佳B信用分级债券 |
| 150081.SZ | 信诚双盈分级债券B |
| 150082.SZ | 信达澳银稳定增利债券B |
| 150087.SZ | 中欧信用增利分级债券B |
| 150114.SZ | 中海惠裕分级债券发起式B |
| 150115.SZ | 长盛同丰分级债券B |
| 150119.SZ | 中欧纯债分级债券B |
| 150142.SZ | 汇添富互利分级债券B |
| 150154.SZ | 中海惠丰分级债券B |
| 150156.SZ | 中银互利分级债券B |
| 150159.SZ | 中欧纯债添利分级债券B |
| 150160.SZ | 融通通福分级债券B |
| 150161.SZ | 新华惠鑫分级债券B |
| 150166.SZ | 国富恒利分级债券B |
| 159649.SZ | 华安中债1-5年国开行债券ETF |
| 159651.SZ | 平安中债-0-3年国开行债券ETF |
| 160123\_1.SZ | 南方中证50债券指数(LOF)A |
| 160128.SZ | 南方金利定开债券A |
| 160130.SZ | 南方永利1年定期开放债券(LOF)A |
| 160513.SZ | 博时稳健回报债券(LOF)A |
| 160617.SZ | 鹏华丰润债券(LOF) |
| 160618.SZ | 鹏华丰泽债券(LOF)C |
| 160621.SZ | 鹏华丰和债券(LOF)A |
| 160621\_1.SZ | 鹏华中小企业债券 |
| 160622.SZ | 鹏华丰利债券(LOF)A |
| 160641.SZ | 鹏华丰锐债券LOF |
| 160810.SZ | 长盛同丰债券(LOF) |
| 160915.SZ | 大成景丰债券(LOF) |
| 161010.SZ | 富国天丰强化债券(LOF)A |
| 161014.SZ | 富国汇利回报定期开放债券 |
| 161015.SZ | 富国天盈债券(LOF)C |
| 161019.SZ | 富国新天锋债券(LOF)A |
| 161115.SZ | 易方达岁丰添利债券(LOF)A |
| 161117.SZ | 易方达永旭定期开放债券 |
| 161216.SZ | 国投瑞银双债债券A |
| 161614.SZ | 融通四季添利债券(LOF)A |
| 161626.SZ | 融通通福债券A |
| 161713.SZ | 招商信用添利债券(LOF)A |
| 161716.SZ | 招商双债增强债券C |
| 161813.SZ | 银华信用债券(LOF) |
| 161820.SZ | 银华纯债信用债券(LOF)A |
| 161823.SZ | 银华永兴债券发起式(LOF) |
| 161911.SZ | 万家强化收益定期开放债券 |
| 162105.SZ | 金鹰持久增利债券(LOF)C |
| 162108.SZ | 金鹰元盛债券(LOF)C |
| 162215.SZ | 宏利聚利债券(LOF) |
| 162308.SZ | 海富通稳进增利债券(LOF) |
| 162511.SZ | 国联安双佳信用债券(LOF) |
| 162712.SZ | 广发聚利债券(LOF)A |
| 162715.SZ | 广发聚源债券(LOF)A |
| 163003.SZ | 长信利鑫债券(LOF)C |
| 163005.SZ | 长信利众债券(LOF)C |
| 163112.SZ | 申万菱信定期开放债券</x:v>
      </x:c>
    </x:row>
    <x:row r="173" ht="64" customHeight="1">
      <x:c r="A173" s="17" t="str">
        <x:v>BUS169</x:v>
      </x:c>
      <x:c r="B173" s="17" t="str">
        <x:v>查询科创50ETF基金代码和全称。</x:v>
      </x:c>
      <x:c r="C173" s="17" t="str">
        <x:v>成功</x:v>
      </x:c>
      <x:c r="D173" s="17" t="str">
        <x:v>部分正确</x:v>
      </x:c>
      <x:c r="E173" s="19" t="n">
        <x:v>0.95</x:v>
      </x:c>
      <x:c r="F173" s="17" t="str">
        <x:v>实体别名解析没有先形成可解释候选集。 主要根因：entity_broadening_and_unsupported_claim 聚合：{"status":"partial","note":"前两次查询重复，后又靠先验代码补查。"} 证据对齐：{"status":"partial","note":"规模最大、流动性最好无当前结果证据。"}</x:v>
      </x:c>
      <x:c r="G173" s="17" t="str">
        <x:v>{
  "review_source": "deep_audit_121_180.json",
  "route_ok": true,
  "time": {
    "status": "not_applicable",
    "note": "基础信息无时间要求。"
  },
  "entity": {
    "status": "partial",
    "note": "从泛称科创50ETF扩展为5只相关ETF，包含增强型；核心588000有效。"
  },
  "numeric": {
    "status": "pass",
    "note": "5条均来自4条模糊结果与588000精确代码结果。"
  },
  "aggregation": {
    "status": "partial",
    "note": "前两次查询重复，后又靠先验代码补查。"
  },
  "evidence_alignment": {
    "status": "partial",
    "note": "规模最大、流动性最好无当前结果证据。"
  }
}</x:v>
      </x:c>
      <x:c r="H173" s="17" t="str">
        <x:v>{"status":"not_applicable","note":"基础信息无时间要求。"}</x:v>
      </x:c>
      <x:c r="I173" s="17" t="str">
        <x:v>["fund.basic_info"]</x:v>
      </x:c>
      <x:c r="J173" s="17" t="str">
        <x:v>{"status":"pass","note":"5条均来自4条模糊结果与588000精确代码结果。"}</x:v>
      </x:c>
      <x:c r="K173" s="17" t="str">
        <x:v>{"status":"partial","note":"从泛称科创50ETF扩展为5只相关ETF，包含增强型；核心588000有效。"}；{"status":"not_applicable","note":"基础信息无时间要求。"}</x:v>
      </x:c>
      <x:c r="L173" s="17" t="str">
        <x:v>{"status":"partial","note":"规模最大、流动性最好无当前结果证据。"}</x:v>
      </x:c>
      <x:c r="M173" s="17" t="str">
        <x:v>否</x:v>
      </x:c>
      <x:c r="N173" s="17" t="str">
        <x:v>以下是当前市场上跟踪科创50指数的ETF基金及其代码和全称：
| 基金代码 | 基金简称 | 基金全称 |
|:---:|:---|:---|
| **588000.SH** | 华夏上证科创板50成份ETF | 华夏上证科创板50成份交易型开放式指数证券投资基金 |
| **588050.SH** | 科创50ETF工银 | 工银瑞信上证科创板50成份交易型开放式指数证券投资基金 |
| **588060.SH** | 广发科创50ETF | 广发上证科创板50成份交易型开放式指数证券投资基金 |
| **589850.SH** | 科创50ETF东财 | 东财上证科创板50成份交易型开放式指数证券投资基金 |
| **588460.SH** | 科创50增强ETF | 鹏华上证科创板50成份增强策略交易型开放式指数证券投资基金 |
其中，**588000.SH（华夏上证科创板50成份ETF）** 是规模最大、流动性最好的科创50ETF，通常被市场直接称为"科创50ETF"；**588460.SH** 为增强策略型ETF，其余四只均为被动跟踪型。</x:v>
      </x:c>
    </x:row>
    <x:row r="174" ht="64" customHeight="1">
      <x:c r="A174" s="17" t="str">
        <x:v>BUS170</x:v>
      </x:c>
      <x:c r="B174" s="17" t="str">
        <x:v>查询名称包含创业板的基金。</x:v>
      </x:c>
      <x:c r="C174" s="17" t="str">
        <x:v>成功</x:v>
      </x:c>
      <x:c r="D174" s="17" t="str">
        <x:v>部分正确</x:v>
      </x:c>
      <x:c r="E174" s="19" t="n">
        <x:v>1</x:v>
      </x:c>
      <x:c r="F174" s="17" t="str">
        <x:v>与BUS166/173同类上限未披露。 主要根因：result_limit_unacknowledged 聚合：{"status":"partial","note":"对返回50条的主题分组可读，但完整性未知。"} 证据对齐：{"status":"fail","note":"答案称共有50只。"}</x:v>
      </x:c>
      <x:c r="G174" s="17" t="str">
        <x:v>{
  "review_source": "deep_audit_121_180.json",
  "route_ok": true,
  "time": {
    "status": "not_applicable",
    "note": "基础信息无时间要求。"
  },
  "entity": {
    "status": "partial",
    "note": "limit=50且sample_complete=false，可能仍有更多名称含创业板的基金。"
  },
  "numeric": {
    "status": "partial",
    "note": "50是返回上限，不是可证明总数。"
  },
  "aggregation": {
    "status": "partial",
    "note": "对返回50条的主题分组可读，但完整性未知。"
  },
  "evidence_alignment": {
    "status": "fail",
    "note": "答案称共有50只。"
  }
}</x:v>
      </x:c>
      <x:c r="H174" s="17" t="str">
        <x:v>{"status":"not_applicable","note":"基础信息无时间要求。"}</x:v>
      </x:c>
      <x:c r="I174" s="17" t="str">
        <x:v>["fund.basic_info"]</x:v>
      </x:c>
      <x:c r="J174" s="17" t="str">
        <x:v>{"status":"partial","note":"50是返回上限，不是可证明总数。"}</x:v>
      </x:c>
      <x:c r="K174" s="17" t="str">
        <x:v>{"status":"partial","note":"limit=50且sample_complete=false，可能仍有更多名称含创业板的基金。"}；{"status":"not_applicable","note":"基础信息无时间要求。"}</x:v>
      </x:c>
      <x:c r="L174" s="17" t="str">
        <x:v>{"status":"fail","note":"答案称共有50只。"}</x:v>
      </x:c>
      <x:c r="M174" s="17" t="str">
        <x:v>否</x:v>
      </x:c>
      <x:c r="N174" s="17" t="str">
        <x:v>共有 **50 只**名称包含"创业板"的基金，按类型分布如下：
### 📊 创业板ETF（跟踪创业板指）
`159247.SZ` 汇添富创业板ETF、`159205.SZ` 创业板ETF东财、`159287.SZ` 博时创业板综合ETF、`159288.SZ` 创业板综ETF银华、`159289.SZ` 鹏华创业板综合ETF、`159290.SZ` 创业板综指增强ETF东财、`159291.SZ` 招商创业板综合增强策略ETF、`159292.SZ` 华宝创业板综合增强策略ETF、`159293.SZ` 建信创业板综合增强策略ETF、`159295.SZ` 西部利得创业板综合ETF、`159541.SZ` 万家创业板综合ETF、`159563.SZ` 华夏创业板综合ETF、`159270.SZ` 南方创业板200ETF、`159571.SZ` 富国创业板200ETF、`159572.SZ` 易方达创业板200ETF
### 📊 创业板50ETF
`159369.SZ` 易方达创业板50ETF、`159367.SZ` 华夏创业板50ETF、`159371.SZ` 富国创业板50ETF、`159298.SZ` 大成创业板50ETF、`159372.SZ` 万家创业板50ETF、`159373.SZ` 嘉实创业板50ETF、`159375.SZ` 国泰创业板50ETF、`159383.SZ` 华泰柏瑞创业板50ETF
### 📊 创业板行业/主题ETF（新能源、AI、医药、软件）
**新能源**：`159009.SZ` 易方达创业板新能源ETF、`159069.SZ` 华泰柏瑞创业板新能源ETF、`159076.SZ` 华宝创业板新能源ETF、`159122.SZ` 富国创业板新能源ETF、`159149.SZ` 创业板新能源ETF工银、`159187.SZ` 景顺长城创业板新能源ETF、`159190.SZ` 天弘创业板新能源ETF、`159261.SZ` 鹏华创业板新能源ETF、`159368.SZ` 华夏创业板新能源ETF、`159387.SZ` 国泰创业板新能源ETF
**人工智能**：`159242.SZ` 大成创业板人工智能ETF、`159243.SZ` 招商创业板人工智能ETF、`159246.SZ` 富国创业板人工智能ETF、`159279.SZ` 华安创业板人工智能ETF、`159363.SZ` 华宝创业板人工智能ETF、`159381.SZ` 华夏创业板人工智能ETF、`159382.SZ` 南方创业板人工智能ETF、`159388.SZ` 国泰创业板人工智能ETF
**医药/软件**：`159377.SZ` 国泰创业板医药卫生ETF、`159107.SZ` 富国创业板软件ETF、`159256.SZ` 华夏创业板软件ETF
### 📊 创业板分级基金
`150152.SZ` 富国创业板指数分级A、`150153.SZ` 富国创业板指数分级B、`150243.SZ` 鹏华创业板分级A、`150244.SZ` 鹏华创业板分级B、`150303.SZ` 华安创业板50指数分级A、`150304.SZ` 华安创业板50指数分级B
---
从数量看，近年基金公司密集布局了创业板主题ETF，尤其是**创业板50**和**创业板人工智能/新能源**等细分赛道。如果对某只基金的具体信息（规模、净值、跟踪指数等）感兴趣，可以进一步查询。</x:v>
      </x:c>
    </x:row>
    <x:row r="175" ht="64" customHeight="1">
      <x:c r="A175" s="17" t="str">
        <x:v>BUS171</x:v>
      </x:c>
      <x:c r="B175" s="17" t="str">
        <x:v>沪深300ETF当前价格、涨跌幅和成交额是多少？</x:v>
      </x:c>
      <x:c r="C175" s="17" t="str">
        <x:v>成功</x:v>
      </x:c>
      <x:c r="D175" s="17" t="str">
        <x:v>正确</x:v>
      </x:c>
      <x:c r="E175" s="19" t="n">
        <x:v>1</x:v>
      </x:c>
      <x:c r="F175" s="17" t="str">
        <x:v>为实体确认做了3次行情查询，其中两次高度重复。 主要根因：none 聚合：{"status":"pass","note":"按成交额比较三只产品正确。"} 证据对齐：{"status":"partial","note":"主流/流动性最充裕仅在这3只范围内成立。"}</x:v>
      </x:c>
      <x:c r="G175" s="17" t="str">
        <x:v>{
  "review_source": "deep_audit_121_180.json",
  "route_ok": true,
  "time": {
    "status": "partial",
    "note": "realtime=2返回最新价，但答案未给具体时点；周末时容易被理解为盘中实时。"
  },
  "entity": {
    "status": "pass",
    "note": "将泛称沪深300ETF解释为3只主要产品，均为有效候选。"
  },
  "numeric": {
    "status": "pass",
    "note": "三只价格、涨跌幅和成交额与精确代码复查一致。"
  },
  "aggregation": {
    "status": "pass",
    "note": "按成交额比较三只产品正确。"
  },
  "evidence_alignment": {
    "status": "partial",
    "note": "主流/流动性最充裕仅在这3只范围内成立。"
  }
}</x:v>
      </x:c>
      <x:c r="H175" s="17" t="str">
        <x:v>{"status":"partial","note":"realtime=2返回最新价，但答案未给具体时点；周末时容易被理解为盘中实时。"}</x:v>
      </x:c>
      <x:c r="I175" s="17" t="str">
        <x:v>["fund.quote"]</x:v>
      </x:c>
      <x:c r="J175" s="17" t="str">
        <x:v>{"status":"pass","note":"三只价格、涨跌幅和成交额与精确代码复查一致。"}</x:v>
      </x:c>
      <x:c r="K175" s="17" t="str">
        <x:v>{"status":"pass","note":"将泛称沪深300ETF解释为3只主要产品，均为有效候选。"}；{"status":"partial","note":"realtime=2返回最新价，但答案未给具体时点；周末时容易被理解为盘中实时。"}</x:v>
      </x:c>
      <x:c r="L175" s="17" t="str">
        <x:v>{"status":"partial","note":"主流/流动性最充裕仅在这3只范围内成立。"}</x:v>
      </x:c>
      <x:c r="M175" s="17" t="str">
        <x:v>否</x:v>
      </x:c>
      <x:c r="N175" s="17" t="str">
        <x:v>目前市场上三只主要的沪深300ETF最新行情如下（实时数据）：
| 基金 | 最新价 | 涨跌幅 | 成交额 |
|------|--------|--------|--------|
| **华泰柏瑞沪深300ETF**（510300） | 4.653 元 | +1.04% | **70.17 亿元** |
| **嘉实沪深300ETF**（159919） | 4.851 元 | +1.10% | 12.50 亿元 |
| **华夏沪深300ETF**（510330） | 4.850 元 | +1.10% | 7.05 亿元 |
三只ETF同步上涨约 **1.0%~1.1%**，其中华泰柏瑞沪深300ETF（510300）成交额最大，达 **70.17 亿元**，流动性最为充裕。</x:v>
      </x:c>
    </x:row>
    <x:row r="176" ht="64" customHeight="1">
      <x:c r="A176" s="17" t="str">
        <x:v>BUS172</x:v>
      </x:c>
      <x:c r="B176" s="17" t="str">
        <x:v>今天涨幅最高的基金前20名。</x:v>
      </x:c>
      <x:c r="C176" s="17" t="str">
        <x:v>成功</x:v>
      </x:c>
      <x:c r="D176" s="17" t="str">
        <x:v>正确</x:v>
      </x:c>
      <x:c r="E176" s="19" t="n">
        <x:v>1</x:v>
      </x:c>
      <x:c r="F176" s="17" t="str">
        <x:v>主要根因：none 聚合：{"status":"pass","note":"pct降序top20正确。"} 证据对齐：{"status":"pass","note":"结构性摘要可由榜单名称直接观察。"}</x:v>
      </x:c>
      <x:c r="G176" s="17" t="str">
        <x:v>{
  "review_source": "deep_audit_121_180.json",
  "route_ok": true,
  "time": {
    "status": "pass",
    "note": "识别2026-08-02周日并明确回退2026-07-31。"
  },
  "entity": {
    "status": "pass",
    "note": "基金行情全体排名。"
  },
  "numeric": {
    "status": "pass",
    "note": "前20价格和涨幅与结果一致。"
  },
  "aggregation": {
    "status": "pass",
    "note": "pct降序top20正确。"
  },
  "evidence_alignment": {
    "status": "pass",
    "note": "结构性摘要可由榜单名称直接观察。"
  }
}</x:v>
      </x:c>
      <x:c r="H176" s="17" t="str">
        <x:v>{"status":"pass","note":"识别2026-08-02周日并明确回退2026-07-31。"}</x:v>
      </x:c>
      <x:c r="I176" s="17" t="str">
        <x:v>["fund.quote"]</x:v>
      </x:c>
      <x:c r="J176" s="17" t="str">
        <x:v>{"status":"pass","note":"前20价格和涨幅与结果一致。"}</x:v>
      </x:c>
      <x:c r="K176" s="17" t="str">
        <x:v>{"status":"pass","note":"基金行情全体排名。"}；{"status":"pass","note":"识别2026-08-02周日并明确回退2026-07-31。"}</x:v>
      </x:c>
      <x:c r="L176" s="17" t="str">
        <x:v>{"status":"pass","note":"结构性摘要可由榜单名称直接观察。"}</x:v>
      </x:c>
      <x:c r="M176" s="17" t="str">
        <x:v>否</x:v>
      </x:c>
      <x:c r="N176" s="17" t="str">
        <x:v>今天是8月2日（周日），数据取自最近交易日 **7月31日（周五）**，以下是涨幅最高的前20只基金：
**7月31日涨幅前20名基金**
| 排名 | 基金代码 | 基金名称 | 涨幅(%) | 收盘价(元) |
|:---:|:---:|---|:---:|:---:|
| 1 | 159527.SZ | 广发中证云计算与大数据ETF | **9.86** | 0.713 |
| 2 | 159725.SZ | 线上消费ETF工银 | **9.47** | 0.798 |
| 3 | 159256.SZ | 华夏创业板软件ETF | **9.45** | 0.834 |
| 4 | 159107.SZ | 富国创业板软件ETF | **8.95** | 0.755 |
| 5 | 159388.SZ | 国泰创业板人工智能ETF | **8.31** | 0.925 |
| 6 | 159243.SZ | 招商创业板人工智能ETF | **8.18** | 1.150 |
| 7 | 159381.SZ | 华夏创业板人工智能ETF | **8.18** | 1.071 |
| 8 | 159279.SZ | 华安创业板人工智能ETF | **8.17** | 1.284 |
| 9 | 159586.SZ | 南方中证全指计算机ETF | **8.06** | 1.086 |
| 10 | 159242.SZ | 大成创业板人工智能ETF | **7.86** | 1.907 |
| 11 | 159382.SZ | 南方创业板人工智能ETF | **7.74** | 2.409 |
| 12 | 159246.SZ | 富国创业板人工智能ETF | **7.71** | 1.062 |
| 13 | 588530.SH | 科创创业人工智能ETF中银证券 | **7.68** | 0.939 |
| 14 | 159363.SZ | 华宝创业板人工智能ETF | **7.55** | 1.126 |
| 15 | 588850.SH | 嘉实上证科创板工业机械ETF | **7.50** | 1.591 |
| 16 | 588510.SH | 华夏中证科创创业人工智能ETF | **7.44** | 0.852 |
| 17 | 159139.SZ | 华泰柏瑞中证科创创业人工智能ETF | **7.24** | 1.245 |
| 18 | 159145.SZ | 广发国证工业软件主题ETF | **7.23** | 0.816 |
| 19 | 588410.SH | 鹏华中证科创创业人工智能ETF | **7.19** | 1.193 |
| 20 | 160644.SZ | 鹏华港美互联股票(LOF) | **7.16** | 1.572 |
**结构性特征：** 当天涨幅靠前的基金高度集中在 **人工智能（AI）、软件、云计算** 等科技主题ETF上，前20名中有12只与AI/人工智能直接相关，另有3只软件/计算机ETF。广发中证云计算与大数据ETF以9.86%领涨全场，接近涨停。</x:v>
      </x:c>
    </x:row>
    <x:row r="177" ht="64" customHeight="1">
      <x:c r="A177" s="17" t="str">
        <x:v>BUS173</x:v>
      </x:c>
      <x:c r="B177" s="17" t="str">
        <x:v>筛选今天成交额超过1亿元且上涨的基金。</x:v>
      </x:c>
      <x:c r="C177" s="17" t="str">
        <x:v>成功</x:v>
      </x:c>
      <x:c r="D177" s="17" t="str">
        <x:v>部分正确</x:v>
      </x:c>
      <x:c r="E177" s="19" t="n">
        <x:v>1</x:v>
      </x:c>
      <x:c r="F177" s="17" t="str">
        <x:v>筛选型查询需要total/has_more或分页artifact。 主要根因：result_limit_unacknowledged 聚合：{"status":"partial","note":"limit=50且sample_complete=false，答案却称共50只，只展示前10。"} 证据对齐：{"status":"fail","note":"未区分返回上限与真实总量。"}</x:v>
      </x:c>
      <x:c r="G177" s="17" t="str">
        <x:v>{
  "review_source": "deep_audit_121_180.json",
  "route_ok": true,
  "time": {
    "status": "pass",
    "note": "明确数据日2026-07-31。"
  },
  "entity": {
    "status": "pass",
    "note": "基金行情筛选条件正确。"
  },
  "numeric": {
    "status": "pass",
    "note": "展示的前10涨幅和成交额正确。"
  },
  "aggregation": {
    "status": "partial",
    "note": "limit=50且sample_complete=false，答案却称共50只，只展示前10。"
  },
  "evidence_alignment": {
    "status": "fail",
    "note": "未区分返回上限与真实总量。"
  }
}</x:v>
      </x:c>
      <x:c r="H177" s="17" t="str">
        <x:v>{"status":"pass","note":"明确数据日2026-07-31。"}</x:v>
      </x:c>
      <x:c r="I177" s="17" t="str">
        <x:v>["fund.quote"]</x:v>
      </x:c>
      <x:c r="J177" s="17" t="str">
        <x:v>{"status":"pass","note":"展示的前10涨幅和成交额正确。"}</x:v>
      </x:c>
      <x:c r="K177" s="17" t="str">
        <x:v>{"status":"pass","note":"基金行情筛选条件正确。"}；{"status":"pass","note":"明确数据日2026-07-31。"}</x:v>
      </x:c>
      <x:c r="L177" s="17" t="str">
        <x:v>{"status":"fail","note":"未区分返回上限与真实总量。"}</x:v>
      </x:c>
      <x:c r="M177" s="17" t="str">
        <x:v>否</x:v>
      </x:c>
      <x:c r="N177" s="17" t="str">
        <x:v>以下是 **2026-07-31（周五）** 成交额超过1亿元且上涨的基金，共50只，按成交额从高到低排序：
**成交额前10：**
| 基金名称 | 涨跌幅 | 成交额 |
|---------|-------|-------|
| 海富通中证短融ETF | +0.01% | 372.6亿 |
| 银华日利 | +0.01% | 270.2亿 |
| 华泰柏瑞中证韩交所中韩半导体ETF | **+6.93%** | 161.9亿 |
| 华夏上证科创板50成份ETF | **+3.54%** | 154.7亿 |
| 易方达创业板ETF | **+3.00%** | 150.9亿 |
| 华夏上证科创板半导体材料设备主题ETF | **+2.45%** | 136.2亿 |
| 汇添富中证AAA科创债ETF | +0.02% | 119.0亿 |
| 南方中证1000ETF | **+2.36%** | 88.4亿 |
| 华夏上证基准做市国债ETF | +0.17% | 84.2亿 |
| 华夏中证AAA科技创新公司债ETF | +0.00% | 83.4亿 |
**主要看点：**
- **科技成长类ETF领涨**：中韩半导体ETF（+6.93%）、科创板50ETF（+3.54%）、科创板芯片ETF（+3.53%）、半导体ETF（+3.55%）涨幅居前，成交额均超65亿，资金活跃度极高。
- **宽基ETF**：沪深300ETF（+1.04%，70.2亿）、中证500ETF（+2.24%，75.4亿）、中证1000ETF（南方+2.36%，88.4亿）均有可观涨幅和成交额，当日市场整体偏强。
- **债券ETF成交额大但涨幅微小**：短融ETF、国债ETF、公司债ETF等日涨幅多在0.01%~0.34%之间，但成交额动辄数十亿甚至上百亿，是场内流动性最好的品种。
- **黄金ETF**（华安黄金ETF）涨0.87%，成交额25.2亿，同样符合条件。</x:v>
      </x:c>
    </x:row>
    <x:row r="178" ht="64" customHeight="1">
      <x:c r="A178" s="17" t="str">
        <x:v>BUS174</x:v>
      </x:c>
      <x:c r="B178" s="17" t="str">
        <x:v>查询创业板ETF最近10个交易日收盘价和涨跌幅。</x:v>
      </x:c>
      <x:c r="C178" s="17" t="str">
        <x:v>成功</x:v>
      </x:c>
      <x:c r="D178" s="17" t="str">
        <x:v>正确</x:v>
      </x:c>
      <x:c r="E178" s="19" t="n">
        <x:v>1</x:v>
      </x:c>
      <x:c r="F178" s="17" t="str">
        <x:v>主要根因：none 聚合：{"status":"pass","note":"时间排序与区间计算正确。"} 证据对齐：{"status":"pass","note":"走势总结基于表中数据。"}</x:v>
      </x:c>
      <x:c r="G178" s="17" t="str">
        <x:v>{
  "review_source": "deep_audit_121_180.json",
  "route_ok": true,
  "time": {
    "status": "pass",
    "note": "最近10个交易日为2026-07-20至07-31。"
  },
  "entity": {
    "status": "pass",
    "note": "创业板ETF解析为常用159915并明确名称。"
  },
  "numeric": {
    "status": "pass",
    "note": "10日收盘价、单日涨跌幅及区间约-3.1%均复算一致。"
  },
  "aggregation": {
    "status": "pass",
    "note": "时间排序与区间计算正确。"
  },
  "evidence_alignment": {
    "status": "pass",
    "note": "走势总结基于表中数据。"
  }
}</x:v>
      </x:c>
      <x:c r="H178" s="17" t="str">
        <x:v>{"status":"pass","note":"最近10个交易日为2026-07-20至07-31。"}</x:v>
      </x:c>
      <x:c r="I178" s="17" t="str">
        <x:v>["fund.quote"]</x:v>
      </x:c>
      <x:c r="J178" s="17" t="str">
        <x:v>{"status":"pass","note":"10日收盘价、单日涨跌幅及区间约-3.1%均复算一致。"}</x:v>
      </x:c>
      <x:c r="K178" s="17" t="str">
        <x:v>{"status":"pass","note":"创业板ETF解析为常用159915并明确名称。"}；{"status":"pass","note":"最近10个交易日为2026-07-20至07-31。"}</x:v>
      </x:c>
      <x:c r="L178" s="17" t="str">
        <x:v>{"status":"pass","note":"走势总结基于表中数据。"}</x:v>
      </x:c>
      <x:c r="M178" s="17" t="str">
        <x:v>否</x:v>
      </x:c>
      <x:c r="N178" s="17" t="str">
        <x:v>以下是易方达创业板ETF（159915）最近10个交易日的收盘价与涨跌幅：
| 交易日期 | 收盘价（元） | 涨跌幅 |
|:---:|:---:|:---:|
| 2026-07-20 | 3.477 | +0.40% |
| 2026-07-21 | 3.709 | **+6.67%** |
| 2026-07-22 | 3.586 | -3.32% |
| 2026-07-23 | 3.597 | +0.31% |
| 2026-07-24 | 3.508 | -2.47% |
| 2026-07-27 | 3.612 | +2.96% |
| 2026-07-28 | 3.355 | **-7.12%** |
| 2026-07-29 | 3.402 | +1.40% |
| 2026-07-30 | 3.270 | -3.88% |
| 2026-07-31 | 3.368 | +3.00% |
整体来看，这10个交易日波动较大。7月21日单日大涨6.67%触及区间高点3.709元，但随后震荡回落，7月28日大跌7.12%创下区间低点3.355元，之后有所修复，最新一个交易日（7月31日）收于3.368元，反弹3.00%。区间累计跌幅约3.1%。</x:v>
      </x:c>
    </x:row>
    <x:row r="179" ht="64" customHeight="1">
      <x:c r="A179" s="17" t="str">
        <x:v>BUS176</x:v>
      </x:c>
      <x:c r="B179" s="17" t="str">
        <x:v>过去20个交易日累计涨幅最高的基金前10名。</x:v>
      </x:c>
      <x:c r="C179" s="17" t="str">
        <x:v>成功</x:v>
      </x:c>
      <x:c r="D179" s="17" t="str">
        <x:v>正确</x:v>
      </x:c>
      <x:c r="E179" s="19" t="n">
        <x:v>1</x:v>
      </x:c>
      <x:c r="F179" s="17" t="str">
        <x:v>主要根因：none 聚合：{"status":"pass","note":"kd_pct_sum实现为窗口首尾收盘价收益，排序正确。"} 证据对齐：{"status":"partial","note":"榜单有证据；国际油价强势的原因解释不在结果中。"}</x:v>
      </x:c>
      <x:c r="G179" s="17" t="str">
        <x:v>{
  "review_source": "deep_audit_121_180.json",
  "route_ok": true,
  "time": {
    "status": "pass",
    "note": "20交易日窗口方法正确；未虚构具体end_date。"
  },
  "entity": {
    "status": "pass",
    "note": "全基金范围。"
  },
  "numeric": {
    "status": "pass",
    "note": "前10区间累计涨幅与结果一致。"
  },
  "aggregation": {
    "status": "pass",
    "note": "kd_pct_sum实现为窗口首尾收盘价收益，排序正确。"
  },
  "evidence_alignment": {
    "status": "partial",
    "note": "榜单有证据；国际油价强势的原因解释不在结果中。"
  }
}</x:v>
      </x:c>
      <x:c r="H179" s="17" t="str">
        <x:v>{"status":"pass","note":"20交易日窗口方法正确；未虚构具体end_date。"}</x:v>
      </x:c>
      <x:c r="I179" s="17" t="str">
        <x:v>["fund.quote"]</x:v>
      </x:c>
      <x:c r="J179" s="17" t="str">
        <x:v>{"status":"pass","note":"前10区间累计涨幅与结果一致。"}</x:v>
      </x:c>
      <x:c r="K179" s="17" t="str">
        <x:v>{"status":"pass","note":"全基金范围。"}；{"status":"pass","note":"20交易日窗口方法正确；未虚构具体end_date。"}</x:v>
      </x:c>
      <x:c r="L179" s="17" t="str">
        <x:v>{"status":"partial","note":"榜单有证据；国际油价强势的原因解释不在结果中。"}</x:v>
      </x:c>
      <x:c r="M179" s="17" t="str">
        <x:v>否</x:v>
      </x:c>
      <x:c r="N179" s="17" t="str">
        <x:v>过去20个交易日累计涨幅最高的前10只基金如下：
| 排名 | 基金代码 | 基金名称 | 近20日累计涨幅 |
|:---:|:---:|:---|:---:|
| 1 | 161129.SZ | 易方达原油(QDII-LOF-FOF)A(人民币份额) | **38.36%** |
| 2 | 501018.SH | 南方原油(QDII-FOF-LOF) | **30.73%** |
| 3 | 160723.SZ | 嘉实原油(QDII-LOF) | **28.56%** |
| 4 | 501025.SH | 鹏华中证香港银行指数(LOF)A | 13.65% |
| 5 | 512690.SH | 酒ETF | 12.97% |
| 6 | 513350.SH | 富国标普石油天然气勘探及生产精选行业ETF(QDII) | 12.77% |
| 7 | 161725.SZ | 招商中证白酒指数A | 12.77% |
| 8 | 159518.SZ | 嘉实标普石油天然气勘探及生产精选行业ETF(QDII) | 12.39% |
| 9 | 160632.SZ | 鹏华酒A | 12.35% |
| 10 | 159280.SZ | 汇添富国证港股通互联网ETF | 11.84% |
**主要特征：** 前三名均为原油QDII基金，累计涨幅高达28%–38%，远超其他品种，反映近期国际油价强势上行。第4名以后涨幅集中在11%–14%区间，以港股银行、白酒消费和石油天然气行业ETF为主，结构分化明显。</x:v>
      </x:c>
    </x:row>
    <x:row r="180" ht="64" customHeight="1">
      <x:c r="A180" s="17" t="str">
        <x:v>BUS177</x:v>
      </x:c>
      <x:c r="B180" s="17" t="str">
        <x:v>比较沪深300ETF和创业板ETF最近20个交易日累计涨幅。</x:v>
      </x:c>
      <x:c r="C180" s="17" t="str">
        <x:v>成功</x:v>
      </x:c>
      <x:c r="D180" s="17" t="str">
        <x:v>正确</x:v>
      </x:c>
      <x:c r="E180" s="19" t="n">
        <x:v>1</x:v>
      </x:c>
      <x:c r="F180" s="17" t="str">
        <x:v>主要根因：none 聚合：{"status":"pass","note":"单次并行in查询完成比较，效率好。"} 证据对齐：{"status":"partial","note":"风格偏向蓝筹的因果解释超出这两条证据。"}</x:v>
      </x:c>
      <x:c r="G180" s="17" t="str">
        <x:v>{
  "review_source": "deep_audit_121_180.json",
  "route_ok": true,
  "time": {
    "status": "pass",
    "note": "同一20交易日窗口比较。"
  },
  "entity": {
    "status": "pass",
    "note": "510300与159915映射正确。"
  },
  "numeric": {
    "status": "pass",
    "note": "-4.59%、-15.16%、差10.57个百分点及约3.3倍均正确。"
  },
  "aggregation": {
    "status": "pass",
    "note": "单次并行in查询完成比较，效率好。"
  },
  "evidence_alignment": {
    "status": "partial",
    "note": "风格偏向蓝筹的因果解释超出这两条证据。"
  }
}</x:v>
      </x:c>
      <x:c r="H180" s="17" t="str">
        <x:v>{"status":"pass","note":"同一20交易日窗口比较。"}</x:v>
      </x:c>
      <x:c r="I180" s="17" t="str">
        <x:v>["fund.quote"]</x:v>
      </x:c>
      <x:c r="J180" s="17" t="str">
        <x:v>{"status":"pass","note":"-4.59%、-15.16%、差10.57个百分点及约3.3倍均正确。"}</x:v>
      </x:c>
      <x:c r="K180" s="17" t="str">
        <x:v>{"status":"pass","note":"510300与159915映射正确。"}；{"status":"pass","note":"同一20交易日窗口比较。"}</x:v>
      </x:c>
      <x:c r="L180" s="17" t="str">
        <x:v>{"status":"partial","note":"风格偏向蓝筹的因果解释超出这两条证据。"}</x:v>
      </x:c>
      <x:c r="M180" s="17" t="str">
        <x:v>否</x:v>
      </x:c>
      <x:c r="N180" s="17" t="str">
        <x:v>最近20个交易日，两只ETF均录得下跌，但**沪深300ETF明显跑赢创业板ETF**：
- **华泰柏瑞沪深300ETF（510300.SH）**：累计 **-4.59%**
- **易方达创业板ETF（159915.SZ）**：累计 **-15.16%**
两者差距约 **10.57 个百分点**。创业板ETF的回撤幅度是沪深300ETF的3倍以上，反映出近期市场风格明显偏向大盘蓝筹，成长股（创业板）承受了更大的调整压力。</x:v>
      </x:c>
    </x:row>
    <x:row r="181" ht="64" customHeight="1">
      <x:c r="A181" s="17" t="str">
        <x:v>BUS178</x:v>
      </x:c>
      <x:c r="B181" s="17" t="str">
        <x:v>筛选当前成交额超过5亿元且涨幅超过2%的ETF。</x:v>
      </x:c>
      <x:c r="C181" s="17" t="str">
        <x:v>成功</x:v>
      </x:c>
      <x:c r="D181" s="17" t="str">
        <x:v>部分正确</x:v>
      </x:c>
      <x:c r="E181" s="19" t="n">
        <x:v>0.9</x:v>
      </x:c>
      <x:c r="F181" s="17" t="str">
        <x:v>缺少基金类型约束；结果上限再次被当成总数。 主要根因：missing_universe_filter_and_unacknowledged_limit 聚合：{"status":"partial","note":"limit=50且sample_complete=false，却称全部50只并仅展示前10。"} 证据对齐：{"status":"fail","note":"ETF universe与总量完整性均未被证据确认。"}</x:v>
      </x:c>
      <x:c r="G181" s="17" t="str">
        <x:v>{
  "review_source": "deep_audit_121_180.json",
  "route_ok": false,
  "time": {
    "status": "pass",
    "note": "周日明确回退2026-07-31。"
  },
  "entity": {
    "status": "partial",
    "note": "只查fund.quote，没有按预期通过fund.basic_info验证ETF类型；本次前50名称看起来均为ETF。"
  },
  "numeric": {
    "status": "pass",
    "note": "展示的涨幅和成交额正确。"
  },
  "aggregation": {
    "status": "partial",
    "note": "limit=50且sample_complete=false，却称全部50只并仅展示前10。"
  },
  "evidence_alignment": {
    "status": "fail",
    "note": "ETF universe与总量完整性均未被证据确认。"
  }
}</x:v>
      </x:c>
      <x:c r="H181" s="17" t="str">
        <x:v>{"status":"pass","note":"周日明确回退2026-07-31。"}</x:v>
      </x:c>
      <x:c r="I181" s="17" t="str">
        <x:v>["fund.basic_info","fund.quote"]</x:v>
      </x:c>
      <x:c r="J181" s="17" t="str">
        <x:v>{"status":"pass","note":"展示的涨幅和成交额正确。"}</x:v>
      </x:c>
      <x:c r="K181" s="17" t="str">
        <x:v>{"status":"partial","note":"只查fund.quote，没有按预期通过fund.basic_info验证ETF类型；本次前50名称看起来均为ETF。"}；{"status":"pass","note":"周日明确回退2026-07-31。"}</x:v>
      </x:c>
      <x:c r="L181" s="17" t="str">
        <x:v>{"status":"fail","note":"ETF universe与总量完整性均未被证据确认。"}</x:v>
      </x:c>
      <x:c r="M181" s="17" t="str">
        <x:v>是</x:v>
      </x:c>
      <x:c r="N181" s="17" t="str">
        <x:v>今天（8月2日，周日）A股休市，以下为**上一个交易日（7月31日，周五）** 成交额超过5亿元且涨幅超过2%的全部50只ETF，按成交额从高到低排列：
### 成交额前10名
| 排名 | 代码 | 名称 | 涨幅 | 成交额 |
|:---:|:---:|:---|:---:|:---:|
| 1 | 513310.SH | 华泰柏瑞中证韩交所中韩半导体ETF(QDII) | **+6.93%** | **161.9亿** |
| 2 | 588000.SH | 华夏上证科创板50成份ETF | **+3.54%** | **154.7亿** |
| 3 | 159915.SZ | 易方达创业板ETF | **+3.00%** | **150.9亿** |
| 4 | 588170.SH | 华夏上证科创板半导体材料设备主题ETF | **+2.45%** | **136.2亿** |
| 5 | 512100.SH | 南方中证1000ETF | **+2.36%** | **88.4亿** |
| 6 | 510500.SH | 南方中证500ETF | **+2.24%** | **75.4亿** |
| 7 | 159516.SZ | 国泰中证半导体材料设备主题ETF | **+3.08%** | **75.0亿** |
| 8 | 159845.SZ | 华夏中证1000ETF | **+2.37%** | **66.6亿** |
| 9 | 588200.SH | 嘉实上证科创板芯片ETF | **+3.53%** | **65.9亿** |
| 10 | 515880.SH | 国泰中证全指通信设备ETF | **+4.86%** | **56.1亿** |
### 市场特征摘要
- **共50只ETF**满足条件，总成交额非常活跃
- **半导体/芯片主题**占据主导地位：前10名中半导体主题ETF占了4席（513310、588170、159516、588200），且多只成交额超百亿
- **宽基指数ETF**同样活跃：科创50（588000，154.7亿）、创业板（159915，150.9亿）、中证1000（512100，88.4亿）、中证500（510500，75.4亿）交投火热
- **涨幅最大的**：159381.SZ 华夏创业板人工智能ETF **+8.18%**、159363.SZ 华宝创业板人工智能ETF **+7.55%**
&gt; 数据时间：2026-07-31，单位：涨幅为%，成交额为人民币元。</x:v>
      </x:c>
    </x:row>
    <x:row r="182" ht="64" customHeight="1">
      <x:c r="A182" s="17" t="str">
        <x:v>BUS179</x:v>
      </x:c>
      <x:c r="B182" s="17" t="str">
        <x:v>查询近10个交易日平均成交额最高的基金前20名。</x:v>
      </x:c>
      <x:c r="C182" s="17" t="str">
        <x:v>成功</x:v>
      </x:c>
      <x:c r="D182" s="17" t="str">
        <x:v>正确</x:v>
      </x:c>
      <x:c r="E182" s="19" t="n">
        <x:v>1</x:v>
      </x:c>
      <x:c r="F182" s="17" t="str">
        <x:v>主要根因：none 聚合：{"status":"pass","note":"平均值降序top20正确。"} 证据对齐：{"status":"partial","note":"榜单可靠；资金双重聚焦属于解释性扩展。"}</x:v>
      </x:c>
      <x:c r="G182" s="17" t="str">
        <x:v>{
  "review_source": "deep_audit_121_180.json",
  "route_ok": true,
  "time": {
    "status": "pass",
    "note": "10交易日平均窗口调用正确。"
  },
  "entity": {
    "status": "pass",
    "note": "全基金范围。"
  },
  "numeric": {
    "status": "pass",
    "note": "20只平均成交额与结果一致，元转亿元正确。"
  },
  "aggregation": {
    "status": "pass",
    "note": "平均值降序top20正确。"
  },
  "evidence_alignment": {
    "status": "partial",
    "note": "榜单可靠；资金双重聚焦属于解释性扩展。"
  }
}</x:v>
      </x:c>
      <x:c r="H182" s="17" t="str">
        <x:v>{"status":"pass","note":"10交易日平均窗口调用正确。"}</x:v>
      </x:c>
      <x:c r="I182" s="17" t="str">
        <x:v>["fund.quote"]</x:v>
      </x:c>
      <x:c r="J182" s="17" t="str">
        <x:v>{"status":"pass","note":"20只平均成交额与结果一致，元转亿元正确。"}</x:v>
      </x:c>
      <x:c r="K182" s="17" t="str">
        <x:v>{"status":"pass","note":"全基金范围。"}；{"status":"pass","note":"10交易日平均窗口调用正确。"}</x:v>
      </x:c>
      <x:c r="L182" s="17" t="str">
        <x:v>{"status":"partial","note":"榜单可靠；资金双重聚焦属于解释性扩展。"}</x:v>
      </x:c>
      <x:c r="M182" s="17" t="str">
        <x:v>否</x:v>
      </x:c>
      <x:c r="N182" s="17" t="str">
        <x:v>以下是近10个交易日平均成交额最高的前20只基金：
| 排名 | 基金代码 | 基金名称 | 近10日平均成交额 |
|:---:|:---:|:---|---:|
| 1 | 511360.SH | 海富通中证短融ETF | 291.42亿 |
| 2 | 513310.SH | 华泰柏瑞中证韩交所中韩半导体ETF(QDII) | 201.18亿 |
| 3 | 511880.SH | 银华日利 | 188.80亿 |
| 4 | 588000.SH | 华夏上证科创板50成份ETF | 135.79亿 |
| 5 | 159915.SZ | 易方达创业板ETF | 120.98亿 |
| 6 | 511990.SH | 华宝添益 | 119.67亿 |
| 7 | 588170.SH | 华夏上证科创板半导体材料设备主题ETF | 91.80亿 |
| 8 | 511100.SH | 华夏上证基准做市国债ETF | 87.07亿 |
| 9 | 551550.SH | 华夏中证AAA科技创新公司债ETF | 82.43亿 |
| 10 | 510300.SH | 华泰柏瑞沪深300ETF | 78.51亿 |
| 11 | 551030.SH | 鹏华上证AAA科创债ETF | 77.83亿 |
| 12 | 513120.SH | 广发中证香港创新药(QDII-ETF) | 75.26亿 |
| 13 | 511380.SH | 博时可转债ETF | 71.74亿 |
| 14 | 159116.SZ | 科创债ETF工银 | 70.27亿 |
| 15 | 588200.SH | 嘉实上证科创板芯片ETF | 64.97亿 |
| 16 | 512100.SH | 南方中证1000ETF | 64.62亿 |
| 17 | 511070.SH | 南方上证基准做市公司债ETF | 63.80亿 |
| 18 | 159516.SZ | 国泰中证半导体材料设备主题ETF | 63.10亿 |
| 19 | 551800.SH | 国泰中证AAA科技创新公司债ETF | 62.84亿 |
| 20 | 510500.SH | 南方中证500ETF | 58.06亿 |
**主要特征：** 海富通中证短融ETF以日均超291亿的成交额遥遥领先，其次是中韩半导体ETF和银华日利。前十名中，短融/货币ETF（海富通短融、银华日利、华宝添益）和债券ETF占据半壁江山，头部宽基ETF（科创50、创业板、沪深300）和半导体主题ETF交投同样活跃，反映了市场资金在低风险工具和科技成长赛道上的双重聚焦。</x:v>
      </x:c>
    </x:row>
    <x:row r="183" ht="64" customHeight="1">
      <x:c r="A183" s="17" t="str">
        <x:v>BUS181</x:v>
      </x:c>
      <x:c r="B183" s="17" t="str">
        <x:v>同时查询沪深300ETF和沪深300指数当前涨跌幅。</x:v>
      </x:c>
      <x:c r="C183" s="17" t="str">
        <x:v>成功</x:v>
      </x:c>
      <x:c r="D183" s="17" t="str">
        <x:v>正确</x:v>
      </x:c>
      <x:c r="E183" s="19" t="n">
        <x:v>1</x:v>
      </x:c>
      <x:c r="F183" s="17" t="str">
        <x:v>金融术语标签小问题。 主要根因：final_renderer_metric_terminology 聚合：涨幅差约0.1966个百分点正确。 证据对齐：核心回答完全对齐两份完整结果。</x:v>
      </x:c>
      <x:c r="G183" s="17" t="str">
        <x:v>{
  "review_source": "deep_audit_181_230.json",
  "route_ok": true,
  "time": "两边均为最近完整交易日2026-07-31。",
  "entity": "000300.SH沪深300指数与510300.SH ETF正确。",
  "numeric": "0.8457%、1.0423%及收盘值均与证据一致。",
  "aggregation": "涨幅差约0.1966个百分点正确。",
  "evidence_alignment": "核心回答完全对齐两份完整结果。"
}</x:v>
      </x:c>
      <x:c r="H183" s="17" t="str">
        <x:v>两边均为最近完整交易日2026-07-31。</x:v>
      </x:c>
      <x:c r="I183" s="17" t="str">
        <x:v>fund.quote, index.quote</x:v>
      </x:c>
      <x:c r="J183" s="17" t="str">
        <x:v>0.8457%、1.0423%及收盘值均与证据一致。</x:v>
      </x:c>
      <x:c r="K183" s="17" t="str">
        <x:v>000300.SH沪深300指数与510300.SH ETF正确。；两边均为最近完整交易日2026-07-31。</x:v>
      </x:c>
      <x:c r="L183" s="17" t="str">
        <x:v>核心回答完全对齐两份完整结果。</x:v>
      </x:c>
      <x:c r="M183" s="17" t="str">
        <x:v>否</x:v>
      </x:c>
      <x:c r="N183" s="17" t="str">
        <x:v>以2026年7月31日（最近一个交易日）数据为准：
**沪深300指数**收于 **4588.20点**，上涨 **+0.85%**。
**华泰柏瑞沪深300ETF（510300.SH）** 收于 **4.653元**，上涨 **+1.04%**。
两者当日均上涨，ETF涨幅略高于指数本身，溢价约0.19个百分点。</x:v>
      </x:c>
    </x:row>
    <x:row r="184" ht="64" customHeight="1">
      <x:c r="A184" s="17" t="str">
        <x:v>BUS182</x:v>
      </x:c>
      <x:c r="B184" s="17" t="str">
        <x:v>查询半导体ETF当前涨幅，并列出半导体板块当前涨幅。</x:v>
      </x:c>
      <x:c r="C184" s="17" t="str">
        <x:v>成功</x:v>
      </x:c>
      <x:c r="D184" s="17" t="str">
        <x:v>部分正确</x:v>
      </x:c>
      <x:c r="E184" s="19" t="n">
        <x:v>1</x:v>
      </x:c>
      <x:c r="F184" s="17" t="str">
        <x:v>周末查询的当前语义不可证。 主要根因：missing_time_evidence_and_metric_mislabel 聚合：两者差值成立，但称为溢价效应不严谨。 证据对齐：数值对齐，时间与解释性结论证据不足。</x:v>
      </x:c>
      <x:c r="G184" s="17" t="str">
        <x:v>{
  "review_source": "deep_audit_181_230.json",
  "route_ok": true,
  "time": "使用realtime=2但结果未输出tradedate，不能证明当前对应时点。",
  "entity": "512480.SH与883720实体选择合理。",
  "numeric": "3.5491%与3.1468%准确。",
  "aggregation": "两者差值成立，但称为溢价效应不严谨。",
  "evidence_alignment": "数值对齐，时间与解释性结论证据不足。"
}</x:v>
      </x:c>
      <x:c r="H184" s="17" t="str">
        <x:v>使用realtime=2但结果未输出tradedate，不能证明当前对应时点。</x:v>
      </x:c>
      <x:c r="I184" s="17" t="str">
        <x:v>fund.quote, plate.quote</x:v>
      </x:c>
      <x:c r="J184" s="17" t="str">
        <x:v>3.5491%与3.1468%准确。</x:v>
      </x:c>
      <x:c r="K184" s="17" t="str">
        <x:v>512480.SH与883720实体选择合理。；使用realtime=2但结果未输出tradedate，不能证明当前对应时点。</x:v>
      </x:c>
      <x:c r="L184" s="17" t="str">
        <x:v>数值对齐，时间与解释性结论证据不足。</x:v>
      </x:c>
      <x:c r="M184" s="17" t="str">
        <x:v>否</x:v>
      </x:c>
      <x:c r="N184" s="17" t="str">
        <x:v>**半导体ETF**（512480.SH 国联安半导体ETF）当前涨幅 **+3.55%**，最新价 0.992 元，成交额约 30.13 亿元。
**半导体板块**（883720）当前涨幅 **+3.15%**，最新点位 1253.46 点，板块总成交额约 676.57 亿元。
两者同步走强，ETF 涨幅略高于板块，溢价效应较明显，资金交投活跃。</x:v>
      </x:c>
    </x:row>
    <x:row r="185" ht="64" customHeight="1">
      <x:c r="A185" s="17" t="str">
        <x:v>BUS183</x:v>
      </x:c>
      <x:c r="B185" s="17" t="str">
        <x:v>查询红利ETF当前表现，并列出红利指数最新估值。</x:v>
      </x:c>
      <x:c r="C185" s="17" t="str">
        <x:v>失败</x:v>
      </x:c>
      <x:c r="D185" s="17" t="str">
        <x:v>错误</x:v>
      </x:c>
      <x:c r="E185" s="19" t="n">
        <x:v>0.5</x:v>
      </x:c>
      <x:c r="F185" s="17" t="str">
        <x:v>成功取证后因数据库连接错误丢失整轮结果。 主要根因：runtime_database_connection_lost_after_queries 聚合：未完成。 证据对齐：多次取证后发生MySQL连接丢失，整轮失败且未用已有证据降级回答。</x:v>
      </x:c>
      <x:c r="G185" s="17" t="str">
        <x:v>{
  "review_source": "deep_audit_181_230.json",
  "route_ok": true,
  "time": "查询阶段完成但没有最终回答。",
  "entity": "已找到510880、515180与000015，路径基本正确。",
  "numeric": "查询结果未进入最终输出。",
  "aggregation": "未完成。",
  "evidence_alignment": "多次取证后发生MySQL连接丢失，整轮失败且未用已有证据降级回答。"
}</x:v>
      </x:c>
      <x:c r="H185" s="17" t="str">
        <x:v>查询阶段完成但没有最终回答。</x:v>
      </x:c>
      <x:c r="I185" s="17" t="str">
        <x:v>fund.quote, index.pricevalue</x:v>
      </x:c>
      <x:c r="J185" s="17" t="str">
        <x:v>查询结果未进入最终输出。</x:v>
      </x:c>
      <x:c r="K185" s="17" t="str">
        <x:v>已找到510880、515180与000015，路径基本正确。；查询阶段完成但没有最终回答。</x:v>
      </x:c>
      <x:c r="L185" s="17" t="str">
        <x:v>多次取证后发生MySQL连接丢失，整轮失败且未用已有证据降级回答。</x:v>
      </x:c>
      <x:c r="M185" s="17" t="str">
        <x:v>否</x:v>
      </x:c>
      <x:c r="N185" s="17" t="str"/>
    </x:row>
    <x:row r="186" ht="64" customHeight="1">
      <x:c r="A186" s="17" t="str">
        <x:v>BUS184</x:v>
      </x:c>
      <x:c r="B186" s="17" t="str">
        <x:v>同时查询创业板ETF行情和宁德时代当前涨跌幅。</x:v>
      </x:c>
      <x:c r="C186" s="17" t="str">
        <x:v>成功</x:v>
      </x:c>
      <x:c r="D186" s="17" t="str">
        <x:v>正确</x:v>
      </x:c>
      <x:c r="E186" s="19" t="n">
        <x:v>1</x:v>
      </x:c>
      <x:c r="F186" s="17" t="str">
        <x:v>仅有次要原因解释越界。 主要根因：none_core_answer_correct 聚合：走势分化成立。 证据对齐：核心数据完全一致，权重股整体带动的原因说明无证据。</x:v>
      </x:c>
      <x:c r="G186" s="17" t="str">
        <x:v>{
  "review_source": "deep_audit_181_230.json",
  "route_ok": true,
  "time": "两边均为2026-07-31。",
  "entity": "159915与300750正确。",
  "numeric": "ETF +2.9969%、宁德时代-1.6373%准确。",
  "aggregation": "走势分化成立。",
  "evidence_alignment": "核心数据完全一致，权重股整体带动的原因说明无证据。"
}</x:v>
      </x:c>
      <x:c r="H186" s="17" t="str">
        <x:v>两边均为2026-07-31。</x:v>
      </x:c>
      <x:c r="I186" s="17" t="str">
        <x:v>fund.quote, stock.quote</x:v>
      </x:c>
      <x:c r="J186" s="17" t="str">
        <x:v>ETF +2.9969%、宁德时代-1.6373%准确。</x:v>
      </x:c>
      <x:c r="K186" s="17" t="str">
        <x:v>159915与300750正确。；两边均为2026-07-31。</x:v>
      </x:c>
      <x:c r="L186" s="17" t="str">
        <x:v>核心数据完全一致，权重股整体带动的原因说明无证据。</x:v>
      </x:c>
      <x:c r="M186" s="17" t="str">
        <x:v>否</x:v>
      </x:c>
      <x:c r="N186" s="17" t="str">
        <x:v>创业板ETF和宁德时代上一个交易日（2026年7月31日，周五）行情如下：
**易方达创业板ETF（159915）** 当日收于 **3.368元**，上涨 **+3.00%**，成交额约 **150.89亿元**，表现强劲。
**宁德时代（300750）** 当日收于 **395.30元**，下跌 **-1.64%**，与创业板ETF形成明显分化。
两者走势相背：创业板ETF在权重股整体带动下录得可观涨幅，而宁德时代当日独自承压回调。</x:v>
      </x:c>
    </x:row>
    <x:row r="187" ht="64" customHeight="1">
      <x:c r="A187" s="17" t="str">
        <x:v>BUS185</x:v>
      </x:c>
      <x:c r="B187" s="17" t="str">
        <x:v>查询平安转债的债券代码、名称和发行人。</x:v>
      </x:c>
      <x:c r="C187" s="17" t="str">
        <x:v>成功</x:v>
      </x:c>
      <x:c r="D187" s="17" t="str">
        <x:v>正确</x:v>
      </x:c>
      <x:c r="E187" s="19" t="n">
        <x:v>1</x:v>
      </x:c>
      <x:c r="F187" s="17" t="str">
        <x:v>无。 主要根因：none 聚合：不涉及。 证据对齐：逐字段对齐唯一结果。</x:v>
      </x:c>
      <x:c r="G187" s="17" t="str">
        <x:v>{
  "review_source": "deep_audit_181_230.json",
  "route_ok": true,
  "time": "不涉及。",
  "entity": "113005.SH平安转债精确命中。",
  "numeric": "代码与发行人准确。",
  "aggregation": "不涉及。",
  "evidence_alignment": "逐字段对齐唯一结果。"
}</x:v>
      </x:c>
      <x:c r="H187" s="17" t="str">
        <x:v>不涉及。</x:v>
      </x:c>
      <x:c r="I187" s="17" t="str">
        <x:v>bond.basic_info</x:v>
      </x:c>
      <x:c r="J187" s="17" t="str">
        <x:v>代码与发行人准确。</x:v>
      </x:c>
      <x:c r="K187" s="17" t="str">
        <x:v>113005.SH平安转债精确命中。；不涉及。</x:v>
      </x:c>
      <x:c r="L187" s="17" t="str">
        <x:v>逐字段对齐唯一结果。</x:v>
      </x:c>
      <x:c r="M187" s="17" t="str">
        <x:v>否</x:v>
      </x:c>
      <x:c r="N187" s="17" t="str">
        <x:v>平安转债的信息如下：
- **债券代码**：113005.SH
- **债券名称**：平安转债
- **发行人**：中国平安保险(集团)股份有限公司</x:v>
      </x:c>
    </x:row>
    <x:row r="188" ht="64" customHeight="1">
      <x:c r="A188" s="17" t="str">
        <x:v>BUS186</x:v>
      </x:c>
      <x:c r="B188" s="17" t="str">
        <x:v>查询名称包含转债的债券代码和名称。</x:v>
      </x:c>
      <x:c r="C188" s="17" t="str">
        <x:v>成功</x:v>
      </x:c>
      <x:c r="D188" s="17" t="str">
        <x:v>部分正确</x:v>
      </x:c>
      <x:c r="E188" s="19" t="n">
        <x:v>1</x:v>
      </x:c>
      <x:c r="F188" s="17" t="str">
        <x:v>分页上限之外发生样例错位。 主要根因：pagination_cap_and_renderer_row_alignment_error 聚合：展示样例合理但不是完整列表。 证据对齐：漏掉100087水运转债，并把100096云化转债写成南化转债。</x:v>
      </x:c>
      <x:c r="G188" s="17" t="str">
        <x:v>{
  "review_source": "deep_audit_181_230.json",
  "route_ok": true,
  "time": "不涉及。",
  "entity": "名称like筛选生效。",
  "numeric": "恰好100行是查询上限，不能视为总量。",
  "aggregation": "展示样例合理但不是完整列表。",
  "evidence_alignment": "漏掉100087水运转债，并把100096云化转债写成南化转债。"
}</x:v>
      </x:c>
      <x:c r="H188" s="17" t="str">
        <x:v>不涉及。</x:v>
      </x:c>
      <x:c r="I188" s="17" t="str">
        <x:v>bond.basic_info</x:v>
      </x:c>
      <x:c r="J188" s="17" t="str">
        <x:v>恰好100行是查询上限，不能视为总量。</x:v>
      </x:c>
      <x:c r="K188" s="17" t="str">
        <x:v>名称like筛选生效。；不涉及。</x:v>
      </x:c>
      <x:c r="L188" s="17" t="str">
        <x:v>漏掉100087水运转债，并把100096云化转债写成南化转债。</x:v>
      </x:c>
      <x:c r="M188" s="17" t="str">
        <x:v>否</x:v>
      </x:c>
      <x:c r="N188" s="17" t="str">
        <x:v>查询到名称包含"转债"的债券共 **100 条**（受限于单次查询上限），以下是部分结果示例：
| 债券代码 | 债券简称 |
|---------|---------|
| 100001.SH | 南化转债 |
| 100009.SH | 机场转债 |
| 100016.SH | 民生转债 |
| 100096.SH | 南化转债 |
| 100117.SH | 西钢转债 |
| 100177.SH | 雅戈转债 |
| 100196.SH | 复星转债 |
| 100220.SH | 阳光转债 |
| 100236.SH | 桂冠转债 |
| 100567.SH | 山鹰转债 |
| ... | ... |
由于数据量较大（共 100 条），以上仅展示前 10 条样例。如果需要查看更多或全部列表，可以告诉我，我继续为你加载。</x:v>
      </x:c>
    </x:row>
    <x:row r="189" ht="64" customHeight="1">
      <x:c r="A189" s="17" t="str">
        <x:v>BUS187</x:v>
      </x:c>
      <x:c r="B189" s="17" t="str">
        <x:v>查询发行人为中国平安的债券。</x:v>
      </x:c>
      <x:c r="C189" s="17" t="str">
        <x:v>成功</x:v>
      </x:c>
      <x:c r="D189" s="17" t="str">
        <x:v>错误</x:v>
      </x:c>
      <x:c r="E189" s="19" t="n">
        <x:v>0.7</x:v>
      </x:c>
      <x:c r="F189" s="17" t="str">
        <x:v>简单金融筛选意图误分类。 主要根因：dispatch_intent_misclassification 聚合：无。 证据对齐：明确问题被判为catalog_browse/system_operation并无理由澄清。</x:v>
      </x:c>
      <x:c r="G189" s="17" t="str">
        <x:v>{
  "review_source": "deep_audit_181_230.json",
  "route_ok": false,
  "time": "未查询。",
  "entity": "未进入债券发行人筛选。",
  "numeric": "无。",
  "aggregation": "无。",
  "evidence_alignment": "明确问题被判为catalog_browse/system_operation并无理由澄清。"
}</x:v>
      </x:c>
      <x:c r="H189" s="17" t="str">
        <x:v>未查询。</x:v>
      </x:c>
      <x:c r="I189" s="17" t="str">
        <x:v>bond.basic_info</x:v>
      </x:c>
      <x:c r="J189" s="17" t="str">
        <x:v>无。</x:v>
      </x:c>
      <x:c r="K189" s="17" t="str">
        <x:v>未进入债券发行人筛选。；未查询。</x:v>
      </x:c>
      <x:c r="L189" s="17" t="str">
        <x:v>明确问题被判为catalog_browse/system_operation并无理由澄清。</x:v>
      </x:c>
      <x:c r="M189" s="17" t="str">
        <x:v>是</x:v>
      </x:c>
      <x:c r="N189" s="17" t="str">
        <x:v>已识别为自然语言请求，当前 agent = investment_analyst，route_type = clarify。
需要澄清: {"state_type": "clarification_state", "status": "needs_user_input", "missing_slots": ["task_focus"], "prompt": "请说明你更想做个股深度分析，还是热点/概念追踪。", "resume_token": "clarify_a18ac300ebfe422b", "slot_hints": {"task_focus": "请说明你更想做个股深度分析，还是热点/概念追踪。"}, "context_summary": {"task_type": "", "code": "", "name": ""}}</x:v>
      </x:c>
    </x:row>
    <x:row r="190" ht="64" customHeight="1">
      <x:c r="A190" s="17" t="str">
        <x:v>BUS188</x:v>
      </x:c>
      <x:c r="B190" s="17" t="str">
        <x:v>查询名称包含银行的债券列表。</x:v>
      </x:c>
      <x:c r="C190" s="17" t="str">
        <x:v>成功</x:v>
      </x:c>
      <x:c r="D190" s="17" t="str">
        <x:v>部分正确</x:v>
      </x:c>
      <x:c r="E190" s="19" t="n">
        <x:v>0.9</x:v>
      </x:c>
      <x:c r="F190" s="17" t="str">
        <x:v>帮助性扩展取代了主答案。 主要根因：answer_scope_drift_and_pagination_completeness_claim 聚合：语义从债券名称漂移到发行主体。 证据对齐：零结果对齐；扩张后的列表对齐但完整性不成立。</x:v>
      </x:c>
      <x:c r="G190" s="17" t="str">
        <x:v>{
  "review_source": "deep_audit_181_230.json",
  "route_ok": true,
  "time": "不涉及。",
  "entity": "字面名称筛选正确返回0，之后未经确认改查发行人。",
  "numeric": "发行人查询恰好50行等于limit，不能证明全量。",
  "aggregation": "语义从债券名称漂移到发行主体。",
  "evidence_alignment": "零结果对齐；扩张后的列表对齐但完整性不成立。"
}</x:v>
      </x:c>
      <x:c r="H190" s="17" t="str">
        <x:v>不涉及。</x:v>
      </x:c>
      <x:c r="I190" s="17" t="str">
        <x:v>bond.basic_info</x:v>
      </x:c>
      <x:c r="J190" s="17" t="str">
        <x:v>发行人查询恰好50行等于limit，不能证明全量。</x:v>
      </x:c>
      <x:c r="K190" s="17" t="str">
        <x:v>字面名称筛选正确返回0，之后未经确认改查发行人。；不涉及。</x:v>
      </x:c>
      <x:c r="L190" s="17" t="str">
        <x:v>零结果对齐；扩张后的列表对齐但完整性不成立。</x:v>
      </x:c>
      <x:c r="M190" s="17" t="str">
        <x:v>否</x:v>
      </x:c>
      <x:c r="N190" s="17" t="str">
        <x:v>查询结果如下：
**名称（债券简称）中直接包含"银行"的债券列表为空**。当前数据源中，债券简称的命名规则（如"国开1301"、"农发1901"、"进出2101"）通常不会直接出现"银行"二字，因此没有命中。
---
不过，**由银行发行的债券**共有 **50 只**（数据源返回的全部结果），主要分为以下几类：
**政策性银行债（国家开发银行）—— 占绝大多数**
国开 1301–1302、1401、1701–1702、1801–1805、1901–1902、2001–2010、2101–2105、2201–2202、2301–2304、19G1、开贴 2001–2002 等（沪市+深市合计约 38 只）
**政策性银行债（中国进出口银行）**
进出 1911、1912、2101、2103、2201（共 5 只）
**政策性银行债（中国农业发展银行）**
农发 1901–1902、2001–2002、2301（共 5 只）
**商业银行可转债**
民生转债（100016.SH）—— 发行人：中国民生银行股份有限公司
---
如果你关心的是"银行发行的债券"，以上 50 只就是当前数据源中发行主体为银行的全部债券记录。如果需要进一步区分期限、利率或交易信息，可以继续查询。</x:v>
      </x:c>
    </x:row>
    <x:row r="191" ht="64" customHeight="1">
      <x:c r="A191" s="17" t="str">
        <x:v>BUS189</x:v>
      </x:c>
      <x:c r="B191" s="17" t="str">
        <x:v>查询名称包含可转债的债券代码和发行人。</x:v>
      </x:c>
      <x:c r="C191" s="17" t="str">
        <x:v>成功</x:v>
      </x:c>
      <x:c r="D191" s="17" t="str">
        <x:v>正确</x:v>
      </x:c>
      <x:c r="E191" s="19" t="n">
        <x:v>1</x:v>
      </x:c>
      <x:c r="F191" s="17" t="str">
        <x:v>发行人背景说明不是本次查询证据，但不影响核心答案。 主要根因：none_core_answer_correct 聚合：唯一结果且返回数小于limit。 证据对齐：核心表格完全一致。</x:v>
      </x:c>
      <x:c r="G191" s="17" t="str">
        <x:v>{
  "review_source": "deep_audit_181_230.json",
  "route_ok": true,
  "time": "不涉及。",
  "entity": "命中瑞可转债。",
  "numeric": "118060.SH与发行人正确。",
  "aggregation": "唯一结果且返回数小于limit。",
  "evidence_alignment": "核心表格完全一致。"
}</x:v>
      </x:c>
      <x:c r="H191" s="17" t="str">
        <x:v>不涉及。</x:v>
      </x:c>
      <x:c r="I191" s="17" t="str">
        <x:v>bond.basic_info</x:v>
      </x:c>
      <x:c r="J191" s="17" t="str">
        <x:v>118060.SH与发行人正确。</x:v>
      </x:c>
      <x:c r="K191" s="17" t="str">
        <x:v>命中瑞可转债。；不涉及。</x:v>
      </x:c>
      <x:c r="L191" s="17" t="str">
        <x:v>核心表格完全一致。</x:v>
      </x:c>
      <x:c r="M191" s="17" t="str">
        <x:v>否</x:v>
      </x:c>
      <x:c r="N191" s="17" t="str">
        <x:v>查询结果如下：
| 债券代码 | 债券简称 | 发行人 |
|:---|:---|:---|
| **118060.SH** | **瑞可转债** | **苏州瑞可达连接系统股份有限公司** |
当前数据源中，名称包含"可转债"的债券仅有这一只——**瑞可转债**（118060.SH），发行人为苏州瑞可达连接系统股份有限公司，是一家专注于连接器产品的上市公司。</x:v>
      </x:c>
    </x:row>
    <x:row r="192" ht="64" customHeight="1">
      <x:c r="A192" s="17" t="str">
        <x:v>BUS190</x:v>
      </x:c>
      <x:c r="B192" s="17" t="str">
        <x:v>查询发行人包含万科的债券。</x:v>
      </x:c>
      <x:c r="C192" s="17" t="str">
        <x:v>成功</x:v>
      </x:c>
      <x:c r="D192" s="17" t="str">
        <x:v>正确</x:v>
      </x:c>
      <x:c r="E192" s="19" t="n">
        <x:v>1</x:v>
      </x:c>
      <x:c r="F192" s="17" t="str">
        <x:v>仅表格排版较差。 主要根因：none 聚合：35小于limit100，可视作本次全量。 证据对齐：全部对齐完整结果。</x:v>
      </x:c>
      <x:c r="G192" s="17" t="str">
        <x:v>{
  "review_source": "deep_audit_181_230.json",
  "route_ok": true,
  "time": "不涉及。",
  "entity": "35行均为万科企业股份有限公司。",
  "numeric": "35只及代码名称正确。",
  "aggregation": "35小于limit100，可视作本次全量。",
  "evidence_alignment": "全部对齐完整结果。"
}</x:v>
      </x:c>
      <x:c r="H192" s="17" t="str">
        <x:v>不涉及。</x:v>
      </x:c>
      <x:c r="I192" s="17" t="str">
        <x:v>bond.basic_info</x:v>
      </x:c>
      <x:c r="J192" s="17" t="str">
        <x:v>35只及代码名称正确。</x:v>
      </x:c>
      <x:c r="K192" s="17" t="str">
        <x:v>35行均为万科企业股份有限公司。；不涉及。</x:v>
      </x:c>
      <x:c r="L192" s="17" t="str">
        <x:v>全部对齐完整结果。</x:v>
      </x:c>
      <x:c r="M192" s="17" t="str">
        <x:v>否</x:v>
      </x:c>
      <x:c r="N192" s="17" t="str">
        <x:v>查询到发行人 **万科企业股份有限公司** 的债券共 **35 只**，全部在深交所上市。按发行年份和类型整理如下：
**可转债**
| 代码 | 简称 |
|------|------|
| 125002.SZ | 万科转债 |
| 126002.SZ | 万科转2 |
**2008 年**
| 代码 | 简称 |
|------|------|
| 112005.SZ | 08万科G1 |
| 112006.SZ | 08万科G2 |
**2015 年**
| 112285.SZ | 15万科01 |
**2017 年**
| 112546.SZ | 17万科01 |
| 112561.SZ | 17万科02 |
**2018 年**
| 112742.SZ | 18万科01 |
| 112784.SZ | 18万科02 |
**2019 年**
| 112844.SZ | 19万科01 |
| 112976.SZ | 19万科02 |
**2020 年**
| 149056.SZ | 20万科01 | 149141.SZ | 20万科05 |
| 149057.SZ | 20万科02 | 149142.SZ | 20万科06 |
| 149123.SZ | 20万科03 | 149296.SZ | 20万科07 |
| 149124.SZ | 20万科04 | 149297.SZ | 20万科08 |
**2021 年**
| 149357.SZ | 21万科01 | 149567.SZ | 21万科05 |
| 149358.SZ | H1万科02 | 149568.SZ | H1万科06 |
| 149477.SZ | 21万科03 |  |  |
| 149478.SZ | H1万科04 |  |  |
**2022 年**
| 149814.SZ | 22万科01 | 148099.SZ | 22万科07 |
| 149815.SZ | H2万科02 | 148100.SZ | 22万科08 |
| 149930.SZ | 22万科03 | 149975.SZ | 22万科05 |
| 149931.SZ | H2万科04 | 149976.SZ | H2万科06 |
**2023 年**
| 148380.SZ | H3万科01 |
| 148381.SZ | 23万科02 |
如需进一步查看某只债券的行情、到期收益率或更多信息，可以告诉我。</x:v>
      </x:c>
    </x:row>
    <x:row r="193" ht="64" customHeight="1">
      <x:c r="A193" s="17" t="str">
        <x:v>BUS191</x:v>
      </x:c>
      <x:c r="B193" s="17" t="str">
        <x:v>平安转债当前价格、涨跌幅和成交额是多少？</x:v>
      </x:c>
      <x:c r="C193" s="17" t="str">
        <x:v>成功</x:v>
      </x:c>
      <x:c r="D193" s="17" t="str">
        <x:v>证据不足</x:v>
      </x:c>
      <x:c r="E193" s="19" t="n">
        <x:v>0.95</x:v>
      </x:c>
      <x:c r="F193" s="17" t="str">
        <x:v>数据不足后的生命周期推断越界。 主要根因：data_unavailable_and_unsupported_lifecycle_inference 聚合：不涉及。 证据对齐：无当前行情成立；到期退市、转股兑付原因没有证据。</x:v>
      </x:c>
      <x:c r="G193" s="17" t="str">
        <x:v>{
  "review_source": "deep_audit_181_230.json",
  "route_ok": true,
  "time": "最近交易日行情返回0行。",
  "entity": "平安转债代码正确。",
  "numeric": "无当前价格、涨幅或成交额。",
  "aggregation": "不涉及。",
  "evidence_alignment": "无当前行情成立；到期退市、转股兑付原因没有证据。"
}</x:v>
      </x:c>
      <x:c r="H193" s="17" t="str">
        <x:v>最近交易日行情返回0行。</x:v>
      </x:c>
      <x:c r="I193" s="17" t="str">
        <x:v>bond.quote</x:v>
      </x:c>
      <x:c r="J193" s="17" t="str">
        <x:v>无当前价格、涨幅或成交额。</x:v>
      </x:c>
      <x:c r="K193" s="17" t="str">
        <x:v>平安转债代码正确。；最近交易日行情返回0行。</x:v>
      </x:c>
      <x:c r="L193" s="17" t="str">
        <x:v>无当前行情成立；到期退市、转股兑付原因没有证据。</x:v>
      </x:c>
      <x:c r="M193" s="17" t="str">
        <x:v>否</x:v>
      </x:c>
      <x:c r="N193" s="17" t="str">
        <x:v>平安转债（113005.SH）是一只已到期退市的历史可转债，当前数据源中未查到该债券的行情数据。据我所知，该转债早已完成转股或到期兑付，不再有二级市场交易，因此没有当前价格、涨跌幅和成交额可供查询。</x:v>
      </x:c>
    </x:row>
    <x:row r="194" ht="64" customHeight="1">
      <x:c r="A194" s="17" t="str">
        <x:v>BUS192</x:v>
      </x:c>
      <x:c r="B194" s="17" t="str">
        <x:v>今天涨幅最高的债券前20名。</x:v>
      </x:c>
      <x:c r="C194" s="17" t="str">
        <x:v>成功</x:v>
      </x:c>
      <x:c r="D194" s="17" t="str">
        <x:v>部分正确</x:v>
      </x:c>
      <x:c r="E194" s="19" t="n">
        <x:v>1</x:v>
      </x:c>
      <x:c r="F194" s="17" t="str">
        <x:v>Renderer擅自做信用或价格属性分类。 主要根因：final_renderer_unsupported_classification 聚合：服务端按pct降序取20正确。 证据对齐：表格准确，但前7名都是问题债或低价债的分类无状态证据且有反例。</x:v>
      </x:c>
      <x:c r="G194" s="17" t="str">
        <x:v>{
  "review_source": "deep_audit_181_230.json",
  "route_ok": true,
  "time": "正确落到2026-07-31。",
  "entity": "全债券市场Top20。",
  "numeric": "排名、涨幅、价格与金额换算准确。",
  "aggregation": "服务端按pct降序取20正确。",
  "evidence_alignment": "表格准确，但前7名都是问题债或低价债的分类无状态证据且有反例。"
}</x:v>
      </x:c>
      <x:c r="H194" s="17" t="str">
        <x:v>正确落到2026-07-31。</x:v>
      </x:c>
      <x:c r="I194" s="17" t="str">
        <x:v>bond.quote</x:v>
      </x:c>
      <x:c r="J194" s="17" t="str">
        <x:v>排名、涨幅、价格与金额换算准确。</x:v>
      </x:c>
      <x:c r="K194" s="17" t="str">
        <x:v>全债券市场Top20。；正确落到2026-07-31。</x:v>
      </x:c>
      <x:c r="L194" s="17" t="str">
        <x:v>表格准确，但前7名都是问题债或低价债的分类无状态证据且有反例。</x:v>
      </x:c>
      <x:c r="M194" s="17" t="str">
        <x:v>否</x:v>
      </x:c>
      <x:c r="N194" s="17" t="str">
        <x:v>今日（2026-07-31，上一个交易日）债券市场涨幅前20名如下：
| 排名 | 债券代码 | 债券名称 | 涨跌幅(%) | 最新价(元) | 成交额(元) |
|:---:|:---:|:---:|:---:|:---:|:---:|
| 1 | 114205.SZ | H7泰禾01 | **865.63** | 3.40 | 153万 |
| 2 | 114219.SZ | H7泰禾02 | **580.00** | 3.40 | 153万 |
| 3 | 149976.SZ | H2万科06 | **60.04** | 72.02 | 191万 |
| 4 | 149931.SZ | H2万科04 | **58.20** | 72.66 | 243万 |
| 5 | 113707.SH | 科博转债 | **57.30** | 157.30 | 6,127万 |
| 6 | 144638.SZ | 启悦13次 | **28.05** | 40.98 | 257万 |
| 7 | 112875.SZ | H9龙控01 | **21.66** | 9.55 | 79万 |
| 8 | 123261.SZ | 普联转债 | **20.00** | 201.60 | 27.9亿 |
| 9 | 123273.SZ | 三江转债 | **19.87** | 335.00 | 33.9亿 |
| 10 | 118071.SH | 华峰转债 | **11.28** | 243.43 | 27.5亿 |
| 11 | 149815.SZ | H2万科02 | **9.69** | 68.80 | 1,919万 |
| 12 | 127096.SZ | 泰坦转债 | **9.54** | 488.00 | 32.6亿 |
| 13 | 123272.SZ | 中汽转债 | **8.73** | 180.50 | 9.1亿 |
| 14 | 111012.SH | 福新转债 | **8.51** | 329.27 | 17.3亿 |
| 15 | 123118.SZ | 惠城转债 | **7.84** | 1,040.55 | 26.2亿 |
| 16 | 123131.SZ | 奥飞转债 | **7.78** | 315.58 | 21.9亿 |
| 17 | 123207.SZ | 冠中转债 | **7.72** | 201.65 | 10.7亿 |
| 18 | 118064.SH | 联瑞转债 | **7.59** | 307.15 | 16.2亿 |
| 19 | 113673.SH | 岱美转债 | **6.77** | 197.73 | 3.9亿 |
| 20 | 127080.SZ | 声迅转债 | **6.14** | 248.35 | 10.5亿 |
**整体特征：** 涨幅榜明显分为两类——前7名为**问题债/低价债**（H7泰禾、H2万科、H9龙控等，价格在3～72元区间），这些债券在极低价格基础上出现超大幅度反弹，但成交额较小；而第8名之后主要是**可转债**，普联、三江、华峰、泰坦等转债涨幅在6%～20%之间，成交额普遍在10亿以上，流动性远好于前列问题债。</x:v>
      </x:c>
    </x:row>
    <x:row r="195" ht="64" customHeight="1">
      <x:c r="A195" s="17" t="str">
        <x:v>BUS193</x:v>
      </x:c>
      <x:c r="B195" s="17" t="str">
        <x:v>筛选今天成交额超过5000万元且上涨的债券。</x:v>
      </x:c>
      <x:c r="C195" s="17" t="str">
        <x:v>成功</x:v>
      </x:c>
      <x:c r="D195" s="17" t="str">
        <x:v>部分正确</x:v>
      </x:c>
      <x:c r="E195" s="19" t="n">
        <x:v>1</x:v>
      </x:c>
      <x:c r="F195" s="17" t="str">
        <x:v>把limit返回数当总匹配数。 主要根因：result_limit_presented_as_total 聚合：擅自按成交额取前20，用户未要求Top20。 证据对齐：sample_complete=false，不能声称共有20只。</x:v>
      </x:c>
      <x:c r="G195" s="17" t="str">
        <x:v>{
  "review_source": "deep_audit_181_230.json",
  "route_ok": true,
  "time": "返回行均为2026-07-31。",
  "entity": "筛选条件正确。",
  "numeric": "展示20行数值准确。",
  "aggregation": "擅自按成交额取前20，用户未要求Top20。",
  "evidence_alignment": "sample_complete=false，不能声称共有20只。"
}</x:v>
      </x:c>
      <x:c r="H195" s="17" t="str">
        <x:v>返回行均为2026-07-31。</x:v>
      </x:c>
      <x:c r="I195" s="17" t="str">
        <x:v>bond.quote</x:v>
      </x:c>
      <x:c r="J195" s="17" t="str">
        <x:v>展示20行数值准确。</x:v>
      </x:c>
      <x:c r="K195" s="17" t="str">
        <x:v>筛选条件正确。；返回行均为2026-07-31。</x:v>
      </x:c>
      <x:c r="L195" s="17" t="str">
        <x:v>sample_complete=false，不能声称共有20只。</x:v>
      </x:c>
      <x:c r="M195" s="17" t="str">
        <x:v>否</x:v>
      </x:c>
      <x:c r="N195" s="17" t="str">
        <x:v>数据已查到。今天（8月2日周日）非交易日，因此取最近交易日 **7月31日（周五）** 的行情。共有 **20只债券** 满足成交额超5000万元且上涨的条件，按成交额排序如下：
---
**国债（利率债）—— 成交额最大但涨幅极低**
| 债券 | 涨幅 | 成交额 |
|------|------|--------|
| 26国债06 | +0.03% | 226.28亿 |
| 26国债08 | +0.08% | 189.10亿 |
| 26国债10 | +0.08% | 188.53亿 |
| 26国债13 | +0.02% | 141.02亿 |
| 26国债03 | +0.09% | 134.84亿 |
| 26国债05 | +0.08% | 128.44亿 |
| 26国债11 | +0.02% | 93.12亿 |
| 26国债04 | +0.003% | 82.84亿 |
| 26国债01 | +0.02% | 52.14亿 |
| 26国债09 | +0.01% | 31.82亿 |
| 26国债14 | +0.01% | 26.97亿 |
**国债逆回购**
| 代码 | 涨幅 | 成交额 |
|------|------|--------|
| GC004（204004） | +0.80% | 134.39亿 |
**可转债（涨幅明显、成交活跃）**
| 转债 | 涨幅 | 成交额 |
|------|------|--------|
| 普联转债 | **+20.00%** | 2.79亿 |
| 三江转债 | **+19.87%** | 3.39亿 |
| 华峰转债 | **+11.28%** | 2.75亿 |
| 泰坦转债 | **+9.54%** | 3.26亿 |
| 科蓝转债 | **+5.68%** | 4.36亿 |
| 正帆转债 | **+2.91%** | 3.88亿 |
| 25特国02 | +0.52% | 3.45亿 |
| 26特国02 | +0.47% | 2.76亿 |
---
**小结：** 条件最宽松（成交额门槛仅5000万），所以国债几乎全部上榜，但涨幅普遍在0.1%以内，属于正常波动。真正的亮点在**可转债**——普联转债涨停（+20%）、三江转债接近涨停（+19.87%）、华峰和泰坦涨幅也超9%，且成交额均在2.5亿以上，是当日最活跃的上涨品种。</x:v>
      </x:c>
    </x:row>
    <x:row r="196" ht="64" customHeight="1">
      <x:c r="A196" s="17" t="str">
        <x:v>BUS194</x:v>
      </x:c>
      <x:c r="B196" s="17" t="str">
        <x:v>查询平安转债最近10个交易日收盘价和涨跌幅。</x:v>
      </x:c>
      <x:c r="C196" s="17" t="str">
        <x:v>成功</x:v>
      </x:c>
      <x:c r="D196" s="17" t="str">
        <x:v>证据不足</x:v>
      </x:c>
      <x:c r="E196" s="19" t="n">
        <x:v>0.9545454545454546</x:v>
      </x:c>
      <x:c r="F196" s="17" t="str">
        <x:v>仅2次金融查询仍耗时97.8秒，并补写外部事实。 主要根因：data_unavailable_and_unsupported_lifecycle_inference 聚合：无法形成窗口。 证据对齐：零行对齐；具体发行、到期、转股或赎回事实均无证据。</x:v>
      </x:c>
      <x:c r="G196" s="17" t="str">
        <x:v>{
  "review_source": "deep_audit_181_230.json",
  "route_ok": true,
  "time": "最近10日查询0行。",
  "entity": "平安转债正确。",
  "numeric": "无可回答数据。",
  "aggregation": "无法形成窗口。",
  "evidence_alignment": "零行对齐；具体发行、到期、转股或赎回事实均无证据。"
}</x:v>
      </x:c>
      <x:c r="H196" s="17" t="str">
        <x:v>最近10日查询0行。</x:v>
      </x:c>
      <x:c r="I196" s="17" t="str">
        <x:v>bond.quote</x:v>
      </x:c>
      <x:c r="J196" s="17" t="str">
        <x:v>无可回答数据。</x:v>
      </x:c>
      <x:c r="K196" s="17" t="str">
        <x:v>平安转债正确。；最近10日查询0行。</x:v>
      </x:c>
      <x:c r="L196" s="17" t="str">
        <x:v>零行对齐；具体发行、到期、转股或赎回事实均无证据。</x:v>
      </x:c>
      <x:c r="M196" s="17" t="str">
        <x:v>否</x:v>
      </x:c>
      <x:c r="N196" s="17" t="str">
        <x:v>查询结果显示平安转债（113005.SH）的行情数据为零条记录。这是因为该债券已于2015年到期退市，目前没有活跃交易，因此无法获取最近10个交易日的收盘价和涨跌幅数据。
**简要说明：**
- **债券名称**：平安转债（113005.SH）
- **发行主体**：中国平安保险(集团)股份有限公司
- **状态**：该可转债于2013年发行，2015年已到期并完成转股/赎回，目前已退市，不再有交易行情。</x:v>
      </x:c>
    </x:row>
    <x:row r="197" ht="64" customHeight="1">
      <x:c r="A197" s="17" t="str">
        <x:v>BUS195</x:v>
      </x:c>
      <x:c r="B197" s="17" t="str">
        <x:v>过去20个交易日跌幅最大的债券前10名。</x:v>
      </x:c>
      <x:c r="C197" s="17" t="str">
        <x:v>成功</x:v>
      </x:c>
      <x:c r="D197" s="17" t="str">
        <x:v>部分正确</x:v>
      </x:c>
      <x:c r="E197" s="19" t="n">
        <x:v>1</x:v>
      </x:c>
      <x:c r="F197" s="17" t="str">
        <x:v>Renderer添加无证据因果说明。 主要根因：final_renderer_unsupported_causal_inference 聚合：kd_pct_sum符合旧口径。 证据对齐：榜单对齐；弱资质、ABS或违约及悲观兑付归因均无证据。</x:v>
      </x:c>
      <x:c r="G197" s="17" t="str">
        <x:v>{
  "review_source": "deep_audit_181_230.json",
  "route_ok": true,
  "time": "最近20个完整交易日窗口正确。",
  "entity": "全债券市场。",
  "numeric": "前10名与累计pct之和准确。",
  "aggregation": "kd_pct_sum符合旧口径。",
  "evidence_alignment": "榜单对齐；弱资质、ABS或违约及悲观兑付归因均无证据。"
}</x:v>
      </x:c>
      <x:c r="H197" s="17" t="str">
        <x:v>最近20个完整交易日窗口正确。</x:v>
      </x:c>
      <x:c r="I197" s="17" t="str">
        <x:v>bond.quote</x:v>
      </x:c>
      <x:c r="J197" s="17" t="str">
        <x:v>前10名与累计pct之和准确。</x:v>
      </x:c>
      <x:c r="K197" s="17" t="str">
        <x:v>全债券市场。；最近20个完整交易日窗口正确。</x:v>
      </x:c>
      <x:c r="L197" s="17" t="str">
        <x:v>榜单对齐；弱资质、ABS或违约及悲观兑付归因均无证据。</x:v>
      </x:c>
      <x:c r="M197" s="17" t="str">
        <x:v>否</x:v>
      </x:c>
      <x:c r="N197" s="17" t="str">
        <x:v>过去20个交易日跌幅最大的前10只债券如下：
| 排名 | 代码 | 名称 | 20日累计跌幅 |
|:---:|:---:|:---:|:---:|
| 1 | 117063.SZ | H6神雾E1 | -99.99% |
| 2 | 146991.SZ | 徐保29优 | -98.47% |
| 3 | 146938.SZ | 诚远2A1 | -97.31% |
| 4 | 146364.SZ | 鲲鹏25A2 | -96.99% |
| 5 | 144714.SZ | 诚丰2期优先A2 | -95.77% |
| 6 | 149208.SZ | H0阳城03 | -94.82% |
| 7 | 144237.SZ | 熹焱03A3 | -93.66% |
| 8 | 500506.SZ | 广10优1 | -91.47% |
| 9 | 146541.SZ | 25YD2HA1 | -91.37% |
| 10 | 144479.SZ | 玮盈3次 | -89.87% |
这些债券的跌幅极为剧烈，前10名跌幅均在 **-89% 以上**，其中 **H6神雾E1**（神雾集团相关债券）以接近 **-99.99%** 的跌幅居首，**H0阳城03**（阳光城相关）跌幅也超过 **-94%**。从名称来看，这些多为信用资质较弱的公司债、资产支持证券（ABS）或已违约债券，价格大幅下跌反映了市场对其兑付前景的悲观预期。</x:v>
      </x:c>
    </x:row>
    <x:row r="198" ht="64" customHeight="1">
      <x:c r="A198" s="17" t="str">
        <x:v>BUS196</x:v>
      </x:c>
      <x:c r="B198" s="17" t="str">
        <x:v>查询当前换手率最高的债券前20名。</x:v>
      </x:c>
      <x:c r="C198" s="17" t="str">
        <x:v>成功</x:v>
      </x:c>
      <x:c r="D198" s="17" t="str">
        <x:v>错误</x:v>
      </x:c>
      <x:c r="E198" s="19" t="n">
        <x:v>1</x:v>
      </x:c>
      <x:c r="F198" s="17" t="str">
        <x:v>排名前置过滤和空集解释均错误。 主要根因：zero_excluding_prefilter_and_overgeneralized_no_data 聚合：先过滤turn_ratio&gt;0会排除零值，不能证明全市场最高Top20为空。 证据对齐：只能证明正换手率空集，却声称视图没有任何债券行情。</x:v>
      </x:c>
      <x:c r="G198" s="17" t="str">
        <x:v>{
  "review_source": "deep_audit_181_230.json",
  "route_ok": true,
  "time": "实时和最近完整交易日都尝试。",
  "entity": "全债券市场。",
  "numeric": "没有输出排名。",
  "aggregation": "先过滤turn_ratio&gt;0会排除零值，不能证明全市场最高Top20为空。",
  "evidence_alignment": "只能证明正换手率空集，却声称视图没有任何债券行情。"
}</x:v>
      </x:c>
      <x:c r="H198" s="17" t="str">
        <x:v>实时和最近完整交易日都尝试。</x:v>
      </x:c>
      <x:c r="I198" s="17" t="str">
        <x:v>bond.quote</x:v>
      </x:c>
      <x:c r="J198" s="17" t="str">
        <x:v>没有输出排名。</x:v>
      </x:c>
      <x:c r="K198" s="17" t="str">
        <x:v>全债券市场。；实时和最近完整交易日都尝试。</x:v>
      </x:c>
      <x:c r="L198" s="17" t="str">
        <x:v>只能证明正换手率空集，却声称视图没有任何债券行情。</x:v>
      </x:c>
      <x:c r="M198" s="17" t="str">
        <x:v>否</x:v>
      </x:c>
      <x:c r="N198" s="17" t="str">
        <x:v>当前数据源中未查询到债券的换手率记录。无论是实时盘中数据还是上一个交易日（2026-07-31）的历史数据，均未返回任何债券行情记录，因此无法提供换手率最高的债券排名。
这可能是因为当前数据源暂未覆盖债券品种的行情数据（含换手率字段）。</x:v>
      </x:c>
    </x:row>
    <x:row r="199" ht="64" customHeight="1">
      <x:c r="A199" s="17" t="str">
        <x:v>BUS197</x:v>
      </x:c>
      <x:c r="B199" s="17" t="str">
        <x:v>比较平安转债最近20个交易日累计涨幅和当前成交额。</x:v>
      </x:c>
      <x:c r="C199" s="17" t="str">
        <x:v>成功</x:v>
      </x:c>
      <x:c r="D199" s="17" t="str">
        <x:v>证据不足</x:v>
      </x:c>
      <x:c r="E199" s="19" t="n">
        <x:v>0.9545454545454546</x:v>
      </x:c>
      <x:c r="F199" s="17" t="str">
        <x:v>把数据不可得解释为确定的退市原因。 主要根因：data_unavailable_and_unsupported_lifecycle_inference 聚合：无法比较。 证据对齐：无近期行情成立，生命周期原因和替代债券建议无证据。</x:v>
      </x:c>
      <x:c r="G199" s="17" t="str">
        <x:v>{
  "review_source": "deep_audit_181_230.json",
  "route_ok": true,
  "time": "20日窗口与最近交易日都已尝试。",
  "entity": "最终使用正确的113005.SH。",
  "numeric": "两侧均0行。",
  "aggregation": "无法比较。",
  "evidence_alignment": "无近期行情成立，生命周期原因和替代债券建议无证据。"
}</x:v>
      </x:c>
      <x:c r="H199" s="17" t="str">
        <x:v>20日窗口与最近交易日都已尝试。</x:v>
      </x:c>
      <x:c r="I199" s="17" t="str">
        <x:v>bond.quote</x:v>
      </x:c>
      <x:c r="J199" s="17" t="str">
        <x:v>两侧均0行。</x:v>
      </x:c>
      <x:c r="K199" s="17" t="str">
        <x:v>最终使用正确的113005.SH。；20日窗口与最近交易日都已尝试。</x:v>
      </x:c>
      <x:c r="L199" s="17" t="str">
        <x:v>无近期行情成立，生命周期原因和替代债券建议无证据。</x:v>
      </x:c>
      <x:c r="M199" s="17" t="str">
        <x:v>否</x:v>
      </x:c>
      <x:c r="N199" s="17" t="str">
        <x:v>平安转债（113005.SH）是由中国平安保险（集团）股份有限公司发行的可转债，目前已到期退市，数据源中并无其近期的行情记录，因此无法计算出最近20个交易日的累计涨幅和当前成交额。
如果你指的是**平安银行**目前仍在交易的可转债（如平银转债等），或者想了解其他平安系债券，可以告诉我具体名称，我帮你查询。</x:v>
      </x:c>
    </x:row>
    <x:row r="200" ht="64" customHeight="1">
      <x:c r="A200" s="17" t="str">
        <x:v>BUS198</x:v>
      </x:c>
      <x:c r="B200" s="17" t="str">
        <x:v>筛选近10个交易日平均成交额最高的债券前20名。</x:v>
      </x:c>
      <x:c r="C200" s="17" t="str">
        <x:v>成功</x:v>
      </x:c>
      <x:c r="D200" s="17" t="str">
        <x:v>正确</x:v>
      </x:c>
      <x:c r="E200" s="19" t="n">
        <x:v>0.9545454545454546</x:v>
      </x:c>
      <x:c r="F200" s="17" t="str">
        <x:v>名称补齐未来自本次证据，但映射稳定。 主要根因：none_core_answer_correct 聚合：服务端K日均值和排序正确。 证据对齐：数值完全对齐，部分逆回购名称由代码常识补齐。</x:v>
      </x:c>
      <x:c r="G200" s="17" t="str">
        <x:v>{
  "review_source": "deep_audit_181_230.json",
  "route_ok": true,
  "time": "最近10个完整交易日。",
  "entity": "当前债券视图包含交易所逆回购品种。",
  "numeric": "Top20与元到亿元换算准确。",
  "aggregation": "服务端K日均值和排序正确。",
  "evidence_alignment": "数值完全对齐，部分逆回购名称由代码常识补齐。"
}</x:v>
      </x:c>
      <x:c r="H200" s="17" t="str">
        <x:v>最近10个完整交易日。</x:v>
      </x:c>
      <x:c r="I200" s="17" t="str">
        <x:v>bond.quote</x:v>
      </x:c>
      <x:c r="J200" s="17" t="str">
        <x:v>Top20与元到亿元换算准确。</x:v>
      </x:c>
      <x:c r="K200" s="17" t="str">
        <x:v>当前债券视图包含交易所逆回购品种。；最近10个完整交易日。</x:v>
      </x:c>
      <x:c r="L200" s="17" t="str">
        <x:v>数值完全对齐，部分逆回购名称由代码常识补齐。</x:v>
      </x:c>
      <x:c r="M200" s="17" t="str">
        <x:v>否</x:v>
      </x:c>
      <x:c r="N200" s="17" t="str">
        <x:v>以下是近10个交易日平均成交额最高的前20只债券（单位已换算为亿元）：
| 排名 | 代码 | 名称 | 近10日均成交额（亿元） |
|:---:|:---:|:---:|:---:|
| 1 | 204001.SH | 上交所1天逆回购 | 2,044.18 |
| 2 | 131810.SZ | 深交所1天逆回购 | 285.14 |
| 3 | 204007.SH | 上交所7天逆回购 | 189.79 |
| 4 | 204014.SH | 上交所14天逆回购 | 25.11 |
| 5 | 204002.SH | 上交所2天逆回购 | 18.37 |
| 6 | 131801.SZ | 深交所7天逆回购 | 17.44 |
| 7 | 019832.SH | 26国债06 | 15.28 |
| 8 | 204004.SH | 上交所4天逆回购 | 12.97 |
| 9 | 204003.SH | 上交所3天逆回购 | 12.89 |
| 10 | 019829.SH | 26国债03 | 11.45 |
| 11 | 019845.SH | 26国债13 | 9.06 |
| 12 | 019839.SH | 26国债10 | 8.54 |
| 13 | 019831.SH | 26国债05 | 6.74 |
| 14 | 019834.SH | 26国债08 | 6.16 |
| 15 | 019840.SH | 26国债11 | 6.07 |
| 16 | 019830.SH | 26国债04 | 5.98 |
| 17 | 019827.SH | 26国债01 | 5.63 |
| 18 | 019797.SH | 25国债24 | 5.56 |
| 19 | 204028.SH | 上交所28天逆回购 | 5.19 |
| 20 | 019835.SH | 26国债09 | 4.31 |
**简要解读：**
- **逆回购品种占据绝对主导**，尤其是 **204001（GC001，上交所1天期逆回购）** 日均成交额高达 **2,044亿元**，遥遥领先，是第二名 **R-001（深交所1天逆回购）** 的7倍以上，反映出短期资金市场上逆回购是流动性最强的交易品种。
- **国债方面**，2026年发行的多期国债（26国债系列）上榜，日均成交额在 **4.3亿～15.3亿元** 之间，流动性较好的以26国债06、26国债03为代表。
- 数据以近10个交易日为窗口（截至最近一个交易日），成交额单位为元，已换算为亿元展示。</x:v>
      </x:c>
    </x:row>
    <x:row r="201" ht="64" customHeight="1">
      <x:c r="A201" s="17" t="str">
        <x:v>BUS199</x:v>
      </x:c>
      <x:c r="B201" s="17" t="str">
        <x:v>查询今天涨幅超过3%且成交额超过1亿元的债券。</x:v>
      </x:c>
      <x:c r="C201" s="17" t="str">
        <x:v>成功</x:v>
      </x:c>
      <x:c r="D201" s="17" t="str">
        <x:v>部分正确</x:v>
      </x:c>
      <x:c r="E201" s="19" t="n">
        <x:v>1</x:v>
      </x:c>
      <x:c r="F201" s="17" t="str">
        <x:v>完整结果转为分段叙述时漏行。 主要根因：final_renderer_row_omission 聚合：41小于limit50，匹配总数可信。 证据对齐：声称完整列表但漏掉通合转债。</x:v>
      </x:c>
      <x:c r="G201" s="17" t="str">
        <x:v>{
  "review_source": "deep_audit_181_230.json",
  "route_ok": true,
  "time": "正确回退到2026-07-31。",
  "entity": "41行均满足条件。",
  "numeric": "展示数值和金额准确。",
  "aggregation": "41小于limit50，匹配总数可信。",
  "evidence_alignment": "声称完整列表但漏掉通合转债。"
}</x:v>
      </x:c>
      <x:c r="H201" s="17" t="str">
        <x:v>正确回退到2026-07-31。</x:v>
      </x:c>
      <x:c r="I201" s="17" t="str">
        <x:v>bond.quote</x:v>
      </x:c>
      <x:c r="J201" s="17" t="str">
        <x:v>展示数值和金额准确。</x:v>
      </x:c>
      <x:c r="K201" s="17" t="str">
        <x:v>41行均满足条件。；正确回退到2026-07-31。</x:v>
      </x:c>
      <x:c r="L201" s="17" t="str">
        <x:v>声称完整列表但漏掉通合转债。</x:v>
      </x:c>
      <x:c r="M201" s="17" t="str">
        <x:v>否</x:v>
      </x:c>
      <x:c r="N201" s="17" t="str">
        <x:v>今天（2026-08-02）是周日，非交易日，因此为您查询的是最近一个交易日 **2026-07-31（周五）** 的数据。当日共有 **41只债券** 满足涨幅超过3%且成交额超过1亿元的条件，全部均为可转债，以下是按涨幅排名的完整列表：
**涨幅前10名：**
| 债券名称 | 涨幅 | 成交额 |
|---------|:----:|:------:|
| 普联转债 | **+20.00%** | 27.88亿 |
| 三江转债 | **+19.87%** | 33.95亿 |
| 华峰转债 | **+11.28%** | 27.53亿 |
| 泰坦转债 | **+9.54%** | 32.65亿 |
| 中汽转债 | **+8.73%** | 9.12亿 |
| 福新转债 | **+8.51%** | 17.28亿 |
| 惠城转债 | **+7.84%** | 26.18亿 |
| 奥飞转债 | **+7.78%** | 21.86亿 |
| 冠中转债 | **+7.72%** | 10.69亿 |
| 联瑞转债 | **+7.59%** | 16.24亿 |
**其他符合条件的债券（涨幅3%~6%）：** 科蓝转债（+5.68%，成交43.57亿）、鼎捷转债（+5.75%）、亿田转债（+5.78%）、声迅转债（+6.14%）、岱美转债（+6.77%）、宙邦转债、银轮转债、集智转债、道通转债、本川转债、航宇转债、山石转债、姚记转债、豪26转债、浩瀚转债、爱科转债、路维转债、胜蓝转02、皓元转债、风语转债、天准转债、瑞可转债、应流转债、圣泉转债、博士转债、睿创转债、维科转债、翔26转债、东南转债、海顺转债等。
当日市场活跃度较高，**普联转债、三江转债、华峰转债**涨幅均超过10%，资金博弈明显。其中成交额最大的为**科蓝转债**（43.57亿），其次是**三江转债**（33.95亿）和**泰坦转债**（32.65亿）。</x:v>
      </x:c>
    </x:row>
    <x:row r="202" ht="64" customHeight="1">
      <x:c r="A202" s="17" t="str">
        <x:v>BUS200</x:v>
      </x:c>
      <x:c r="B202" s="17" t="str">
        <x:v>统计当前债券市场涨幅为正的债券数量。</x:v>
      </x:c>
      <x:c r="C202" s="17" t="str">
        <x:v>成功</x:v>
      </x:c>
      <x:c r="D202" s="17" t="str">
        <x:v>正确</x:v>
      </x:c>
      <x:c r="E202" s="19" t="n">
        <x:v>1</x:v>
      </x:c>
      <x:c r="F202" s="17" t="str">
        <x:v>应显式展示as-of日期。 主要根因：none_core_answer_correct 聚合：limit1000大于实际436，计数完整。 证据对齐：数量与样例准确。</x:v>
      </x:c>
      <x:c r="G202" s="17" t="str">
        <x:v>{
  "review_source": "deep_audit_181_230.json",
  "route_ok": true,
  "time": "使用最近完整交易日但答案未显示具体日期。",
  "entity": "全债券行情。",
  "numeric": "436只准确。",
  "aggregation": "limit1000大于实际436，计数完整。",
  "evidence_alignment": "数量与样例准确。"
}</x:v>
      </x:c>
      <x:c r="H202" s="17" t="str">
        <x:v>使用最近完整交易日但答案未显示具体日期。</x:v>
      </x:c>
      <x:c r="I202" s="17" t="str">
        <x:v>bond.quote</x:v>
      </x:c>
      <x:c r="J202" s="17" t="str">
        <x:v>436只准确。</x:v>
      </x:c>
      <x:c r="K202" s="17" t="str">
        <x:v>全债券行情。；使用最近完整交易日但答案未显示具体日期。</x:v>
      </x:c>
      <x:c r="L202" s="17" t="str">
        <x:v>数量与样例准确。</x:v>
      </x:c>
      <x:c r="M202" s="17" t="str">
        <x:v>否</x:v>
      </x:c>
      <x:c r="N202" s="17" t="str">
        <x:v>根据最新交易日数据，当前债券市场共有 **436 只**债券涨幅为正。其中涨幅居前的以部分信用债和可转债为主，涨幅最大的是 **H7泰禾01**（+865.63%）和 **H7泰禾02**（+580.00%），涨幅较大的还有 **H2万科06**（+60.04%）、**科博转债**（+57.30%）等。</x:v>
      </x:c>
    </x:row>
    <x:row r="203" ht="64" customHeight="1">
      <x:c r="A203" s="17" t="str">
        <x:v>BUS201</x:v>
      </x:c>
      <x:c r="B203" s="17" t="str">
        <x:v>同时查询平安转债行情和中国平安股票当前行情。</x:v>
      </x:c>
      <x:c r="C203" s="17" t="str">
        <x:v>成功</x:v>
      </x:c>
      <x:c r="D203" s="17" t="str">
        <x:v>部分正确</x:v>
      </x:c>
      <x:c r="E203" s="19" t="n">
        <x:v>0.95</x:v>
      </x:c>
      <x:c r="F203" s="17" t="str">
        <x:v>债券覆盖不足后补写生命周期原因。 主要根因：partial_data_coverage_and_unsupported_lifecycle_inference 聚合：只能完成股票一侧。 证据对齐：股票对齐；2015年强赎退市和周末导致零成交无证据。</x:v>
      </x:c>
      <x:c r="G203" s="17" t="str">
        <x:v>{
  "review_source": "deep_audit_181_230.json",
  "route_ok": true,
  "time": "股票为2026-07-31；债券实时与历史均0。",
  "entity": "601318与113005正确。",
  "numeric": "股票OHLC、-1.4337%与1.49%振幅准确。",
  "aggregation": "只能完成股票一侧。",
  "evidence_alignment": "股票对齐；2015年强赎退市和周末导致零成交无证据。"
}</x:v>
      </x:c>
      <x:c r="H203" s="17" t="str">
        <x:v>股票为2026-07-31；债券实时与历史均0。</x:v>
      </x:c>
      <x:c r="I203" s="17" t="str">
        <x:v>bond.quote, stock.quote</x:v>
      </x:c>
      <x:c r="J203" s="17" t="str">
        <x:v>股票OHLC、-1.4337%与1.49%振幅准确。</x:v>
      </x:c>
      <x:c r="K203" s="17" t="str">
        <x:v>601318与113005正确。；股票为2026-07-31；债券实时与历史均0。</x:v>
      </x:c>
      <x:c r="L203" s="17" t="str">
        <x:v>股票对齐；2015年强赎退市和周末导致零成交无证据。</x:v>
      </x:c>
      <x:c r="M203" s="17" t="str">
        <x:v>否</x:v>
      </x:c>
      <x:c r="N203" s="17" t="str">
        <x:v>**平安转债（113005.SH）**：该债券发行人为中国平安，但数据源中无实时行情记录，也无历史日K记录——该转债于2015年已强赎退市，当前不再有交易行情。
**中国平安（601318.SH）**：截至上一个交易日（2026-07-31，周五）的最新行情如下：
| 指标 | 数值 |
|------|------|
| 昨收 | 55.80 元 |
| 开盘 | 55.00 元 |
| 最新价 | 55.00 元 |
| 最高 | 55.03 元 |
| 最低 | 54.20 元 |
| 涨跌幅 | **-1.43%** |
当日低开低走，收盘报 55.00 元，较前一交易日下跌 1.43%，盘中最低触及 54.20 元，振幅约 1.49%。由于当前处于周末非交易时段，成交额和成交量显示为 0。</x:v>
      </x:c>
    </x:row>
    <x:row r="204" ht="64" customHeight="1">
      <x:c r="A204" s="17" t="str">
        <x:v>BUS202</x:v>
      </x:c>
      <x:c r="B204" s="17" t="str">
        <x:v>查询万科相关债券列表，并同时查询万科A当前股价。</x:v>
      </x:c>
      <x:c r="C204" s="17" t="str">
        <x:v>成功</x:v>
      </x:c>
      <x:c r="D204" s="17" t="str">
        <x:v>部分正确</x:v>
      </x:c>
      <x:c r="E204" s="19" t="n">
        <x:v>1</x:v>
      </x:c>
      <x:c r="F204" s="17" t="str">
        <x:v>把limit结果当全量。 主要根因：result_limit_presented_as_total 聚合：债券limit20，但同批BUS190证明实际有35只。 证据对齐：前20只准确，共20只结论错误。</x:v>
      </x:c>
      <x:c r="G204" s="17" t="str">
        <x:v>{
  "review_source": "deep_audit_181_230.json",
  "route_ok": true,
  "time": "股票为2026-07-31。",
  "entity": "万科A与万科发行人均正确。",
  "numeric": "3.34元、0.3003%准确。",
  "aggregation": "债券limit20，但同批BUS190证明实际有35只。",
  "evidence_alignment": "前20只准确，共20只结论错误。"
}</x:v>
      </x:c>
      <x:c r="H204" s="17" t="str">
        <x:v>股票为2026-07-31。</x:v>
      </x:c>
      <x:c r="I204" s="17" t="str">
        <x:v>bond.basic_info, stock.quote</x:v>
      </x:c>
      <x:c r="J204" s="17" t="str">
        <x:v>3.34元、0.3003%准确。</x:v>
      </x:c>
      <x:c r="K204" s="17" t="str">
        <x:v>万科A与万科发行人均正确。；股票为2026-07-31。</x:v>
      </x:c>
      <x:c r="L204" s="17" t="str">
        <x:v>前20只准确，共20只结论错误。</x:v>
      </x:c>
      <x:c r="M204" s="17" t="str">
        <x:v>否</x:v>
      </x:c>
      <x:c r="N204" s="17" t="str">
        <x:v>以下是查询结果：
---
## 万科A 当前股价
| 指标 | 数值 |
|------|:----:|
| 最新价 | **3.34 元** |
| 涨跌幅 | **+0.30%** |
| 开盘 | 3.34 元 |
| 最高 | 3.36 元 |
| 最低 | 3.28 元 |
| 数据日期 | 2026-07-31（最近交易日） |
---
## 万科相关债券列表（共 20 只）
全部由 **万科企业股份有限公司** 发行，均为深交所上市债券：
| 债券代码 | 债券简称 |
|:--------:|:--------:|
| 112005.SZ | 08万科G1 |
| 112006.SZ | 08万科G2 |
| 112285.SZ | 15万科01 |
| 112546.SZ | 17万科01 |
| 112561.SZ | 17万科02 |
| 112742.SZ | 18万科01 |
| 112784.SZ | 18万科02 |
| 112844.SZ | 19万科01 |
| 112976.SZ | 19万科02 |
| 125002.SZ | 万科转债 |
| 126002.SZ | 万科转2 |
| 148099.SZ | 22万科07 |
| 148100.SZ | 22万科08 |
| 148380.SZ | H3万科01 |
| 148381.SZ | 23万科02 |
| 149056.SZ | 20万科01 |
| 149057.SZ | 20万科02 |
| 149123.SZ | 20万科03 |
| 149124.SZ | 20万科04 |
| 149141.SZ | 20万科05 |
其中 **125002.SZ（万科转债）** 和 **126002.SZ（万科转2）** 是可转换公司债券，其余为一般公司债。</x:v>
      </x:c>
    </x:row>
    <x:row r="205" ht="64" customHeight="1">
      <x:c r="A205" s="17" t="str">
        <x:v>BUS203</x:v>
      </x:c>
      <x:c r="B205" s="17" t="str">
        <x:v>查询银行相关债券今天涨幅前10名，并对比银行行业成分股平均涨幅。</x:v>
      </x:c>
      <x:c r="C205" s="17" t="str">
        <x:v>成功</x:v>
      </x:c>
      <x:c r="D205" s="17" t="str">
        <x:v>错误</x:v>
      </x:c>
      <x:c r="E205" s="19" t="n">
        <x:v>0.65</x:v>
      </x:c>
      <x:c r="F205" s="17" t="str">
        <x:v>14次查询中大量无效试错，最后仍靠手工枚举。 主要根因：bond_quote_filter_semantics_failure_and_ad_hoc_entity_enumeration 聚合：银行债Top10不可证，不能声称仅5只。 证据对齐：不同债券名称过滤反复返回相同全市场榜单，说明过滤未生效。</x:v>
      </x:c>
      <x:c r="G205" s="17" t="str">
        <x:v>{
  "review_source": "deep_audit_181_230.json",
  "route_ok": true,
  "time": "最终统一为2026-07-31。",
  "entity": "银行行业40股正确；银行转债由模型手工枚举5只，候选全集未建立。",
  "numeric": "股票均值-0.762%正确，但应为9涨1平30跌而非9涨31跌。",
  "aggregation": "银行债Top10不可证，不能声称仅5只。",
  "evidence_alignment": "不同债券名称过滤反复返回相同全市场榜单，说明过滤未生效。"
}</x:v>
      </x:c>
      <x:c r="H205" s="17" t="str">
        <x:v>最终统一为2026-07-31。</x:v>
      </x:c>
      <x:c r="I205" s="17" t="str">
        <x:v>bond.basic_info, bond.quote, industry.basic_info, industry.constitution</x:v>
      </x:c>
      <x:c r="J205" s="17" t="str">
        <x:v>股票均值-0.762%正确，但应为9涨1平30跌而非9涨31跌。</x:v>
      </x:c>
      <x:c r="K205" s="17" t="str">
        <x:v>银行行业40股正确；银行转债由模型手工枚举5只，候选全集未建立。；最终统一为2026-07-31。</x:v>
      </x:c>
      <x:c r="L205" s="17" t="str">
        <x:v>不同债券名称过滤反复返回相同全市场榜单，说明过滤未生效。</x:v>
      </x:c>
      <x:c r="M205" s="17" t="str">
        <x:v>否</x:v>
      </x:c>
      <x:c r="N205" s="17" t="str">
        <x:v>现在我已经掌握了所有需要的数据，下面直接给出结论。
---
**银行相关债券今日涨幅排名（2026-07-31）**
当前数据源中可查到的银行可转债共5只，按涨跌幅排序如下：
| 排名 | 债券名称 | 代码 | 涨跌幅(%) | 收盘价(元) | 成交额(元) |
|:---:|:---------|:----:|:---------:|:---------:|:----------:|
| 1 | 兴业转债 | 113052.SH | **+0.16** | 118.05 | 3.51亿 |
| 2 | 上银转债 | 113042.SH | **+0.07** | 119.05 | 3.21亿 |
| 3 | 青农转债 | 128129.SZ | **+0.02** | 107.90 | 0.63亿 |
| 4 | 常银转债 | 113062.SH | **-0.29** | 130.21 | 1.31亿 |
| 5 | 重银转债 | 113056.SH | **-0.37** | 128.84 | 2.85亿 |
&gt; 说明：该数据源仅覆盖交易所可转债类品种，银行发行的金融债、二级资本债等不在覆盖范围内，因此实际可查到的银行相关债券为这5只。
**银行行业成分股平均涨跌幅对比**
申万一级银行行业（代码480000）共40只成分股，2026-07-31当日整体下跌，**算术平均涨跌幅约为 -0.76%**。其中仅9只上涨（厦门银行+1.30%领涨），其余31只下跌，宁波银行(-3.10%)和农业银行(-2.95%)跌幅居前。
**对比小结：** 当日银行可转债表现明显优于银行正股。兴业转债(+0.16%)、上银转债(+0.07%)和青农转债(+0.02%)小幅收红，而银行股整体平均下跌约0.76%，债券的防御属性凸显。</x:v>
      </x:c>
    </x:row>
    <x:row r="206" ht="64" customHeight="1">
      <x:c r="A206" s="17" t="str">
        <x:v>BUS204</x:v>
      </x:c>
      <x:c r="B206" s="17" t="str">
        <x:v>同时查询可转债涨幅前10名和今天A股涨幅前10名。</x:v>
      </x:c>
      <x:c r="C206" s="17" t="str">
        <x:v>成功</x:v>
      </x:c>
      <x:c r="D206" s="17" t="str">
        <x:v>正确</x:v>
      </x:c>
      <x:c r="E206" s="19" t="n">
        <x:v>1</x:v>
      </x:c>
      <x:c r="F206" s="17" t="str">
        <x:v>5次查询、117秒，前三次债券尝试大多无效。 主要根因：bond_quote_filter_semantics_failure_causing_redundant_recovery 聚合：通过全债Top50再筛转债恢复出正确Top10。 证据对齐：最终对齐；前两次债券代码范围过滤明显失效。</x:v>
      </x:c>
      <x:c r="G206" s="17" t="str">
        <x:v>{
  "review_source": "deep_audit_181_230.json",
  "route_ok": true,
  "time": "两市场均为2026-07-31。",
  "entity": "A股与最终可转债集合正确。",
  "numeric": "排名、涨幅、价格与金额准确。",
  "aggregation": "通过全债Top50再筛转债恢复出正确Top10。",
  "evidence_alignment": "最终对齐；前两次债券代码范围过滤明显失效。"
}</x:v>
      </x:c>
      <x:c r="H206" s="17" t="str">
        <x:v>两市场均为2026-07-31。</x:v>
      </x:c>
      <x:c r="I206" s="17" t="str">
        <x:v>bond.quote, stock.quote</x:v>
      </x:c>
      <x:c r="J206" s="17" t="str">
        <x:v>排名、涨幅、价格与金额准确。</x:v>
      </x:c>
      <x:c r="K206" s="17" t="str">
        <x:v>A股与最终可转债集合正确。；两市场均为2026-07-31。</x:v>
      </x:c>
      <x:c r="L206" s="17" t="str">
        <x:v>最终对齐；前两次债券代码范围过滤明显失效。</x:v>
      </x:c>
      <x:c r="M206" s="17" t="str">
        <x:v>否</x:v>
      </x:c>
      <x:c r="N206" s="17" t="str">
        <x:v>数据日期为最近一个交易日 **2026-07-31**，以下是两个维度的涨幅排名：
---
## 可转债涨幅前10名
| 排名 | 代码 | 名称 | 涨幅 | 收盘价（元） | 成交额（元） |
|:---:|:---:|:---:|:---:|:---:|:---:|
| 1 | 113707.SH | 科博转债 | **+57.30%** | 157.30 | 6,127万 |
| 2 | 123261.SZ | 普联转债 | **+20.00%** | 201.60 | 27.88亿 |
| 3 | 123273.SZ | 三江转债 | **+19.87%** | 335.00 | 33.95亿 |
| 4 | 118071.SH | 华峰转债 | **+11.28%** | 243.43 | 27.53亿 |
| 5 | 127096.SZ | 泰坦转债 | **+9.54%** | 488.00 | 32.65亿 |
| 6 | 123272.SZ | 中汽转债 | **+8.73%** | 180.50 | 9.12亿 |
| 7 | 111012.SH | 福新转债 | **+8.51%** | 329.27 | 17.28亿 |
| 8 | 123118.SZ | 惠城转债 | **+7.84%** | 1,040.55 | 26.18亿 |
| 9 | 123131.SZ | 奥飞转债 | **+7.78%** | 315.58 | 21.86亿 |
| 10 | 123207.SZ | 冠中转债 | **+7.72%** | 201.65 | 10.69亿 |
科博转债以 **+57.30%** 领涨全市场可转债，大幅领先第二名；普联转债和三江转债紧随其后，均涨近20%，且成交额均超27亿元，交投活跃。
---
## A股涨幅前10名
| 排名 | 代码 | 名称 | 涨幅 | 收盘价（元） | 成交额（元） |
|:---:|:---:|:---:|:---:|:---:|:---:|
| 1 | 920130.BJ | 立方控股 | **+29.98%** | 20.42 | 1.79亿 |
| 2 | 920575.BJ | *ST康乐 | **+23.95%** | 4.71 | 1.15亿 |
| 3 | 300364.SZ | 中文在线 | **+20.01%** | 24.83 | 20.54亿 |
| 4 | 300720.SZ | 海川智能 | **+20.01%** | 50.80 | 3.35亿 |
| 5 | 301396.SZ | 宏景科技 | **+20.00%** | 156.16 | 10.32亿 |
| 6 | 300795.SZ | 米奥会展 | **+20.00%** | 16.44 | 8.95亿 |
| 7 | 300418.SZ | 昆仑万维 | **+20.00%** | 43.20 | 60.66亿 |
| 8 | 300789.SZ | 唐源电气 | **+20.00%** | 18.96 | 1.73亿 |
| 9 | 300508.SZ | 维宏股份 | **+20.00%** | 38.52 | 7,501万 |
| 10 | 688095.SH | 福昕软件 | **+20.00%** | 67.03 | 4.58亿 |
A股方面，立方控股以近 **30%** 的涨幅居首，为北交所个股；*ST康乐紧随其后涨近24%。**中文在线、昆仑万维**等7只创业板/科创板个股集体封上20%涨停板，昆仑万维以 **60.66亿元** 的成交额居首，资金博弈激烈。</x:v>
      </x:c>
    </x:row>
    <x:row r="207" ht="64" customHeight="1">
      <x:c r="A207" s="17" t="str">
        <x:v>BUS205</x:v>
      </x:c>
      <x:c r="B207" s="17" t="str">
        <x:v>今天仍然活跃的热点事件有哪些？</x:v>
      </x:c>
      <x:c r="C207" s="17" t="str">
        <x:v>成功</x:v>
      </x:c>
      <x:c r="D207" s="17" t="str">
        <x:v>错误</x:v>
      </x:c>
      <x:c r="E207" s="19" t="n">
        <x:v>0.7</x:v>
      </x:c>
      <x:c r="F207" s="17" t="str">
        <x:v>金融热点被路由给default_assistant。 主要根因：domain_agent_routing_miss 聚合：无。 证据对齐：泛化社会新闻话题无系统数据证据。</x:v>
      </x:c>
      <x:c r="G207" s="17" t="str">
        <x:v>{
  "review_source": "deep_audit_181_230.json",
  "route_ok": false,
  "time": "未查最近交易日。",
  "entity": "未进入hot_event.state。",
  "numeric": "无。",
  "aggregation": "无。",
  "evidence_alignment": "泛化社会新闻话题无系统数据证据。"
}</x:v>
      </x:c>
      <x:c r="H207" s="17" t="str">
        <x:v>未查最近交易日。</x:v>
      </x:c>
      <x:c r="I207" s="17" t="str">
        <x:v>hot_event.state</x:v>
      </x:c>
      <x:c r="J207" s="17" t="str">
        <x:v>无。</x:v>
      </x:c>
      <x:c r="K207" s="17" t="str">
        <x:v>未进入hot_event.state。；未查最近交易日。</x:v>
      </x:c>
      <x:c r="L207" s="17" t="str">
        <x:v>泛化社会新闻话题无系统数据证据。</x:v>
      </x:c>
      <x:c r="M207" s="17" t="str">
        <x:v>是</x:v>
      </x:c>
      <x:c r="N207" s="17" t="str">
        <x:v>今天的热点事件会随着时间变化，但根据近期的趋势，目前比较活跃的热点包括：
1. **科技领域**：AI大模型竞赛持续升温，多家公司发布新模型或应用，例如OpenAI、谷歌、国内百度、阿里等。
2. **国际局势**：俄乌冲突、巴以局势等仍然受到关注，各方动态时有更新。
3. **国内经济**：消费复苏、房地产政策调整、新能源汽车销量等话题热度较高。
4. **社会民生**：教育、医疗改革、就业问题等持续引发讨论。
如果你对某个具体方向感兴趣，我可以帮你进一步查找最新动态！</x:v>
      </x:c>
    </x:row>
    <x:row r="208" ht="64" customHeight="1">
      <x:c r="A208" s="17" t="str">
        <x:v>BUS206</x:v>
      </x:c>
      <x:c r="B208" s="17" t="str">
        <x:v>查询PCB热点事件的首次触发日期、最近触发日期和当前公司数。</x:v>
      </x:c>
      <x:c r="C208" s="17" t="str">
        <x:v>成功</x:v>
      </x:c>
      <x:c r="D208" s="17" t="str">
        <x:v>正确</x:v>
      </x:c>
      <x:c r="E208" s="19" t="n">
        <x:v>1</x:v>
      </x:c>
      <x:c r="F208" s="17" t="str">
        <x:v>三次目录读取略多但不影响结论。 主要根因：none 聚合：不涉及。 证据对齐：完整对齐唯一结果。</x:v>
      </x:c>
      <x:c r="G208" s="17" t="str">
        <x:v>{
  "review_source": "deep_audit_181_230.json",
  "route_ok": true,
  "time": "首次2025-04-10、最近2026-07-22。",
  "entity": "PCB精确命中。",
  "numeric": "日期与当前公司数10均准确。",
  "aggregation": "不涉及。",
  "evidence_alignment": "完整对齐唯一结果。"
}</x:v>
      </x:c>
      <x:c r="H208" s="17" t="str">
        <x:v>首次2025-04-10、最近2026-07-22。</x:v>
      </x:c>
      <x:c r="I208" s="17" t="str">
        <x:v>hot_event.base_info</x:v>
      </x:c>
      <x:c r="J208" s="17" t="str">
        <x:v>日期与当前公司数10均准确。</x:v>
      </x:c>
      <x:c r="K208" s="17" t="str">
        <x:v>PCB精确命中。；首次2025-04-10、最近2026-07-22。</x:v>
      </x:c>
      <x:c r="L208" s="17" t="str">
        <x:v>完整对齐唯一结果。</x:v>
      </x:c>
      <x:c r="M208" s="17" t="str">
        <x:v>否</x:v>
      </x:c>
      <x:c r="N208" s="17" t="str">
        <x:v>PCB 热点事件的基础信息如下：
- **首次触发日期**：2025-04-10
- **最近触发日期**：2026-07-22
- **当前公司数**：10 家
该热点自2025年4月首次触发以来，已轮动活跃超过一年，最近一次触发在7月22日，目前关联的活跃公司共10家。</x:v>
      </x:c>
    </x:row>
    <x:row r="209" ht="64" customHeight="1">
      <x:c r="A209" s="17" t="str">
        <x:v>BUS207</x:v>
      </x:c>
      <x:c r="B209" s="17" t="str">
        <x:v>筛选当前公司数超过20家的活跃热点事件。</x:v>
      </x:c>
      <x:c r="C209" s="17" t="str">
        <x:v>成功</x:v>
      </x:c>
      <x:c r="D209" s="17" t="str">
        <x:v>正确</x:v>
      </x:c>
      <x:c r="E209" s="19" t="n">
        <x:v>0.9</x:v>
      </x:c>
      <x:c r="F209" s="17" t="str">
        <x:v>无核心问题。 主要根因：none 聚合：is_active=1且current_company_num&gt;20筛选正确。 证据对齐：列表和计数对齐全量结果。</x:v>
      </x:c>
      <x:c r="G209" s="17" t="str">
        <x:v>{
  "review_source": "deep_audit_181_230.json",
  "route_ok": true,
  "time": "base_info当前快照。",
  "entity": "活跃热点范围正确。",
  "numeric": "返回46条，小于limit50，完整性成立。",
  "aggregation": "is_active=1且current_company_num&gt;20筛选正确。",
  "evidence_alignment": "列表和计数对齐全量结果。"
}</x:v>
      </x:c>
      <x:c r="H209" s="17" t="str">
        <x:v>base_info当前快照。</x:v>
      </x:c>
      <x:c r="I209" s="17" t="str">
        <x:v>hot_event.state, hot_event.base_info</x:v>
      </x:c>
      <x:c r="J209" s="17" t="str">
        <x:v>返回46条，小于limit50，完整性成立。</x:v>
      </x:c>
      <x:c r="K209" s="17" t="str">
        <x:v>活跃热点范围正确。；base_info当前快照。</x:v>
      </x:c>
      <x:c r="L209" s="17" t="str">
        <x:v>列表和计数对齐全量结果。</x:v>
      </x:c>
      <x:c r="M209" s="17" t="str">
        <x:v>否</x:v>
      </x:c>
      <x:c r="N209" s="17" t="str">
        <x:v>当前活跃且公司数超过20家的热点事件共有 **46个**，按关联公司数量从多到少排列如下：
**公司数 ≥ 40 的热点（前7名）**
| 热点事件 | 当前公司数 | 最近触发 |
|---------|:--------:|:-------:|
| AI应用/大模型 | 57 | 07-31 |
| 煤炭/能源 | 49 | 07-20 |
| AI大模型及AI应用 | 46 | 07-31 |
| 锂电电解液 | 44 | 07-27 |
| 商业航天（卫星/火箭配套） | 42 | 07-03 |
| 商业航天/可回收火箭 | 42 | 07-10 |
| MLCC/被动元件 | 40 | 07-31 |
**公司数 30–39 的热点**
电力（用电负荷创新高）39、AI算力/数据中心 39、电力/用电负荷 36、AI大模型/应用 34、AI大模型应用 33、智能制造/高端装备 32、AI大模型/软件 31、MLCC涨价 30。
**公司数 20–29 的热点（共31个）**
存储芯片 29、国产算力/半导体设备 28、半导体设备/材料（国产替代）28、储能/锂电 28、AI算力基建 27、半导体设备/材料 27、多个存储芯片相关（DRAM涨价/反弹/涨价周期等各26家）、消费内需 25、AI大模型（Kimi K3登顶）25、算力基础设施/国产算力 25、算力/数据中心 25、人形机器人（含智能制造）25、存储芯片（含长鑫产业链）25、机器人（宇树/智元IPO）24、锂电/储能 24、机器人及相关（23-24家）、光通信/光模块 23、先进封装 23、黄金贵金属 22、人形机器人 22、电力电网 21、半导体材料 21、AI大模型与应用 21、机器人/具身智能 21 等。
**概况**：当前覆盖面最广的热点是 **AI应用/大模型**（57家），其次是 **煤炭/能源**（49家）和 **AI大模型及AI应用**（46家）。AI大模型、存储芯片、机器人和商业航天是近期最活跃的几大主线，大部分触发日期集中在 7月下旬，市场热度较高。</x:v>
      </x:c>
    </x:row>
    <x:row r="210" ht="64" customHeight="1">
      <x:c r="A210" s="17" t="str">
        <x:v>BUS208</x:v>
      </x:c>
      <x:c r="B210" s="17" t="str">
        <x:v>查询沉默天数最长但历史反复出现的热点事件。</x:v>
      </x:c>
      <x:c r="C210" s="17" t="str">
        <x:v>成功</x:v>
      </x:c>
      <x:c r="D210" s="17" t="str">
        <x:v>错误</x:v>
      </x:c>
      <x:c r="E210" s="19" t="n">
        <x:v>0.6</x:v>
      </x:c>
      <x:c r="F210" s="17" t="str">
        <x:v>热点数据意图路由遗漏。 主要根因：domain_agent_routing_miss 聚合：无。 证据对齐：default_assistant泛答无法访问实时情绪数据库。</x:v>
      </x:c>
      <x:c r="G210" s="17" t="str">
        <x:v>{
  "review_source": "deep_audit_181_230.json",
  "route_ok": false,
  "time": "未查询。",
  "entity": "未进入金融热点数据。",
  "numeric": "无。",
  "aggregation": "无。",
  "evidence_alignment": "default_assistant泛答无法访问实时情绪数据库。"
}</x:v>
      </x:c>
      <x:c r="H210" s="17" t="str">
        <x:v>未查询。</x:v>
      </x:c>
      <x:c r="I210" s="17" t="str">
        <x:v>hot_event.base_info</x:v>
      </x:c>
      <x:c r="J210" s="17" t="str">
        <x:v>无。</x:v>
      </x:c>
      <x:c r="K210" s="17" t="str">
        <x:v>未进入金融热点数据。；未查询。</x:v>
      </x:c>
      <x:c r="L210" s="17" t="str">
        <x:v>default_assistant泛答无法访问实时情绪数据库。</x:v>
      </x:c>
      <x:c r="M210" s="17" t="str">
        <x:v>是</x:v>
      </x:c>
      <x:c r="N210" s="17" t="str">
        <x:v>您好！关于“沉默天数最长但历史反复出现的热点事件”，这需要从舆情监测或事件生命周期分析的角度来回答。不过，作为通用助手，我目前没有实时接入舆情数据库或专业事件分析工具，无法直接给出具体的事件名称和数据。
不过，我可以为您提供一些思路和常见案例：
**这类事件通常具有以下特征：**
1. **周期性爆发**：如某些社会议题（医患关系、教育公平、环保争议）每隔一段时间因新案例被重新点燃。
2. **长期沉默后突然引爆**：例如某旧案重审、某历史人物或事件的纪念日、某被遗忘的丑闻因新证据曝光。
3. **话题本身具有“休眠-激活”属性**：如“PX项目”争议、某些食品安全事件（如“三聚氰胺”后仍有类似事件）。
**如果您需要具体数据，建议：**
- 使用舆情监测平台（如清博、微热点、知微事见）的“事件生命周期”或“沉默周期”分析功能。
- 搜索关键词如“沉寂多年后再次引发热议”、“周期性热点事件”。
**我可以帮您做什么？**
- 如果您想了解某个具体领域（如科技、娱乐、社会）的类似案例，我可以列举一些广为人知的例子。
- 如果您有具体事件名称，我可以帮您分析其“沉默-爆发”模式。
请问您需要更偏向哪方面的帮助？</x:v>
      </x:c>
    </x:row>
    <x:row r="211" ht="64" customHeight="1">
      <x:c r="A211" s="17" t="str">
        <x:v>BUS209</x:v>
      </x:c>
      <x:c r="B211" s="17" t="str">
        <x:v>查询最近触发日期为今天的热点事件。</x:v>
      </x:c>
      <x:c r="C211" s="17" t="str">
        <x:v>成功</x:v>
      </x:c>
      <x:c r="D211" s="17" t="str">
        <x:v>错误</x:v>
      </x:c>
      <x:c r="E211" s="19" t="n">
        <x:v>0.7</x:v>
      </x:c>
      <x:c r="F211" s="17" t="str">
        <x:v>热点排名路由遗漏。 主要根因：domain_agent_routing_miss 聚合：无。 证据对齐：泛答不能访问实时数据。</x:v>
      </x:c>
      <x:c r="G211" s="17" t="str">
        <x:v>{
  "review_source": "deep_audit_181_230.json",
  "route_ok": false,
  "time": "未查询。",
  "entity": "未进入hot_event。",
  "numeric": "无。",
  "aggregation": "无。",
  "evidence_alignment": "泛答不能访问实时数据。"
}</x:v>
      </x:c>
      <x:c r="H211" s="17" t="str">
        <x:v>未查询。</x:v>
      </x:c>
      <x:c r="I211" s="17" t="str">
        <x:v>hot_event.base_info</x:v>
      </x:c>
      <x:c r="J211" s="17" t="str">
        <x:v>无。</x:v>
      </x:c>
      <x:c r="K211" s="17" t="str">
        <x:v>未进入hot_event。；未查询。</x:v>
      </x:c>
      <x:c r="L211" s="17" t="str">
        <x:v>泛答不能访问实时数据。</x:v>
      </x:c>
      <x:c r="M211" s="17" t="str">
        <x:v>是</x:v>
      </x:c>
      <x:c r="N211" s="17" t="str">
        <x:v>抱歉，我无法直接查询实时热点事件或访问网络数据。如果你有具体的热点话题或事件想讨论，可以告诉我，我可以帮你分析或聊聊相关内容。</x:v>
      </x:c>
    </x:row>
    <x:row r="212" ht="64" customHeight="1">
      <x:c r="A212" s="17" t="str">
        <x:v>BUS210</x:v>
      </x:c>
      <x:c r="B212" s="17" t="str">
        <x:v>查询机器人热点事件的核心事件描述和最新事件描述。</x:v>
      </x:c>
      <x:c r="C212" s="17" t="str">
        <x:v>成功</x:v>
      </x:c>
      <x:c r="D212" s="17" t="str">
        <x:v>错误</x:v>
      </x:c>
      <x:c r="E212" s="19" t="n">
        <x:v>0.7</x:v>
      </x:c>
      <x:c r="F212" s="17" t="str">
        <x:v>精确事件名未被识别为金融热点。 主要根因：domain_agent_routing_miss 聚合：无。 证据对齐：无数据证据。</x:v>
      </x:c>
      <x:c r="G212" s="17" t="str">
        <x:v>{
  "review_source": "deep_audit_181_230.json",
  "route_ok": false,
  "time": "未查询。",
  "entity": "系统已有精确机器人事件，却反问是哪类机器人。",
  "numeric": "无。",
  "aggregation": "无。",
  "evidence_alignment": "无数据证据。"
}</x:v>
      </x:c>
      <x:c r="H212" s="17" t="str">
        <x:v>未查询。</x:v>
      </x:c>
      <x:c r="I212" s="17" t="str">
        <x:v>hot_event.base_info</x:v>
      </x:c>
      <x:c r="J212" s="17" t="str">
        <x:v>无。</x:v>
      </x:c>
      <x:c r="K212" s="17" t="str">
        <x:v>系统已有精确机器人事件，却反问是哪类机器人。；未查询。</x:v>
      </x:c>
      <x:c r="L212" s="17" t="str">
        <x:v>无数据证据。</x:v>
      </x:c>
      <x:c r="M212" s="17" t="str">
        <x:v>是</x:v>
      </x:c>
      <x:c r="N212" s="17" t="str">
        <x:v>抱歉，我目前无法查询“机器人热点事件”的具体信息，因为我没有实时搜索或访问外部新闻数据库的能力。
如果你能提供一些更具体的信息，比如：
- 你指的是哪个机器人（例如：人形机器人、服务机器人、工业机器人、某个特定公司的机器人等）？
- 是最近发生的某个具体事件（如发布会、事故、技术突破等）？
我可以基于已有的知识，尽力帮你整理和回答相关问题。或者，你也可以告诉我你希望我帮你做些什么其他事情？</x:v>
      </x:c>
    </x:row>
    <x:row r="213" ht="64" customHeight="1">
      <x:c r="A213" s="17" t="str">
        <x:v>BUS211</x:v>
      </x:c>
      <x:c r="B213" s="17" t="str">
        <x:v>今天热度最高的热点事件前20名。</x:v>
      </x:c>
      <x:c r="C213" s="17" t="str">
        <x:v>成功</x:v>
      </x:c>
      <x:c r="D213" s="17" t="str">
        <x:v>错误</x:v>
      </x:c>
      <x:c r="E213" s="19" t="n">
        <x:v>0.7</x:v>
      </x:c>
      <x:c r="F213" s="17" t="str">
        <x:v>热点排行路由遗漏。 主要根因：domain_agent_routing_miss 聚合：无。 证据对齐：回答为泛互联网热点。</x:v>
      </x:c>
      <x:c r="G213" s="17" t="str">
        <x:v>{
  "review_source": "deep_audit_181_230.json",
  "route_ok": false,
  "time": "未查询最近交易日。",
  "entity": "未进入hot_event.state。",
  "numeric": "无。",
  "aggregation": "无。",
  "evidence_alignment": "回答为泛互联网热点。"
}</x:v>
      </x:c>
      <x:c r="H213" s="17" t="str">
        <x:v>未查询最近交易日。</x:v>
      </x:c>
      <x:c r="I213" s="17" t="str">
        <x:v>hot_event.state</x:v>
      </x:c>
      <x:c r="J213" s="17" t="str">
        <x:v>无。</x:v>
      </x:c>
      <x:c r="K213" s="17" t="str">
        <x:v>未进入hot_event.state。；未查询最近交易日。</x:v>
      </x:c>
      <x:c r="L213" s="17" t="str">
        <x:v>回答为泛互联网热点。</x:v>
      </x:c>
      <x:c r="M213" s="17" t="str">
        <x:v>是</x:v>
      </x:c>
      <x:c r="N213" s="17" t="str">
        <x:v>抱歉，我无法实时获取当前的热点新闻或热搜榜单。我的知识截止于特定时间点，也没有联网搜索或实时数据抓取的能力。
建议你打开微博、百度、今日头条、抖音等平台的热搜榜单，或者直接访问新闻网站查看最新热点事件。
如果你有其他问题，比如想了解某个特定事件的背景，或者想聊聊最近的热点话题，我很乐意帮忙！</x:v>
      </x:c>
    </x:row>
    <x:row r="214" ht="64" customHeight="1">
      <x:c r="A214" s="17" t="str">
        <x:v>BUS212</x:v>
      </x:c>
      <x:c r="B214" s="17" t="str">
        <x:v>查询PCB热点最新热度、公司数、平均涨幅和涨停数量。</x:v>
      </x:c>
      <x:c r="C214" s="17" t="str">
        <x:v>成功</x:v>
      </x:c>
      <x:c r="D214" s="17" t="str">
        <x:v>正确</x:v>
      </x:c>
      <x:c r="E214" s="19" t="n">
        <x:v>0.9</x:v>
      </x:c>
      <x:c r="F214" s="17" t="str">
        <x:v>无。 主要根因：none 聚合：单快照无需额外聚合。 证据对齐：回答与最新完整状态一致。</x:v>
      </x:c>
      <x:c r="G214" s="17" t="str">
        <x:v>{
  "review_source": "deep_audit_181_230.json",
  "route_ok": true,
  "time": "精确取到2026-07-22 15:00最新状态。",
  "entity": "PCB正确。",
  "numeric": "heat5.0695、company10、avg1.7336、limited0准确。",
  "aggregation": "单快照无需额外聚合。",
  "evidence_alignment": "回答与最新完整状态一致。"
}</x:v>
      </x:c>
      <x:c r="H214" s="17" t="str">
        <x:v>精确取到2026-07-22 15:00最新状态。</x:v>
      </x:c>
      <x:c r="I214" s="17" t="str">
        <x:v>hot_event.base_info, hot_event.state, hot_event.member, stock.quote</x:v>
      </x:c>
      <x:c r="J214" s="17" t="str">
        <x:v>heat5.0695、company10、avg1.7336、limited0准确。</x:v>
      </x:c>
      <x:c r="K214" s="17" t="str">
        <x:v>PCB正确。；精确取到2026-07-22 15:00最新状态。</x:v>
      </x:c>
      <x:c r="L214" s="17" t="str">
        <x:v>回答与最新完整状态一致。</x:v>
      </x:c>
      <x:c r="M214" s="17" t="str">
        <x:v>否</x:v>
      </x:c>
      <x:c r="N214" s="17" t="str">
        <x:v>以下是 PCB（印刷电路板）热点的最新状态数据：
| 指标 | 数值 |
|------|------|
| **热度评分** | **5.07** |
| **关联公司数** | **10 家** |
| **平均涨幅** | **1.73%** |
| **涨停数量** | **0 只** |
| **状态标签** | **刚触发（triggered）** |
| **大盘涨跌幅** | -0.86% |
| **数据日期** | 2026-07-22 |
PCB 热点目前处于 **刚触发** 阶段，热度评分 5.07，共 10 只成分股，当日平均涨幅 1.73%，暂无涨停个股。大盘同期下跌 0.86%，PCB 板块整体跑赢大盘，但涨停家数为零，说明热度以温和普涨为主，尚未形成强势涨停潮。</x:v>
      </x:c>
    </x:row>
    <x:row r="215" ht="64" customHeight="1">
      <x:c r="A215" s="17" t="str">
        <x:v>BUS213</x:v>
      </x:c>
      <x:c r="B215" s="17" t="str">
        <x:v>筛选今天热度上升且涨停数量超过5个的热点事件。</x:v>
      </x:c>
      <x:c r="C215" s="17" t="str">
        <x:v>成功</x:v>
      </x:c>
      <x:c r="D215" s="17" t="str">
        <x:v>错误</x:v>
      </x:c>
      <x:c r="E215" s="19" t="n">
        <x:v>0.75</x:v>
      </x:c>
      <x:c r="F215" s="17" t="str">
        <x:v>10次查询反复修正日期和标签，但仍缺groupwise latest。 主要根因：change_label_semantic_mismatch_and_groupwise_latest_gap 聚合：取日内峰值而非每事件最新状态，并把triggered等同热度上升。 证据对齐：change_label实际值为triggered/extended，中文上升过滤无匹配。</x:v>
      </x:c>
      <x:c r="G215" s="17" t="str">
        <x:v>{
  "review_source": "deep_audit_181_230.json",
  "route_ok": true,
  "time": "最终回退到2026-07-31，但前置tradedate=-1多次返回空。",
  "entity": "热点范围来自日内多快照。",
  "numeric": "最终列8个事件，而完整结果中满足limited_count&gt;5的独立事件多于此。",
  "aggregation": "取日内峰值而非每事件最新状态，并把triggered等同热度上升。",
  "evidence_alignment": "change_label实际值为triggered/extended，中文上升过滤无匹配。"
}</x:v>
      </x:c>
      <x:c r="H215" s="17" t="str">
        <x:v>最终回退到2026-07-31，但前置tradedate=-1多次返回空。</x:v>
      </x:c>
      <x:c r="I215" s="17" t="str">
        <x:v>hot_event.state, hot_event.member</x:v>
      </x:c>
      <x:c r="J215" s="17" t="str">
        <x:v>最终列8个事件，而完整结果中满足limited_count&gt;5的独立事件多于此。</x:v>
      </x:c>
      <x:c r="K215" s="17" t="str">
        <x:v>热点范围来自日内多快照。；最终回退到2026-07-31，但前置tradedate=-1多次返回空。</x:v>
      </x:c>
      <x:c r="L215" s="17" t="str">
        <x:v>change_label实际值为triggered/extended，中文上升过滤无匹配。</x:v>
      </x:c>
      <x:c r="M215" s="17" t="str">
        <x:v>否</x:v>
      </x:c>
      <x:c r="N215" s="17" t="str">
        <x:v>今日（2026-08-02）是周日，非交易日。最近交易日为 **2026-07-31（周五）**，当天满足"热度上升（触发激活）且涨停&gt;5个"的热点事件如下：
| 热点事件 | 涨停数（只） | 热度分 | 关联公司数 | 平均涨幅 |
|---|---|---|---|---|
| **AI应用/大模型** | 23 | 73.3 | 55~57家 | +8.2%~9.8% |
| **AI大模型及AI应用** | 19 | 63.8 | 46家 | +8.2%~8.8% |
| **AI大模型/应用** | 17 | 50.8 | 34家 | +8.5%~9.2% |
| **MLCC/被动元件** | 17 | 51.7 | 33家 | +8.9%~9.5% |
| **AI大模型应用** | 17 | 50.6 | 33家 | +8.5%~9.4% |
| **存储芯片（含长鑫产业链）** | 16 | 42.1 | 25家 | +9.8% |
| **元件** | 16 | 39.2 | 18家 | +11.8% |
| **AI大模型/软件** | 15 | 47.3 | 31家 | +8.9%~9.2% |
当日热点高度集中于 **AI主线**，多个相关热点（AI应用/大模型、AI大模型及AI应用、AI大模型应用等）涨停数合计超过15只，其中"AI应用/大模型"单热点涨停23只，热度分最高达73.3。此外，MLCC/被动元件、存储芯片、元件等科技细分方向也有16~17只涨停，整体科技方向活跃度明显。</x:v>
      </x:c>
    </x:row>
    <x:row r="216" ht="64" customHeight="1">
      <x:c r="A216" s="17" t="str">
        <x:v>BUS214</x:v>
      </x:c>
      <x:c r="B216" s="17" t="str">
        <x:v>查询机器人热点最近的热度变化标签和板块强度。</x:v>
      </x:c>
      <x:c r="C216" s="17" t="str">
        <x:v>成功</x:v>
      </x:c>
      <x:c r="D216" s="17" t="str">
        <x:v>错误</x:v>
      </x:c>
      <x:c r="E216" s="19" t="n">
        <x:v>1</x:v>
      </x:c>
      <x:c r="F216" s="17" t="str">
        <x:v>模糊过滤静默失效且日内状态无稳定排序。 主要根因：unsupported_like_filter_silent_ignore_and_entity_resolution 聚合：把同日任意三行当成按时间演化。 证据对齐：实体与时间顺序均不受查询证据支持。</x:v>
      </x:c>
      <x:c r="G216" s="17" t="str">
        <x:v>{
  "review_source": "deep_audit_181_230.json",
  "route_ok": true,
  "time": "最终三行同日但无state_time，不能组成时间序列。",
  "entity": "event like被静默忽略后取到其他AI事件，后来选了人形机器人而非精确机器人。",
  "numeric": "1.20到2.66等值来自无序快照。",
  "aggregation": "把同日任意三行当成按时间演化。",
  "evidence_alignment": "实体与时间顺序均不受查询证据支持。"
}</x:v>
      </x:c>
      <x:c r="H216" s="17" t="str">
        <x:v>最终三行同日但无state_time，不能组成时间序列。</x:v>
      </x:c>
      <x:c r="I216" s="17" t="str">
        <x:v>hot_event.state</x:v>
      </x:c>
      <x:c r="J216" s="17" t="str">
        <x:v>1.20到2.66等值来自无序快照。</x:v>
      </x:c>
      <x:c r="K216" s="17" t="str">
        <x:v>event like被静默忽略后取到其他AI事件，后来选了人形机器人而非精确机器人。；最终三行同日但无state_time，不能组成时间序列。</x:v>
      </x:c>
      <x:c r="L216" s="17" t="str">
        <x:v>实体与时间顺序均不受查询证据支持。</x:v>
      </x:c>
      <x:c r="M216" s="17" t="str">
        <x:v>否</x:v>
      </x:c>
      <x:c r="N216" s="17" t="str">
        <x:v>查到了"人形机器人"热点的最新数据，以下是结果。
---
**人形机器人热点 · 7月31日（最近交易日）**
**热度变化标签：** `triggered`（触发活跃状态），该热点当前处于活跃周期，且最近触发日期为 7 月 31 日。
**板块强度（board_strength）：** 当日采样值在 **1.20% ~ 2.66%** 之间，整体呈走强态势，尾盘强度达到 2.66%，说明该热点对标的大盘有正向带动作用。
**其他关键指标：**
| 指标 | 数据 |
|---|---|
| 热度评分（heat_score） | 0.0（当前数据源显示为 0） |
| 成分股平均涨幅 | 尾盘约 +0.59% |
| 涨停家数 | 0 |
| 成分股数量 | 1 家活跃公司 |
**小结：** "人形机器人"热点 7 月 31 日处于 **触发活跃** 状态，板块强度逐级走高至 2.66%，对大盘表现有一定正向贡献。不过当前成分股数量较少（1 家），热度评分数据源暂未提供有效数值，整体更像是一个早期的概念启动阶段。</x:v>
      </x:c>
    </x:row>
    <x:row r="217" ht="64" customHeight="1">
      <x:c r="A217" s="17" t="str">
        <x:v>BUS215</x:v>
      </x:c>
      <x:c r="B217" s="17" t="str">
        <x:v>查询当前公司数最多的热点事件前20名。</x:v>
      </x:c>
      <x:c r="C217" s="17" t="str">
        <x:v>成功</x:v>
      </x:c>
      <x:c r="D217" s="17" t="str">
        <x:v>部分正确</x:v>
      </x:c>
      <x:c r="E217" s="19" t="n">
        <x:v>1</x:v>
      </x:c>
      <x:c r="F217" s="17" t="str">
        <x:v>重叠概念被直接相加。 主要根因：final_renderer_overlap_double_counting 聚合：按current_company_num降序正确。 证据对齐：表格对齐；把多个重叠AI主题公司数相加称为覆盖240家公司不成立。</x:v>
      </x:c>
      <x:c r="G217" s="17" t="str">
        <x:v>{
  "review_source": "deep_audit_181_230.json",
  "route_ok": true,
  "time": "当前base_info快照。",
  "entity": "Top20热点正确。",
  "numeric": "排名和公司数准确。",
  "aggregation": "按current_company_num降序正确。",
  "evidence_alignment": "表格对齐；把多个重叠AI主题公司数相加称为覆盖240家公司不成立。"
}</x:v>
      </x:c>
      <x:c r="H217" s="17" t="str">
        <x:v>当前base_info快照。</x:v>
      </x:c>
      <x:c r="I217" s="17" t="str">
        <x:v>hot_event.base_info</x:v>
      </x:c>
      <x:c r="J217" s="17" t="str">
        <x:v>排名和公司数准确。</x:v>
      </x:c>
      <x:c r="K217" s="17" t="str">
        <x:v>Top20热点正确。；当前base_info快照。</x:v>
      </x:c>
      <x:c r="L217" s="17" t="str">
        <x:v>表格对齐；把多个重叠AI主题公司数相加称为覆盖240家公司不成立。</x:v>
      </x:c>
      <x:c r="M217" s="17" t="str">
        <x:v>否</x:v>
      </x:c>
      <x:c r="N217" s="17" t="str">
        <x:v>以下是当前关联公司数最多的热点事件 Top 20：
| 排名 | 热点事件 | 当前公司数 | 首次触发 | 最近触发 |
|:---:|:---|:---:|:---|:---|
| 1 | **AI应用/大模型** | 57 | 2025-07-09 | 2026-07-31 |
| 2 | **煤炭/能源** | 49 | 2026-07-20 | 2026-07-20 |
| 3 | **AI大模型及AI应用** | 46 | 2026-07-31 | 2026-07-31 |
| 4 | **锂电电解液** | 44 | 2026-03-12 | 2026-07-27 |
| 5 | **商业航天（卫星/火箭配套）** | 42 | 2026-07-03 | 2026-07-03 |
| 6 | **商业航天/可回收火箭** | 42 | 2025-12-05 | 2026-07-10 |
| 7 | **MLCC/被动元件** | 40 | 2026-06-08 | 2026-07-31 |
| 8 | **AI算力/数据中心** | 39 | 2025-12-30 | 2026-07-31 |
| 9 | **电力（用电负荷创新高）** | 39 | 2026-07-20 | 2026-07-20 |
| 10 | **电力/用电负荷** | 36 | 2026-07-20 | 2026-07-20 |
| 11 | **AI大模型/应用** | 34 | 2026-07-20 | 2026-07-31 |
| 12 | **AI大模型应用** | 33 | 2025-05-20 | 2026-07-31 |
| 13 | **智能制造/高端装备** | 32 | 2026-07-31 | 2026-07-31 |
| 14 | **AI大模型/软件** | 31 | 2026-07-31 | 2026-07-31 |
| 15 | **MLCC涨价** | 30 | 2026-03-23 | 2026-07-31 |
| 16 | **存储芯片** | 29 | 2025-04-08 | 2026-07-31 |
| 17 | **半导体设备/材料（国产替代）** | 28 | 2026-04-03 | 2026-07-21 |
| 18 | **储能/锂电** | 28 | 2026-07-27 | 2026-07-27 |
| 19 | **国产算力/半导体设备（国产替代）** | 28 | 2026-07-31 | 2026-07-31 |
| 20 | **半导体设备/材料** | 27 | 2025-12-08 | 2026-07-31 |
**整体格局：** AI 链条（AI应用/大模型、AI大模型及AI应用、AI算力、AI大模型应用等）是当前覆盖面最广的主题方向，仅 AI 相关热点就占据了前 20 中的 6 席，合计覆盖约 240 家公司。**商业航天**（两个主题合计 84 家）、**电力/用电负荷**（合计 75 家）和 **MLCC/被动元件**（合计 70 家）也是近期覆盖面较宽的板块。从时间上看，多数热点在 7 月下旬仍有活跃触发，保持了较高的市场关注度。</x:v>
      </x:c>
    </x:row>
    <x:row r="218" ht="64" customHeight="1">
      <x:c r="A218" s="17" t="str">
        <x:v>BUS216</x:v>
      </x:c>
      <x:c r="B218" s="17" t="str">
        <x:v>筛选平均涨幅超过3%的热点事件。</x:v>
      </x:c>
      <x:c r="C218" s="17" t="str">
        <x:v>成功</x:v>
      </x:c>
      <x:c r="D218" s="17" t="str">
        <x:v>错误</x:v>
      </x:c>
      <x:c r="E218" s="19" t="n">
        <x:v>0.85</x:v>
      </x:c>
      <x:c r="F218" s="17" t="str">
        <x:v>历史状态被当当前横截面。 主要根因：missing_latest_state_semantics_and_data_outlier_selection 聚合：按全历史avg_lift排序，不是当前热点筛选。 证据对齐：答案称最新交易日为2026-06-24，而数据视图已有2026-07-31。</x:v>
      </x:c>
      <x:c r="G218" s="17" t="str">
        <x:v>{
  "review_source": "deep_audit_181_230.json",
  "route_ok": true,
  "time": "没有限制最新交易日或每事件最新状态。",
  "entity": "全历史状态记录。",
  "numeric": "出现1212%等历史异常值。",
  "aggregation": "按全历史avg_lift排序，不是当前热点筛选。",
  "evidence_alignment": "答案称最新交易日为2026-06-24，而数据视图已有2026-07-31。"
}</x:v>
      </x:c>
      <x:c r="H218" s="17" t="str">
        <x:v>没有限制最新交易日或每事件最新状态。</x:v>
      </x:c>
      <x:c r="I218" s="17" t="str">
        <x:v>hot_event.base_info, hot_event.member, stock.quote</x:v>
      </x:c>
      <x:c r="J218" s="17" t="str">
        <x:v>出现1212%等历史异常值。</x:v>
      </x:c>
      <x:c r="K218" s="17" t="str">
        <x:v>全历史状态记录。；没有限制最新交易日或每事件最新状态。</x:v>
      </x:c>
      <x:c r="L218" s="17" t="str">
        <x:v>答案称最新交易日为2026-06-24，而数据视图已有2026-07-31。</x:v>
      </x:c>
      <x:c r="M218" s="17" t="str">
        <x:v>否</x:v>
      </x:c>
      <x:c r="N218" s="17" t="str">
        <x:v>查询到**50条**满足平均涨幅超过3%的热点事件记录。不过这些数据是不同交易日的历史快照，很多热点仅由单只股票驱动（`company_num=1`），导致 `avg_lift` 数值异常高。以下是按**最近交易日**列出的活跃热点：
---
**最新交易日 2026-06-24 的热点（平均涨幅均 &gt; 3%）：**
| 热点名称 | 平均涨幅 | 热度 | 成分股数 |
|---|---|---|---|
| 专精特新"小巨人"企业 | 1212.8% | 1.0 | 1 |
| 芯片制造 | 1212.8% | 1.0 | 1 |
| 半导体零部件 | 1212.8% | 1.0 | 1 |
| 专精特新小巨人 | 1212.8% | 1.0 | 1 |
| 碳化硅材料 | 1212.8% | 1.0 | 1 |
**2026-06-09：**
- 新能源汽车电池 — 624.6%（1只成分股）
**2026-05-15：**
- 智能制造装备 — 490.4%（1只成分股）
- 新能源车产业链 — 297.2%（1只成分股）
**2026-04-24：**
- 光通信测试、半导体测试设备、电子测量仪器、高端测试仪器、新股上市等 — 875.8%（均为1只成分股）
**2026-04-10：**
- 新股上市 — 186.9%（3只成分股，热度3.0，为近期唯一多成分股热点）
- 机器人动力系统、军工装备 — 272.8%（1只成分股）
---
**说明：**
- 数据源中 `avg_lift` 字段记录的是百分比值（如 1212.8 即 1212.8%），高于3%的阈值条件。
- 绝大多数热点记录中 `company_num=1`（仅1只成分股），因此平均涨幅实际等同于该单只股票的阶段涨幅，数值偏高。
- 近期涉及多只成分股的热点主要是**新股上市**（2026-04-10，3只成分股，平均涨幅186.9%）。
- `limited_count`（涨停数量）和 `board_strength`（大盘涨跌幅）字段当前数据源未返回。</x:v>
      </x:c>
    </x:row>
    <x:row r="219" ht="64" customHeight="1">
      <x:c r="A219" s="17" t="str">
        <x:v>BUS217</x:v>
      </x:c>
      <x:c r="B219" s="17" t="str">
        <x:v>查询PCB热点当前成分股和关联事件描述。</x:v>
      </x:c>
      <x:c r="C219" s="17" t="str">
        <x:v>成功</x:v>
      </x:c>
      <x:c r="D219" s="17" t="str">
        <x:v>错误</x:v>
      </x:c>
      <x:c r="E219" s="19" t="n">
        <x:v>1</x:v>
      </x:c>
      <x:c r="F219" s="17" t="str">
        <x:v>历史member被当当前member。 主要根因：member_history_without_latest_active_date 聚合：没有按最新事件批次去重。 证据对齐：当前真实10只包括顺络电子、木林森、奥士康、金禄电子等，答案有漏有错。</x:v>
      </x:c>
      <x:c r="G219" s="17" t="str">
        <x:v>{
  "review_source": "deep_audit_181_230.json",
  "route_ok": true,
  "time": "member未限定当前日期或active_id。",
  "entity": "100条历史成员中人工挑10只，夹入深南电路、沪电股份、鹏鼎控股、生益科技等非当前成员。",
  "numeric": "base_info当前公司数10正确，但名单与当前10只不一致。",
  "aggregation": "没有按最新事件批次去重。",
  "evidence_alignment": "当前真实10只包括顺络电子、木林森、奥士康、金禄电子等，答案有漏有错。"
}</x:v>
      </x:c>
      <x:c r="H219" s="17" t="str">
        <x:v>member未限定当前日期或active_id。</x:v>
      </x:c>
      <x:c r="I219" s="17" t="str">
        <x:v>hot_event.base_info, hot_event.member</x:v>
      </x:c>
      <x:c r="J219" s="17" t="str">
        <x:v>base_info当前公司数10正确，但名单与当前10只不一致。</x:v>
      </x:c>
      <x:c r="K219" s="17" t="str">
        <x:v>100条历史成员中人工挑10只，夹入深南电路、沪电股份、鹏鼎控股、生益科技等非当前成员。；member未限定当前日期或active_id。</x:v>
      </x:c>
      <x:c r="L219" s="17" t="str">
        <x:v>当前真实10只包括顺络电子、木林森、奥士康、金禄电子等，答案有漏有错。</x:v>
      </x:c>
      <x:c r="M219" s="17" t="str">
        <x:v>否</x:v>
      </x:c>
      <x:c r="N219" s="17" t="str">
        <x:v>## PCB 热点 — 成分股与关联事件
**热点概况**：PCB（印制电路板）热点当前共关联 **10 家** 活跃成分股。核心催化线索围绕 AI 算力需求爆发（英伟达 Rubin 机架 PCB 价值量大幅提升）、覆铜板/电子布涨价以及 PCB 产业链国产替代。
**当前活跃成分股及关联事件描述**：
| 股票 | 核心关联原因 |
|---|---|
| **深南电路**（002916） | 通信 PCB 与 FC-BGA 封装基板双龙头，AI 服务器 PCB 市占率领先，国内先进封装载板国产替代核心标的。 |
| **沪电股份**（002463） | AI 服务器高速背板龙头，AI 相关产品收入占比近六成，深度绑定全球头部 AI 及云计算客户。 |
| **胜宏科技**（300476） | 英伟达核心供应商，Rubin 整机高阶 PCB 供货份额 72%，2025 上半年 AI 算力 PCB 市占率全球第一。 |
| **东山精密**（002384） | 全球第二大 FPC 厂商，覆盖苹果/MR/特斯拉/英伟达多供应链，软硬结合板领先。 |
| **鹏鼎控股**（002938） | 全球 FPC 营收第一，苹果第一大 FPC 供应商，具备 6 阶以上 HDI 量产能力。 |
| **生益科技**（600183） | 国内覆铜板（CCL）绝对龙头，M8/M9 超低损耗板材供货 AI 服务器，全球市占率 12% 居行业第二。 |
| **景旺电子**（603228） | 全品类 PCB 平台，车载 PCB 国内领先，覆盖刚性板/柔性板/金属基板，高速服务器板同步扩张。 |
| **兴森科技**（002436） | IC 载板龙头，FCBGA 基板已量产，半导体测试板覆盖国内外主流芯片厂商。 |
| **大族激光**（002008） | 子公司大族数控为 PCB 激光钻孔/曝光设备龙头，覆盖钻孔、曝光、成型、检测等关键工序。 |
| **宏和科技**（603256） | 全球领先的中高端电子级玻璃纤维布厂商，产品是覆铜板核心原材料，已为深南电路等知名企业供货。 |
**事件驱动脉络**：PCB 热点近期持续活跃的核心驱动来自——① **英伟达 Rubin 架构**机架 PCB 需求预计增长 233%，带动胜宏科技、深南电路、沪电股份等核心供应商订单锁定；② **覆铜板及原材料涨价**，生益科技、宏和科技等上游环节受益于产品量价齐升；③ **AI 算力基础设施建设**持续拉动高多层、HDI、封装基板等高端 PCB 需求。</x:v>
      </x:c>
    </x:row>
    <x:row r="220" ht="64" customHeight="1">
      <x:c r="A220" s="17" t="str">
        <x:v>BUS218</x:v>
      </x:c>
      <x:c r="B220" s="17" t="str">
        <x:v>查询机器人热点中的龙头公司。</x:v>
      </x:c>
      <x:c r="C220" s="17" t="str">
        <x:v>成功</x:v>
      </x:c>
      <x:c r="D220" s="17" t="str">
        <x:v>部分正确</x:v>
      </x:c>
      <x:c r="E220" s="19" t="n">
        <x:v>0.85</x:v>
      </x:c>
      <x:c r="F220" s="17" t="str">
        <x:v>模糊过滤与成员新鲜度双重缺口。 主要根因：unsupported_like_filter_and_member_freshness_gap 聚合：历史成员与多个相似事件混合。 证据对齐：无显式龙头这一核心结论成立，支持性名单和计数不可靠。</x:v>
      </x:c>
      <x:c r="G220" s="17" t="str">
        <x:v>{
  "review_source": "deep_audit_181_230.json",
  "route_ok": true,
  "time": "成员查询未限定最新日期。",
  "entity": "精确机器人事件中is_leader=1确实没有结果，但前置like被忽略并混入其他事件。",
  "numeric": "机器人23家公司等base数正确；后续列30、22、10等数量与列表不一致。",
  "aggregation": "历史成员与多个相似事件混合。",
  "evidence_alignment": "无显式龙头这一核心结论成立，支持性名单和计数不可靠。"
}</x:v>
      </x:c>
      <x:c r="H220" s="17" t="str">
        <x:v>成员查询未限定最新日期。</x:v>
      </x:c>
      <x:c r="I220" s="17" t="str">
        <x:v>hot_event.base_info, hot_event.member, stock.pricevalue, stock.quote</x:v>
      </x:c>
      <x:c r="J220" s="17" t="str">
        <x:v>机器人23家公司等base数正确；后续列30、22、10等数量与列表不一致。</x:v>
      </x:c>
      <x:c r="K220" s="17" t="str">
        <x:v>精确机器人事件中is_leader=1确实没有结果，但前置like被忽略并混入其他事件。；成员查询未限定最新日期。</x:v>
      </x:c>
      <x:c r="L220" s="17" t="str">
        <x:v>无显式龙头这一核心结论成立，支持性名单和计数不可靠。</x:v>
      </x:c>
      <x:c r="M220" s="17" t="str">
        <x:v>否</x:v>
      </x:c>
      <x:c r="N220" s="17" t="str">
        <x:v>目前系统中有三个与机器人相关的热点概念，但它们的成分股中均没有标记为"龙头"的公司。具体情况如下：
**热点概念概览：**
| 热点名称 | 公司数 | 最新触发日期 | 活跃状态 |
|---------|-------|------------|---------|
| 机器人 | 23家 | 2026-07-31 | 活跃 |
| 人形机器人 | 22家 | 2026-07-31 | 活跃 |
| 人形机器人核心部件 | 10家 | 2026-07-31 | 活跃 |
**"机器人"热点的成分股**（共23家）：驱动力、运机集团、联创电子、居然智家、万和电气、华金资本、鲁泰A、盛通股份、华发股份、京城股份、天奇股份、科大讯飞、欧菲光、万集科技、友阿股份、雷迪克、联诚精密、品高股份、深科技、祥鑫科技、和晶科技、全志科技、弘信电子、胜蓝股份、朗特智能、一博科技、远东股份、绿的谐波、奥比中光、凌云光等。
**"人形机器人"热点的成分股**（共22家）：孚能科技、火星人、比亚迪、恒信东方、正海磁材、富春染织、维峰电子、长江材料、鑫宏业、华控赛格、华金资本、中科三环、光华股份、智微智能、恒星科技、方正电机、浙江众成、锋龙股份、机器人（300024）、捷安高科、瑜欣电子、冠城新材、光电股份、华发股份、中化国际、光大证券、德新科技、嘉环科技等。
**当前数据源说明：** 以上三个机器人相关热点的 `is_leader`（是否龙头）字段均为0，系统未对任何成分股做龙头标记。如果需要判断哪些是市场公认的龙头，可以进一步结合个股的涨幅、成交额、资金流向等指标来辅助识别。需要我进一步分析吗？</x:v>
      </x:c>
    </x:row>
    <x:row r="221" ht="64" customHeight="1">
      <x:c r="A221" s="17" t="str">
        <x:v>BUS219</x:v>
      </x:c>
      <x:c r="B221" s="17" t="str">
        <x:v>筛选今天某热点事件下关系类型为核心受益的公司。</x:v>
      </x:c>
      <x:c r="C221" s="17" t="str">
        <x:v>成功</x:v>
      </x:c>
      <x:c r="D221" s="17" t="str">
        <x:v>部分正确</x:v>
      </x:c>
      <x:c r="E221" s="19" t="n">
        <x:v>0.85</x:v>
      </x:c>
      <x:c r="F221" s="17" t="str">
        <x:v>澄清前把limit结果当总量。 主要根因：result_limit_presented_as_total_during_clarification 聚合：不应先做全市场有限查询。 证据对齐：最终澄清正确，但附带总数错误。</x:v>
      </x:c>
      <x:c r="G221" s="17" t="str">
        <x:v>{
  "review_source": "deep_audit_181_230.json",
  "route_ok": true,
  "time": "用户未给热点名称，应直接澄清。",
  "entity": "未确定目标实体。",
  "numeric": "base_info limit20被说成当前共20个活跃热点，实际活跃数远大于20。",
  "aggregation": "不应先做全市场有限查询。",
  "evidence_alignment": "最终澄清正确，但附带总数错误。"
}</x:v>
      </x:c>
      <x:c r="H221" s="17" t="str">
        <x:v>用户未给热点名称，应直接澄清。</x:v>
      </x:c>
      <x:c r="I221" s="17" t="str">
        <x:v>hot_event.base_info, hot_event.member</x:v>
      </x:c>
      <x:c r="J221" s="17" t="str">
        <x:v>base_info limit20被说成当前共20个活跃热点，实际活跃数远大于20。</x:v>
      </x:c>
      <x:c r="K221" s="17" t="str">
        <x:v>未确定目标实体。；用户未给热点名称，应直接澄清。</x:v>
      </x:c>
      <x:c r="L221" s="17" t="str">
        <x:v>最终澄清正确，但附带总数错误。</x:v>
      </x:c>
      <x:c r="M221" s="17" t="str">
        <x:v>否</x:v>
      </x:c>
      <x:c r="N221" s="17" t="str">
        <x:v>当前共有 **20 个活跃热点事件**，以下是完整列表：
| 热点名称 | 关联公司数 |
|---|---|
| 人形机器人 | 22 |
| 低空经济 | 1 |
| 固态电池 | 1 |
| 人形机器人核心部件 | 1 |
| 机器人 | 23 |
| AI算力基础设施 | 3 |
| AI算力/数据中心 | 39 |
| 半导体设备/材料 | 27 |
| 股份回购 | 1 |
| 存储芯片 | 29 |
| 储能 | 1 |
| 液冷服务器 | 1 |
| 光通信/光模块 | 23 |
| 算力基础设施 | 7 |
| PCB（印制电路板） | 2 |
| 数据中心液冷 | 1 |
| 算电协同 | 1 |
| 创新药研发 | 1 |
| AI大模型应用 | 33 |
| 钠离子电池 | 1 |
您想查看**哪个热点事件**下关系类型为"核心受益"的公司？我可以直接为您筛选出来。</x:v>
      </x:c>
    </x:row>
    <x:row r="222" ht="64" customHeight="1">
      <x:c r="A222" s="17" t="str">
        <x:v>BUS220</x:v>
      </x:c>
      <x:c r="B222" s="17" t="str">
        <x:v>查询宁德时代参与的热点事件和公司事件描述。</x:v>
      </x:c>
      <x:c r="C222" s="17" t="str">
        <x:v>成功</x:v>
      </x:c>
      <x:c r="D222" s="17" t="str">
        <x:v>错误</x:v>
      </x:c>
      <x:c r="E222" s="19" t="n">
        <x:v>0.9</x:v>
      </x:c>
      <x:c r="F222" s="17" t="str">
        <x:v>跨视图股票代码规范化缺失。 主要根因：hot_event_stock_code_normalization_missing 聚合：不涉及。 证据对齐：库中存在宁德时代的热点成员记录。</x:v>
      </x:c>
      <x:c r="G222" s="17" t="str">
        <x:v>{
  "review_source": "deep_audit_181_230.json",
  "route_ok": true,
  "time": "当前语义未真正验证。",
  "entity": "用300750.SZ查询，但member存储300750无后缀。",
  "numeric": "返回0并非真实无热点。",
  "aggregation": "不涉及。",
  "evidence_alignment": "库中存在宁德时代的热点成员记录。"
}</x:v>
      </x:c>
      <x:c r="H222" s="17" t="str">
        <x:v>当前语义未真正验证。</x:v>
      </x:c>
      <x:c r="I222" s="17" t="str">
        <x:v>hot_event.member, stock.basic_info</x:v>
      </x:c>
      <x:c r="J222" s="17" t="str">
        <x:v>返回0并非真实无热点。</x:v>
      </x:c>
      <x:c r="K222" s="17" t="str">
        <x:v>用300750.SZ查询，但member存储300750无后缀。；当前语义未真正验证。</x:v>
      </x:c>
      <x:c r="L222" s="17" t="str">
        <x:v>库中存在宁德时代的热点成员记录。</x:v>
      </x:c>
      <x:c r="M222" s="17" t="str">
        <x:v>否</x:v>
      </x:c>
      <x:c r="N222" s="17" t="str">
        <x:v>根据当前数据源查询，**未找到宁德时代（300750.SZ）参与的热点事件记录**，因此也没有对应的公司事件描述可供展示。
这可能意味着在当前数据覆盖范围内，宁德时代暂未被标记为活跃热点事件的关联公司，或当下市场热点事件库中暂无与宁德时代直接关联的条目。</x:v>
      </x:c>
    </x:row>
    <x:row r="223" ht="64" customHeight="1">
      <x:c r="A223" s="17" t="str">
        <x:v>BUS221</x:v>
      </x:c>
      <x:c r="B223" s="17" t="str">
        <x:v>查询人工智能热点当前成分股数量和股票名单。</x:v>
      </x:c>
      <x:c r="C223" s="17" t="str">
        <x:v>成功</x:v>
      </x:c>
      <x:c r="D223" s="17" t="str">
        <x:v>错误</x:v>
      </x:c>
      <x:c r="E223" s="19" t="n">
        <x:v>1</x:v>
      </x:c>
      <x:c r="F223" s="17" t="str">
        <x:v>member历史记录缺乏当前快照语义。 主要根因：member_history_without_latest_active_date 聚合：历史记录被当当前名单。 证据对齐：当前应为空或明确无活跃成员。</x:v>
      </x:c>
      <x:c r="G223" s="17" t="str">
        <x:v>{
  "review_source": "deep_audit_181_230.json",
  "route_ok": true,
  "time": "未限定最新日期。",
  "entity": "精确人工智能事件，但返回21个历史成员。",
  "numeric": "base_info显示该热点已不活跃、current_company_num=0。",
  "aggregation": "历史记录被当当前名单。",
  "evidence_alignment": "当前应为空或明确无活跃成员。"
}</x:v>
      </x:c>
      <x:c r="H223" s="17" t="str">
        <x:v>未限定最新日期。</x:v>
      </x:c>
      <x:c r="I223" s="17" t="str">
        <x:v>hot_event.member</x:v>
      </x:c>
      <x:c r="J223" s="17" t="str">
        <x:v>base_info显示该热点已不活跃、current_company_num=0。</x:v>
      </x:c>
      <x:c r="K223" s="17" t="str">
        <x:v>精确人工智能事件，但返回21个历史成员。；未限定最新日期。</x:v>
      </x:c>
      <x:c r="L223" s="17" t="str">
        <x:v>当前应为空或明确无活跃成员。</x:v>
      </x:c>
      <x:c r="M223" s="17" t="str">
        <x:v>否</x:v>
      </x:c>
      <x:c r="N223" s="17" t="str">
        <x:v>**人工智能热点**当前共有 **21 只成分股**，完整名单如下：
| 代码 | 名称 | 代码 | 名称 |
|------|------|------|------|
| 002995 | 天地在线 | 002463 | 沪电股份 |
| 300033 | 同花顺 | 300347 | 泰格医药 |
| 688256 | 寒武纪 | 601328 | 交通银行 |
| 688158 | 优刻得 | 000931 | 中关村 |
| 605299 | 舒华体育 | 601688 | 华泰证券 |
| 002368 | 太极股份 | 920275 | 驱动力 |
| 000681 | 视觉中国 | 002555 | 三七互娱 |
| 300188 | 国投智能 | 301042 | 安联锐视 |
| 688107 | 安路科技 | 300455 | 航天智装 |
| 002519 | 银河电子 | 300079 | 数码视讯 |
| 688615 | 合合信息 |  |  |
成分股覆盖了 AI 芯片（寒武纪）、算力（优刻得）、AI 应用（同花顺、视觉中国、合合信息）、AI+医疗（泰格医药）、AI+金融（华泰证券）等多个细分方向，也包含部分与 AI 存在业务关联的跨界个股。</x:v>
      </x:c>
    </x:row>
    <x:row r="224" ht="64" customHeight="1">
      <x:c r="A224" s="17" t="str">
        <x:v>BUS222</x:v>
      </x:c>
      <x:c r="B224" s="17" t="str">
        <x:v>查询某热点事件中被标记为龙头的股票代码和名称。</x:v>
      </x:c>
      <x:c r="C224" s="17" t="str">
        <x:v>成功</x:v>
      </x:c>
      <x:c r="D224" s="17" t="str">
        <x:v>正确</x:v>
      </x:c>
      <x:c r="E224" s="19" t="n">
        <x:v>0.8</x:v>
      </x:c>
      <x:c r="F224" s="17" t="str">
        <x:v>无。 主要根因：none_appropriate_clarification 聚合：无。 证据对齐：正确要求用户指定热点，没有编造。</x:v>
      </x:c>
      <x:c r="G224" s="17" t="str">
        <x:v>{
  "review_source": "deep_audit_181_230.json",
  "route_ok": true,
  "time": "不涉及。",
  "entity": "缺少热点名称。",
  "numeric": "无。",
  "aggregation": "无。",
  "evidence_alignment": "正确要求用户指定热点，没有编造。"
}</x:v>
      </x:c>
      <x:c r="H224" s="17" t="str">
        <x:v>不涉及。</x:v>
      </x:c>
      <x:c r="I224" s="17" t="str">
        <x:v>hot_event.member</x:v>
      </x:c>
      <x:c r="J224" s="17" t="str">
        <x:v>无。</x:v>
      </x:c>
      <x:c r="K224" s="17" t="str">
        <x:v>缺少热点名称。；不涉及。</x:v>
      </x:c>
      <x:c r="L224" s="17" t="str">
        <x:v>正确要求用户指定热点，没有编造。</x:v>
      </x:c>
      <x:c r="M224" s="17" t="str">
        <x:v>否</x:v>
      </x:c>
      <x:c r="N224" s="17" t="str">
        <x:v>您提到的"某热点事件"还需要明确具体是哪一事件。请问您想查询哪个热点或概念（例如：人工智能、低空经济、机器人、新能源等）的龙头股？</x:v>
      </x:c>
    </x:row>
    <x:row r="225" ht="64" customHeight="1">
      <x:c r="A225" s="17" t="str">
        <x:v>BUS223</x:v>
      </x:c>
      <x:c r="B225" s="17" t="str">
        <x:v>统计当前活跃热点事件的平均热度，并找出热度最高的前10个事件。</x:v>
      </x:c>
      <x:c r="C225" s="17" t="str">
        <x:v>成功</x:v>
      </x:c>
      <x:c r="D225" s="17" t="str">
        <x:v>错误</x:v>
      </x:c>
      <x:c r="E225" s="19" t="n">
        <x:v>0.6</x:v>
      </x:c>
      <x:c r="F225" s="17" t="str">
        <x:v>热点状态意图路由遗漏。 主要根因：domain_agent_routing_miss 聚合：无。 证据对齐：泛答不能访问实时数据。</x:v>
      </x:c>
      <x:c r="G225" s="17" t="str">
        <x:v>{
  "review_source": "deep_audit_181_230.json",
  "route_ok": false,
  "time": "未查询。",
  "entity": "未进入hot_event。",
  "numeric": "无。",
  "aggregation": "无。",
  "evidence_alignment": "泛答不能访问实时数据。"
}</x:v>
      </x:c>
      <x:c r="H225" s="17" t="str">
        <x:v>未查询。</x:v>
      </x:c>
      <x:c r="I225" s="17" t="str">
        <x:v>hot_event.state, hot_event.base_info</x:v>
      </x:c>
      <x:c r="J225" s="17" t="str">
        <x:v>无。</x:v>
      </x:c>
      <x:c r="K225" s="17" t="str">
        <x:v>未进入hot_event。；未查询。</x:v>
      </x:c>
      <x:c r="L225" s="17" t="str">
        <x:v>泛答不能访问实时数据。</x:v>
      </x:c>
      <x:c r="M225" s="17" t="str">
        <x:v>是</x:v>
      </x:c>
      <x:c r="N225" s="17" t="str">
        <x:v>抱歉，我无法直接访问实时数据或统计当前网络上的热点事件及其热度。这需要联网搜索或调用专门的新闻/社交媒体数据接口。
建议你：
1. **开启联网搜索功能**（如果本平台支持），我可以帮你搜索当前的热点事件排行榜。
2. 或者直接访问主流新闻网站、热搜榜单（如微博热搜、百度热搜等）查看实时数据。
如果你能提供一份热点事件列表及其热度数值，我可以帮你计算平均热度并排序。需要我帮忙吗？</x:v>
      </x:c>
    </x:row>
    <x:row r="226" ht="64" customHeight="1">
      <x:c r="A226" s="17" t="str">
        <x:v>BUS224</x:v>
      </x:c>
      <x:c r="B226" s="17" t="str">
        <x:v>查询PCB热点最近几次状态记录，观察热度和公司数变化。</x:v>
      </x:c>
      <x:c r="C226" s="17" t="str">
        <x:v>成功</x:v>
      </x:c>
      <x:c r="D226" s="17" t="str">
        <x:v>错误</x:v>
      </x:c>
      <x:c r="E226" s="19" t="n">
        <x:v>0.9</x:v>
      </x:c>
      <x:c r="F226" s="17" t="str">
        <x:v>同日状态缺少稳定时间排序。 主要根因：same_day_state_order_missing_and_unordered_time_series_inference 聚合：把任意返回顺序解释为从早到尾盘的轨迹。 证据对齐：实际15:00最新heat为5.0695，不是答案所称14.93。</x:v>
      </x:c>
      <x:c r="G226" s="17" t="str">
        <x:v>{
  "review_source": "deep_audit_181_230.json",
  "route_ok": true,
  "time": "20条状态都在2026-07-22，但输出无state_time且排序只按日期。",
  "entity": "PCB正确。",
  "numeric": "4.95到14.93等是同日日内无序样本。",
  "aggregation": "把任意返回顺序解释为从早到尾盘的轨迹。",
  "evidence_alignment": "实际15:00最新heat为5.0695，不是答案所称14.93。"
}</x:v>
      </x:c>
      <x:c r="H226" s="17" t="str">
        <x:v>20条状态都在2026-07-22，但输出无state_time且排序只按日期。</x:v>
      </x:c>
      <x:c r="I226" s="17" t="str">
        <x:v>hot_event.base_info, hot_event.state, hot_event.member</x:v>
      </x:c>
      <x:c r="J226" s="17" t="str">
        <x:v>4.95到14.93等是同日日内无序样本。</x:v>
      </x:c>
      <x:c r="K226" s="17" t="str">
        <x:v>PCB正确。；20条状态都在2026-07-22，但输出无state_time且排序只按日期。</x:v>
      </x:c>
      <x:c r="L226" s="17" t="str">
        <x:v>实际15:00最新heat为5.0695，不是答案所称14.93。</x:v>
      </x:c>
      <x:c r="M226" s="17" t="str">
        <x:v>否</x:v>
      </x:c>
      <x:c r="N226" s="17" t="str">
        <x:v>以下是 PCB 热点的状态记录分析：
---
**PCB 热点概况**：首次触发于 **2025-04-10**，最近一次触发在 **2026-07-22**，历史上已激活 **21 次**，当前处于活跃状态，关联公司数稳定在 **10 家**。
**最近一次活跃日（2026-07-22）的日内热度变化**——当天共采样 20 个状态点，热度从开盘附近的 **4.95** 一路攀升至 **14.93**，涨幅和热度同步走高：
| 时段（按热度排序） | 热度 | 平均涨幅 | 涨停数 |
|---|---|---|---|
| 日内最高点 | 14.93 | +6.15% | 0 |
| 中段 | 10.72 | +4.19% | 0 |
| 日内最低点 | 4.95 | +1.57% | 0 |
全天的变化标签均为 **"triggered"（触发中）**，热度整体呈 **逐级升温** 态势，热度从低位 4.95 涨至高位 14.93，区间涨幅约 3 倍。当天盘中曾出现 **1 只涨停**（对应热度 12.29 的采样点），其余时段涨停数为 0，说明板块内以普涨为主，集中封板力度不大。
**核心观察**：
- 公司数稳定在 **10 家**，未出现日内扩容或缩容，说明 PCB 概念边界清晰
- 热度从 4.95→14.93 的拉升斜率较陡，但涨停家数仅 1 只，属于 **板块内温和放量普涨**，而非龙头极端拉涨
- 当前最新热度 14.93 在 21 次激活周期中处于什么位置，可进一步观察历史热度分位来评判持续性</x:v>
      </x:c>
    </x:row>
    <x:row r="227" ht="64" customHeight="1">
      <x:c r="A227" s="17" t="str">
        <x:v>BUS225</x:v>
      </x:c>
      <x:c r="B227" s="17" t="str">
        <x:v>筛选今天公司数增加且平均涨幅超过3%的热点事件。</x:v>
      </x:c>
      <x:c r="C227" s="17" t="str">
        <x:v>成功</x:v>
      </x:c>
      <x:c r="D227" s="17" t="str">
        <x:v>错误</x:v>
      </x:c>
      <x:c r="E227" s="19" t="n">
        <x:v>0.85</x:v>
      </x:c>
      <x:c r="F227" s="17" t="str">
        <x:v>7次查询、98秒后仍缺groupwise latest和完整集合。 主要根因：cross_day_groupwise_latest_and_pagination_gap 聚合：把缺失于上一页的事件当昨日公司数0，并使用日内高点而非收盘最新。 证据对齐：跨日比较缺每事件每日最新一条与完整分页。</x:v>
      </x:c>
      <x:c r="G227" s="17" t="str">
        <x:v>{
  "review_source": "deep_audit_181_230.json",
  "route_ok": true,
  "time": "查询7月30与7月31，但每个事件均含多条日内快照。",
  "entity": "两日各取Top100状态页，事件集合不完整。",
  "numeric": "最终13个事件无法从完整横截面复现。",
  "aggregation": "把缺失于上一页的事件当昨日公司数0，并使用日内高点而非收盘最新。",
  "evidence_alignment": "跨日比较缺每事件每日最新一条与完整分页。"
}</x:v>
      </x:c>
      <x:c r="H227" s="17" t="str">
        <x:v>查询7月30与7月31，但每个事件均含多条日内快照。</x:v>
      </x:c>
      <x:c r="I227" s="17" t="str">
        <x:v>hot_event.base_info, hot_event.member, stock.quote</x:v>
      </x:c>
      <x:c r="J227" s="17" t="str">
        <x:v>最终13个事件无法从完整横截面复现。</x:v>
      </x:c>
      <x:c r="K227" s="17" t="str">
        <x:v>两日各取Top100状态页，事件集合不完整。；查询7月30与7月31，但每个事件均含多条日内快照。</x:v>
      </x:c>
      <x:c r="L227" s="17" t="str">
        <x:v>跨日比较缺每事件每日最新一条与完整分页。</x:v>
      </x:c>
      <x:c r="M227" s="17" t="str">
        <x:v>否</x:v>
      </x:c>
      <x:c r="N227" s="17" t="str">
        <x:v>从最新交易日（2026-07-31）的数据来看，满足 **公司数增加** 且 **平均涨幅超过3%** 的热点事件共有 **13个**，全部符合条件：
| 热点事件 | 公司数 | 平均涨幅 | 热度 |
|---|---|---|---|
| **AI应用/大模型** | 55家 | 8.60% | 73.3 |
| **AI大模型及AI应用** | 46家 | 8.81% | 63.8 |
| **MLCC/被动元件** | 33家 | 9.55% | 51.7 |
| **AI大模型/应用** | 34家 | 9.17% | 50.8 |
| **AI算力/数据中心** | 39家 | 8.09% | 50.7 |
| **AI大模型应用** | 33家 | 9.36% | 50.6 |
| **AI大模型/软件** | 31家 | 9.24% | 47.3 |
| **存储芯片** | 27家 | 9.41% | 42.9 |
| **存储芯片（含长鑫产业链）** | 25家 | 9.84% | 42.1 |
| **AI算力基建** | 27家 | 9.17% | 41.8 |
| **国产算力/半导体设备（国产替代）** | 28家 | 8.86% | 41.5 |
| **AI大模型与应用** | 21家 | 10.67% | 40.0 |
| **元件** | 18家 | 11.75% | 39.2 |
**关键特征：** 7月31日热点几乎全部聚焦 **AI大模型及应用** 方向（7个相关事件），叠加 **存储芯片/算力基建** 和 **MLCC/被动元件**。与前一交易日（7月30日）相比，这些事件绝大多数为当日新触发（公司数从0增加至当前规模），仅有 **MLCC/被动元件** 属于延续性热点——其公司数也从前一日的4家大幅增至33家。
平均涨幅均远超3%门槛，其中 **元件（11.75%）** 和 **AI大模型与应用（10.67%）** 领涨。</x:v>
      </x:c>
    </x:row>
    <x:row r="228" ht="64" customHeight="1">
      <x:c r="A228" s="17" t="str">
        <x:v>BUS226</x:v>
      </x:c>
      <x:c r="B228" s="17" t="str">
        <x:v>统计机器人热点当前成分股中今天涨停的股票数量。</x:v>
      </x:c>
      <x:c r="C228" s="17" t="str">
        <x:v>成功</x:v>
      </x:c>
      <x:c r="D228" s="17" t="str">
        <x:v>错误</x:v>
      </x:c>
      <x:c r="E228" s="19" t="n">
        <x:v>1</x:v>
      </x:c>
      <x:c r="F228" s="17" t="str">
        <x:v>历史成员被当当前成员，且100是截断上限。 主要根因：member_history_without_latest_active_date_and_limit_cap 聚合：在错误候选全集上统计涨停数。 证据对齐：4只表格对齐stock.quote，但不对齐用户要求的当前成分股范围。</x:v>
      </x:c>
      <x:c r="G228" s="17" t="str">
        <x:v>{
  "review_source": "deep_audit_181_230.json",
  "route_ok": true,
  "time": "行情正确回退至2026-07-31。",
  "entity": "member未按当前日期限定，limit=-1仍封顶100个历史唯一股票；答案把100称为当前成分股。",
  "numeric": "历史集合中确有4只is_limit_price=1，但这4只不在当前23只成员集合内。",
  "aggregation": "在错误候选全集上统计涨停数。",
  "evidence_alignment": "4只表格对齐stock.quote，但不对齐用户要求的当前成分股范围。"
}</x:v>
      </x:c>
      <x:c r="H228" s="17" t="str">
        <x:v>行情正确回退至2026-07-31。</x:v>
      </x:c>
      <x:c r="I228" s="17" t="str">
        <x:v>hot_event.member, stock.quote</x:v>
      </x:c>
      <x:c r="J228" s="17" t="str">
        <x:v>历史集合中确有4只is_limit_price=1，但这4只不在当前23只成员集合内。</x:v>
      </x:c>
      <x:c r="K228" s="17" t="str">
        <x:v>member未按当前日期限定，limit=-1仍封顶100个历史唯一股票；答案把100称为当前成分股。；行情正确回退至2026-07-31。</x:v>
      </x:c>
      <x:c r="L228" s="17" t="str">
        <x:v>4只表格对齐stock.quote，但不对齐用户要求的当前成分股范围。</x:v>
      </x:c>
      <x:c r="M228" s="17" t="str">
        <x:v>否</x:v>
      </x:c>
      <x:c r="N228" s="17" t="str">
        <x:v>机器人热点目前共有 **100 只成分股**，最新交易日（2026-07-31，上周五，今日为周日休市）中，有 **4 只涨停**：
| 股票 | 代码 | 涨跌幅 | 收盘价 |
|------|------|--------|--------|
| 中大力德 | 002896.SZ | +10.00% | 65.24 |
| 锋龙股份 | 002931.SZ | +10.00% | 44.90 |
| 海川智能 | 300720.SZ | +20.01% | 50.80 |
| 卧龙电驱 | 600580.SH | +10.00% | 31.69 |
其中海川智能为 20% 涨停（创业板），其余 3 只为 10% 涨停。另外还有多只成分股涨幅超过 10%，如绿的谐波（+16.3%）、奥比中光（+17.4%）、罗博特科（+16.1%）等，机器人概念在上周五整体表现活跃。</x:v>
      </x:c>
    </x:row>
    <x:row r="229" ht="64" customHeight="1">
      <x:c r="A229" s="17" t="str">
        <x:v>BUS227</x:v>
      </x:c>
      <x:c r="B229" s="17" t="str">
        <x:v>查询今天最热热点事件，并列出每个事件的龙头公司当前涨跌幅。</x:v>
      </x:c>
      <x:c r="C229" s="17" t="str">
        <x:v>成功</x:v>
      </x:c>
      <x:c r="D229" s="17" t="str">
        <x:v>错误</x:v>
      </x:c>
      <x:c r="E229" s="19" t="n">
        <x:v>0.95</x:v>
      </x:c>
      <x:c r="F229" s="17" t="str">
        <x:v>14次查询、111秒仍以代表股冒充龙头。 主要根因：groupwise_latest_gap_and_missing_leader_semantics 聚合：Top30日内记录中人工抽不同事件，且只给部分事件股票。 证据对齐：热度与股票行情各自有证据，但龙头身份和最终热点横截面无证据。</x:v>
      </x:c>
      <x:c r="G229" s="17" t="str">
        <x:v>{
  "review_source": "deep_audit_181_230.json",
  "route_ok": true,
  "time": "最终使用2026-07-31，但state同日有多快照。",
  "entity": "is_leader=1查询均0行，之后从普通成员中人工挑选股票并称为龙头。",
  "numeric": "股票涨跌幅自身准确；热点Top5来自日内高热记录去重，不是每事件最新状态排名。",
  "aggregation": "Top30日内记录中人工抽不同事件，且只给部分事件股票。",
  "evidence_alignment": "热度与股票行情各自有证据，但龙头身份和最终热点横截面无证据。"
}</x:v>
      </x:c>
      <x:c r="H229" s="17" t="str">
        <x:v>最终使用2026-07-31，但state同日有多快照。</x:v>
      </x:c>
      <x:c r="I229" s="17" t="str">
        <x:v>hot_event.state, hot_event.member, stock.quote</x:v>
      </x:c>
      <x:c r="J229" s="17" t="str">
        <x:v>股票涨跌幅自身准确；热点Top5来自日内高热记录去重，不是每事件最新状态排名。</x:v>
      </x:c>
      <x:c r="K229" s="17" t="str">
        <x:v>is_leader=1查询均0行，之后从普通成员中人工挑选股票并称为龙头。；最终使用2026-07-31，但state同日有多快照。</x:v>
      </x:c>
      <x:c r="L229" s="17" t="str">
        <x:v>热度与股票行情各自有证据，但龙头身份和最终热点横截面无证据。</x:v>
      </x:c>
      <x:c r="M229" s="17" t="str">
        <x:v>否</x:v>
      </x:c>
      <x:c r="N229" s="17" t="str">
        <x:v>今天是 **2026年8月2日（周日）**，A股休市。以下数据来自 **最近交易日（2026年7月31日，周五）** 的热点事件热度排名及龙头公司涨跌幅。
---
## 7月31日最热热点事件 TOP 5
| 排名 | 热点事件 | 热度 | 板块平均涨幅 | 关联公司数 |
|:---:|:---|:---:|:---:|:---:|
| 1 | **AI应用/大模型** | 73.3 | +8.6% | 55家 |
| 2 | **AI大模型及AI应用** | 63.8 | +8.8% | 46家 |
| 3 | **MLCC/被动元件** | 51.7 | +9.5% | 33家 |
| 4 | **AI大模型/应用** | 50.8 | +9.2% | 34家 |
| 5 | **AI算力/数据中心** | 50.7 | +8.1% | 39家 |
5大热点全部为AI相关主题，且均为当日 **新触发（triggered）** 状态，板块平均涨幅在8%以上，说明当日市场主线高度集中在AI方向。
---
## 各事件龙头公司当日涨跌幅
**① AI应用/大模型（热度最高，73.3）** — 代表性成分股表现：
| 股票 | 收盘价 | 当日涨跌幅 | 成交额 |
|:---|:---:|:---:|:---:|
| 昆仑万维 | 43.20 | **+20.00%** | 60.7亿 |
| 万兴科技 | 53.51 | **+14.34%** | 16.2亿 |
| 华策影视 | 6.98 | **+8.72%** | 8.5亿 |
| 常山北明 | 13.30 | **+6.23%** | 8.1亿 |
| 科大讯飞 | 42.22 | **+5.89%** | 40.1亿 |
| 三六零 | 9.33 | **+5.90%** | 20.4亿 |
**② AI大模型及AI应用（热度63.8）** — 龙头股：
深桑达A（000032）涨停 **+9.99%**，收于13.54元，成交额8.5亿。
**③ AI大模型/应用（热度50.8）** — 龙头股：
- 泛微网络（603039）涨停 **+9.99%**，收于37.42元
- 税友股份（603171）涨停 **+10.01%**，收于45.62元
**④ AI算力/数据中心（热度50.7）** 和 **⑤ MLCC/被动元件（热度51.7）** 的成分股数据当前未完整返回。
---
**小结：** 7月31日AI全线爆发，AI应用/大模型主题以73.3的热度领跑，昆仑万维封死20cm涨停，万兴科技涨超14%，泛微网络、税友股份、深桑达A均涨停，板块效应极强。当前是周日休市，下一交易日需关注这些龙头股能否延续强势。</x:v>
      </x:c>
    </x:row>
    <x:row r="230" ht="64" customHeight="1">
      <x:c r="A230" s="17" t="str">
        <x:v>BUS228</x:v>
      </x:c>
      <x:c r="B230" s="17" t="str">
        <x:v>查询PCB热点的基础信息、最新热度和当前成分股。</x:v>
      </x:c>
      <x:c r="C230" s="17" t="str">
        <x:v>成功</x:v>
      </x:c>
      <x:c r="D230" s="17" t="str">
        <x:v>错误</x:v>
      </x:c>
      <x:c r="E230" s="19" t="n">
        <x:v>1</x:v>
      </x:c>
      <x:c r="F230" s="17" t="str">
        <x:v>两项核心子任务同时受日内排序与历史成员语义影响。 主要根因：same_day_state_order_missing_and_member_history_without_latest_date 聚合：历史成员未按最新日期或活跃批次去重。 证据对齐：当前真实10只与答案名单有多处出入，且热度快照不是最新。</x:v>
      </x:c>
      <x:c r="G230" s="17" t="str">
        <x:v>{
  "review_source": "deep_audit_181_230.json",
  "route_ok": true,
  "time": "state仅按tradedate desc取1，未按state_time；拿到同日任意快照heat14.9327。",
  "entity": "base_info正确；member返回100条历史记录、65个唯一股票，答案人工列12只却称当前10只。",
  "numeric": "基础日期和当前公司数10正确；真正15:00最新heat为5.0695而非14.93。",
  "aggregation": "历史成员未按最新日期或活跃批次去重。",
  "evidence_alignment": "当前真实10只与答案名单有多处出入，且热度快照不是最新。"
}</x:v>
      </x:c>
      <x:c r="H230" s="17" t="str">
        <x:v>state仅按tradedate desc取1，未按state_time；拿到同日任意快照heat14.9327。</x:v>
      </x:c>
      <x:c r="I230" s="17" t="str">
        <x:v>hot_event.base_info, hot_event.state, hot_event.member</x:v>
      </x:c>
      <x:c r="J230" s="17" t="str">
        <x:v>基础日期和当前公司数10正确；真正15:00最新heat为5.0695而非14.93。</x:v>
      </x:c>
      <x:c r="K230" s="17" t="str">
        <x:v>base_info正确；member返回100条历史记录、65个唯一股票，答案人工列12只却称当前10只。；state仅按tradedate desc取1，未按state_time；拿到同日任意快照heat14.9327。</x:v>
      </x:c>
      <x:c r="L230" s="17" t="str">
        <x:v>当前真实10只与答案名单有多处出入，且热度快照不是最新。</x:v>
      </x:c>
      <x:c r="M230" s="17" t="str">
        <x:v>否</x:v>
      </x:c>
      <x:c r="N230" s="17" t="str">
        <x:v>PCB 热点概念的三项数据均已查到，下面逐一说明。
---
## 基础信息
| 项目 | 内容 |
|------|------|
| 热点名称 | **PCB** |
| 首次触发 | 2025-04-10 |
| 最近触发 | 2026-07-22 |
| 是否活跃 | **是**（沉寂天数 0 天） |
| 累计激活次数 | 21 次 |
| 当前关联公司数 | 10 家 |
| 核心事件 | 骏成科技表示其产品使用到PCB |
| 最新事件 | 全球领先的中高端电子级玻璃纤维布专业厂商，产品是覆铜板核心原材料，广泛应用于AI服务器、5G基站、汽车电子等领域的PCB制造，已为深南电路等知名企业供货 |
---
## 最新热度（2026-07-22）
| 指标 | 数值 |
|------|------|
| 热度评分 | **14.93** |
| 变化标签 | **triggered**（刚触发） |
| 成分股平均涨幅 | +6.15% |
| 涨停数量 | 0 只 |
| 大盘涨跌幅 | +0.01% |
| 活跃公司数 | 10 家 |
热度评分 14.93 且标签为"triggered"，说明 PCB 概念在 7 月 22 日被重新激活，成分股平均涨幅达 6.15%，远超大市，市场关注度较高。
---
## 当前成分股（10 家活跃公司）
从完整记录中看，PCB 热点历史上关联的股票较多，但当前活跃的有 **10 家**，主要包括：
**核心 PCB 制造龙头：**
- **深南电路** — 通信 PCB 与 FC-BGA 封装基板双龙头，AI 服务器 PCB 市占率领先
- **胜宏科技** — 英伟达 AI 算力板卡核心伙伴，全球 AI 算力 PCB 收入份额第一
- **沪电股份** — AI 服务器高速背板龙头，AI 产品收入占比近六成
- **鹏鼎控股** — 全球 FPC 营收第一，苹果第一大 FPC 供应商
- **东山精密** — 全球第二大 FPC 厂商，覆盖苹果/特斯拉/英伟达供应链
**特色弹性标的：**
- **兴森科技** — IC 载板龙头，FCBGA 基板已量产
- **景旺电子** — 全品类平台，汽车 PCB 国内领先
- **奥士康** — 高精密 PCB 核心企业，数据中心/服务器/汽车电子布局
- **金禄电子** — 宁德时代第一大 PCB 供应商，汽车 PCB 市场优势显著
- **宏和科技** — 电子级玻璃纤维布专业厂商，覆铜板核心原材料
**上游关键材料供应商：**
- **生益科技** — 国内 CCL 绝对龙头，全球市占率 12%，中报超预期
- **金安国纪** — 覆铜板主要供应商，中报预增 935%-1063%
整体来看，PCB 热点由 **AI 算力需求驱动**（英伟达 Rubin 系列带来的 PCB 升级需求），产业链呈现从上游 CCL、电子布到中游 PCB 制造、再到下游 AI 服务器/光模块的全线联动格局。</x:v>
      </x:c>
    </x:row>
    <x:row r="231" ht="64" customHeight="1">
      <x:c r="A231" s="17" t="str">
        <x:v>BUS229</x:v>
      </x:c>
      <x:c r="B231" s="17" t="str">
        <x:v>查询机器人热点成分股，并返回这些股票今天主力净流入前10名。</x:v>
      </x:c>
      <x:c r="C231" s="17" t="str">
        <x:v>成功</x:v>
      </x:c>
      <x:c r="D231" s="17" t="str">
        <x:v>错误</x:v>
      </x:c>
      <x:c r="E231" s="19" t="n">
        <x:v>1</x:v>
      </x:c>
      <x:c r="F231" s="17" t="str">
        <x:v>历史member污染下游资金流排序。 主要根因：member_history_without_latest_active_date 聚合：在历史成员全集上排序，不能回答当前热点成分股Top10。 证据对齐：榜单数值对齐r4，候选范围不对齐用户语义。</x:v>
      </x:c>
      <x:c r="G231" s="17" t="str">
        <x:v>{
  "review_source": "deep_audit_181_230.json",
  "route_ok": true,
  "time": "moneyflow正确使用2026-07-31。",
  "entity": "第一次event like被静默忽略；精确机器人member随后仍返回100只历史成员。",
  "numeric": "前10名资金值在该历史候选集内准确，但只有科大讯飞、绿的谐波、远东股份属于当前23只集合。",
  "aggregation": "在历史成员全集上排序，不能回答当前热点成分股Top10。",
  "evidence_alignment": "榜单数值对齐r4，候选范围不对齐用户语义。"
}</x:v>
      </x:c>
      <x:c r="H231" s="17" t="str">
        <x:v>moneyflow正确使用2026-07-31。</x:v>
      </x:c>
      <x:c r="I231" s="17" t="str">
        <x:v>hot_event.member, stock.moneyflow</x:v>
      </x:c>
      <x:c r="J231" s="17" t="str">
        <x:v>前10名资金值在该历史候选集内准确，但只有科大讯飞、绿的谐波、远东股份属于当前23只集合。</x:v>
      </x:c>
      <x:c r="K231" s="17" t="str">
        <x:v>第一次event like被静默忽略；精确机器人member随后仍返回100只历史成员。；moneyflow正确使用2026-07-31。</x:v>
      </x:c>
      <x:c r="L231" s="17" t="str">
        <x:v>榜单数值对齐r4，候选范围不对齐用户语义。</x:v>
      </x:c>
      <x:c r="M231" s="17" t="str">
        <x:v>否</x:v>
      </x:c>
      <x:c r="N231" s="17" t="str">
        <x:v>以下是 **机器人热点成分股** 在最近一个交易日（2026-07-31，周五）的**主力净流入前10名**：
| 排名 | 股票 | 主力净流入（元） | 主力净流入占比 |
|:---:|:---|:---|:---:|
| 1 | **中际旭创** | **17.56亿** | 3.25% |
| 2 | **兆易创新** | **16.45亿** | 4.83% |
| 3 | **海康威视** | **6.86亿** | 10.84% |
| 4 | **卧龙电驱** | **4.79亿** | 21.85% |
| 5 | **科大讯飞** | **4.42亿** | 11.01% |
| 6 | **罗博特科** | **3.08亿** | 6.29% |
| 7 | **绿的谐波** | **2.94亿** | 6.51% |
| 8 | **国瓷材料** | **2.26亿** | 1.85% |
| 9 | **中大力德** | **1.86亿** | 35.57% |
| 10 | **远东股份** | **1.20亿** | 7.90% |
**数据说明：** 以上数据取自2026年7月31日（最后一个交易日），今天（8月2日）为周日非交易日，因此以最近交易日为准。
从榜单可以看出，**中际旭创**和**兆易创新**是当日主力资金流入最突出的两只，分别获净流入17.56亿和16.45亿，远超其他成分股。**中大力德**虽然绝对金额排名第9，但主力净流入占比高达35.57%，说明当天其交易资金中主力资金占比极高。**卧龙电驱**主力净流入占比也达到21.85%，属于机器人概念中当天资金关注度较高的标的。</x:v>
      </x:c>
    </x:row>
    <x:row r="232" ht="64" customHeight="1">
      <x:c r="A232" s="17" t="str">
        <x:v>BUS230</x:v>
      </x:c>
      <x:c r="B232" s="17" t="str">
        <x:v>同时查询人工智能热点热度和人工智能板块当前涨跌幅。</x:v>
      </x:c>
      <x:c r="C232" s="17" t="str">
        <x:v>成功</x:v>
      </x:c>
      <x:c r="D232" s="17" t="str">
        <x:v>部分正确</x:v>
      </x:c>
      <x:c r="E232" s="19" t="n">
        <x:v>0.95</x:v>
      </x:c>
      <x:c r="F232" s="17" t="str">
        <x:v>陈旧快照被解释为当前高热，且误判热度量纲。 主要根因：stale_hot_event_snapshot_and_score_scale_misinterpretation 聚合：无复杂聚合。 证据对齐：数据值对齐，但把heat1.0解释为满分区间高位明显错误；热点已长期无新状态，不能称当前高活跃。</x:v>
      </x:c>
      <x:c r="G232" s="17" t="str">
        <x:v>{
  "review_source": "deep_audit_181_230.json",
  "route_ok": true,
  "time": "热点最后记录为2026-06-02，板块最后记录为2026-07-27；答案明确披露时间不一致。",
  "entity": "人工智能热点与882347人工智能板块均正确。",
  "numeric": "heat1.0、avg3.5444、板块pct3.3357与成交额均准确。",
  "aggregation": "无复杂聚合。",
  "evidence_alignment": "数据值对齐，但把heat1.0解释为满分区间高位明显错误；热点已长期无新状态，不能称当前高活跃。"
}</x:v>
      </x:c>
      <x:c r="H232" s="17" t="str">
        <x:v>热点最后记录为2026-06-02，板块最后记录为2026-07-27；答案明确披露时间不一致。</x:v>
      </x:c>
      <x:c r="I232" s="17" t="str">
        <x:v>hot_event.state, plate.quote</x:v>
      </x:c>
      <x:c r="J232" s="17" t="str">
        <x:v>heat1.0、avg3.5444、板块pct3.3357与成交额均准确。</x:v>
      </x:c>
      <x:c r="K232" s="17" t="str">
        <x:v>人工智能热点与882347人工智能板块均正确。；热点最后记录为2026-06-02，板块最后记录为2026-07-27；答案明确披露时间不一致。</x:v>
      </x:c>
      <x:c r="L232" s="17" t="str">
        <x:v>数据值对齐，但把heat1.0解释为满分区间高位明显错误；热点已长期无新状态，不能称当前高活跃。</x:v>
      </x:c>
      <x:c r="M232" s="17" t="str">
        <x:v>否</x:v>
      </x:c>
      <x:c r="N232" s="17" t="str">
        <x:v>以下是查询结果：
---
**人工智能板块行情**（数据截至 2026-07-27）
- 收盘点位：2309.80 点
- 涨跌幅：**+3.34%**，上涨 74.56 点
- 成交额：684.39 亿元
**人工智能热点热度**（数据截至 2026-06-02）
- 热度分值：**1.0**（满分区间内处于高位）
- 状态标签：**"extended"**（延续扩散阶段）
- 成分股平均涨幅：+3.54%
- 当前活跃关联公司数：1 家
---
**简要解读：** 人工智能热点在 6 月初热度打分达到 1.0，处于高活跃区间，状态标签为"extended"说明主题仍在延续扩散。板块行情方面，截至 7 月 27 日最新交易日，人工智能板块上涨 3.34%，成交额超 684 亿元，量价配合较好。不过需注意热度数据与行情数据更新时间不同，热度采样日为 6 月 2 日，行情为 7 月 27 日，两者间隔约近两个月，当前热度的延续性建议结合近期新闻动态进一步验证。</x:v>
      </x:c>
    </x:row>
  </x:sheetData>
  <x:mergeCells>
    <x:mergeCell ref="A1:L1"/>
    <x:mergeCell ref="A2:L2"/>
  </x:mergeCells>
  <x:conditionalFormatting sqref="D5:D232">
    <x:cfRule type="containsText" dxfId="7" priority="1" operator="containsText" text="错误"/>
    <x:cfRule type="containsText" dxfId="8" priority="2" operator="containsText" text="正确"/>
  </x:conditionalFormatting>
  <x:pageMargins left="0.7" right="0.7" top="0.75" bottom="0.75" header="0.3" footer="0.3"/>
  <x:tableParts count="1">
    <x:tablePart xmlns:r="http://schemas.openxmlformats.org/officeDocument/2006/relationships" r:id="Re551d22bb8e24a6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14" hidden="0" customWidth="1"/>
    <x:col min="4" max="4" width="15" hidden="0" customWidth="1"/>
    <x:col min="5" max="5" width="11" hidden="0" customWidth="1"/>
    <x:col min="6" max="6" width="9" hidden="0" customWidth="1"/>
    <x:col min="7" max="7" width="9" hidden="0" customWidth="1"/>
    <x:col min="8" max="8" width="8" hidden="0" customWidth="1"/>
    <x:col min="9" max="9" width="8" hidden="0" customWidth="1"/>
    <x:col min="10" max="10" width="10" hidden="0" customWidth="1"/>
    <x:col min="11" max="11" width="11" hidden="0" customWidth="1"/>
    <x:col min="12" max="12" width="11" hidden="0" customWidth="1"/>
    <x:col min="13" max="13" width="17" hidden="0" customWidth="1"/>
    <x:col min="14" max="14" width="46" hidden="0" customWidth="1"/>
    <x:col min="15" max="15" width="15" hidden="0" customWidth="1"/>
    <x:col min="16" max="16" width="46" hidden="0" customWidth="1"/>
    <x:col min="17" max="17" width="50" hidden="0" customWidth="1"/>
  </x:cols>
  <x:sheetData>
    <x:row r="1" ht="36" customHeight="1">
      <x:c r="A1" s="3" t="str">
        <x:v>长尾根因｜从症状追到系统、Harness 与工具设计</x:v>
      </x:c>
      <x:c r="B1" s="3"/>
      <x:c r="C1" s="3"/>
      <x:c r="D1" s="3"/>
      <x:c r="E1" s="3"/>
      <x:c r="F1" s="3"/>
      <x:c r="G1" s="3"/>
      <x:c r="H1" s="3"/>
      <x:c r="I1" s="3"/>
      <x:c r="J1" s="3"/>
      <x:c r="K1" s="3"/>
      <x:c r="L1" s="3"/>
    </x:row>
    <x:row r="2" ht="30" customHeight="1">
      <x:c r="A2" s="7" t="str">
        <x:v>生成时间：2026/08/02 05:26:21；长尾阈值 84.1 秒；只记录有证据的问题，不为单 Case 造补丁。</x:v>
      </x:c>
      <x:c r="B2" s="7"/>
      <x:c r="C2" s="7"/>
      <x:c r="D2" s="7"/>
      <x:c r="E2" s="7"/>
      <x:c r="F2" s="7"/>
      <x:c r="G2" s="7"/>
      <x:c r="H2" s="7"/>
      <x:c r="I2" s="7"/>
      <x:c r="J2" s="7"/>
      <x:c r="K2" s="7"/>
      <x:c r="L2" s="7"/>
    </x:row>
    <x:row r="4" ht="25" customHeight="1">
      <x:c r="A4" s="33" t="str">
        <x:v>根因聚合（按分析证据汇总）</x:v>
      </x:c>
      <x:c r="B4" s="33"/>
      <x:c r="C4" s="33"/>
      <x:c r="D4" s="33"/>
      <x:c r="E4" s="33"/>
      <x:c r="F4" s="33"/>
      <x:c r="G4" s="33"/>
      <x:c r="H4" s="33"/>
    </x:row>
    <x:row r="5" ht="28" customHeight="1">
      <x:c r="A5" s="13" t="str">
        <x:v>维度</x:v>
      </x:c>
      <x:c r="B5" s="13" t="str">
        <x:v>根因</x:v>
      </x:c>
      <x:c r="C5" s="13" t="str">
        <x:v>影响Case数</x:v>
      </x:c>
      <x:c r="D5" s="13" t="str">
        <x:v>Case列表</x:v>
      </x:c>
      <x:c r="E5" s="13" t="str">
        <x:v>估算额外耗时(ms)</x:v>
      </x:c>
      <x:c r="F5" s="13" t="str">
        <x:v>证据</x:v>
      </x:c>
      <x:c r="G5" s="13" t="str">
        <x:v>严重度</x:v>
      </x:c>
      <x:c r="H5" s="13" t="str">
        <x:v>改进方向</x:v>
      </x:c>
    </x:row>
    <x:row r="6" ht="58" customHeight="1">
      <x:c r="A6" s="17" t="str">
        <x:v>系统路由</x:v>
      </x:c>
      <x:c r="B6" s="17" t="str">
        <x:v>明确的金融数据意图仍可能在进入金融查询前被通用澄清或默认助手截断</x:v>
      </x:c>
      <x:c r="C6" s="18" t="n">
        <x:v>21</x:v>
      </x:c>
      <x:c r="D6" s="18" t="str">
        <x:v>[
  "BUS006",
  "BUS016",
  "BUS020",
  "BUS053",
  "BUS084",
  "BUS095",
  "BUS118",
  "BUS119",
  "BUS126",
  "BUS127",
  "BUS130",
  "BUS156",
  "BUS158",
  "BUS178",
  "BUS187",
  "BUS205",
  "BUS208",
  "BUS209",
  "BUS210",
  "BUS211",
  "BUS223"
]</x:v>
      </x:c>
      <x:c r="E6" s="18"/>
      <x:c r="F6" s="17" t="str">
        <x:v>人工审计确认 21 条 route_ok=false；其中包含股票筛选、行业聚合、债券发行人和 hot_event 查询。快速返回不代表主线有效。</x:v>
      </x:c>
      <x:c r="G6" s="17" t="str">
        <x:v>P0</x:v>
      </x:c>
      <x:c r="H6" s="17" t="str">
        <x:v>先补齐顶层业务责任描述与入口契约；路由只决定是否进入金融查询，不替下游猜业务细节。</x:v>
      </x:c>
    </x:row>
    <x:row r="7" ht="58" customHeight="1">
      <x:c r="A7" s="17" t="str">
        <x:v>HARD 结果协议</x:v>
      </x:c>
      <x:c r="B7" s="17" t="str">
        <x:v>返回样本、全集规模与下游可用完整性没有成为稳定事实</x:v>
      </x:c>
      <x:c r="C7" s="18" t="n">
        <x:v>30</x:v>
      </x:c>
      <x:c r="D7" s="18" t="str">
        <x:v>[
  "BUS036",
  "BUS039",
  "BUS047",
  "BUS057",
  "BUS066",
  "BUS076",
  "BUS078",
  "BUS080",
  "BUS093",
  "BUS101",
  "BUS102",
  "BUS111",
  "BUS115",
  "BUS122",
  "BUS149",
  "BUS151",
  "BUS157",
  "BUS162",
  "BUS165",
  "BUS166",
  "BUS168",
  "BUS170",
  "BUS173",
  "BUS178",
  "BUS186",
  "BUS188",
  "BUS193",
  "BUS202",
  "BUS219",
  "BUS226"
]</x:v>
      </x:c>
      <x:c r="E7" s="18"/>
      <x:c r="F7" s="17" t="str">
        <x:v>limit=50/100、limit=-1仍封顶、以及2000字符答案上限多次被当成全量；上游截断继续污染计数、TopN、均值和跨表筛选。</x:v>
      </x:c>
      <x:c r="G7" s="17" t="str">
        <x:v>P0</x:v>
      </x:c>
      <x:c r="H7" s="17" t="str">
        <x:v>统一 returned_count、total_count/unknown、truncated、sample_complete，并让不完整性随 result_ref 进入下一步。</x:v>
      </x:c>
    </x:row>
    <x:row r="8" ht="58" customHeight="1">
      <x:c r="A8" s="17" t="str">
        <x:v>工具/数据流</x:v>
      </x:c>
      <x:c r="B8" s="17" t="str">
        <x:v>缺少 groupwise-latest、稳定 Join 与当前成员快照语义</x:v>
      </x:c>
      <x:c r="C8" s="18" t="n">
        <x:v>18</x:v>
      </x:c>
      <x:c r="D8" s="18" t="str">
        <x:v>[
  "BUS063",
  "BUS070",
  "BUS074",
  "BUS101",
  "BUS102",
  "BUS104",
  "BUS106",
  "BUS120",
  "BUS213",
  "BUS216",
  "BUS217",
  "BUS221",
  "BUS224",
  "BUS225",
  "BUS226",
  "BUS227",
  "BUS228",
  "BUS229"
]</x:v>
      </x:c>
      <x:c r="E8" s="18"/>
      <x:c r="F8" s="17" t="str">
        <x:v>股东、行业成分、热点 state/member 等视图需要每实体最新一条或当前批次；模型只能在截断历史样本上临时聚合，轮次增加后结论仍不可证。</x:v>
      </x:c>
      <x:c r="G8" s="17" t="str">
        <x:v>P0</x:v>
      </x:c>
      <x:c r="H8" s="17" t="str">
        <x:v>把每实体最新、当前快照、成员集合一致性做成通用查询能力或可组合执行原语，而不是继续加提示词。</x:v>
      </x:c>
    </x:row>
    <x:row r="9" ht="58" customHeight="1">
      <x:c r="A9" s="17" t="str">
        <x:v>工具契约/Harness</x:v>
      </x:c>
      <x:c r="B9" s="17" t="str">
        <x:v>过滤、中文枚举和代码规范化失败方式不一致，部分无效过滤会静默返回未过滤数据</x:v>
      </x:c>
      <x:c r="C9" s="18" t="n">
        <x:v>18</x:v>
      </x:c>
      <x:c r="D9" s="18" t="str">
        <x:v>[
  "BUS062",
  "BUS064",
  "BUS067",
  "BUS080",
  "BUS108",
  "BUS109",
  "BUS110",
  "BUS112",
  "BUS114",
  "BUS120",
  "BUS203",
  "BUS204",
  "BUS213",
  "BUS214",
  "BUS218",
  "BUS220",
  "BUS227",
  "BUS229"
]</x:v>
      </x:c>
      <x:c r="E9" s="18"/>
      <x:c r="F9" s="17" t="str">
        <x:v>LIKE、债券名称/代码范围、热点日期偏移和带市场后缀代码在多条 Case 中出现空查或静默失效；BUS203/204因此产生长循环。</x:v>
      </x:c>
      <x:c r="G9" s="17" t="str">
        <x:v>P0</x:v>
      </x:c>
      <x:c r="H9" s="17" t="str">
        <x:v>目录一次说明可用语法和枚举；执行层必须返回实际应用的 filter/selection 及未支持项，不能把请求参数回显当成已生效证据。</x:v>
      </x:c>
    </x:row>
    <x:row r="10" ht="58" customHeight="1">
      <x:c r="A10" s="17" t="str">
        <x:v>时间协议</x:v>
      </x:c>
      <x:c r="B10" s="17" t="str">
        <x:v>全局交易日与各 dataview 最新可用日期、窗口结束日和日内最后快照没有统一解析</x:v>
      </x:c>
      <x:c r="C10" s="18" t="n">
        <x:v>22</x:v>
      </x:c>
      <x:c r="D10" s="18" t="str">
        <x:v>[
  "BUS034",
  "BUS035",
  "BUS069",
  "BUS072",
  "BUS074",
  "BUS082",
  "BUS087",
  "BUS089",
  "BUS090",
  "BUS103",
  "BUS106",
  "BUS135",
  "BUS139",
  "BUS141",
  "BUS142",
  "BUS144",
  "BUS147",
  "BUS159",
  "BUS182",
  "BUS200",
  "BUS213",
  "BUS224"
]</x:v>
      </x:c>
      <x:c r="E10" s="18"/>
      <x:c r="F10" s="17" t="str">
        <x:v>同一交易日下行情、融资、估值、热点等数据新鲜度不同；出现空查、陈旧快照当当前值，以及窗口 end_date 被补写。</x:v>
      </x:c>
      <x:c r="G10" s="17" t="str">
        <x:v>P1</x:v>
      </x:c>
      <x:c r="H10" s="17" t="str">
        <x:v>先由交易日模块解析用户日期，再由目标 dataview 返回真实 as_of/end_date；非交易日回退和数据滞后都显式展示。</x:v>
      </x:c>
    </x:row>
    <x:row r="11" ht="58" customHeight="1">
      <x:c r="A11" s="17" t="str">
        <x:v>Renderer</x:v>
      </x:c>
      <x:c r="B11" s="17" t="str">
        <x:v>最终表达仍会越过证据边界，且字段单位、行对齐和完整列表交付不稳定</x:v>
      </x:c>
      <x:c r="C11" s="18" t="n">
        <x:v>31</x:v>
      </x:c>
      <x:c r="D11" s="18" t="str">
        <x:v>[
  "BUS003",
  "BUS050",
  "BUS051",
  "BUS058",
  "BUS061",
  "BUS064",
  "BUS068",
  "BUS071",
  "BUS081",
  "BUS092",
  "BUS097",
  "BUS104",
  "BUS113",
  "BUS114",
  "BUS133",
  "BUS134",
  "BUS140",
  "BUS161",
  "BUS164",
  "BUS168",
  "BUS186",
  "BUS191",
  "BUS192",
  "BUS193",
  "BUS194",
  "BUS195",
  "BUS197",
  "BUS199",
  "BUS201",
  "BUS227",
  "BUS230"
]</x:v>
      </x:c>
      <x:c r="E11" s="18"/>
      <x:c r="F11" s="17" t="str">
        <x:v>逐案复核发现比例10/100倍误读、元/亿元换算错误、零行推导生命周期、有限字段推导因果/龙头，以及完整结果漏行。</x:v>
      </x:c>
      <x:c r="G11" s="17" t="str">
        <x:v>P0</x:v>
      </x:c>
      <x:c r="H11" s="17" t="str">
        <x:v>Renderer消费字段级单位和证据边界；大结果转表格/附件；原因解释若非工具证据则降级为假设并明确标记。</x:v>
      </x:c>
    </x:row>
    <x:row r="12" ht="58" customHeight="1">
      <x:c r="A12" s="17" t="str">
        <x:v>性能/可观测性</x:v>
      </x:c>
      <x:c r="B12" s="17" t="str">
        <x:v>少数长尾由数据查询或模型等待主导，并非减少 loop 就能解决</x:v>
      </x:c>
      <x:c r="C12" s="18" t="n">
        <x:v>6</x:v>
      </x:c>
      <x:c r="D12" s="18" t="str">
        <x:v>[
  "BUS012",
  "BUS039",
  "BUS047",
  "BUS069",
  "BUS160",
  "BUS194"
]</x:v>
      </x:c>
      <x:c r="E12" s="18"/>
      <x:c r="F12" s="17" t="str">
        <x:v>BUS012 单次全市场实时排序查询约93.5秒；BUS194仅2次 finance_query仍耗时97.8秒。现有查询阶段是SSE估算，缺少逐工具服务端精确span。</x:v>
      </x:c>
      <x:c r="G12" s="17" t="str">
        <x:v>P1</x:v>
      </x:c>
      <x:c r="H12" s="17" t="str">
        <x:v>增加目录、模型决策、SQL/API、结果装载、Renderer 的服务端 span；分别治理慢查询和推理等待，不用工具次数代理全部耗时。</x:v>
      </x:c>
    </x:row>
    <x:row r="13" ht="58" customHeight="1">
      <x:c r="A13" s="17" t="str">
        <x:v>Harness效率</x:v>
      </x:c>
      <x:c r="B13" s="17" t="str">
        <x:v>能力发现仍依赖多层目录和试探，但一次有针对性的恢复通常是合理的</x:v>
      </x:c>
      <x:c r="C13" s="18" t="n">
        <x:v>13</x:v>
      </x:c>
      <x:c r="D13" s="18" t="str">
        <x:v>[
  "BUS026",
  "BUS067",
  "BUS091",
  "BUS108",
  "BUS110",
  "BUS112",
  "BUS121",
  "BUS155",
  "BUS203",
  "BUS204",
  "BUS213",
  "BUS225",
  "BUS227"
]</x:v>
      </x:c>
      <x:c r="E13" s="18"/>
      <x:c r="F13" s="17" t="str">
        <x:v>全量 1037 次操作中，设计浪费率为 9.16%；主要是终态零结果后继续重查、重复装载和无效过滤恢复，而非所有loop。</x:v>
      </x:c>
      <x:c r="G13" s="17" t="str">
        <x:v>P1</x:v>
      </x:c>
      <x:c r="H13" s="17" t="str">
        <x:v>保留一次有解释的纠错；目录先给全局五类规则与目标dataview完整协议，失败反馈直接指出不可用字段/语法和可恢复方向。</x:v>
      </x:c>
    </x:row>
    <x:row r="16" ht="25" customHeight="1">
      <x:c r="A16" s="33" t="str">
        <x:v>长尾 / 设计浪费 / 失败 / 路由错配 Case 证据</x:v>
      </x:c>
      <x:c r="B16" s="33"/>
      <x:c r="C16" s="33"/>
      <x:c r="D16" s="33"/>
      <x:c r="E16" s="33"/>
      <x:c r="F16" s="33"/>
      <x:c r="G16" s="33"/>
      <x:c r="H16" s="33"/>
      <x:c r="I16" s="33"/>
      <x:c r="J16" s="33"/>
      <x:c r="K16" s="33"/>
      <x:c r="L16" s="33"/>
      <x:c r="M16" s="33"/>
      <x:c r="N16" s="33"/>
      <x:c r="O16" s="33"/>
      <x:c r="P16" s="33"/>
      <x:c r="Q16" s="33"/>
    </x:row>
    <x:row r="17" ht="28" customHeight="1">
      <x:c r="A17" s="13" t="str">
        <x:v>Case ID</x:v>
      </x:c>
      <x:c r="B17" s="13" t="str">
        <x:v>金融问题</x:v>
      </x:c>
      <x:c r="C17" s="13" t="str">
        <x:v>总耗时(ms)</x:v>
      </x:c>
      <x:c r="D17" s="13" t="str">
        <x:v>长尾阈值(ms)</x:v>
      </x:c>
      <x:c r="E17" s="13" t="str">
        <x:v>阈值倍数</x:v>
      </x:c>
      <x:c r="F17" s="13" t="str">
        <x:v>阶段数</x:v>
      </x:c>
      <x:c r="G17" s="13" t="str">
        <x:v>操作数</x:v>
      </x:c>
      <x:c r="H17" s="13" t="str">
        <x:v>Loop</x:v>
      </x:c>
      <x:c r="I17" s="13" t="str">
        <x:v>重试</x:v>
      </x:c>
      <x:c r="J17" s="13" t="str">
        <x:v>路由错配</x:v>
      </x:c>
      <x:c r="K17" s="13" t="str">
        <x:v>设计浪费</x:v>
      </x:c>
      <x:c r="L17" s="13" t="str">
        <x:v>错误/失败</x:v>
      </x:c>
      <x:c r="M17" s="13" t="str">
        <x:v>瓶颈阶段</x:v>
      </x:c>
      <x:c r="N17" s="13" t="str">
        <x:v>直接原因</x:v>
      </x:c>
      <x:c r="O17" s="13" t="str">
        <x:v>根因维度</x:v>
      </x:c>
      <x:c r="P17" s="13" t="str">
        <x:v>根因</x:v>
      </x:c>
      <x:c r="Q17" s="13" t="str">
        <x:v>改进方向</x:v>
      </x:c>
    </x:row>
    <x:row r="18" ht="62" customHeight="1">
      <x:c r="A18" s="17" t="str">
        <x:v>BUS039</x:v>
      </x:c>
      <x:c r="B18" s="17" t="str">
        <x:v>筛选最新股东户数最多的前20家公司。</x:v>
      </x:c>
      <x:c r="C18" s="18" t="n">
        <x:v>145886.65</x:v>
      </x:c>
      <x:c r="D18" s="18" t="n">
        <x:v>84116.25199999998</x:v>
      </x:c>
      <x:c r="E18" s="34" t="n">
        <x:v>1.734345581636234</x:v>
      </x:c>
      <x:c r="F18" s="17" t="n">
        <x:v>6</x:v>
      </x:c>
      <x:c r="G18" s="17" t="n">
        <x:v>7</x:v>
      </x:c>
      <x:c r="H18" s="17" t="n">
        <x:v>0</x:v>
      </x:c>
      <x:c r="I18" s="17" t="n">
        <x:v>0</x:v>
      </x:c>
      <x:c r="J18" s="17" t="str">
        <x:v>否</x:v>
      </x:c>
      <x:c r="K18" s="17" t="n">
        <x:v>0</x:v>
      </x:c>
      <x:c r="L18" s="17" t="n">
        <x:v>0</x:v>
      </x:c>
      <x:c r="M18" s="17" t="str">
        <x:v>数据查询 1/1</x:v>
      </x:c>
      <x:c r="N18" s="17" t="str">
        <x:v>provider_requests=16；tokens=20559</x:v>
      </x:c>
      <x:c r="O18" s="17" t="str">
        <x:v>长尾驱动（待根因）</x:v>
      </x:c>
      <x:c r="P18" s="17" t="str"/>
      <x:c r="Q18" s="17" t="str"/>
    </x:row>
    <x:row r="19" ht="62" customHeight="1">
      <x:c r="A19" s="17" t="str">
        <x:v>BUS203</x:v>
      </x:c>
      <x:c r="B19" s="17" t="str">
        <x:v>查询银行相关债券今天涨幅前10名，并对比银行行业成分股平均涨幅。</x:v>
      </x:c>
      <x:c r="C19" s="18" t="n">
        <x:v>131613.67</x:v>
      </x:c>
      <x:c r="D19" s="18" t="n">
        <x:v>84116.25199999998</x:v>
      </x:c>
      <x:c r="E19" s="34" t="n">
        <x:v>1.5646639843154215</x:v>
      </x:c>
      <x:c r="F19" s="17" t="n">
        <x:v>20</x:v>
      </x:c>
      <x:c r="G19" s="17" t="n">
        <x:v>21</x:v>
      </x:c>
      <x:c r="H19" s="17" t="n">
        <x:v>0</x:v>
      </x:c>
      <x:c r="I19" s="17" t="n">
        <x:v>0</x:v>
      </x:c>
      <x:c r="J19" s="17" t="str">
        <x:v>否</x:v>
      </x:c>
      <x:c r="K19" s="17" t="n">
        <x:v>3</x:v>
      </x:c>
      <x:c r="L19" s="17" t="n">
        <x:v>0</x:v>
      </x:c>
      <x:c r="M19" s="17" t="str">
        <x:v>回答整理</x:v>
      </x:c>
      <x:c r="N19" s="17" t="str">
        <x:v>design_waste=3；provider_requests=24；tokens=65440；non_cc_ms=18839.67；audit_fail=expected_dataview,duplicate_operation,selection_sample_consistency</x:v>
      </x:c>
      <x:c r="O19" s="17" t="str">
        <x:v>长尾驱动（待根因）</x:v>
      </x:c>
      <x:c r="P19" s="17" t="str"/>
      <x:c r="Q19" s="17" t="str"/>
    </x:row>
    <x:row r="20" ht="62" customHeight="1">
      <x:c r="A20" s="17" t="str">
        <x:v>BUS012</x:v>
      </x:c>
      <x:c r="B20" s="17" t="str">
        <x:v>当前分钟成交量最大的前20只股票。</x:v>
      </x:c>
      <x:c r="C20" s="18" t="n">
        <x:v>130013.52</x:v>
      </x:c>
      <x:c r="D20" s="18" t="n">
        <x:v>84116.25199999998</x:v>
      </x:c>
      <x:c r="E20" s="34" t="n">
        <x:v>1.5456409065872316</x:v>
      </x:c>
      <x:c r="F20" s="17" t="n">
        <x:v>4</x:v>
      </x:c>
      <x:c r="G20" s="17" t="n">
        <x:v>3</x:v>
      </x:c>
      <x:c r="H20" s="17" t="n">
        <x:v>0</x:v>
      </x:c>
      <x:c r="I20" s="17" t="n">
        <x:v>0</x:v>
      </x:c>
      <x:c r="J20" s="17" t="str">
        <x:v>否</x:v>
      </x:c>
      <x:c r="K20" s="17" t="n">
        <x:v>0</x:v>
      </x:c>
      <x:c r="L20" s="17" t="n">
        <x:v>0</x:v>
      </x:c>
      <x:c r="M20" s="17" t="str">
        <x:v>数据查询 1/1</x:v>
      </x:c>
      <x:c r="N20" s="17" t="str">
        <x:v>provider_requests=20</x:v>
      </x:c>
      <x:c r="O20" s="17" t="str">
        <x:v>长尾驱动（待根因）</x:v>
      </x:c>
      <x:c r="P20" s="17" t="str"/>
      <x:c r="Q20" s="17" t="str"/>
    </x:row>
    <x:row r="21" ht="62" customHeight="1">
      <x:c r="A21" s="17" t="str">
        <x:v>BUS204</x:v>
      </x:c>
      <x:c r="B21" s="17" t="str">
        <x:v>同时查询可转债涨幅前10名和今天A股涨幅前10名。</x:v>
      </x:c>
      <x:c r="C21" s="18" t="n">
        <x:v>116960.03</x:v>
      </x:c>
      <x:c r="D21" s="18" t="n">
        <x:v>84116.25199999998</x:v>
      </x:c>
      <x:c r="E21" s="34" t="n">
        <x:v>1.3904569832712</x:v>
      </x:c>
      <x:c r="F21" s="17" t="n">
        <x:v>9</x:v>
      </x:c>
      <x:c r="G21" s="17" t="n">
        <x:v>11</x:v>
      </x:c>
      <x:c r="H21" s="17" t="n">
        <x:v>0</x:v>
      </x:c>
      <x:c r="I21" s="17" t="n">
        <x:v>0</x:v>
      </x:c>
      <x:c r="J21" s="17" t="str">
        <x:v>否</x:v>
      </x:c>
      <x:c r="K21" s="17" t="n">
        <x:v>0</x:v>
      </x:c>
      <x:c r="L21" s="17" t="n">
        <x:v>0</x:v>
      </x:c>
      <x:c r="M21" s="17" t="str">
        <x:v>回答整理</x:v>
      </x:c>
      <x:c r="N21" s="17" t="str">
        <x:v>provider_requests=22；tokens=41201；non_cc_ms=12835.03</x:v>
      </x:c>
      <x:c r="O21" s="17" t="str">
        <x:v>长尾驱动（待根因）</x:v>
      </x:c>
      <x:c r="P21" s="17" t="str"/>
      <x:c r="Q21" s="17" t="str"/>
    </x:row>
    <x:row r="22" ht="62" customHeight="1">
      <x:c r="A22" s="17" t="str">
        <x:v>BUS227</x:v>
      </x:c>
      <x:c r="B22" s="17" t="str">
        <x:v>查询今天最热热点事件，并列出每个事件的龙头公司当前涨跌幅。</x:v>
      </x:c>
      <x:c r="C22" s="18" t="n">
        <x:v>111127.51</x:v>
      </x:c>
      <x:c r="D22" s="18" t="n">
        <x:v>84116.25199999998</x:v>
      </x:c>
      <x:c r="E22" s="34" t="n">
        <x:v>1.3211181829642151</x:v>
      </x:c>
      <x:c r="F22" s="17" t="n">
        <x:v>19</x:v>
      </x:c>
      <x:c r="G22" s="17" t="n">
        <x:v>25</x:v>
      </x:c>
      <x:c r="H22" s="17" t="n">
        <x:v>0</x:v>
      </x:c>
      <x:c r="I22" s="17" t="n">
        <x:v>0</x:v>
      </x:c>
      <x:c r="J22" s="17" t="str">
        <x:v>否</x:v>
      </x:c>
      <x:c r="K22" s="17" t="n">
        <x:v>5</x:v>
      </x:c>
      <x:c r="L22" s="17" t="n">
        <x:v>0</x:v>
      </x:c>
      <x:c r="M22" s="17" t="str">
        <x:v>回答整理</x:v>
      </x:c>
      <x:c r="N22" s="17" t="str">
        <x:v>design_waste=5；provider_requests=38；tokens=86958；non_cc_ms=14178.51</x:v>
      </x:c>
      <x:c r="O22" s="17" t="str">
        <x:v>长尾驱动（待根因）</x:v>
      </x:c>
      <x:c r="P22" s="17" t="str"/>
      <x:c r="Q22" s="17" t="str"/>
    </x:row>
    <x:row r="23" ht="62" customHeight="1">
      <x:c r="A23" s="17" t="str">
        <x:v>BUS047</x:v>
      </x:c>
      <x:c r="B23" s="17" t="str">
        <x:v>筛选最新冻结股数最高的前20家公司。</x:v>
      </x:c>
      <x:c r="C23" s="18" t="n">
        <x:v>107462.4</x:v>
      </x:c>
      <x:c r="D23" s="18" t="n">
        <x:v>84116.25199999998</x:v>
      </x:c>
      <x:c r="E23" s="34" t="n">
        <x:v>1.2775462225777727</x:v>
      </x:c>
      <x:c r="F23" s="17" t="n">
        <x:v>5</x:v>
      </x:c>
      <x:c r="G23" s="17" t="n">
        <x:v>5</x:v>
      </x:c>
      <x:c r="H23" s="17" t="n">
        <x:v>0</x:v>
      </x:c>
      <x:c r="I23" s="17" t="n">
        <x:v>0</x:v>
      </x:c>
      <x:c r="J23" s="17" t="str">
        <x:v>否</x:v>
      </x:c>
      <x:c r="K23" s="17" t="n">
        <x:v>0</x:v>
      </x:c>
      <x:c r="L23" s="17" t="n">
        <x:v>0</x:v>
      </x:c>
      <x:c r="M23" s="17" t="str">
        <x:v>数据查询 1/1</x:v>
      </x:c>
      <x:c r="N23" s="17" t="str">
        <x:v>provider_requests=18；audit_fail=expected_dataview</x:v>
      </x:c>
      <x:c r="O23" s="17" t="str">
        <x:v>长尾驱动（待根因）</x:v>
      </x:c>
      <x:c r="P23" s="17" t="str"/>
      <x:c r="Q23" s="17" t="str"/>
    </x:row>
    <x:row r="24" ht="62" customHeight="1">
      <x:c r="A24" s="17" t="str">
        <x:v>BUS069</x:v>
      </x:c>
      <x:c r="B24" s="17" t="str">
        <x:v>找出近5日主力净流入合计最高且今天涨幅为正的前20只股票。</x:v>
      </x:c>
      <x:c r="C24" s="18" t="n">
        <x:v>98398.66</x:v>
      </x:c>
      <x:c r="D24" s="18" t="n">
        <x:v>84116.25199999998</x:v>
      </x:c>
      <x:c r="E24" s="34" t="n">
        <x:v>1.1697936802985471</x:v>
      </x:c>
      <x:c r="F24" s="17" t="n">
        <x:v>6</x:v>
      </x:c>
      <x:c r="G24" s="17" t="n">
        <x:v>8</x:v>
      </x:c>
      <x:c r="H24" s="17" t="n">
        <x:v>0</x:v>
      </x:c>
      <x:c r="I24" s="17" t="n">
        <x:v>0</x:v>
      </x:c>
      <x:c r="J24" s="17" t="str">
        <x:v>否</x:v>
      </x:c>
      <x:c r="K24" s="17" t="n">
        <x:v>2</x:v>
      </x:c>
      <x:c r="L24" s="17" t="n">
        <x:v>0</x:v>
      </x:c>
      <x:c r="M24" s="17" t="str">
        <x:v>回答整理</x:v>
      </x:c>
      <x:c r="N24" s="17" t="str">
        <x:v>design_waste=2；provider_requests=13；tokens=40242；audit_fail=duplicate_operation</x:v>
      </x:c>
      <x:c r="O24" s="17" t="str">
        <x:v>长尾驱动（待根因）</x:v>
      </x:c>
      <x:c r="P24" s="17" t="str"/>
      <x:c r="Q24" s="17" t="str"/>
    </x:row>
    <x:row r="25" ht="62" customHeight="1">
      <x:c r="A25" s="17" t="str">
        <x:v>BUS225</x:v>
      </x:c>
      <x:c r="B25" s="17" t="str">
        <x:v>筛选今天公司数增加且平均涨幅超过3%的热点事件。</x:v>
      </x:c>
      <x:c r="C25" s="18" t="n">
        <x:v>98079.16</x:v>
      </x:c>
      <x:c r="D25" s="18" t="n">
        <x:v>84116.25199999998</x:v>
      </x:c>
      <x:c r="E25" s="34" t="n">
        <x:v>1.1659953655567064</x:v>
      </x:c>
      <x:c r="F25" s="17" t="n">
        <x:v>12</x:v>
      </x:c>
      <x:c r="G25" s="17" t="n">
        <x:v>15</x:v>
      </x:c>
      <x:c r="H25" s="17" t="n">
        <x:v>0</x:v>
      </x:c>
      <x:c r="I25" s="17" t="n">
        <x:v>0</x:v>
      </x:c>
      <x:c r="J25" s="17" t="str">
        <x:v>否</x:v>
      </x:c>
      <x:c r="K25" s="17" t="n">
        <x:v>0</x:v>
      </x:c>
      <x:c r="L25" s="17" t="n">
        <x:v>0</x:v>
      </x:c>
      <x:c r="M25" s="17" t="str">
        <x:v>回答整理</x:v>
      </x:c>
      <x:c r="N25" s="17" t="str">
        <x:v>provider_requests=21；tokens=71387；audit_fail=expected_dataview</x:v>
      </x:c>
      <x:c r="O25" s="17" t="str">
        <x:v>长尾驱动（待根因）</x:v>
      </x:c>
      <x:c r="P25" s="17" t="str"/>
      <x:c r="Q25" s="17" t="str"/>
    </x:row>
    <x:row r="26" ht="62" customHeight="1">
      <x:c r="A26" s="17" t="str">
        <x:v>BUS194</x:v>
      </x:c>
      <x:c r="B26" s="17" t="str">
        <x:v>查询平安转债最近10个交易日收盘价和涨跌幅。</x:v>
      </x:c>
      <x:c r="C26" s="18" t="n">
        <x:v>97766.08</x:v>
      </x:c>
      <x:c r="D26" s="18" t="n">
        <x:v>84116.25199999998</x:v>
      </x:c>
      <x:c r="E26" s="34" t="n">
        <x:v>1.1622733737589739</x:v>
      </x:c>
      <x:c r="F26" s="17" t="n">
        <x:v>6</x:v>
      </x:c>
      <x:c r="G26" s="17" t="n">
        <x:v>4</x:v>
      </x:c>
      <x:c r="H26" s="17" t="n">
        <x:v>0</x:v>
      </x:c>
      <x:c r="I26" s="17" t="n">
        <x:v>0</x:v>
      </x:c>
      <x:c r="J26" s="17" t="str">
        <x:v>否</x:v>
      </x:c>
      <x:c r="K26" s="17" t="n">
        <x:v>0</x:v>
      </x:c>
      <x:c r="L26" s="17" t="n">
        <x:v>0</x:v>
      </x:c>
      <x:c r="M26" s="17" t="str">
        <x:v>数据查询 1/1</x:v>
      </x:c>
      <x:c r="N26" s="17" t="str">
        <x:v>provider_requests=17</x:v>
      </x:c>
      <x:c r="O26" s="17" t="str">
        <x:v>长尾驱动（待根因）</x:v>
      </x:c>
      <x:c r="P26" s="17" t="str"/>
      <x:c r="Q26" s="17" t="str"/>
    </x:row>
    <x:row r="27" ht="62" customHeight="1">
      <x:c r="A27" s="17" t="str">
        <x:v>BUS091</x:v>
      </x:c>
      <x:c r="B27" s="17" t="str">
        <x:v>当前市场规模最大的指数前20名。</x:v>
      </x:c>
      <x:c r="C27" s="18" t="n">
        <x:v>91378.52</x:v>
      </x:c>
      <x:c r="D27" s="18" t="n">
        <x:v>84116.25199999998</x:v>
      </x:c>
      <x:c r="E27" s="34" t="n">
        <x:v>1.0863360863962415</x:v>
      </x:c>
      <x:c r="F27" s="17" t="n">
        <x:v>14</x:v>
      </x:c>
      <x:c r="G27" s="17" t="n">
        <x:v>16</x:v>
      </x:c>
      <x:c r="H27" s="17" t="n">
        <x:v>0</x:v>
      </x:c>
      <x:c r="I27" s="17" t="n">
        <x:v>0</x:v>
      </x:c>
      <x:c r="J27" s="17" t="str">
        <x:v>否</x:v>
      </x:c>
      <x:c r="K27" s="17" t="n">
        <x:v>2</x:v>
      </x:c>
      <x:c r="L27" s="17" t="n">
        <x:v>0</x:v>
      </x:c>
      <x:c r="M27" s="17" t="str">
        <x:v>回答整理</x:v>
      </x:c>
      <x:c r="N27" s="17" t="str">
        <x:v>design_waste=2；provider_requests=23；tokens=42588；non_cc_ms=13173.52</x:v>
      </x:c>
      <x:c r="O27" s="17" t="str">
        <x:v>长尾驱动（待根因）</x:v>
      </x:c>
      <x:c r="P27" s="17" t="str"/>
      <x:c r="Q27" s="17" t="str"/>
    </x:row>
    <x:row r="28" ht="62" customHeight="1">
      <x:c r="A28" s="17" t="str">
        <x:v>BUS160</x:v>
      </x:c>
      <x:c r="B28" s="17" t="str">
        <x:v>统计证券板块成分股最新PE_TTM均值和PB中位数。</x:v>
      </x:c>
      <x:c r="C28" s="18" t="n">
        <x:v>89146.18</x:v>
      </x:c>
      <x:c r="D28" s="18" t="n">
        <x:v>84116.25199999998</x:v>
      </x:c>
      <x:c r="E28" s="34" t="n">
        <x:v>1.0597973385690083</x:v>
      </x:c>
      <x:c r="F28" s="17" t="n">
        <x:v>14</x:v>
      </x:c>
      <x:c r="G28" s="17" t="n">
        <x:v>15</x:v>
      </x:c>
      <x:c r="H28" s="17" t="n">
        <x:v>0</x:v>
      </x:c>
      <x:c r="I28" s="17" t="n">
        <x:v>0</x:v>
      </x:c>
      <x:c r="J28" s="17" t="str">
        <x:v>否</x:v>
      </x:c>
      <x:c r="K28" s="17" t="n">
        <x:v>1</x:v>
      </x:c>
      <x:c r="L28" s="17" t="n">
        <x:v>0</x:v>
      </x:c>
      <x:c r="M28" s="17" t="str">
        <x:v>回答整理</x:v>
      </x:c>
      <x:c r="N28" s="17" t="str">
        <x:v>design_waste=1；provider_requests=27；tokens=35376</x:v>
      </x:c>
      <x:c r="O28" s="17" t="str">
        <x:v>长尾驱动（待根因）</x:v>
      </x:c>
      <x:c r="P28" s="17" t="str"/>
      <x:c r="Q28" s="17" t="str"/>
    </x:row>
    <x:row r="29" ht="62" customHeight="1">
      <x:c r="A29" s="17" t="str">
        <x:v>BUS157</x:v>
      </x:c>
      <x:c r="B29" s="17" t="str">
        <x:v>计算人工智能板块成分股今天平均涨跌幅和涨停家数。</x:v>
      </x:c>
      <x:c r="C29" s="18" t="n">
        <x:v>84403.98</x:v>
      </x:c>
      <x:c r="D29" s="18" t="n">
        <x:v>84116.25199999998</x:v>
      </x:c>
      <x:c r="E29" s="34" t="n">
        <x:v>1.003420599386668</x:v>
      </x:c>
      <x:c r="F29" s="17" t="n">
        <x:v>8</x:v>
      </x:c>
      <x:c r="G29" s="17" t="n">
        <x:v>7</x:v>
      </x:c>
      <x:c r="H29" s="17" t="n">
        <x:v>0</x:v>
      </x:c>
      <x:c r="I29" s="17" t="n">
        <x:v>0</x:v>
      </x:c>
      <x:c r="J29" s="17" t="str">
        <x:v>否</x:v>
      </x:c>
      <x:c r="K29" s="17" t="n">
        <x:v>0</x:v>
      </x:c>
      <x:c r="L29" s="17" t="n">
        <x:v>0</x:v>
      </x:c>
      <x:c r="M29" s="17" t="str">
        <x:v>回答整理</x:v>
      </x:c>
      <x:c r="N29" s="17" t="str">
        <x:v>provider_requests=18；tokens=31483</x:v>
      </x:c>
      <x:c r="O29" s="17" t="str">
        <x:v>长尾驱动（待根因）</x:v>
      </x:c>
      <x:c r="P29" s="17" t="str"/>
      <x:c r="Q29" s="17" t="str"/>
    </x:row>
    <x:row r="30" ht="62" customHeight="1">
      <x:c r="A30" s="17" t="str">
        <x:v>BUS064</x:v>
      </x:c>
      <x:c r="B30" s="17" t="str">
        <x:v>查询美的集团按地区分部的收入占比。</x:v>
      </x:c>
      <x:c r="C30" s="18" t="n">
        <x:v>80163.19</x:v>
      </x:c>
      <x:c r="D30" s="18" t="n">
        <x:v>84116.25199999998</x:v>
      </x:c>
      <x:c r="E30" s="34" t="n">
        <x:v>0.9530047772456626</x:v>
      </x:c>
      <x:c r="F30" s="17" t="n">
        <x:v>6</x:v>
      </x:c>
      <x:c r="G30" s="17" t="n">
        <x:v>6</x:v>
      </x:c>
      <x:c r="H30" s="17" t="n">
        <x:v>0</x:v>
      </x:c>
      <x:c r="I30" s="17" t="n">
        <x:v>0</x:v>
      </x:c>
      <x:c r="J30" s="17" t="str">
        <x:v>否</x:v>
      </x:c>
      <x:c r="K30" s="17" t="n">
        <x:v>1</x:v>
      </x:c>
      <x:c r="L30" s="17" t="n">
        <x:v>0</x:v>
      </x:c>
      <x:c r="M30" s="17" t="str">
        <x:v>数据查询 1/1</x:v>
      </x:c>
      <x:c r="N30" s="17" t="str"/>
      <x:c r="O30" s="17" t="str"/>
      <x:c r="P30" s="17" t="str"/>
      <x:c r="Q30" s="17" t="str"/>
    </x:row>
    <x:row r="31" ht="62" customHeight="1">
      <x:c r="A31" s="17" t="str">
        <x:v>BUS213</x:v>
      </x:c>
      <x:c r="B31" s="17" t="str">
        <x:v>筛选今天热度上升且涨停数量超过5个的热点事件。</x:v>
      </x:c>
      <x:c r="C31" s="18" t="n">
        <x:v>77181.63</x:v>
      </x:c>
      <x:c r="D31" s="18" t="n">
        <x:v>84116.25199999998</x:v>
      </x:c>
      <x:c r="E31" s="34" t="n">
        <x:v>0.9175590705111305</x:v>
      </x:c>
      <x:c r="F31" s="17" t="n">
        <x:v>16</x:v>
      </x:c>
      <x:c r="G31" s="17" t="n">
        <x:v>17</x:v>
      </x:c>
      <x:c r="H31" s="17" t="n">
        <x:v>0</x:v>
      </x:c>
      <x:c r="I31" s="17" t="n">
        <x:v>0</x:v>
      </x:c>
      <x:c r="J31" s="17" t="str">
        <x:v>否</x:v>
      </x:c>
      <x:c r="K31" s="17" t="n">
        <x:v>4</x:v>
      </x:c>
      <x:c r="L31" s="17" t="n">
        <x:v>0</x:v>
      </x:c>
      <x:c r="M31" s="17" t="str">
        <x:v>回答整理</x:v>
      </x:c>
      <x:c r="N31" s="17" t="str"/>
      <x:c r="O31" s="17" t="str"/>
      <x:c r="P31" s="17" t="str"/>
      <x:c r="Q31" s="17" t="str"/>
    </x:row>
    <x:row r="32" ht="62" customHeight="1">
      <x:c r="A32" s="17" t="str">
        <x:v>BUS121</x:v>
      </x:c>
      <x:c r="B32" s="17" t="str">
        <x:v>统计白酒行业成分股最新PE_TTM均值和最高市值股票。</x:v>
      </x:c>
      <x:c r="C32" s="18" t="n">
        <x:v>76340.32</x:v>
      </x:c>
      <x:c r="D32" s="18" t="n">
        <x:v>84116.25199999998</x:v>
      </x:c>
      <x:c r="E32" s="34" t="n">
        <x:v>0.9075573172233117</x:v>
      </x:c>
      <x:c r="F32" s="17" t="n">
        <x:v>14</x:v>
      </x:c>
      <x:c r="G32" s="17" t="n">
        <x:v>17</x:v>
      </x:c>
      <x:c r="H32" s="17" t="n">
        <x:v>0</x:v>
      </x:c>
      <x:c r="I32" s="17" t="n">
        <x:v>0</x:v>
      </x:c>
      <x:c r="J32" s="17" t="str">
        <x:v>否</x:v>
      </x:c>
      <x:c r="K32" s="17" t="n">
        <x:v>3</x:v>
      </x:c>
      <x:c r="L32" s="17" t="n">
        <x:v>0</x:v>
      </x:c>
      <x:c r="M32" s="17" t="str">
        <x:v>回答整理</x:v>
      </x:c>
      <x:c r="N32" s="17" t="str"/>
      <x:c r="O32" s="17" t="str"/>
      <x:c r="P32" s="17" t="str"/>
      <x:c r="Q32" s="17" t="str"/>
    </x:row>
    <x:row r="33" ht="62" customHeight="1">
      <x:c r="A33" s="17" t="str">
        <x:v>BUS110</x:v>
      </x:c>
      <x:c r="B33" s="17" t="str">
        <x:v>查询计算机设备行业的一级、二级和三级行业名称。</x:v>
      </x:c>
      <x:c r="C33" s="18" t="n">
        <x:v>73827.78</x:v>
      </x:c>
      <x:c r="D33" s="18" t="n">
        <x:v>84116.25199999998</x:v>
      </x:c>
      <x:c r="E33" s="34" t="n">
        <x:v>0.8776874651999476</x:v>
      </x:c>
      <x:c r="F33" s="17" t="n">
        <x:v>12</x:v>
      </x:c>
      <x:c r="G33" s="17" t="n">
        <x:v>14</x:v>
      </x:c>
      <x:c r="H33" s="17" t="n">
        <x:v>0</x:v>
      </x:c>
      <x:c r="I33" s="17" t="n">
        <x:v>0</x:v>
      </x:c>
      <x:c r="J33" s="17" t="str">
        <x:v>否</x:v>
      </x:c>
      <x:c r="K33" s="17" t="n">
        <x:v>4</x:v>
      </x:c>
      <x:c r="L33" s="17" t="n">
        <x:v>0</x:v>
      </x:c>
      <x:c r="M33" s="17" t="str">
        <x:v>数据口径</x:v>
      </x:c>
      <x:c r="N33" s="17" t="str"/>
      <x:c r="O33" s="17" t="str"/>
      <x:c r="P33" s="17" t="str"/>
      <x:c r="Q33" s="17" t="str"/>
    </x:row>
    <x:row r="34" ht="62" customHeight="1">
      <x:c r="A34" s="17" t="str">
        <x:v>BUS026</x:v>
      </x:c>
      <x:c r="B34" s="17" t="str">
        <x:v>最新年报ROE最高的前20家公司有哪些？</x:v>
      </x:c>
      <x:c r="C34" s="18" t="n">
        <x:v>73541.94</x:v>
      </x:c>
      <x:c r="D34" s="18" t="n">
        <x:v>84116.25199999998</x:v>
      </x:c>
      <x:c r="E34" s="34" t="n">
        <x:v>0.8742893109407682</x:v>
      </x:c>
      <x:c r="F34" s="17" t="n">
        <x:v>14</x:v>
      </x:c>
      <x:c r="G34" s="17" t="n">
        <x:v>12</x:v>
      </x:c>
      <x:c r="H34" s="17" t="n">
        <x:v>0</x:v>
      </x:c>
      <x:c r="I34" s="17" t="n">
        <x:v>0</x:v>
      </x:c>
      <x:c r="J34" s="17" t="str">
        <x:v>否</x:v>
      </x:c>
      <x:c r="K34" s="17" t="n">
        <x:v>5</x:v>
      </x:c>
      <x:c r="L34" s="17" t="n">
        <x:v>0</x:v>
      </x:c>
      <x:c r="M34" s="17" t="str">
        <x:v>回答整理</x:v>
      </x:c>
      <x:c r="N34" s="17" t="str"/>
      <x:c r="O34" s="17" t="str"/>
      <x:c r="P34" s="17" t="str"/>
      <x:c r="Q34" s="17" t="str"/>
    </x:row>
    <x:row r="35" ht="62" customHeight="1">
      <x:c r="A35" s="17" t="str">
        <x:v>BUS067</x:v>
      </x:c>
      <x:c r="B35" s="17" t="str">
        <x:v>按申万一级行业统计今天股票平均涨跌幅和上涨家数。</x:v>
      </x:c>
      <x:c r="C35" s="18" t="n">
        <x:v>67029.44</x:v>
      </x:c>
      <x:c r="D35" s="18" t="n">
        <x:v>84116.25199999998</x:v>
      </x:c>
      <x:c r="E35" s="34" t="n">
        <x:v>0.796866698245186</x:v>
      </x:c>
      <x:c r="F35" s="17" t="n">
        <x:v>11</x:v>
      </x:c>
      <x:c r="G35" s="17" t="n">
        <x:v>11</x:v>
      </x:c>
      <x:c r="H35" s="17" t="n">
        <x:v>0</x:v>
      </x:c>
      <x:c r="I35" s="17" t="n">
        <x:v>0</x:v>
      </x:c>
      <x:c r="J35" s="17" t="str">
        <x:v>否</x:v>
      </x:c>
      <x:c r="K35" s="17" t="n">
        <x:v>3</x:v>
      </x:c>
      <x:c r="L35" s="17" t="n">
        <x:v>0</x:v>
      </x:c>
      <x:c r="M35" s="17" t="str">
        <x:v>回答整理</x:v>
      </x:c>
      <x:c r="N35" s="17" t="str"/>
      <x:c r="O35" s="17" t="str"/>
      <x:c r="P35" s="17" t="str"/>
      <x:c r="Q35" s="17" t="str"/>
    </x:row>
    <x:row r="36" ht="62" customHeight="1">
      <x:c r="A36" s="17" t="str">
        <x:v>BUS123</x:v>
      </x:c>
      <x:c r="B36" s="17" t="str">
        <x:v>查询半导体行业层级信息、成分股列表和今天平均涨跌幅。</x:v>
      </x:c>
      <x:c r="C36" s="18" t="n">
        <x:v>65578.68</x:v>
      </x:c>
      <x:c r="D36" s="18" t="n">
        <x:v>84116.25199999998</x:v>
      </x:c>
      <x:c r="E36" s="34" t="n">
        <x:v>0.7796196150061466</x:v>
      </x:c>
      <x:c r="F36" s="17" t="n">
        <x:v>11</x:v>
      </x:c>
      <x:c r="G36" s="17" t="n">
        <x:v>14</x:v>
      </x:c>
      <x:c r="H36" s="17" t="n">
        <x:v>0</x:v>
      </x:c>
      <x:c r="I36" s="17" t="n">
        <x:v>0</x:v>
      </x:c>
      <x:c r="J36" s="17" t="str">
        <x:v>否</x:v>
      </x:c>
      <x:c r="K36" s="17" t="n">
        <x:v>3</x:v>
      </x:c>
      <x:c r="L36" s="17" t="n">
        <x:v>0</x:v>
      </x:c>
      <x:c r="M36" s="17" t="str">
        <x:v>回答整理</x:v>
      </x:c>
      <x:c r="N36" s="17" t="str"/>
      <x:c r="O36" s="17" t="str"/>
      <x:c r="P36" s="17" t="str"/>
      <x:c r="Q36" s="17" t="str"/>
    </x:row>
    <x:row r="37" ht="62" customHeight="1">
      <x:c r="A37" s="17" t="str">
        <x:v>BUS183</x:v>
      </x:c>
      <x:c r="B37" s="17" t="str">
        <x:v>查询红利ETF当前表现，并列出红利指数最新估值。</x:v>
      </x:c>
      <x:c r="C37" s="18" t="n">
        <x:v>59251.46</x:v>
      </x:c>
      <x:c r="D37" s="18" t="n">
        <x:v>84116.25199999998</x:v>
      </x:c>
      <x:c r="E37" s="34" t="n">
        <x:v>0.7043996682115605</x:v>
      </x:c>
      <x:c r="F37" s="17" t="n">
        <x:v>13</x:v>
      </x:c>
      <x:c r="G37" s="17" t="n">
        <x:v>0</x:v>
      </x:c>
      <x:c r="H37" s="17" t="n">
        <x:v>0</x:v>
      </x:c>
      <x:c r="I37" s="17" t="n">
        <x:v>0</x:v>
      </x:c>
      <x:c r="J37" s="17" t="str">
        <x:v>否</x:v>
      </x:c>
      <x:c r="K37" s="17" t="n">
        <x:v>0</x:v>
      </x:c>
      <x:c r="L37" s="17" t="n">
        <x:v>0</x:v>
      </x:c>
      <x:c r="M37" s="17" t="str">
        <x:v>回答整理</x:v>
      </x:c>
      <x:c r="N37" s="17" t="str"/>
      <x:c r="O37" s="17" t="str"/>
      <x:c r="P37" s="17" t="str"/>
      <x:c r="Q37" s="17" t="str"/>
    </x:row>
    <x:row r="38" ht="62" customHeight="1">
      <x:c r="A38" s="17" t="str">
        <x:v>BUS062</x:v>
      </x:c>
      <x:c r="B38" s="17" t="str">
        <x:v>查询宁德时代按产品分部的销售收入和收入占比。</x:v>
      </x:c>
      <x:c r="C38" s="18" t="n">
        <x:v>56600.39</x:v>
      </x:c>
      <x:c r="D38" s="18" t="n">
        <x:v>84116.25199999998</x:v>
      </x:c>
      <x:c r="E38" s="34" t="n">
        <x:v>0.6728829287353414</x:v>
      </x:c>
      <x:c r="F38" s="17" t="n">
        <x:v>5</x:v>
      </x:c>
      <x:c r="G38" s="17" t="n">
        <x:v>4</x:v>
      </x:c>
      <x:c r="H38" s="17" t="n">
        <x:v>0</x:v>
      </x:c>
      <x:c r="I38" s="17" t="n">
        <x:v>0</x:v>
      </x:c>
      <x:c r="J38" s="17" t="str">
        <x:v>否</x:v>
      </x:c>
      <x:c r="K38" s="17" t="n">
        <x:v>1</x:v>
      </x:c>
      <x:c r="L38" s="17" t="n">
        <x:v>0</x:v>
      </x:c>
      <x:c r="M38" s="17" t="str">
        <x:v>数据查询 1/1</x:v>
      </x:c>
      <x:c r="N38" s="17" t="str"/>
      <x:c r="O38" s="17" t="str"/>
      <x:c r="P38" s="17" t="str"/>
      <x:c r="Q38" s="17" t="str"/>
    </x:row>
    <x:row r="39" ht="62" customHeight="1">
      <x:c r="A39" s="17" t="str">
        <x:v>BUS065</x:v>
      </x:c>
      <x:c r="B39" s="17" t="str">
        <x:v>最新报告期业务分部销售收入最高的前20条记录。</x:v>
      </x:c>
      <x:c r="C39" s="18" t="n">
        <x:v>56364.52</x:v>
      </x:c>
      <x:c r="D39" s="18" t="n">
        <x:v>84116.25199999998</x:v>
      </x:c>
      <x:c r="E39" s="34" t="n">
        <x:v>0.6700788332794477</x:v>
      </x:c>
      <x:c r="F39" s="17" t="n">
        <x:v>6</x:v>
      </x:c>
      <x:c r="G39" s="17" t="n">
        <x:v>5</x:v>
      </x:c>
      <x:c r="H39" s="17" t="n">
        <x:v>0</x:v>
      </x:c>
      <x:c r="I39" s="17" t="n">
        <x:v>0</x:v>
      </x:c>
      <x:c r="J39" s="17" t="str">
        <x:v>否</x:v>
      </x:c>
      <x:c r="K39" s="17" t="n">
        <x:v>1</x:v>
      </x:c>
      <x:c r="L39" s="17" t="n">
        <x:v>0</x:v>
      </x:c>
      <x:c r="M39" s="17" t="str">
        <x:v>数据查询 1/1</x:v>
      </x:c>
      <x:c r="N39" s="17" t="str"/>
      <x:c r="O39" s="17" t="str"/>
      <x:c r="P39" s="17" t="str"/>
      <x:c r="Q39" s="17" t="str"/>
    </x:row>
    <x:row r="40" ht="62" customHeight="1">
      <x:c r="A40" s="17" t="str">
        <x:v>BUS106</x:v>
      </x:c>
      <x:c r="B40" s="17" t="str">
        <x:v>查询中证500当前估值，并统计其成分股主力净流入前10名。</x:v>
      </x:c>
      <x:c r="C40" s="18" t="n">
        <x:v>54827.48</x:v>
      </x:c>
      <x:c r="D40" s="18" t="n">
        <x:v>84116.25199999998</x:v>
      </x:c>
      <x:c r="E40" s="34" t="n">
        <x:v>0.6518060267354757</x:v>
      </x:c>
      <x:c r="F40" s="17" t="n">
        <x:v>10</x:v>
      </x:c>
      <x:c r="G40" s="17" t="n">
        <x:v>10</x:v>
      </x:c>
      <x:c r="H40" s="17" t="n">
        <x:v>0</x:v>
      </x:c>
      <x:c r="I40" s="17" t="n">
        <x:v>0</x:v>
      </x:c>
      <x:c r="J40" s="17" t="str">
        <x:v>否</x:v>
      </x:c>
      <x:c r="K40" s="17" t="n">
        <x:v>1</x:v>
      </x:c>
      <x:c r="L40" s="17" t="n">
        <x:v>0</x:v>
      </x:c>
      <x:c r="M40" s="17" t="str">
        <x:v>回答整理</x:v>
      </x:c>
      <x:c r="N40" s="17" t="str"/>
      <x:c r="O40" s="17" t="str"/>
      <x:c r="P40" s="17" t="str"/>
      <x:c r="Q40" s="17" t="str"/>
    </x:row>
    <x:row r="41" ht="62" customHeight="1">
      <x:c r="A41" s="17" t="str">
        <x:v>BUS156</x:v>
      </x:c>
      <x:c r="B41" s="17" t="str">
        <x:v>查询机器人板块成分股代码、名称和权重。</x:v>
      </x:c>
      <x:c r="C41" s="18" t="n">
        <x:v>52410.41</x:v>
      </x:c>
      <x:c r="D41" s="18" t="n">
        <x:v>84116.25199999998</x:v>
      </x:c>
      <x:c r="E41" s="34" t="n">
        <x:v>0.6230711515772246</x:v>
      </x:c>
      <x:c r="F41" s="17" t="n">
        <x:v>11</x:v>
      </x:c>
      <x:c r="G41" s="17" t="n">
        <x:v>11</x:v>
      </x:c>
      <x:c r="H41" s="17" t="n">
        <x:v>0</x:v>
      </x:c>
      <x:c r="I41" s="17" t="n">
        <x:v>0</x:v>
      </x:c>
      <x:c r="J41" s="17" t="str">
        <x:v>是</x:v>
      </x:c>
      <x:c r="K41" s="17" t="n">
        <x:v>0</x:v>
      </x:c>
      <x:c r="L41" s="17" t="n">
        <x:v>0</x:v>
      </x:c>
      <x:c r="M41" s="17" t="str">
        <x:v>回答整理</x:v>
      </x:c>
      <x:c r="N41" s="17" t="str"/>
      <x:c r="O41" s="17" t="str"/>
      <x:c r="P41" s="17" t="str"/>
      <x:c r="Q41" s="17" t="str"/>
    </x:row>
    <x:row r="42" ht="62" customHeight="1">
      <x:c r="A42" s="17" t="str">
        <x:v>BUS120</x:v>
      </x:c>
      <x:c r="B42" s="17" t="str">
        <x:v>筛选半导体行业中今天涨幅最高的前10只股票。</x:v>
      </x:c>
      <x:c r="C42" s="18" t="n">
        <x:v>52264.9</x:v>
      </x:c>
      <x:c r="D42" s="18" t="n">
        <x:v>84116.25199999998</x:v>
      </x:c>
      <x:c r="E42" s="34" t="n">
        <x:v>0.6213412837271924</x:v>
      </x:c>
      <x:c r="F42" s="17" t="n">
        <x:v>11</x:v>
      </x:c>
      <x:c r="G42" s="17" t="n">
        <x:v>11</x:v>
      </x:c>
      <x:c r="H42" s="17" t="n">
        <x:v>0</x:v>
      </x:c>
      <x:c r="I42" s="17" t="n">
        <x:v>0</x:v>
      </x:c>
      <x:c r="J42" s="17" t="str">
        <x:v>否</x:v>
      </x:c>
      <x:c r="K42" s="17" t="n">
        <x:v>1</x:v>
      </x:c>
      <x:c r="L42" s="17" t="n">
        <x:v>0</x:v>
      </x:c>
      <x:c r="M42" s="17" t="str">
        <x:v>回答整理</x:v>
      </x:c>
      <x:c r="N42" s="17" t="str"/>
      <x:c r="O42" s="17" t="str"/>
      <x:c r="P42" s="17" t="str"/>
      <x:c r="Q42" s="17" t="str"/>
    </x:row>
    <x:row r="43" ht="62" customHeight="1">
      <x:c r="A43" s="17" t="str">
        <x:v>BUS112</x:v>
      </x:c>
      <x:c r="B43" s="17" t="str">
        <x:v>查询名称包含新能源的申万行业及其行业级别。</x:v>
      </x:c>
      <x:c r="C43" s="18" t="n">
        <x:v>50776.59</x:v>
      </x:c>
      <x:c r="D43" s="18" t="n">
        <x:v>84116.25199999998</x:v>
      </x:c>
      <x:c r="E43" s="34" t="n">
        <x:v>0.6036477944832827</x:v>
      </x:c>
      <x:c r="F43" s="17" t="n">
        <x:v>6</x:v>
      </x:c>
      <x:c r="G43" s="17" t="n">
        <x:v>10</x:v>
      </x:c>
      <x:c r="H43" s="17" t="n">
        <x:v>0</x:v>
      </x:c>
      <x:c r="I43" s="17" t="n">
        <x:v>0</x:v>
      </x:c>
      <x:c r="J43" s="17" t="str">
        <x:v>否</x:v>
      </x:c>
      <x:c r="K43" s="17" t="n">
        <x:v>4</x:v>
      </x:c>
      <x:c r="L43" s="17" t="n">
        <x:v>0</x:v>
      </x:c>
      <x:c r="M43" s="17" t="str">
        <x:v>回答整理</x:v>
      </x:c>
      <x:c r="N43" s="17" t="str"/>
      <x:c r="O43" s="17" t="str"/>
      <x:c r="P43" s="17" t="str"/>
      <x:c r="Q43" s="17" t="str"/>
    </x:row>
    <x:row r="44" ht="62" customHeight="1">
      <x:c r="A44" s="17" t="str">
        <x:v>BUS108</x:v>
      </x:c>
      <x:c r="B44" s="17" t="str">
        <x:v>查询半导体所属的申万行业级别和上级行业。</x:v>
      </x:c>
      <x:c r="C44" s="18" t="n">
        <x:v>50147.09</x:v>
      </x:c>
      <x:c r="D44" s="18" t="n">
        <x:v>84116.25199999998</x:v>
      </x:c>
      <x:c r="E44" s="34" t="n">
        <x:v>0.5961641039355868</x:v>
      </x:c>
      <x:c r="F44" s="17" t="n">
        <x:v>12</x:v>
      </x:c>
      <x:c r="G44" s="17" t="n">
        <x:v>11</x:v>
      </x:c>
      <x:c r="H44" s="17" t="n">
        <x:v>0</x:v>
      </x:c>
      <x:c r="I44" s="17" t="n">
        <x:v>0</x:v>
      </x:c>
      <x:c r="J44" s="17" t="str">
        <x:v>否</x:v>
      </x:c>
      <x:c r="K44" s="17" t="n">
        <x:v>6</x:v>
      </x:c>
      <x:c r="L44" s="17" t="n">
        <x:v>0</x:v>
      </x:c>
      <x:c r="M44" s="17" t="str">
        <x:v>回答整理</x:v>
      </x:c>
      <x:c r="N44" s="17" t="str"/>
      <x:c r="O44" s="17" t="str"/>
      <x:c r="P44" s="17" t="str"/>
      <x:c r="Q44" s="17" t="str"/>
    </x:row>
    <x:row r="45" ht="62" customHeight="1">
      <x:c r="A45" s="17" t="str">
        <x:v>BUS036</x:v>
      </x:c>
      <x:c r="B45" s="17" t="str">
        <x:v>最新融资偿还额最高的前20只股票。</x:v>
      </x:c>
      <x:c r="C45" s="18" t="n">
        <x:v>49425.43</x:v>
      </x:c>
      <x:c r="D45" s="18" t="n">
        <x:v>84116.25199999998</x:v>
      </x:c>
      <x:c r="E45" s="34" t="n">
        <x:v>0.5875847868257374</x:v>
      </x:c>
      <x:c r="F45" s="17" t="n">
        <x:v>5</x:v>
      </x:c>
      <x:c r="G45" s="17" t="n">
        <x:v>4</x:v>
      </x:c>
      <x:c r="H45" s="17" t="n">
        <x:v>0</x:v>
      </x:c>
      <x:c r="I45" s="17" t="n">
        <x:v>0</x:v>
      </x:c>
      <x:c r="J45" s="17" t="str">
        <x:v>否</x:v>
      </x:c>
      <x:c r="K45" s="17" t="n">
        <x:v>1</x:v>
      </x:c>
      <x:c r="L45" s="17" t="n">
        <x:v>0</x:v>
      </x:c>
      <x:c r="M45" s="17" t="str">
        <x:v>回答整理</x:v>
      </x:c>
      <x:c r="N45" s="17" t="str"/>
      <x:c r="O45" s="17" t="str"/>
      <x:c r="P45" s="17" t="str"/>
      <x:c r="Q45" s="17" t="str"/>
    </x:row>
    <x:row r="46" ht="62" customHeight="1">
      <x:c r="A46" s="17" t="str">
        <x:v>BUS218</x:v>
      </x:c>
      <x:c r="B46" s="17" t="str">
        <x:v>查询机器人热点中的龙头公司。</x:v>
      </x:c>
      <x:c r="C46" s="18" t="n">
        <x:v>49200.14</x:v>
      </x:c>
      <x:c r="D46" s="18" t="n">
        <x:v>84116.25199999998</x:v>
      </x:c>
      <x:c r="E46" s="34" t="n">
        <x:v>0.584906469679605</x:v>
      </x:c>
      <x:c r="F46" s="17" t="n">
        <x:v>11</x:v>
      </x:c>
      <x:c r="G46" s="17" t="n">
        <x:v>13</x:v>
      </x:c>
      <x:c r="H46" s="17" t="n">
        <x:v>0</x:v>
      </x:c>
      <x:c r="I46" s="17" t="n">
        <x:v>0</x:v>
      </x:c>
      <x:c r="J46" s="17" t="str">
        <x:v>否</x:v>
      </x:c>
      <x:c r="K46" s="17" t="n">
        <x:v>1</x:v>
      </x:c>
      <x:c r="L46" s="17" t="n">
        <x:v>0</x:v>
      </x:c>
      <x:c r="M46" s="17" t="str">
        <x:v>回答整理</x:v>
      </x:c>
      <x:c r="N46" s="17" t="str"/>
      <x:c r="O46" s="17" t="str"/>
      <x:c r="P46" s="17" t="str"/>
      <x:c r="Q46" s="17" t="str"/>
    </x:row>
    <x:row r="47" ht="62" customHeight="1">
      <x:c r="A47" s="17" t="str">
        <x:v>BUS162</x:v>
      </x:c>
      <x:c r="B47" s="17" t="str">
        <x:v>查询半导体板块估值，并列出其成分股今天涨幅前10名。</x:v>
      </x:c>
      <x:c r="C47" s="18" t="n">
        <x:v>48462.13</x:v>
      </x:c>
      <x:c r="D47" s="18" t="n">
        <x:v>84116.25199999998</x:v>
      </x:c>
      <x:c r="E47" s="34" t="n">
        <x:v>0.5761327787167694</x:v>
      </x:c>
      <x:c r="F47" s="17" t="n">
        <x:v>12</x:v>
      </x:c>
      <x:c r="G47" s="17" t="n">
        <x:v>11</x:v>
      </x:c>
      <x:c r="H47" s="17" t="n">
        <x:v>0</x:v>
      </x:c>
      <x:c r="I47" s="17" t="n">
        <x:v>0</x:v>
      </x:c>
      <x:c r="J47" s="17" t="str">
        <x:v>否</x:v>
      </x:c>
      <x:c r="K47" s="17" t="n">
        <x:v>2</x:v>
      </x:c>
      <x:c r="L47" s="17" t="n">
        <x:v>0</x:v>
      </x:c>
      <x:c r="M47" s="17" t="str">
        <x:v>回答整理</x:v>
      </x:c>
      <x:c r="N47" s="17" t="str"/>
      <x:c r="O47" s="17" t="str"/>
      <x:c r="P47" s="17" t="str"/>
      <x:c r="Q47" s="17" t="str"/>
    </x:row>
    <x:row r="48" ht="62" customHeight="1">
      <x:c r="A48" s="17" t="str">
        <x:v>BUS114</x:v>
      </x:c>
      <x:c r="B48" s="17" t="str">
        <x:v>查询白酒行业成分股数量和股票名单。</x:v>
      </x:c>
      <x:c r="C48" s="18" t="n">
        <x:v>46565.01</x:v>
      </x:c>
      <x:c r="D48" s="18" t="n">
        <x:v>84116.25199999998</x:v>
      </x:c>
      <x:c r="E48" s="34" t="n">
        <x:v>0.5535792298496611</x:v>
      </x:c>
      <x:c r="F48" s="17" t="n">
        <x:v>10</x:v>
      </x:c>
      <x:c r="G48" s="17" t="n">
        <x:v>10</x:v>
      </x:c>
      <x:c r="H48" s="17" t="n">
        <x:v>0</x:v>
      </x:c>
      <x:c r="I48" s="17" t="n">
        <x:v>0</x:v>
      </x:c>
      <x:c r="J48" s="17" t="str">
        <x:v>否</x:v>
      </x:c>
      <x:c r="K48" s="17" t="n">
        <x:v>2</x:v>
      </x:c>
      <x:c r="L48" s="17" t="n">
        <x:v>0</x:v>
      </x:c>
      <x:c r="M48" s="17" t="str">
        <x:v>回答整理</x:v>
      </x:c>
      <x:c r="N48" s="17" t="str"/>
      <x:c r="O48" s="17" t="str"/>
      <x:c r="P48" s="17" t="str"/>
      <x:c r="Q48" s="17" t="str"/>
    </x:row>
    <x:row r="49" ht="62" customHeight="1">
      <x:c r="A49" s="17" t="str">
        <x:v>BUS228</x:v>
      </x:c>
      <x:c r="B49" s="17" t="str">
        <x:v>查询PCB热点的基础信息、最新热度和当前成分股。</x:v>
      </x:c>
      <x:c r="C49" s="18" t="n">
        <x:v>44828.86</x:v>
      </x:c>
      <x:c r="D49" s="18" t="n">
        <x:v>84116.25199999998</x:v>
      </x:c>
      <x:c r="E49" s="34" t="n">
        <x:v>0.5329393420905155</x:v>
      </x:c>
      <x:c r="F49" s="17" t="n">
        <x:v>9</x:v>
      </x:c>
      <x:c r="G49" s="17" t="n">
        <x:v>8</x:v>
      </x:c>
      <x:c r="H49" s="17" t="n">
        <x:v>0</x:v>
      </x:c>
      <x:c r="I49" s="17" t="n">
        <x:v>0</x:v>
      </x:c>
      <x:c r="J49" s="17" t="str">
        <x:v>否</x:v>
      </x:c>
      <x:c r="K49" s="17" t="n">
        <x:v>1</x:v>
      </x:c>
      <x:c r="L49" s="17" t="n">
        <x:v>0</x:v>
      </x:c>
      <x:c r="M49" s="17" t="str">
        <x:v>回答整理</x:v>
      </x:c>
      <x:c r="N49" s="17" t="str"/>
      <x:c r="O49" s="17" t="str"/>
      <x:c r="P49" s="17" t="str"/>
      <x:c r="Q49" s="17" t="str"/>
    </x:row>
    <x:row r="50" ht="62" customHeight="1">
      <x:c r="A50" s="17" t="str">
        <x:v>BUS161</x:v>
      </x:c>
      <x:c r="B50" s="17" t="str">
        <x:v>同时查询人工智能板块当前涨跌幅、主力净流入和前十大成分股。</x:v>
      </x:c>
      <x:c r="C50" s="18" t="n">
        <x:v>43070</x:v>
      </x:c>
      <x:c r="D50" s="18" t="n">
        <x:v>84116.25199999998</x:v>
      </x:c>
      <x:c r="E50" s="34" t="n">
        <x:v>0.5120294708328185</x:v>
      </x:c>
      <x:c r="F50" s="17" t="n">
        <x:v>12</x:v>
      </x:c>
      <x:c r="G50" s="17" t="n">
        <x:v>11</x:v>
      </x:c>
      <x:c r="H50" s="17" t="n">
        <x:v>0</x:v>
      </x:c>
      <x:c r="I50" s="17" t="n">
        <x:v>0</x:v>
      </x:c>
      <x:c r="J50" s="17" t="str">
        <x:v>否</x:v>
      </x:c>
      <x:c r="K50" s="17" t="n">
        <x:v>2</x:v>
      </x:c>
      <x:c r="L50" s="17" t="n">
        <x:v>0</x:v>
      </x:c>
      <x:c r="M50" s="17" t="str">
        <x:v>回答整理</x:v>
      </x:c>
      <x:c r="N50" s="17" t="str"/>
      <x:c r="O50" s="17" t="str"/>
      <x:c r="P50" s="17" t="str"/>
      <x:c r="Q50" s="17" t="str"/>
    </x:row>
    <x:row r="51" ht="62" customHeight="1">
      <x:c r="A51" s="17" t="str">
        <x:v>BUS124</x:v>
      </x:c>
      <x:c r="B51" s="17" t="str">
        <x:v>查询宁德时代所属行业，并列出该行业成分股的融资余额前10名。</x:v>
      </x:c>
      <x:c r="C51" s="18" t="n">
        <x:v>41778.12</x:v>
      </x:c>
      <x:c r="D51" s="18" t="n">
        <x:v>84116.25199999998</x:v>
      </x:c>
      <x:c r="E51" s="34" t="n">
        <x:v>0.4966712021358252</x:v>
      </x:c>
      <x:c r="F51" s="17" t="n">
        <x:v>10</x:v>
      </x:c>
      <x:c r="G51" s="17" t="n">
        <x:v>10</x:v>
      </x:c>
      <x:c r="H51" s="17" t="n">
        <x:v>0</x:v>
      </x:c>
      <x:c r="I51" s="17" t="n">
        <x:v>0</x:v>
      </x:c>
      <x:c r="J51" s="17" t="str">
        <x:v>否</x:v>
      </x:c>
      <x:c r="K51" s="17" t="n">
        <x:v>2</x:v>
      </x:c>
      <x:c r="L51" s="17" t="n">
        <x:v>0</x:v>
      </x:c>
      <x:c r="M51" s="17" t="str">
        <x:v>回答整理</x:v>
      </x:c>
      <x:c r="N51" s="17" t="str"/>
      <x:c r="O51" s="17" t="str"/>
      <x:c r="P51" s="17" t="str"/>
      <x:c r="Q51" s="17" t="str"/>
    </x:row>
    <x:row r="52" ht="62" customHeight="1">
      <x:c r="A52" s="17" t="str">
        <x:v>BUS025</x:v>
      </x:c>
      <x:c r="B52" s="17" t="str">
        <x:v>查询贵州茅台最新报告期营收、净利润和ROE。</x:v>
      </x:c>
      <x:c r="C52" s="18" t="n">
        <x:v>40531.01</x:v>
      </x:c>
      <x:c r="D52" s="18" t="n">
        <x:v>84116.25199999998</x:v>
      </x:c>
      <x:c r="E52" s="34" t="n">
        <x:v>0.4818451730350517</x:v>
      </x:c>
      <x:c r="F52" s="17" t="n">
        <x:v>9</x:v>
      </x:c>
      <x:c r="G52" s="17" t="n">
        <x:v>7</x:v>
      </x:c>
      <x:c r="H52" s="17" t="n">
        <x:v>0</x:v>
      </x:c>
      <x:c r="I52" s="17" t="n">
        <x:v>0</x:v>
      </x:c>
      <x:c r="J52" s="17" t="str">
        <x:v>否</x:v>
      </x:c>
      <x:c r="K52" s="17" t="n">
        <x:v>3</x:v>
      </x:c>
      <x:c r="L52" s="17" t="n">
        <x:v>0</x:v>
      </x:c>
      <x:c r="M52" s="17" t="str">
        <x:v>问题理解</x:v>
      </x:c>
      <x:c r="N52" s="17" t="str"/>
      <x:c r="O52" s="17" t="str"/>
      <x:c r="P52" s="17" t="str"/>
      <x:c r="Q52" s="17" t="str"/>
    </x:row>
    <x:row r="53" ht="62" customHeight="1">
      <x:c r="A53" s="17" t="str">
        <x:v>BUS032</x:v>
      </x:c>
      <x:c r="B53" s="17" t="str">
        <x:v>最新融资余额最高的前20只股票有哪些？</x:v>
      </x:c>
      <x:c r="C53" s="18" t="n">
        <x:v>40180.74</x:v>
      </x:c>
      <x:c r="D53" s="18" t="n">
        <x:v>84116.25199999998</x:v>
      </x:c>
      <x:c r="E53" s="34" t="n">
        <x:v>0.47768105502370706</x:v>
      </x:c>
      <x:c r="F53" s="17" t="n">
        <x:v>7</x:v>
      </x:c>
      <x:c r="G53" s="17" t="n">
        <x:v>6</x:v>
      </x:c>
      <x:c r="H53" s="17" t="n">
        <x:v>0</x:v>
      </x:c>
      <x:c r="I53" s="17" t="n">
        <x:v>0</x:v>
      </x:c>
      <x:c r="J53" s="17" t="str">
        <x:v>否</x:v>
      </x:c>
      <x:c r="K53" s="17" t="n">
        <x:v>2</x:v>
      </x:c>
      <x:c r="L53" s="17" t="n">
        <x:v>0</x:v>
      </x:c>
      <x:c r="M53" s="17" t="str">
        <x:v>回答整理</x:v>
      </x:c>
      <x:c r="N53" s="17" t="str"/>
      <x:c r="O53" s="17" t="str"/>
      <x:c r="P53" s="17" t="str"/>
      <x:c r="Q53" s="17" t="str"/>
    </x:row>
    <x:row r="54" ht="62" customHeight="1">
      <x:c r="A54" s="17" t="str">
        <x:v>BUS169</x:v>
      </x:c>
      <x:c r="B54" s="17" t="str">
        <x:v>查询科创50ETF基金代码和全称。</x:v>
      </x:c>
      <x:c r="C54" s="18" t="n">
        <x:v>39986.91</x:v>
      </x:c>
      <x:c r="D54" s="18" t="n">
        <x:v>84116.25199999998</x:v>
      </x:c>
      <x:c r="E54" s="34" t="n">
        <x:v>0.47537674408032365</x:v>
      </x:c>
      <x:c r="F54" s="17" t="n">
        <x:v>7</x:v>
      </x:c>
      <x:c r="G54" s="17" t="n">
        <x:v>6</x:v>
      </x:c>
      <x:c r="H54" s="17" t="n">
        <x:v>0</x:v>
      </x:c>
      <x:c r="I54" s="17" t="n">
        <x:v>0</x:v>
      </x:c>
      <x:c r="J54" s="17" t="str">
        <x:v>否</x:v>
      </x:c>
      <x:c r="K54" s="17" t="n">
        <x:v>1</x:v>
      </x:c>
      <x:c r="L54" s="17" t="n">
        <x:v>0</x:v>
      </x:c>
      <x:c r="M54" s="17" t="str">
        <x:v>回答整理</x:v>
      </x:c>
      <x:c r="N54" s="17" t="str"/>
      <x:c r="O54" s="17" t="str"/>
      <x:c r="P54" s="17" t="str"/>
      <x:c r="Q54" s="17" t="str"/>
    </x:row>
    <x:row r="55" ht="62" customHeight="1">
      <x:c r="A55" s="17" t="str">
        <x:v>BUS163</x:v>
      </x:c>
      <x:c r="B55" s="17" t="str">
        <x:v>查询新能源车板块资金流，并返回宁德时代当前行情和融资余额。</x:v>
      </x:c>
      <x:c r="C55" s="18" t="n">
        <x:v>39967.51</x:v>
      </x:c>
      <x:c r="D55" s="18" t="n">
        <x:v>84116.25199999998</x:v>
      </x:c>
      <x:c r="E55" s="34" t="n">
        <x:v>0.4751461108847314</x:v>
      </x:c>
      <x:c r="F55" s="17" t="n">
        <x:v>10</x:v>
      </x:c>
      <x:c r="G55" s="17" t="n">
        <x:v>8</x:v>
      </x:c>
      <x:c r="H55" s="17" t="n">
        <x:v>0</x:v>
      </x:c>
      <x:c r="I55" s="17" t="n">
        <x:v>0</x:v>
      </x:c>
      <x:c r="J55" s="17" t="str">
        <x:v>否</x:v>
      </x:c>
      <x:c r="K55" s="17" t="n">
        <x:v>1</x:v>
      </x:c>
      <x:c r="L55" s="17" t="n">
        <x:v>0</x:v>
      </x:c>
      <x:c r="M55" s="17" t="str">
        <x:v>回答整理</x:v>
      </x:c>
      <x:c r="N55" s="17" t="str"/>
      <x:c r="O55" s="17" t="str"/>
      <x:c r="P55" s="17" t="str"/>
      <x:c r="Q55" s="17" t="str"/>
    </x:row>
    <x:row r="56" ht="62" customHeight="1">
      <x:c r="A56" s="17" t="str">
        <x:v>BUS022</x:v>
      </x:c>
      <x:c r="B56" s="17" t="str">
        <x:v>查询宁德时代最近20个交易日PE_TTM和PB变化。</x:v>
      </x:c>
      <x:c r="C56" s="18" t="n">
        <x:v>39282.44</x:v>
      </x:c>
      <x:c r="D56" s="18" t="n">
        <x:v>84116.25199999998</x:v>
      </x:c>
      <x:c r="E56" s="34" t="n">
        <x:v>0.4670017870030635</x:v>
      </x:c>
      <x:c r="F56" s="17" t="n">
        <x:v>7</x:v>
      </x:c>
      <x:c r="G56" s="17" t="n">
        <x:v>6</x:v>
      </x:c>
      <x:c r="H56" s="17" t="n">
        <x:v>0</x:v>
      </x:c>
      <x:c r="I56" s="17" t="n">
        <x:v>0</x:v>
      </x:c>
      <x:c r="J56" s="17" t="str">
        <x:v>否</x:v>
      </x:c>
      <x:c r="K56" s="17" t="n">
        <x:v>1</x:v>
      </x:c>
      <x:c r="L56" s="17" t="n">
        <x:v>0</x:v>
      </x:c>
      <x:c r="M56" s="17" t="str">
        <x:v>回答整理</x:v>
      </x:c>
      <x:c r="N56" s="17" t="str"/>
      <x:c r="O56" s="17" t="str"/>
      <x:c r="P56" s="17" t="str"/>
      <x:c r="Q56" s="17" t="str"/>
    </x:row>
    <x:row r="57" ht="62" customHeight="1">
      <x:c r="A57" s="17" t="str">
        <x:v>BUS155</x:v>
      </x:c>
      <x:c r="B57" s="17" t="str">
        <x:v>查询宁德时代是否属于新能源车板块成分股。</x:v>
      </x:c>
      <x:c r="C57" s="18" t="n">
        <x:v>38749.83</x:v>
      </x:c>
      <x:c r="D57" s="18" t="n">
        <x:v>84116.25199999998</x:v>
      </x:c>
      <x:c r="E57" s="34" t="n">
        <x:v>0.4606699547193331</x:v>
      </x:c>
      <x:c r="F57" s="17" t="n">
        <x:v>11</x:v>
      </x:c>
      <x:c r="G57" s="17" t="n">
        <x:v>10</x:v>
      </x:c>
      <x:c r="H57" s="17" t="n">
        <x:v>0</x:v>
      </x:c>
      <x:c r="I57" s="17" t="n">
        <x:v>0</x:v>
      </x:c>
      <x:c r="J57" s="17" t="str">
        <x:v>否</x:v>
      </x:c>
      <x:c r="K57" s="17" t="n">
        <x:v>5</x:v>
      </x:c>
      <x:c r="L57" s="17" t="n">
        <x:v>0</x:v>
      </x:c>
      <x:c r="M57" s="17" t="str">
        <x:v>回答整理</x:v>
      </x:c>
      <x:c r="N57" s="17" t="str"/>
      <x:c r="O57" s="17" t="str"/>
      <x:c r="P57" s="17" t="str"/>
      <x:c r="Q57" s="17" t="str"/>
    </x:row>
    <x:row r="58" ht="62" customHeight="1">
      <x:c r="A58" s="17" t="str">
        <x:v>BUS134</x:v>
      </x:c>
      <x:c r="B58" s="17" t="str">
        <x:v>今天涨幅最高的板块前20名。</x:v>
      </x:c>
      <x:c r="C58" s="18" t="n">
        <x:v>37359.85</x:v>
      </x:c>
      <x:c r="D58" s="18" t="n">
        <x:v>84116.25199999998</x:v>
      </x:c>
      <x:c r="E58" s="34" t="n">
        <x:v>0.4441454429044224</x:v>
      </x:c>
      <x:c r="F58" s="17" t="n">
        <x:v>7</x:v>
      </x:c>
      <x:c r="G58" s="17" t="n">
        <x:v>6</x:v>
      </x:c>
      <x:c r="H58" s="17" t="n">
        <x:v>0</x:v>
      </x:c>
      <x:c r="I58" s="17" t="n">
        <x:v>0</x:v>
      </x:c>
      <x:c r="J58" s="17" t="str">
        <x:v>否</x:v>
      </x:c>
      <x:c r="K58" s="17" t="n">
        <x:v>1</x:v>
      </x:c>
      <x:c r="L58" s="17" t="n">
        <x:v>0</x:v>
      </x:c>
      <x:c r="M58" s="17" t="str">
        <x:v>回答整理</x:v>
      </x:c>
      <x:c r="N58" s="17" t="str"/>
      <x:c r="O58" s="17" t="str"/>
      <x:c r="P58" s="17" t="str"/>
      <x:c r="Q58" s="17" t="str"/>
    </x:row>
    <x:row r="59" ht="62" customHeight="1">
      <x:c r="A59" s="17" t="str">
        <x:v>BUS151</x:v>
      </x:c>
      <x:c r="B59" s="17" t="str">
        <x:v>查询人工智能板块当前成分股。</x:v>
      </x:c>
      <x:c r="C59" s="18" t="n">
        <x:v>36957.52</x:v>
      </x:c>
      <x:c r="D59" s="18" t="n">
        <x:v>84116.25199999998</x:v>
      </x:c>
      <x:c r="E59" s="34" t="n">
        <x:v>0.4393624195238752</x:v>
      </x:c>
      <x:c r="F59" s="17" t="n">
        <x:v>4</x:v>
      </x:c>
      <x:c r="G59" s="17" t="n">
        <x:v>4</x:v>
      </x:c>
      <x:c r="H59" s="17" t="n">
        <x:v>0</x:v>
      </x:c>
      <x:c r="I59" s="17" t="n">
        <x:v>0</x:v>
      </x:c>
      <x:c r="J59" s="17" t="str">
        <x:v>否</x:v>
      </x:c>
      <x:c r="K59" s="17" t="n">
        <x:v>1</x:v>
      </x:c>
      <x:c r="L59" s="17" t="n">
        <x:v>0</x:v>
      </x:c>
      <x:c r="M59" s="17" t="str">
        <x:v>回答整理</x:v>
      </x:c>
      <x:c r="N59" s="17" t="str"/>
      <x:c r="O59" s="17" t="str"/>
      <x:c r="P59" s="17" t="str"/>
      <x:c r="Q59" s="17" t="str"/>
    </x:row>
    <x:row r="60" ht="62" customHeight="1">
      <x:c r="A60" s="17" t="str">
        <x:v>BUS146</x:v>
      </x:c>
      <x:c r="B60" s="17" t="str">
        <x:v>当前PE_TTM最低的板块前20名。</x:v>
      </x:c>
      <x:c r="C60" s="18" t="n">
        <x:v>36883.5</x:v>
      </x:c>
      <x:c r="D60" s="18" t="n">
        <x:v>84116.25199999998</x:v>
      </x:c>
      <x:c r="E60" s="34" t="n">
        <x:v>0.4384824468879095</x:v>
      </x:c>
      <x:c r="F60" s="17" t="n">
        <x:v>5</x:v>
      </x:c>
      <x:c r="G60" s="17" t="n">
        <x:v>4</x:v>
      </x:c>
      <x:c r="H60" s="17" t="n">
        <x:v>0</x:v>
      </x:c>
      <x:c r="I60" s="17" t="n">
        <x:v>0</x:v>
      </x:c>
      <x:c r="J60" s="17" t="str">
        <x:v>否</x:v>
      </x:c>
      <x:c r="K60" s="17" t="n">
        <x:v>1</x:v>
      </x:c>
      <x:c r="L60" s="17" t="n">
        <x:v>0</x:v>
      </x:c>
      <x:c r="M60" s="17" t="str">
        <x:v>回答整理</x:v>
      </x:c>
      <x:c r="N60" s="17" t="str"/>
      <x:c r="O60" s="17" t="str"/>
      <x:c r="P60" s="17" t="str"/>
      <x:c r="Q60" s="17" t="str"/>
    </x:row>
    <x:row r="61" ht="62" customHeight="1">
      <x:c r="A61" s="17" t="str">
        <x:v>BUS201</x:v>
      </x:c>
      <x:c r="B61" s="17" t="str">
        <x:v>同时查询平安转债行情和中国平安股票当前行情。</x:v>
      </x:c>
      <x:c r="C61" s="18" t="n">
        <x:v>36670.26</x:v>
      </x:c>
      <x:c r="D61" s="18" t="n">
        <x:v>84116.25199999998</x:v>
      </x:c>
      <x:c r="E61" s="34" t="n">
        <x:v>0.4359473838658433</x:v>
      </x:c>
      <x:c r="F61" s="17" t="n">
        <x:v>9</x:v>
      </x:c>
      <x:c r="G61" s="17" t="n">
        <x:v>7</x:v>
      </x:c>
      <x:c r="H61" s="17" t="n">
        <x:v>0</x:v>
      </x:c>
      <x:c r="I61" s="17" t="n">
        <x:v>0</x:v>
      </x:c>
      <x:c r="J61" s="17" t="str">
        <x:v>否</x:v>
      </x:c>
      <x:c r="K61" s="17" t="n">
        <x:v>1</x:v>
      </x:c>
      <x:c r="L61" s="17" t="n">
        <x:v>0</x:v>
      </x:c>
      <x:c r="M61" s="17" t="str">
        <x:v>回答整理</x:v>
      </x:c>
      <x:c r="N61" s="17" t="str"/>
      <x:c r="O61" s="17" t="str"/>
      <x:c r="P61" s="17" t="str"/>
      <x:c r="Q61" s="17" t="str"/>
    </x:row>
    <x:row r="62" ht="62" customHeight="1">
      <x:c r="A62" s="17" t="str">
        <x:v>BUS188</x:v>
      </x:c>
      <x:c r="B62" s="17" t="str">
        <x:v>查询名称包含银行的债券列表。</x:v>
      </x:c>
      <x:c r="C62" s="18" t="n">
        <x:v>35827.24</x:v>
      </x:c>
      <x:c r="D62" s="18" t="n">
        <x:v>84116.25199999998</x:v>
      </x:c>
      <x:c r="E62" s="34" t="n">
        <x:v>0.42592530156954694</x:v>
      </x:c>
      <x:c r="F62" s="17" t="n">
        <x:v>6</x:v>
      </x:c>
      <x:c r="G62" s="17" t="n">
        <x:v>5</x:v>
      </x:c>
      <x:c r="H62" s="17" t="n">
        <x:v>0</x:v>
      </x:c>
      <x:c r="I62" s="17" t="n">
        <x:v>0</x:v>
      </x:c>
      <x:c r="J62" s="17" t="str">
        <x:v>否</x:v>
      </x:c>
      <x:c r="K62" s="17" t="n">
        <x:v>1</x:v>
      </x:c>
      <x:c r="L62" s="17" t="n">
        <x:v>0</x:v>
      </x:c>
      <x:c r="M62" s="17" t="str">
        <x:v>回答整理</x:v>
      </x:c>
      <x:c r="N62" s="17" t="str"/>
      <x:c r="O62" s="17" t="str"/>
      <x:c r="P62" s="17" t="str"/>
      <x:c r="Q62" s="17" t="str"/>
    </x:row>
    <x:row r="63" ht="62" customHeight="1">
      <x:c r="A63" s="17" t="str">
        <x:v>BUS048</x:v>
      </x:c>
      <x:c r="B63" s="17" t="str">
        <x:v>查询质押比例超过30%的公司和质押股东。</x:v>
      </x:c>
      <x:c r="C63" s="18" t="n">
        <x:v>34692.55</x:v>
      </x:c>
      <x:c r="D63" s="18" t="n">
        <x:v>84116.25199999998</x:v>
      </x:c>
      <x:c r="E63" s="34" t="n">
        <x:v>0.4124357561723032</x:v>
      </x:c>
      <x:c r="F63" s="17" t="n">
        <x:v>5</x:v>
      </x:c>
      <x:c r="G63" s="17" t="n">
        <x:v>3</x:v>
      </x:c>
      <x:c r="H63" s="17" t="n">
        <x:v>0</x:v>
      </x:c>
      <x:c r="I63" s="17" t="n">
        <x:v>0</x:v>
      </x:c>
      <x:c r="J63" s="17" t="str">
        <x:v>否</x:v>
      </x:c>
      <x:c r="K63" s="17" t="n">
        <x:v>1</x:v>
      </x:c>
      <x:c r="L63" s="17" t="n">
        <x:v>0</x:v>
      </x:c>
      <x:c r="M63" s="17" t="str">
        <x:v>问题理解</x:v>
      </x:c>
      <x:c r="N63" s="17" t="str"/>
      <x:c r="O63" s="17" t="str"/>
      <x:c r="P63" s="17" t="str"/>
      <x:c r="Q63" s="17" t="str"/>
    </x:row>
    <x:row r="64" ht="62" customHeight="1">
      <x:c r="A64" s="17" t="str">
        <x:v>BUS143</x:v>
      </x:c>
      <x:c r="B64" s="17" t="str">
        <x:v>查询半导体板块最近10日主力净流入。</x:v>
      </x:c>
      <x:c r="C64" s="18" t="n">
        <x:v>34308.57</x:v>
      </x:c>
      <x:c r="D64" s="18" t="n">
        <x:v>84116.25199999998</x:v>
      </x:c>
      <x:c r="E64" s="34" t="n">
        <x:v>0.4078708832628445</x:v>
      </x:c>
      <x:c r="F64" s="17" t="n">
        <x:v>8</x:v>
      </x:c>
      <x:c r="G64" s="17" t="n">
        <x:v>6</x:v>
      </x:c>
      <x:c r="H64" s="17" t="n">
        <x:v>0</x:v>
      </x:c>
      <x:c r="I64" s="17" t="n">
        <x:v>0</x:v>
      </x:c>
      <x:c r="J64" s="17" t="str">
        <x:v>否</x:v>
      </x:c>
      <x:c r="K64" s="17" t="n">
        <x:v>1</x:v>
      </x:c>
      <x:c r="L64" s="17" t="n">
        <x:v>0</x:v>
      </x:c>
      <x:c r="M64" s="17" t="str">
        <x:v>问题理解</x:v>
      </x:c>
      <x:c r="N64" s="17" t="str"/>
      <x:c r="O64" s="17" t="str"/>
      <x:c r="P64" s="17" t="str"/>
      <x:c r="Q64" s="17" t="str"/>
    </x:row>
    <x:row r="65" ht="62" customHeight="1">
      <x:c r="A65" s="17" t="str">
        <x:v>BUS109</x:v>
      </x:c>
      <x:c r="B65" s="17" t="str">
        <x:v>列出电子行业下的二级行业。</x:v>
      </x:c>
      <x:c r="C65" s="18" t="n">
        <x:v>33746.27</x:v>
      </x:c>
      <x:c r="D65" s="18" t="n">
        <x:v>84116.25199999998</x:v>
      </x:c>
      <x:c r="E65" s="34" t="n">
        <x:v>0.40118608708338555</x:v>
      </x:c>
      <x:c r="F65" s="17" t="n">
        <x:v>6</x:v>
      </x:c>
      <x:c r="G65" s="17" t="n">
        <x:v>6</x:v>
      </x:c>
      <x:c r="H65" s="17" t="n">
        <x:v>0</x:v>
      </x:c>
      <x:c r="I65" s="17" t="n">
        <x:v>0</x:v>
      </x:c>
      <x:c r="J65" s="17" t="str">
        <x:v>否</x:v>
      </x:c>
      <x:c r="K65" s="17" t="n">
        <x:v>1</x:v>
      </x:c>
      <x:c r="L65" s="17" t="n">
        <x:v>0</x:v>
      </x:c>
      <x:c r="M65" s="17" t="str">
        <x:v>回答整理</x:v>
      </x:c>
      <x:c r="N65" s="17" t="str"/>
      <x:c r="O65" s="17" t="str"/>
      <x:c r="P65" s="17" t="str"/>
      <x:c r="Q65" s="17" t="str"/>
    </x:row>
    <x:row r="66" ht="62" customHeight="1">
      <x:c r="A66" s="17" t="str">
        <x:v>BUS216</x:v>
      </x:c>
      <x:c r="B66" s="17" t="str">
        <x:v>筛选平均涨幅超过3%的热点事件。</x:v>
      </x:c>
      <x:c r="C66" s="18" t="n">
        <x:v>32091.2</x:v>
      </x:c>
      <x:c r="D66" s="18" t="n">
        <x:v>84116.25199999998</x:v>
      </x:c>
      <x:c r="E66" s="34" t="n">
        <x:v>0.38151010342210695</x:v>
      </x:c>
      <x:c r="F66" s="17" t="n">
        <x:v>7</x:v>
      </x:c>
      <x:c r="G66" s="17" t="n">
        <x:v>6</x:v>
      </x:c>
      <x:c r="H66" s="17" t="n">
        <x:v>0</x:v>
      </x:c>
      <x:c r="I66" s="17" t="n">
        <x:v>0</x:v>
      </x:c>
      <x:c r="J66" s="17" t="str">
        <x:v>否</x:v>
      </x:c>
      <x:c r="K66" s="17" t="n">
        <x:v>1</x:v>
      </x:c>
      <x:c r="L66" s="17" t="n">
        <x:v>0</x:v>
      </x:c>
      <x:c r="M66" s="17" t="str">
        <x:v>回答整理</x:v>
      </x:c>
      <x:c r="N66" s="17" t="str"/>
      <x:c r="O66" s="17" t="str"/>
      <x:c r="P66" s="17" t="str"/>
      <x:c r="Q66" s="17" t="str"/>
    </x:row>
    <x:row r="67" ht="62" customHeight="1">
      <x:c r="A67" s="17" t="str">
        <x:v>BUS111</x:v>
      </x:c>
      <x:c r="B67" s="17" t="str">
        <x:v>筛选行业级别为3的申万行业，返回行业代码和名称。</x:v>
      </x:c>
      <x:c r="C67" s="18" t="n">
        <x:v>31964.14</x:v>
      </x:c>
      <x:c r="D67" s="18" t="n">
        <x:v>84116.25199999998</x:v>
      </x:c>
      <x:c r="E67" s="34" t="n">
        <x:v>0.37999957487406844</x:v>
      </x:c>
      <x:c r="F67" s="17" t="n">
        <x:v>5</x:v>
      </x:c>
      <x:c r="G67" s="17" t="n">
        <x:v>4</x:v>
      </x:c>
      <x:c r="H67" s="17" t="n">
        <x:v>0</x:v>
      </x:c>
      <x:c r="I67" s="17" t="n">
        <x:v>0</x:v>
      </x:c>
      <x:c r="J67" s="17" t="str">
        <x:v>否</x:v>
      </x:c>
      <x:c r="K67" s="17" t="n">
        <x:v>1</x:v>
      </x:c>
      <x:c r="L67" s="17" t="n">
        <x:v>0</x:v>
      </x:c>
      <x:c r="M67" s="17" t="str">
        <x:v>回答整理</x:v>
      </x:c>
      <x:c r="N67" s="17" t="str"/>
      <x:c r="O67" s="17" t="str"/>
      <x:c r="P67" s="17" t="str"/>
      <x:c r="Q67" s="17" t="str"/>
    </x:row>
    <x:row r="68" ht="62" customHeight="1">
      <x:c r="A68" s="17" t="str">
        <x:v>BUS046</x:v>
      </x:c>
      <x:c r="B68" s="17" t="str">
        <x:v>查询贵州茅台主要股东的股权质押明细。</x:v>
      </x:c>
      <x:c r="C68" s="18" t="n">
        <x:v>31868.03</x:v>
      </x:c>
      <x:c r="D68" s="18" t="n">
        <x:v>84116.25199999998</x:v>
      </x:c>
      <x:c r="E68" s="34" t="n">
        <x:v>0.37885698949116287</x:v>
      </x:c>
      <x:c r="F68" s="17" t="n">
        <x:v>5</x:v>
      </x:c>
      <x:c r="G68" s="17" t="n">
        <x:v>3</x:v>
      </x:c>
      <x:c r="H68" s="17" t="n">
        <x:v>0</x:v>
      </x:c>
      <x:c r="I68" s="17" t="n">
        <x:v>0</x:v>
      </x:c>
      <x:c r="J68" s="17" t="str">
        <x:v>否</x:v>
      </x:c>
      <x:c r="K68" s="17" t="n">
        <x:v>1</x:v>
      </x:c>
      <x:c r="L68" s="17" t="n">
        <x:v>0</x:v>
      </x:c>
      <x:c r="M68" s="17" t="str">
        <x:v>数据查询 2/2</x:v>
      </x:c>
      <x:c r="N68" s="17" t="str"/>
      <x:c r="O68" s="17" t="str"/>
      <x:c r="P68" s="17" t="str"/>
      <x:c r="Q68" s="17" t="str"/>
    </x:row>
    <x:row r="69" ht="62" customHeight="1">
      <x:c r="A69" s="17" t="str">
        <x:v>BUS178</x:v>
      </x:c>
      <x:c r="B69" s="17" t="str">
        <x:v>筛选当前成交额超过5亿元且涨幅超过2%的ETF。</x:v>
      </x:c>
      <x:c r="C69" s="18" t="n">
        <x:v>31818.56</x:v>
      </x:c>
      <x:c r="D69" s="18" t="n">
        <x:v>84116.25199999998</x:v>
      </x:c>
      <x:c r="E69" s="34" t="n">
        <x:v>0.37826887484240274</x:v>
      </x:c>
      <x:c r="F69" s="17" t="n">
        <x:v>4</x:v>
      </x:c>
      <x:c r="G69" s="17" t="n">
        <x:v>3</x:v>
      </x:c>
      <x:c r="H69" s="17" t="n">
        <x:v>0</x:v>
      </x:c>
      <x:c r="I69" s="17" t="n">
        <x:v>0</x:v>
      </x:c>
      <x:c r="J69" s="17" t="str">
        <x:v>是</x:v>
      </x:c>
      <x:c r="K69" s="17" t="n">
        <x:v>0</x:v>
      </x:c>
      <x:c r="L69" s="17" t="n">
        <x:v>0</x:v>
      </x:c>
      <x:c r="M69" s="17" t="str">
        <x:v>回答整理</x:v>
      </x:c>
      <x:c r="N69" s="17" t="str"/>
      <x:c r="O69" s="17" t="str"/>
      <x:c r="P69" s="17" t="str"/>
      <x:c r="Q69" s="17" t="str"/>
    </x:row>
    <x:row r="70" ht="62" customHeight="1">
      <x:c r="A70" s="17" t="str">
        <x:v>BUS080</x:v>
      </x:c>
      <x:c r="B70" s="17" t="str">
        <x:v>查询名称包含医药的指数代码和名称。</x:v>
      </x:c>
      <x:c r="C70" s="18" t="n">
        <x:v>30545.65</x:v>
      </x:c>
      <x:c r="D70" s="18" t="n">
        <x:v>84116.25199999998</x:v>
      </x:c>
      <x:c r="E70" s="34" t="n">
        <x:v>0.3631361273681097</x:v>
      </x:c>
      <x:c r="F70" s="17" t="n">
        <x:v>5</x:v>
      </x:c>
      <x:c r="G70" s="17" t="n">
        <x:v>4</x:v>
      </x:c>
      <x:c r="H70" s="17" t="n">
        <x:v>0</x:v>
      </x:c>
      <x:c r="I70" s="17" t="n">
        <x:v>0</x:v>
      </x:c>
      <x:c r="J70" s="17" t="str">
        <x:v>否</x:v>
      </x:c>
      <x:c r="K70" s="17" t="n">
        <x:v>1</x:v>
      </x:c>
      <x:c r="L70" s="17" t="n">
        <x:v>0</x:v>
      </x:c>
      <x:c r="M70" s="17" t="str">
        <x:v>回答整理</x:v>
      </x:c>
      <x:c r="N70" s="17" t="str"/>
      <x:c r="O70" s="17" t="str"/>
      <x:c r="P70" s="17" t="str"/>
      <x:c r="Q70" s="17" t="str"/>
    </x:row>
    <x:row r="71" ht="62" customHeight="1">
      <x:c r="A71" s="17" t="str">
        <x:v>BUS140</x:v>
      </x:c>
      <x:c r="B71" s="17" t="str">
        <x:v>查询人工智能板块最新主力净额和主力净占比。</x:v>
      </x:c>
      <x:c r="C71" s="18" t="n">
        <x:v>29543.21</x:v>
      </x:c>
      <x:c r="D71" s="18" t="n">
        <x:v>84116.25199999998</x:v>
      </x:c>
      <x:c r="E71" s="34" t="n">
        <x:v>0.35121881084287976</x:v>
      </x:c>
      <x:c r="F71" s="17" t="n">
        <x:v>8</x:v>
      </x:c>
      <x:c r="G71" s="17" t="n">
        <x:v>6</x:v>
      </x:c>
      <x:c r="H71" s="17" t="n">
        <x:v>0</x:v>
      </x:c>
      <x:c r="I71" s="17" t="n">
        <x:v>0</x:v>
      </x:c>
      <x:c r="J71" s="17" t="str">
        <x:v>否</x:v>
      </x:c>
      <x:c r="K71" s="17" t="n">
        <x:v>1</x:v>
      </x:c>
      <x:c r="L71" s="17" t="n">
        <x:v>0</x:v>
      </x:c>
      <x:c r="M71" s="17" t="str">
        <x:v>回答整理</x:v>
      </x:c>
      <x:c r="N71" s="17" t="str"/>
      <x:c r="O71" s="17" t="str"/>
      <x:c r="P71" s="17" t="str"/>
      <x:c r="Q71" s="17" t="str"/>
    </x:row>
    <x:row r="72" ht="62" customHeight="1">
      <x:c r="A72" s="17" t="str">
        <x:v>BUS089</x:v>
      </x:c>
      <x:c r="B72" s="17" t="str">
        <x:v>筛选PB低于1.5的指数。</x:v>
      </x:c>
      <x:c r="C72" s="18" t="n">
        <x:v>27982.2</x:v>
      </x:c>
      <x:c r="D72" s="18" t="n">
        <x:v>84116.25199999998</x:v>
      </x:c>
      <x:c r="E72" s="34" t="n">
        <x:v>0.33266104153095183</x:v>
      </x:c>
      <x:c r="F72" s="17" t="n">
        <x:v>6</x:v>
      </x:c>
      <x:c r="G72" s="17" t="n">
        <x:v>4</x:v>
      </x:c>
      <x:c r="H72" s="17" t="n">
        <x:v>0</x:v>
      </x:c>
      <x:c r="I72" s="17" t="n">
        <x:v>0</x:v>
      </x:c>
      <x:c r="J72" s="17" t="str">
        <x:v>否</x:v>
      </x:c>
      <x:c r="K72" s="17" t="n">
        <x:v>2</x:v>
      </x:c>
      <x:c r="L72" s="17" t="n">
        <x:v>0</x:v>
      </x:c>
      <x:c r="M72" s="17" t="str">
        <x:v>回答整理</x:v>
      </x:c>
      <x:c r="N72" s="17" t="str"/>
      <x:c r="O72" s="17" t="str"/>
      <x:c r="P72" s="17" t="str"/>
      <x:c r="Q72" s="17" t="str"/>
    </x:row>
    <x:row r="73" ht="62" customHeight="1">
      <x:c r="A73" s="17" t="str">
        <x:v>BUS090</x:v>
      </x:c>
      <x:c r="B73" s="17" t="str">
        <x:v>查询中证500最近估值PE和PB。</x:v>
      </x:c>
      <x:c r="C73" s="18" t="n">
        <x:v>27614.57</x:v>
      </x:c>
      <x:c r="D73" s="18" t="n">
        <x:v>84116.25199999998</x:v>
      </x:c>
      <x:c r="E73" s="34" t="n">
        <x:v>0.3282905424744793</x:v>
      </x:c>
      <x:c r="F73" s="17" t="n">
        <x:v>6</x:v>
      </x:c>
      <x:c r="G73" s="17" t="n">
        <x:v>4</x:v>
      </x:c>
      <x:c r="H73" s="17" t="n">
        <x:v>0</x:v>
      </x:c>
      <x:c r="I73" s="17" t="n">
        <x:v>0</x:v>
      </x:c>
      <x:c r="J73" s="17" t="str">
        <x:v>否</x:v>
      </x:c>
      <x:c r="K73" s="17" t="n">
        <x:v>1</x:v>
      </x:c>
      <x:c r="L73" s="17" t="n">
        <x:v>0</x:v>
      </x:c>
      <x:c r="M73" s="17" t="str">
        <x:v>问题理解</x:v>
      </x:c>
      <x:c r="N73" s="17" t="str"/>
      <x:c r="O73" s="17" t="str"/>
      <x:c r="P73" s="17" t="str"/>
      <x:c r="Q73" s="17" t="str"/>
    </x:row>
    <x:row r="74" ht="62" customHeight="1">
      <x:c r="A74" s="17" t="str">
        <x:v>BUS088</x:v>
      </x:c>
      <x:c r="B74" s="17" t="str">
        <x:v>当前PE_TTM最低的指数前20名。</x:v>
      </x:c>
      <x:c r="C74" s="18" t="n">
        <x:v>27239.41</x:v>
      </x:c>
      <x:c r="D74" s="18" t="n">
        <x:v>84116.25199999998</x:v>
      </x:c>
      <x:c r="E74" s="34" t="n">
        <x:v>0.32383052445085175</x:v>
      </x:c>
      <x:c r="F74" s="17" t="n">
        <x:v>5</x:v>
      </x:c>
      <x:c r="G74" s="17" t="n">
        <x:v>4</x:v>
      </x:c>
      <x:c r="H74" s="17" t="n">
        <x:v>0</x:v>
      </x:c>
      <x:c r="I74" s="17" t="n">
        <x:v>0</x:v>
      </x:c>
      <x:c r="J74" s="17" t="str">
        <x:v>否</x:v>
      </x:c>
      <x:c r="K74" s="17" t="n">
        <x:v>1</x:v>
      </x:c>
      <x:c r="L74" s="17" t="n">
        <x:v>0</x:v>
      </x:c>
      <x:c r="M74" s="17" t="str">
        <x:v>回答整理</x:v>
      </x:c>
      <x:c r="N74" s="17" t="str"/>
      <x:c r="O74" s="17" t="str"/>
      <x:c r="P74" s="17" t="str"/>
      <x:c r="Q74" s="17" t="str"/>
    </x:row>
    <x:row r="75" ht="62" customHeight="1">
      <x:c r="A75" s="17" t="str">
        <x:v>BUS148</x:v>
      </x:c>
      <x:c r="B75" s="17" t="str">
        <x:v>查询半导体板块最近估值PE和PS。</x:v>
      </x:c>
      <x:c r="C75" s="18" t="n">
        <x:v>26350.6</x:v>
      </x:c>
      <x:c r="D75" s="18" t="n">
        <x:v>84116.25199999998</x:v>
      </x:c>
      <x:c r="E75" s="34" t="n">
        <x:v>0.31326407648310345</x:v>
      </x:c>
      <x:c r="F75" s="17" t="n">
        <x:v>6</x:v>
      </x:c>
      <x:c r="G75" s="17" t="n">
        <x:v>4</x:v>
      </x:c>
      <x:c r="H75" s="17" t="n">
        <x:v>0</x:v>
      </x:c>
      <x:c r="I75" s="17" t="n">
        <x:v>0</x:v>
      </x:c>
      <x:c r="J75" s="17" t="str">
        <x:v>否</x:v>
      </x:c>
      <x:c r="K75" s="17" t="n">
        <x:v>1</x:v>
      </x:c>
      <x:c r="L75" s="17" t="n">
        <x:v>0</x:v>
      </x:c>
      <x:c r="M75" s="17" t="str">
        <x:v>回答整理</x:v>
      </x:c>
      <x:c r="N75" s="17" t="str"/>
      <x:c r="O75" s="17" t="str"/>
      <x:c r="P75" s="17" t="str"/>
      <x:c r="Q75" s="17" t="str"/>
    </x:row>
    <x:row r="76" ht="62" customHeight="1">
      <x:c r="A76" s="17" t="str">
        <x:v>BUS131</x:v>
      </x:c>
      <x:c r="B76" s="17" t="str">
        <x:v>查询名称包含半导体的板块代码。</x:v>
      </x:c>
      <x:c r="C76" s="18" t="n">
        <x:v>23047.04</x:v>
      </x:c>
      <x:c r="D76" s="18" t="n">
        <x:v>84116.25199999998</x:v>
      </x:c>
      <x:c r="E76" s="34" t="n">
        <x:v>0.2739903342341027</x:v>
      </x:c>
      <x:c r="F76" s="17" t="n">
        <x:v>5</x:v>
      </x:c>
      <x:c r="G76" s="17" t="n">
        <x:v>4</x:v>
      </x:c>
      <x:c r="H76" s="17" t="n">
        <x:v>0</x:v>
      </x:c>
      <x:c r="I76" s="17" t="n">
        <x:v>0</x:v>
      </x:c>
      <x:c r="J76" s="17" t="str">
        <x:v>否</x:v>
      </x:c>
      <x:c r="K76" s="17" t="n">
        <x:v>1</x:v>
      </x:c>
      <x:c r="L76" s="17" t="n">
        <x:v>0</x:v>
      </x:c>
      <x:c r="M76" s="17" t="str">
        <x:v>回答整理</x:v>
      </x:c>
      <x:c r="N76" s="17" t="str"/>
      <x:c r="O76" s="17" t="str"/>
      <x:c r="P76" s="17" t="str"/>
      <x:c r="Q76" s="17" t="str"/>
    </x:row>
    <x:row r="77" ht="62" customHeight="1">
      <x:c r="A77" s="17" t="str">
        <x:v>BUS145</x:v>
      </x:c>
      <x:c r="B77" s="17" t="str">
        <x:v>查询人工智能板块最新PE_TTM和PB。</x:v>
      </x:c>
      <x:c r="C77" s="18" t="n">
        <x:v>22796.07</x:v>
      </x:c>
      <x:c r="D77" s="18" t="n">
        <x:v>84116.25199999998</x:v>
      </x:c>
      <x:c r="E77" s="34" t="n">
        <x:v>0.27100672531153674</x:v>
      </x:c>
      <x:c r="F77" s="17" t="n">
        <x:v>6</x:v>
      </x:c>
      <x:c r="G77" s="17" t="n">
        <x:v>4</x:v>
      </x:c>
      <x:c r="H77" s="17" t="n">
        <x:v>0</x:v>
      </x:c>
      <x:c r="I77" s="17" t="n">
        <x:v>0</x:v>
      </x:c>
      <x:c r="J77" s="17" t="str">
        <x:v>否</x:v>
      </x:c>
      <x:c r="K77" s="17" t="n">
        <x:v>1</x:v>
      </x:c>
      <x:c r="L77" s="17" t="n">
        <x:v>0</x:v>
      </x:c>
      <x:c r="M77" s="17" t="str">
        <x:v>回答整理</x:v>
      </x:c>
      <x:c r="N77" s="17" t="str"/>
      <x:c r="O77" s="17" t="str"/>
      <x:c r="P77" s="17" t="str"/>
      <x:c r="Q77" s="17" t="str"/>
    </x:row>
    <x:row r="78" ht="62" customHeight="1">
      <x:c r="A78" s="17" t="str">
        <x:v>BUS196</x:v>
      </x:c>
      <x:c r="B78" s="17" t="str">
        <x:v>查询当前换手率最高的债券前20名。</x:v>
      </x:c>
      <x:c r="C78" s="18" t="n">
        <x:v>22481.37</x:v>
      </x:c>
      <x:c r="D78" s="18" t="n">
        <x:v>84116.25199999998</x:v>
      </x:c>
      <x:c r="E78" s="34" t="n">
        <x:v>0.2672654744531414</x:v>
      </x:c>
      <x:c r="F78" s="17" t="n">
        <x:v>5</x:v>
      </x:c>
      <x:c r="G78" s="17" t="n">
        <x:v>3</x:v>
      </x:c>
      <x:c r="H78" s="17" t="n">
        <x:v>0</x:v>
      </x:c>
      <x:c r="I78" s="17" t="n">
        <x:v>0</x:v>
      </x:c>
      <x:c r="J78" s="17" t="str">
        <x:v>否</x:v>
      </x:c>
      <x:c r="K78" s="17" t="n">
        <x:v>1</x:v>
      </x:c>
      <x:c r="L78" s="17" t="n">
        <x:v>0</x:v>
      </x:c>
      <x:c r="M78" s="17" t="str">
        <x:v>问题理解</x:v>
      </x:c>
      <x:c r="N78" s="17" t="str"/>
      <x:c r="O78" s="17" t="str"/>
      <x:c r="P78" s="17" t="str"/>
      <x:c r="Q78" s="17" t="str"/>
    </x:row>
    <x:row r="79" ht="62" customHeight="1">
      <x:c r="A79" s="17" t="str">
        <x:v>BUS095</x:v>
      </x:c>
      <x:c r="B79" s="17" t="str">
        <x:v>筛选沪深300成分股中权重超过2%的股票。</x:v>
      </x:c>
      <x:c r="C79" s="18" t="n">
        <x:v>14434.05</x:v>
      </x:c>
      <x:c r="D79" s="18" t="n">
        <x:v>84116.25199999998</x:v>
      </x:c>
      <x:c r="E79" s="34" t="n">
        <x:v>0.1715964472596806</x:v>
      </x:c>
      <x:c r="F79" s="17" t="n">
        <x:v>0</x:v>
      </x:c>
      <x:c r="G79" s="17" t="n">
        <x:v>0</x:v>
      </x:c>
      <x:c r="H79" s="17" t="n">
        <x:v>0</x:v>
      </x:c>
      <x:c r="I79" s="17" t="n">
        <x:v>0</x:v>
      </x:c>
      <x:c r="J79" s="17" t="str">
        <x:v>是</x:v>
      </x:c>
      <x:c r="K79" s="17" t="n">
        <x:v>0</x:v>
      </x:c>
      <x:c r="L79" s="17" t="n">
        <x:v>0</x:v>
      </x:c>
      <x:c r="M79" s="17" t="str"/>
      <x:c r="N79" s="17" t="str"/>
      <x:c r="O79" s="17" t="str"/>
      <x:c r="P79" s="17" t="str"/>
      <x:c r="Q79" s="17" t="str"/>
    </x:row>
    <x:row r="80" ht="62" customHeight="1">
      <x:c r="A80" s="17" t="str">
        <x:v>BUS205</x:v>
      </x:c>
      <x:c r="B80" s="17" t="str">
        <x:v>今天仍然活跃的热点事件有哪些？</x:v>
      </x:c>
      <x:c r="C80" s="18" t="n">
        <x:v>12753.27</x:v>
      </x:c>
      <x:c r="D80" s="18" t="n">
        <x:v>84116.25199999998</x:v>
      </x:c>
      <x:c r="E80" s="34" t="n">
        <x:v>0.15161481517269698</x:v>
      </x:c>
      <x:c r="F80" s="17" t="n">
        <x:v>0</x:v>
      </x:c>
      <x:c r="G80" s="17" t="n">
        <x:v>0</x:v>
      </x:c>
      <x:c r="H80" s="17" t="n">
        <x:v>0</x:v>
      </x:c>
      <x:c r="I80" s="17" t="n">
        <x:v>0</x:v>
      </x:c>
      <x:c r="J80" s="17" t="str">
        <x:v>是</x:v>
      </x:c>
      <x:c r="K80" s="17" t="n">
        <x:v>0</x:v>
      </x:c>
      <x:c r="L80" s="17" t="n">
        <x:v>0</x:v>
      </x:c>
      <x:c r="M80" s="17" t="str"/>
      <x:c r="N80" s="17" t="str"/>
      <x:c r="O80" s="17" t="str"/>
      <x:c r="P80" s="17" t="str"/>
      <x:c r="Q80" s="17" t="str"/>
    </x:row>
    <x:row r="81" ht="62" customHeight="1">
      <x:c r="A81" s="17" t="str">
        <x:v>BUS208</x:v>
      </x:c>
      <x:c r="B81" s="17" t="str">
        <x:v>查询沉默天数最长但历史反复出现的热点事件。</x:v>
      </x:c>
      <x:c r="C81" s="18" t="n">
        <x:v>11741.57</x:v>
      </x:c>
      <x:c r="D81" s="18" t="n">
        <x:v>84116.25199999998</x:v>
      </x:c>
      <x:c r="E81" s="34" t="n">
        <x:v>0.13958741290565352</x:v>
      </x:c>
      <x:c r="F81" s="17" t="n">
        <x:v>0</x:v>
      </x:c>
      <x:c r="G81" s="17" t="n">
        <x:v>0</x:v>
      </x:c>
      <x:c r="H81" s="17" t="n">
        <x:v>0</x:v>
      </x:c>
      <x:c r="I81" s="17" t="n">
        <x:v>0</x:v>
      </x:c>
      <x:c r="J81" s="17" t="str">
        <x:v>是</x:v>
      </x:c>
      <x:c r="K81" s="17" t="n">
        <x:v>0</x:v>
      </x:c>
      <x:c r="L81" s="17" t="n">
        <x:v>0</x:v>
      </x:c>
      <x:c r="M81" s="17" t="str"/>
      <x:c r="N81" s="17" t="str"/>
      <x:c r="O81" s="17" t="str"/>
      <x:c r="P81" s="17" t="str"/>
      <x:c r="Q81" s="17" t="str"/>
    </x:row>
    <x:row r="82" ht="62" customHeight="1">
      <x:c r="A82" s="17" t="str">
        <x:v>BUS223</x:v>
      </x:c>
      <x:c r="B82" s="17" t="str">
        <x:v>统计当前活跃热点事件的平均热度，并找出热度最高的前10个事件。</x:v>
      </x:c>
      <x:c r="C82" s="18" t="n">
        <x:v>10105.28</x:v>
      </x:c>
      <x:c r="D82" s="18" t="n">
        <x:v>84116.25199999998</x:v>
      </x:c>
      <x:c r="E82" s="34" t="n">
        <x:v>0.12013469168835535</x:v>
      </x:c>
      <x:c r="F82" s="17" t="n">
        <x:v>0</x:v>
      </x:c>
      <x:c r="G82" s="17" t="n">
        <x:v>0</x:v>
      </x:c>
      <x:c r="H82" s="17" t="n">
        <x:v>0</x:v>
      </x:c>
      <x:c r="I82" s="17" t="n">
        <x:v>0</x:v>
      </x:c>
      <x:c r="J82" s="17" t="str">
        <x:v>是</x:v>
      </x:c>
      <x:c r="K82" s="17" t="n">
        <x:v>0</x:v>
      </x:c>
      <x:c r="L82" s="17" t="n">
        <x:v>0</x:v>
      </x:c>
      <x:c r="M82" s="17" t="str"/>
      <x:c r="N82" s="17" t="str"/>
      <x:c r="O82" s="17" t="str"/>
      <x:c r="P82" s="17" t="str"/>
      <x:c r="Q82" s="17" t="str"/>
    </x:row>
    <x:row r="83" ht="62" customHeight="1">
      <x:c r="A83" s="17" t="str">
        <x:v>BUS187</x:v>
      </x:c>
      <x:c r="B83" s="17" t="str">
        <x:v>查询发行人为中国平安的债券。</x:v>
      </x:c>
      <x:c r="C83" s="18" t="n">
        <x:v>9377.72</x:v>
      </x:c>
      <x:c r="D83" s="18" t="n">
        <x:v>84116.25199999998</x:v>
      </x:c>
      <x:c r="E83" s="34" t="n">
        <x:v>0.11148523355510422</x:v>
      </x:c>
      <x:c r="F83" s="17" t="n">
        <x:v>0</x:v>
      </x:c>
      <x:c r="G83" s="17" t="n">
        <x:v>0</x:v>
      </x:c>
      <x:c r="H83" s="17" t="n">
        <x:v>0</x:v>
      </x:c>
      <x:c r="I83" s="17" t="n">
        <x:v>0</x:v>
      </x:c>
      <x:c r="J83" s="17" t="str">
        <x:v>是</x:v>
      </x:c>
      <x:c r="K83" s="17" t="n">
        <x:v>0</x:v>
      </x:c>
      <x:c r="L83" s="17" t="n">
        <x:v>0</x:v>
      </x:c>
      <x:c r="M83" s="17" t="str"/>
      <x:c r="N83" s="17" t="str"/>
      <x:c r="O83" s="17" t="str"/>
      <x:c r="P83" s="17" t="str"/>
      <x:c r="Q83" s="17" t="str"/>
    </x:row>
    <x:row r="84" ht="62" customHeight="1">
      <x:c r="A84" s="17" t="str">
        <x:v>BUS210</x:v>
      </x:c>
      <x:c r="B84" s="17" t="str">
        <x:v>查询机器人热点事件的核心事件描述和最新事件描述。</x:v>
      </x:c>
      <x:c r="C84" s="18" t="n">
        <x:v>8693.36</x:v>
      </x:c>
      <x:c r="D84" s="18" t="n">
        <x:v>84116.25199999998</x:v>
      </x:c>
      <x:c r="E84" s="34" t="n">
        <x:v>0.10334935037286258</x:v>
      </x:c>
      <x:c r="F84" s="17" t="n">
        <x:v>0</x:v>
      </x:c>
      <x:c r="G84" s="17" t="n">
        <x:v>0</x:v>
      </x:c>
      <x:c r="H84" s="17" t="n">
        <x:v>0</x:v>
      </x:c>
      <x:c r="I84" s="17" t="n">
        <x:v>0</x:v>
      </x:c>
      <x:c r="J84" s="17" t="str">
        <x:v>是</x:v>
      </x:c>
      <x:c r="K84" s="17" t="n">
        <x:v>0</x:v>
      </x:c>
      <x:c r="L84" s="17" t="n">
        <x:v>0</x:v>
      </x:c>
      <x:c r="M84" s="17" t="str"/>
      <x:c r="N84" s="17" t="str"/>
      <x:c r="O84" s="17" t="str"/>
      <x:c r="P84" s="17" t="str"/>
      <x:c r="Q84" s="17" t="str"/>
    </x:row>
    <x:row r="85" ht="62" customHeight="1">
      <x:c r="A85" s="17" t="str">
        <x:v>BUS127</x:v>
      </x:c>
      <x:c r="B85" s="17" t="str">
        <x:v>查询所有板块代码和板块名称。</x:v>
      </x:c>
      <x:c r="C85" s="18" t="n">
        <x:v>8492.66</x:v>
      </x:c>
      <x:c r="D85" s="18" t="n">
        <x:v>84116.25199999998</x:v>
      </x:c>
      <x:c r="E85" s="34" t="n">
        <x:v>0.10096336674629776</x:v>
      </x:c>
      <x:c r="F85" s="17" t="n">
        <x:v>0</x:v>
      </x:c>
      <x:c r="G85" s="17" t="n">
        <x:v>0</x:v>
      </x:c>
      <x:c r="H85" s="17" t="n">
        <x:v>0</x:v>
      </x:c>
      <x:c r="I85" s="17" t="n">
        <x:v>0</x:v>
      </x:c>
      <x:c r="J85" s="17" t="str">
        <x:v>是</x:v>
      </x:c>
      <x:c r="K85" s="17" t="n">
        <x:v>0</x:v>
      </x:c>
      <x:c r="L85" s="17" t="n">
        <x:v>0</x:v>
      </x:c>
      <x:c r="M85" s="17" t="str"/>
      <x:c r="N85" s="17" t="str"/>
      <x:c r="O85" s="17" t="str"/>
      <x:c r="P85" s="17" t="str"/>
      <x:c r="Q85" s="17" t="str"/>
    </x:row>
    <x:row r="86" ht="62" customHeight="1">
      <x:c r="A86" s="17" t="str">
        <x:v>BUS211</x:v>
      </x:c>
      <x:c r="B86" s="17" t="str">
        <x:v>今天热度最高的热点事件前20名。</x:v>
      </x:c>
      <x:c r="C86" s="18" t="n">
        <x:v>8201.79</x:v>
      </x:c>
      <x:c r="D86" s="18" t="n">
        <x:v>84116.25199999998</x:v>
      </x:c>
      <x:c r="E86" s="34" t="n">
        <x:v>0.0975054142925912</x:v>
      </x:c>
      <x:c r="F86" s="17" t="n">
        <x:v>0</x:v>
      </x:c>
      <x:c r="G86" s="17" t="n">
        <x:v>0</x:v>
      </x:c>
      <x:c r="H86" s="17" t="n">
        <x:v>0</x:v>
      </x:c>
      <x:c r="I86" s="17" t="n">
        <x:v>0</x:v>
      </x:c>
      <x:c r="J86" s="17" t="str">
        <x:v>是</x:v>
      </x:c>
      <x:c r="K86" s="17" t="n">
        <x:v>0</x:v>
      </x:c>
      <x:c r="L86" s="17" t="n">
        <x:v>0</x:v>
      </x:c>
      <x:c r="M86" s="17" t="str"/>
      <x:c r="N86" s="17" t="str"/>
      <x:c r="O86" s="17" t="str"/>
      <x:c r="P86" s="17" t="str"/>
      <x:c r="Q86" s="17" t="str"/>
    </x:row>
    <x:row r="87" ht="62" customHeight="1">
      <x:c r="A87" s="17" t="str">
        <x:v>BUS053</x:v>
      </x:c>
      <x:c r="B87" s="17" t="str">
        <x:v>查询最近定增进展为已实施的公司、发行价格和募资金额。</x:v>
      </x:c>
      <x:c r="C87" s="18" t="n">
        <x:v>8180.91</x:v>
      </x:c>
      <x:c r="D87" s="18" t="n">
        <x:v>84116.25199999998</x:v>
      </x:c>
      <x:c r="E87" s="34" t="n">
        <x:v>0.09725718639960328</x:v>
      </x:c>
      <x:c r="F87" s="17" t="n">
        <x:v>0</x:v>
      </x:c>
      <x:c r="G87" s="17" t="n">
        <x:v>0</x:v>
      </x:c>
      <x:c r="H87" s="17" t="n">
        <x:v>0</x:v>
      </x:c>
      <x:c r="I87" s="17" t="n">
        <x:v>0</x:v>
      </x:c>
      <x:c r="J87" s="17" t="str">
        <x:v>是</x:v>
      </x:c>
      <x:c r="K87" s="17" t="n">
        <x:v>0</x:v>
      </x:c>
      <x:c r="L87" s="17" t="n">
        <x:v>0</x:v>
      </x:c>
      <x:c r="M87" s="17" t="str"/>
      <x:c r="N87" s="17" t="str"/>
      <x:c r="O87" s="17" t="str"/>
      <x:c r="P87" s="17" t="str"/>
      <x:c r="Q87" s="17" t="str"/>
    </x:row>
    <x:row r="88" ht="62" customHeight="1">
      <x:c r="A88" s="17" t="str">
        <x:v>BUS016</x:v>
      </x:c>
      <x:c r="B88" s="17" t="str">
        <x:v>筛选今天大单净额为正且主力净占比超过5%的股票。</x:v>
      </x:c>
      <x:c r="C88" s="18" t="n">
        <x:v>8098.98</x:v>
      </x:c>
      <x:c r="D88" s="18" t="n">
        <x:v>84116.25199999998</x:v>
      </x:c>
      <x:c r="E88" s="34" t="n">
        <x:v>0.09628317723904296</x:v>
      </x:c>
      <x:c r="F88" s="17" t="n">
        <x:v>0</x:v>
      </x:c>
      <x:c r="G88" s="17" t="n">
        <x:v>0</x:v>
      </x:c>
      <x:c r="H88" s="17" t="n">
        <x:v>0</x:v>
      </x:c>
      <x:c r="I88" s="17" t="n">
        <x:v>0</x:v>
      </x:c>
      <x:c r="J88" s="17" t="str">
        <x:v>是</x:v>
      </x:c>
      <x:c r="K88" s="17" t="n">
        <x:v>0</x:v>
      </x:c>
      <x:c r="L88" s="17" t="n">
        <x:v>0</x:v>
      </x:c>
      <x:c r="M88" s="17" t="str"/>
      <x:c r="N88" s="17" t="str"/>
      <x:c r="O88" s="17" t="str"/>
      <x:c r="P88" s="17" t="str"/>
      <x:c r="Q88" s="17" t="str"/>
    </x:row>
    <x:row r="89" ht="62" customHeight="1">
      <x:c r="A89" s="17" t="str">
        <x:v>BUS084</x:v>
      </x:c>
      <x:c r="B89" s="17" t="str">
        <x:v>筛选今天成交额超过1000亿元且上涨的指数。</x:v>
      </x:c>
      <x:c r="C89" s="18" t="n">
        <x:v>7945.18</x:v>
      </x:c>
      <x:c r="D89" s="18" t="n">
        <x:v>84116.25199999998</x:v>
      </x:c>
      <x:c r="E89" s="34" t="n">
        <x:v>0.09445475530697685</x:v>
      </x:c>
      <x:c r="F89" s="17" t="n">
        <x:v>0</x:v>
      </x:c>
      <x:c r="G89" s="17" t="n">
        <x:v>0</x:v>
      </x:c>
      <x:c r="H89" s="17" t="n">
        <x:v>0</x:v>
      </x:c>
      <x:c r="I89" s="17" t="n">
        <x:v>0</x:v>
      </x:c>
      <x:c r="J89" s="17" t="str">
        <x:v>是</x:v>
      </x:c>
      <x:c r="K89" s="17" t="n">
        <x:v>0</x:v>
      </x:c>
      <x:c r="L89" s="17" t="n">
        <x:v>0</x:v>
      </x:c>
      <x:c r="M89" s="17" t="str"/>
      <x:c r="N89" s="17" t="str"/>
      <x:c r="O89" s="17" t="str"/>
      <x:c r="P89" s="17" t="str"/>
      <x:c r="Q89" s="17" t="str"/>
    </x:row>
    <x:row r="90" ht="62" customHeight="1">
      <x:c r="A90" s="17" t="str">
        <x:v>BUS119</x:v>
      </x:c>
      <x:c r="B90" s="17" t="str">
        <x:v>按申万一级行业汇总今天股票平均涨跌幅和上涨家数。</x:v>
      </x:c>
      <x:c r="C90" s="18" t="n">
        <x:v>7850.9</x:v>
      </x:c>
      <x:c r="D90" s="18" t="n">
        <x:v>84116.25199999998</x:v>
      </x:c>
      <x:c r="E90" s="34" t="n">
        <x:v>0.09333392552963489</x:v>
      </x:c>
      <x:c r="F90" s="17" t="n">
        <x:v>0</x:v>
      </x:c>
      <x:c r="G90" s="17" t="n">
        <x:v>0</x:v>
      </x:c>
      <x:c r="H90" s="17" t="n">
        <x:v>0</x:v>
      </x:c>
      <x:c r="I90" s="17" t="n">
        <x:v>0</x:v>
      </x:c>
      <x:c r="J90" s="17" t="str">
        <x:v>是</x:v>
      </x:c>
      <x:c r="K90" s="17" t="n">
        <x:v>0</x:v>
      </x:c>
      <x:c r="L90" s="17" t="n">
        <x:v>0</x:v>
      </x:c>
      <x:c r="M90" s="17" t="str"/>
      <x:c r="N90" s="17" t="str"/>
      <x:c r="O90" s="17" t="str"/>
      <x:c r="P90" s="17" t="str"/>
      <x:c r="Q90" s="17" t="str"/>
    </x:row>
    <x:row r="91" ht="62" customHeight="1">
      <x:c r="A91" s="17" t="str">
        <x:v>BUS209</x:v>
      </x:c>
      <x:c r="B91" s="17" t="str">
        <x:v>查询最近触发日期为今天的热点事件。</x:v>
      </x:c>
      <x:c r="C91" s="18" t="n">
        <x:v>7768.66</x:v>
      </x:c>
      <x:c r="D91" s="18" t="n">
        <x:v>84116.25199999998</x:v>
      </x:c>
      <x:c r="E91" s="34" t="n">
        <x:v>0.09235623099326871</x:v>
      </x:c>
      <x:c r="F91" s="17" t="n">
        <x:v>0</x:v>
      </x:c>
      <x:c r="G91" s="17" t="n">
        <x:v>0</x:v>
      </x:c>
      <x:c r="H91" s="17" t="n">
        <x:v>0</x:v>
      </x:c>
      <x:c r="I91" s="17" t="n">
        <x:v>0</x:v>
      </x:c>
      <x:c r="J91" s="17" t="str">
        <x:v>是</x:v>
      </x:c>
      <x:c r="K91" s="17" t="n">
        <x:v>0</x:v>
      </x:c>
      <x:c r="L91" s="17" t="n">
        <x:v>0</x:v>
      </x:c>
      <x:c r="M91" s="17" t="str"/>
      <x:c r="N91" s="17" t="str"/>
      <x:c r="O91" s="17" t="str"/>
      <x:c r="P91" s="17" t="str"/>
      <x:c r="Q91" s="17" t="str"/>
    </x:row>
    <x:row r="92" ht="62" customHeight="1">
      <x:c r="A92" s="17" t="str">
        <x:v>BUS020</x:v>
      </x:c>
      <x:c r="B92" s="17" t="str">
        <x:v>筛选PE_TTM低于15且PB低于1.5的股票。</x:v>
      </x:c>
      <x:c r="C92" s="18" t="n">
        <x:v>7745.51</x:v>
      </x:c>
      <x:c r="D92" s="18" t="n">
        <x:v>84116.25199999998</x:v>
      </x:c>
      <x:c r="E92" s="34" t="n">
        <x:v>0.09208101663873472</x:v>
      </x:c>
      <x:c r="F92" s="17" t="n">
        <x:v>0</x:v>
      </x:c>
      <x:c r="G92" s="17" t="n">
        <x:v>0</x:v>
      </x:c>
      <x:c r="H92" s="17" t="n">
        <x:v>0</x:v>
      </x:c>
      <x:c r="I92" s="17" t="n">
        <x:v>0</x:v>
      </x:c>
      <x:c r="J92" s="17" t="str">
        <x:v>是</x:v>
      </x:c>
      <x:c r="K92" s="17" t="n">
        <x:v>0</x:v>
      </x:c>
      <x:c r="L92" s="17" t="n">
        <x:v>0</x:v>
      </x:c>
      <x:c r="M92" s="17" t="str"/>
      <x:c r="N92" s="17" t="str"/>
      <x:c r="O92" s="17" t="str"/>
      <x:c r="P92" s="17" t="str"/>
      <x:c r="Q92" s="17" t="str"/>
    </x:row>
    <x:row r="93" ht="62" customHeight="1">
      <x:c r="A93" s="17" t="str">
        <x:v>BUS118</x:v>
      </x:c>
      <x:c r="B93" s="17" t="str">
        <x:v>查询银行行业成分股代码和名称。</x:v>
      </x:c>
      <x:c r="C93" s="18" t="n">
        <x:v>7679.46</x:v>
      </x:c>
      <x:c r="D93" s="18" t="n">
        <x:v>84116.25199999998</x:v>
      </x:c>
      <x:c r="E93" s="34" t="n">
        <x:v>0.09129579382590658</x:v>
      </x:c>
      <x:c r="F93" s="17" t="n">
        <x:v>0</x:v>
      </x:c>
      <x:c r="G93" s="17" t="n">
        <x:v>0</x:v>
      </x:c>
      <x:c r="H93" s="17" t="n">
        <x:v>0</x:v>
      </x:c>
      <x:c r="I93" s="17" t="n">
        <x:v>0</x:v>
      </x:c>
      <x:c r="J93" s="17" t="str">
        <x:v>是</x:v>
      </x:c>
      <x:c r="K93" s="17" t="n">
        <x:v>0</x:v>
      </x:c>
      <x:c r="L93" s="17" t="n">
        <x:v>0</x:v>
      </x:c>
      <x:c r="M93" s="17" t="str"/>
      <x:c r="N93" s="17" t="str"/>
      <x:c r="O93" s="17" t="str"/>
      <x:c r="P93" s="17" t="str"/>
      <x:c r="Q93" s="17" t="str"/>
    </x:row>
    <x:row r="94" ht="62" customHeight="1">
      <x:c r="A94" s="17" t="str">
        <x:v>BUS006</x:v>
      </x:c>
      <x:c r="B94" s="17" t="str">
        <x:v>筛选近三年上市的A股公司，返回代码、名称和行业。</x:v>
      </x:c>
      <x:c r="C94" s="18" t="n">
        <x:v>7567.81</x:v>
      </x:c>
      <x:c r="D94" s="18" t="n">
        <x:v>84116.25199999998</x:v>
      </x:c>
      <x:c r="E94" s="34" t="n">
        <x:v>0.08996846412034623</x:v>
      </x:c>
      <x:c r="F94" s="17" t="n">
        <x:v>0</x:v>
      </x:c>
      <x:c r="G94" s="17" t="n">
        <x:v>0</x:v>
      </x:c>
      <x:c r="H94" s="17" t="n">
        <x:v>0</x:v>
      </x:c>
      <x:c r="I94" s="17" t="n">
        <x:v>0</x:v>
      </x:c>
      <x:c r="J94" s="17" t="str">
        <x:v>是</x:v>
      </x:c>
      <x:c r="K94" s="17" t="n">
        <x:v>0</x:v>
      </x:c>
      <x:c r="L94" s="17" t="n">
        <x:v>0</x:v>
      </x:c>
      <x:c r="M94" s="17" t="str"/>
      <x:c r="N94" s="17" t="str"/>
      <x:c r="O94" s="17" t="str"/>
      <x:c r="P94" s="17" t="str"/>
      <x:c r="Q94" s="17" t="str"/>
    </x:row>
    <x:row r="95" ht="62" customHeight="1">
      <x:c r="A95" s="17" t="str">
        <x:v>BUS126</x:v>
      </x:c>
      <x:c r="B95" s="17" t="str">
        <x:v>同时查询申万一级行业列表和沪深300前十大权重股。</x:v>
      </x:c>
      <x:c r="C95" s="18" t="n">
        <x:v>7482.93</x:v>
      </x:c>
      <x:c r="D95" s="18" t="n">
        <x:v>84116.25199999998</x:v>
      </x:c>
      <x:c r="E95" s="34" t="n">
        <x:v>0.08895938444808504</x:v>
      </x:c>
      <x:c r="F95" s="17" t="n">
        <x:v>0</x:v>
      </x:c>
      <x:c r="G95" s="17" t="n">
        <x:v>0</x:v>
      </x:c>
      <x:c r="H95" s="17" t="n">
        <x:v>0</x:v>
      </x:c>
      <x:c r="I95" s="17" t="n">
        <x:v>0</x:v>
      </x:c>
      <x:c r="J95" s="17" t="str">
        <x:v>是</x:v>
      </x:c>
      <x:c r="K95" s="17" t="n">
        <x:v>0</x:v>
      </x:c>
      <x:c r="L95" s="17" t="n">
        <x:v>0</x:v>
      </x:c>
      <x:c r="M95" s="17" t="str"/>
      <x:c r="N95" s="17" t="str"/>
      <x:c r="O95" s="17" t="str"/>
      <x:c r="P95" s="17" t="str"/>
      <x:c r="Q95" s="17" t="str"/>
    </x:row>
    <x:row r="96" ht="62" customHeight="1">
      <x:c r="A96" s="17" t="str">
        <x:v>BUS130</x:v>
      </x:c>
      <x:c r="B96" s="17" t="str">
        <x:v>查询证券板块代码和板块名称。</x:v>
      </x:c>
      <x:c r="C96" s="18" t="n">
        <x:v>7350.98</x:v>
      </x:c>
      <x:c r="D96" s="18" t="n">
        <x:v>84116.25199999998</x:v>
      </x:c>
      <x:c r="E96" s="34" t="n">
        <x:v>0.08739072206878644</x:v>
      </x:c>
      <x:c r="F96" s="17" t="n">
        <x:v>0</x:v>
      </x:c>
      <x:c r="G96" s="17" t="n">
        <x:v>0</x:v>
      </x:c>
      <x:c r="H96" s="17" t="n">
        <x:v>0</x:v>
      </x:c>
      <x:c r="I96" s="17" t="n">
        <x:v>0</x:v>
      </x:c>
      <x:c r="J96" s="17" t="str">
        <x:v>是</x:v>
      </x:c>
      <x:c r="K96" s="17" t="n">
        <x:v>0</x:v>
      </x:c>
      <x:c r="L96" s="17" t="n">
        <x:v>0</x:v>
      </x:c>
      <x:c r="M96" s="17" t="str"/>
      <x:c r="N96" s="17" t="str"/>
      <x:c r="O96" s="17" t="str"/>
      <x:c r="P96" s="17" t="str"/>
      <x:c r="Q96" s="17" t="str"/>
    </x:row>
    <x:row r="97" ht="62" customHeight="1">
      <x:c r="A97" s="17" t="str">
        <x:v>BUS158</x:v>
      </x:c>
      <x:c r="B97" s="17" t="str">
        <x:v>筛选半导体板块成分股中今天主力净流入最高的前10只股票。</x:v>
      </x:c>
      <x:c r="C97" s="18" t="n">
        <x:v>7086.68</x:v>
      </x:c>
      <x:c r="D97" s="18" t="n">
        <x:v>84116.25199999998</x:v>
      </x:c>
      <x:c r="E97" s="34" t="n">
        <x:v>0.0842486419865688</x:v>
      </x:c>
      <x:c r="F97" s="17" t="n">
        <x:v>0</x:v>
      </x:c>
      <x:c r="G97" s="17" t="n">
        <x:v>0</x:v>
      </x:c>
      <x:c r="H97" s="17" t="n">
        <x:v>0</x:v>
      </x:c>
      <x:c r="I97" s="17" t="n">
        <x:v>0</x:v>
      </x:c>
      <x:c r="J97" s="17" t="str">
        <x:v>是</x:v>
      </x:c>
      <x:c r="K97" s="17" t="n">
        <x:v>0</x:v>
      </x:c>
      <x:c r="L97" s="17" t="n">
        <x:v>0</x:v>
      </x:c>
      <x:c r="M97" s="17" t="str"/>
      <x:c r="N97" s="17" t="str"/>
      <x:c r="O97" s="17" t="str"/>
      <x:c r="P97" s="17" t="str"/>
      <x:c r="Q97" s="17" t="str"/>
    </x:row>
  </x:sheetData>
  <x:mergeCells>
    <x:mergeCell ref="A1:L1"/>
    <x:mergeCell ref="A2:L2"/>
    <x:mergeCell ref="A4:H4"/>
    <x:mergeCell ref="A16:Q16"/>
  </x:mergeCells>
  <x:pageMargins left="0.7" right="0.7" top="0.75" bottom="0.75" header="0.3" footer="0.3"/>
  <x:tableParts count="2">
    <x:tablePart xmlns:r="http://schemas.openxmlformats.org/officeDocument/2006/relationships" r:id="R0b66985d8e8741de"/>
    <x:tablePart xmlns:r="http://schemas.openxmlformats.org/officeDocument/2006/relationships" r:id="R572670099eb2426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72" hidden="0" customWidth="1"/>
    <x:col min="3" max="3" width="18" hidden="0" customWidth="1"/>
    <x:col min="4" max="4" width="72" hidden="0" customWidth="1"/>
    <x:col min="5" max="5" width="16" hidden="0" customWidth="1"/>
    <x:col min="6" max="6" width="16" hidden="0" customWidth="1"/>
    <x:col min="7" max="7" width="16" hidden="0" customWidth="1"/>
    <x:col min="8" max="8" width="16" hidden="0" customWidth="1"/>
  </x:cols>
  <x:sheetData>
    <x:row r="1" ht="36" customHeight="1">
      <x:c r="A1" s="3" t="str">
        <x:v>口径说明｜如何阅读这份评测</x:v>
      </x:c>
      <x:c r="B1" s="3"/>
      <x:c r="C1" s="3"/>
      <x:c r="D1" s="3"/>
      <x:c r="E1" s="3"/>
      <x:c r="F1" s="3"/>
      <x:c r="G1" s="3"/>
      <x:c r="H1" s="3"/>
    </x:row>
    <x:row r="2" ht="30" customHeight="1">
      <x:c r="A2" s="7" t="str">
        <x:v>生成时间：2026/08/02 05:26:21；该页说明分类边界、缺失值和可追溯输入。</x:v>
      </x:c>
      <x:c r="B2" s="7"/>
      <x:c r="C2" s="7"/>
      <x:c r="D2" s="7"/>
      <x:c r="E2" s="7"/>
      <x:c r="F2" s="7"/>
      <x:c r="G2" s="7"/>
      <x:c r="H2" s="7"/>
    </x:row>
    <x:row r="4" ht="48" customHeight="1">
      <x:c r="A4" s="37" t="str">
        <x:v>评测目标</x:v>
      </x:c>
      <x:c r="B4" s="41" t="str">
        <x:v>批量还原真实金融 Query 的端到端路径，同时观察耗时、阶段、策略、工具调用、答案质量和长尾根因。结论用于找设计性不足，不用于要求每个 Query 100% 直线执行。</x:v>
      </x:c>
    </x:row>
    <x:row r="5" ht="48" customHeight="1">
      <x:c r="A5" s="37" t="str">
        <x:v>总耗时</x:v>
      </x:c>
      <x:c r="B5" s="41" t="str">
        <x:v>从单个 Query 请求开始到最终响应完成的墙钟耗时。若原始结果缺少总耗时，则以已记录阶段耗时之和作为回退，并在明细中保留来源备注。</x:v>
      </x:c>
    </x:row>
    <x:row r="6" ht="48" customHeight="1">
      <x:c r="A6" s="37" t="str">
        <x:v>阶段耗时</x:v>
      </x:c>
      <x:c r="B6" s="41" t="str">
        <x:v>优先读取显式 stages / stage_timings；若只有成对的开始与完成事件，则从事件时间戳推导。阶段之和可能小于总耗时，差额通常来自排队、流传输或未埋点区域。</x:v>
      </x:c>
    </x:row>
    <x:row r="7" ht="48" customHeight="1">
      <x:c r="A7" s="37" t="str">
        <x:v>合理操作</x:v>
      </x:c>
      <x:c r="B7" s="41" t="str">
        <x:v>直接推进用户目标、成功取得证据、完成必要变换或渲染的操作。</x:v>
      </x:c>
    </x:row>
    <x:row r="8" ht="48" customHeight="1">
      <x:c r="A8" s="37" t="str">
        <x:v>可解释探索</x:v>
      </x:c>
      <x:c r="B8" s="41" t="str">
        <x:v>为定位 API、确认口径或处理确有歧义而进行的有限探索。它计入合理操作率，避免把必要思考误判为浪费。</x:v>
      </x:c>
    </x:row>
    <x:row r="9" ht="48" customHeight="1">
      <x:c r="A9" s="37" t="str">
        <x:v>设计浪费</x:v>
      </x:c>
      <x:c r="B9" s="41" t="str">
        <x:v>已有说明或证据足以避免，但仍发生的重复调用、无必要拆分、相同请求重放、错误字段后重试、死路或空转。只有明确证据才归入此类。</x:v>
      </x:c>
    </x:row>
    <x:row r="10" ht="48" customHeight="1">
      <x:c r="A10" s="37" t="str">
        <x:v>错误/失败</x:v>
      </x:c>
      <x:c r="B10" s="41" t="str">
        <x:v>操作本身返回 error、failed、timeout 或异常。错误与设计浪费分栏，避免把外部偶发错误一律归因于 Harness。</x:v>
      </x:c>
    </x:row>
    <x:row r="11" ht="48" customHeight="1">
      <x:c r="A11" s="37" t="str">
        <x:v>合理操作率</x:v>
      </x:c>
      <x:c r="B11" s="41" t="str">
        <x:v>(合理操作 + 可解释探索) ÷ 操作总数。该比例是诊断信号，不是 100% KPI；复杂问题允许少量 Loop，只关注异常长尾和可重复浪费。</x:v>
      </x:c>
    </x:row>
    <x:row r="12" ht="48" customHeight="1">
      <x:c r="A12" s="37" t="str">
        <x:v>答案审计</x:v>
      </x:c>
      <x:c r="B12" s="41" t="str">
        <x:v>执行成功不等于答案正确。答案审计单独检查证据、时效、Schema、数字、实体/日期和幻觉风险。未提供审计证据时显示“未审计”。</x:v>
      </x:c>
    </x:row>
    <x:row r="13" ht="48" customHeight="1">
      <x:c r="A13" s="37" t="str">
        <x:v>长尾</x:v>
      </x:c>
      <x:c r="B13" s="41" t="str">
        <x:v>优先使用 analysis.json 提供的阈值；否则使用本批次 P95。当前阈值：84.1 秒。</x:v>
      </x:c>
    </x:row>
    <x:row r="14" ht="48" customHeight="1">
      <x:c r="A14" s="37" t="str">
        <x:v>路由错配</x:v>
      </x:c>
      <x:c r="B14" s="41" t="str">
        <x:v>优先读取显式 route_mismatch；否则仅在期望路由和实际路由均存在且明确不同时判定。缺字段不自动判错。</x:v>
      </x:c>
    </x:row>
    <x:row r="15" ht="48" customHeight="1">
      <x:c r="A15" s="37" t="str">
        <x:v>缺失值</x:v>
      </x:c>
      <x:c r="B15" s="41" t="str">
        <x:v>空白表示原始 trace 未提供或无法可靠推导。报告不会用 0 或占位值伪造缺失耗时、Token、得分或审计结论。</x:v>
      </x:c>
    </x:row>
    <x:row r="16" ht="48" customHeight="1">
      <x:c r="A16" s="37" t="str">
        <x:v>输入分析文件</x:v>
      </x:c>
      <x:c r="B16" s="41" t="str">
        <x:v>/Volumes/ext/fin_agent/outputs/d4f10504-8df6-435e-9316-3d89b5fd1015/analysis.json</x:v>
      </x:c>
    </x:row>
    <x:row r="17" ht="48" customHeight="1">
      <x:c r="A17" s="37" t="str">
        <x:v>原始结果文件</x:v>
      </x:c>
      <x:c r="B17" s="41" t="str">
        <x:v>/Volumes/ext/fin_agent/outputs/d4f10504-8df6-435e-9316-3d89b5fd1015/finance_query_api_batch_results.json</x:v>
      </x:c>
    </x:row>
    <x:row r="18" ht="48" customHeight="1">
      <x:c r="A18" s="37" t="str">
        <x:v>生成器</x:v>
      </x:c>
      <x:c r="B18" s="41" t="str">
        <x:v>/private/tmp/fin_agent_finance_query_eval_20260802/build_finance_query_api_report.mjs</x:v>
      </x:c>
    </x:row>
  </x:sheetData>
  <x:mergeCells>
    <x:mergeCell ref="A1:H1"/>
    <x:mergeCell ref="A2:H2"/>
  </x:mergeCells>
  <x:pageMargins left="0.7" right="0.7" top="0.75" bottom="0.75" header="0.3" footer="0.3"/>
</x:worksheet>
</file>