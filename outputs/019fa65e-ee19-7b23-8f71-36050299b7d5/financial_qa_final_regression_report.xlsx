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72c26fbfc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eb29f48e77d4b3c"/>
    <x:sheet xmlns:r="http://schemas.openxmlformats.org/officeDocument/2006/relationships" name="问答明细" sheetId="2" r:id="R2c5181241f164edd"/>
    <x:sheet xmlns:r="http://schemas.openxmlformats.org/officeDocument/2006/relationships" name="操作明细" sheetId="3" r:id="Rce8097baa8f9451b"/>
    <x:sheet xmlns:r="http://schemas.openxmlformats.org/officeDocument/2006/relationships" name="进展事件" sheetId="4" r:id="R48d4b310b8eb44d0"/>
    <x:sheet xmlns:r="http://schemas.openxmlformats.org/officeDocument/2006/relationships" name="口径与限制" sheetId="5" r:id="R89c977b269a1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4"/>
      <x:color rgb="FF17324D"/>
      <x:name val="Carlito"/>
    </x:font>
    <x:font>
      <x:sz val="10"/>
      <x:color rgb="FF172B3A"/>
      <x:name val="Carlito"/>
    </x:font>
    <x:font>
      <x:b/>
      <x:sz val="11"/>
      <x:color rgb="FF216E3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7"/>
      </x:patternFill>
    </x:fill>
    <x:fill>
      <x:patternFill patternType="solid">
        <x:fgColor rgb="FF1F6D78"/>
      </x:patternFill>
    </x:fill>
    <x:fill>
      <x:patternFill patternType="solid">
        <x:fgColor rgb="FFDDEFF1"/>
      </x:patternFill>
    </x:fill>
    <x:fill>
      <x:patternFill patternType="solid">
        <x:fgColor rgb="FFE3F3E7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201" fontId="4" fillId="5" borderId="1" xfId="0" applyNumberFormat="1" applyFont="1" applyFill="1" applyBorder="1" applyAlignment="1">
      <x:alignment horizontal="center" wrapText="1"/>
    </x:xf>
    <x:xf numFmtId="202" fontId="4" fillId="5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center" vertical="center" wrapText="1"/>
    </x:xf>
    <x:xf numFmtId="202" fontId="4" fillId="5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16E39"/>
      </x:font>
      <x:fill>
        <x:patternFill patternType="solid">
          <x:bgColor rgb="FFE3F3E7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color rgb="FF216E39"/>
      </x:font>
      <x:fill>
        <x:patternFill patternType="solid">
          <x:bgColor rgb="FFE3F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93b3e2c904204" /><Relationship Type="http://schemas.openxmlformats.org/officeDocument/2006/relationships/theme" Target="/xl/theme/theme1.xml" Id="R3ed7b3688e21452a" /><Relationship Type="http://schemas.openxmlformats.org/officeDocument/2006/relationships/sharedStrings" Target="/xl/sharedStrings.xml" Id="R19d7001ceaa34c42" /><Relationship Type="http://schemas.openxmlformats.org/officeDocument/2006/relationships/worksheet" Target="/xl/worksheets/sheet1.xml" Id="Rdeb29f48e77d4b3c" /><Relationship Type="http://schemas.openxmlformats.org/officeDocument/2006/relationships/worksheet" Target="/xl/worksheets/sheet2.xml" Id="R2c5181241f164edd" /><Relationship Type="http://schemas.openxmlformats.org/officeDocument/2006/relationships/worksheet" Target="/xl/worksheets/sheet3.xml" Id="Rce8097baa8f9451b" /><Relationship Type="http://schemas.openxmlformats.org/officeDocument/2006/relationships/worksheet" Target="/xl/worksheets/sheet4.xml" Id="R48d4b310b8eb44d0" /><Relationship Type="http://schemas.openxmlformats.org/officeDocument/2006/relationships/worksheet" Target="/xl/worksheets/sheet5.xml" Id="R89c977b269a148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2" customHeight="1">
      <x:c r="A1" s="32" t="str">
        <x:v>Fin Agent 金融数据问答回归审计</x:v>
      </x:c>
      <x:c r="B1" s="32" t="str">
        <x:v>Fin Agent 金融数据问答回归审计</x:v>
      </x:c>
      <x:c r="C1" s="32" t="str">
        <x:v>Fin Agent 金融数据问答回归审计</x:v>
      </x:c>
      <x:c r="D1" s="32" t="str">
        <x:v>Fin Agent 金融数据问答回归审计</x:v>
      </x:c>
      <x:c r="E1" s="32" t="str">
        <x:v>Fin Agent 金融数据问答回归审计</x:v>
      </x:c>
      <x:c r="F1" s="32" t="str">
        <x:v>Fin Agent 金融数据问答回归审计</x:v>
      </x:c>
      <x:c r="G1" s="32" t="str">
        <x:v>Fin Agent 金融数据问答回归审计</x:v>
      </x:c>
      <x:c r="H1" s="32" t="str">
        <x:v>Fin Agent 金融数据问答回归审计</x:v>
      </x:c>
    </x:row>
    <x:row r="2" ht="32" customHeight="1">
      <x:c r="A2" s="32" t="str">
        <x:v>Fin Agent 金融数据问答回归审计</x:v>
      </x:c>
      <x:c r="B2" s="32" t="str">
        <x:v>Fin Agent 金融数据问答回归审计</x:v>
      </x:c>
      <x:c r="C2" s="32" t="str">
        <x:v>Fin Agent 金融数据问答回归审计</x:v>
      </x:c>
      <x:c r="D2" s="32" t="str">
        <x:v>Fin Agent 金融数据问答回归审计</x:v>
      </x:c>
      <x:c r="E2" s="32" t="str">
        <x:v>Fin Agent 金融数据问答回归审计</x:v>
      </x:c>
      <x:c r="F2" s="32" t="str">
        <x:v>Fin Agent 金融数据问答回归审计</x:v>
      </x:c>
      <x:c r="G2" s="32" t="str">
        <x:v>Fin Agent 金融数据问答回归审计</x:v>
      </x:c>
      <x:c r="H2" s="32" t="str">
        <x:v>Fin Agent 金融数据问答回归审计</x:v>
      </x:c>
    </x:row>
    <x:row r="3" ht="15" hidden="0" customHeight="1">
      <x:c r="A3" s="40" t="str">
        <x:v>数据集 v1｜工具范围 finance_query_only｜生成时间 2026/7/28 13:42:25</x:v>
      </x:c>
      <x:c r="B3" s="40" t="str">
        <x:v>数据集 v1｜工具范围 finance_query_only｜生成时间 2026/7/28 13:42:25</x:v>
      </x:c>
      <x:c r="C3" s="40" t="str">
        <x:v>数据集 v1｜工具范围 finance_query_only｜生成时间 2026/7/28 13:42:25</x:v>
      </x:c>
      <x:c r="D3" s="40" t="str">
        <x:v>数据集 v1｜工具范围 finance_query_only｜生成时间 2026/7/28 13:42:25</x:v>
      </x:c>
      <x:c r="E3" s="40" t="str">
        <x:v>数据集 v1｜工具范围 finance_query_only｜生成时间 2026/7/28 13:42:25</x:v>
      </x:c>
      <x:c r="F3" s="40" t="str">
        <x:v>数据集 v1｜工具范围 finance_query_only｜生成时间 2026/7/28 13:42:25</x:v>
      </x:c>
      <x:c r="G3" s="40" t="str">
        <x:v>数据集 v1｜工具范围 finance_query_only｜生成时间 2026/7/28 13:42:25</x:v>
      </x:c>
      <x:c r="H3" s="40" t="str">
        <x:v>数据集 v1｜工具范围 finance_query_only｜生成时间 2026/7/28 13:42:25</x:v>
      </x:c>
    </x:row>
    <x:row r="4" ht="15" hidden="0" customHeight="1">
      <x:c r="A4" s="41"/>
      <x:c r="B4" s="41"/>
      <x:c r="C4" s="41"/>
      <x:c r="D4" s="41"/>
      <x:c r="E4" s="41"/>
      <x:c r="F4" s="41"/>
      <x:c r="G4" s="41"/>
      <x:c r="H4" s="41"/>
    </x:row>
    <x:row r="5" ht="15" hidden="0" customHeight="1">
      <x:c r="A5" s="12" t="str">
        <x:v>通过问答轮次</x:v>
      </x:c>
      <x:c r="B5" s="12" t="str">
        <x:v>问答总数</x:v>
      </x:c>
      <x:c r="C5" s="12" t="str">
        <x:v>总用时(秒)</x:v>
      </x:c>
      <x:c r="D5" s="12" t="str">
        <x:v>总操作</x:v>
      </x:c>
      <x:c r="E5" s="12" t="str">
        <x:v>有效操作</x:v>
      </x:c>
      <x:c r="F5" s="12" t="str">
        <x:v>无效操作</x:v>
      </x:c>
      <x:c r="G5" s="12" t="str">
        <x:v>操作有效率</x:v>
      </x:c>
      <x:c r="H5" s="12" t="str">
        <x:v>有具体中间信息</x:v>
      </x:c>
    </x:row>
    <x:row r="6" ht="16.799999237060547" hidden="0" customHeight="1">
      <x:c r="A6" s="42" t="n">
        <x:f>COUNTIF('问答明细'!E2:E13,"通过")</x:f>
        <x:v>12</x:v>
      </x:c>
      <x:c r="B6" s="42" t="n">
        <x:f>COUNTA('问答明细'!A2:A13)</x:f>
        <x:v>12</x:v>
      </x:c>
      <x:c r="C6" s="43" t="n">
        <x:f>SUM('问答明细'!F2:F13)</x:f>
        <x:v>224.17899999999997</x:v>
      </x:c>
      <x:c r="D6" s="44" t="n">
        <x:f>SUM('问答明细'!M2:M13)</x:f>
        <x:v>29</x:v>
      </x:c>
      <x:c r="E6" s="44" t="n">
        <x:f>SUM('问答明细'!O2:O13)</x:f>
        <x:v>27</x:v>
      </x:c>
      <x:c r="F6" s="44" t="n">
        <x:f>SUM('问答明细'!N2:N13)</x:f>
        <x:v>2</x:v>
      </x:c>
      <x:c r="G6" s="45" t="n">
        <x:f>E6/D6</x:f>
        <x:v>0.9310344827586207</x:v>
      </x:c>
      <x:c r="H6" s="42" t="n">
        <x:f>COUNTIF('问答明细'!I2:I13,"&gt;0")</x:f>
        <x:v>12</x:v>
      </x:c>
    </x:row>
    <x:row r="7" ht="15" hidden="0" customHeight="1">
      <x:c r="A7" s="41"/>
      <x:c r="B7" s="41"/>
      <x:c r="C7" s="41"/>
      <x:c r="D7" s="41"/>
      <x:c r="E7" s="41"/>
      <x:c r="F7" s="41"/>
      <x:c r="G7" s="41"/>
      <x:c r="H7" s="41"/>
    </x:row>
    <x:row r="8" ht="15" hidden="0" customHeight="1">
      <x:c r="A8" s="46" t="str">
        <x:v>上一轮随机回退样本 vs 本轮通用指引</x:v>
      </x:c>
      <x:c r="B8" s="46" t="str">
        <x:v>上一轮随机回退样本 vs 本轮通用指引</x:v>
      </x:c>
      <x:c r="C8" s="46" t="str">
        <x:v>上一轮随机回退样本 vs 本轮通用指引</x:v>
      </x:c>
      <x:c r="D8" s="46" t="str">
        <x:v>上一轮随机回退样本 vs 本轮通用指引</x:v>
      </x:c>
      <x:c r="E8" s="46" t="str">
        <x:v>上一轮随机回退样本 vs 本轮通用指引</x:v>
      </x:c>
      <x:c r="F8" s="46" t="str">
        <x:v>上一轮随机回退样本 vs 本轮通用指引</x:v>
      </x:c>
      <x:c r="G8" s="46" t="str">
        <x:v>上一轮随机回退样本 vs 本轮通用指引</x:v>
      </x:c>
      <x:c r="H8" s="46" t="str">
        <x:v>上一轮随机回退样本 vs 本轮通用指引</x:v>
      </x:c>
    </x:row>
    <x:row r="9" ht="15" hidden="0" customHeight="1">
      <x:c r="A9" s="12" t="str">
        <x:v>样本</x:v>
      </x:c>
      <x:c r="B9" s="12" t="str">
        <x:v>通过 Case</x:v>
      </x:c>
      <x:c r="C9" s="12" t="str">
        <x:v>问答轮次</x:v>
      </x:c>
      <x:c r="D9" s="12" t="str">
        <x:v>总用时(秒)</x:v>
      </x:c>
      <x:c r="E9" s="12" t="str">
        <x:v>总操作</x:v>
      </x:c>
      <x:c r="F9" s="12" t="str">
        <x:v>无效操作</x:v>
      </x:c>
      <x:c r="G9" s="12" t="str">
        <x:v>操作有效率</x:v>
      </x:c>
      <x:c r="H9" s="12" t="str">
        <x:v>说明</x:v>
      </x:c>
    </x:row>
    <x:row r="10" ht="15" hidden="0" customHeight="1">
      <x:c r="A10" s="47" t="str">
        <x:v>上一轮随机回退样本</x:v>
      </x:c>
      <x:c r="B10" s="47" t="str">
        <x:v>10/10</x:v>
      </x:c>
      <x:c r="C10" s="47" t="n">
        <x:v>12</x:v>
      </x:c>
      <x:c r="D10" s="48" t="n">
        <x:v>229.322</x:v>
      </x:c>
      <x:c r="E10" s="49" t="n">
        <x:v>30</x:v>
      </x:c>
      <x:c r="F10" s="49" t="n">
        <x:v>3</x:v>
      </x:c>
      <x:c r="G10" s="50" t="n">
        <x:v>0.9</x:v>
      </x:c>
      <x:c r="H10" s="47" t="str">
        <x:v>跨结果依赖题出现 3 次追空值/非等价重查</x:v>
      </x:c>
    </x:row>
    <x:row r="11" ht="24" hidden="0" customHeight="1">
      <x:c r="A11" s="47" t="str">
        <x:v>本轮最终全量</x:v>
      </x:c>
      <x:c r="B11" s="47" t="str">
        <x:v>10/10</x:v>
      </x:c>
      <x:c r="C11" s="47" t="n">
        <x:v>12</x:v>
      </x:c>
      <x:c r="D11" s="48" t="n">
        <x:f>C6</x:f>
        <x:v>224.17899999999997</x:v>
      </x:c>
      <x:c r="E11" s="49" t="n">
        <x:f>D6</x:f>
        <x:v>29</x:v>
      </x:c>
      <x:c r="F11" s="49" t="n">
        <x:f>F6</x:f>
        <x:v>2</x:v>
      </x:c>
      <x:c r="G11" s="50" t="n">
        <x:f>G6</x:f>
        <x:v>0.9310344827586207</x:v>
      </x:c>
      <x:c r="H11" s="47" t="str">
        <x:v>以问答明细公式汇总；不以 Case 通过率替代效率审计</x:v>
      </x:c>
    </x:row>
    <x:row r="12" ht="15" hidden="0" customHeight="1">
      <x:c r="A12" s="41"/>
      <x:c r="B12" s="41"/>
      <x:c r="C12" s="41"/>
      <x:c r="D12" s="41"/>
      <x:c r="E12" s="41"/>
      <x:c r="F12" s="41"/>
      <x:c r="G12" s="41"/>
      <x:c r="H12" s="41"/>
    </x:row>
    <x:row r="13" ht="15" hidden="0" customHeight="1">
      <x:c r="A13" s="46" t="str">
        <x:v>跨结果依赖稳定性复测（同一通用规则，3 个独立进程）</x:v>
      </x:c>
      <x:c r="B13" s="46" t="str">
        <x:v>跨结果依赖稳定性复测（同一通用规则，3 个独立进程）</x:v>
      </x:c>
      <x:c r="C13" s="46" t="str">
        <x:v>跨结果依赖稳定性复测（同一通用规则，3 个独立进程）</x:v>
      </x:c>
      <x:c r="D13" s="46" t="str">
        <x:v>跨结果依赖稳定性复测（同一通用规则，3 个独立进程）</x:v>
      </x:c>
      <x:c r="E13" s="46" t="str">
        <x:v>跨结果依赖稳定性复测（同一通用规则，3 个独立进程）</x:v>
      </x:c>
      <x:c r="F13" s="46" t="str">
        <x:v>跨结果依赖稳定性复测（同一通用规则，3 个独立进程）</x:v>
      </x:c>
      <x:c r="G13" s="46" t="str">
        <x:v>跨结果依赖稳定性复测（同一通用规则，3 个独立进程）</x:v>
      </x:c>
      <x:c r="H13" s="46" t="str">
        <x:v>跨结果依赖稳定性复测（同一通用规则，3 个独立进程）</x:v>
      </x:c>
    </x:row>
    <x:row r="14" ht="15" hidden="0" customHeight="1">
      <x:c r="A14" s="12" t="str">
        <x:v>运行</x:v>
      </x:c>
      <x:c r="B14" s="12" t="str">
        <x:v>耗时(秒)</x:v>
      </x:c>
      <x:c r="C14" s="12" t="str">
        <x:v>Catalog</x:v>
      </x:c>
      <x:c r="D14" s="12" t="str">
        <x:v>API</x:v>
      </x:c>
      <x:c r="E14" s="12" t="str">
        <x:v>单次 2-step</x:v>
      </x:c>
      <x:c r="F14" s="12" t="str">
        <x:v>追空值</x:v>
      </x:c>
      <x:c r="G14" s="12" t="str">
        <x:v>切 realtime/宽化</x:v>
      </x:c>
      <x:c r="H14" s="12" t="str">
        <x:v>结论</x:v>
      </x:c>
    </x:row>
    <x:row r="15" ht="15" hidden="0" customHeight="1">
      <x:c r="A15" s="47" t="str">
        <x:v>run1</x:v>
      </x:c>
      <x:c r="B15" s="48" t="n">
        <x:v>33.165</x:v>
      </x:c>
      <x:c r="C15" s="47" t="n">
        <x:v>2</x:v>
      </x:c>
      <x:c r="D15" s="47" t="n">
        <x:v>2</x:v>
      </x:c>
      <x:c r="E15" s="47" t="str">
        <x:v>是</x:v>
      </x:c>
      <x:c r="F15" s="47" t="n">
        <x:v>0</x:v>
      </x:c>
      <x:c r="G15" s="47" t="n">
        <x:v>0</x:v>
      </x:c>
      <x:c r="H15" s="47" t="str">
        <x:v>有效</x:v>
      </x:c>
    </x:row>
    <x:row r="16" ht="15" hidden="0" customHeight="1">
      <x:c r="A16" s="47" t="str">
        <x:v>run2</x:v>
      </x:c>
      <x:c r="B16" s="48" t="n">
        <x:v>33.596</x:v>
      </x:c>
      <x:c r="C16" s="47" t="n">
        <x:v>2</x:v>
      </x:c>
      <x:c r="D16" s="47" t="n">
        <x:v>2</x:v>
      </x:c>
      <x:c r="E16" s="47" t="str">
        <x:v>是</x:v>
      </x:c>
      <x:c r="F16" s="47" t="n">
        <x:v>0</x:v>
      </x:c>
      <x:c r="G16" s="47" t="n">
        <x:v>0</x:v>
      </x:c>
      <x:c r="H16" s="47" t="str">
        <x:v>有效</x:v>
      </x:c>
    </x:row>
    <x:row r="17" ht="15" hidden="0" customHeight="1">
      <x:c r="A17" s="47" t="str">
        <x:v>run3</x:v>
      </x:c>
      <x:c r="B17" s="48" t="n">
        <x:v>30.434</x:v>
      </x:c>
      <x:c r="C17" s="47" t="n">
        <x:v>2</x:v>
      </x:c>
      <x:c r="D17" s="47" t="n">
        <x:v>2</x:v>
      </x:c>
      <x:c r="E17" s="47" t="str">
        <x:v>是</x:v>
      </x:c>
      <x:c r="F17" s="47" t="n">
        <x:v>0</x:v>
      </x:c>
      <x:c r="G17" s="47" t="n">
        <x:v>0</x:v>
      </x:c>
      <x:c r="H17" s="47" t="str">
        <x:v>有效</x:v>
      </x:c>
    </x:row>
    <x:row r="18" ht="15" hidden="0" customHeight="1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B19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C19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D19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E19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F19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G19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H19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</x:row>
    <x:row r="20">
      <x:c r="A20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B20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C20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D20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E20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F20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G20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H20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</x:row>
    <x:row r="21">
      <x:c r="A21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B21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C21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D21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E21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F21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G21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  <x:c r="H21" s="31" t="str">
        <x:v>核心结论：本轮改进来自通用解题闭环——先列全业务事实、每个 filter 必须有来源、符号依赖放进同一 flow、执行失败/语义偏差/目标完成三分判断。未在生产说明或代码中加入任何测试题的板块名、证券代码或措辞特判。</x:v>
      </x:c>
    </x:row>
  </x:sheetData>
  <x:mergeCells>
    <x:mergeCell ref="A1:H2"/>
    <x:mergeCell ref="A3:H3"/>
    <x:mergeCell ref="A8:H8"/>
    <x:mergeCell ref="A13:H13"/>
    <x:mergeCell ref="A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7" hidden="0" customWidth="1"/>
    <x:col min="4" max="4" width="48" hidden="0" customWidth="1"/>
    <x:col min="5" max="5" width="10" hidden="0" customWidth="1"/>
    <x:col min="6" max="6" width="12" hidden="0" customWidth="1"/>
    <x:col min="7" max="7" width="24" hidden="0" customWidth="1"/>
    <x:col min="8" max="8" width="18" hidden="0" customWidth="1"/>
    <x:col min="9" max="9" width="13" hidden="0" customWidth="1"/>
    <x:col min="10" max="10" width="11" hidden="0" customWidth="1"/>
    <x:col min="11" max="11" width="11" hidden="0" customWidth="1"/>
    <x:col min="12" max="12" width="9" hidden="0" customWidth="1"/>
    <x:col min="13" max="13" width="11" hidden="0" customWidth="1"/>
    <x:col min="14" max="14" width="9" hidden="0" customWidth="1"/>
    <x:col min="15" max="15" width="9" hidden="0" customWidth="1"/>
    <x:col min="16" max="16" width="11" hidden="0" customWidth="1"/>
    <x:col min="17" max="17" width="22" hidden="0" customWidth="1"/>
    <x:col min="18" max="18" width="38" hidden="0" customWidth="1"/>
    <x:col min="19" max="19" width="56" hidden="0" customWidth="1"/>
  </x:cols>
  <x:sheetData>
    <x:row r="1" ht="30" customHeight="1">
      <x:c r="A1" s="12" t="str">
        <x:v>序号</x:v>
      </x:c>
      <x:c r="B1" s="12" t="str">
        <x:v>Case</x:v>
      </x:c>
      <x:c r="C1" s="12" t="str">
        <x:v>轮次</x:v>
      </x:c>
      <x:c r="D1" s="12" t="str">
        <x:v>问题</x:v>
      </x:c>
      <x:c r="E1" s="12" t="str">
        <x:v>结果</x:v>
      </x:c>
      <x:c r="F1" s="12" t="str">
        <x:v>用时(秒)</x:v>
      </x:c>
      <x:c r="G1" s="12" t="str">
        <x:v>中间信息</x:v>
      </x:c>
      <x:c r="H1" s="12" t="str">
        <x:v>首条具体信息(秒)</x:v>
      </x:c>
      <x:c r="I1" s="12" t="str">
        <x:v>具体进展数</x:v>
      </x:c>
      <x:c r="J1" s="12" t="str">
        <x:v>目录读取</x:v>
      </x:c>
      <x:c r="K1" s="12" t="str">
        <x:v>API步骤</x:v>
      </x:c>
      <x:c r="L1" s="12" t="str">
        <x:v>Load</x:v>
      </x:c>
      <x:c r="M1" s="12" t="str">
        <x:v>总操作</x:v>
      </x:c>
      <x:c r="N1" s="12" t="str">
        <x:v>无效</x:v>
      </x:c>
      <x:c r="O1" s="12" t="str">
        <x:v>有效</x:v>
      </x:c>
      <x:c r="P1" s="12" t="str">
        <x:v>有效率</x:v>
      </x:c>
      <x:c r="Q1" s="12" t="str">
        <x:v>流组织</x:v>
      </x:c>
      <x:c r="R1" s="12" t="str">
        <x:v>无效/重试与回答审计</x:v>
      </x:c>
      <x:c r="S1" s="12" t="str">
        <x:v>回答摘要</x:v>
      </x:c>
    </x:row>
    <x:row r="2" ht="54" customHeight="1">
      <x:c r="A2" s="24" t="n">
        <x:v>1</x:v>
      </x:c>
      <x:c r="B2" s="24" t="str">
        <x:v>realtime_quote</x:v>
      </x:c>
      <x:c r="C2" s="24" t="n">
        <x:v>1</x:v>
      </x:c>
      <x:c r="D2" s="24" t="str">
        <x:v>宁德时代现在的价格、开盘价、最高价、最低价和成交额分别是多少？</x:v>
      </x:c>
      <x:c r="E2" s="24" t="str">
        <x:v>通过</x:v>
      </x:c>
      <x:c r="F2" s="25" t="n">
        <x:v>23.975</x:v>
      </x:c>
      <x:c r="G2" s="24" t="str">
        <x:v>有（共 8 条；具体 2 条）</x:v>
      </x:c>
      <x:c r="H2" s="25" t="n">
        <x:v>19.258</x:v>
      </x:c>
      <x:c r="I2" s="24" t="n">
        <x:v>2</x:v>
      </x:c>
      <x:c r="J2" s="24" t="n">
        <x:v>1</x:v>
      </x:c>
      <x:c r="K2" s="24" t="n">
        <x:v>1</x:v>
      </x:c>
      <x:c r="L2" s="24" t="n">
        <x:v>0</x:v>
      </x:c>
      <x:c r="M2" s="24" t="n">
        <x:v>2</x:v>
      </x:c>
      <x:c r="N2" s="24" t="n">
        <x:v>0</x:v>
      </x:c>
      <x:c r="O2" s="24" t="n">
        <x:v>2</x:v>
      </x:c>
      <x:c r="P2" s="27" t="n">
        <x:f>IF(M2=0,1,O2/M2)</x:f>
        <x:v>1</x:v>
      </x:c>
      <x:c r="Q2" s="24" t="str">
        <x:v>单步完成</x:v>
      </x:c>
      <x:c r="R2" s="24" t="str">
        <x:v>fixture 返回日期为 2026-07-24；回答称为当前实时快照，时间表达强于证据。</x:v>
      </x:c>
      <x:c r="S2" s="24" t="str">
        <x:v>根据最新行情数据，**宁德时代**（300750.SZ）的行情数据如下（数据日期：2026-07-24）： | 指标 | 数值 | |------|------| | **最新价（当前价格）** | **1,500.00 元** | | **开盘价** | **1,488.00 元** | | **最高价** | **1,512.00 元** | | **最低价** | **1,480.00 元** | | **成交额** | **25.00 亿元** | | 涨跌幅 | +0.80% | 今日股价高开（1,488 元）后盘中最高触及 1,512 元，最低下探至 1,480 元，当前报 1,500 元，成交额约 25 亿元。</x:v>
      </x:c>
    </x:row>
    <x:row r="3" ht="54" customHeight="1">
      <x:c r="A3" s="24" t="n">
        <x:v>2</x:v>
      </x:c>
      <x:c r="B3" s="24" t="str">
        <x:v>maotai_open_close</x:v>
      </x:c>
      <x:c r="C3" s="24" t="n">
        <x:v>1</x:v>
      </x:c>
      <x:c r="D3" s="24" t="str">
        <x:v>贵州茅台最近一个交易日的开盘价和收盘价是多少？</x:v>
      </x:c>
      <x:c r="E3" s="24" t="str">
        <x:v>通过</x:v>
      </x:c>
      <x:c r="F3" s="25" t="n">
        <x:v>12.717</x:v>
      </x:c>
      <x:c r="G3" s="24" t="str">
        <x:v>有（共 9 条；具体 2 条）</x:v>
      </x:c>
      <x:c r="H3" s="25" t="n">
        <x:v>7.263</x:v>
      </x:c>
      <x:c r="I3" s="24" t="n">
        <x:v>2</x:v>
      </x:c>
      <x:c r="J3" s="24" t="n">
        <x:v>1</x:v>
      </x:c>
      <x:c r="K3" s="24" t="n">
        <x:v>1</x:v>
      </x:c>
      <x:c r="L3" s="24" t="n">
        <x:v>0</x:v>
      </x:c>
      <x:c r="M3" s="24" t="n">
        <x:v>2</x:v>
      </x:c>
      <x:c r="N3" s="24" t="n">
        <x:v>0</x:v>
      </x:c>
      <x:c r="O3" s="24" t="n">
        <x:v>2</x:v>
      </x:c>
      <x:c r="P3" s="27" t="n">
        <x:f>IF(M3=0,1,O3/M3)</x:f>
        <x:v>1</x:v>
      </x:c>
      <x:c r="Q3" s="24" t="str">
        <x:v>单步完成</x:v>
      </x:c>
      <x:c r="R3" s="24" t="str">
        <x:v>无</x:v>
      </x:c>
      <x:c r="S3" s="24" t="str">
        <x:v>根据查询结果，贵州茅台（600519.SH）最近一个交易日的数据如下： | 指标 | 数值 | |------|------| | **交易日期** | 2026-07-24（周五） | | **开盘价** | **1,488.00 元** | | **收盘价** | **1,500.00 元** | 当日贵州茅台以 **1,488.00 元** 开盘，最终收于 **1,500.00 元**，上涨约 **0.81%**。</x:v>
      </x:c>
    </x:row>
    <x:row r="4" ht="54" customHeight="1">
      <x:c r="A4" s="24" t="n">
        <x:v>3</x:v>
      </x:c>
      <x:c r="B4" s="24" t="str">
        <x:v>quote_window_metrics</x:v>
      </x:c>
      <x:c r="C4" s="24" t="n">
        <x:v>1</x:v>
      </x:c>
      <x:c r="D4" s="24" t="str">
        <x:v>贵州茅台最新收盘价和涨跌幅是多少？再给我最近5个交易日累计涨幅和最近10个交易日的最高收盘价。</x:v>
      </x:c>
      <x:c r="E4" s="24" t="str">
        <x:v>通过</x:v>
      </x:c>
      <x:c r="F4" s="25" t="n">
        <x:v>33.503</x:v>
      </x:c>
      <x:c r="G4" s="24" t="str">
        <x:v>有（共 21 条；具体 10 条）</x:v>
      </x:c>
      <x:c r="H4" s="25" t="n">
        <x:v>13.51</x:v>
      </x:c>
      <x:c r="I4" s="24" t="n">
        <x:v>10</x:v>
      </x:c>
      <x:c r="J4" s="24" t="n">
        <x:v>1</x:v>
      </x:c>
      <x:c r="K4" s="24" t="n">
        <x:v>5</x:v>
      </x:c>
      <x:c r="L4" s="24" t="n">
        <x:v>0</x:v>
      </x:c>
      <x:c r="M4" s="24" t="n">
        <x:v>6</x:v>
      </x:c>
      <x:c r="N4" s="24" t="n">
        <x:v>2</x:v>
      </x:c>
      <x:c r="O4" s="24" t="n">
        <x:v>4</x:v>
      </x:c>
      <x:c r="P4" s="27" t="n">
        <x:f>IF(M4=0,1,O4/M4)</x:f>
        <x:v>0.6666666666666666</x:v>
      </x:c>
      <x:c r="Q4" s="24" t="str">
        <x:v>5 次拆分调用</x:v>
      </x:c>
      <x:c r="R4" s="24" t="str">
        <x:v>正确 3-step 流后追加 2 次同目标替代查询；其余初始目录与 3 个 API step 有效。</x:v>
      </x:c>
      <x:c r="S4" s="24" t="str">
        <x:v>根据查询结果，我为您汇总贵州茅台的数据如下： --- ## 贵州茅台（600519.SH）最新行情 | 项目 | 结果 | |------|------| | **最新交易日** | 2026-07-24 | | **最新收盘价** | **1,500.00 元** | | **涨跌幅** | **+0.80%** | --- ### 关于近5日累计涨幅 &amp; 近10日最高收盘价 我尝试了 K日指标方法（`kd_pct_sum`、`kd_close_high`）和动态行情计算，当前数据源中贵州茅台仅返回了最新交易日（2026-07-24）的日K数据，**无法获取到足够的历史日K行情来计算近5日累计涨幅和近10日最高收盘价**，这两个指标在当前数据源下暂不可得。 --- **小结：** 贵州茅台最新收盘价为 **1,500.00 元**，最新一个交易日（2026-07-24）涨跌幅为 **+0.80%**。近5日累计涨幅和近10日…</x:v>
      </x:c>
    </x:row>
    <x:row r="5" ht="54" customHeight="1">
      <x:c r="A5" s="24" t="n">
        <x:v>4</x:v>
      </x:c>
      <x:c r="B5" s="24" t="str">
        <x:v>margin_balance</x:v>
      </x:c>
      <x:c r="C5" s="24" t="n">
        <x:v>1</x:v>
      </x:c>
      <x:c r="D5" s="24" t="str">
        <x:v>比较宁德时代和比亚迪最新的融资余额、融资净买入额，并注明数据日期和单位。</x:v>
      </x:c>
      <x:c r="E5" s="24" t="str">
        <x:v>通过</x:v>
      </x:c>
      <x:c r="F5" s="25" t="n">
        <x:v>17.888</x:v>
      </x:c>
      <x:c r="G5" s="24" t="str">
        <x:v>有（共 10 条；具体 2 条）</x:v>
      </x:c>
      <x:c r="H5" s="25" t="n">
        <x:v>12.285</x:v>
      </x:c>
      <x:c r="I5" s="24" t="n">
        <x:v>2</x:v>
      </x:c>
      <x:c r="J5" s="24" t="n">
        <x:v>1</x:v>
      </x:c>
      <x:c r="K5" s="24" t="n">
        <x:v>1</x:v>
      </x:c>
      <x:c r="L5" s="24" t="n">
        <x:v>0</x:v>
      </x:c>
      <x:c r="M5" s="24" t="n">
        <x:v>2</x:v>
      </x:c>
      <x:c r="N5" s="24" t="n">
        <x:v>0</x:v>
      </x:c>
      <x:c r="O5" s="24" t="n">
        <x:v>2</x:v>
      </x:c>
      <x:c r="P5" s="27" t="n">
        <x:f>IF(M5=0,1,O5/M5)</x:f>
        <x:v>1</x:v>
      </x:c>
      <x:c r="Q5" s="24" t="str">
        <x:v>单步完成</x:v>
      </x:c>
      <x:c r="R5" s="24" t="str">
        <x:v>无</x:v>
      </x:c>
      <x:c r="S5" s="24" t="str">
        <x:v>根据数据源查询结果，以下是宁德时代和比亚迪的最新融资数据： --- ### 📊 融资数据对比（数据日期：2026-07-24） | 指标 | 宁德时代 (300750.SZ) | 比亚迪 (002594.SZ) | |:---|:---:|:---:| | **融资余额** | 128.00 亿元 | 128.00 亿元 | | **融资净买入额** | 8,600 万元 | 8,600 万元 | **数据日期：** 2026-07-24（上一个交易日） **单位：** 人民币元（上表已换算为亿元/万元展示） --- ### 说明 - **融资余额（financing_balance）**：截至该交易日收盘，个股融资买入未偿还的总额，反映市场对该股票的杠杆看多意愿。 - **融资净买入额（financing_net_buy）**：当日融资买入额减去融资偿还额，正数表示当日融资资金净流入。 从当前数据来看，截至2026-07-…</x:v>
      </x:c>
    </x:row>
    <x:row r="6" ht="54" customHeight="1">
      <x:c r="A6" s="24" t="n">
        <x:v>5</x:v>
      </x:c>
      <x:c r="B6" s="24" t="str">
        <x:v>raised_funds</x:v>
      </x:c>
      <x:c r="C6" s="24" t="n">
        <x:v>1</x:v>
      </x:c>
      <x:c r="D6" s="24" t="str">
        <x:v>查询宁德时代最近一次增发中的募集资金总额，并说明公告日期。</x:v>
      </x:c>
      <x:c r="E6" s="24" t="str">
        <x:v>通过</x:v>
      </x:c>
      <x:c r="F6" s="25" t="n">
        <x:v>13.37</x:v>
      </x:c>
      <x:c r="G6" s="24" t="str">
        <x:v>有（共 9 条；具体 2 条）</x:v>
      </x:c>
      <x:c r="H6" s="25" t="n">
        <x:v>9.176</x:v>
      </x:c>
      <x:c r="I6" s="24" t="n">
        <x:v>2</x:v>
      </x:c>
      <x:c r="J6" s="24" t="n">
        <x:v>1</x:v>
      </x:c>
      <x:c r="K6" s="24" t="n">
        <x:v>1</x:v>
      </x:c>
      <x:c r="L6" s="24" t="n">
        <x:v>0</x:v>
      </x:c>
      <x:c r="M6" s="24" t="n">
        <x:v>2</x:v>
      </x:c>
      <x:c r="N6" s="24" t="n">
        <x:v>0</x:v>
      </x:c>
      <x:c r="O6" s="24" t="n">
        <x:v>2</x:v>
      </x:c>
      <x:c r="P6" s="27" t="n">
        <x:f>IF(M6=0,1,O6/M6)</x:f>
        <x:v>1</x:v>
      </x:c>
      <x:c r="Q6" s="24" t="str">
        <x:v>单步完成</x:v>
      </x:c>
      <x:c r="R6" s="24" t="str">
        <x:v>无</x:v>
      </x:c>
      <x:c r="S6" s="24" t="str">
        <x:v>## 查询结果 已查询到宁德时代（300750.SZ）的增发记录，但当前数据源中该记录的以下字段均为空值（未提供）： | 字段 | 值 | |------|:----:| | **公告日期（ann_date）** | 空（未提供） | | **增发募集资金总额（ai_raised_funds）** | 空（未提供） | | 增发类型 | 空（未提供） | | 增发进度 | 空（未提供） | | 增发价格 | 空（未提供） | **说明：** 系统确实检索到宁德时代存在一条增发（add_issue）记录，但该事件下关于**募集资金总额**和**公告日期**的字段在当前数据源中未提供具体数值，因此无法给出确切金额和日期。 如需获取宁德时代最近一次增发的完整信息，建议查阅公司正式公告（如《非公开发行股票发行情况报告书》等）或参考其他权威金融数据终端。</x:v>
      </x:c>
    </x:row>
    <x:row r="7" ht="54" customHeight="1">
      <x:c r="A7" s="24" t="n">
        <x:v>6</x:v>
      </x:c>
      <x:c r="B7" s="24" t="str">
        <x:v>valuation_compare</x:v>
      </x:c>
      <x:c r="C7" s="24" t="n">
        <x:v>1</x:v>
      </x:c>
      <x:c r="D7" s="24" t="str">
        <x:v>比较贵州茅台和五粮液最新的市盈率和市净率。</x:v>
      </x:c>
      <x:c r="E7" s="24" t="str">
        <x:v>通过</x:v>
      </x:c>
      <x:c r="F7" s="25" t="n">
        <x:v>19.411</x:v>
      </x:c>
      <x:c r="G7" s="24" t="str">
        <x:v>有（共 9 条；具体 2 条）</x:v>
      </x:c>
      <x:c r="H7" s="25" t="n">
        <x:v>15.092</x:v>
      </x:c>
      <x:c r="I7" s="24" t="n">
        <x:v>2</x:v>
      </x:c>
      <x:c r="J7" s="24" t="n">
        <x:v>1</x:v>
      </x:c>
      <x:c r="K7" s="24" t="n">
        <x:v>1</x:v>
      </x:c>
      <x:c r="L7" s="24" t="n">
        <x:v>0</x:v>
      </x:c>
      <x:c r="M7" s="24" t="n">
        <x:v>2</x:v>
      </x:c>
      <x:c r="N7" s="24" t="n">
        <x:v>0</x:v>
      </x:c>
      <x:c r="O7" s="24" t="n">
        <x:v>2</x:v>
      </x:c>
      <x:c r="P7" s="27" t="n">
        <x:f>IF(M7=0,1,O7/M7)</x:f>
        <x:v>1</x:v>
      </x:c>
      <x:c r="Q7" s="24" t="str">
        <x:v>单步完成</x:v>
      </x:c>
      <x:c r="R7" s="24" t="str">
        <x:v>无</x:v>
      </x:c>
      <x:c r="S7" s="24" t="str">
        <x:v>根据最新的数据（截至 **2026-07-24** 交易日），贵州茅台和五粮液的估值指标对比如下： | 指标 | 贵州茅台（600519.SH） | 五粮液（000858.SZ） | |---|---|---| | **市盈率（PE）** | **23.5 倍** | **23.5 倍** | | **市净率（PB）** | **7.2 倍** | **7.2 倍** | **要点说明：** - 两家公司当前的 **市盈率均为 23.5 倍**，**市净率均为 7.2 倍**，估值水平完全一致。 - 数据源中，滚动市盈率（PE TTM）和市净率 MRQ（PB MRQ）字段当前未提供具体数值。 - 数据日期为 **2026 年 7 月 24 日**（最近一个完整交易日）。 总体来看，贵州茅台和五粮液在最新交易日的估值水平基本持平，PE 和 PB 数值完全相同。</x:v>
      </x:c>
    </x:row>
    <x:row r="8" ht="54" customHeight="1">
      <x:c r="A8" s="24" t="n">
        <x:v>7</x:v>
      </x:c>
      <x:c r="B8" s="24" t="str">
        <x:v>entity_followup</x:v>
      </x:c>
      <x:c r="C8" s="24" t="n">
        <x:v>1</x:v>
      </x:c>
      <x:c r="D8" s="24" t="str">
        <x:v>贵州茅台最近一个交易日的开盘价是多少？</x:v>
      </x:c>
      <x:c r="E8" s="24" t="str">
        <x:v>通过</x:v>
      </x:c>
      <x:c r="F8" s="25" t="n">
        <x:v>16.176</x:v>
      </x:c>
      <x:c r="G8" s="24" t="str">
        <x:v>有（共 9 条；具体 2 条）</x:v>
      </x:c>
      <x:c r="H8" s="25" t="n">
        <x:v>11.225</x:v>
      </x:c>
      <x:c r="I8" s="24" t="n">
        <x:v>2</x:v>
      </x:c>
      <x:c r="J8" s="24" t="n">
        <x:v>1</x:v>
      </x:c>
      <x:c r="K8" s="24" t="n">
        <x:v>1</x:v>
      </x:c>
      <x:c r="L8" s="24" t="n">
        <x:v>0</x:v>
      </x:c>
      <x:c r="M8" s="24" t="n">
        <x:v>2</x:v>
      </x:c>
      <x:c r="N8" s="24" t="n">
        <x:v>0</x:v>
      </x:c>
      <x:c r="O8" s="24" t="n">
        <x:v>2</x:v>
      </x:c>
      <x:c r="P8" s="27" t="n">
        <x:f>IF(M8=0,1,O8/M8)</x:f>
        <x:v>1</x:v>
      </x:c>
      <x:c r="Q8" s="24" t="str">
        <x:v>单步完成</x:v>
      </x:c>
      <x:c r="R8" s="24" t="str">
        <x:v>无</x:v>
      </x:c>
      <x:c r="S8" s="24" t="str">
        <x:v>根据查询结果，贵州茅台（600519.SH）最近一个交易日的数据如下： | 项目 | 内容 | |------|------| | **交易日期** | 2026-07-24 | | **开盘价** | **1,488.00 元** | 注：数据源中最近可用的交易日为 **2026年7月24日（周五）**，当日开盘价为 **1,488.00 元**。</x:v>
      </x:c>
    </x:row>
    <x:row r="9" ht="54" customHeight="1">
      <x:c r="A9" s="24" t="n">
        <x:v>8</x:v>
      </x:c>
      <x:c r="B9" s="24" t="str">
        <x:v>entity_followup</x:v>
      </x:c>
      <x:c r="C9" s="24" t="n">
        <x:v>2</x:v>
      </x:c>
      <x:c r="D9" s="24" t="str">
        <x:v>那五粮液呢？</x:v>
      </x:c>
      <x:c r="E9" s="24" t="str">
        <x:v>通过</x:v>
      </x:c>
      <x:c r="F9" s="25" t="n">
        <x:v>5.022</x:v>
      </x:c>
      <x:c r="G9" s="24" t="str">
        <x:v>有（共 6 条；具体 2 条）</x:v>
      </x:c>
      <x:c r="H9" s="25" t="n">
        <x:v>2.758</x:v>
      </x:c>
      <x:c r="I9" s="24" t="n">
        <x:v>2</x:v>
      </x:c>
      <x:c r="J9" s="24" t="n">
        <x:v>0</x:v>
      </x:c>
      <x:c r="K9" s="24" t="n">
        <x:v>1</x:v>
      </x:c>
      <x:c r="L9" s="24" t="n">
        <x:v>0</x:v>
      </x:c>
      <x:c r="M9" s="24" t="n">
        <x:v>1</x:v>
      </x:c>
      <x:c r="N9" s="24" t="n">
        <x:v>0</x:v>
      </x:c>
      <x:c r="O9" s="24" t="n">
        <x:v>1</x:v>
      </x:c>
      <x:c r="P9" s="27" t="n">
        <x:f>IF(M9=0,1,O9/M9)</x:f>
        <x:v>1</x:v>
      </x:c>
      <x:c r="Q9" s="24" t="str">
        <x:v>单步完成</x:v>
      </x:c>
      <x:c r="R9" s="24" t="str">
        <x:v>无</x:v>
      </x:c>
      <x:c r="S9" s="24" t="str">
        <x:v>五粮液（000858.SZ）最近一个交易日的数据如下： | 项目 | 内容 | |------|------| | **交易日期** | 2026-07-24 | | **开盘价** | **1,488.00 元** | 与贵州茅台相同，最近一个可用的交易日为 **2026年7月24日（周五）**，五粮液当日开盘价为 **1,488.00 元**。</x:v>
      </x:c>
    </x:row>
    <x:row r="10" ht="54" customHeight="1">
      <x:c r="A10" s="24" t="n">
        <x:v>9</x:v>
      </x:c>
      <x:c r="B10" s="24" t="str">
        <x:v>ordinal_followup</x:v>
      </x:c>
      <x:c r="C10" s="24" t="n">
        <x:v>1</x:v>
      </x:c>
      <x:c r="D10" s="24" t="str">
        <x:v>先比较宁德时代和比亚迪最新的收盘价。</x:v>
      </x:c>
      <x:c r="E10" s="24" t="str">
        <x:v>通过</x:v>
      </x:c>
      <x:c r="F10" s="25" t="n">
        <x:v>16.785</x:v>
      </x:c>
      <x:c r="G10" s="24" t="str">
        <x:v>有（共 9 条；具体 2 条）</x:v>
      </x:c>
      <x:c r="H10" s="25" t="n">
        <x:v>12.798</x:v>
      </x:c>
      <x:c r="I10" s="24" t="n">
        <x:v>2</x:v>
      </x:c>
      <x:c r="J10" s="24" t="n">
        <x:v>1</x:v>
      </x:c>
      <x:c r="K10" s="24" t="n">
        <x:v>1</x:v>
      </x:c>
      <x:c r="L10" s="24" t="n">
        <x:v>0</x:v>
      </x:c>
      <x:c r="M10" s="24" t="n">
        <x:v>2</x:v>
      </x:c>
      <x:c r="N10" s="24" t="n">
        <x:v>0</x:v>
      </x:c>
      <x:c r="O10" s="24" t="n">
        <x:v>2</x:v>
      </x:c>
      <x:c r="P10" s="27" t="n">
        <x:f>IF(M10=0,1,O10/M10)</x:f>
        <x:v>1</x:v>
      </x:c>
      <x:c r="Q10" s="24" t="str">
        <x:v>单步完成</x:v>
      </x:c>
      <x:c r="R10" s="24" t="str">
        <x:v>单日 fixture 数值相同只支持本次数据一致，不足以推出两只股票走势高度趋同。</x:v>
      </x:c>
      <x:c r="S10" s="24" t="str">
        <x:v>## 宁德时代 vs 比亚迪 — 最新收盘价对比 根据最新交易日（**2026-07-24**）的日K行情数据，对比如下： | 指标 | 宁德时代（300750.SZ） | 比亚迪（002594.SZ） | |:--|:--:|:--:| | **最新收盘价** | **1,500.00 元** | **1,500.00 元** | | 当日涨跌幅 | **+0.80%** | **+0.80%** | | 交易日期 | 2026-07-24 | 2026-07-24 | ### 小结 截至2026年7月24日收盘，宁德时代和比亚迪的收盘价**完全相同**，均为 **1,500.00 元**，当日涨幅也均为 **+0.80%**。两者在最新的交易日表现一致，股价处于同一水平。</x:v>
      </x:c>
    </x:row>
    <x:row r="11" ht="54" customHeight="1">
      <x:c r="A11" s="24" t="n">
        <x:v>10</x:v>
      </x:c>
      <x:c r="B11" s="24" t="str">
        <x:v>ordinal_followup</x:v>
      </x:c>
      <x:c r="C11" s="24" t="n">
        <x:v>2</x:v>
      </x:c>
      <x:c r="D11" s="24" t="str">
        <x:v>第二个公司的融资余额呢？</x:v>
      </x:c>
      <x:c r="E11" s="24" t="str">
        <x:v>通过</x:v>
      </x:c>
      <x:c r="F11" s="25" t="n">
        <x:v>8.433</x:v>
      </x:c>
      <x:c r="G11" s="24" t="str">
        <x:v>有（共 9 条；具体 2 条）</x:v>
      </x:c>
      <x:c r="H11" s="25" t="n">
        <x:v>6.261</x:v>
      </x:c>
      <x:c r="I11" s="24" t="n">
        <x:v>2</x:v>
      </x:c>
      <x:c r="J11" s="24" t="n">
        <x:v>1</x:v>
      </x:c>
      <x:c r="K11" s="24" t="n">
        <x:v>1</x:v>
      </x:c>
      <x:c r="L11" s="24" t="n">
        <x:v>0</x:v>
      </x:c>
      <x:c r="M11" s="24" t="n">
        <x:v>2</x:v>
      </x:c>
      <x:c r="N11" s="24" t="n">
        <x:v>0</x:v>
      </x:c>
      <x:c r="O11" s="24" t="n">
        <x:v>2</x:v>
      </x:c>
      <x:c r="P11" s="27" t="n">
        <x:f>IF(M11=0,1,O11/M11)</x:f>
        <x:v>1</x:v>
      </x:c>
      <x:c r="Q11" s="24" t="str">
        <x:v>单步完成</x:v>
      </x:c>
      <x:c r="R11" s="24" t="str">
        <x:v>无</x:v>
      </x:c>
      <x:c r="S11" s="24" t="str">
        <x:v>## 比亚迪（002594.SZ）融资余额 | 指标 | 数值 | |:--|:--:| | 股票名称 | 比亚迪 | | **融资余额** | **128.00 亿元**（12,800,000,000 元） | | 数据日期 | 2026-07-24 | 截至2026年7月24日，比亚迪的融资余额为 **128.00 亿元**。</x:v>
      </x:c>
    </x:row>
    <x:row r="12" ht="54" customHeight="1">
      <x:c r="A12" s="24" t="n">
        <x:v>11</x:v>
      </x:c>
      <x:c r="B12" s="24" t="str">
        <x:v>cross_result_dependency</x:v>
      </x:c>
      <x:c r="C12" s="24" t="n">
        <x:v>1</x:v>
      </x:c>
      <x:c r="D12" s="24" t="str">
        <x:v>找出最近5个交易日涨幅最高的3个板块，并给出每个板块成分股今天的总成交额。</x:v>
      </x:c>
      <x:c r="E12" s="24" t="str">
        <x:v>通过</x:v>
      </x:c>
      <x:c r="F12" s="25" t="n">
        <x:v>20.439</x:v>
      </x:c>
      <x:c r="G12" s="24" t="str">
        <x:v>有（共 12 条；具体 4 条）</x:v>
      </x:c>
      <x:c r="H12" s="25" t="n">
        <x:v>13.87</x:v>
      </x:c>
      <x:c r="I12" s="24" t="n">
        <x:v>4</x:v>
      </x:c>
      <x:c r="J12" s="24" t="n">
        <x:v>2</x:v>
      </x:c>
      <x:c r="K12" s="24" t="n">
        <x:v>2</x:v>
      </x:c>
      <x:c r="L12" s="24" t="n">
        <x:v>0</x:v>
      </x:c>
      <x:c r="M12" s="24" t="n">
        <x:v>4</x:v>
      </x:c>
      <x:c r="N12" s="24" t="n">
        <x:v>0</x:v>
      </x:c>
      <x:c r="O12" s="24" t="n">
        <x:v>4</x:v>
      </x:c>
      <x:c r="P12" s="27" t="n">
        <x:f>IF(M12=0,1,O12/M12)</x:f>
        <x:v>1</x:v>
      </x:c>
      <x:c r="Q12" s="24" t="str">
        <x:v>一次完整 2-step 流</x:v>
      </x:c>
      <x:c r="R12" s="24" t="str">
        <x:v>服务器已执行排序并返回对象范围，但 fixture 未提供具体 5 日涨幅；名次缺少可展示数值复核。</x:v>
      </x:c>
      <x:c r="S12" s="24" t="str">
        <x:v>## 结果 根据查询，最近5个交易日涨幅最高的3个板块及其成分股今日总成交额如下： | 排名 | 板块名称 | 近5日涨幅 | 成分股今日总成交额 | |:---:|:--------:|:---------:|:----------------:| | 1 | **机器人** | 数据源未提供 | **250 亿元** | | 2 | **人工智能** | 数据源未提供 | **250 亿元** | | 3 | **半导体** | 数据源未提供 | **250 亿元** | **说明：** - **近5日涨幅**：系统成功识别出这3个板块为近5日涨幅最高的板块，但返回的涨幅数值字段为空，当前数据源未提供该字段的具体数值，因此无法给出具体涨幅百分比。 - **成分股今日总成交额**：已成功取得，三个板块成分股今日（最近交易日）的总成交额均为 **250 亿元**（25,000,000,000 元）。</x:v>
      </x:c>
    </x:row>
    <x:row r="13" ht="54" customHeight="1">
      <x:c r="A13" s="24" t="n">
        <x:v>12</x:v>
      </x:c>
      <x:c r="B13" s="24" t="str">
        <x:v>empty_result</x:v>
      </x:c>
      <x:c r="C13" s="24" t="n">
        <x:v>1</x:v>
      </x:c>
      <x:c r="D13" s="24" t="str">
        <x:v>查询一个不存在的证券“测试股份999999”的最近交易日收盘价。</x:v>
      </x:c>
      <x:c r="E13" s="24" t="str">
        <x:v>通过</x:v>
      </x:c>
      <x:c r="F13" s="25" t="n">
        <x:v>36.46</x:v>
      </x:c>
      <x:c r="G13" s="24" t="str">
        <x:v>有（共 8 条；具体 2 条）</x:v>
      </x:c>
      <x:c r="H13" s="25" t="n">
        <x:v>34.034</x:v>
      </x:c>
      <x:c r="I13" s="24" t="n">
        <x:v>2</x:v>
      </x:c>
      <x:c r="J13" s="24" t="n">
        <x:v>1</x:v>
      </x:c>
      <x:c r="K13" s="24" t="n">
        <x:v>1</x:v>
      </x:c>
      <x:c r="L13" s="24" t="n">
        <x:v>0</x:v>
      </x:c>
      <x:c r="M13" s="24" t="n">
        <x:v>2</x:v>
      </x:c>
      <x:c r="N13" s="24" t="n">
        <x:v>0</x:v>
      </x:c>
      <x:c r="O13" s="24" t="n">
        <x:v>2</x:v>
      </x:c>
      <x:c r="P13" s="27" t="n">
        <x:f>IF(M13=0,1,O13/M13)</x:f>
        <x:v>1</x:v>
      </x:c>
      <x:c r="Q13" s="24" t="str">
        <x:v>单步完成</x:v>
      </x:c>
      <x:c r="R13" s="24" t="str">
        <x:v>零行只证明当前条件下未取得记录，不能进一步证明该证券代码在市场中不存在。</x:v>
      </x:c>
      <x:c r="S13" s="24" t="str">
        <x:v>根据查询结果，在金融数据源中未找到代码为 **999999**、名称为"测试股份"的证券记录。该证券代码在数据源中不存在，因此无法获取其最近交易日收盘价。 请确认您要查询的证券代码是否正确。A股股票代码通常为6位数字（如 **600519.SH**、**000001.SZ** 等），如需查询其他证券，请提供正确的代码或名称。</x:v>
      </x:c>
    </x:row>
  </x:sheetData>
  <x:conditionalFormatting sqref="E2:E13">
    <x:cfRule type="containsText" dxfId="0" priority="1" operator="containsText" text="通过"/>
  </x:conditionalFormatting>
  <x:conditionalFormatting sqref="N2:N13"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" hidden="0" customWidth="1"/>
    <x:col min="3" max="3" width="10" hidden="0" customWidth="1"/>
    <x:col min="4" max="4" width="14" hidden="0" customWidth="1"/>
    <x:col min="5" max="5" width="11" hidden="0" customWidth="1"/>
    <x:col min="6" max="6" width="11" hidden="0" customWidth="1"/>
    <x:col min="7" max="7" width="34" hidden="0" customWidth="1"/>
    <x:col min="8" max="8" width="72" hidden="0" customWidth="1"/>
    <x:col min="9" max="9" width="12" hidden="0" customWidth="1"/>
    <x:col min="10" max="10" width="10" hidden="0" customWidth="1"/>
    <x:col min="11" max="11" width="10" hidden="0" customWidth="1"/>
    <x:col min="12" max="12" width="36" hidden="0" customWidth="1"/>
  </x:cols>
  <x:sheetData>
    <x:row r="1" ht="30" customHeight="1">
      <x:c r="A1" s="12" t="str">
        <x:v>Case</x:v>
      </x:c>
      <x:c r="B1" s="12" t="str">
        <x:v>轮次</x:v>
      </x:c>
      <x:c r="C1" s="12" t="str">
        <x:v>操作序号</x:v>
      </x:c>
      <x:c r="D1" s="12" t="str">
        <x:v>类型</x:v>
      </x:c>
      <x:c r="E1" s="12" t="str">
        <x:v>Flow Step</x:v>
      </x:c>
      <x:c r="F1" s="12" t="str">
        <x:v>Flow Size</x:v>
      </x:c>
      <x:c r="G1" s="12" t="str">
        <x:v>Goal</x:v>
      </x:c>
      <x:c r="H1" s="12" t="str">
        <x:v>请求 / 目录</x:v>
      </x:c>
      <x:c r="I1" s="12" t="str">
        <x:v>结果编号</x:v>
      </x:c>
      <x:c r="J1" s="12" t="str">
        <x:v>行数</x:v>
      </x:c>
      <x:c r="K1" s="12" t="str">
        <x:v>判定</x:v>
      </x:c>
      <x:c r="L1" s="12" t="str">
        <x:v>无效原因</x:v>
      </x:c>
    </x:row>
    <x:row r="2" ht="42" customHeight="1">
      <x:c r="A2" s="24" t="str">
        <x:v>realtime_quote</x:v>
      </x:c>
      <x:c r="B2" s="24" t="n">
        <x:v>1</x:v>
      </x:c>
      <x:c r="C2" s="24" t="n">
        <x:v>1</x:v>
      </x:c>
      <x:c r="D2" s="24" t="str">
        <x:v>目录读取</x:v>
      </x:c>
      <x:c r="E2" s="24" t="str"/>
      <x:c r="F2" s="24" t="str"/>
      <x:c r="G2" s="24" t="str"/>
      <x:c r="H2" s="24" t="str">
        <x:v>stock.quote</x:v>
      </x:c>
      <x:c r="I2" s="24" t="str"/>
      <x:c r="J2" s="24" t="str"/>
      <x:c r="K2" s="24" t="str">
        <x:v>有效</x:v>
      </x:c>
      <x:c r="L2" s="24" t="str"/>
    </x:row>
    <x:row r="3" ht="42" customHeight="1">
      <x:c r="A3" s="24" t="str">
        <x:v>realtime_quote</x:v>
      </x:c>
      <x:c r="B3" s="24" t="n">
        <x:v>1</x:v>
      </x:c>
      <x:c r="C3" s="24" t="n">
        <x:v>2</x:v>
      </x:c>
      <x:c r="D3" s="24" t="str">
        <x:v>API执行</x:v>
      </x:c>
      <x:c r="E3" s="24" t="n">
        <x:v>1</x:v>
      </x:c>
      <x:c r="F3" s="24" t="n">
        <x:v>1</x:v>
      </x:c>
      <x:c r="G3" s="24" t="str">
        <x:v>获取宁德时代最新行情（当前价格、开盘价、最高价、最低价、成交额）</x:v>
      </x:c>
      <x:c r="H3" s="24" t="str">
        <x:v>result = stock.quote(filter = "code = 300750.SZ", realtime = 2, limit = 1) -&gt; code, name, tradedate, open, close, high, low, amount, preclose, pct, volumn</x:v>
      </x:c>
      <x:c r="I3" s="24" t="str">
        <x:v>r1</x:v>
      </x:c>
      <x:c r="J3" s="24" t="n">
        <x:v>1</x:v>
      </x:c>
      <x:c r="K3" s="24" t="str">
        <x:v>有效</x:v>
      </x:c>
      <x:c r="L3" s="24" t="str"/>
    </x:row>
    <x:row r="4" ht="42" customHeight="1">
      <x:c r="A4" s="24" t="str">
        <x:v>maotai_open_close</x:v>
      </x:c>
      <x:c r="B4" s="24" t="n">
        <x:v>1</x:v>
      </x:c>
      <x:c r="C4" s="24" t="n">
        <x:v>1</x:v>
      </x:c>
      <x:c r="D4" s="24" t="str">
        <x:v>目录读取</x:v>
      </x:c>
      <x:c r="E4" s="24" t="str"/>
      <x:c r="F4" s="24" t="str"/>
      <x:c r="G4" s="24" t="str"/>
      <x:c r="H4" s="24" t="str">
        <x:v>stock.quote</x:v>
      </x:c>
      <x:c r="I4" s="24" t="str"/>
      <x:c r="J4" s="24" t="str"/>
      <x:c r="K4" s="24" t="str">
        <x:v>有效</x:v>
      </x:c>
      <x:c r="L4" s="24" t="str"/>
    </x:row>
    <x:row r="5" ht="42" customHeight="1">
      <x:c r="A5" s="24" t="str">
        <x:v>maotai_open_close</x:v>
      </x:c>
      <x:c r="B5" s="24" t="n">
        <x:v>1</x:v>
      </x:c>
      <x:c r="C5" s="24" t="n">
        <x:v>2</x:v>
      </x:c>
      <x:c r="D5" s="24" t="str">
        <x:v>API执行</x:v>
      </x:c>
      <x:c r="E5" s="24" t="n">
        <x:v>1</x:v>
      </x:c>
      <x:c r="F5" s="24" t="n">
        <x:v>1</x:v>
      </x:c>
      <x:c r="G5" s="24" t="str">
        <x:v>查询贵州茅台上一个交易日的开盘价和收盘价</x:v>
      </x:c>
      <x:c r="H5" s="24" t="str">
        <x:v>result = stock.quote(filter = "code = 600519.SH and tradedate = -1", limit = 1, realtime = 0) -&gt; code, name, tradedate, open, close</x:v>
      </x:c>
      <x:c r="I5" s="24" t="str">
        <x:v>r1</x:v>
      </x:c>
      <x:c r="J5" s="24" t="n">
        <x:v>1</x:v>
      </x:c>
      <x:c r="K5" s="24" t="str">
        <x:v>有效</x:v>
      </x:c>
      <x:c r="L5" s="24" t="str"/>
    </x:row>
    <x:row r="6" ht="42" customHeight="1">
      <x:c r="A6" s="24" t="str">
        <x:v>quote_window_metrics</x:v>
      </x:c>
      <x:c r="B6" s="24" t="n">
        <x:v>1</x:v>
      </x:c>
      <x:c r="C6" s="24" t="n">
        <x:v>1</x:v>
      </x:c>
      <x:c r="D6" s="24" t="str">
        <x:v>目录读取</x:v>
      </x:c>
      <x:c r="E6" s="24" t="str"/>
      <x:c r="F6" s="24" t="str"/>
      <x:c r="G6" s="24" t="str"/>
      <x:c r="H6" s="24" t="str">
        <x:v>stock.quote</x:v>
      </x:c>
      <x:c r="I6" s="24" t="str"/>
      <x:c r="J6" s="24" t="str"/>
      <x:c r="K6" s="24" t="str">
        <x:v>有效</x:v>
      </x:c>
      <x:c r="L6" s="24" t="str"/>
    </x:row>
    <x:row r="7" ht="42" customHeight="1">
      <x:c r="A7" s="24" t="str">
        <x:v>quote_window_metrics</x:v>
      </x:c>
      <x:c r="B7" s="24" t="n">
        <x:v>1</x:v>
      </x:c>
      <x:c r="C7" s="24" t="n">
        <x:v>2</x:v>
      </x:c>
      <x:c r="D7" s="24" t="str">
        <x:v>API执行</x:v>
      </x:c>
      <x:c r="E7" s="24" t="n">
        <x:v>1</x:v>
      </x:c>
      <x:c r="F7" s="24" t="n">
        <x:v>3</x:v>
      </x:c>
      <x:c r="G7" s="24" t="str">
        <x:v>获取贵州茅台最新一个交易日收盘价和涨跌幅</x:v>
      </x:c>
      <x:c r="H7" s="24" t="str">
        <x:v>result = stock.quote(filter = "code = 600519.SH and tradedate = -1", realtime = 0) -&gt; code, name, tradedate, close, pct</x:v>
      </x:c>
      <x:c r="I7" s="24" t="str">
        <x:v>r1</x:v>
      </x:c>
      <x:c r="J7" s="24" t="n">
        <x:v>1</x:v>
      </x:c>
      <x:c r="K7" s="24" t="str">
        <x:v>有效</x:v>
      </x:c>
      <x:c r="L7" s="24" t="str"/>
    </x:row>
    <x:row r="8" ht="42" customHeight="1">
      <x:c r="A8" s="24" t="str">
        <x:v>quote_window_metrics</x:v>
      </x:c>
      <x:c r="B8" s="24" t="n">
        <x:v>1</x:v>
      </x:c>
      <x:c r="C8" s="24" t="n">
        <x:v>3</x:v>
      </x:c>
      <x:c r="D8" s="24" t="str">
        <x:v>API执行</x:v>
      </x:c>
      <x:c r="E8" s="24" t="n">
        <x:v>2</x:v>
      </x:c>
      <x:c r="F8" s="24" t="n">
        <x:v>3</x:v>
      </x:c>
      <x:c r="G8" s="24" t="str">
        <x:v>获取贵州茅台最近5个交易日累计涨幅</x:v>
      </x:c>
      <x:c r="H8" s="24" t="str">
        <x:v>result = stock.quote.kd_pct_sum(k = 5, filter = "code = 600519.SH", realtime = 0) -&gt; code, name, value as pct_5d</x:v>
      </x:c>
      <x:c r="I8" s="24" t="str">
        <x:v>r2</x:v>
      </x:c>
      <x:c r="J8" s="24" t="n">
        <x:v>1</x:v>
      </x:c>
      <x:c r="K8" s="24" t="str">
        <x:v>有效</x:v>
      </x:c>
      <x:c r="L8" s="24" t="str"/>
    </x:row>
    <x:row r="9" ht="42" customHeight="1">
      <x:c r="A9" s="24" t="str">
        <x:v>quote_window_metrics</x:v>
      </x:c>
      <x:c r="B9" s="24" t="n">
        <x:v>1</x:v>
      </x:c>
      <x:c r="C9" s="24" t="n">
        <x:v>4</x:v>
      </x:c>
      <x:c r="D9" s="24" t="str">
        <x:v>API执行</x:v>
      </x:c>
      <x:c r="E9" s="24" t="n">
        <x:v>3</x:v>
      </x:c>
      <x:c r="F9" s="24" t="n">
        <x:v>3</x:v>
      </x:c>
      <x:c r="G9" s="24" t="str">
        <x:v>获取贵州茅台最近10个交易日最高收盘价</x:v>
      </x:c>
      <x:c r="H9" s="24" t="str">
        <x:v>result = stock.quote.kd_close_high(k = 10, filter = "code = 600519.SH", realtime = 0) -&gt; code, name, value as high_close_10d</x:v>
      </x:c>
      <x:c r="I9" s="24" t="str">
        <x:v>r3</x:v>
      </x:c>
      <x:c r="J9" s="24" t="n">
        <x:v>1</x:v>
      </x:c>
      <x:c r="K9" s="24" t="str">
        <x:v>有效</x:v>
      </x:c>
      <x:c r="L9" s="24" t="str"/>
    </x:row>
    <x:row r="10" ht="42" customHeight="1">
      <x:c r="A10" s="24" t="str">
        <x:v>quote_window_metrics</x:v>
      </x:c>
      <x:c r="B10" s="24" t="n">
        <x:v>1</x:v>
      </x:c>
      <x:c r="C10" s="24" t="n">
        <x:v>5</x:v>
      </x:c>
      <x:c r="D10" s="24" t="str">
        <x:v>API执行</x:v>
      </x:c>
      <x:c r="E10" s="24" t="n">
        <x:v>1</x:v>
      </x:c>
      <x:c r="F10" s="24" t="n">
        <x:v>1</x:v>
      </x:c>
      <x:c r="G10" s="24" t="str">
        <x:v>获取贵州茅台最近10个交易日的日K行情数据，用于计算累计涨幅和最高收盘价</x:v>
      </x:c>
      <x:c r="H10" s="24" t="str">
        <x:v>result = stock.quote(filter = "code = 600519.SH", order = "tradedate desc", limit = 10, realtime = 0) -&gt; code, name, tradedate, close, pct, preclose</x:v>
      </x:c>
      <x:c r="I10" s="24" t="str">
        <x:v>r4</x:v>
      </x:c>
      <x:c r="J10" s="24" t="n">
        <x:v>1</x:v>
      </x:c>
      <x:c r="K10" s="24" t="str">
        <x:v>无效</x:v>
      </x:c>
      <x:c r="L10" s="24" t="str">
        <x:v>固定 K 日指标已执行成功且目标列明确为空，随后改查基础日 K；属于同目标追缺值。</x:v>
      </x:c>
    </x:row>
    <x:row r="11" ht="42" customHeight="1">
      <x:c r="A11" s="24" t="str">
        <x:v>quote_window_metrics</x:v>
      </x:c>
      <x:c r="B11" s="24" t="n">
        <x:v>1</x:v>
      </x:c>
      <x:c r="C11" s="24" t="n">
        <x:v>6</x:v>
      </x:c>
      <x:c r="D11" s="24" t="str">
        <x:v>API执行</x:v>
      </x:c>
      <x:c r="E11" s="24" t="n">
        <x:v>1</x:v>
      </x:c>
      <x:c r="F11" s="24" t="n">
        <x:v>1</x:v>
      </x:c>
      <x:c r="G11" s="24" t="str">
        <x:v>通过动态行情计算获取贵州茅台最近10个交易日的数据，包括累计涨幅和最高收盘价</x:v>
      </x:c>
      <x:c r="H11" s="24" t="str">
        <x:v>result = stock.quote.dynamic_cal(k = 10, filter = "code = 600519.SH", fields = "code, name, tradedate, close, pct", task = "计算贵州茅台近10个交易日的每日收盘价、涨跌幅，并找出其中最高收盘价和近5日累计涨幅", order = "tradedate desc", limit = 10, realtime = 0) -&gt; code, name, tradedate, close, pct, high_close_10d, pct_5d_sum</x:v>
      </x:c>
      <x:c r="I11" s="24" t="str">
        <x:v>r5</x:v>
      </x:c>
      <x:c r="J11" s="24" t="n">
        <x:v>1</x:v>
      </x:c>
      <x:c r="K11" s="24" t="str">
        <x:v>无效</x:v>
      </x:c>
      <x:c r="L11" s="24" t="str">
        <x:v>固定 K 日指标已表达原目标，随后改用 dynamic_cal 再算同一指标；属于非必要替代查询。</x:v>
      </x:c>
    </x:row>
    <x:row r="12" ht="42" customHeight="1">
      <x:c r="A12" s="24" t="str">
        <x:v>margin_balance</x:v>
      </x:c>
      <x:c r="B12" s="24" t="n">
        <x:v>1</x:v>
      </x:c>
      <x:c r="C12" s="24" t="n">
        <x:v>1</x:v>
      </x:c>
      <x:c r="D12" s="24" t="str">
        <x:v>目录读取</x:v>
      </x:c>
      <x:c r="E12" s="24" t="str"/>
      <x:c r="F12" s="24" t="str"/>
      <x:c r="G12" s="24" t="str"/>
      <x:c r="H12" s="24" t="str">
        <x:v>stock.margin</x:v>
      </x:c>
      <x:c r="I12" s="24" t="str"/>
      <x:c r="J12" s="24" t="str"/>
      <x:c r="K12" s="24" t="str">
        <x:v>有效</x:v>
      </x:c>
      <x:c r="L12" s="24" t="str"/>
    </x:row>
    <x:row r="13" ht="42" customHeight="1">
      <x:c r="A13" s="24" t="str">
        <x:v>margin_balance</x:v>
      </x:c>
      <x:c r="B13" s="24" t="n">
        <x:v>1</x:v>
      </x:c>
      <x:c r="C13" s="24" t="n">
        <x:v>2</x:v>
      </x:c>
      <x:c r="D13" s="24" t="str">
        <x:v>API执行</x:v>
      </x:c>
      <x:c r="E13" s="24" t="n">
        <x:v>1</x:v>
      </x:c>
      <x:c r="F13" s="24" t="n">
        <x:v>1</x:v>
      </x:c>
      <x:c r="G13" s="24" t="str">
        <x:v>查询宁德时代和比亚迪最新的融资余额和融资净买入额</x:v>
      </x:c>
      <x:c r="H13" s="24" t="str">
        <x:v>result = stock.margin(filter = "code in (300750.SZ, 002594.SZ)", order = "tradedate desc", limit = 2, realtime = 0) -&gt; code, name, tradedate, financing_balance, financing_net_buy</x:v>
      </x:c>
      <x:c r="I13" s="24" t="str">
        <x:v>r1</x:v>
      </x:c>
      <x:c r="J13" s="24" t="n">
        <x:v>2</x:v>
      </x:c>
      <x:c r="K13" s="24" t="str">
        <x:v>有效</x:v>
      </x:c>
      <x:c r="L13" s="24" t="str"/>
    </x:row>
    <x:row r="14" ht="42" customHeight="1">
      <x:c r="A14" s="24" t="str">
        <x:v>raised_funds</x:v>
      </x:c>
      <x:c r="B14" s="24" t="n">
        <x:v>1</x:v>
      </x:c>
      <x:c r="C14" s="24" t="n">
        <x:v>1</x:v>
      </x:c>
      <x:c r="D14" s="24" t="str">
        <x:v>目录读取</x:v>
      </x:c>
      <x:c r="E14" s="24" t="str"/>
      <x:c r="F14" s="24" t="str"/>
      <x:c r="G14" s="24" t="str"/>
      <x:c r="H14" s="24" t="str">
        <x:v>stock.corporate_action</x:v>
      </x:c>
      <x:c r="I14" s="24" t="str"/>
      <x:c r="J14" s="24" t="str"/>
      <x:c r="K14" s="24" t="str">
        <x:v>有效</x:v>
      </x:c>
      <x:c r="L14" s="24" t="str"/>
    </x:row>
    <x:row r="15" ht="42" customHeight="1">
      <x:c r="A15" s="24" t="str">
        <x:v>raised_funds</x:v>
      </x:c>
      <x:c r="B15" s="24" t="n">
        <x:v>1</x:v>
      </x:c>
      <x:c r="C15" s="24" t="n">
        <x:v>2</x:v>
      </x:c>
      <x:c r="D15" s="24" t="str">
        <x:v>API执行</x:v>
      </x:c>
      <x:c r="E15" s="24" t="n">
        <x:v>1</x:v>
      </x:c>
      <x:c r="F15" s="24" t="n">
        <x:v>1</x:v>
      </x:c>
      <x:c r="G15" s="24" t="str">
        <x:v>查询宁德时代（300750.SZ）最近一次增发事件的募集资金总额和公告日期</x:v>
      </x:c>
      <x:c r="H15" s="24" t="str">
        <x:v>result = stock.corporate_action(filter = "code = 300750.SZ and source = add_issue", order = "ann_date desc", limit = 1) -&gt; code, name, ann_date, ai_type, ai_progress, ai_raised_funds, ai_price</x:v>
      </x:c>
      <x:c r="I15" s="24" t="str">
        <x:v>r1</x:v>
      </x:c>
      <x:c r="J15" s="24" t="n">
        <x:v>1</x:v>
      </x:c>
      <x:c r="K15" s="24" t="str">
        <x:v>有效</x:v>
      </x:c>
      <x:c r="L15" s="24" t="str"/>
    </x:row>
    <x:row r="16" ht="42" customHeight="1">
      <x:c r="A16" s="24" t="str">
        <x:v>valuation_compare</x:v>
      </x:c>
      <x:c r="B16" s="24" t="n">
        <x:v>1</x:v>
      </x:c>
      <x:c r="C16" s="24" t="n">
        <x:v>1</x:v>
      </x:c>
      <x:c r="D16" s="24" t="str">
        <x:v>目录读取</x:v>
      </x:c>
      <x:c r="E16" s="24" t="str"/>
      <x:c r="F16" s="24" t="str"/>
      <x:c r="G16" s="24" t="str"/>
      <x:c r="H16" s="24" t="str">
        <x:v>stock.pricevalue</x:v>
      </x:c>
      <x:c r="I16" s="24" t="str"/>
      <x:c r="J16" s="24" t="str"/>
      <x:c r="K16" s="24" t="str">
        <x:v>有效</x:v>
      </x:c>
      <x:c r="L16" s="24" t="str"/>
    </x:row>
    <x:row r="17" ht="42" customHeight="1">
      <x:c r="A17" s="24" t="str">
        <x:v>valuation_compare</x:v>
      </x:c>
      <x:c r="B17" s="24" t="n">
        <x:v>1</x:v>
      </x:c>
      <x:c r="C17" s="24" t="n">
        <x:v>2</x:v>
      </x:c>
      <x:c r="D17" s="24" t="str">
        <x:v>API执行</x:v>
      </x:c>
      <x:c r="E17" s="24" t="n">
        <x:v>1</x:v>
      </x:c>
      <x:c r="F17" s="24" t="n">
        <x:v>1</x:v>
      </x:c>
      <x:c r="G17" s="24" t="str">
        <x:v>查询贵州茅台和五粮液最新的市盈率和市净率估值数据</x:v>
      </x:c>
      <x:c r="H17" s="24" t="str">
        <x:v>result = stock.pricevalue(filter = "code in ('600519.SH','000858.SZ')", order = "code asc", limit = 2, realtime = 0) -&gt; code, name, tradedate, pe, pe_ttm, pb, pb_mrq</x:v>
      </x:c>
      <x:c r="I17" s="24" t="str">
        <x:v>r1</x:v>
      </x:c>
      <x:c r="J17" s="24" t="n">
        <x:v>2</x:v>
      </x:c>
      <x:c r="K17" s="24" t="str">
        <x:v>有效</x:v>
      </x:c>
      <x:c r="L17" s="24" t="str"/>
    </x:row>
    <x:row r="18" ht="42" customHeight="1">
      <x:c r="A18" s="24" t="str">
        <x:v>entity_followup</x:v>
      </x:c>
      <x:c r="B18" s="24" t="n">
        <x:v>1</x:v>
      </x:c>
      <x:c r="C18" s="24" t="n">
        <x:v>1</x:v>
      </x:c>
      <x:c r="D18" s="24" t="str">
        <x:v>目录读取</x:v>
      </x:c>
      <x:c r="E18" s="24" t="str"/>
      <x:c r="F18" s="24" t="str"/>
      <x:c r="G18" s="24" t="str"/>
      <x:c r="H18" s="24" t="str">
        <x:v>stock.quote</x:v>
      </x:c>
      <x:c r="I18" s="24" t="str"/>
      <x:c r="J18" s="24" t="str"/>
      <x:c r="K18" s="24" t="str">
        <x:v>有效</x:v>
      </x:c>
      <x:c r="L18" s="24" t="str"/>
    </x:row>
    <x:row r="19" ht="42" customHeight="1">
      <x:c r="A19" s="24" t="str">
        <x:v>entity_followup</x:v>
      </x:c>
      <x:c r="B19" s="24" t="n">
        <x:v>1</x:v>
      </x:c>
      <x:c r="C19" s="24" t="n">
        <x:v>2</x:v>
      </x:c>
      <x:c r="D19" s="24" t="str">
        <x:v>API执行</x:v>
      </x:c>
      <x:c r="E19" s="24" t="n">
        <x:v>1</x:v>
      </x:c>
      <x:c r="F19" s="24" t="n">
        <x:v>1</x:v>
      </x:c>
      <x:c r="G19" s="24" t="str">
        <x:v>查询贵州茅台最近一个交易日的开盘价</x:v>
      </x:c>
      <x:c r="H19" s="24" t="str">
        <x:v>result = stock.quote(filter = "code = 600519.SH", order = "tradedate desc", limit = 1, realtime = 0) -&gt; code, name, tradedate, open</x:v>
      </x:c>
      <x:c r="I19" s="24" t="str">
        <x:v>r1</x:v>
      </x:c>
      <x:c r="J19" s="24" t="n">
        <x:v>1</x:v>
      </x:c>
      <x:c r="K19" s="24" t="str">
        <x:v>有效</x:v>
      </x:c>
      <x:c r="L19" s="24" t="str"/>
    </x:row>
    <x:row r="20" ht="42" customHeight="1">
      <x:c r="A20" s="24" t="str">
        <x:v>entity_followup</x:v>
      </x:c>
      <x:c r="B20" s="24" t="n">
        <x:v>2</x:v>
      </x:c>
      <x:c r="C20" s="24" t="n">
        <x:v>1</x:v>
      </x:c>
      <x:c r="D20" s="24" t="str">
        <x:v>API执行</x:v>
      </x:c>
      <x:c r="E20" s="24" t="n">
        <x:v>1</x:v>
      </x:c>
      <x:c r="F20" s="24" t="n">
        <x:v>1</x:v>
      </x:c>
      <x:c r="G20" s="24" t="str">
        <x:v>查询五粮液最近一个交易日的开盘价</x:v>
      </x:c>
      <x:c r="H20" s="24" t="str">
        <x:v>result = stock.quote(filter = "code = 000858.SZ", order = "tradedate desc", limit = 1, realtime = 0) -&gt; code, name, tradedate, open</x:v>
      </x:c>
      <x:c r="I20" s="24" t="str">
        <x:v>r2</x:v>
      </x:c>
      <x:c r="J20" s="24" t="n">
        <x:v>1</x:v>
      </x:c>
      <x:c r="K20" s="24" t="str">
        <x:v>有效</x:v>
      </x:c>
      <x:c r="L20" s="24" t="str"/>
    </x:row>
    <x:row r="21" ht="42" customHeight="1">
      <x:c r="A21" s="24" t="str">
        <x:v>ordinal_followup</x:v>
      </x:c>
      <x:c r="B21" s="24" t="n">
        <x:v>1</x:v>
      </x:c>
      <x:c r="C21" s="24" t="n">
        <x:v>1</x:v>
      </x:c>
      <x:c r="D21" s="24" t="str">
        <x:v>目录读取</x:v>
      </x:c>
      <x:c r="E21" s="24" t="str"/>
      <x:c r="F21" s="24" t="str"/>
      <x:c r="G21" s="24" t="str"/>
      <x:c r="H21" s="24" t="str">
        <x:v>stock.quote</x:v>
      </x:c>
      <x:c r="I21" s="24" t="str"/>
      <x:c r="J21" s="24" t="str"/>
      <x:c r="K21" s="24" t="str">
        <x:v>有效</x:v>
      </x:c>
      <x:c r="L21" s="24" t="str"/>
    </x:row>
    <x:row r="22" ht="42" customHeight="1">
      <x:c r="A22" s="24" t="str">
        <x:v>ordinal_followup</x:v>
      </x:c>
      <x:c r="B22" s="24" t="n">
        <x:v>1</x:v>
      </x:c>
      <x:c r="C22" s="24" t="n">
        <x:v>2</x:v>
      </x:c>
      <x:c r="D22" s="24" t="str">
        <x:v>API执行</x:v>
      </x:c>
      <x:c r="E22" s="24" t="n">
        <x:v>1</x:v>
      </x:c>
      <x:c r="F22" s="24" t="n">
        <x:v>1</x:v>
      </x:c>
      <x:c r="G22" s="24" t="str">
        <x:v>查询宁德时代和比亚迪最新的日K收盘价</x:v>
      </x:c>
      <x:c r="H22" s="24" t="str">
        <x:v>result = stock.quote(filter = "code in ('300750.SZ', '002594.SZ')", order = "tradedate desc", limit = 2, realtime = 0) -&gt; code, name, tradedate, close, pct, differ</x:v>
      </x:c>
      <x:c r="I22" s="24" t="str">
        <x:v>r1</x:v>
      </x:c>
      <x:c r="J22" s="24" t="n">
        <x:v>2</x:v>
      </x:c>
      <x:c r="K22" s="24" t="str">
        <x:v>有效</x:v>
      </x:c>
      <x:c r="L22" s="24" t="str"/>
    </x:row>
    <x:row r="23" ht="42" customHeight="1">
      <x:c r="A23" s="24" t="str">
        <x:v>ordinal_followup</x:v>
      </x:c>
      <x:c r="B23" s="24" t="n">
        <x:v>2</x:v>
      </x:c>
      <x:c r="C23" s="24" t="n">
        <x:v>1</x:v>
      </x:c>
      <x:c r="D23" s="24" t="str">
        <x:v>目录读取</x:v>
      </x:c>
      <x:c r="E23" s="24" t="str"/>
      <x:c r="F23" s="24" t="str"/>
      <x:c r="G23" s="24" t="str"/>
      <x:c r="H23" s="24" t="str">
        <x:v>stock.margin</x:v>
      </x:c>
      <x:c r="I23" s="24" t="str"/>
      <x:c r="J23" s="24" t="str"/>
      <x:c r="K23" s="24" t="str">
        <x:v>有效</x:v>
      </x:c>
      <x:c r="L23" s="24" t="str"/>
    </x:row>
    <x:row r="24" ht="42" customHeight="1">
      <x:c r="A24" s="24" t="str">
        <x:v>ordinal_followup</x:v>
      </x:c>
      <x:c r="B24" s="24" t="n">
        <x:v>2</x:v>
      </x:c>
      <x:c r="C24" s="24" t="n">
        <x:v>2</x:v>
      </x:c>
      <x:c r="D24" s="24" t="str">
        <x:v>API执行</x:v>
      </x:c>
      <x:c r="E24" s="24" t="n">
        <x:v>1</x:v>
      </x:c>
      <x:c r="F24" s="24" t="n">
        <x:v>1</x:v>
      </x:c>
      <x:c r="G24" s="24" t="str">
        <x:v>查询比亚迪最新的融资余额</x:v>
      </x:c>
      <x:c r="H24" s="24" t="str">
        <x:v>result = stock.margin(filter = "code = '002594.SZ'", order = "tradedate desc", limit = 1, realtime = 0) -&gt; code, name, tradedate, financing_balance</x:v>
      </x:c>
      <x:c r="I24" s="24" t="str">
        <x:v>r2</x:v>
      </x:c>
      <x:c r="J24" s="24" t="n">
        <x:v>1</x:v>
      </x:c>
      <x:c r="K24" s="24" t="str">
        <x:v>有效</x:v>
      </x:c>
      <x:c r="L24" s="24" t="str"/>
    </x:row>
    <x:row r="25" ht="42" customHeight="1">
      <x:c r="A25" s="24" t="str">
        <x:v>cross_result_dependency</x:v>
      </x:c>
      <x:c r="B25" s="24" t="n">
        <x:v>1</x:v>
      </x:c>
      <x:c r="C25" s="24" t="n">
        <x:v>1</x:v>
      </x:c>
      <x:c r="D25" s="24" t="str">
        <x:v>目录读取</x:v>
      </x:c>
      <x:c r="E25" s="24" t="str"/>
      <x:c r="F25" s="24" t="str"/>
      <x:c r="G25" s="24" t="str"/>
      <x:c r="H25" s="24" t="str">
        <x:v>plate.quote</x:v>
      </x:c>
      <x:c r="I25" s="24" t="str"/>
      <x:c r="J25" s="24" t="str"/>
      <x:c r="K25" s="24" t="str">
        <x:v>有效</x:v>
      </x:c>
      <x:c r="L25" s="24" t="str"/>
    </x:row>
    <x:row r="26" ht="42" customHeight="1">
      <x:c r="A26" s="24" t="str">
        <x:v>cross_result_dependency</x:v>
      </x:c>
      <x:c r="B26" s="24" t="n">
        <x:v>1</x:v>
      </x:c>
      <x:c r="C26" s="24" t="n">
        <x:v>2</x:v>
      </x:c>
      <x:c r="D26" s="24" t="str">
        <x:v>目录读取</x:v>
      </x:c>
      <x:c r="E26" s="24" t="str"/>
      <x:c r="F26" s="24" t="str"/>
      <x:c r="G26" s="24" t="str"/>
      <x:c r="H26" s="24" t="str">
        <x:v>plate.constitution</x:v>
      </x:c>
      <x:c r="I26" s="24" t="str"/>
      <x:c r="J26" s="24" t="str"/>
      <x:c r="K26" s="24" t="str">
        <x:v>有效</x:v>
      </x:c>
      <x:c r="L26" s="24" t="str"/>
    </x:row>
    <x:row r="27" ht="42" customHeight="1">
      <x:c r="A27" s="24" t="str">
        <x:v>cross_result_dependency</x:v>
      </x:c>
      <x:c r="B27" s="24" t="n">
        <x:v>1</x:v>
      </x:c>
      <x:c r="C27" s="24" t="n">
        <x:v>3</x:v>
      </x:c>
      <x:c r="D27" s="24" t="str">
        <x:v>API执行</x:v>
      </x:c>
      <x:c r="E27" s="24" t="n">
        <x:v>1</x:v>
      </x:c>
      <x:c r="F27" s="24" t="n">
        <x:v>2</x:v>
      </x:c>
      <x:c r="G27" s="24" t="str">
        <x:v>找出最近5个交易日涨幅最高的3个板块</x:v>
      </x:c>
      <x:c r="H27" s="24" t="str">
        <x:v>result = plate.quote.kd_pct_sum(k = 5, order = "value desc", limit = 3, realtime = 0) -&gt; code, name, value as pct_5d</x:v>
      </x:c>
      <x:c r="I27" s="24" t="str">
        <x:v>r1</x:v>
      </x:c>
      <x:c r="J27" s="24" t="n">
        <x:v>3</x:v>
      </x:c>
      <x:c r="K27" s="24" t="str">
        <x:v>有效</x:v>
      </x:c>
      <x:c r="L27" s="24" t="str"/>
    </x:row>
    <x:row r="28" ht="42" customHeight="1">
      <x:c r="A28" s="24" t="str">
        <x:v>cross_result_dependency</x:v>
      </x:c>
      <x:c r="B28" s="24" t="n">
        <x:v>1</x:v>
      </x:c>
      <x:c r="C28" s="24" t="n">
        <x:v>4</x:v>
      </x:c>
      <x:c r="D28" s="24" t="str">
        <x:v>API执行</x:v>
      </x:c>
      <x:c r="E28" s="24" t="n">
        <x:v>2</x:v>
      </x:c>
      <x:c r="F28" s="24" t="n">
        <x:v>2</x:v>
      </x:c>
      <x:c r="G28" s="24" t="str">
        <x:v>计算这3个板块各自成分股今日的总成交额</x:v>
      </x:c>
      <x:c r="H28" s="24" t="str">
        <x:v>result = plate.constitution.agg(filter = "plate_code in step1.code and tradedate = -1", agg = sum(stock.quote.amount), group_by = "plate_code, plate_name", order = "total_amount desc", limit = -1, realtime = 0) -&gt; plate_code, plate_name, total_amount</x:v>
      </x:c>
      <x:c r="I28" s="24" t="str">
        <x:v>r2</x:v>
      </x:c>
      <x:c r="J28" s="24" t="n">
        <x:v>3</x:v>
      </x:c>
      <x:c r="K28" s="24" t="str">
        <x:v>有效</x:v>
      </x:c>
      <x:c r="L28" s="24" t="str"/>
    </x:row>
    <x:row r="29" ht="42" customHeight="1">
      <x:c r="A29" s="24" t="str">
        <x:v>empty_result</x:v>
      </x:c>
      <x:c r="B29" s="24" t="n">
        <x:v>1</x:v>
      </x:c>
      <x:c r="C29" s="24" t="n">
        <x:v>1</x:v>
      </x:c>
      <x:c r="D29" s="24" t="str">
        <x:v>目录读取</x:v>
      </x:c>
      <x:c r="E29" s="24" t="str"/>
      <x:c r="F29" s="24" t="str"/>
      <x:c r="G29" s="24" t="str"/>
      <x:c r="H29" s="24" t="str">
        <x:v>stock.quote</x:v>
      </x:c>
      <x:c r="I29" s="24" t="str"/>
      <x:c r="J29" s="24" t="str"/>
      <x:c r="K29" s="24" t="str">
        <x:v>有效</x:v>
      </x:c>
      <x:c r="L29" s="24" t="str"/>
    </x:row>
    <x:row r="30" ht="42" customHeight="1">
      <x:c r="A30" s="24" t="str">
        <x:v>empty_result</x:v>
      </x:c>
      <x:c r="B30" s="24" t="n">
        <x:v>1</x:v>
      </x:c>
      <x:c r="C30" s="24" t="n">
        <x:v>2</x:v>
      </x:c>
      <x:c r="D30" s="24" t="str">
        <x:v>API执行</x:v>
      </x:c>
      <x:c r="E30" s="24" t="n">
        <x:v>1</x:v>
      </x:c>
      <x:c r="F30" s="24" t="n">
        <x:v>1</x:v>
      </x:c>
      <x:c r="G30" s="24" t="str">
        <x:v>查询证券'测试股份999999'的最近交易日收盘价</x:v>
      </x:c>
      <x:c r="H30" s="24" t="str">
        <x:v>result = stock.quote(filter = "code = 999999", order = "tradedate desc", limit = 1, realtime = 0) -&gt; code, name, tradedate, close</x:v>
      </x:c>
      <x:c r="I30" s="24" t="str">
        <x:v>r1</x:v>
      </x:c>
      <x:c r="J30" s="24" t="n">
        <x:v>0</x:v>
      </x:c>
      <x:c r="K30" s="24" t="str">
        <x:v>有效</x:v>
      </x:c>
      <x:c r="L30" s="24" t="str"/>
    </x:row>
  </x:sheetData>
  <x:conditionalFormatting sqref="K2:K30">
    <x:cfRule type="containsText" dxfId="2" priority="1" operator="containsText" text="无效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" hidden="0" customWidth="1"/>
    <x:col min="3" max="3" width="10" hidden="0" customWidth="1"/>
    <x:col min="4" max="4" width="14" hidden="0" customWidth="1"/>
    <x:col min="5" max="5" width="24" hidden="0" customWidth="1"/>
    <x:col min="6" max="6" width="16" hidden="0" customWidth="1"/>
    <x:col min="7" max="7" width="16" hidden="0" customWidth="1"/>
    <x:col min="8" max="8" width="88" hidden="0" customWidth="1"/>
  </x:cols>
  <x:sheetData>
    <x:row r="1" ht="30" customHeight="1">
      <x:c r="A1" s="12" t="str">
        <x:v>Case</x:v>
      </x:c>
      <x:c r="B1" s="12" t="str">
        <x:v>轮次</x:v>
      </x:c>
      <x:c r="C1" s="12" t="str">
        <x:v>事件序号</x:v>
      </x:c>
      <x:c r="D1" s="12" t="str">
        <x:v>距开始(秒)</x:v>
      </x:c>
      <x:c r="E1" s="12" t="str">
        <x:v>事件类型</x:v>
      </x:c>
      <x:c r="F1" s="12" t="str">
        <x:v>阶段</x:v>
      </x:c>
      <x:c r="G1" s="12" t="str">
        <x:v>信息分类</x:v>
      </x:c>
      <x:c r="H1" s="12" t="str">
        <x:v>内容</x:v>
      </x:c>
    </x:row>
    <x:row r="2" ht="38" customHeight="1">
      <x:c r="A2" s="24" t="str">
        <x:v>realtime_quote</x:v>
      </x:c>
      <x:c r="B2" s="24" t="n">
        <x:v>1</x:v>
      </x:c>
      <x:c r="C2" s="24" t="n">
        <x:v>1</x:v>
      </x:c>
      <x:c r="D2" s="25" t="n">
        <x:v>13.88</x:v>
      </x:c>
      <x:c r="E2" s="24" t="str">
        <x:v>stage_start</x:v>
      </x:c>
      <x:c r="F2" s="24" t="str">
        <x:v>runtime</x:v>
      </x:c>
      <x:c r="G2" s="24" t="str">
        <x:v>心跳/阶段信号</x:v>
      </x:c>
      <x:c r="H2" s="24" t="str">
        <x:v>Finance CC started</x:v>
      </x:c>
    </x:row>
    <x:row r="3" ht="38" customHeight="1">
      <x:c r="A3" s="24" t="str">
        <x:v>realtime_quote</x:v>
      </x:c>
      <x:c r="B3" s="24" t="n">
        <x:v>1</x:v>
      </x:c>
      <x:c r="C3" s="24" t="n">
        <x:v>2</x:v>
      </x:c>
      <x:c r="D3" s="25" t="n">
        <x:v>16.209</x:v>
      </x:c>
      <x:c r="E3" s="24" t="str">
        <x:v>tool_call</x:v>
      </x:c>
      <x:c r="F3" s="24" t="str">
        <x:v>runtime</x:v>
      </x:c>
      <x:c r="G3" s="24" t="str">
        <x:v>工具进入</x:v>
      </x:c>
      <x:c r="H3" s="24" t="str">
        <x:v>mcp__finance__read_finance_catalog</x:v>
      </x:c>
    </x:row>
    <x:row r="4" ht="38" customHeight="1">
      <x:c r="A4" s="24" t="str">
        <x:v>realtime_quote</x:v>
      </x:c>
      <x:c r="B4" s="24" t="n">
        <x:v>1</x:v>
      </x:c>
      <x:c r="C4" s="24" t="n">
        <x:v>3</x:v>
      </x:c>
      <x:c r="D4" s="25" t="n">
        <x:v>19.25</x:v>
      </x:c>
      <x:c r="E4" s="24" t="str">
        <x:v>tool_call</x:v>
      </x:c>
      <x:c r="F4" s="24" t="str">
        <x:v>runtime</x:v>
      </x:c>
      <x:c r="G4" s="24" t="str">
        <x:v>工具进入</x:v>
      </x:c>
      <x:c r="H4" s="24" t="str">
        <x:v>mcp__finance__finance_query</x:v>
      </x:c>
    </x:row>
    <x:row r="5" ht="38" customHeight="1">
      <x:c r="A5" s="24" t="str">
        <x:v>realtime_quote</x:v>
      </x:c>
      <x:c r="B5" s="24" t="n">
        <x:v>1</x:v>
      </x:c>
      <x:c r="C5" s="24" t="n">
        <x:v>4</x:v>
      </x:c>
      <x:c r="D5" s="25" t="n">
        <x:v>19.258</x:v>
      </x:c>
      <x:c r="E5" s="24" t="str">
        <x:v>reasoning_summary_delta</x:v>
      </x:c>
      <x:c r="F5" s="24" t="str">
        <x:v>runtime</x:v>
      </x:c>
      <x:c r="G5" s="24" t="str">
        <x:v>具体执行信息</x:v>
      </x:c>
      <x:c r="H5" s="24" t="str">
        <x:v>正在执行第 1/1 步：获取宁德时代最新行情（当前价格、开盘价、最高价、最低价、成交额）</x:v>
      </x:c>
    </x:row>
    <x:row r="6" ht="38" customHeight="1">
      <x:c r="A6" s="24" t="str">
        <x:v>realtime_quote</x:v>
      </x:c>
      <x:c r="B6" s="24" t="n">
        <x:v>1</x:v>
      </x:c>
      <x:c r="C6" s="24" t="n">
        <x:v>5</x:v>
      </x:c>
      <x:c r="D6" s="25" t="n">
        <x:v>19.422</x:v>
      </x:c>
      <x:c r="E6" s="24" t="str">
        <x:v>reasoning_summary_delta</x:v>
      </x:c>
      <x:c r="F6" s="24" t="str">
        <x:v>runtime</x:v>
      </x:c>
      <x:c r="G6" s="24" t="str">
        <x:v>具体执行信息</x:v>
      </x:c>
      <x:c r="H6" s="24" t="str">
        <x:v>闭环判断：执行成功并返回 1 行；有值列 code, name, tradedate, open, close, high, low, amount, pct 可直接使用，无值列 preclose, volumn 就是当前数据源未提供。若上方 API、selection_applied、输出字段和时间与 goal 一致，本步已经完成：保留身份范围并如实回答缺值，不换 API、切实时模式、放宽条件或查询原始明细。只有能明确说出 goal 与请求的具体偏差时才修正。 sample_complete=true，禁止再分页加载。</x:v>
      </x:c>
    </x:row>
    <x:row r="7" ht="38" customHeight="1">
      <x:c r="A7" s="24" t="str">
        <x:v>realtime_quote</x:v>
      </x:c>
      <x:c r="B7" s="24" t="n">
        <x:v>1</x:v>
      </x:c>
      <x:c r="C7" s="24" t="n">
        <x:v>6</x:v>
      </x:c>
      <x:c r="D7" s="25" t="n">
        <x:v>22.354</x:v>
      </x:c>
      <x:c r="E7" s="24" t="str">
        <x:v>reasoning_summary_delta</x:v>
      </x:c>
      <x:c r="F7" s="24" t="str">
        <x:v>runtime</x:v>
      </x:c>
      <x:c r="G7" s="24" t="str">
        <x:v>心跳/阶段信号</x:v>
      </x:c>
      <x:c r="H7" s="24" t="str">
        <x:v>Finance CC is working</x:v>
      </x:c>
    </x:row>
    <x:row r="8" ht="38" customHeight="1">
      <x:c r="A8" s="24" t="str">
        <x:v>realtime_quote</x:v>
      </x:c>
      <x:c r="B8" s="24" t="n">
        <x:v>1</x:v>
      </x:c>
      <x:c r="C8" s="24" t="n">
        <x:v>7</x:v>
      </x:c>
      <x:c r="D8" s="25" t="n">
        <x:v>23.199</x:v>
      </x:c>
      <x:c r="E8" s="24" t="str">
        <x:v>reasoning_summary_delta</x:v>
      </x:c>
      <x:c r="F8" s="24" t="str">
        <x:v>runtime</x:v>
      </x:c>
      <x:c r="G8" s="24" t="str">
        <x:v>心跳/阶段信号</x:v>
      </x:c>
      <x:c r="H8" s="24" t="str">
        <x:v>Finance CC is working</x:v>
      </x:c>
    </x:row>
    <x:row r="9" ht="38" customHeight="1">
      <x:c r="A9" s="24" t="str">
        <x:v>realtime_quote</x:v>
      </x:c>
      <x:c r="B9" s="24" t="n">
        <x:v>1</x:v>
      </x:c>
      <x:c r="C9" s="24" t="n">
        <x:v>8</x:v>
      </x:c>
      <x:c r="D9" s="25" t="n">
        <x:v>23.965</x:v>
      </x:c>
      <x:c r="E9" s="24" t="str">
        <x:v>stage_result</x:v>
      </x:c>
      <x:c r="F9" s="24" t="str">
        <x:v>runtime</x:v>
      </x:c>
      <x:c r="G9" s="24" t="str">
        <x:v>心跳/阶段信号</x:v>
      </x:c>
      <x:c r="H9" s="24" t="str">
        <x:v>Finance CC completed</x:v>
      </x:c>
    </x:row>
    <x:row r="10" ht="38" customHeight="1">
      <x:c r="A10" s="24" t="str">
        <x:v>maotai_open_close</x:v>
      </x:c>
      <x:c r="B10" s="24" t="n">
        <x:v>1</x:v>
      </x:c>
      <x:c r="C10" s="24" t="n">
        <x:v>1</x:v>
      </x:c>
      <x:c r="D10" s="25" t="n">
        <x:v>1.979</x:v>
      </x:c>
      <x:c r="E10" s="24" t="str">
        <x:v>stage_start</x:v>
      </x:c>
      <x:c r="F10" s="24" t="str">
        <x:v>runtime</x:v>
      </x:c>
      <x:c r="G10" s="24" t="str">
        <x:v>心跳/阶段信号</x:v>
      </x:c>
      <x:c r="H10" s="24" t="str">
        <x:v>Finance CC started</x:v>
      </x:c>
    </x:row>
    <x:row r="11" ht="38" customHeight="1">
      <x:c r="A11" s="24" t="str">
        <x:v>maotai_open_close</x:v>
      </x:c>
      <x:c r="B11" s="24" t="n">
        <x:v>1</x:v>
      </x:c>
      <x:c r="C11" s="24" t="n">
        <x:v>2</x:v>
      </x:c>
      <x:c r="D11" s="25" t="n">
        <x:v>4.476</x:v>
      </x:c>
      <x:c r="E11" s="24" t="str">
        <x:v>tool_call</x:v>
      </x:c>
      <x:c r="F11" s="24" t="str">
        <x:v>runtime</x:v>
      </x:c>
      <x:c r="G11" s="24" t="str">
        <x:v>工具进入</x:v>
      </x:c>
      <x:c r="H11" s="24" t="str">
        <x:v>mcp__finance__read_finance_catalog</x:v>
      </x:c>
    </x:row>
    <x:row r="12" ht="38" customHeight="1">
      <x:c r="A12" s="24" t="str">
        <x:v>maotai_open_close</x:v>
      </x:c>
      <x:c r="B12" s="24" t="n">
        <x:v>1</x:v>
      </x:c>
      <x:c r="C12" s="24" t="n">
        <x:v>3</x:v>
      </x:c>
      <x:c r="D12" s="25" t="n">
        <x:v>6.387</x:v>
      </x:c>
      <x:c r="E12" s="24" t="str">
        <x:v>reasoning_summary_delta</x:v>
      </x:c>
      <x:c r="F12" s="24" t="str">
        <x:v>runtime</x:v>
      </x:c>
      <x:c r="G12" s="24" t="str">
        <x:v>心跳/阶段信号</x:v>
      </x:c>
      <x:c r="H12" s="24" t="str">
        <x:v>Finance CC is working</x:v>
      </x:c>
    </x:row>
    <x:row r="13" ht="38" customHeight="1">
      <x:c r="A13" s="24" t="str">
        <x:v>maotai_open_close</x:v>
      </x:c>
      <x:c r="B13" s="24" t="n">
        <x:v>1</x:v>
      </x:c>
      <x:c r="C13" s="24" t="n">
        <x:v>4</x:v>
      </x:c>
      <x:c r="D13" s="25" t="n">
        <x:v>7.255</x:v>
      </x:c>
      <x:c r="E13" s="24" t="str">
        <x:v>tool_call</x:v>
      </x:c>
      <x:c r="F13" s="24" t="str">
        <x:v>runtime</x:v>
      </x:c>
      <x:c r="G13" s="24" t="str">
        <x:v>工具进入</x:v>
      </x:c>
      <x:c r="H13" s="24" t="str">
        <x:v>mcp__finance__finance_query</x:v>
      </x:c>
    </x:row>
    <x:row r="14" ht="38" customHeight="1">
      <x:c r="A14" s="24" t="str">
        <x:v>maotai_open_close</x:v>
      </x:c>
      <x:c r="B14" s="24" t="n">
        <x:v>1</x:v>
      </x:c>
      <x:c r="C14" s="24" t="n">
        <x:v>5</x:v>
      </x:c>
      <x:c r="D14" s="25" t="n">
        <x:v>7.263</x:v>
      </x:c>
      <x:c r="E14" s="24" t="str">
        <x:v>reasoning_summary_delta</x:v>
      </x:c>
      <x:c r="F14" s="24" t="str">
        <x:v>runtime</x:v>
      </x:c>
      <x:c r="G14" s="24" t="str">
        <x:v>具体执行信息</x:v>
      </x:c>
      <x:c r="H14" s="24" t="str">
        <x:v>正在执行第 1/1 步：查询贵州茅台上一个交易日的开盘价和收盘价</x:v>
      </x:c>
    </x:row>
    <x:row r="15" ht="38" customHeight="1">
      <x:c r="A15" s="24" t="str">
        <x:v>maotai_open_close</x:v>
      </x:c>
      <x:c r="B15" s="24" t="n">
        <x:v>1</x:v>
      </x:c>
      <x:c r="C15" s="24" t="n">
        <x:v>6</x:v>
      </x:c>
      <x:c r="D15" s="25" t="n">
        <x:v>7.37</x:v>
      </x:c>
      <x:c r="E15" s="24" t="str">
        <x:v>reasoning_summary_delta</x:v>
      </x:c>
      <x:c r="F15" s="24" t="str">
        <x:v>runtime</x:v>
      </x:c>
      <x:c r="G15" s="24" t="str">
        <x:v>具体执行信息</x:v>
      </x:c>
      <x:c r="H15" s="24" t="str">
        <x:v>闭环判断：执行成功并返回 1 行，所请求列均有值。若上方 API、selection_applied、输出字段和时间与 goal 一致，本步已经完成，进入不同目标或回答；只有具体语义偏差才允许修正。 sample_complete=true，禁止再分页加载。</x:v>
      </x:c>
    </x:row>
    <x:row r="16" ht="38" customHeight="1">
      <x:c r="A16" s="24" t="str">
        <x:v>maotai_open_close</x:v>
      </x:c>
      <x:c r="B16" s="24" t="n">
        <x:v>1</x:v>
      </x:c>
      <x:c r="C16" s="24" t="n">
        <x:v>7</x:v>
      </x:c>
      <x:c r="D16" s="25" t="n">
        <x:v>11.629</x:v>
      </x:c>
      <x:c r="E16" s="24" t="str">
        <x:v>reasoning_summary_delta</x:v>
      </x:c>
      <x:c r="F16" s="24" t="str">
        <x:v>runtime</x:v>
      </x:c>
      <x:c r="G16" s="24" t="str">
        <x:v>心跳/阶段信号</x:v>
      </x:c>
      <x:c r="H16" s="24" t="str">
        <x:v>Finance CC is working</x:v>
      </x:c>
    </x:row>
    <x:row r="17" ht="38" customHeight="1">
      <x:c r="A17" s="24" t="str">
        <x:v>maotai_open_close</x:v>
      </x:c>
      <x:c r="B17" s="24" t="n">
        <x:v>1</x:v>
      </x:c>
      <x:c r="C17" s="24" t="n">
        <x:v>8</x:v>
      </x:c>
      <x:c r="D17" s="25" t="n">
        <x:v>12.457</x:v>
      </x:c>
      <x:c r="E17" s="24" t="str">
        <x:v>reasoning_summary_delta</x:v>
      </x:c>
      <x:c r="F17" s="24" t="str">
        <x:v>runtime</x:v>
      </x:c>
      <x:c r="G17" s="24" t="str">
        <x:v>心跳/阶段信号</x:v>
      </x:c>
      <x:c r="H17" s="24" t="str">
        <x:v>Finance CC is working</x:v>
      </x:c>
    </x:row>
    <x:row r="18" ht="38" customHeight="1">
      <x:c r="A18" s="24" t="str">
        <x:v>maotai_open_close</x:v>
      </x:c>
      <x:c r="B18" s="24" t="n">
        <x:v>1</x:v>
      </x:c>
      <x:c r="C18" s="24" t="n">
        <x:v>9</x:v>
      </x:c>
      <x:c r="D18" s="25" t="n">
        <x:v>12.712</x:v>
      </x:c>
      <x:c r="E18" s="24" t="str">
        <x:v>stage_result</x:v>
      </x:c>
      <x:c r="F18" s="24" t="str">
        <x:v>runtime</x:v>
      </x:c>
      <x:c r="G18" s="24" t="str">
        <x:v>心跳/阶段信号</x:v>
      </x:c>
      <x:c r="H18" s="24" t="str">
        <x:v>Finance CC completed</x:v>
      </x:c>
    </x:row>
    <x:row r="19" ht="38" customHeight="1">
      <x:c r="A19" s="24" t="str">
        <x:v>quote_window_metrics</x:v>
      </x:c>
      <x:c r="B19" s="24" t="n">
        <x:v>1</x:v>
      </x:c>
      <x:c r="C19" s="24" t="n">
        <x:v>1</x:v>
      </x:c>
      <x:c r="D19" s="25" t="n">
        <x:v>0.978</x:v>
      </x:c>
      <x:c r="E19" s="24" t="str">
        <x:v>stage_start</x:v>
      </x:c>
      <x:c r="F19" s="24" t="str">
        <x:v>runtime</x:v>
      </x:c>
      <x:c r="G19" s="24" t="str">
        <x:v>心跳/阶段信号</x:v>
      </x:c>
      <x:c r="H19" s="24" t="str">
        <x:v>Finance CC started</x:v>
      </x:c>
    </x:row>
    <x:row r="20" ht="38" customHeight="1">
      <x:c r="A20" s="24" t="str">
        <x:v>quote_window_metrics</x:v>
      </x:c>
      <x:c r="B20" s="24" t="n">
        <x:v>1</x:v>
      </x:c>
      <x:c r="C20" s="24" t="n">
        <x:v>2</x:v>
      </x:c>
      <x:c r="D20" s="25" t="n">
        <x:v>3.882</x:v>
      </x:c>
      <x:c r="E20" s="24" t="str">
        <x:v>tool_call</x:v>
      </x:c>
      <x:c r="F20" s="24" t="str">
        <x:v>runtime</x:v>
      </x:c>
      <x:c r="G20" s="24" t="str">
        <x:v>工具进入</x:v>
      </x:c>
      <x:c r="H20" s="24" t="str">
        <x:v>mcp__finance__read_finance_catalog</x:v>
      </x:c>
    </x:row>
    <x:row r="21" ht="38" customHeight="1">
      <x:c r="A21" s="24" t="str">
        <x:v>quote_window_metrics</x:v>
      </x:c>
      <x:c r="B21" s="24" t="n">
        <x:v>1</x:v>
      </x:c>
      <x:c r="C21" s="24" t="n">
        <x:v>3</x:v>
      </x:c>
      <x:c r="D21" s="25" t="n">
        <x:v>11.334</x:v>
      </x:c>
      <x:c r="E21" s="24" t="str">
        <x:v>reasoning_summary_delta</x:v>
      </x:c>
      <x:c r="F21" s="24" t="str">
        <x:v>runtime</x:v>
      </x:c>
      <x:c r="G21" s="24" t="str">
        <x:v>心跳/阶段信号</x:v>
      </x:c>
      <x:c r="H21" s="24" t="str">
        <x:v>Finance CC is working</x:v>
      </x:c>
    </x:row>
    <x:row r="22" ht="38" customHeight="1">
      <x:c r="A22" s="24" t="str">
        <x:v>quote_window_metrics</x:v>
      </x:c>
      <x:c r="B22" s="24" t="n">
        <x:v>1</x:v>
      </x:c>
      <x:c r="C22" s="24" t="n">
        <x:v>4</x:v>
      </x:c>
      <x:c r="D22" s="25" t="n">
        <x:v>13.454</x:v>
      </x:c>
      <x:c r="E22" s="24" t="str">
        <x:v>tool_call</x:v>
      </x:c>
      <x:c r="F22" s="24" t="str">
        <x:v>runtime</x:v>
      </x:c>
      <x:c r="G22" s="24" t="str">
        <x:v>工具进入</x:v>
      </x:c>
      <x:c r="H22" s="24" t="str">
        <x:v>mcp__finance__finance_query</x:v>
      </x:c>
    </x:row>
    <x:row r="23" ht="38" customHeight="1">
      <x:c r="A23" s="24" t="str">
        <x:v>quote_window_metrics</x:v>
      </x:c>
      <x:c r="B23" s="24" t="n">
        <x:v>1</x:v>
      </x:c>
      <x:c r="C23" s="24" t="n">
        <x:v>5</x:v>
      </x:c>
      <x:c r="D23" s="25" t="n">
        <x:v>13.51</x:v>
      </x:c>
      <x:c r="E23" s="24" t="str">
        <x:v>reasoning_summary_delta</x:v>
      </x:c>
      <x:c r="F23" s="24" t="str">
        <x:v>runtime</x:v>
      </x:c>
      <x:c r="G23" s="24" t="str">
        <x:v>具体执行信息</x:v>
      </x:c>
      <x:c r="H23" s="24" t="str">
        <x:v>正在执行第 1/3 步：获取贵州茅台最新一个交易日收盘价和涨跌幅</x:v>
      </x:c>
    </x:row>
    <x:row r="24" ht="38" customHeight="1">
      <x:c r="A24" s="24" t="str">
        <x:v>quote_window_metrics</x:v>
      </x:c>
      <x:c r="B24" s="24" t="n">
        <x:v>1</x:v>
      </x:c>
      <x:c r="C24" s="24" t="n">
        <x:v>6</x:v>
      </x:c>
      <x:c r="D24" s="25" t="n">
        <x:v>13.598</x:v>
      </x:c>
      <x:c r="E24" s="24" t="str">
        <x:v>reasoning_summary_delta</x:v>
      </x:c>
      <x:c r="F24" s="24" t="str">
        <x:v>runtime</x:v>
      </x:c>
      <x:c r="G24" s="24" t="str">
        <x:v>具体执行信息</x:v>
      </x:c>
      <x:c r="H24" s="24" t="str">
        <x:v>闭环判断：执行成功并返回 1 行，所请求列均有值。若上方 API、selection_applied、输出字段和时间与 goal 一致，本步已经完成，进入不同目标或回答；只有具体语义偏差才允许修正。 sample_complete=true，禁止再分页加载。</x:v>
      </x:c>
    </x:row>
    <x:row r="25" ht="38" customHeight="1">
      <x:c r="A25" s="24" t="str">
        <x:v>quote_window_metrics</x:v>
      </x:c>
      <x:c r="B25" s="24" t="n">
        <x:v>1</x:v>
      </x:c>
      <x:c r="C25" s="24" t="n">
        <x:v>7</x:v>
      </x:c>
      <x:c r="D25" s="25" t="n">
        <x:v>13.598</x:v>
      </x:c>
      <x:c r="E25" s="24" t="str">
        <x:v>reasoning_summary_delta</x:v>
      </x:c>
      <x:c r="F25" s="24" t="str">
        <x:v>runtime</x:v>
      </x:c>
      <x:c r="G25" s="24" t="str">
        <x:v>具体执行信息</x:v>
      </x:c>
      <x:c r="H25" s="24" t="str">
        <x:v>正在执行第 2/3 步：获取贵州茅台最近5个交易日累计涨幅</x:v>
      </x:c>
    </x:row>
    <x:row r="26" ht="38" customHeight="1">
      <x:c r="A26" s="24" t="str">
        <x:v>quote_window_metrics</x:v>
      </x:c>
      <x:c r="B26" s="24" t="n">
        <x:v>1</x:v>
      </x:c>
      <x:c r="C26" s="24" t="n">
        <x:v>8</x:v>
      </x:c>
      <x:c r="D26" s="25" t="n">
        <x:v>13.722</x:v>
      </x:c>
      <x:c r="E26" s="24" t="str">
        <x:v>reasoning_summary_delta</x:v>
      </x:c>
      <x:c r="F26" s="24" t="str">
        <x:v>runtime</x:v>
      </x:c>
      <x:c r="G26" s="24" t="str">
        <x:v>具体执行信息</x:v>
      </x:c>
      <x:c r="H26" s="24" t="str">
        <x:v>闭环判断：执行成功并返回 1 行；有值列 code, name 可直接使用，无值列 pct_5d 就是当前数据源未提供。若上方 API、selection_applied、输出字段和时间与 goal 一致，本步已经完成：保留身份范围并如实回答缺值，不换 API、切实时模式、放宽条件或查询原始明细。只有能明确说出 goal 与请求的具体偏差时才修正。 sample_complete=true，禁止再分页加载。</x:v>
      </x:c>
    </x:row>
    <x:row r="27" ht="38" customHeight="1">
      <x:c r="A27" s="24" t="str">
        <x:v>quote_window_metrics</x:v>
      </x:c>
      <x:c r="B27" s="24" t="n">
        <x:v>1</x:v>
      </x:c>
      <x:c r="C27" s="24" t="n">
        <x:v>9</x:v>
      </x:c>
      <x:c r="D27" s="25" t="n">
        <x:v>13.722</x:v>
      </x:c>
      <x:c r="E27" s="24" t="str">
        <x:v>reasoning_summary_delta</x:v>
      </x:c>
      <x:c r="F27" s="24" t="str">
        <x:v>runtime</x:v>
      </x:c>
      <x:c r="G27" s="24" t="str">
        <x:v>具体执行信息</x:v>
      </x:c>
      <x:c r="H27" s="24" t="str">
        <x:v>正在执行第 3/3 步：获取贵州茅台最近10个交易日最高收盘价</x:v>
      </x:c>
    </x:row>
    <x:row r="28" ht="38" customHeight="1">
      <x:c r="A28" s="24" t="str">
        <x:v>quote_window_metrics</x:v>
      </x:c>
      <x:c r="B28" s="24" t="n">
        <x:v>1</x:v>
      </x:c>
      <x:c r="C28" s="24" t="n">
        <x:v>10</x:v>
      </x:c>
      <x:c r="D28" s="25" t="n">
        <x:v>13.763</x:v>
      </x:c>
      <x:c r="E28" s="24" t="str">
        <x:v>reasoning_summary_delta</x:v>
      </x:c>
      <x:c r="F28" s="24" t="str">
        <x:v>runtime</x:v>
      </x:c>
      <x:c r="G28" s="24" t="str">
        <x:v>具体执行信息</x:v>
      </x:c>
      <x:c r="H28" s="24" t="str">
        <x:v>闭环判断：执行成功并返回 1 行；有值列 code, name 可直接使用，无值列 high_close_10d 就是当前数据源未提供。若上方 API、selection_applied、输出字段和时间与 goal 一致，本步已经完成：保留身份范围并如实回答缺值，不换 API、切实时模式、放宽条件或查询原始明细。只有能明确说出 goal 与请求的具体偏差时才修正。 sample_complete=true，禁止再分页加载。</x:v>
      </x:c>
    </x:row>
    <x:row r="29" ht="38" customHeight="1">
      <x:c r="A29" s="24" t="str">
        <x:v>quote_window_metrics</x:v>
      </x:c>
      <x:c r="B29" s="24" t="n">
        <x:v>1</x:v>
      </x:c>
      <x:c r="C29" s="24" t="n">
        <x:v>11</x:v>
      </x:c>
      <x:c r="D29" s="25" t="n">
        <x:v>20.575</x:v>
      </x:c>
      <x:c r="E29" s="24" t="str">
        <x:v>reasoning_summary_delta</x:v>
      </x:c>
      <x:c r="F29" s="24" t="str">
        <x:v>runtime</x:v>
      </x:c>
      <x:c r="G29" s="24" t="str">
        <x:v>心跳/阶段信号</x:v>
      </x:c>
      <x:c r="H29" s="24" t="str">
        <x:v>Finance CC is working</x:v>
      </x:c>
    </x:row>
    <x:row r="30" ht="38" customHeight="1">
      <x:c r="A30" s="24" t="str">
        <x:v>quote_window_metrics</x:v>
      </x:c>
      <x:c r="B30" s="24" t="n">
        <x:v>1</x:v>
      </x:c>
      <x:c r="C30" s="24" t="n">
        <x:v>12</x:v>
      </x:c>
      <x:c r="D30" s="25" t="n">
        <x:v>21.796</x:v>
      </x:c>
      <x:c r="E30" s="24" t="str">
        <x:v>tool_call</x:v>
      </x:c>
      <x:c r="F30" s="24" t="str">
        <x:v>runtime</x:v>
      </x:c>
      <x:c r="G30" s="24" t="str">
        <x:v>工具进入</x:v>
      </x:c>
      <x:c r="H30" s="24" t="str">
        <x:v>mcp__finance__finance_query</x:v>
      </x:c>
    </x:row>
    <x:row r="31" ht="38" customHeight="1">
      <x:c r="A31" s="24" t="str">
        <x:v>quote_window_metrics</x:v>
      </x:c>
      <x:c r="B31" s="24" t="n">
        <x:v>1</x:v>
      </x:c>
      <x:c r="C31" s="24" t="n">
        <x:v>13</x:v>
      </x:c>
      <x:c r="D31" s="25" t="n">
        <x:v>21.804</x:v>
      </x:c>
      <x:c r="E31" s="24" t="str">
        <x:v>reasoning_summary_delta</x:v>
      </x:c>
      <x:c r="F31" s="24" t="str">
        <x:v>runtime</x:v>
      </x:c>
      <x:c r="G31" s="24" t="str">
        <x:v>具体执行信息</x:v>
      </x:c>
      <x:c r="H31" s="24" t="str">
        <x:v>正在执行第 1/1 步：获取贵州茅台最近10个交易日的日K行情数据，用于计算累计涨幅和最高收盘价</x:v>
      </x:c>
    </x:row>
    <x:row r="32" ht="38" customHeight="1">
      <x:c r="A32" s="24" t="str">
        <x:v>quote_window_metrics</x:v>
      </x:c>
      <x:c r="B32" s="24" t="n">
        <x:v>1</x:v>
      </x:c>
      <x:c r="C32" s="24" t="n">
        <x:v>14</x:v>
      </x:c>
      <x:c r="D32" s="25" t="n">
        <x:v>21.853</x:v>
      </x:c>
      <x:c r="E32" s="24" t="str">
        <x:v>reasoning_summary_delta</x:v>
      </x:c>
      <x:c r="F32" s="24" t="str">
        <x:v>runtime</x:v>
      </x:c>
      <x:c r="G32" s="24" t="str">
        <x:v>具体执行信息</x:v>
      </x:c>
      <x:c r="H32" s="24" t="str">
        <x:v>闭环判断：执行成功并返回 1 行；有值列 code, name, tradedate, close, pct 可直接使用，无值列 preclose 就是当前数据源未提供。若上方 API、selection_applied、输出字段和时间与 goal 一致，本步已经完成：保留身份范围并如实回答缺值，不换 API、切实时模式、放宽条件或查询原始明细。只有能明确说出 goal 与请求的具体偏差时才修正。 sample_complete=true，禁止再分页加载。</x:v>
      </x:c>
    </x:row>
    <x:row r="33" ht="38" customHeight="1">
      <x:c r="A33" s="24" t="str">
        <x:v>quote_window_metrics</x:v>
      </x:c>
      <x:c r="B33" s="24" t="n">
        <x:v>1</x:v>
      </x:c>
      <x:c r="C33" s="24" t="n">
        <x:v>15</x:v>
      </x:c>
      <x:c r="D33" s="25" t="n">
        <x:v>25.733</x:v>
      </x:c>
      <x:c r="E33" s="24" t="str">
        <x:v>tool_call</x:v>
      </x:c>
      <x:c r="F33" s="24" t="str">
        <x:v>runtime</x:v>
      </x:c>
      <x:c r="G33" s="24" t="str">
        <x:v>工具进入</x:v>
      </x:c>
      <x:c r="H33" s="24" t="str">
        <x:v>mcp__finance__finance_query</x:v>
      </x:c>
    </x:row>
    <x:row r="34" ht="38" customHeight="1">
      <x:c r="A34" s="24" t="str">
        <x:v>quote_window_metrics</x:v>
      </x:c>
      <x:c r="B34" s="24" t="n">
        <x:v>1</x:v>
      </x:c>
      <x:c r="C34" s="24" t="n">
        <x:v>16</x:v>
      </x:c>
      <x:c r="D34" s="25" t="n">
        <x:v>25.745</x:v>
      </x:c>
      <x:c r="E34" s="24" t="str">
        <x:v>reasoning_summary_delta</x:v>
      </x:c>
      <x:c r="F34" s="24" t="str">
        <x:v>runtime</x:v>
      </x:c>
      <x:c r="G34" s="24" t="str">
        <x:v>具体执行信息</x:v>
      </x:c>
      <x:c r="H34" s="24" t="str">
        <x:v>正在执行第 1/1 步：通过动态行情计算获取贵州茅台最近10个交易日的数据，包括累计涨幅和最高收盘价</x:v>
      </x:c>
    </x:row>
    <x:row r="35" ht="38" customHeight="1">
      <x:c r="A35" s="24" t="str">
        <x:v>quote_window_metrics</x:v>
      </x:c>
      <x:c r="B35" s="24" t="n">
        <x:v>1</x:v>
      </x:c>
      <x:c r="C35" s="24" t="n">
        <x:v>17</x:v>
      </x:c>
      <x:c r="D35" s="25" t="n">
        <x:v>25.791</x:v>
      </x:c>
      <x:c r="E35" s="24" t="str">
        <x:v>reasoning_summary_delta</x:v>
      </x:c>
      <x:c r="F35" s="24" t="str">
        <x:v>runtime</x:v>
      </x:c>
      <x:c r="G35" s="24" t="str">
        <x:v>具体执行信息</x:v>
      </x:c>
      <x:c r="H35" s="24" t="str">
        <x:v>闭环判断：执行成功并返回 1 行；有值列 code, name, tradedate, close, pct 可直接使用，无值列 high_close_10d, pct_5d_sum 就是当前数据源未提供。若上方 API、selection_applied、输出字段和时间与 goal 一致，本步已经完成：保留身份范围并如实回答缺值，不换 API、切实时模式、放宽条件或查询原始明细。只有能明确说出 goal 与请求的具体偏差时才修正。 sample_complete=true，禁止再分页加载。</x:v>
      </x:c>
    </x:row>
    <x:row r="36" ht="38" customHeight="1">
      <x:c r="A36" s="24" t="str">
        <x:v>quote_window_metrics</x:v>
      </x:c>
      <x:c r="B36" s="24" t="n">
        <x:v>1</x:v>
      </x:c>
      <x:c r="C36" s="24" t="n">
        <x:v>18</x:v>
      </x:c>
      <x:c r="D36" s="25" t="n">
        <x:v>31.032</x:v>
      </x:c>
      <x:c r="E36" s="24" t="str">
        <x:v>reasoning_summary_delta</x:v>
      </x:c>
      <x:c r="F36" s="24" t="str">
        <x:v>runtime</x:v>
      </x:c>
      <x:c r="G36" s="24" t="str">
        <x:v>心跳/阶段信号</x:v>
      </x:c>
      <x:c r="H36" s="24" t="str">
        <x:v>Finance CC is working</x:v>
      </x:c>
    </x:row>
    <x:row r="37" ht="38" customHeight="1">
      <x:c r="A37" s="24" t="str">
        <x:v>quote_window_metrics</x:v>
      </x:c>
      <x:c r="B37" s="24" t="n">
        <x:v>1</x:v>
      </x:c>
      <x:c r="C37" s="24" t="n">
        <x:v>19</x:v>
      </x:c>
      <x:c r="D37" s="25" t="n">
        <x:v>31.937</x:v>
      </x:c>
      <x:c r="E37" s="24" t="str">
        <x:v>reasoning_summary_delta</x:v>
      </x:c>
      <x:c r="F37" s="24" t="str">
        <x:v>runtime</x:v>
      </x:c>
      <x:c r="G37" s="24" t="str">
        <x:v>心跳/阶段信号</x:v>
      </x:c>
      <x:c r="H37" s="24" t="str">
        <x:v>Finance CC is working</x:v>
      </x:c>
    </x:row>
    <x:row r="38" ht="38" customHeight="1">
      <x:c r="A38" s="24" t="str">
        <x:v>quote_window_metrics</x:v>
      </x:c>
      <x:c r="B38" s="24" t="n">
        <x:v>1</x:v>
      </x:c>
      <x:c r="C38" s="24" t="n">
        <x:v>20</x:v>
      </x:c>
      <x:c r="D38" s="25" t="n">
        <x:v>32.74</x:v>
      </x:c>
      <x:c r="E38" s="24" t="str">
        <x:v>reasoning_summary_delta</x:v>
      </x:c>
      <x:c r="F38" s="24" t="str">
        <x:v>runtime</x:v>
      </x:c>
      <x:c r="G38" s="24" t="str">
        <x:v>心跳/阶段信号</x:v>
      </x:c>
      <x:c r="H38" s="24" t="str">
        <x:v>Finance CC is working</x:v>
      </x:c>
    </x:row>
    <x:row r="39" ht="38" customHeight="1">
      <x:c r="A39" s="24" t="str">
        <x:v>quote_window_metrics</x:v>
      </x:c>
      <x:c r="B39" s="24" t="n">
        <x:v>1</x:v>
      </x:c>
      <x:c r="C39" s="24" t="n">
        <x:v>21</x:v>
      </x:c>
      <x:c r="D39" s="25" t="n">
        <x:v>33.468</x:v>
      </x:c>
      <x:c r="E39" s="24" t="str">
        <x:v>stage_result</x:v>
      </x:c>
      <x:c r="F39" s="24" t="str">
        <x:v>runtime</x:v>
      </x:c>
      <x:c r="G39" s="24" t="str">
        <x:v>心跳/阶段信号</x:v>
      </x:c>
      <x:c r="H39" s="24" t="str">
        <x:v>Finance CC completed</x:v>
      </x:c>
    </x:row>
    <x:row r="40" ht="38" customHeight="1">
      <x:c r="A40" s="24" t="str">
        <x:v>margin_balance</x:v>
      </x:c>
      <x:c r="B40" s="24" t="n">
        <x:v>1</x:v>
      </x:c>
      <x:c r="C40" s="24" t="n">
        <x:v>1</x:v>
      </x:c>
      <x:c r="D40" s="25" t="n">
        <x:v>6.325</x:v>
      </x:c>
      <x:c r="E40" s="24" t="str">
        <x:v>stage_start</x:v>
      </x:c>
      <x:c r="F40" s="24" t="str">
        <x:v>runtime</x:v>
      </x:c>
      <x:c r="G40" s="24" t="str">
        <x:v>心跳/阶段信号</x:v>
      </x:c>
      <x:c r="H40" s="24" t="str">
        <x:v>Finance CC started</x:v>
      </x:c>
    </x:row>
    <x:row r="41" ht="38" customHeight="1">
      <x:c r="A41" s="24" t="str">
        <x:v>margin_balance</x:v>
      </x:c>
      <x:c r="B41" s="24" t="n">
        <x:v>1</x:v>
      </x:c>
      <x:c r="C41" s="24" t="n">
        <x:v>2</x:v>
      </x:c>
      <x:c r="D41" s="25" t="n">
        <x:v>9.012</x:v>
      </x:c>
      <x:c r="E41" s="24" t="str">
        <x:v>tool_call</x:v>
      </x:c>
      <x:c r="F41" s="24" t="str">
        <x:v>runtime</x:v>
      </x:c>
      <x:c r="G41" s="24" t="str">
        <x:v>工具进入</x:v>
      </x:c>
      <x:c r="H41" s="24" t="str">
        <x:v>mcp__finance__read_finance_catalog</x:v>
      </x:c>
    </x:row>
    <x:row r="42" ht="38" customHeight="1">
      <x:c r="A42" s="24" t="str">
        <x:v>margin_balance</x:v>
      </x:c>
      <x:c r="B42" s="24" t="n">
        <x:v>1</x:v>
      </x:c>
      <x:c r="C42" s="24" t="n">
        <x:v>3</x:v>
      </x:c>
      <x:c r="D42" s="25" t="n">
        <x:v>11.056</x:v>
      </x:c>
      <x:c r="E42" s="24" t="str">
        <x:v>reasoning_summary_delta</x:v>
      </x:c>
      <x:c r="F42" s="24" t="str">
        <x:v>runtime</x:v>
      </x:c>
      <x:c r="G42" s="24" t="str">
        <x:v>心跳/阶段信号</x:v>
      </x:c>
      <x:c r="H42" s="24" t="str">
        <x:v>Finance CC is working</x:v>
      </x:c>
    </x:row>
    <x:row r="43" ht="38" customHeight="1">
      <x:c r="A43" s="24" t="str">
        <x:v>margin_balance</x:v>
      </x:c>
      <x:c r="B43" s="24" t="n">
        <x:v>1</x:v>
      </x:c>
      <x:c r="C43" s="24" t="n">
        <x:v>4</x:v>
      </x:c>
      <x:c r="D43" s="25" t="n">
        <x:v>12.271</x:v>
      </x:c>
      <x:c r="E43" s="24" t="str">
        <x:v>tool_call</x:v>
      </x:c>
      <x:c r="F43" s="24" t="str">
        <x:v>runtime</x:v>
      </x:c>
      <x:c r="G43" s="24" t="str">
        <x:v>工具进入</x:v>
      </x:c>
      <x:c r="H43" s="24" t="str">
        <x:v>mcp__finance__finance_query</x:v>
      </x:c>
    </x:row>
    <x:row r="44" ht="38" customHeight="1">
      <x:c r="A44" s="24" t="str">
        <x:v>margin_balance</x:v>
      </x:c>
      <x:c r="B44" s="24" t="n">
        <x:v>1</x:v>
      </x:c>
      <x:c r="C44" s="24" t="n">
        <x:v>5</x:v>
      </x:c>
      <x:c r="D44" s="25" t="n">
        <x:v>12.285</x:v>
      </x:c>
      <x:c r="E44" s="24" t="str">
        <x:v>reasoning_summary_delta</x:v>
      </x:c>
      <x:c r="F44" s="24" t="str">
        <x:v>runtime</x:v>
      </x:c>
      <x:c r="G44" s="24" t="str">
        <x:v>具体执行信息</x:v>
      </x:c>
      <x:c r="H44" s="24" t="str">
        <x:v>正在执行第 1/1 步：查询宁德时代和比亚迪最新的融资余额和融资净买入额</x:v>
      </x:c>
    </x:row>
    <x:row r="45" ht="38" customHeight="1">
      <x:c r="A45" s="24" t="str">
        <x:v>margin_balance</x:v>
      </x:c>
      <x:c r="B45" s="24" t="n">
        <x:v>1</x:v>
      </x:c>
      <x:c r="C45" s="24" t="n">
        <x:v>6</x:v>
      </x:c>
      <x:c r="D45" s="25" t="n">
        <x:v>12.387</x:v>
      </x:c>
      <x:c r="E45" s="24" t="str">
        <x:v>reasoning_summary_delta</x:v>
      </x:c>
      <x:c r="F45" s="24" t="str">
        <x:v>runtime</x:v>
      </x:c>
      <x:c r="G45" s="24" t="str">
        <x:v>具体执行信息</x:v>
      </x:c>
      <x:c r="H45" s="24" t="str">
        <x:v>闭环判断：执行成功并返回 2 行，所请求列均有值。若上方 API、selection_applied、输出字段和时间与 goal 一致，本步已经完成，进入不同目标或回答；只有具体语义偏差才允许修正。 sample_complete=true，禁止再分页加载。</x:v>
      </x:c>
    </x:row>
    <x:row r="46" ht="38" customHeight="1">
      <x:c r="A46" s="24" t="str">
        <x:v>margin_balance</x:v>
      </x:c>
      <x:c r="B46" s="24" t="n">
        <x:v>1</x:v>
      </x:c>
      <x:c r="C46" s="24" t="n">
        <x:v>7</x:v>
      </x:c>
      <x:c r="D46" s="25" t="n">
        <x:v>15.323</x:v>
      </x:c>
      <x:c r="E46" s="24" t="str">
        <x:v>reasoning_summary_delta</x:v>
      </x:c>
      <x:c r="F46" s="24" t="str">
        <x:v>runtime</x:v>
      </x:c>
      <x:c r="G46" s="24" t="str">
        <x:v>心跳/阶段信号</x:v>
      </x:c>
      <x:c r="H46" s="24" t="str">
        <x:v>Finance CC is working</x:v>
      </x:c>
    </x:row>
    <x:row r="47" ht="38" customHeight="1">
      <x:c r="A47" s="24" t="str">
        <x:v>margin_balance</x:v>
      </x:c>
      <x:c r="B47" s="24" t="n">
        <x:v>1</x:v>
      </x:c>
      <x:c r="C47" s="24" t="n">
        <x:v>8</x:v>
      </x:c>
      <x:c r="D47" s="25" t="n">
        <x:v>16.261</x:v>
      </x:c>
      <x:c r="E47" s="24" t="str">
        <x:v>reasoning_summary_delta</x:v>
      </x:c>
      <x:c r="F47" s="24" t="str">
        <x:v>runtime</x:v>
      </x:c>
      <x:c r="G47" s="24" t="str">
        <x:v>心跳/阶段信号</x:v>
      </x:c>
      <x:c r="H47" s="24" t="str">
        <x:v>Finance CC is working</x:v>
      </x:c>
    </x:row>
    <x:row r="48" ht="38" customHeight="1">
      <x:c r="A48" s="24" t="str">
        <x:v>margin_balance</x:v>
      </x:c>
      <x:c r="B48" s="24" t="n">
        <x:v>1</x:v>
      </x:c>
      <x:c r="C48" s="24" t="n">
        <x:v>9</x:v>
      </x:c>
      <x:c r="D48" s="25" t="n">
        <x:v>17.086</x:v>
      </x:c>
      <x:c r="E48" s="24" t="str">
        <x:v>reasoning_summary_delta</x:v>
      </x:c>
      <x:c r="F48" s="24" t="str">
        <x:v>runtime</x:v>
      </x:c>
      <x:c r="G48" s="24" t="str">
        <x:v>心跳/阶段信号</x:v>
      </x:c>
      <x:c r="H48" s="24" t="str">
        <x:v>Finance CC is working</x:v>
      </x:c>
    </x:row>
    <x:row r="49" ht="38" customHeight="1">
      <x:c r="A49" s="24" t="str">
        <x:v>margin_balance</x:v>
      </x:c>
      <x:c r="B49" s="24" t="n">
        <x:v>1</x:v>
      </x:c>
      <x:c r="C49" s="24" t="n">
        <x:v>10</x:v>
      </x:c>
      <x:c r="D49" s="25" t="n">
        <x:v>17.874</x:v>
      </x:c>
      <x:c r="E49" s="24" t="str">
        <x:v>stage_result</x:v>
      </x:c>
      <x:c r="F49" s="24" t="str">
        <x:v>runtime</x:v>
      </x:c>
      <x:c r="G49" s="24" t="str">
        <x:v>心跳/阶段信号</x:v>
      </x:c>
      <x:c r="H49" s="24" t="str">
        <x:v>Finance CC completed</x:v>
      </x:c>
    </x:row>
    <x:row r="50" ht="38" customHeight="1">
      <x:c r="A50" s="24" t="str">
        <x:v>raised_funds</x:v>
      </x:c>
      <x:c r="B50" s="24" t="n">
        <x:v>1</x:v>
      </x:c>
      <x:c r="C50" s="24" t="n">
        <x:v>1</x:v>
      </x:c>
      <x:c r="D50" s="25" t="n">
        <x:v>3.037</x:v>
      </x:c>
      <x:c r="E50" s="24" t="str">
        <x:v>stage_start</x:v>
      </x:c>
      <x:c r="F50" s="24" t="str">
        <x:v>runtime</x:v>
      </x:c>
      <x:c r="G50" s="24" t="str">
        <x:v>心跳/阶段信号</x:v>
      </x:c>
      <x:c r="H50" s="24" t="str">
        <x:v>Finance CC started</x:v>
      </x:c>
    </x:row>
    <x:row r="51" ht="38" customHeight="1">
      <x:c r="A51" s="24" t="str">
        <x:v>raised_funds</x:v>
      </x:c>
      <x:c r="B51" s="24" t="n">
        <x:v>1</x:v>
      </x:c>
      <x:c r="C51" s="24" t="n">
        <x:v>2</x:v>
      </x:c>
      <x:c r="D51" s="25" t="n">
        <x:v>6.044</x:v>
      </x:c>
      <x:c r="E51" s="24" t="str">
        <x:v>tool_call</x:v>
      </x:c>
      <x:c r="F51" s="24" t="str">
        <x:v>runtime</x:v>
      </x:c>
      <x:c r="G51" s="24" t="str">
        <x:v>工具进入</x:v>
      </x:c>
      <x:c r="H51" s="24" t="str">
        <x:v>mcp__finance__read_finance_catalog</x:v>
      </x:c>
    </x:row>
    <x:row r="52" ht="38" customHeight="1">
      <x:c r="A52" s="24" t="str">
        <x:v>raised_funds</x:v>
      </x:c>
      <x:c r="B52" s="24" t="n">
        <x:v>1</x:v>
      </x:c>
      <x:c r="C52" s="24" t="n">
        <x:v>3</x:v>
      </x:c>
      <x:c r="D52" s="25" t="n">
        <x:v>9.166</x:v>
      </x:c>
      <x:c r="E52" s="24" t="str">
        <x:v>tool_call</x:v>
      </x:c>
      <x:c r="F52" s="24" t="str">
        <x:v>runtime</x:v>
      </x:c>
      <x:c r="G52" s="24" t="str">
        <x:v>工具进入</x:v>
      </x:c>
      <x:c r="H52" s="24" t="str">
        <x:v>mcp__finance__finance_query</x:v>
      </x:c>
    </x:row>
    <x:row r="53" ht="38" customHeight="1">
      <x:c r="A53" s="24" t="str">
        <x:v>raised_funds</x:v>
      </x:c>
      <x:c r="B53" s="24" t="n">
        <x:v>1</x:v>
      </x:c>
      <x:c r="C53" s="24" t="n">
        <x:v>4</x:v>
      </x:c>
      <x:c r="D53" s="25" t="n">
        <x:v>9.176</x:v>
      </x:c>
      <x:c r="E53" s="24" t="str">
        <x:v>reasoning_summary_delta</x:v>
      </x:c>
      <x:c r="F53" s="24" t="str">
        <x:v>runtime</x:v>
      </x:c>
      <x:c r="G53" s="24" t="str">
        <x:v>具体执行信息</x:v>
      </x:c>
      <x:c r="H53" s="24" t="str">
        <x:v>正在执行第 1/1 步：查询宁德时代（300750.SZ）最近一次增发事件的募集资金总额和公告日期</x:v>
      </x:c>
    </x:row>
    <x:row r="54" ht="38" customHeight="1">
      <x:c r="A54" s="24" t="str">
        <x:v>raised_funds</x:v>
      </x:c>
      <x:c r="B54" s="24" t="n">
        <x:v>1</x:v>
      </x:c>
      <x:c r="C54" s="24" t="n">
        <x:v>5</x:v>
      </x:c>
      <x:c r="D54" s="25" t="n">
        <x:v>9.239</x:v>
      </x:c>
      <x:c r="E54" s="24" t="str">
        <x:v>reasoning_summary_delta</x:v>
      </x:c>
      <x:c r="F54" s="24" t="str">
        <x:v>runtime</x:v>
      </x:c>
      <x:c r="G54" s="24" t="str">
        <x:v>具体执行信息</x:v>
      </x:c>
      <x:c r="H54" s="24" t="str">
        <x:v>闭环判断：执行成功并返回 1 行；有值列 code, name 可直接使用，无值列 ann_date, ai_type, ai_progress, ai_raised_funds, ai_price 就是当前数据源未提供。若上方 API、selection_applied、输出字段和时间与 goal 一致，本步已经完成：保留身份范围并如实回答缺值，不换 API、切实时模式、放宽条件或查询原始明细。只有能明确说出 goal 与请求的具体偏差时才修正。 sample_complete=true，禁止再分页加载。</x:v>
      </x:c>
    </x:row>
    <x:row r="55" ht="38" customHeight="1">
      <x:c r="A55" s="24" t="str">
        <x:v>raised_funds</x:v>
      </x:c>
      <x:c r="B55" s="24" t="n">
        <x:v>1</x:v>
      </x:c>
      <x:c r="C55" s="24" t="n">
        <x:v>6</x:v>
      </x:c>
      <x:c r="D55" s="25" t="n">
        <x:v>11.486</x:v>
      </x:c>
      <x:c r="E55" s="24" t="str">
        <x:v>reasoning_summary_delta</x:v>
      </x:c>
      <x:c r="F55" s="24" t="str">
        <x:v>runtime</x:v>
      </x:c>
      <x:c r="G55" s="24" t="str">
        <x:v>心跳/阶段信号</x:v>
      </x:c>
      <x:c r="H55" s="24" t="str">
        <x:v>Finance CC is working</x:v>
      </x:c>
    </x:row>
    <x:row r="56" ht="38" customHeight="1">
      <x:c r="A56" s="24" t="str">
        <x:v>raised_funds</x:v>
      </x:c>
      <x:c r="B56" s="24" t="n">
        <x:v>1</x:v>
      </x:c>
      <x:c r="C56" s="24" t="n">
        <x:v>7</x:v>
      </x:c>
      <x:c r="D56" s="25" t="n">
        <x:v>12.289</x:v>
      </x:c>
      <x:c r="E56" s="24" t="str">
        <x:v>reasoning_summary_delta</x:v>
      </x:c>
      <x:c r="F56" s="24" t="str">
        <x:v>runtime</x:v>
      </x:c>
      <x:c r="G56" s="24" t="str">
        <x:v>心跳/阶段信号</x:v>
      </x:c>
      <x:c r="H56" s="24" t="str">
        <x:v>Finance CC is working</x:v>
      </x:c>
    </x:row>
    <x:row r="57" ht="38" customHeight="1">
      <x:c r="A57" s="24" t="str">
        <x:v>raised_funds</x:v>
      </x:c>
      <x:c r="B57" s="24" t="n">
        <x:v>1</x:v>
      </x:c>
      <x:c r="C57" s="24" t="n">
        <x:v>8</x:v>
      </x:c>
      <x:c r="D57" s="25" t="n">
        <x:v>13.152</x:v>
      </x:c>
      <x:c r="E57" s="24" t="str">
        <x:v>reasoning_summary_delta</x:v>
      </x:c>
      <x:c r="F57" s="24" t="str">
        <x:v>runtime</x:v>
      </x:c>
      <x:c r="G57" s="24" t="str">
        <x:v>心跳/阶段信号</x:v>
      </x:c>
      <x:c r="H57" s="24" t="str">
        <x:v>Finance CC is working</x:v>
      </x:c>
    </x:row>
    <x:row r="58" ht="38" customHeight="1">
      <x:c r="A58" s="24" t="str">
        <x:v>raised_funds</x:v>
      </x:c>
      <x:c r="B58" s="24" t="n">
        <x:v>1</x:v>
      </x:c>
      <x:c r="C58" s="24" t="n">
        <x:v>9</x:v>
      </x:c>
      <x:c r="D58" s="25" t="n">
        <x:v>13.346</x:v>
      </x:c>
      <x:c r="E58" s="24" t="str">
        <x:v>stage_result</x:v>
      </x:c>
      <x:c r="F58" s="24" t="str">
        <x:v>runtime</x:v>
      </x:c>
      <x:c r="G58" s="24" t="str">
        <x:v>心跳/阶段信号</x:v>
      </x:c>
      <x:c r="H58" s="24" t="str">
        <x:v>Finance CC completed</x:v>
      </x:c>
    </x:row>
    <x:row r="59" ht="38" customHeight="1">
      <x:c r="A59" s="24" t="str">
        <x:v>valuation_compare</x:v>
      </x:c>
      <x:c r="B59" s="24" t="n">
        <x:v>1</x:v>
      </x:c>
      <x:c r="C59" s="24" t="n">
        <x:v>1</x:v>
      </x:c>
      <x:c r="D59" s="25" t="n">
        <x:v>7.342</x:v>
      </x:c>
      <x:c r="E59" s="24" t="str">
        <x:v>stage_start</x:v>
      </x:c>
      <x:c r="F59" s="24" t="str">
        <x:v>runtime</x:v>
      </x:c>
      <x:c r="G59" s="24" t="str">
        <x:v>心跳/阶段信号</x:v>
      </x:c>
      <x:c r="H59" s="24" t="str">
        <x:v>Finance CC started</x:v>
      </x:c>
    </x:row>
    <x:row r="60" ht="38" customHeight="1">
      <x:c r="A60" s="24" t="str">
        <x:v>valuation_compare</x:v>
      </x:c>
      <x:c r="B60" s="24" t="n">
        <x:v>1</x:v>
      </x:c>
      <x:c r="C60" s="24" t="n">
        <x:v>2</x:v>
      </x:c>
      <x:c r="D60" s="25" t="n">
        <x:v>10.175</x:v>
      </x:c>
      <x:c r="E60" s="24" t="str">
        <x:v>tool_call</x:v>
      </x:c>
      <x:c r="F60" s="24" t="str">
        <x:v>runtime</x:v>
      </x:c>
      <x:c r="G60" s="24" t="str">
        <x:v>工具进入</x:v>
      </x:c>
      <x:c r="H60" s="24" t="str">
        <x:v>mcp__finance__read_finance_catalog</x:v>
      </x:c>
    </x:row>
    <x:row r="61" ht="38" customHeight="1">
      <x:c r="A61" s="24" t="str">
        <x:v>valuation_compare</x:v>
      </x:c>
      <x:c r="B61" s="24" t="n">
        <x:v>1</x:v>
      </x:c>
      <x:c r="C61" s="24" t="n">
        <x:v>3</x:v>
      </x:c>
      <x:c r="D61" s="25" t="n">
        <x:v>15.076</x:v>
      </x:c>
      <x:c r="E61" s="24" t="str">
        <x:v>tool_call</x:v>
      </x:c>
      <x:c r="F61" s="24" t="str">
        <x:v>runtime</x:v>
      </x:c>
      <x:c r="G61" s="24" t="str">
        <x:v>工具进入</x:v>
      </x:c>
      <x:c r="H61" s="24" t="str">
        <x:v>mcp__finance__finance_query</x:v>
      </x:c>
    </x:row>
    <x:row r="62" ht="38" customHeight="1">
      <x:c r="A62" s="24" t="str">
        <x:v>valuation_compare</x:v>
      </x:c>
      <x:c r="B62" s="24" t="n">
        <x:v>1</x:v>
      </x:c>
      <x:c r="C62" s="24" t="n">
        <x:v>4</x:v>
      </x:c>
      <x:c r="D62" s="25" t="n">
        <x:v>15.092</x:v>
      </x:c>
      <x:c r="E62" s="24" t="str">
        <x:v>reasoning_summary_delta</x:v>
      </x:c>
      <x:c r="F62" s="24" t="str">
        <x:v>runtime</x:v>
      </x:c>
      <x:c r="G62" s="24" t="str">
        <x:v>具体执行信息</x:v>
      </x:c>
      <x:c r="H62" s="24" t="str">
        <x:v>正在执行第 1/1 步：查询贵州茅台和五粮液最新的市盈率和市净率估值数据</x:v>
      </x:c>
    </x:row>
    <x:row r="63" ht="38" customHeight="1">
      <x:c r="A63" s="24" t="str">
        <x:v>valuation_compare</x:v>
      </x:c>
      <x:c r="B63" s="24" t="n">
        <x:v>1</x:v>
      </x:c>
      <x:c r="C63" s="24" t="n">
        <x:v>5</x:v>
      </x:c>
      <x:c r="D63" s="25" t="n">
        <x:v>15.198</x:v>
      </x:c>
      <x:c r="E63" s="24" t="str">
        <x:v>reasoning_summary_delta</x:v>
      </x:c>
      <x:c r="F63" s="24" t="str">
        <x:v>runtime</x:v>
      </x:c>
      <x:c r="G63" s="24" t="str">
        <x:v>具体执行信息</x:v>
      </x:c>
      <x:c r="H63" s="24" t="str">
        <x:v>闭环判断：执行成功并返回 2 行；有值列 code, name, tradedate, pe, pb 可直接使用，无值列 pe_ttm, pb_mrq 就是当前数据源未提供。若上方 API、selection_applied、输出字段和时间与 goal 一致，本步已经完成：保留身份范围并如实回答缺值，不换 API、切实时模式、放宽条件或查询原始明细。只有能明确说出 goal 与请求的具体偏差时才修正。 sample_complete=true，禁止再分页加载。</x:v>
      </x:c>
    </x:row>
    <x:row r="64" ht="38" customHeight="1">
      <x:c r="A64" s="24" t="str">
        <x:v>valuation_compare</x:v>
      </x:c>
      <x:c r="B64" s="24" t="n">
        <x:v>1</x:v>
      </x:c>
      <x:c r="C64" s="24" t="n">
        <x:v>6</x:v>
      </x:c>
      <x:c r="D64" s="25" t="n">
        <x:v>17.512</x:v>
      </x:c>
      <x:c r="E64" s="24" t="str">
        <x:v>reasoning_summary_delta</x:v>
      </x:c>
      <x:c r="F64" s="24" t="str">
        <x:v>runtime</x:v>
      </x:c>
      <x:c r="G64" s="24" t="str">
        <x:v>心跳/阶段信号</x:v>
      </x:c>
      <x:c r="H64" s="24" t="str">
        <x:v>Finance CC is working</x:v>
      </x:c>
    </x:row>
    <x:row r="65" ht="38" customHeight="1">
      <x:c r="A65" s="24" t="str">
        <x:v>valuation_compare</x:v>
      </x:c>
      <x:c r="B65" s="24" t="n">
        <x:v>1</x:v>
      </x:c>
      <x:c r="C65" s="24" t="n">
        <x:v>7</x:v>
      </x:c>
      <x:c r="D65" s="25" t="n">
        <x:v>18.317</x:v>
      </x:c>
      <x:c r="E65" s="24" t="str">
        <x:v>reasoning_summary_delta</x:v>
      </x:c>
      <x:c r="F65" s="24" t="str">
        <x:v>runtime</x:v>
      </x:c>
      <x:c r="G65" s="24" t="str">
        <x:v>心跳/阶段信号</x:v>
      </x:c>
      <x:c r="H65" s="24" t="str">
        <x:v>Finance CC is working</x:v>
      </x:c>
    </x:row>
    <x:row r="66" ht="38" customHeight="1">
      <x:c r="A66" s="24" t="str">
        <x:v>valuation_compare</x:v>
      </x:c>
      <x:c r="B66" s="24" t="n">
        <x:v>1</x:v>
      </x:c>
      <x:c r="C66" s="24" t="n">
        <x:v>8</x:v>
      </x:c>
      <x:c r="D66" s="25" t="n">
        <x:v>19.117</x:v>
      </x:c>
      <x:c r="E66" s="24" t="str">
        <x:v>reasoning_summary_delta</x:v>
      </x:c>
      <x:c r="F66" s="24" t="str">
        <x:v>runtime</x:v>
      </x:c>
      <x:c r="G66" s="24" t="str">
        <x:v>心跳/阶段信号</x:v>
      </x:c>
      <x:c r="H66" s="24" t="str">
        <x:v>Finance CC is working</x:v>
      </x:c>
    </x:row>
    <x:row r="67" ht="38" customHeight="1">
      <x:c r="A67" s="24" t="str">
        <x:v>valuation_compare</x:v>
      </x:c>
      <x:c r="B67" s="24" t="n">
        <x:v>1</x:v>
      </x:c>
      <x:c r="C67" s="24" t="n">
        <x:v>9</x:v>
      </x:c>
      <x:c r="D67" s="25" t="n">
        <x:v>19.4</x:v>
      </x:c>
      <x:c r="E67" s="24" t="str">
        <x:v>stage_result</x:v>
      </x:c>
      <x:c r="F67" s="24" t="str">
        <x:v>runtime</x:v>
      </x:c>
      <x:c r="G67" s="24" t="str">
        <x:v>心跳/阶段信号</x:v>
      </x:c>
      <x:c r="H67" s="24" t="str">
        <x:v>Finance CC completed</x:v>
      </x:c>
    </x:row>
    <x:row r="68" ht="38" customHeight="1">
      <x:c r="A68" s="24" t="str">
        <x:v>entity_followup</x:v>
      </x:c>
      <x:c r="B68" s="24" t="n">
        <x:v>1</x:v>
      </x:c>
      <x:c r="C68" s="24" t="n">
        <x:v>1</x:v>
      </x:c>
      <x:c r="D68" s="25" t="n">
        <x:v>4.9</x:v>
      </x:c>
      <x:c r="E68" s="24" t="str">
        <x:v>stage_start</x:v>
      </x:c>
      <x:c r="F68" s="24" t="str">
        <x:v>runtime</x:v>
      </x:c>
      <x:c r="G68" s="24" t="str">
        <x:v>心跳/阶段信号</x:v>
      </x:c>
      <x:c r="H68" s="24" t="str">
        <x:v>Finance CC started</x:v>
      </x:c>
    </x:row>
    <x:row r="69" ht="38" customHeight="1">
      <x:c r="A69" s="24" t="str">
        <x:v>entity_followup</x:v>
      </x:c>
      <x:c r="B69" s="24" t="n">
        <x:v>1</x:v>
      </x:c>
      <x:c r="C69" s="24" t="n">
        <x:v>2</x:v>
      </x:c>
      <x:c r="D69" s="25" t="n">
        <x:v>7.458</x:v>
      </x:c>
      <x:c r="E69" s="24" t="str">
        <x:v>tool_call</x:v>
      </x:c>
      <x:c r="F69" s="24" t="str">
        <x:v>runtime</x:v>
      </x:c>
      <x:c r="G69" s="24" t="str">
        <x:v>工具进入</x:v>
      </x:c>
      <x:c r="H69" s="24" t="str">
        <x:v>mcp__finance__read_finance_catalog</x:v>
      </x:c>
    </x:row>
    <x:row r="70" ht="38" customHeight="1">
      <x:c r="A70" s="24" t="str">
        <x:v>entity_followup</x:v>
      </x:c>
      <x:c r="B70" s="24" t="n">
        <x:v>1</x:v>
      </x:c>
      <x:c r="C70" s="24" t="n">
        <x:v>3</x:v>
      </x:c>
      <x:c r="D70" s="25" t="n">
        <x:v>10.159</x:v>
      </x:c>
      <x:c r="E70" s="24" t="str">
        <x:v>reasoning_summary_delta</x:v>
      </x:c>
      <x:c r="F70" s="24" t="str">
        <x:v>runtime</x:v>
      </x:c>
      <x:c r="G70" s="24" t="str">
        <x:v>心跳/阶段信号</x:v>
      </x:c>
      <x:c r="H70" s="24" t="str">
        <x:v>Finance CC is working</x:v>
      </x:c>
    </x:row>
    <x:row r="71" ht="38" customHeight="1">
      <x:c r="A71" s="24" t="str">
        <x:v>entity_followup</x:v>
      </x:c>
      <x:c r="B71" s="24" t="n">
        <x:v>1</x:v>
      </x:c>
      <x:c r="C71" s="24" t="n">
        <x:v>4</x:v>
      </x:c>
      <x:c r="D71" s="25" t="n">
        <x:v>11.207</x:v>
      </x:c>
      <x:c r="E71" s="24" t="str">
        <x:v>tool_call</x:v>
      </x:c>
      <x:c r="F71" s="24" t="str">
        <x:v>runtime</x:v>
      </x:c>
      <x:c r="G71" s="24" t="str">
        <x:v>工具进入</x:v>
      </x:c>
      <x:c r="H71" s="24" t="str">
        <x:v>mcp__finance__finance_query</x:v>
      </x:c>
    </x:row>
    <x:row r="72" ht="38" customHeight="1">
      <x:c r="A72" s="24" t="str">
        <x:v>entity_followup</x:v>
      </x:c>
      <x:c r="B72" s="24" t="n">
        <x:v>1</x:v>
      </x:c>
      <x:c r="C72" s="24" t="n">
        <x:v>5</x:v>
      </x:c>
      <x:c r="D72" s="25" t="n">
        <x:v>11.225</x:v>
      </x:c>
      <x:c r="E72" s="24" t="str">
        <x:v>reasoning_summary_delta</x:v>
      </x:c>
      <x:c r="F72" s="24" t="str">
        <x:v>runtime</x:v>
      </x:c>
      <x:c r="G72" s="24" t="str">
        <x:v>具体执行信息</x:v>
      </x:c>
      <x:c r="H72" s="24" t="str">
        <x:v>正在执行第 1/1 步：查询贵州茅台最近一个交易日的开盘价</x:v>
      </x:c>
    </x:row>
    <x:row r="73" ht="38" customHeight="1">
      <x:c r="A73" s="24" t="str">
        <x:v>entity_followup</x:v>
      </x:c>
      <x:c r="B73" s="24" t="n">
        <x:v>1</x:v>
      </x:c>
      <x:c r="C73" s="24" t="n">
        <x:v>6</x:v>
      </x:c>
      <x:c r="D73" s="25" t="n">
        <x:v>11.334</x:v>
      </x:c>
      <x:c r="E73" s="24" t="str">
        <x:v>reasoning_summary_delta</x:v>
      </x:c>
      <x:c r="F73" s="24" t="str">
        <x:v>runtime</x:v>
      </x:c>
      <x:c r="G73" s="24" t="str">
        <x:v>具体执行信息</x:v>
      </x:c>
      <x:c r="H73" s="24" t="str">
        <x:v>闭环判断：执行成功并返回 1 行，所请求列均有值。若上方 API、selection_applied、输出字段和时间与 goal 一致，本步已经完成，进入不同目标或回答；只有具体语义偏差才允许修正。 sample_complete=true，禁止再分页加载。</x:v>
      </x:c>
    </x:row>
    <x:row r="74" ht="38" customHeight="1">
      <x:c r="A74" s="24" t="str">
        <x:v>entity_followup</x:v>
      </x:c>
      <x:c r="B74" s="24" t="n">
        <x:v>1</x:v>
      </x:c>
      <x:c r="C74" s="24" t="n">
        <x:v>7</x:v>
      </x:c>
      <x:c r="D74" s="25" t="n">
        <x:v>15.115</x:v>
      </x:c>
      <x:c r="E74" s="24" t="str">
        <x:v>reasoning_summary_delta</x:v>
      </x:c>
      <x:c r="F74" s="24" t="str">
        <x:v>runtime</x:v>
      </x:c>
      <x:c r="G74" s="24" t="str">
        <x:v>心跳/阶段信号</x:v>
      </x:c>
      <x:c r="H74" s="24" t="str">
        <x:v>Finance CC is working</x:v>
      </x:c>
    </x:row>
    <x:row r="75" ht="38" customHeight="1">
      <x:c r="A75" s="24" t="str">
        <x:v>entity_followup</x:v>
      </x:c>
      <x:c r="B75" s="24" t="n">
        <x:v>1</x:v>
      </x:c>
      <x:c r="C75" s="24" t="n">
        <x:v>8</x:v>
      </x:c>
      <x:c r="D75" s="25" t="n">
        <x:v>15.924</x:v>
      </x:c>
      <x:c r="E75" s="24" t="str">
        <x:v>reasoning_summary_delta</x:v>
      </x:c>
      <x:c r="F75" s="24" t="str">
        <x:v>runtime</x:v>
      </x:c>
      <x:c r="G75" s="24" t="str">
        <x:v>心跳/阶段信号</x:v>
      </x:c>
      <x:c r="H75" s="24" t="str">
        <x:v>Finance CC is working</x:v>
      </x:c>
    </x:row>
    <x:row r="76" ht="38" customHeight="1">
      <x:c r="A76" s="24" t="str">
        <x:v>entity_followup</x:v>
      </x:c>
      <x:c r="B76" s="24" t="n">
        <x:v>1</x:v>
      </x:c>
      <x:c r="C76" s="24" t="n">
        <x:v>9</x:v>
      </x:c>
      <x:c r="D76" s="25" t="n">
        <x:v>16.114</x:v>
      </x:c>
      <x:c r="E76" s="24" t="str">
        <x:v>stage_result</x:v>
      </x:c>
      <x:c r="F76" s="24" t="str">
        <x:v>runtime</x:v>
      </x:c>
      <x:c r="G76" s="24" t="str">
        <x:v>心跳/阶段信号</x:v>
      </x:c>
      <x:c r="H76" s="24" t="str">
        <x:v>Finance CC completed</x:v>
      </x:c>
    </x:row>
    <x:row r="77" ht="38" customHeight="1">
      <x:c r="A77" s="24" t="str">
        <x:v>entity_followup</x:v>
      </x:c>
      <x:c r="B77" s="24" t="n">
        <x:v>2</x:v>
      </x:c>
      <x:c r="C77" s="24" t="n">
        <x:v>1</x:v>
      </x:c>
      <x:c r="D77" s="25" t="n">
        <x:v>0.005</x:v>
      </x:c>
      <x:c r="E77" s="24" t="str">
        <x:v>stage_start</x:v>
      </x:c>
      <x:c r="F77" s="24" t="str">
        <x:v>runtime</x:v>
      </x:c>
      <x:c r="G77" s="24" t="str">
        <x:v>心跳/阶段信号</x:v>
      </x:c>
      <x:c r="H77" s="24" t="str">
        <x:v>Finance CC started</x:v>
      </x:c>
    </x:row>
    <x:row r="78" ht="38" customHeight="1">
      <x:c r="A78" s="24" t="str">
        <x:v>entity_followup</x:v>
      </x:c>
      <x:c r="B78" s="24" t="n">
        <x:v>2</x:v>
      </x:c>
      <x:c r="C78" s="24" t="n">
        <x:v>2</x:v>
      </x:c>
      <x:c r="D78" s="25" t="n">
        <x:v>2.753</x:v>
      </x:c>
      <x:c r="E78" s="24" t="str">
        <x:v>tool_call</x:v>
      </x:c>
      <x:c r="F78" s="24" t="str">
        <x:v>runtime</x:v>
      </x:c>
      <x:c r="G78" s="24" t="str">
        <x:v>工具进入</x:v>
      </x:c>
      <x:c r="H78" s="24" t="str">
        <x:v>mcp__finance__finance_query</x:v>
      </x:c>
    </x:row>
    <x:row r="79" ht="38" customHeight="1">
      <x:c r="A79" s="24" t="str">
        <x:v>entity_followup</x:v>
      </x:c>
      <x:c r="B79" s="24" t="n">
        <x:v>2</x:v>
      </x:c>
      <x:c r="C79" s="24" t="n">
        <x:v>3</x:v>
      </x:c>
      <x:c r="D79" s="25" t="n">
        <x:v>2.758</x:v>
      </x:c>
      <x:c r="E79" s="24" t="str">
        <x:v>reasoning_summary_delta</x:v>
      </x:c>
      <x:c r="F79" s="24" t="str">
        <x:v>runtime</x:v>
      </x:c>
      <x:c r="G79" s="24" t="str">
        <x:v>具体执行信息</x:v>
      </x:c>
      <x:c r="H79" s="24" t="str">
        <x:v>正在执行第 1/1 步：查询五粮液最近一个交易日的开盘价</x:v>
      </x:c>
    </x:row>
    <x:row r="80" ht="38" customHeight="1">
      <x:c r="A80" s="24" t="str">
        <x:v>entity_followup</x:v>
      </x:c>
      <x:c r="B80" s="24" t="n">
        <x:v>2</x:v>
      </x:c>
      <x:c r="C80" s="24" t="n">
        <x:v>4</x:v>
      </x:c>
      <x:c r="D80" s="25" t="n">
        <x:v>2.803</x:v>
      </x:c>
      <x:c r="E80" s="24" t="str">
        <x:v>reasoning_summary_delta</x:v>
      </x:c>
      <x:c r="F80" s="24" t="str">
        <x:v>runtime</x:v>
      </x:c>
      <x:c r="G80" s="24" t="str">
        <x:v>具体执行信息</x:v>
      </x:c>
      <x:c r="H80" s="24" t="str">
        <x:v>闭环判断：执行成功并返回 1 行，所请求列均有值。若上方 API、selection_applied、输出字段和时间与 goal 一致，本步已经完成，进入不同目标或回答；只有具体语义偏差才允许修正。 sample_complete=true，禁止再分页加载。</x:v>
      </x:c>
    </x:row>
    <x:row r="81" ht="38" customHeight="1">
      <x:c r="A81" s="24" t="str">
        <x:v>entity_followup</x:v>
      </x:c>
      <x:c r="B81" s="24" t="n">
        <x:v>2</x:v>
      </x:c>
      <x:c r="C81" s="24" t="n">
        <x:v>5</x:v>
      </x:c>
      <x:c r="D81" s="25" t="n">
        <x:v>5.002</x:v>
      </x:c>
      <x:c r="E81" s="24" t="str">
        <x:v>reasoning_summary_delta</x:v>
      </x:c>
      <x:c r="F81" s="24" t="str">
        <x:v>runtime</x:v>
      </x:c>
      <x:c r="G81" s="24" t="str">
        <x:v>心跳/阶段信号</x:v>
      </x:c>
      <x:c r="H81" s="24" t="str">
        <x:v>Finance CC is working</x:v>
      </x:c>
    </x:row>
    <x:row r="82" ht="38" customHeight="1">
      <x:c r="A82" s="24" t="str">
        <x:v>entity_followup</x:v>
      </x:c>
      <x:c r="B82" s="24" t="n">
        <x:v>2</x:v>
      </x:c>
      <x:c r="C82" s="24" t="n">
        <x:v>6</x:v>
      </x:c>
      <x:c r="D82" s="25" t="n">
        <x:v>5.012</x:v>
      </x:c>
      <x:c r="E82" s="24" t="str">
        <x:v>stage_result</x:v>
      </x:c>
      <x:c r="F82" s="24" t="str">
        <x:v>runtime</x:v>
      </x:c>
      <x:c r="G82" s="24" t="str">
        <x:v>心跳/阶段信号</x:v>
      </x:c>
      <x:c r="H82" s="24" t="str">
        <x:v>Finance CC completed</x:v>
      </x:c>
    </x:row>
    <x:row r="83" ht="38" customHeight="1">
      <x:c r="A83" s="24" t="str">
        <x:v>ordinal_followup</x:v>
      </x:c>
      <x:c r="B83" s="24" t="n">
        <x:v>1</x:v>
      </x:c>
      <x:c r="C83" s="24" t="n">
        <x:v>1</x:v>
      </x:c>
      <x:c r="D83" s="25" t="n">
        <x:v>6.503</x:v>
      </x:c>
      <x:c r="E83" s="24" t="str">
        <x:v>stage_start</x:v>
      </x:c>
      <x:c r="F83" s="24" t="str">
        <x:v>runtime</x:v>
      </x:c>
      <x:c r="G83" s="24" t="str">
        <x:v>心跳/阶段信号</x:v>
      </x:c>
      <x:c r="H83" s="24" t="str">
        <x:v>Finance CC started</x:v>
      </x:c>
    </x:row>
    <x:row r="84" ht="38" customHeight="1">
      <x:c r="A84" s="24" t="str">
        <x:v>ordinal_followup</x:v>
      </x:c>
      <x:c r="B84" s="24" t="n">
        <x:v>1</x:v>
      </x:c>
      <x:c r="C84" s="24" t="n">
        <x:v>2</x:v>
      </x:c>
      <x:c r="D84" s="25" t="n">
        <x:v>8.793</x:v>
      </x:c>
      <x:c r="E84" s="24" t="str">
        <x:v>tool_call</x:v>
      </x:c>
      <x:c r="F84" s="24" t="str">
        <x:v>runtime</x:v>
      </x:c>
      <x:c r="G84" s="24" t="str">
        <x:v>工具进入</x:v>
      </x:c>
      <x:c r="H84" s="24" t="str">
        <x:v>mcp__finance__read_finance_catalog</x:v>
      </x:c>
    </x:row>
    <x:row r="85" ht="38" customHeight="1">
      <x:c r="A85" s="24" t="str">
        <x:v>ordinal_followup</x:v>
      </x:c>
      <x:c r="B85" s="24" t="n">
        <x:v>1</x:v>
      </x:c>
      <x:c r="C85" s="24" t="n">
        <x:v>3</x:v>
      </x:c>
      <x:c r="D85" s="25" t="n">
        <x:v>11.526</x:v>
      </x:c>
      <x:c r="E85" s="24" t="str">
        <x:v>reasoning_summary_delta</x:v>
      </x:c>
      <x:c r="F85" s="24" t="str">
        <x:v>runtime</x:v>
      </x:c>
      <x:c r="G85" s="24" t="str">
        <x:v>心跳/阶段信号</x:v>
      </x:c>
      <x:c r="H85" s="24" t="str">
        <x:v>Finance CC is working</x:v>
      </x:c>
    </x:row>
    <x:row r="86" ht="38" customHeight="1">
      <x:c r="A86" s="24" t="str">
        <x:v>ordinal_followup</x:v>
      </x:c>
      <x:c r="B86" s="24" t="n">
        <x:v>1</x:v>
      </x:c>
      <x:c r="C86" s="24" t="n">
        <x:v>4</x:v>
      </x:c>
      <x:c r="D86" s="25" t="n">
        <x:v>12.79</x:v>
      </x:c>
      <x:c r="E86" s="24" t="str">
        <x:v>tool_call</x:v>
      </x:c>
      <x:c r="F86" s="24" t="str">
        <x:v>runtime</x:v>
      </x:c>
      <x:c r="G86" s="24" t="str">
        <x:v>工具进入</x:v>
      </x:c>
      <x:c r="H86" s="24" t="str">
        <x:v>mcp__finance__finance_query</x:v>
      </x:c>
    </x:row>
    <x:row r="87" ht="38" customHeight="1">
      <x:c r="A87" s="24" t="str">
        <x:v>ordinal_followup</x:v>
      </x:c>
      <x:c r="B87" s="24" t="n">
        <x:v>1</x:v>
      </x:c>
      <x:c r="C87" s="24" t="n">
        <x:v>5</x:v>
      </x:c>
      <x:c r="D87" s="25" t="n">
        <x:v>12.798</x:v>
      </x:c>
      <x:c r="E87" s="24" t="str">
        <x:v>reasoning_summary_delta</x:v>
      </x:c>
      <x:c r="F87" s="24" t="str">
        <x:v>runtime</x:v>
      </x:c>
      <x:c r="G87" s="24" t="str">
        <x:v>具体执行信息</x:v>
      </x:c>
      <x:c r="H87" s="24" t="str">
        <x:v>正在执行第 1/1 步：查询宁德时代和比亚迪最新的日K收盘价</x:v>
      </x:c>
    </x:row>
    <x:row r="88" ht="38" customHeight="1">
      <x:c r="A88" s="24" t="str">
        <x:v>ordinal_followup</x:v>
      </x:c>
      <x:c r="B88" s="24" t="n">
        <x:v>1</x:v>
      </x:c>
      <x:c r="C88" s="24" t="n">
        <x:v>6</x:v>
      </x:c>
      <x:c r="D88" s="25" t="n">
        <x:v>12.859</x:v>
      </x:c>
      <x:c r="E88" s="24" t="str">
        <x:v>reasoning_summary_delta</x:v>
      </x:c>
      <x:c r="F88" s="24" t="str">
        <x:v>runtime</x:v>
      </x:c>
      <x:c r="G88" s="24" t="str">
        <x:v>具体执行信息</x:v>
      </x:c>
      <x:c r="H88" s="24" t="str">
        <x:v>闭环判断：执行成功并返回 2 行；有值列 code, name, tradedate, close, pct 可直接使用，无值列 differ 就是当前数据源未提供。若上方 API、selection_applied、输出字段和时间与 goal 一致，本步已经完成：保留身份范围并如实回答缺值，不换 API、切实时模式、放宽条件或查询原始明细。只有能明确说出 goal 与请求的具体偏差时才修正。 sample_complete=true，禁止再分页加载。</x:v>
      </x:c>
    </x:row>
    <x:row r="89" ht="38" customHeight="1">
      <x:c r="A89" s="24" t="str">
        <x:v>ordinal_followup</x:v>
      </x:c>
      <x:c r="B89" s="24" t="n">
        <x:v>1</x:v>
      </x:c>
      <x:c r="C89" s="24" t="n">
        <x:v>7</x:v>
      </x:c>
      <x:c r="D89" s="25" t="n">
        <x:v>15.175</x:v>
      </x:c>
      <x:c r="E89" s="24" t="str">
        <x:v>reasoning_summary_delta</x:v>
      </x:c>
      <x:c r="F89" s="24" t="str">
        <x:v>runtime</x:v>
      </x:c>
      <x:c r="G89" s="24" t="str">
        <x:v>心跳/阶段信号</x:v>
      </x:c>
      <x:c r="H89" s="24" t="str">
        <x:v>Finance CC is working</x:v>
      </x:c>
    </x:row>
    <x:row r="90" ht="38" customHeight="1">
      <x:c r="A90" s="24" t="str">
        <x:v>ordinal_followup</x:v>
      </x:c>
      <x:c r="B90" s="24" t="n">
        <x:v>1</x:v>
      </x:c>
      <x:c r="C90" s="24" t="n">
        <x:v>8</x:v>
      </x:c>
      <x:c r="D90" s="25" t="n">
        <x:v>16</x:v>
      </x:c>
      <x:c r="E90" s="24" t="str">
        <x:v>reasoning_summary_delta</x:v>
      </x:c>
      <x:c r="F90" s="24" t="str">
        <x:v>runtime</x:v>
      </x:c>
      <x:c r="G90" s="24" t="str">
        <x:v>心跳/阶段信号</x:v>
      </x:c>
      <x:c r="H90" s="24" t="str">
        <x:v>Finance CC is working</x:v>
      </x:c>
    </x:row>
    <x:row r="91" ht="38" customHeight="1">
      <x:c r="A91" s="24" t="str">
        <x:v>ordinal_followup</x:v>
      </x:c>
      <x:c r="B91" s="24" t="n">
        <x:v>1</x:v>
      </x:c>
      <x:c r="C91" s="24" t="n">
        <x:v>9</x:v>
      </x:c>
      <x:c r="D91" s="25" t="n">
        <x:v>16.777</x:v>
      </x:c>
      <x:c r="E91" s="24" t="str">
        <x:v>stage_result</x:v>
      </x:c>
      <x:c r="F91" s="24" t="str">
        <x:v>runtime</x:v>
      </x:c>
      <x:c r="G91" s="24" t="str">
        <x:v>心跳/阶段信号</x:v>
      </x:c>
      <x:c r="H91" s="24" t="str">
        <x:v>Finance CC completed</x:v>
      </x:c>
    </x:row>
    <x:row r="92" ht="38" customHeight="1">
      <x:c r="A92" s="24" t="str">
        <x:v>ordinal_followup</x:v>
      </x:c>
      <x:c r="B92" s="24" t="n">
        <x:v>2</x:v>
      </x:c>
      <x:c r="C92" s="24" t="n">
        <x:v>1</x:v>
      </x:c>
      <x:c r="D92" s="25" t="n">
        <x:v>0.005</x:v>
      </x:c>
      <x:c r="E92" s="24" t="str">
        <x:v>stage_start</x:v>
      </x:c>
      <x:c r="F92" s="24" t="str">
        <x:v>runtime</x:v>
      </x:c>
      <x:c r="G92" s="24" t="str">
        <x:v>心跳/阶段信号</x:v>
      </x:c>
      <x:c r="H92" s="24" t="str">
        <x:v>Finance CC started</x:v>
      </x:c>
    </x:row>
    <x:row r="93" ht="38" customHeight="1">
      <x:c r="A93" s="24" t="str">
        <x:v>ordinal_followup</x:v>
      </x:c>
      <x:c r="B93" s="24" t="n">
        <x:v>2</x:v>
      </x:c>
      <x:c r="C93" s="24" t="n">
        <x:v>2</x:v>
      </x:c>
      <x:c r="D93" s="25" t="n">
        <x:v>2.241</x:v>
      </x:c>
      <x:c r="E93" s="24" t="str">
        <x:v>reasoning_summary_delta</x:v>
      </x:c>
      <x:c r="F93" s="24" t="str">
        <x:v>runtime</x:v>
      </x:c>
      <x:c r="G93" s="24" t="str">
        <x:v>心跳/阶段信号</x:v>
      </x:c>
      <x:c r="H93" s="24" t="str">
        <x:v>Finance CC is working</x:v>
      </x:c>
    </x:row>
    <x:row r="94" ht="38" customHeight="1">
      <x:c r="A94" s="24" t="str">
        <x:v>ordinal_followup</x:v>
      </x:c>
      <x:c r="B94" s="24" t="n">
        <x:v>2</x:v>
      </x:c>
      <x:c r="C94" s="24" t="n">
        <x:v>3</x:v>
      </x:c>
      <x:c r="D94" s="25" t="n">
        <x:v>3.001</x:v>
      </x:c>
      <x:c r="E94" s="24" t="str">
        <x:v>tool_call</x:v>
      </x:c>
      <x:c r="F94" s="24" t="str">
        <x:v>runtime</x:v>
      </x:c>
      <x:c r="G94" s="24" t="str">
        <x:v>工具进入</x:v>
      </x:c>
      <x:c r="H94" s="24" t="str">
        <x:v>mcp__finance__read_finance_catalog</x:v>
      </x:c>
    </x:row>
    <x:row r="95" ht="38" customHeight="1">
      <x:c r="A95" s="24" t="str">
        <x:v>ordinal_followup</x:v>
      </x:c>
      <x:c r="B95" s="24" t="n">
        <x:v>2</x:v>
      </x:c>
      <x:c r="C95" s="24" t="n">
        <x:v>4</x:v>
      </x:c>
      <x:c r="D95" s="25" t="n">
        <x:v>5.307</x:v>
      </x:c>
      <x:c r="E95" s="24" t="str">
        <x:v>reasoning_summary_delta</x:v>
      </x:c>
      <x:c r="F95" s="24" t="str">
        <x:v>runtime</x:v>
      </x:c>
      <x:c r="G95" s="24" t="str">
        <x:v>心跳/阶段信号</x:v>
      </x:c>
      <x:c r="H95" s="24" t="str">
        <x:v>Finance CC is working</x:v>
      </x:c>
    </x:row>
    <x:row r="96" ht="38" customHeight="1">
      <x:c r="A96" s="24" t="str">
        <x:v>ordinal_followup</x:v>
      </x:c>
      <x:c r="B96" s="24" t="n">
        <x:v>2</x:v>
      </x:c>
      <x:c r="C96" s="24" t="n">
        <x:v>5</x:v>
      </x:c>
      <x:c r="D96" s="25" t="n">
        <x:v>6.253</x:v>
      </x:c>
      <x:c r="E96" s="24" t="str">
        <x:v>tool_call</x:v>
      </x:c>
      <x:c r="F96" s="24" t="str">
        <x:v>runtime</x:v>
      </x:c>
      <x:c r="G96" s="24" t="str">
        <x:v>工具进入</x:v>
      </x:c>
      <x:c r="H96" s="24" t="str">
        <x:v>mcp__finance__finance_query</x:v>
      </x:c>
    </x:row>
    <x:row r="97" ht="38" customHeight="1">
      <x:c r="A97" s="24" t="str">
        <x:v>ordinal_followup</x:v>
      </x:c>
      <x:c r="B97" s="24" t="n">
        <x:v>2</x:v>
      </x:c>
      <x:c r="C97" s="24" t="n">
        <x:v>6</x:v>
      </x:c>
      <x:c r="D97" s="25" t="n">
        <x:v>6.261</x:v>
      </x:c>
      <x:c r="E97" s="24" t="str">
        <x:v>reasoning_summary_delta</x:v>
      </x:c>
      <x:c r="F97" s="24" t="str">
        <x:v>runtime</x:v>
      </x:c>
      <x:c r="G97" s="24" t="str">
        <x:v>具体执行信息</x:v>
      </x:c>
      <x:c r="H97" s="24" t="str">
        <x:v>正在执行第 1/1 步：查询比亚迪最新的融资余额</x:v>
      </x:c>
    </x:row>
    <x:row r="98" ht="38" customHeight="1">
      <x:c r="A98" s="24" t="str">
        <x:v>ordinal_followup</x:v>
      </x:c>
      <x:c r="B98" s="24" t="n">
        <x:v>2</x:v>
      </x:c>
      <x:c r="C98" s="24" t="n">
        <x:v>7</x:v>
      </x:c>
      <x:c r="D98" s="25" t="n">
        <x:v>6.306</x:v>
      </x:c>
      <x:c r="E98" s="24" t="str">
        <x:v>reasoning_summary_delta</x:v>
      </x:c>
      <x:c r="F98" s="24" t="str">
        <x:v>runtime</x:v>
      </x:c>
      <x:c r="G98" s="24" t="str">
        <x:v>具体执行信息</x:v>
      </x:c>
      <x:c r="H98" s="24" t="str">
        <x:v>闭环判断：执行成功并返回 1 行，所请求列均有值。若上方 API、selection_applied、输出字段和时间与 goal 一致，本步已经完成，进入不同目标或回答；只有具体语义偏差才允许修正。 sample_complete=true，禁止再分页加载。</x:v>
      </x:c>
    </x:row>
    <x:row r="99" ht="38" customHeight="1">
      <x:c r="A99" s="24" t="str">
        <x:v>ordinal_followup</x:v>
      </x:c>
      <x:c r="B99" s="24" t="n">
        <x:v>2</x:v>
      </x:c>
      <x:c r="C99" s="24" t="n">
        <x:v>8</x:v>
      </x:c>
      <x:c r="D99" s="25" t="n">
        <x:v>7.824</x:v>
      </x:c>
      <x:c r="E99" s="24" t="str">
        <x:v>reasoning_summary_delta</x:v>
      </x:c>
      <x:c r="F99" s="24" t="str">
        <x:v>runtime</x:v>
      </x:c>
      <x:c r="G99" s="24" t="str">
        <x:v>心跳/阶段信号</x:v>
      </x:c>
      <x:c r="H99" s="24" t="str">
        <x:v>Finance CC is working</x:v>
      </x:c>
    </x:row>
    <x:row r="100" ht="38" customHeight="1">
      <x:c r="A100" s="24" t="str">
        <x:v>ordinal_followup</x:v>
      </x:c>
      <x:c r="B100" s="24" t="n">
        <x:v>2</x:v>
      </x:c>
      <x:c r="C100" s="24" t="n">
        <x:v>9</x:v>
      </x:c>
      <x:c r="D100" s="25" t="n">
        <x:v>8.428</x:v>
      </x:c>
      <x:c r="E100" s="24" t="str">
        <x:v>stage_result</x:v>
      </x:c>
      <x:c r="F100" s="24" t="str">
        <x:v>runtime</x:v>
      </x:c>
      <x:c r="G100" s="24" t="str">
        <x:v>心跳/阶段信号</x:v>
      </x:c>
      <x:c r="H100" s="24" t="str">
        <x:v>Finance CC completed</x:v>
      </x:c>
    </x:row>
    <x:row r="101" ht="38" customHeight="1">
      <x:c r="A101" s="24" t="str">
        <x:v>cross_result_dependency</x:v>
      </x:c>
      <x:c r="B101" s="24" t="n">
        <x:v>1</x:v>
      </x:c>
      <x:c r="C101" s="24" t="n">
        <x:v>1</x:v>
      </x:c>
      <x:c r="D101" s="25" t="n">
        <x:v>3.235</x:v>
      </x:c>
      <x:c r="E101" s="24" t="str">
        <x:v>stage_start</x:v>
      </x:c>
      <x:c r="F101" s="24" t="str">
        <x:v>runtime</x:v>
      </x:c>
      <x:c r="G101" s="24" t="str">
        <x:v>心跳/阶段信号</x:v>
      </x:c>
      <x:c r="H101" s="24" t="str">
        <x:v>Finance CC started</x:v>
      </x:c>
    </x:row>
    <x:row r="102" ht="38" customHeight="1">
      <x:c r="A102" s="24" t="str">
        <x:v>cross_result_dependency</x:v>
      </x:c>
      <x:c r="B102" s="24" t="n">
        <x:v>1</x:v>
      </x:c>
      <x:c r="C102" s="24" t="n">
        <x:v>2</x:v>
      </x:c>
      <x:c r="D102" s="25" t="n">
        <x:v>5.767</x:v>
      </x:c>
      <x:c r="E102" s="24" t="str">
        <x:v>tool_call</x:v>
      </x:c>
      <x:c r="F102" s="24" t="str">
        <x:v>runtime</x:v>
      </x:c>
      <x:c r="G102" s="24" t="str">
        <x:v>工具进入</x:v>
      </x:c>
      <x:c r="H102" s="24" t="str">
        <x:v>mcp__finance__read_finance_catalog</x:v>
      </x:c>
    </x:row>
    <x:row r="103" ht="38" customHeight="1">
      <x:c r="A103" s="24" t="str">
        <x:v>cross_result_dependency</x:v>
      </x:c>
      <x:c r="B103" s="24" t="n">
        <x:v>1</x:v>
      </x:c>
      <x:c r="C103" s="24" t="n">
        <x:v>3</x:v>
      </x:c>
      <x:c r="D103" s="25" t="n">
        <x:v>6.092</x:v>
      </x:c>
      <x:c r="E103" s="24" t="str">
        <x:v>tool_call</x:v>
      </x:c>
      <x:c r="F103" s="24" t="str">
        <x:v>runtime</x:v>
      </x:c>
      <x:c r="G103" s="24" t="str">
        <x:v>工具进入</x:v>
      </x:c>
      <x:c r="H103" s="24" t="str">
        <x:v>mcp__finance__read_finance_catalog</x:v>
      </x:c>
    </x:row>
    <x:row r="104" ht="38" customHeight="1">
      <x:c r="A104" s="24" t="str">
        <x:v>cross_result_dependency</x:v>
      </x:c>
      <x:c r="B104" s="24" t="n">
        <x:v>1</x:v>
      </x:c>
      <x:c r="C104" s="24" t="n">
        <x:v>4</x:v>
      </x:c>
      <x:c r="D104" s="25" t="n">
        <x:v>13.856</x:v>
      </x:c>
      <x:c r="E104" s="24" t="str">
        <x:v>tool_call</x:v>
      </x:c>
      <x:c r="F104" s="24" t="str">
        <x:v>runtime</x:v>
      </x:c>
      <x:c r="G104" s="24" t="str">
        <x:v>工具进入</x:v>
      </x:c>
      <x:c r="H104" s="24" t="str">
        <x:v>mcp__finance__finance_query</x:v>
      </x:c>
    </x:row>
    <x:row r="105" ht="38" customHeight="1">
      <x:c r="A105" s="24" t="str">
        <x:v>cross_result_dependency</x:v>
      </x:c>
      <x:c r="B105" s="24" t="n">
        <x:v>1</x:v>
      </x:c>
      <x:c r="C105" s="24" t="n">
        <x:v>5</x:v>
      </x:c>
      <x:c r="D105" s="25" t="n">
        <x:v>13.87</x:v>
      </x:c>
      <x:c r="E105" s="24" t="str">
        <x:v>reasoning_summary_delta</x:v>
      </x:c>
      <x:c r="F105" s="24" t="str">
        <x:v>runtime</x:v>
      </x:c>
      <x:c r="G105" s="24" t="str">
        <x:v>具体执行信息</x:v>
      </x:c>
      <x:c r="H105" s="24" t="str">
        <x:v>正在执行第 1/2 步：找出最近5个交易日涨幅最高的3个板块</x:v>
      </x:c>
    </x:row>
    <x:row r="106" ht="38" customHeight="1">
      <x:c r="A106" s="24" t="str">
        <x:v>cross_result_dependency</x:v>
      </x:c>
      <x:c r="B106" s="24" t="n">
        <x:v>1</x:v>
      </x:c>
      <x:c r="C106" s="24" t="n">
        <x:v>6</x:v>
      </x:c>
      <x:c r="D106" s="25" t="n">
        <x:v>13.938</x:v>
      </x:c>
      <x:c r="E106" s="24" t="str">
        <x:v>reasoning_summary_delta</x:v>
      </x:c>
      <x:c r="F106" s="24" t="str">
        <x:v>runtime</x:v>
      </x:c>
      <x:c r="G106" s="24" t="str">
        <x:v>具体执行信息</x:v>
      </x:c>
      <x:c r="H106" s="24" t="str">
        <x:v>闭环判断：执行成功并返回 3 行；有值列 code, name 可直接使用，无值列 pct_5d 就是当前数据源未提供。若上方 API、selection_applied、输出字段和时间与 goal 一致，本步已经完成：保留身份范围并如实回答缺值，不换 API、切实时模式、放宽条件或查询原始明细。只有能明确说出 goal 与请求的具体偏差时才修正。 sample_complete=true，禁止再分页加载。</x:v>
      </x:c>
    </x:row>
    <x:row r="107" ht="38" customHeight="1">
      <x:c r="A107" s="24" t="str">
        <x:v>cross_result_dependency</x:v>
      </x:c>
      <x:c r="B107" s="24" t="n">
        <x:v>1</x:v>
      </x:c>
      <x:c r="C107" s="24" t="n">
        <x:v>7</x:v>
      </x:c>
      <x:c r="D107" s="25" t="n">
        <x:v>13.938</x:v>
      </x:c>
      <x:c r="E107" s="24" t="str">
        <x:v>reasoning_summary_delta</x:v>
      </x:c>
      <x:c r="F107" s="24" t="str">
        <x:v>runtime</x:v>
      </x:c>
      <x:c r="G107" s="24" t="str">
        <x:v>具体执行信息</x:v>
      </x:c>
      <x:c r="H107" s="24" t="str">
        <x:v>正在执行第 2/2 步：计算这3个板块各自成分股今日的总成交额</x:v>
      </x:c>
    </x:row>
    <x:row r="108" ht="38" customHeight="1">
      <x:c r="A108" s="24" t="str">
        <x:v>cross_result_dependency</x:v>
      </x:c>
      <x:c r="B108" s="24" t="n">
        <x:v>1</x:v>
      </x:c>
      <x:c r="C108" s="24" t="n">
        <x:v>8</x:v>
      </x:c>
      <x:c r="D108" s="25" t="n">
        <x:v>13.978</x:v>
      </x:c>
      <x:c r="E108" s="24" t="str">
        <x:v>reasoning_summary_delta</x:v>
      </x:c>
      <x:c r="F108" s="24" t="str">
        <x:v>runtime</x:v>
      </x:c>
      <x:c r="G108" s="24" t="str">
        <x:v>具体执行信息</x:v>
      </x:c>
      <x:c r="H108" s="24" t="str">
        <x:v>闭环判断：执行成功并返回 3 行，所请求列均有值。若上方 API、selection_applied、输出字段和时间与 goal 一致，本步已经完成，进入不同目标或回答；只有具体语义偏差才允许修正。 sample_complete=true，禁止再分页加载。</x:v>
      </x:c>
    </x:row>
    <x:row r="109" ht="38" customHeight="1">
      <x:c r="A109" s="24" t="str">
        <x:v>cross_result_dependency</x:v>
      </x:c>
      <x:c r="B109" s="24" t="n">
        <x:v>1</x:v>
      </x:c>
      <x:c r="C109" s="24" t="n">
        <x:v>9</x:v>
      </x:c>
      <x:c r="D109" s="25" t="n">
        <x:v>18.354</x:v>
      </x:c>
      <x:c r="E109" s="24" t="str">
        <x:v>reasoning_summary_delta</x:v>
      </x:c>
      <x:c r="F109" s="24" t="str">
        <x:v>runtime</x:v>
      </x:c>
      <x:c r="G109" s="24" t="str">
        <x:v>心跳/阶段信号</x:v>
      </x:c>
      <x:c r="H109" s="24" t="str">
        <x:v>Finance CC is working</x:v>
      </x:c>
    </x:row>
    <x:row r="110" ht="38" customHeight="1">
      <x:c r="A110" s="24" t="str">
        <x:v>cross_result_dependency</x:v>
      </x:c>
      <x:c r="B110" s="24" t="n">
        <x:v>1</x:v>
      </x:c>
      <x:c r="C110" s="24" t="n">
        <x:v>10</x:v>
      </x:c>
      <x:c r="D110" s="25" t="n">
        <x:v>19.167</x:v>
      </x:c>
      <x:c r="E110" s="24" t="str">
        <x:v>reasoning_summary_delta</x:v>
      </x:c>
      <x:c r="F110" s="24" t="str">
        <x:v>runtime</x:v>
      </x:c>
      <x:c r="G110" s="24" t="str">
        <x:v>心跳/阶段信号</x:v>
      </x:c>
      <x:c r="H110" s="24" t="str">
        <x:v>Finance CC is working</x:v>
      </x:c>
    </x:row>
    <x:row r="111" ht="38" customHeight="1">
      <x:c r="A111" s="24" t="str">
        <x:v>cross_result_dependency</x:v>
      </x:c>
      <x:c r="B111" s="24" t="n">
        <x:v>1</x:v>
      </x:c>
      <x:c r="C111" s="24" t="n">
        <x:v>11</x:v>
      </x:c>
      <x:c r="D111" s="25" t="n">
        <x:v>20.026</x:v>
      </x:c>
      <x:c r="E111" s="24" t="str">
        <x:v>reasoning_summary_delta</x:v>
      </x:c>
      <x:c r="F111" s="24" t="str">
        <x:v>runtime</x:v>
      </x:c>
      <x:c r="G111" s="24" t="str">
        <x:v>心跳/阶段信号</x:v>
      </x:c>
      <x:c r="H111" s="24" t="str">
        <x:v>Finance CC is working</x:v>
      </x:c>
    </x:row>
    <x:row r="112" ht="38" customHeight="1">
      <x:c r="A112" s="24" t="str">
        <x:v>cross_result_dependency</x:v>
      </x:c>
      <x:c r="B112" s="24" t="n">
        <x:v>1</x:v>
      </x:c>
      <x:c r="C112" s="24" t="n">
        <x:v>12</x:v>
      </x:c>
      <x:c r="D112" s="25" t="n">
        <x:v>20.422</x:v>
      </x:c>
      <x:c r="E112" s="24" t="str">
        <x:v>stage_result</x:v>
      </x:c>
      <x:c r="F112" s="24" t="str">
        <x:v>runtime</x:v>
      </x:c>
      <x:c r="G112" s="24" t="str">
        <x:v>心跳/阶段信号</x:v>
      </x:c>
      <x:c r="H112" s="24" t="str">
        <x:v>Finance CC completed</x:v>
      </x:c>
    </x:row>
    <x:row r="113" ht="38" customHeight="1">
      <x:c r="A113" s="24" t="str">
        <x:v>empty_result</x:v>
      </x:c>
      <x:c r="B113" s="24" t="n">
        <x:v>1</x:v>
      </x:c>
      <x:c r="C113" s="24" t="n">
        <x:v>1</x:v>
      </x:c>
      <x:c r="D113" s="25" t="n">
        <x:v>9.584</x:v>
      </x:c>
      <x:c r="E113" s="24" t="str">
        <x:v>stage_start</x:v>
      </x:c>
      <x:c r="F113" s="24" t="str">
        <x:v>runtime</x:v>
      </x:c>
      <x:c r="G113" s="24" t="str">
        <x:v>心跳/阶段信号</x:v>
      </x:c>
      <x:c r="H113" s="24" t="str">
        <x:v>Finance CC started</x:v>
      </x:c>
    </x:row>
    <x:row r="114" ht="38" customHeight="1">
      <x:c r="A114" s="24" t="str">
        <x:v>empty_result</x:v>
      </x:c>
      <x:c r="B114" s="24" t="n">
        <x:v>1</x:v>
      </x:c>
      <x:c r="C114" s="24" t="n">
        <x:v>2</x:v>
      </x:c>
      <x:c r="D114" s="25" t="n">
        <x:v>30.745</x:v>
      </x:c>
      <x:c r="E114" s="24" t="str">
        <x:v>tool_call</x:v>
      </x:c>
      <x:c r="F114" s="24" t="str">
        <x:v>runtime</x:v>
      </x:c>
      <x:c r="G114" s="24" t="str">
        <x:v>工具进入</x:v>
      </x:c>
      <x:c r="H114" s="24" t="str">
        <x:v>mcp__finance__read_finance_catalog</x:v>
      </x:c>
    </x:row>
    <x:row r="115" ht="38" customHeight="1">
      <x:c r="A115" s="24" t="str">
        <x:v>empty_result</x:v>
      </x:c>
      <x:c r="B115" s="24" t="n">
        <x:v>1</x:v>
      </x:c>
      <x:c r="C115" s="24" t="n">
        <x:v>3</x:v>
      </x:c>
      <x:c r="D115" s="25" t="n">
        <x:v>34.018</x:v>
      </x:c>
      <x:c r="E115" s="24" t="str">
        <x:v>tool_call</x:v>
      </x:c>
      <x:c r="F115" s="24" t="str">
        <x:v>runtime</x:v>
      </x:c>
      <x:c r="G115" s="24" t="str">
        <x:v>工具进入</x:v>
      </x:c>
      <x:c r="H115" s="24" t="str">
        <x:v>mcp__finance__finance_query</x:v>
      </x:c>
    </x:row>
    <x:row r="116" ht="38" customHeight="1">
      <x:c r="A116" s="24" t="str">
        <x:v>empty_result</x:v>
      </x:c>
      <x:c r="B116" s="24" t="n">
        <x:v>1</x:v>
      </x:c>
      <x:c r="C116" s="24" t="n">
        <x:v>4</x:v>
      </x:c>
      <x:c r="D116" s="25" t="n">
        <x:v>34.034</x:v>
      </x:c>
      <x:c r="E116" s="24" t="str">
        <x:v>reasoning_summary_delta</x:v>
      </x:c>
      <x:c r="F116" s="24" t="str">
        <x:v>runtime</x:v>
      </x:c>
      <x:c r="G116" s="24" t="str">
        <x:v>具体执行信息</x:v>
      </x:c>
      <x:c r="H116" s="24" t="str">
        <x:v>正在执行第 1/1 步：查询证券'测试股份999999'的最近交易日收盘价</x:v>
      </x:c>
    </x:row>
    <x:row r="117" ht="38" customHeight="1">
      <x:c r="A117" s="24" t="str">
        <x:v>empty_result</x:v>
      </x:c>
      <x:c r="B117" s="24" t="n">
        <x:v>1</x:v>
      </x:c>
      <x:c r="C117" s="24" t="n">
        <x:v>5</x:v>
      </x:c>
      <x:c r="D117" s="25" t="n">
        <x:v>34.137</x:v>
      </x:c>
      <x:c r="E117" s="24" t="str">
        <x:v>reasoning_summary_delta</x:v>
      </x:c>
      <x:c r="F117" s="24" t="str">
        <x:v>runtime</x:v>
      </x:c>
      <x:c r="G117" s="24" t="str">
        <x:v>具体执行信息</x:v>
      </x:c>
      <x:c r="H117" s="24" t="str">
        <x:v>闭环判断：执行成功并返回零行。若上方 API、selection_applied、输出字段和时间与 goal 一致，本步已经完成，直接如实回答零行；不得放宽、换 API、切实时模式或拆分对象。只有能明确说出 goal 与请求的具体偏差时才修正。 sample_complete=true，禁止再分页加载。</x:v>
      </x:c>
    </x:row>
    <x:row r="118" ht="38" customHeight="1">
      <x:c r="A118" s="24" t="str">
        <x:v>empty_result</x:v>
      </x:c>
      <x:c r="B118" s="24" t="n">
        <x:v>1</x:v>
      </x:c>
      <x:c r="C118" s="24" t="n">
        <x:v>6</x:v>
      </x:c>
      <x:c r="D118" s="25" t="n">
        <x:v>35.231</x:v>
      </x:c>
      <x:c r="E118" s="24" t="str">
        <x:v>reasoning_summary_delta</x:v>
      </x:c>
      <x:c r="F118" s="24" t="str">
        <x:v>runtime</x:v>
      </x:c>
      <x:c r="G118" s="24" t="str">
        <x:v>心跳/阶段信号</x:v>
      </x:c>
      <x:c r="H118" s="24" t="str">
        <x:v>Finance CC is working</x:v>
      </x:c>
    </x:row>
    <x:row r="119" ht="38" customHeight="1">
      <x:c r="A119" s="24" t="str">
        <x:v>empty_result</x:v>
      </x:c>
      <x:c r="B119" s="24" t="n">
        <x:v>1</x:v>
      </x:c>
      <x:c r="C119" s="24" t="n">
        <x:v>7</x:v>
      </x:c>
      <x:c r="D119" s="25" t="n">
        <x:v>36.114</x:v>
      </x:c>
      <x:c r="E119" s="24" t="str">
        <x:v>reasoning_summary_delta</x:v>
      </x:c>
      <x:c r="F119" s="24" t="str">
        <x:v>runtime</x:v>
      </x:c>
      <x:c r="G119" s="24" t="str">
        <x:v>心跳/阶段信号</x:v>
      </x:c>
      <x:c r="H119" s="24" t="str">
        <x:v>Finance CC is working</x:v>
      </x:c>
    </x:row>
    <x:row r="120" ht="38" customHeight="1">
      <x:c r="A120" s="24" t="str">
        <x:v>empty_result</x:v>
      </x:c>
      <x:c r="B120" s="24" t="n">
        <x:v>1</x:v>
      </x:c>
      <x:c r="C120" s="24" t="n">
        <x:v>8</x:v>
      </x:c>
      <x:c r="D120" s="25" t="n">
        <x:v>36.406</x:v>
      </x:c>
      <x:c r="E120" s="24" t="str">
        <x:v>stage_result</x:v>
      </x:c>
      <x:c r="F120" s="24" t="str">
        <x:v>runtime</x:v>
      </x:c>
      <x:c r="G120" s="24" t="str">
        <x:v>心跳/阶段信号</x:v>
      </x:c>
      <x:c r="H120" s="24" t="str">
        <x:v>Finance CC completed</x:v>
      </x:c>
    </x:row>
  </x:sheetData>
  <x:conditionalFormatting sqref="G2:G120">
    <x:cfRule type="containsText" dxfId="3" priority="1" operator="containsText" text="具体执行信息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2" customHeight="1">
      <x:c r="A1" s="4" t="str">
        <x:v>审计口径、边界与已知限制</x:v>
      </x:c>
      <x:c r="B1" s="4" t="str">
        <x:v>审计口径、边界与已知限制</x:v>
      </x:c>
    </x:row>
    <x:row r="2" ht="32" customHeight="1">
      <x:c r="A2" s="4" t="str">
        <x:v>审计口径、边界与已知限制</x:v>
      </x:c>
      <x:c r="B2" s="4" t="str">
        <x:v>审计口径、边界与已知限制</x:v>
      </x:c>
    </x:row>
    <x:row r="3"/>
    <x:row r="4" ht="15" hidden="0" customHeight="1">
      <x:c r="A4" s="12" t="str">
        <x:v>类别</x:v>
      </x:c>
      <x:c r="B4" s="12" t="str">
        <x:v>说明</x:v>
      </x:c>
    </x:row>
    <x:row r="5" ht="15" hidden="0" customHeight="1">
      <x:c r="A5" s="24" t="str">
        <x:v>操作计数</x:v>
      </x:c>
      <x:c r="B5" s="24" t="str">
        <x:v>一次精确目录读取、一个实际执行的 API step、一次结果分页加载，各计 1 个操作。多 step 的一次 finance_query 按实际 API step 数计。</x:v>
      </x:c>
    </x:row>
    <x:row r="6" ht="15" hidden="0" customHeight="1">
      <x:c r="A6" s="24" t="str">
        <x:v>有效操作</x:v>
      </x:c>
      <x:c r="B6" s="24" t="str">
        <x:v>直接服务于尚未完成目标的目录读取或 API；无效操作包括重复同一事实、因未遵守目录/已返回证据而重试、非等价宽化、可一次完成却被无必要拆分。</x:v>
      </x:c>
    </x:row>
    <x:row r="7" ht="24" hidden="0" customHeight="1">
      <x:c r="A7" s="24" t="str">
        <x:v>中间信息</x:v>
      </x:c>
      <x:c r="B7" s="24" t="str">
        <x:v>本次评测真实传入 event_sink。有效信息只计工具调用、具体执行步骤、结果解释或错误；stage_start/stage_result 与 “Finance CC is working” 心跳单独记录但不算有效信息。</x:v>
      </x:c>
    </x:row>
    <x:row r="8" ht="15" hidden="0" customHeight="1">
      <x:c r="A8" s="24" t="str">
        <x:v>时间</x:v>
      </x:c>
      <x:c r="B8" s="24" t="str">
        <x:v>每个问题从 service.answer 调用前到返回后的墙钟时间；包含模型、目录、工具执行与最终回答，不是单一 API 延迟。</x:v>
      </x:c>
    </x:row>
    <x:row r="9" ht="15" hidden="0" customHeight="1">
      <x:c r="A9" s="24" t="str">
        <x:v>评测范围</x:v>
      </x:c>
      <x:c r="B9" s="24" t="str">
        <x:v>tool_scope=finance_query_only。本报告衡量金融目录与 finance_query 编排，不代表配置工具、新闻工具等产品级多工具仲裁。</x:v>
      </x:c>
    </x:row>
    <x:row r="10" ht="15" hidden="0" customHeight="1">
      <x:c r="A10" s="24" t="str">
        <x:v>数据环境</x:v>
      </x:c>
      <x:c r="B10" s="24" t="str">
        <x:v>使用确定性 fixture 验证协议和调用链，不是生产数据库真值。fixture 对未建模字段返回 null，不用 1.0 或其他默认数值补位。</x:v>
      </x:c>
    </x:row>
    <x:row r="11" ht="15" hidden="0" customHeight="1">
      <x:c r="A11" s="24" t="str">
        <x:v>通过率边界</x:v>
      </x:c>
      <x:c r="B11" s="24" t="str">
        <x:v>Case 通过只说明有查询、有结果引用、有最终回答且无禁止工具；不自动证明调用高效、数据真实或回答解释完全受证据支持，因此本报告另做逐操作人工审计。</x:v>
      </x:c>
    </x:row>
    <x:row r="12" ht="15" hidden="0" customHeight="1">
      <x:c r="A12" s="24" t="str">
        <x:v>HARD 边界</x:v>
      </x:c>
      <x:c r="B12" s="24" t="str">
        <x:v>provider 失败不再登记为成功零行；必需上游引用为空时安全短路；无法安全解释的空引用 OR 分支 fail-closed，不下放给宽松 provider。</x:v>
      </x:c>
    </x:row>
    <x:row r="13" ht="24" hidden="0" customHeight="1">
      <x:c r="A13" s="24" t="str">
        <x:v>独立技术债</x:v>
      </x:c>
      <x:c r="B13" s="24" t="str">
        <x:v>不含空引用的一般括号 OR 仍可能被部分 provider 的旧正则错误解析。根因是同一 filter 协议被多套 parser 重复解释；本轮没有为单个 provider 继续补正则，应后续统一为共享 AST/编译入口。</x:v>
      </x:c>
    </x:row>
    <x:row r="14" ht="24" hidden="0" customHeight="1">
      <x:c r="A14" s="24" t="str">
        <x:v>全量代码验证</x:v>
      </x:c>
      <x:c r="B14" s="24" t="str">
        <x:v>完整测试曾通过 495 passed / 22 skipped / 0 failed。冻结版最终留档为 494 passed / 22 skipped / 1 failed；唯一失败是既有 code runtime 时序波动，同一失败用例随即单独复跑通过。另有 2 条既有 FastAPI/Starlette 弃用警告。</x:v>
      </x:c>
    </x:row>
    <x:row r="15" ht="24" hidden="0" customHeight="1">
      <x:c r="A15" s="24" t="str">
        <x:v>来源</x:v>
      </x:c>
      <x:c r="B15" s="24" t="str">
        <x:v>/Volumes/ext/fin_agent/outputs/019fa65e-ee19-7b23-8f71-36050299b7d5/financial_qa_final_latest_full.json
对照：/Volumes/ext/fin_agent/outputs/019fa65e-ee19-7b23-8f71-36050299b7d5/financial_qa_final_full_regression.json</x:v>
      </x:c>
    </x:row>
  </x:sheetData>
  <x:mergeCells>
    <x:mergeCell ref="A1:B2"/>
  </x:mergeCells>
  <x:pageMargins left="0.7" right="0.7" top="0.75" bottom="0.75" header="0.3" footer="0.3"/>
</x:worksheet>
</file>