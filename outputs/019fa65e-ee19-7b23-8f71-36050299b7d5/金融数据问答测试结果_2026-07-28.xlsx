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83f79faeed4b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摘要" sheetId="1" r:id="Ra401d7d4bdb84f87"/>
    <x:sheet xmlns:r="http://schemas.openxmlformats.org/officeDocument/2006/relationships" name="Case汇总" sheetId="2" r:id="Rcdb0a75cf99340b8"/>
    <x:sheet xmlns:r="http://schemas.openxmlformats.org/officeDocument/2006/relationships" name="问答明细" sheetId="3" r:id="R701e1eeb88fd4f34"/>
    <x:sheet xmlns:r="http://schemas.openxmlformats.org/officeDocument/2006/relationships" name="工具调用" sheetId="4" r:id="Rd12838a2d1094e0a"/>
    <x:sheet xmlns:r="http://schemas.openxmlformats.org/officeDocument/2006/relationships" name="最终回答" sheetId="5" r:id="Rc3c2abc4a3384f84"/>
    <x:sheet xmlns:r="http://schemas.openxmlformats.org/officeDocument/2006/relationships" name="证据与口径" sheetId="6" r:id="Ra00091147a534f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"/>
    <x:numFmt numFmtId="202" formatCode="0"/>
    <x:numFmt numFmtId="203" formatCode="0.000"/>
    <x:numFmt numFmtId="204" formatCode="yyyy-mm-dd hh:mm:ss"/>
  </x:numFmts>
  <x:fonts count="22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B5563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14"/>
      <x:color rgb="FF153A5B"/>
      <x:name val="Carlito"/>
    </x:font>
    <x:font>
      <x:b/>
      <x:sz val="11"/>
      <x:color rgb="FF153A5B"/>
      <x:name val="Carlito"/>
    </x:font>
    <x:font>
      <x:sz val="11"/>
      <x:color rgb="FF111827"/>
      <x:name val="Carlito"/>
    </x:font>
    <x:font>
      <x:sz val="11"/>
      <x:color rgb="FF991B1B"/>
      <x:name val="Carlito"/>
    </x:font>
    <x:font>
      <x:sz val="11"/>
      <x:color rgb="FF92400E"/>
      <x:name val="Carlito"/>
    </x:font>
    <x:font>
      <x:b/>
      <x:sz val="18"/>
      <x:color rgb="FFFFFFFF"/>
      <x:name val="Aptos"/>
    </x:font>
    <x:font>
      <x:i/>
      <x:sz val="10"/>
      <x:color rgb="FF4B5563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b/>
      <x:sz val="14"/>
      <x:color rgb="FF153A5B"/>
      <x:name val="Aptos"/>
    </x:font>
    <x:font>
      <x:b/>
      <x:sz val="11"/>
      <x:color rgb="FF153A5B"/>
      <x:name val="Aptos"/>
    </x:font>
    <x:font>
      <x:sz val="11"/>
      <x:color rgb="FF111827"/>
      <x:name val="Aptos"/>
    </x:font>
    <x:font>
      <x:sz val="11"/>
      <x:color rgb="FF991B1B"/>
      <x:name val="Aptos"/>
    </x:font>
    <x:font>
      <x:sz val="11"/>
      <x:color rgb="FF92400E"/>
      <x:name val="Aptos"/>
    </x:font>
    <x:font>
      <x:sz val="10"/>
      <x:color rgb="FF111827"/>
      <x:name val="Carlito"/>
    </x:font>
    <x:font>
      <x:sz val="10"/>
      <x:color rgb="FF111827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53A5B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E7F6F2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200" fontId="5" fillId="6" borderId="1" xfId="0" applyNumberFormat="1" applyFont="1" applyFill="1" applyBorder="1" applyAlignment="1">
      <x:alignment horizontal="center" vertical="center"/>
    </x:xf>
    <x:xf numFmtId="201" fontId="5" fillId="6" borderId="1" xfId="0" applyNumberFormat="1" applyFont="1" applyFill="1" applyBorder="1" applyAlignment="1">
      <x:alignment horizontal="center" vertical="center"/>
    </x:xf>
    <x:xf numFmtId="202" fontId="5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vertical="top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wrapText="1"/>
    </x:xf>
    <x:xf numFmtId="0" fontId="7" fillId="8" borderId="1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1" xfId="0" applyNumberFormat="1" applyFont="1" applyFill="1" applyBorder="1"/>
    <x:xf numFmtId="0" fontId="8" fillId="9" borderId="1" xfId="0" applyNumberFormat="1" applyFont="1" applyFill="1" applyBorder="1" applyAlignment="1">
      <x:alignment wrapText="1"/>
    </x:xf>
    <x:xf numFmtId="0" fontId="8" fillId="9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0" fontId="9" fillId="10" borderId="1" xfId="0" applyNumberFormat="1" applyFont="1" applyFill="1" applyBorder="1" applyAlignment="1">
      <x:alignment wrapText="1"/>
    </x:xf>
    <x:xf numFmtId="0" fontId="9" fillId="1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/>
    <x:xf numFmtId="0" fontId="13" fillId="4" borderId="0" xfId="0" applyNumberFormat="1" applyFont="1" applyFill="1" applyBorder="1"/>
    <x:xf numFmtId="0" fontId="14" fillId="5" borderId="1" xfId="0" applyNumberFormat="1" applyFont="1" applyFill="1" applyBorder="1" applyAlignment="1">
      <x:alignment horizontal="center" vertical="center" wrapText="1"/>
    </x:xf>
    <x:xf numFmtId="202" fontId="15" fillId="6" borderId="1" xfId="0" applyNumberFormat="1" applyFont="1" applyFill="1" applyBorder="1" applyAlignment="1">
      <x:alignment horizontal="center" vertical="center"/>
    </x:xf>
    <x:xf numFmtId="200" fontId="15" fillId="6" borderId="1" xfId="0" applyNumberFormat="1" applyFont="1" applyFill="1" applyBorder="1" applyAlignment="1">
      <x:alignment horizontal="center" vertical="center"/>
    </x:xf>
    <x:xf numFmtId="201" fontId="15" fillId="6" borderId="1" xfId="0" applyNumberFormat="1" applyFont="1" applyFill="1" applyBorder="1" applyAlignment="1">
      <x:alignment horizontal="center" vertical="center"/>
    </x:xf>
    <x:xf numFmtId="0" fontId="16" fillId="7" borderId="1" xfId="0" applyNumberFormat="1" applyFont="1" applyFill="1" applyBorder="1" applyAlignment="1">
      <x:alignment vertical="top"/>
    </x:xf>
    <x:xf numFmtId="0" fontId="17" fillId="8" borderId="1" xfId="0" applyNumberFormat="1" applyFont="1" applyFill="1" applyBorder="1" applyAlignment="1">
      <x:alignment vertical="top" wrapText="1"/>
    </x:xf>
    <x:xf numFmtId="0" fontId="18" fillId="9" borderId="1" xfId="0" applyNumberFormat="1" applyFont="1" applyFill="1" applyBorder="1" applyAlignment="1">
      <x:alignment vertical="top" wrapText="1"/>
    </x:xf>
    <x:xf numFmtId="0" fontId="19" fillId="10" borderId="1" xfId="0" applyNumberFormat="1" applyFont="1" applyFill="1" applyBorder="1" applyAlignment="1">
      <x:alignment vertical="top" wrapText="1"/>
    </x:xf>
    <x:xf numFmtId="0" fontId="16" fillId="7" borderId="1" xfId="0" applyNumberFormat="1" applyFont="1" applyFill="1" applyBorder="1"/>
    <x:xf numFmtId="0" fontId="12" fillId="0" borderId="1" xfId="0" applyNumberFormat="1" applyFont="1" applyFill="1" applyBorder="1" applyAlignment="1">
      <x:alignment vertical="top" wrapText="1"/>
    </x:xf>
    <x:xf numFmtId="0" fontId="20" fillId="0" borderId="0" xfId="0" applyNumberFormat="1" applyFont="1" applyFill="1" applyBorder="1"/>
    <x:xf numFmtId="0" fontId="20" fillId="0" borderId="2" xfId="0" applyNumberFormat="1" applyFont="1" applyFill="1" applyBorder="1"/>
    <x:xf numFmtId="0" fontId="20" fillId="0" borderId="3" xfId="0" applyNumberFormat="1" applyFont="1" applyFill="1" applyBorder="1"/>
    <x:xf numFmtId="0" fontId="20" fillId="0" borderId="4" xfId="0" applyNumberFormat="1" applyFont="1" applyFill="1" applyBorder="1"/>
    <x:xf numFmtId="0" fontId="20" fillId="0" borderId="2" xfId="0" applyNumberFormat="1" applyFont="1" applyFill="1" applyBorder="1" applyAlignment="1">
      <x:alignment vertical="top"/>
    </x:xf>
    <x:xf numFmtId="0" fontId="20" fillId="0" borderId="3" xfId="0" applyNumberFormat="1" applyFont="1" applyFill="1" applyBorder="1" applyAlignment="1">
      <x:alignment vertical="top"/>
    </x:xf>
    <x:xf numFmtId="0" fontId="20" fillId="0" borderId="4" xfId="0" applyNumberFormat="1" applyFont="1" applyFill="1" applyBorder="1" applyAlignment="1">
      <x:alignment vertical="top"/>
    </x:xf>
    <x:xf numFmtId="0" fontId="20" fillId="0" borderId="2" xfId="0" applyNumberFormat="1" applyFont="1" applyFill="1" applyBorder="1" applyAlignment="1">
      <x:alignment horizontal="center" vertical="top"/>
    </x:xf>
    <x:xf numFmtId="0" fontId="20" fillId="0" borderId="3" xfId="0" applyNumberFormat="1" applyFont="1" applyFill="1" applyBorder="1" applyAlignment="1">
      <x:alignment horizontal="center" vertical="top"/>
    </x:xf>
    <x:xf numFmtId="0" fontId="20" fillId="0" borderId="4" xfId="0" applyNumberFormat="1" applyFont="1" applyFill="1" applyBorder="1" applyAlignment="1">
      <x:alignment horizontal="center" vertical="top"/>
    </x:xf>
    <x:xf numFmtId="0" fontId="20" fillId="0" borderId="2" xfId="0" applyNumberFormat="1" applyFont="1" applyFill="1" applyBorder="1" applyAlignment="1">
      <x:alignment horizontal="right" vertical="top"/>
    </x:xf>
    <x:xf numFmtId="0" fontId="20" fillId="0" borderId="3" xfId="0" applyNumberFormat="1" applyFont="1" applyFill="1" applyBorder="1" applyAlignment="1">
      <x:alignment horizontal="right" vertical="top"/>
    </x:xf>
    <x:xf numFmtId="0" fontId="20" fillId="0" borderId="4" xfId="0" applyNumberFormat="1" applyFont="1" applyFill="1" applyBorder="1" applyAlignment="1">
      <x:alignment horizontal="right" vertical="top"/>
    </x:xf>
    <x:xf numFmtId="203" fontId="20" fillId="0" borderId="2" xfId="0" applyNumberFormat="1" applyFont="1" applyFill="1" applyBorder="1" applyAlignment="1">
      <x:alignment horizontal="right" vertical="top"/>
    </x:xf>
    <x:xf numFmtId="203" fontId="20" fillId="0" borderId="3" xfId="0" applyNumberFormat="1" applyFont="1" applyFill="1" applyBorder="1" applyAlignment="1">
      <x:alignment horizontal="right" vertical="top"/>
    </x:xf>
    <x:xf numFmtId="203" fontId="20" fillId="0" borderId="4" xfId="0" applyNumberFormat="1" applyFont="1" applyFill="1" applyBorder="1" applyAlignment="1">
      <x:alignment horizontal="right" vertical="top"/>
    </x:xf>
    <x:xf numFmtId="202" fontId="20" fillId="0" borderId="2" xfId="0" applyNumberFormat="1" applyFont="1" applyFill="1" applyBorder="1" applyAlignment="1">
      <x:alignment horizontal="right" vertical="top"/>
    </x:xf>
    <x:xf numFmtId="202" fontId="20" fillId="0" borderId="3" xfId="0" applyNumberFormat="1" applyFont="1" applyFill="1" applyBorder="1" applyAlignment="1">
      <x:alignment horizontal="right" vertical="top"/>
    </x:xf>
    <x:xf numFmtId="202" fontId="20" fillId="0" borderId="4" xfId="0" applyNumberFormat="1" applyFont="1" applyFill="1" applyBorder="1" applyAlignment="1">
      <x:alignment horizontal="right" vertical="top"/>
    </x:xf>
    <x:xf numFmtId="0" fontId="20" fillId="0" borderId="2" xfId="0" applyNumberFormat="1" applyFont="1" applyFill="1" applyBorder="1" applyAlignment="1">
      <x:alignment vertical="top" wrapText="1"/>
    </x:xf>
    <x:xf numFmtId="0" fontId="20" fillId="0" borderId="3" xfId="0" applyNumberFormat="1" applyFont="1" applyFill="1" applyBorder="1" applyAlignment="1">
      <x:alignment vertical="top" wrapText="1"/>
    </x:xf>
    <x:xf numFmtId="0" fontId="20" fillId="0" borderId="4" xfId="0" applyNumberFormat="1" applyFont="1" applyFill="1" applyBorder="1" applyAlignment="1">
      <x:alignment vertical="top" wrapText="1"/>
    </x:xf>
    <x:xf numFmtId="0" fontId="21" fillId="0" borderId="2" xfId="0" applyNumberFormat="1" applyFont="1" applyFill="1" applyBorder="1" applyAlignment="1">
      <x:alignment vertical="top"/>
    </x:xf>
    <x:xf numFmtId="0" fontId="21" fillId="0" borderId="2" xfId="0" applyNumberFormat="1" applyFont="1" applyFill="1" applyBorder="1" applyAlignment="1">
      <x:alignment horizontal="center" vertical="top"/>
    </x:xf>
    <x:xf numFmtId="202" fontId="21" fillId="0" borderId="2" xfId="0" applyNumberFormat="1" applyFont="1" applyFill="1" applyBorder="1" applyAlignment="1">
      <x:alignment horizontal="right" vertical="top"/>
    </x:xf>
    <x:xf numFmtId="203" fontId="21" fillId="0" borderId="2" xfId="0" applyNumberFormat="1" applyFont="1" applyFill="1" applyBorder="1" applyAlignment="1">
      <x:alignment horizontal="right" vertical="top"/>
    </x:xf>
    <x:xf numFmtId="0" fontId="21" fillId="0" borderId="2" xfId="0" applyNumberFormat="1" applyFont="1" applyFill="1" applyBorder="1" applyAlignment="1">
      <x:alignment vertical="top" wrapText="1"/>
    </x:xf>
    <x:xf numFmtId="0" fontId="21" fillId="0" borderId="3" xfId="0" applyNumberFormat="1" applyFont="1" applyFill="1" applyBorder="1" applyAlignment="1">
      <x:alignment vertical="top"/>
    </x:xf>
    <x:xf numFmtId="0" fontId="21" fillId="0" borderId="3" xfId="0" applyNumberFormat="1" applyFont="1" applyFill="1" applyBorder="1" applyAlignment="1">
      <x:alignment horizontal="center" vertical="top"/>
    </x:xf>
    <x:xf numFmtId="202" fontId="21" fillId="0" borderId="3" xfId="0" applyNumberFormat="1" applyFont="1" applyFill="1" applyBorder="1" applyAlignment="1">
      <x:alignment horizontal="right" vertical="top"/>
    </x:xf>
    <x:xf numFmtId="203" fontId="21" fillId="0" borderId="3" xfId="0" applyNumberFormat="1" applyFont="1" applyFill="1" applyBorder="1" applyAlignment="1">
      <x:alignment horizontal="right" vertical="top"/>
    </x:xf>
    <x:xf numFmtId="0" fontId="21" fillId="0" borderId="3" xfId="0" applyNumberFormat="1" applyFont="1" applyFill="1" applyBorder="1" applyAlignment="1">
      <x:alignment vertical="top" wrapText="1"/>
    </x:xf>
    <x:xf numFmtId="0" fontId="21" fillId="0" borderId="4" xfId="0" applyNumberFormat="1" applyFont="1" applyFill="1" applyBorder="1" applyAlignment="1">
      <x:alignment vertical="top"/>
    </x:xf>
    <x:xf numFmtId="0" fontId="21" fillId="0" borderId="4" xfId="0" applyNumberFormat="1" applyFont="1" applyFill="1" applyBorder="1" applyAlignment="1">
      <x:alignment horizontal="center" vertical="top"/>
    </x:xf>
    <x:xf numFmtId="202" fontId="21" fillId="0" borderId="4" xfId="0" applyNumberFormat="1" applyFont="1" applyFill="1" applyBorder="1" applyAlignment="1">
      <x:alignment horizontal="right" vertical="top"/>
    </x:xf>
    <x:xf numFmtId="203" fontId="21" fillId="0" borderId="4" xfId="0" applyNumberFormat="1" applyFont="1" applyFill="1" applyBorder="1" applyAlignment="1">
      <x:alignment horizontal="right" vertical="top"/>
    </x:xf>
    <x:xf numFmtId="0" fontId="21" fillId="0" borderId="4" xfId="0" applyNumberFormat="1" applyFont="1" applyFill="1" applyBorder="1" applyAlignment="1">
      <x:alignment vertical="top" wrapText="1"/>
    </x:xf>
    <x:xf numFmtId="204" fontId="20" fillId="0" borderId="2" xfId="0" applyNumberFormat="1" applyFont="1" applyFill="1" applyBorder="1" applyAlignment="1">
      <x:alignment vertical="top"/>
    </x:xf>
    <x:xf numFmtId="204" fontId="20" fillId="0" borderId="3" xfId="0" applyNumberFormat="1" applyFont="1" applyFill="1" applyBorder="1" applyAlignment="1">
      <x:alignment vertical="top"/>
    </x:xf>
    <x:xf numFmtId="204" fontId="20" fillId="0" borderId="4" xfId="0" applyNumberFormat="1" applyFont="1" applyFill="1" applyBorder="1" applyAlignment="1">
      <x:alignment vertical="top"/>
    </x:xf>
    <x:xf numFmtId="203" fontId="20" fillId="0" borderId="2" xfId="0" applyNumberFormat="1" applyFont="1" applyFill="1" applyBorder="1" applyAlignment="1">
      <x:alignment vertical="top"/>
    </x:xf>
    <x:xf numFmtId="203" fontId="20" fillId="0" borderId="3" xfId="0" applyNumberFormat="1" applyFont="1" applyFill="1" applyBorder="1" applyAlignment="1">
      <x:alignment vertical="top"/>
    </x:xf>
    <x:xf numFmtId="203" fontId="20" fillId="0" borderId="4" xfId="0" applyNumberFormat="1" applyFont="1" applyFill="1" applyBorder="1" applyAlignment="1">
      <x:alignment vertical="top"/>
    </x:xf>
    <x:xf numFmtId="202" fontId="20" fillId="0" borderId="2" xfId="0" applyNumberFormat="1" applyFont="1" applyFill="1" applyBorder="1" applyAlignment="1">
      <x:alignment vertical="top"/>
    </x:xf>
    <x:xf numFmtId="202" fontId="20" fillId="0" borderId="3" xfId="0" applyNumberFormat="1" applyFont="1" applyFill="1" applyBorder="1" applyAlignment="1">
      <x:alignment vertical="top"/>
    </x:xf>
    <x:xf numFmtId="202" fontId="20" fillId="0" borderId="4" xfId="0" applyNumberFormat="1" applyFont="1" applyFill="1" applyBorder="1" applyAlignment="1">
      <x:alignment vertical="top"/>
    </x:xf>
    <x:xf numFmtId="204" fontId="21" fillId="0" borderId="2" xfId="0" applyNumberFormat="1" applyFont="1" applyFill="1" applyBorder="1" applyAlignment="1">
      <x:alignment vertical="top"/>
    </x:xf>
    <x:xf numFmtId="203" fontId="21" fillId="0" borderId="2" xfId="0" applyNumberFormat="1" applyFont="1" applyFill="1" applyBorder="1" applyAlignment="1">
      <x:alignment vertical="top"/>
    </x:xf>
    <x:xf numFmtId="202" fontId="21" fillId="0" borderId="2" xfId="0" applyNumberFormat="1" applyFont="1" applyFill="1" applyBorder="1" applyAlignment="1">
      <x:alignment vertical="top"/>
    </x:xf>
    <x:xf numFmtId="204" fontId="21" fillId="0" borderId="3" xfId="0" applyNumberFormat="1" applyFont="1" applyFill="1" applyBorder="1" applyAlignment="1">
      <x:alignment vertical="top"/>
    </x:xf>
    <x:xf numFmtId="203" fontId="21" fillId="0" borderId="3" xfId="0" applyNumberFormat="1" applyFont="1" applyFill="1" applyBorder="1" applyAlignment="1">
      <x:alignment vertical="top"/>
    </x:xf>
    <x:xf numFmtId="202" fontId="21" fillId="0" borderId="3" xfId="0" applyNumberFormat="1" applyFont="1" applyFill="1" applyBorder="1" applyAlignment="1">
      <x:alignment vertical="top"/>
    </x:xf>
    <x:xf numFmtId="204" fontId="21" fillId="0" borderId="4" xfId="0" applyNumberFormat="1" applyFont="1" applyFill="1" applyBorder="1" applyAlignment="1">
      <x:alignment vertical="top"/>
    </x:xf>
    <x:xf numFmtId="203" fontId="21" fillId="0" borderId="4" xfId="0" applyNumberFormat="1" applyFont="1" applyFill="1" applyBorder="1" applyAlignment="1">
      <x:alignment vertical="top"/>
    </x:xf>
    <x:xf numFmtId="202" fontId="21" fillId="0" borderId="4" xfId="0" applyNumberFormat="1" applyFont="1" applyFill="1" applyBorder="1" applyAlignment="1">
      <x:alignment vertical="top"/>
    </x:xf>
  </x:cellXfs>
  <x:cellStyles count="1">
    <x:cellStyle name="Normal" xfId="0"/>
  </x:cellStyles>
  <x:dxfs count="15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621429c9e74fde" /><Relationship Type="http://schemas.openxmlformats.org/officeDocument/2006/relationships/theme" Target="/xl/theme/theme1.xml" Id="Rf825fd6e07f84935" /><Relationship Type="http://schemas.openxmlformats.org/officeDocument/2006/relationships/sharedStrings" Target="/xl/sharedStrings.xml" Id="Rd4d93ea3d8a045b4" /><Relationship Type="http://schemas.openxmlformats.org/officeDocument/2006/relationships/worksheet" Target="/xl/worksheets/sheet1.xml" Id="Ra401d7d4bdb84f87" /><Relationship Type="http://schemas.openxmlformats.org/officeDocument/2006/relationships/worksheet" Target="/xl/worksheets/sheet2.xml" Id="Rcdb0a75cf99340b8" /><Relationship Type="http://schemas.openxmlformats.org/officeDocument/2006/relationships/worksheet" Target="/xl/worksheets/sheet3.xml" Id="R701e1eeb88fd4f34" /><Relationship Type="http://schemas.openxmlformats.org/officeDocument/2006/relationships/worksheet" Target="/xl/worksheets/sheet4.xml" Id="Rd12838a2d1094e0a" /><Relationship Type="http://schemas.openxmlformats.org/officeDocument/2006/relationships/worksheet" Target="/xl/worksheets/sheet5.xml" Id="Rc3c2abc4a3384f84" /><Relationship Type="http://schemas.openxmlformats.org/officeDocument/2006/relationships/worksheet" Target="/xl/worksheets/sheet6.xml" Id="Ra00091147a534f30" /><Relationship Type="http://schemas.microsoft.com/office/2017/10/relationships/person" Target="/xl/persons/person.xml" Id="R45eabd31704946ac" /></Relationships>
</file>

<file path=xl/persons/person.xml><?xml version="1.0" encoding="utf-8"?>
<xltc:personList xmlns:xltc="http://schemas.microsoft.com/office/spreadsheetml/2018/threadedcomments">
  <xltc:person displayName="User" id="{DD0A3475-29ED-4EE7-9741-18F23EFB4C66}"/>
</xltc:personList>
</file>

<file path=xl/tables/table1.xml><?xml version="1.0" encoding="utf-8"?>
<x:table xmlns:x="http://schemas.openxmlformats.org/spreadsheetml/2006/main" id="1" name="CaseSummaryTable" displayName="CaseSummaryTable" ref="A4:K14" headerRowCount="1" totalsRowCount="0" totalsRowShown="0">
  <x:tableColumns count="11">
    <x:tableColumn id="1" name="Case ID"/>
    <x:tableColumn id="2" name="评测结论"/>
    <x:tableColumn id="3" name="问答轮数"/>
    <x:tableColumn id="4" name="总耗时(秒)"/>
    <x:tableColumn id="5" name="平均耗时(秒)"/>
    <x:tableColumn id="6" name="工具调用"/>
    <x:tableColumn id="7" name="finance_query"/>
    <x:tableColumn id="8" name="结果引用"/>
    <x:tableColumn id="9" name="有文本增量轮数"/>
    <x:tableColumn id="10" name="测试关注点"/>
    <x:tableColumn id="11" name="错误/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uestionDetailTable" displayName="QuestionDetailTable" ref="A4:V16" headerRowCount="1" totalsRowCount="0" totalsRowShown="0">
  <x:tableColumns count="22">
    <x:tableColumn id="1" name="Case ID"/>
    <x:tableColumn id="2" name="Case结论"/>
    <x:tableColumn id="3" name="轮次"/>
    <x:tableColumn id="4" name="用户问题"/>
    <x:tableColumn id="5" name="关注点"/>
    <x:tableColumn id="6" name="开始时间(北京)"/>
    <x:tableColumn id="7" name="结束时间(北京)"/>
    <x:tableColumn id="8" name="评测耗时(秒)"/>
    <x:tableColumn id="9" name="CC耗时(秒)"/>
    <x:tableColumn id="10" name="外围开销(秒)"/>
    <x:tableColumn id="11" name="流事件数"/>
    <x:tableColumn id="12" name="文本增量数"/>
    <x:tableColumn id="13" name="工具调用数"/>
    <x:tableColumn id="14" name="finance_query数"/>
    <x:tableColumn id="15" name="结果引用数"/>
    <x:tableColumn id="16" name="复用会话"/>
    <x:tableColumn id="17" name="轮次状态"/>
    <x:tableColumn id="18" name="有中间事件"/>
    <x:tableColumn id="19" name="有文本增量"/>
    <x:tableColumn id="20" name="有实质业务中间摘要"/>
    <x:tableColumn id="21" name="中间信息结论"/>
    <x:tableColumn id="22" name="错误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oolCallDetailTable" displayName="ToolCallDetailTable" ref="A4:J79" headerRowCount="1" totalsRowCount="0" totalsRowShown="0">
  <x:tableColumns count="10">
    <x:tableColumn id="1" name="Case ID"/>
    <x:tableColumn id="2" name="轮次"/>
    <x:tableColumn id="3" name="序号"/>
    <x:tableColumn id="4" name="工具"/>
    <x:tableColumn id="5" name="请求/参数"/>
    <x:tableColumn id="6" name="结果名"/>
    <x:tableColumn id="7" name="返回行数"/>
    <x:tableColumn id="8" name="结果引用"/>
    <x:tableColumn id="9" name="校验错误"/>
    <x:tableColumn id="10" name="调用结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nalAnswerTable" displayName="FinalAnswerTable" ref="A4:G16" headerRowCount="1" totalsRowCount="0" totalsRowShown="0">
  <x:tableColumns count="7">
    <x:tableColumn id="1" name="Case ID"/>
    <x:tableColumn id="2" name="轮次"/>
    <x:tableColumn id="3" name="轮次状态"/>
    <x:tableColumn id="4" name="用户问题"/>
    <x:tableColumn id="5" name="最终回答"/>
    <x:tableColumn id="6" name="工具调用顺序"/>
    <x:tableColumn id="7" name="错误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fa5f8ff7174b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d9d441b1bd4f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705bd5862a49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bb681831ad149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2" customHeight="1">
      <x:c r="A1" s="46" t="str">
        <x:v>Fin Agent 金融数据问答测试结果</x:v>
      </x:c>
      <x:c r="B1" s="46"/>
      <x:c r="C1" s="46"/>
      <x:c r="D1" s="46"/>
      <x:c r="E1" s="46"/>
      <x:c r="F1" s="46"/>
      <x:c r="G1" s="46"/>
      <x:c r="H1" s="46"/>
      <x:c r="I1" s="46"/>
      <x:c r="J1" s="46"/>
    </x:row>
    <x:row r="2" ht="34" customHeight="1">
      <x:c r="A2" s="47" t="str">
        <x:v>2026-07-28 全链路 Fixture 重跑｜重点核查：逐问耗时与中间信息</x:v>
      </x:c>
      <x:c r="B2" s="47"/>
      <x:c r="C2" s="47"/>
      <x:c r="D2" s="47"/>
      <x:c r="E2" s="47"/>
      <x:c r="F2" s="47"/>
      <x:c r="G2" s="47"/>
      <x:c r="H2" s="47"/>
      <x:c r="I2" s="47"/>
      <x:c r="J2" s="47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</x:row>
    <x:row r="4">
      <x:c r="A4" s="49" t="str">
        <x:v>本次运行概览</x:v>
      </x:c>
      <x:c r="B4" s="49"/>
      <x:c r="C4" s="49"/>
      <x:c r="D4" s="49"/>
      <x:c r="E4" s="49"/>
      <x:c r="F4" s="49"/>
      <x:c r="G4" s="49"/>
      <x:c r="H4" s="49"/>
      <x:c r="I4" s="49"/>
      <x:c r="J4" s="49"/>
    </x:row>
    <x:row r="5">
      <x:c r="A5" s="50" t="str">
        <x:v>Case 总数</x:v>
      </x:c>
      <x:c r="B5" s="50" t="str">
        <x:v>通过 Case</x:v>
      </x:c>
      <x:c r="C5" s="50" t="str">
        <x:v>Case 通过率</x:v>
      </x:c>
      <x:c r="D5" s="50" t="str">
        <x:v>问答轮次</x:v>
      </x:c>
      <x:c r="E5" s="50" t="str">
        <x:v>成功轮次</x:v>
      </x:c>
      <x:c r="F5" s="50" t="str">
        <x:v>平均耗时(秒)</x:v>
      </x:c>
      <x:c r="G5" s="50" t="str">
        <x:v>最长耗时(秒)</x:v>
      </x:c>
      <x:c r="H5" s="50" t="str">
        <x:v>有文本增量</x:v>
      </x:c>
      <x:c r="I5" s="50" t="str">
        <x:v>有工具中间证据</x:v>
      </x:c>
      <x:c r="J5" s="50" t="str">
        <x:v>实质业务中间摘要</x:v>
      </x:c>
    </x:row>
    <x:row r="6" ht="34" customHeight="1">
      <x:c r="A6" s="51" t="n">
        <x:f>COUNTA('Case汇总'!A5:A14)</x:f>
        <x:v>10</x:v>
      </x:c>
      <x:c r="B6" s="51" t="n">
        <x:f>COUNTIF('Case汇总'!B5:B14,"通过")</x:f>
        <x:v>9</x:v>
      </x:c>
      <x:c r="C6" s="52" t="n">
        <x:f>B6/A6</x:f>
        <x:v>0.9</x:v>
      </x:c>
      <x:c r="D6" s="51" t="n">
        <x:f>COUNTA('问答明细'!A5:A16)</x:f>
        <x:v>12</x:v>
      </x:c>
      <x:c r="E6" s="51" t="n">
        <x:f>COUNTIF('问答明细'!Q5:Q16,"成功")</x:f>
        <x:v>11</x:v>
      </x:c>
      <x:c r="F6" s="53" t="n">
        <x:f>AVERAGE('问答明细'!H5:H16)</x:f>
        <x:v>26.82858333333333</x:v>
      </x:c>
      <x:c r="G6" s="53" t="n">
        <x:f>MAX('问答明细'!H5:H16)</x:f>
        <x:v>82.283</x:v>
      </x:c>
      <x:c r="H6" s="51" t="n">
        <x:f>COUNTIF('问答明细'!S5:S16,"是")</x:f>
        <x:v>11</x:v>
      </x:c>
      <x:c r="I6" s="51" t="n">
        <x:f>COUNTIF('问答明细'!R5:R16,"是")</x:f>
        <x:v>12</x:v>
      </x:c>
      <x:c r="J6" s="51" t="n">
        <x:f>COUNTIF('问答明细'!T5:T16,"是")</x:f>
        <x:v>0</x:v>
      </x:c>
    </x:row>
    <x:row r="7">
      <x:c r="A7" s="48"/>
      <x:c r="B7" s="48"/>
      <x:c r="C7" s="48"/>
      <x:c r="D7" s="48"/>
      <x:c r="E7" s="48"/>
      <x:c r="F7" s="48"/>
      <x:c r="G7" s="48"/>
      <x:c r="H7" s="48"/>
      <x:c r="I7" s="48"/>
      <x:c r="J7" s="48"/>
    </x:row>
    <x:row r="8">
      <x:c r="A8" s="49" t="str">
        <x:v>关键结论</x:v>
      </x:c>
      <x:c r="B8" s="49"/>
      <x:c r="C8" s="49"/>
      <x:c r="D8" s="49"/>
      <x:c r="E8" s="49"/>
      <x:c r="F8" s="49"/>
      <x:c r="G8" s="49"/>
      <x:c r="H8" s="49"/>
      <x:c r="I8" s="49"/>
      <x:c r="J8" s="49"/>
    </x:row>
    <x:row r="9" ht="48" customHeight="1">
      <x:c r="A9" s="54" t="str">
        <x:v>总体结果</x:v>
      </x:c>
      <x:c r="B9" s="55" t="str">
        <x:v>9/10 Case 通过；按问答轮次计为 11/12 成功。失败 Case 为 cross_result_dependency。</x:v>
      </x:c>
      <x:c r="C9" s="55"/>
      <x:c r="D9" s="55"/>
      <x:c r="E9" s="55"/>
      <x:c r="F9" s="55"/>
      <x:c r="G9" s="55"/>
      <x:c r="H9" s="55"/>
      <x:c r="I9" s="55"/>
      <x:c r="J9" s="55"/>
    </x:row>
    <x:row r="10" ht="48" customHeight="1">
      <x:c r="A10" s="54" t="str">
        <x:v>首要异常</x:v>
      </x:c>
      <x:c r="B10" s="56" t="str">
        <x:v>复杂板块联动问题耗时 82.3 秒，产生 2,852 个流事件、24 次工具调用、12 个结果引用，但 text_delta_count=0，最终报错 “Finance CC completed without a final response”。</x:v>
      </x:c>
      <x:c r="C10" s="56"/>
      <x:c r="D10" s="56"/>
      <x:c r="E10" s="56"/>
      <x:c r="F10" s="56"/>
      <x:c r="G10" s="56"/>
      <x:c r="H10" s="56"/>
      <x:c r="I10" s="56"/>
      <x:c r="J10" s="56"/>
    </x:row>
    <x:row r="11" ht="48" customHeight="1">
      <x:c r="A11" s="54" t="str">
        <x:v>中间信息</x:v>
      </x:c>
      <x:c r="B11" s="55" t="str">
        <x:v>12/12 轮次都有真实流事件、工具调用和结果引用；11/12 有 provider 文本增量。当前服务把文本增量转换为固定的 “Finance CC is working” 进度提示，并展示阶段/工具调用，因此有过程信号，但没有人类可读的业务中间摘要。</x:v>
      </x:c>
      <x:c r="C11" s="55"/>
      <x:c r="D11" s="55"/>
      <x:c r="E11" s="55"/>
      <x:c r="F11" s="55"/>
      <x:c r="G11" s="55"/>
      <x:c r="H11" s="55"/>
      <x:c r="I11" s="55"/>
      <x:c r="J11" s="55"/>
    </x:row>
    <x:row r="12" ht="48" customHeight="1">
      <x:c r="A12" s="54" t="str">
        <x:v>性能</x:v>
      </x:c>
      <x:c r="B12" s="55" t="str">
        <x:v>平均每轮约 26.8 秒；最快 4.955 秒（多轮实体承接第 2 轮），最慢 82.283 秒（复杂板块联动）。</x:v>
      </x:c>
      <x:c r="C12" s="55"/>
      <x:c r="D12" s="55"/>
      <x:c r="E12" s="55"/>
      <x:c r="F12" s="55"/>
      <x:c r="G12" s="55"/>
      <x:c r="H12" s="55"/>
      <x:c r="I12" s="55"/>
      <x:c r="J12" s="55"/>
    </x:row>
    <x:row r="13" ht="48" customHeight="1">
      <x:c r="A13" s="54" t="str">
        <x:v>验证边界</x:v>
      </x:c>
      <x:c r="B13" s="57" t="str">
        <x:v>当前环境未配置 BI_DB_URL，本次使用现有脚本的 --fixture 模式：Agent、场景、协议、工具编排和流式事件均真实执行，底层金融数据为确定性样例。历史文档记载真实数据库测试为 10/10 返回业务结果、评测 9/10，但对应原始 JSON 当前不在仓库中，无法恢复其逐问耗时。</x:v>
      </x:c>
      <x:c r="C13" s="57"/>
      <x:c r="D13" s="57"/>
      <x:c r="E13" s="57"/>
      <x:c r="F13" s="57"/>
      <x:c r="G13" s="57"/>
      <x:c r="H13" s="57"/>
      <x:c r="I13" s="57"/>
      <x:c r="J13" s="57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</x:row>
    <x:row r="15">
      <x:c r="A15" s="49" t="str">
        <x:v>运行信息与审阅口径</x:v>
      </x:c>
      <x:c r="B15" s="49"/>
      <x:c r="C15" s="49"/>
      <x:c r="D15" s="49"/>
      <x:c r="E15" s="49"/>
      <x:c r="F15" s="49"/>
      <x:c r="G15" s="49"/>
      <x:c r="H15" s="49"/>
      <x:c r="I15" s="49"/>
      <x:c r="J15" s="49"/>
    </x:row>
    <x:row r="16" ht="34" customHeight="1">
      <x:c r="A16" s="58" t="str">
        <x:v>代码版本</x:v>
      </x:c>
      <x:c r="B16" s="59" t="str">
        <x:v>ee128aa</x:v>
      </x:c>
      <x:c r="C16" s="59"/>
      <x:c r="D16" s="59"/>
      <x:c r="E16" s="59"/>
      <x:c r="F16" s="59"/>
      <x:c r="G16" s="59"/>
      <x:c r="H16" s="59"/>
      <x:c r="I16" s="59"/>
      <x:c r="J16" s="59"/>
    </x:row>
    <x:row r="17" ht="34" customHeight="1">
      <x:c r="A17" s="58" t="str">
        <x:v>数据集</x:v>
      </x:c>
      <x:c r="B17" s="59" t="str">
        <x:v>tests/evals/finance_data_chat_v1.json（10 Case / 12 Turns）</x:v>
      </x:c>
      <x:c r="C17" s="59"/>
      <x:c r="D17" s="59"/>
      <x:c r="E17" s="59"/>
      <x:c r="F17" s="59"/>
      <x:c r="G17" s="59"/>
      <x:c r="H17" s="59"/>
      <x:c r="I17" s="59"/>
      <x:c r="J17" s="59"/>
    </x:row>
    <x:row r="18" ht="34" customHeight="1">
      <x:c r="A18" s="58" t="str">
        <x:v>运行模式</x:v>
      </x:c>
      <x:c r="B18" s="59" t="str">
        <x:v>全链路 Fixture；不代表 KingdomAI 实际数据正确性或实时数据延迟</x:v>
      </x:c>
      <x:c r="C18" s="59"/>
      <x:c r="D18" s="59"/>
      <x:c r="E18" s="59"/>
      <x:c r="F18" s="59"/>
      <x:c r="G18" s="59"/>
      <x:c r="H18" s="59"/>
      <x:c r="I18" s="59"/>
      <x:c r="J18" s="59"/>
    </x:row>
    <x:row r="19" ht="34" customHeight="1">
      <x:c r="A19" s="58" t="str">
        <x:v>耗时口径</x:v>
      </x:c>
      <x:c r="B19" s="59" t="str">
        <x:v>问答明细 H 列为评测脚本从 service.answer 开始到返回的壁钟耗时；I 列为 CC 会话内部耗时</x:v>
      </x:c>
      <x:c r="C19" s="59"/>
      <x:c r="D19" s="59"/>
      <x:c r="E19" s="59"/>
      <x:c r="F19" s="59"/>
      <x:c r="G19" s="59"/>
      <x:c r="H19" s="59"/>
      <x:c r="I19" s="59"/>
      <x:c r="J19" s="59"/>
    </x:row>
    <x:row r="20" ht="34" customHeight="1">
      <x:c r="A20" s="58" t="str">
        <x:v>中间信息口径</x:v>
      </x:c>
      <x:c r="B20" s="59" t="str">
        <x:v>区分内部流事件、provider 文本增量、工具/结果证据、实质业务中间摘要四个层级</x:v>
      </x:c>
      <x:c r="C20" s="59"/>
      <x:c r="D20" s="59"/>
      <x:c r="E20" s="59"/>
      <x:c r="F20" s="59"/>
      <x:c r="G20" s="59"/>
      <x:c r="H20" s="59"/>
      <x:c r="I20" s="59"/>
      <x:c r="J20" s="59"/>
    </x:row>
    <x:row r="21" ht="34" customHeight="1">
      <x:c r="A21" s="58" t="str">
        <x:v>时区</x:v>
      </x:c>
      <x:c r="B21" s="59" t="str">
        <x:v>Asia/Shanghai（UTC+8）；开始时间由日志完成时间减去 CC duration_ms 推算</x:v>
      </x:c>
      <x:c r="C21" s="59"/>
      <x:c r="D21" s="59"/>
      <x:c r="E21" s="59"/>
      <x:c r="F21" s="59"/>
      <x:c r="G21" s="59"/>
      <x:c r="H21" s="59"/>
      <x:c r="I21" s="59"/>
      <x:c r="J21" s="59"/>
    </x:row>
  </x:sheetData>
  <x:mergeCells>
    <x:mergeCell ref="A1:J1"/>
    <x:mergeCell ref="A2:J2"/>
    <x:mergeCell ref="A4:J4"/>
    <x:mergeCell ref="A8:J8"/>
    <x:mergeCell ref="B9:J9"/>
    <x:mergeCell ref="B10:J10"/>
    <x:mergeCell ref="B11:J11"/>
    <x:mergeCell ref="B12:J12"/>
    <x:mergeCell ref="B13:J13"/>
    <x:mergeCell ref="A15:J15"/>
    <x:mergeCell ref="B16:J16"/>
    <x:mergeCell ref="B17:J17"/>
    <x:mergeCell ref="B18:J18"/>
    <x:mergeCell ref="B19:J19"/>
    <x:mergeCell ref="B20:J20"/>
    <x:mergeCell ref="B21:J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34" hidden="0" customWidth="1"/>
    <x:col min="11" max="11" width="48" hidden="0" customWidth="1"/>
  </x:cols>
  <x:sheetData>
    <x:row r="1" ht="32" customHeight="1">
      <x:c r="A1" s="46" t="str">
        <x:v>Case 级测试汇总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34" customHeight="1">
      <x:c r="A2" s="47" t="str">
        <x:v>每个 Case 的通过情况、轮次、耗时、工具使用和失败原因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</x:row>
    <x:row r="4">
      <x:c r="A4" s="50" t="str">
        <x:v>Case ID</x:v>
      </x:c>
      <x:c r="B4" s="50" t="str">
        <x:v>评测结论</x:v>
      </x:c>
      <x:c r="C4" s="50" t="str">
        <x:v>问答轮数</x:v>
      </x:c>
      <x:c r="D4" s="50" t="str">
        <x:v>总耗时(秒)</x:v>
      </x:c>
      <x:c r="E4" s="50" t="str">
        <x:v>平均耗时(秒)</x:v>
      </x:c>
      <x:c r="F4" s="50" t="str">
        <x:v>工具调用</x:v>
      </x:c>
      <x:c r="G4" s="50" t="str">
        <x:v>finance_query</x:v>
      </x:c>
      <x:c r="H4" s="50" t="str">
        <x:v>结果引用</x:v>
      </x:c>
      <x:c r="I4" s="50" t="str">
        <x:v>有文本增量轮数</x:v>
      </x:c>
      <x:c r="J4" s="50" t="str">
        <x:v>测试关注点</x:v>
      </x:c>
      <x:c r="K4" s="50" t="str">
        <x:v>错误/说明</x:v>
      </x:c>
    </x:row>
    <x:row r="5" ht="38" customHeight="1">
      <x:c r="A5" s="82" t="str">
        <x:v>realtime_quote</x:v>
      </x:c>
      <x:c r="B5" s="83" t="str">
        <x:v>通过</x:v>
      </x:c>
      <x:c r="C5" s="84" t="n">
        <x:f>COUNTIF('问答明细'!$A$5:$A$16,A5)</x:f>
        <x:v>1</x:v>
      </x:c>
      <x:c r="D5" s="85" t="n">
        <x:f>SUMIF('问答明细'!$A$5:$A$16,A5,'问答明细'!$H$5:$H$16)</x:f>
        <x:v>27.088</x:v>
      </x:c>
      <x:c r="E5" s="85" t="n">
        <x:f>AVERAGEIF('问答明细'!$A$5:$A$16,A5,'问答明细'!$H$5:$H$16)</x:f>
        <x:v>27.088</x:v>
      </x:c>
      <x:c r="F5" s="84" t="n">
        <x:f>SUMIF('问答明细'!$A$5:$A$16,A5,'问答明细'!$M$5:$M$16)</x:f>
        <x:v>5</x:v>
      </x:c>
      <x:c r="G5" s="84" t="n">
        <x:f>SUMIF('问答明细'!$A$5:$A$16,A5,'问答明细'!$N$5:$N$16)</x:f>
        <x:v>3</x:v>
      </x:c>
      <x:c r="H5" s="84" t="n">
        <x:f>SUMIF('问答明细'!$A$5:$A$16,A5,'问答明细'!$O$5:$O$16)</x:f>
        <x:v>3</x:v>
      </x:c>
      <x:c r="I5" s="84" t="n">
        <x:f>COUNTIFS('问答明细'!$A$5:$A$16,A5,'问答明细'!$S$5:$S$16,"是")</x:f>
        <x:v>1</x:v>
      </x:c>
      <x:c r="J5" s="86" t="str">
        <x:v>stock.quote；实时行情；时间与单位</x:v>
      </x:c>
      <x:c r="K5" s="86" t="str"/>
    </x:row>
    <x:row r="6" ht="38" customHeight="1">
      <x:c r="A6" s="87" t="str">
        <x:v>maotai_open_close</x:v>
      </x:c>
      <x:c r="B6" s="88" t="str">
        <x:v>通过</x:v>
      </x:c>
      <x:c r="C6" s="89" t="n">
        <x:f>COUNTIF('问答明细'!$A$5:$A$16,A6)</x:f>
        <x:v>1</x:v>
      </x:c>
      <x:c r="D6" s="90" t="n">
        <x:f>SUMIF('问答明细'!$A$5:$A$16,A6,'问答明细'!$H$5:$H$16)</x:f>
        <x:v>20.965</x:v>
      </x:c>
      <x:c r="E6" s="90" t="n">
        <x:f>AVERAGEIF('问答明细'!$A$5:$A$16,A6,'问答明细'!$H$5:$H$16)</x:f>
        <x:v>20.965</x:v>
      </x:c>
      <x:c r="F6" s="89" t="n">
        <x:f>SUMIF('问答明细'!$A$5:$A$16,A6,'问答明细'!$M$5:$M$16)</x:f>
        <x:v>3</x:v>
      </x:c>
      <x:c r="G6" s="89" t="n">
        <x:f>SUMIF('问答明细'!$A$5:$A$16,A6,'问答明细'!$N$5:$N$16)</x:f>
        <x:v>1</x:v>
      </x:c>
      <x:c r="H6" s="89" t="n">
        <x:f>SUMIF('问答明细'!$A$5:$A$16,A6,'问答明细'!$O$5:$O$16)</x:f>
        <x:v>2</x:v>
      </x:c>
      <x:c r="I6" s="89" t="n">
        <x:f>COUNTIFS('问答明细'!$A$5:$A$16,A6,'问答明细'!$S$5:$S$16,"是")</x:f>
        <x:v>1</x:v>
      </x:c>
      <x:c r="J6" s="91" t="str">
        <x:v>stock.quote；最近交易日</x:v>
      </x:c>
      <x:c r="K6" s="91" t="str"/>
    </x:row>
    <x:row r="7" ht="38" customHeight="1">
      <x:c r="A7" s="87" t="str">
        <x:v>quote_window_metrics</x:v>
      </x:c>
      <x:c r="B7" s="88" t="str">
        <x:v>通过</x:v>
      </x:c>
      <x:c r="C7" s="89" t="n">
        <x:f>COUNTIF('问答明细'!$A$5:$A$16,A7)</x:f>
        <x:v>1</x:v>
      </x:c>
      <x:c r="D7" s="90" t="n">
        <x:f>SUMIF('问答明细'!$A$5:$A$16,A7,'问答明细'!$H$5:$H$16)</x:f>
        <x:v>29.949</x:v>
      </x:c>
      <x:c r="E7" s="90" t="n">
        <x:f>AVERAGEIF('问答明细'!$A$5:$A$16,A7,'问答明细'!$H$5:$H$16)</x:f>
        <x:v>29.949</x:v>
      </x:c>
      <x:c r="F7" s="89" t="n">
        <x:f>SUMIF('问答明细'!$A$5:$A$16,A7,'问答明细'!$M$5:$M$16)</x:f>
        <x:v>6</x:v>
      </x:c>
      <x:c r="G7" s="89" t="n">
        <x:f>SUMIF('问答明细'!$A$5:$A$16,A7,'问答明细'!$N$5:$N$16)</x:f>
        <x:v>4</x:v>
      </x:c>
      <x:c r="H7" s="89" t="n">
        <x:f>SUMIF('问答明细'!$A$5:$A$16,A7,'问答明细'!$O$5:$O$16)</x:f>
        <x:v>5</x:v>
      </x:c>
      <x:c r="I7" s="89" t="n">
        <x:f>COUNTIFS('问答明细'!$A$5:$A$16,A7,'问答明细'!$S$5:$S$16,"是")</x:f>
        <x:v>1</x:v>
      </x:c>
      <x:c r="J7" s="91" t="str">
        <x:v>stock.quote；固定K日方法；多步查询</x:v>
      </x:c>
      <x:c r="K7" s="91" t="str"/>
    </x:row>
    <x:row r="8" ht="38" customHeight="1">
      <x:c r="A8" s="87" t="str">
        <x:v>margin_balance</x:v>
      </x:c>
      <x:c r="B8" s="88" t="str">
        <x:v>通过</x:v>
      </x:c>
      <x:c r="C8" s="89" t="n">
        <x:f>COUNTIF('问答明细'!$A$5:$A$16,A8)</x:f>
        <x:v>1</x:v>
      </x:c>
      <x:c r="D8" s="90" t="n">
        <x:f>SUMIF('问答明细'!$A$5:$A$16,A8,'问答明细'!$H$5:$H$16)</x:f>
        <x:v>29.907</x:v>
      </x:c>
      <x:c r="E8" s="90" t="n">
        <x:f>AVERAGEIF('问答明细'!$A$5:$A$16,A8,'问答明细'!$H$5:$H$16)</x:f>
        <x:v>29.907</x:v>
      </x:c>
      <x:c r="F8" s="89" t="n">
        <x:f>SUMIF('问答明细'!$A$5:$A$16,A8,'问答明细'!$M$5:$M$16)</x:f>
        <x:v>6</x:v>
      </x:c>
      <x:c r="G8" s="89" t="n">
        <x:f>SUMIF('问答明细'!$A$5:$A$16,A8,'问答明细'!$N$5:$N$16)</x:f>
        <x:v>2</x:v>
      </x:c>
      <x:c r="H8" s="89" t="n">
        <x:f>SUMIF('问答明细'!$A$5:$A$16,A8,'问答明细'!$O$5:$O$16)</x:f>
        <x:v>2</x:v>
      </x:c>
      <x:c r="I8" s="89" t="n">
        <x:f>COUNTIFS('问答明细'!$A$5:$A$16,A8,'问答明细'!$S$5:$S$16,"是")</x:f>
        <x:v>1</x:v>
      </x:c>
      <x:c r="J8" s="91" t="str">
        <x:v>stock.margin；比较</x:v>
      </x:c>
      <x:c r="K8" s="91" t="str"/>
    </x:row>
    <x:row r="9" ht="38" customHeight="1">
      <x:c r="A9" s="87" t="str">
        <x:v>raised_funds</x:v>
      </x:c>
      <x:c r="B9" s="88" t="str">
        <x:v>通过</x:v>
      </x:c>
      <x:c r="C9" s="89" t="n">
        <x:f>COUNTIF('问答明细'!$A$5:$A$16,A9)</x:f>
        <x:v>1</x:v>
      </x:c>
      <x:c r="D9" s="90" t="n">
        <x:f>SUMIF('问答明细'!$A$5:$A$16,A9,'问答明细'!$H$5:$H$16)</x:f>
        <x:v>42.724</x:v>
      </x:c>
      <x:c r="E9" s="90" t="n">
        <x:f>AVERAGEIF('问答明细'!$A$5:$A$16,A9,'问答明细'!$H$5:$H$16)</x:f>
        <x:v>42.724</x:v>
      </x:c>
      <x:c r="F9" s="89" t="n">
        <x:f>SUMIF('问答明细'!$A$5:$A$16,A9,'问答明细'!$M$5:$M$16)</x:f>
        <x:v>10</x:v>
      </x:c>
      <x:c r="G9" s="89" t="n">
        <x:f>SUMIF('问答明细'!$A$5:$A$16,A9,'问答明细'!$N$5:$N$16)</x:f>
        <x:v>5</x:v>
      </x:c>
      <x:c r="H9" s="89" t="n">
        <x:f>SUMIF('问答明细'!$A$5:$A$16,A9,'问答明细'!$O$5:$O$16)</x:f>
        <x:v>6</x:v>
      </x:c>
      <x:c r="I9" s="89" t="n">
        <x:f>COUNTIFS('问答明细'!$A$5:$A$16,A9,'问答明细'!$S$5:$S$16,"是")</x:f>
        <x:v>1</x:v>
      </x:c>
      <x:c r="J9" s="91" t="str">
        <x:v>stock.corporate_action；增发募资额不等于融资余额</x:v>
      </x:c>
      <x:c r="K9" s="91" t="str"/>
    </x:row>
    <x:row r="10" ht="38" customHeight="1">
      <x:c r="A10" s="87" t="str">
        <x:v>valuation_compare</x:v>
      </x:c>
      <x:c r="B10" s="88" t="str">
        <x:v>通过</x:v>
      </x:c>
      <x:c r="C10" s="89" t="n">
        <x:f>COUNTIF('问答明细'!$A$5:$A$16,A10)</x:f>
        <x:v>1</x:v>
      </x:c>
      <x:c r="D10" s="90" t="n">
        <x:f>SUMIF('问答明细'!$A$5:$A$16,A10,'问答明细'!$H$5:$H$16)</x:f>
        <x:v>26.933</x:v>
      </x:c>
      <x:c r="E10" s="90" t="n">
        <x:f>AVERAGEIF('问答明细'!$A$5:$A$16,A10,'问答明细'!$H$5:$H$16)</x:f>
        <x:v>26.933</x:v>
      </x:c>
      <x:c r="F10" s="89" t="n">
        <x:f>SUMIF('问答明细'!$A$5:$A$16,A10,'问答明细'!$M$5:$M$16)</x:f>
        <x:v>8</x:v>
      </x:c>
      <x:c r="G10" s="89" t="n">
        <x:f>SUMIF('问答明细'!$A$5:$A$16,A10,'问答明细'!$N$5:$N$16)</x:f>
        <x:v>4</x:v>
      </x:c>
      <x:c r="H10" s="89" t="n">
        <x:f>SUMIF('问答明细'!$A$5:$A$16,A10,'问答明细'!$O$5:$O$16)</x:f>
        <x:v>4</x:v>
      </x:c>
      <x:c r="I10" s="89" t="n">
        <x:f>COUNTIFS('问答明细'!$A$5:$A$16,A10,'问答明细'!$S$5:$S$16,"是")</x:f>
        <x:v>1</x:v>
      </x:c>
      <x:c r="J10" s="91" t="str">
        <x:v>stock.pricevalue；比较</x:v>
      </x:c>
      <x:c r="K10" s="91" t="str"/>
    </x:row>
    <x:row r="11" ht="38" customHeight="1">
      <x:c r="A11" s="87" t="str">
        <x:v>entity_followup</x:v>
      </x:c>
      <x:c r="B11" s="88" t="str">
        <x:v>通过</x:v>
      </x:c>
      <x:c r="C11" s="89" t="n">
        <x:f>COUNTIF('问答明细'!$A$5:$A$16,A11)</x:f>
        <x:v>2</x:v>
      </x:c>
      <x:c r="D11" s="90" t="n">
        <x:f>SUMIF('问答明细'!$A$5:$A$16,A11,'问答明细'!$H$5:$H$16)</x:f>
        <x:v>20.931</x:v>
      </x:c>
      <x:c r="E11" s="90" t="n">
        <x:f>AVERAGEIF('问答明细'!$A$5:$A$16,A11,'问答明细'!$H$5:$H$16)</x:f>
        <x:v>10.4655</x:v>
      </x:c>
      <x:c r="F11" s="89" t="n">
        <x:f>SUMIF('问答明细'!$A$5:$A$16,A11,'问答明细'!$M$5:$M$16)</x:f>
        <x:v>4</x:v>
      </x:c>
      <x:c r="G11" s="89" t="n">
        <x:f>SUMIF('问答明细'!$A$5:$A$16,A11,'问答明细'!$N$5:$N$16)</x:f>
        <x:v>2</x:v>
      </x:c>
      <x:c r="H11" s="89" t="n">
        <x:f>SUMIF('问答明细'!$A$5:$A$16,A11,'问答明细'!$O$5:$O$16)</x:f>
        <x:v>3</x:v>
      </x:c>
      <x:c r="I11" s="89" t="n">
        <x:f>COUNTIFS('问答明细'!$A$5:$A$16,A11,'问答明细'!$S$5:$S$16,"是")</x:f>
        <x:v>2</x:v>
      </x:c>
      <x:c r="J11" s="91" t="str">
        <x:v>会话实体承接；stock.quote</x:v>
      </x:c>
      <x:c r="K11" s="91" t="str"/>
    </x:row>
    <x:row r="12" ht="38" customHeight="1">
      <x:c r="A12" s="87" t="str">
        <x:v>ordinal_followup</x:v>
      </x:c>
      <x:c r="B12" s="88" t="str">
        <x:v>通过</x:v>
      </x:c>
      <x:c r="C12" s="89" t="n">
        <x:f>COUNTIF('问答明细'!$A$5:$A$16,A12)</x:f>
        <x:v>2</x:v>
      </x:c>
      <x:c r="D12" s="90" t="n">
        <x:f>SUMIF('问答明细'!$A$5:$A$16,A12,'问答明细'!$H$5:$H$16)</x:f>
        <x:v>27.325000000000003</x:v>
      </x:c>
      <x:c r="E12" s="90" t="n">
        <x:f>AVERAGEIF('问答明细'!$A$5:$A$16,A12,'问答明细'!$H$5:$H$16)</x:f>
        <x:v>13.662500000000001</x:v>
      </x:c>
      <x:c r="F12" s="89" t="n">
        <x:f>SUMIF('问答明细'!$A$5:$A$16,A12,'问答明细'!$M$5:$M$16)</x:f>
        <x:v>7</x:v>
      </x:c>
      <x:c r="G12" s="89" t="n">
        <x:f>SUMIF('问答明细'!$A$5:$A$16,A12,'问答明细'!$N$5:$N$16)</x:f>
        <x:v>4</x:v>
      </x:c>
      <x:c r="H12" s="89" t="n">
        <x:f>SUMIF('问答明细'!$A$5:$A$16,A12,'问答明细'!$O$5:$O$16)</x:f>
        <x:v>5</x:v>
      </x:c>
      <x:c r="I12" s="89" t="n">
        <x:f>COUNTIFS('问答明细'!$A$5:$A$16,A12,'问答明细'!$S$5:$S$16,"是")</x:f>
        <x:v>2</x:v>
      </x:c>
      <x:c r="J12" s="91" t="str">
        <x:v>序数指代；stock.margin</x:v>
      </x:c>
      <x:c r="K12" s="91" t="str"/>
    </x:row>
    <x:row r="13" ht="38" customHeight="1">
      <x:c r="A13" s="87" t="str">
        <x:v>cross_result_dependency</x:v>
      </x:c>
      <x:c r="B13" s="88" t="str">
        <x:v>失败</x:v>
      </x:c>
      <x:c r="C13" s="89" t="n">
        <x:f>COUNTIF('问答明细'!$A$5:$A$16,A13)</x:f>
        <x:v>1</x:v>
      </x:c>
      <x:c r="D13" s="90" t="n">
        <x:f>SUMIF('问答明细'!$A$5:$A$16,A13,'问答明细'!$H$5:$H$16)</x:f>
        <x:v>82.283</x:v>
      </x:c>
      <x:c r="E13" s="90" t="n">
        <x:f>AVERAGEIF('问答明细'!$A$5:$A$16,A13,'问答明细'!$H$5:$H$16)</x:f>
        <x:v>82.283</x:v>
      </x:c>
      <x:c r="F13" s="89" t="n">
        <x:f>SUMIF('问答明细'!$A$5:$A$16,A13,'问答明细'!$M$5:$M$16)</x:f>
        <x:v>24</x:v>
      </x:c>
      <x:c r="G13" s="89" t="n">
        <x:f>SUMIF('问答明细'!$A$5:$A$16,A13,'问答明细'!$N$5:$N$16)</x:f>
        <x:v>13</x:v>
      </x:c>
      <x:c r="H13" s="89" t="n">
        <x:f>SUMIF('问答明细'!$A$5:$A$16,A13,'问答明细'!$O$5:$O$16)</x:f>
        <x:v>12</x:v>
      </x:c>
      <x:c r="I13" s="89" t="n">
        <x:f>COUNTIFS('问答明细'!$A$5:$A$16,A13,'问答明细'!$S$5:$S$16,"是")</x:f>
        <x:v>0</x:v>
      </x:c>
      <x:c r="J13" s="91" t="str">
        <x:v>plate.quote；plate.constitution；rN.column</x:v>
      </x:c>
      <x:c r="K13" s="91" t="str">
        <x:v>Finance CC completed without a final response</x:v>
      </x:c>
    </x:row>
    <x:row r="14" ht="38" customHeight="1">
      <x:c r="A14" s="92" t="str">
        <x:v>empty_result</x:v>
      </x:c>
      <x:c r="B14" s="93" t="str">
        <x:v>通过</x:v>
      </x:c>
      <x:c r="C14" s="94" t="n">
        <x:f>COUNTIF('问答明细'!$A$5:$A$16,A14)</x:f>
        <x:v>1</x:v>
      </x:c>
      <x:c r="D14" s="95" t="n">
        <x:f>SUMIF('问答明细'!$A$5:$A$16,A14,'问答明细'!$H$5:$H$16)</x:f>
        <x:v>13.838</x:v>
      </x:c>
      <x:c r="E14" s="95" t="n">
        <x:f>AVERAGEIF('问答明细'!$A$5:$A$16,A14,'问答明细'!$H$5:$H$16)</x:f>
        <x:v>13.838</x:v>
      </x:c>
      <x:c r="F14" s="94" t="n">
        <x:f>SUMIF('问答明细'!$A$5:$A$16,A14,'问答明细'!$M$5:$M$16)</x:f>
        <x:v>2</x:v>
      </x:c>
      <x:c r="G14" s="94" t="n">
        <x:f>SUMIF('问答明细'!$A$5:$A$16,A14,'问答明细'!$N$5:$N$16)</x:f>
        <x:v>1</x:v>
      </x:c>
      <x:c r="H14" s="94" t="n">
        <x:f>SUMIF('问答明细'!$A$5:$A$16,A14,'问答明细'!$O$5:$O$16)</x:f>
        <x:v>1</x:v>
      </x:c>
      <x:c r="I14" s="94" t="n">
        <x:f>COUNTIFS('问答明细'!$A$5:$A$16,A14,'问答明细'!$S$5:$S$16,"是")</x:f>
        <x:v>1</x:v>
      </x:c>
      <x:c r="J14" s="96" t="str">
        <x:v>零行结果；不编造</x:v>
      </x:c>
      <x:c r="K14" s="96" t="str"/>
    </x:row>
  </x:sheetData>
  <x:mergeCells>
    <x:mergeCell ref="A1:K1"/>
    <x:mergeCell ref="A2:K2"/>
  </x:mergeCells>
  <x:conditionalFormatting sqref="B5:B14">
    <x:cfRule type="containsText" dxfId="0" priority="1" operator="containsText" text="通过"/>
    <x:cfRule type="containsText" dxfId="1" priority="2" operator="containsText" text="成功"/>
    <x:cfRule type="containsText" dxfId="2" priority="3" operator="containsText" text="失败"/>
  </x:conditionalFormatting>
  <x:pageMargins left="0.7" right="0.7" top="0.75" bottom="0.75" header="0.3" footer="0.3"/>
  <x:tableParts count="1">
    <x:tablePart xmlns:r="http://schemas.openxmlformats.org/officeDocument/2006/relationships" r:id="R52fa5f8ff7174b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1" hidden="0" customWidth="1"/>
    <x:col min="3" max="3" width="11" hidden="0" customWidth="1"/>
    <x:col min="4" max="4" width="50" hidden="0" customWidth="1"/>
    <x:col min="5" max="5" width="28" hidden="0" customWidth="1"/>
    <x:col min="6" max="6" width="21" hidden="0" customWidth="1"/>
    <x:col min="7" max="7" width="21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50" hidden="0" customWidth="1"/>
    <x:col min="22" max="22" width="42" hidden="0" customWidth="1"/>
  </x:cols>
  <x:sheetData>
    <x:row r="1" ht="32" customHeight="1">
      <x:c r="A1" s="46" t="str">
        <x:v>逐问耗时与中间信息明细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 s="46"/>
      <x:c r="S1" s="46"/>
      <x:c r="T1" s="46"/>
      <x:c r="U1" s="46"/>
      <x:c r="V1" s="46"/>
    </x:row>
    <x:row r="2" ht="34" customHeight="1">
      <x:c r="A2" s="47" t="str">
        <x:v>H 列为端到端评测耗时；中间信息分为流事件、文本增量、工具证据和实质业务摘要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  <x:c r="P2" s="47"/>
      <x:c r="Q2" s="47"/>
      <x:c r="R2" s="47"/>
      <x:c r="S2" s="47"/>
      <x:c r="T2" s="47"/>
      <x:c r="U2" s="47"/>
      <x:c r="V2" s="47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</x:row>
    <x:row r="4">
      <x:c r="A4" s="50" t="str">
        <x:v>Case ID</x:v>
      </x:c>
      <x:c r="B4" s="50" t="str">
        <x:v>Case结论</x:v>
      </x:c>
      <x:c r="C4" s="50" t="str">
        <x:v>轮次</x:v>
      </x:c>
      <x:c r="D4" s="50" t="str">
        <x:v>用户问题</x:v>
      </x:c>
      <x:c r="E4" s="50" t="str">
        <x:v>关注点</x:v>
      </x:c>
      <x:c r="F4" s="50" t="str">
        <x:v>开始时间(北京)</x:v>
      </x:c>
      <x:c r="G4" s="50" t="str">
        <x:v>结束时间(北京)</x:v>
      </x:c>
      <x:c r="H4" s="50" t="str">
        <x:v>评测耗时(秒)</x:v>
      </x:c>
      <x:c r="I4" s="50" t="str">
        <x:v>CC耗时(秒)</x:v>
      </x:c>
      <x:c r="J4" s="50" t="str">
        <x:v>外围开销(秒)</x:v>
      </x:c>
      <x:c r="K4" s="50" t="str">
        <x:v>流事件数</x:v>
      </x:c>
      <x:c r="L4" s="50" t="str">
        <x:v>文本增量数</x:v>
      </x:c>
      <x:c r="M4" s="50" t="str">
        <x:v>工具调用数</x:v>
      </x:c>
      <x:c r="N4" s="50" t="str">
        <x:v>finance_query数</x:v>
      </x:c>
      <x:c r="O4" s="50" t="str">
        <x:v>结果引用数</x:v>
      </x:c>
      <x:c r="P4" s="50" t="str">
        <x:v>复用会话</x:v>
      </x:c>
      <x:c r="Q4" s="50" t="str">
        <x:v>轮次状态</x:v>
      </x:c>
      <x:c r="R4" s="50" t="str">
        <x:v>有中间事件</x:v>
      </x:c>
      <x:c r="S4" s="50" t="str">
        <x:v>有文本增量</x:v>
      </x:c>
      <x:c r="T4" s="50" t="str">
        <x:v>有实质业务中间摘要</x:v>
      </x:c>
      <x:c r="U4" s="50" t="str">
        <x:v>中间信息结论</x:v>
      </x:c>
      <x:c r="V4" s="50" t="str">
        <x:v>错误</x:v>
      </x:c>
    </x:row>
    <x:row r="5" ht="56" customHeight="1">
      <x:c r="A5" s="82" t="str">
        <x:v>realtime_quote</x:v>
      </x:c>
      <x:c r="B5" s="82" t="str">
        <x:v>通过</x:v>
      </x:c>
      <x:c r="C5" s="82" t="n">
        <x:v>1</x:v>
      </x:c>
      <x:c r="D5" s="86" t="str">
        <x:v>宁德时代现在的价格、开盘价、最高价、最低价和成交额分别是多少？</x:v>
      </x:c>
      <x:c r="E5" s="86" t="str">
        <x:v>stock.quote；实时行情；时间与单位</x:v>
      </x:c>
      <x:c r="F5" s="106" t="n">
        <x:v>46231.41827372685</x:v>
      </x:c>
      <x:c r="G5" s="106" t="n">
        <x:v>46231.4185840625</x:v>
      </x:c>
      <x:c r="H5" s="107" t="n">
        <x:v>27.088</x:v>
      </x:c>
      <x:c r="I5" s="107" t="n">
        <x:v>26.813</x:v>
      </x:c>
      <x:c r="J5" s="107" t="n">
        <x:f>H5-I5</x:f>
        <x:v>0.27500000000000213</x:v>
      </x:c>
      <x:c r="K5" s="108" t="n">
        <x:v>445</x:v>
      </x:c>
      <x:c r="L5" s="108" t="n">
        <x:v>111</x:v>
      </x:c>
      <x:c r="M5" s="108" t="n">
        <x:v>5</x:v>
      </x:c>
      <x:c r="N5" s="108" t="n">
        <x:v>3</x:v>
      </x:c>
      <x:c r="O5" s="108" t="n">
        <x:v>3</x:v>
      </x:c>
      <x:c r="P5" s="82" t="str">
        <x:v>否</x:v>
      </x:c>
      <x:c r="Q5" s="82" t="str">
        <x:v>成功</x:v>
      </x:c>
      <x:c r="R5" s="82" t="str">
        <x:v>是</x:v>
      </x:c>
      <x:c r="S5" s="82" t="str">
        <x:v>是</x:v>
      </x:c>
      <x:c r="T5" s="82" t="str">
        <x:v>否</x:v>
      </x:c>
      <x:c r="U5" s="86" t="str">
        <x:v>有真实进度/工具阶段事件和文本增量；未输出人类可读的业务中间摘要</x:v>
      </x:c>
      <x:c r="V5" s="86" t="str"/>
    </x:row>
    <x:row r="6" ht="56" customHeight="1">
      <x:c r="A6" s="87" t="str">
        <x:v>maotai_open_close</x:v>
      </x:c>
      <x:c r="B6" s="87" t="str">
        <x:v>通过</x:v>
      </x:c>
      <x:c r="C6" s="87" t="n">
        <x:v>1</x:v>
      </x:c>
      <x:c r="D6" s="91" t="str">
        <x:v>贵州茅台最近一个交易日的开盘价和收盘价是多少？</x:v>
      </x:c>
      <x:c r="E6" s="91" t="str">
        <x:v>stock.quote；最近交易日</x:v>
      </x:c>
      <x:c r="F6" s="109" t="n">
        <x:v>46231.41858505787</x:v>
      </x:c>
      <x:c r="G6" s="109" t="n">
        <x:v>46231.41882673611</x:v>
      </x:c>
      <x:c r="H6" s="110" t="n">
        <x:v>20.965</x:v>
      </x:c>
      <x:c r="I6" s="110" t="n">
        <x:v>20.881</x:v>
      </x:c>
      <x:c r="J6" s="110" t="n">
        <x:f>H6-I6</x:f>
        <x:v>0.08399999999999963</x:v>
      </x:c>
      <x:c r="K6" s="111" t="n">
        <x:v>405</x:v>
      </x:c>
      <x:c r="L6" s="111" t="n">
        <x:v>53</x:v>
      </x:c>
      <x:c r="M6" s="111" t="n">
        <x:v>3</x:v>
      </x:c>
      <x:c r="N6" s="111" t="n">
        <x:v>1</x:v>
      </x:c>
      <x:c r="O6" s="111" t="n">
        <x:v>2</x:v>
      </x:c>
      <x:c r="P6" s="87" t="str">
        <x:v>否</x:v>
      </x:c>
      <x:c r="Q6" s="87" t="str">
        <x:v>成功</x:v>
      </x:c>
      <x:c r="R6" s="87" t="str">
        <x:v>是</x:v>
      </x:c>
      <x:c r="S6" s="87" t="str">
        <x:v>是</x:v>
      </x:c>
      <x:c r="T6" s="87" t="str">
        <x:v>否</x:v>
      </x:c>
      <x:c r="U6" s="91" t="str">
        <x:v>有真实进度/工具阶段事件和文本增量；未输出人类可读的业务中间摘要</x:v>
      </x:c>
      <x:c r="V6" s="91" t="str"/>
    </x:row>
    <x:row r="7" ht="56" customHeight="1">
      <x:c r="A7" s="87" t="str">
        <x:v>quote_window_metrics</x:v>
      </x:c>
      <x:c r="B7" s="87" t="str">
        <x:v>通过</x:v>
      </x:c>
      <x:c r="C7" s="87" t="n">
        <x:v>1</x:v>
      </x:c>
      <x:c r="D7" s="91" t="str">
        <x:v>贵州茅台最新收盘价和涨跌幅是多少？再给我最近5个交易日累计涨幅和最近10个交易日的最高收盘价。</x:v>
      </x:c>
      <x:c r="E7" s="91" t="str">
        <x:v>stock.quote；固定K日方法；多步查询</x:v>
      </x:c>
      <x:c r="F7" s="109" t="n">
        <x:v>46231.41882771991</x:v>
      </x:c>
      <x:c r="G7" s="109" t="n">
        <x:v>46231.419173344904</x:v>
      </x:c>
      <x:c r="H7" s="110" t="n">
        <x:v>29.949</x:v>
      </x:c>
      <x:c r="I7" s="110" t="n">
        <x:v>29.862</x:v>
      </x:c>
      <x:c r="J7" s="110" t="n">
        <x:f>H7-I7</x:f>
        <x:v>0.0870000000000033</x:v>
      </x:c>
      <x:c r="K7" s="111" t="n">
        <x:v>982</x:v>
      </x:c>
      <x:c r="L7" s="111" t="n">
        <x:v>156</x:v>
      </x:c>
      <x:c r="M7" s="111" t="n">
        <x:v>6</x:v>
      </x:c>
      <x:c r="N7" s="111" t="n">
        <x:v>4</x:v>
      </x:c>
      <x:c r="O7" s="111" t="n">
        <x:v>5</x:v>
      </x:c>
      <x:c r="P7" s="87" t="str">
        <x:v>否</x:v>
      </x:c>
      <x:c r="Q7" s="87" t="str">
        <x:v>成功</x:v>
      </x:c>
      <x:c r="R7" s="87" t="str">
        <x:v>是</x:v>
      </x:c>
      <x:c r="S7" s="87" t="str">
        <x:v>是</x:v>
      </x:c>
      <x:c r="T7" s="87" t="str">
        <x:v>否</x:v>
      </x:c>
      <x:c r="U7" s="91" t="str">
        <x:v>有真实进度/工具阶段事件和文本增量；未输出人类可读的业务中间摘要</x:v>
      </x:c>
      <x:c r="V7" s="91" t="str"/>
    </x:row>
    <x:row r="8" ht="56" customHeight="1">
      <x:c r="A8" s="87" t="str">
        <x:v>margin_balance</x:v>
      </x:c>
      <x:c r="B8" s="87" t="str">
        <x:v>通过</x:v>
      </x:c>
      <x:c r="C8" s="87" t="n">
        <x:v>1</x:v>
      </x:c>
      <x:c r="D8" s="91" t="str">
        <x:v>比较宁德时代和比亚迪最新的融资余额、融资净买入额，并注明数据日期和单位。</x:v>
      </x:c>
      <x:c r="E8" s="91" t="str">
        <x:v>stock.margin；比较</x:v>
      </x:c>
      <x:c r="F8" s="109" t="n">
        <x:v>46231.419174490744</x:v>
      </x:c>
      <x:c r="G8" s="109" t="n">
        <x:v>46231.419519525465</x:v>
      </x:c>
      <x:c r="H8" s="110" t="n">
        <x:v>29.907</x:v>
      </x:c>
      <x:c r="I8" s="110" t="n">
        <x:v>29.811</x:v>
      </x:c>
      <x:c r="J8" s="110" t="n">
        <x:f>H8-I8</x:f>
        <x:v>0.09600000000000009</x:v>
      </x:c>
      <x:c r="K8" s="111" t="n">
        <x:v>502</x:v>
      </x:c>
      <x:c r="L8" s="111" t="n">
        <x:v>116</x:v>
      </x:c>
      <x:c r="M8" s="111" t="n">
        <x:v>6</x:v>
      </x:c>
      <x:c r="N8" s="111" t="n">
        <x:v>2</x:v>
      </x:c>
      <x:c r="O8" s="111" t="n">
        <x:v>2</x:v>
      </x:c>
      <x:c r="P8" s="87" t="str">
        <x:v>否</x:v>
      </x:c>
      <x:c r="Q8" s="87" t="str">
        <x:v>成功</x:v>
      </x:c>
      <x:c r="R8" s="87" t="str">
        <x:v>是</x:v>
      </x:c>
      <x:c r="S8" s="87" t="str">
        <x:v>是</x:v>
      </x:c>
      <x:c r="T8" s="87" t="str">
        <x:v>否</x:v>
      </x:c>
      <x:c r="U8" s="91" t="str">
        <x:v>有真实进度/工具阶段事件和文本增量；未输出人类可读的业务中间摘要</x:v>
      </x:c>
      <x:c r="V8" s="91" t="str"/>
    </x:row>
    <x:row r="9" ht="56" customHeight="1">
      <x:c r="A9" s="87" t="str">
        <x:v>raised_funds</x:v>
      </x:c>
      <x:c r="B9" s="87" t="str">
        <x:v>通过</x:v>
      </x:c>
      <x:c r="C9" s="87" t="n">
        <x:v>1</x:v>
      </x:c>
      <x:c r="D9" s="91" t="str">
        <x:v>查询宁德时代最近一次增发中的募集资金总额，并说明公告日期。</x:v>
      </x:c>
      <x:c r="E9" s="91" t="str">
        <x:v>stock.corporate_action；增发募资额不等于融资余额</x:v>
      </x:c>
      <x:c r="F9" s="109" t="n">
        <x:v>46231.41952024306</x:v>
      </x:c>
      <x:c r="G9" s="109" t="n">
        <x:v>46231.42001400463</x:v>
      </x:c>
      <x:c r="H9" s="110" t="n">
        <x:v>42.724</x:v>
      </x:c>
      <x:c r="I9" s="110" t="n">
        <x:v>42.661</x:v>
      </x:c>
      <x:c r="J9" s="110" t="n">
        <x:f>H9-I9</x:f>
        <x:v>0.06299999999999528</x:v>
      </x:c>
      <x:c r="K9" s="111" t="n">
        <x:v>1037</x:v>
      </x:c>
      <x:c r="L9" s="111" t="n">
        <x:v>131</x:v>
      </x:c>
      <x:c r="M9" s="111" t="n">
        <x:v>10</x:v>
      </x:c>
      <x:c r="N9" s="111" t="n">
        <x:v>5</x:v>
      </x:c>
      <x:c r="O9" s="111" t="n">
        <x:v>6</x:v>
      </x:c>
      <x:c r="P9" s="87" t="str">
        <x:v>否</x:v>
      </x:c>
      <x:c r="Q9" s="87" t="str">
        <x:v>成功</x:v>
      </x:c>
      <x:c r="R9" s="87" t="str">
        <x:v>是</x:v>
      </x:c>
      <x:c r="S9" s="87" t="str">
        <x:v>是</x:v>
      </x:c>
      <x:c r="T9" s="87" t="str">
        <x:v>否</x:v>
      </x:c>
      <x:c r="U9" s="91" t="str">
        <x:v>有真实进度/工具阶段事件和文本增量；未输出人类可读的业务中间摘要</x:v>
      </x:c>
      <x:c r="V9" s="91" t="str"/>
    </x:row>
    <x:row r="10" ht="56" customHeight="1">
      <x:c r="A10" s="87" t="str">
        <x:v>valuation_compare</x:v>
      </x:c>
      <x:c r="B10" s="87" t="str">
        <x:v>通过</x:v>
      </x:c>
      <x:c r="C10" s="87" t="n">
        <x:v>1</x:v>
      </x:c>
      <x:c r="D10" s="91" t="str">
        <x:v>比较贵州茅台和五粮液最新的市盈率和市净率。</x:v>
      </x:c>
      <x:c r="E10" s="91" t="str">
        <x:v>stock.pricevalue；比较</x:v>
      </x:c>
      <x:c r="F10" s="109" t="n">
        <x:v>46231.420014710646</x:v>
      </x:c>
      <x:c r="G10" s="109" t="n">
        <x:v>46231.42032585648</x:v>
      </x:c>
      <x:c r="H10" s="110" t="n">
        <x:v>26.933</x:v>
      </x:c>
      <x:c r="I10" s="110" t="n">
        <x:v>26.883</x:v>
      </x:c>
      <x:c r="J10" s="110" t="n">
        <x:f>H10-I10</x:f>
        <x:v>0.05000000000000071</x:v>
      </x:c>
      <x:c r="K10" s="111" t="n">
        <x:v>582</x:v>
      </x:c>
      <x:c r="L10" s="111" t="n">
        <x:v>105</x:v>
      </x:c>
      <x:c r="M10" s="111" t="n">
        <x:v>8</x:v>
      </x:c>
      <x:c r="N10" s="111" t="n">
        <x:v>4</x:v>
      </x:c>
      <x:c r="O10" s="111" t="n">
        <x:v>4</x:v>
      </x:c>
      <x:c r="P10" s="87" t="str">
        <x:v>否</x:v>
      </x:c>
      <x:c r="Q10" s="87" t="str">
        <x:v>成功</x:v>
      </x:c>
      <x:c r="R10" s="87" t="str">
        <x:v>是</x:v>
      </x:c>
      <x:c r="S10" s="87" t="str">
        <x:v>是</x:v>
      </x:c>
      <x:c r="T10" s="87" t="str">
        <x:v>否</x:v>
      </x:c>
      <x:c r="U10" s="91" t="str">
        <x:v>有真实进度/工具阶段事件和文本增量；未输出人类可读的业务中间摘要</x:v>
      </x:c>
      <x:c r="V10" s="91" t="str"/>
    </x:row>
    <x:row r="11" ht="56" customHeight="1">
      <x:c r="A11" s="87" t="str">
        <x:v>entity_followup</x:v>
      </x:c>
      <x:c r="B11" s="87" t="str">
        <x:v>通过</x:v>
      </x:c>
      <x:c r="C11" s="87" t="n">
        <x:v>1</x:v>
      </x:c>
      <x:c r="D11" s="91" t="str">
        <x:v>贵州茅台最近一个交易日的开盘价是多少？</x:v>
      </x:c>
      <x:c r="E11" s="91" t="str">
        <x:v>会话实体承接；stock.quote</x:v>
      </x:c>
      <x:c r="F11" s="109" t="n">
        <x:v>46231.4203262963</x:v>
      </x:c>
      <x:c r="G11" s="109" t="n">
        <x:v>46231.42051077546</x:v>
      </x:c>
      <x:c r="H11" s="110" t="n">
        <x:v>15.976</x:v>
      </x:c>
      <x:c r="I11" s="110" t="n">
        <x:v>15.939</x:v>
      </x:c>
      <x:c r="J11" s="110" t="n">
        <x:f>H11-I11</x:f>
        <x:v>0.03700000000000081</x:v>
      </x:c>
      <x:c r="K11" s="111" t="n">
        <x:v>271</x:v>
      </x:c>
      <x:c r="L11" s="111" t="n">
        <x:v>23</x:v>
      </x:c>
      <x:c r="M11" s="111" t="n">
        <x:v>3</x:v>
      </x:c>
      <x:c r="N11" s="111" t="n">
        <x:v>1</x:v>
      </x:c>
      <x:c r="O11" s="111" t="n">
        <x:v>2</x:v>
      </x:c>
      <x:c r="P11" s="87" t="str">
        <x:v>否</x:v>
      </x:c>
      <x:c r="Q11" s="87" t="str">
        <x:v>成功</x:v>
      </x:c>
      <x:c r="R11" s="87" t="str">
        <x:v>是</x:v>
      </x:c>
      <x:c r="S11" s="87" t="str">
        <x:v>是</x:v>
      </x:c>
      <x:c r="T11" s="87" t="str">
        <x:v>否</x:v>
      </x:c>
      <x:c r="U11" s="91" t="str">
        <x:v>有真实进度/工具阶段事件和文本增量；未输出人类可读的业务中间摘要</x:v>
      </x:c>
      <x:c r="V11" s="91" t="str"/>
    </x:row>
    <x:row r="12" ht="56" customHeight="1">
      <x:c r="A12" s="87" t="str">
        <x:v>entity_followup</x:v>
      </x:c>
      <x:c r="B12" s="87" t="str">
        <x:v>通过</x:v>
      </x:c>
      <x:c r="C12" s="87" t="n">
        <x:v>2</x:v>
      </x:c>
      <x:c r="D12" s="91" t="str">
        <x:v>那五粮液呢？</x:v>
      </x:c>
      <x:c r="E12" s="91" t="str">
        <x:v>会话实体承接；stock.quote</x:v>
      </x:c>
      <x:c r="F12" s="109" t="n">
        <x:v>46231.42051085648</x:v>
      </x:c>
      <x:c r="G12" s="109" t="n">
        <x:v>46231.42056813657</x:v>
      </x:c>
      <x:c r="H12" s="110" t="n">
        <x:v>4.955</x:v>
      </x:c>
      <x:c r="I12" s="110" t="n">
        <x:v>4.949</x:v>
      </x:c>
      <x:c r="J12" s="110" t="n">
        <x:f>H12-I12</x:f>
        <x:v>0.006000000000000227</x:v>
      </x:c>
      <x:c r="K12" s="111" t="n">
        <x:v>150</x:v>
      </x:c>
      <x:c r="L12" s="111" t="n">
        <x:v>31</x:v>
      </x:c>
      <x:c r="M12" s="111" t="n">
        <x:v>1</x:v>
      </x:c>
      <x:c r="N12" s="111" t="n">
        <x:v>1</x:v>
      </x:c>
      <x:c r="O12" s="111" t="n">
        <x:v>1</x:v>
      </x:c>
      <x:c r="P12" s="87" t="str">
        <x:v>是</x:v>
      </x:c>
      <x:c r="Q12" s="87" t="str">
        <x:v>成功</x:v>
      </x:c>
      <x:c r="R12" s="87" t="str">
        <x:v>是</x:v>
      </x:c>
      <x:c r="S12" s="87" t="str">
        <x:v>是</x:v>
      </x:c>
      <x:c r="T12" s="87" t="str">
        <x:v>否</x:v>
      </x:c>
      <x:c r="U12" s="91" t="str">
        <x:v>有真实进度/工具阶段事件和文本增量；未输出人类可读的业务中间摘要</x:v>
      </x:c>
      <x:c r="V12" s="91" t="str"/>
    </x:row>
    <x:row r="13" ht="56" customHeight="1">
      <x:c r="A13" s="87" t="str">
        <x:v>ordinal_followup</x:v>
      </x:c>
      <x:c r="B13" s="87" t="str">
        <x:v>通过</x:v>
      </x:c>
      <x:c r="C13" s="87" t="n">
        <x:v>1</x:v>
      </x:c>
      <x:c r="D13" s="91" t="str">
        <x:v>先比较宁德时代和比亚迪最新的收盘价。</x:v>
      </x:c>
      <x:c r="E13" s="91" t="str">
        <x:v>序数指代；stock.margin</x:v>
      </x:c>
      <x:c r="F13" s="109" t="n">
        <x:v>46231.42056855324</x:v>
      </x:c>
      <x:c r="G13" s="109" t="n">
        <x:v>46231.42076947917</x:v>
      </x:c>
      <x:c r="H13" s="110" t="n">
        <x:v>17.396</x:v>
      </x:c>
      <x:c r="I13" s="110" t="n">
        <x:v>17.36</x:v>
      </x:c>
      <x:c r="J13" s="110" t="n">
        <x:f>H13-I13</x:f>
        <x:v>0.036000000000001364</x:v>
      </x:c>
      <x:c r="K13" s="111" t="n">
        <x:v>347</x:v>
      </x:c>
      <x:c r="L13" s="111" t="n">
        <x:v>72</x:v>
      </x:c>
      <x:c r="M13" s="111" t="n">
        <x:v>5</x:v>
      </x:c>
      <x:c r="N13" s="111" t="n">
        <x:v>2</x:v>
      </x:c>
      <x:c r="O13" s="111" t="n">
        <x:v>4</x:v>
      </x:c>
      <x:c r="P13" s="87" t="str">
        <x:v>否</x:v>
      </x:c>
      <x:c r="Q13" s="87" t="str">
        <x:v>成功</x:v>
      </x:c>
      <x:c r="R13" s="87" t="str">
        <x:v>是</x:v>
      </x:c>
      <x:c r="S13" s="87" t="str">
        <x:v>是</x:v>
      </x:c>
      <x:c r="T13" s="87" t="str">
        <x:v>否</x:v>
      </x:c>
      <x:c r="U13" s="91" t="str">
        <x:v>有真实进度/工具阶段事件和文本增量；未输出人类可读的业务中间摘要</x:v>
      </x:c>
      <x:c r="V13" s="91" t="str"/>
    </x:row>
    <x:row r="14" ht="56" customHeight="1">
      <x:c r="A14" s="87" t="str">
        <x:v>ordinal_followup</x:v>
      </x:c>
      <x:c r="B14" s="87" t="str">
        <x:v>通过</x:v>
      </x:c>
      <x:c r="C14" s="87" t="n">
        <x:v>2</x:v>
      </x:c>
      <x:c r="D14" s="91" t="str">
        <x:v>第二个公司的融资余额呢？</x:v>
      </x:c>
      <x:c r="E14" s="91" t="str">
        <x:v>序数指代；stock.margin</x:v>
      </x:c>
      <x:c r="F14" s="109" t="n">
        <x:v>46231.420769537035</x:v>
      </x:c>
      <x:c r="G14" s="109" t="n">
        <x:v>46231.42088440972</x:v>
      </x:c>
      <x:c r="H14" s="110" t="n">
        <x:v>9.929</x:v>
      </x:c>
      <x:c r="I14" s="110" t="n">
        <x:v>9.925</x:v>
      </x:c>
      <x:c r="J14" s="110" t="n">
        <x:f>H14-I14</x:f>
        <x:v>0.0039999999999995595</x:v>
      </x:c>
      <x:c r="K14" s="111" t="n">
        <x:v>421</x:v>
      </x:c>
      <x:c r="L14" s="111" t="n">
        <x:v>84</x:v>
      </x:c>
      <x:c r="M14" s="111" t="n">
        <x:v>2</x:v>
      </x:c>
      <x:c r="N14" s="111" t="n">
        <x:v>2</x:v>
      </x:c>
      <x:c r="O14" s="111" t="n">
        <x:v>1</x:v>
      </x:c>
      <x:c r="P14" s="87" t="str">
        <x:v>是</x:v>
      </x:c>
      <x:c r="Q14" s="87" t="str">
        <x:v>成功</x:v>
      </x:c>
      <x:c r="R14" s="87" t="str">
        <x:v>是</x:v>
      </x:c>
      <x:c r="S14" s="87" t="str">
        <x:v>是</x:v>
      </x:c>
      <x:c r="T14" s="87" t="str">
        <x:v>否</x:v>
      </x:c>
      <x:c r="U14" s="91" t="str">
        <x:v>有真实进度/工具阶段事件和文本增量；未输出人类可读的业务中间摘要</x:v>
      </x:c>
      <x:c r="V14" s="91" t="str"/>
    </x:row>
    <x:row r="15" ht="56" customHeight="1">
      <x:c r="A15" s="87" t="str">
        <x:v>cross_result_dependency</x:v>
      </x:c>
      <x:c r="B15" s="87" t="str">
        <x:v>失败</x:v>
      </x:c>
      <x:c r="C15" s="87" t="n">
        <x:v>1</x:v>
      </x:c>
      <x:c r="D15" s="91" t="str">
        <x:v>找出最近5个交易日涨幅最高的3个板块，并给出每个板块成分股今天的总成交额。</x:v>
      </x:c>
      <x:c r="E15" s="91" t="str">
        <x:v>plate.quote；plate.constitution；rN.column</x:v>
      </x:c>
      <x:c r="F15" s="109" t="n">
        <x:v>46231.42088479167</x:v>
      </x:c>
      <x:c r="G15" s="109" t="n">
        <x:v>46231.42183640046</x:v>
      </x:c>
      <x:c r="H15" s="110" t="n">
        <x:v>82.283</x:v>
      </x:c>
      <x:c r="I15" s="110" t="n">
        <x:v>82.219</x:v>
      </x:c>
      <x:c r="J15" s="110" t="n">
        <x:f>H15-I15</x:f>
        <x:v>0.06400000000000716</x:v>
      </x:c>
      <x:c r="K15" s="111" t="n">
        <x:v>2852</x:v>
      </x:c>
      <x:c r="L15" s="111" t="n">
        <x:v>0</x:v>
      </x:c>
      <x:c r="M15" s="111" t="n">
        <x:v>24</x:v>
      </x:c>
      <x:c r="N15" s="111" t="n">
        <x:v>13</x:v>
      </x:c>
      <x:c r="O15" s="111" t="n">
        <x:v>12</x:v>
      </x:c>
      <x:c r="P15" s="87" t="str">
        <x:v>否</x:v>
      </x:c>
      <x:c r="Q15" s="87" t="str">
        <x:v>失败</x:v>
      </x:c>
      <x:c r="R15" s="87" t="str">
        <x:v>是</x:v>
      </x:c>
      <x:c r="S15" s="87" t="str">
        <x:v>否</x:v>
      </x:c>
      <x:c r="T15" s="87" t="str">
        <x:v>否</x:v>
      </x:c>
      <x:c r="U15" s="91" t="str">
        <x:v>有大量工具阶段事件，但无文本增量，且未形成最终回答</x:v>
      </x:c>
      <x:c r="V15" s="91" t="str">
        <x:v>Finance CC completed without a final response</x:v>
      </x:c>
    </x:row>
    <x:row r="16" ht="56" customHeight="1">
      <x:c r="A16" s="92" t="str">
        <x:v>empty_result</x:v>
      </x:c>
      <x:c r="B16" s="92" t="str">
        <x:v>通过</x:v>
      </x:c>
      <x:c r="C16" s="92" t="n">
        <x:v>1</x:v>
      </x:c>
      <x:c r="D16" s="96" t="str">
        <x:v>查询一个不存在的证券“测试股份999999”的最近交易日收盘价。</x:v>
      </x:c>
      <x:c r="E16" s="96" t="str">
        <x:v>零行结果；不编造</x:v>
      </x:c>
      <x:c r="F16" s="112" t="n">
        <x:v>46231.42183748843</x:v>
      </x:c>
      <x:c r="G16" s="112" t="n">
        <x:v>46231.421996655095</x:v>
      </x:c>
      <x:c r="H16" s="113" t="n">
        <x:v>13.838</x:v>
      </x:c>
      <x:c r="I16" s="113" t="n">
        <x:v>13.752</x:v>
      </x:c>
      <x:c r="J16" s="113" t="n">
        <x:f>H16-I16</x:f>
        <x:v>0.08599999999999852</x:v>
      </x:c>
      <x:c r="K16" s="114" t="n">
        <x:v>242</x:v>
      </x:c>
      <x:c r="L16" s="114" t="n">
        <x:v>80</x:v>
      </x:c>
      <x:c r="M16" s="114" t="n">
        <x:v>2</x:v>
      </x:c>
      <x:c r="N16" s="114" t="n">
        <x:v>1</x:v>
      </x:c>
      <x:c r="O16" s="114" t="n">
        <x:v>1</x:v>
      </x:c>
      <x:c r="P16" s="92" t="str">
        <x:v>否</x:v>
      </x:c>
      <x:c r="Q16" s="92" t="str">
        <x:v>成功</x:v>
      </x:c>
      <x:c r="R16" s="92" t="str">
        <x:v>是</x:v>
      </x:c>
      <x:c r="S16" s="92" t="str">
        <x:v>是</x:v>
      </x:c>
      <x:c r="T16" s="92" t="str">
        <x:v>否</x:v>
      </x:c>
      <x:c r="U16" s="96" t="str">
        <x:v>有真实进度/工具阶段事件和文本增量；未输出人类可读的业务中间摘要</x:v>
      </x:c>
      <x:c r="V16" s="96" t="str"/>
    </x:row>
  </x:sheetData>
  <x:mergeCells>
    <x:mergeCell ref="A1:V1"/>
    <x:mergeCell ref="A2:V2"/>
  </x:mergeCells>
  <x:conditionalFormatting sqref="B5:B16">
    <x:cfRule type="containsText" dxfId="3" priority="1" operator="containsText" text="通过"/>
    <x:cfRule type="containsText" dxfId="4" priority="2" operator="containsText" text="成功"/>
    <x:cfRule type="containsText" dxfId="5" priority="3" operator="containsText" text="失败"/>
  </x:conditionalFormatting>
  <x:conditionalFormatting sqref="Q5:Q16">
    <x:cfRule type="containsText" dxfId="6" priority="4" operator="containsText" text="通过"/>
    <x:cfRule type="containsText" dxfId="7" priority="5" operator="containsText" text="成功"/>
    <x:cfRule type="containsText" dxfId="8" priority="6" operator="containsText" text="失败"/>
  </x:conditionalFormatting>
  <x:conditionalFormatting sqref="S5:S16">
    <x:cfRule type="containsText" dxfId="9" priority="7" operator="containsText" text="否"/>
  </x:conditionalFormatting>
  <x:conditionalFormatting sqref="T5:T16">
    <x:cfRule type="containsText" dxfId="10" priority="8" operator="containsText" text="否"/>
  </x:conditionalFormatting>
  <x:pageMargins left="0.7" right="0.7" top="0.75" bottom="0.75" header="0.3" footer="0.3"/>
  <x:tableParts count="1">
    <x:tablePart xmlns:r="http://schemas.openxmlformats.org/officeDocument/2006/relationships" r:id="Rafd9d441b1bd4f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" hidden="0" customWidth="1"/>
    <x:col min="3" max="3" width="9" hidden="0" customWidth="1"/>
    <x:col min="4" max="4" width="25" hidden="0" customWidth="1"/>
    <x:col min="5" max="5" width="72" hidden="0" customWidth="1"/>
    <x:col min="6" max="6" width="13" hidden="0" customWidth="1"/>
    <x:col min="7" max="7" width="13" hidden="0" customWidth="1"/>
    <x:col min="8" max="8" width="34" hidden="0" customWidth="1"/>
    <x:col min="9" max="9" width="60" hidden="0" customWidth="1"/>
    <x:col min="10" max="10" width="23" hidden="0" customWidth="1"/>
  </x:cols>
  <x:sheetData>
    <x:row r="1" ht="32" customHeight="1">
      <x:c r="A1" s="46" t="str">
        <x:v>逐次工具调用明细</x:v>
      </x:c>
      <x:c r="B1" s="46"/>
      <x:c r="C1" s="46"/>
      <x:c r="D1" s="46"/>
      <x:c r="E1" s="46"/>
      <x:c r="F1" s="46"/>
      <x:c r="G1" s="46"/>
      <x:c r="H1" s="46"/>
      <x:c r="I1" s="46"/>
      <x:c r="J1" s="46"/>
    </x:row>
    <x:row r="2" ht="34" customHeight="1">
      <x:c r="A2" s="47" t="str">
        <x:v>用于核查每轮是否真的进行了目录读取、金融查询、结果加载及协议纠正</x:v>
      </x:c>
      <x:c r="B2" s="47"/>
      <x:c r="C2" s="47"/>
      <x:c r="D2" s="47"/>
      <x:c r="E2" s="47"/>
      <x:c r="F2" s="47"/>
      <x:c r="G2" s="47"/>
      <x:c r="H2" s="47"/>
      <x:c r="I2" s="47"/>
      <x:c r="J2" s="47"/>
    </x:row>
    <x:row r="3">
      <x:c r="A3" s="48"/>
      <x:c r="B3" s="48"/>
      <x:c r="C3" s="48"/>
      <x:c r="D3" s="48"/>
      <x:c r="E3" s="48"/>
      <x:c r="F3" s="48"/>
      <x:c r="G3" s="48"/>
      <x:c r="H3" s="48"/>
      <x:c r="I3" s="48"/>
      <x:c r="J3" s="48"/>
    </x:row>
    <x:row r="4">
      <x:c r="A4" s="50" t="str">
        <x:v>Case ID</x:v>
      </x:c>
      <x:c r="B4" s="50" t="str">
        <x:v>轮次</x:v>
      </x:c>
      <x:c r="C4" s="50" t="str">
        <x:v>序号</x:v>
      </x:c>
      <x:c r="D4" s="50" t="str">
        <x:v>工具</x:v>
      </x:c>
      <x:c r="E4" s="50" t="str">
        <x:v>请求/参数</x:v>
      </x:c>
      <x:c r="F4" s="50" t="str">
        <x:v>结果名</x:v>
      </x:c>
      <x:c r="G4" s="50" t="str">
        <x:v>返回行数</x:v>
      </x:c>
      <x:c r="H4" s="50" t="str">
        <x:v>结果引用</x:v>
      </x:c>
      <x:c r="I4" s="50" t="str">
        <x:v>校验错误</x:v>
      </x:c>
      <x:c r="J4" s="50" t="str">
        <x:v>调用结论</x:v>
      </x:c>
    </x:row>
    <x:row r="5" ht="46" customHeight="1">
      <x:c r="A5" s="82" t="str">
        <x:v>realtime_quote</x:v>
      </x:c>
      <x:c r="B5" s="82" t="n">
        <x:v>1</x:v>
      </x:c>
      <x:c r="C5" s="82" t="n">
        <x:v>1</x:v>
      </x:c>
      <x:c r="D5" s="82" t="str">
        <x:v>stock_realtime_quote</x:v>
      </x:c>
      <x:c r="E5" s="86" t="str">
        <x:v>{"stock":"宁德时代"}</x:v>
      </x:c>
      <x:c r="F5" s="82" t="str"/>
      <x:c r="G5" s="82" t="n">
        <x:v>1</x:v>
      </x:c>
      <x:c r="H5" s="86" t="str">
        <x:v>session://financial_qa_0981c7b865a318d4_eval-realtime_quote_23c18d0b0b08/vars/v1</x:v>
      </x:c>
      <x:c r="I5" s="86" t="str"/>
      <x:c r="J5" s="86" t="str">
        <x:v>正常</x:v>
      </x:c>
    </x:row>
    <x:row r="6" ht="46" customHeight="1">
      <x:c r="A6" s="87" t="str">
        <x:v>realtime_quote</x:v>
      </x:c>
      <x:c r="B6" s="87" t="n">
        <x:v>1</x:v>
      </x:c>
      <x:c r="C6" s="87" t="n">
        <x:v>2</x:v>
      </x:c>
      <x:c r="D6" s="87" t="str">
        <x:v>read_finance_catalog</x:v>
      </x:c>
      <x:c r="E6" s="91" t="str">
        <x:v>subject=stock</x:v>
      </x:c>
      <x:c r="F6" s="87" t="str"/>
      <x:c r="G6" s="87"/>
      <x:c r="H6" s="91" t="str"/>
      <x:c r="I6" s="91" t="str"/>
      <x:c r="J6" s="91" t="str">
        <x:v>正常</x:v>
      </x:c>
    </x:row>
    <x:row r="7" ht="46" customHeight="1">
      <x:c r="A7" s="87" t="str">
        <x:v>realtime_quote</x:v>
      </x:c>
      <x:c r="B7" s="87" t="n">
        <x:v>1</x:v>
      </x:c>
      <x:c r="C7" s="87" t="n">
        <x:v>3</x:v>
      </x:c>
      <x:c r="D7" s="87" t="str">
        <x:v>finance_query</x:v>
      </x:c>
      <x:c r="E7" s="91" t="str">
        <x:v>r1 = stock.basic_info(filter = "name like '%宁德时代%'", limit = 1) -&gt; code, name</x:v>
      </x:c>
      <x:c r="F7" s="87" t="str">
        <x:v>r1</x:v>
      </x:c>
      <x:c r="G7" s="87" t="n">
        <x:v>1</x:v>
      </x:c>
      <x:c r="H7" s="91" t="str"/>
      <x:c r="I7" s="91" t="str"/>
      <x:c r="J7" s="91" t="str">
        <x:v>正常</x:v>
      </x:c>
    </x:row>
    <x:row r="8" ht="105" customHeight="1">
      <x:c r="A8" s="87" t="str">
        <x:v>realtime_quote</x:v>
      </x:c>
      <x:c r="B8" s="87" t="n">
        <x:v>1</x:v>
      </x:c>
      <x:c r="C8" s="87" t="n">
        <x:v>4</x:v>
      </x:c>
      <x:c r="D8" s="87" t="str">
        <x:v>finance_query</x:v>
      </x:c>
      <x:c r="E8" s="91" t="str">
        <x:v>r2 = stock.quote(filter = "code = 300750.SZ", realtime = 2, limit = 1) -&gt; code, name, tradedate, tradetime, open, close, high, low, amount</x:v>
      </x:c>
      <x:c r="F8" s="87" t="str"/>
      <x:c r="G8" s="87"/>
      <x:c r="H8" s="91" t="str"/>
      <x:c r="I8" s="91" t="str">
        <x:v>OUTPUT_ERROR: field=tradetime not in api=stock.quote; available=['adjclose', 'adjhigh', 'adjlow', 'adjopen', 'adjpreclose', 'amount', 'amplitude', 'avg_price', 'close', 'code', 'differ', 'high', 'is_limit_price', 'low', 'minute_amount', 'minute_index', 'minute_time', 'minute_volumn', 'name', 'open', 'pct', 'preclose', 'snapshot_slot', 'snapshot_time', 'tradedate', 'turn_ratio', 'volumn']</x:v>
      </x:c>
      <x:c r="J8" s="91" t="str">
        <x:v>协议校验后重试/纠正</x:v>
      </x:c>
    </x:row>
    <x:row r="9" ht="46" customHeight="1">
      <x:c r="A9" s="87" t="str">
        <x:v>realtime_quote</x:v>
      </x:c>
      <x:c r="B9" s="87" t="n">
        <x:v>1</x:v>
      </x:c>
      <x:c r="C9" s="87" t="n">
        <x:v>5</x:v>
      </x:c>
      <x:c r="D9" s="87" t="str">
        <x:v>finance_query</x:v>
      </x:c>
      <x:c r="E9" s="91" t="str">
        <x:v>r2 = stock.quote(filter = "code = 300750.SZ", realtime = 2, limit = 1) -&gt; code, name, tradedate, minute_time, open, close, high, low, amount</x:v>
      </x:c>
      <x:c r="F9" s="87" t="str">
        <x:v>r2</x:v>
      </x:c>
      <x:c r="G9" s="87" t="n">
        <x:v>1</x:v>
      </x:c>
      <x:c r="H9" s="91" t="str"/>
      <x:c r="I9" s="91" t="str"/>
      <x:c r="J9" s="91" t="str">
        <x:v>正常</x:v>
      </x:c>
    </x:row>
    <x:row r="10" ht="46" customHeight="1">
      <x:c r="A10" s="87" t="str">
        <x:v>maotai_open_close</x:v>
      </x:c>
      <x:c r="B10" s="87" t="n">
        <x:v>1</x:v>
      </x:c>
      <x:c r="C10" s="87" t="n">
        <x:v>1</x:v>
      </x:c>
      <x:c r="D10" s="87" t="str">
        <x:v>stock_realtime_quote</x:v>
      </x:c>
      <x:c r="E10" s="91" t="str">
        <x:v>{"stock":"贵州茅台"}</x:v>
      </x:c>
      <x:c r="F10" s="87" t="str"/>
      <x:c r="G10" s="87" t="n">
        <x:v>1</x:v>
      </x:c>
      <x:c r="H10" s="91" t="str">
        <x:v>session://financial_qa_0981c7b865a318d4_eval-maotai_open_close_114a067b657e/vars/v1</x:v>
      </x:c>
      <x:c r="I10" s="91" t="str"/>
      <x:c r="J10" s="91" t="str">
        <x:v>正常</x:v>
      </x:c>
    </x:row>
    <x:row r="11" ht="46" customHeight="1">
      <x:c r="A11" s="87" t="str">
        <x:v>maotai_open_close</x:v>
      </x:c>
      <x:c r="B11" s="87" t="n">
        <x:v>1</x:v>
      </x:c>
      <x:c r="C11" s="87" t="n">
        <x:v>2</x:v>
      </x:c>
      <x:c r="D11" s="87" t="str">
        <x:v>read_finance_catalog</x:v>
      </x:c>
      <x:c r="E11" s="91" t="str">
        <x:v>subject=stock, dataview=quote</x:v>
      </x:c>
      <x:c r="F11" s="87" t="str"/>
      <x:c r="G11" s="87"/>
      <x:c r="H11" s="91" t="str"/>
      <x:c r="I11" s="91" t="str"/>
      <x:c r="J11" s="91" t="str">
        <x:v>正常</x:v>
      </x:c>
    </x:row>
    <x:row r="12" ht="46" customHeight="1">
      <x:c r="A12" s="87" t="str">
        <x:v>maotai_open_close</x:v>
      </x:c>
      <x:c r="B12" s="87" t="n">
        <x:v>1</x:v>
      </x:c>
      <x:c r="C12" s="87" t="n">
        <x:v>3</x:v>
      </x:c>
      <x:c r="D12" s="87" t="str">
        <x:v>finance_query</x:v>
      </x:c>
      <x:c r="E12" s="91" t="str">
        <x:v>r1 = stock.quote(filter = "code = 600519.SH and tradedate = -1", limit = 1, realtime = 0) -&gt; code, name, tradedate, open, close</x:v>
      </x:c>
      <x:c r="F12" s="87" t="str">
        <x:v>r1</x:v>
      </x:c>
      <x:c r="G12" s="87" t="n">
        <x:v>1</x:v>
      </x:c>
      <x:c r="H12" s="91" t="str"/>
      <x:c r="I12" s="91" t="str"/>
      <x:c r="J12" s="91" t="str">
        <x:v>正常</x:v>
      </x:c>
    </x:row>
    <x:row r="13" ht="46" customHeight="1">
      <x:c r="A13" s="87" t="str">
        <x:v>quote_window_metrics</x:v>
      </x:c>
      <x:c r="B13" s="87" t="n">
        <x:v>1</x:v>
      </x:c>
      <x:c r="C13" s="87" t="n">
        <x:v>1</x:v>
      </x:c>
      <x:c r="D13" s="87" t="str">
        <x:v>stock_realtime_quote</x:v>
      </x:c>
      <x:c r="E13" s="91" t="str">
        <x:v>{"stock":"贵州茅台"}</x:v>
      </x:c>
      <x:c r="F13" s="87" t="str"/>
      <x:c r="G13" s="87" t="n">
        <x:v>1</x:v>
      </x:c>
      <x:c r="H13" s="91" t="str">
        <x:v>session://financial_qa_0981c7b865a318d4_eval-quote_window_metrics_7fe424ba1675/vars/v1</x:v>
      </x:c>
      <x:c r="I13" s="91" t="str"/>
      <x:c r="J13" s="91" t="str">
        <x:v>正常</x:v>
      </x:c>
    </x:row>
    <x:row r="14" ht="46" customHeight="1">
      <x:c r="A14" s="87" t="str">
        <x:v>quote_window_metrics</x:v>
      </x:c>
      <x:c r="B14" s="87" t="n">
        <x:v>1</x:v>
      </x:c>
      <x:c r="C14" s="87" t="n">
        <x:v>2</x:v>
      </x:c>
      <x:c r="D14" s="87" t="str">
        <x:v>read_finance_catalog</x:v>
      </x:c>
      <x:c r="E14" s="91" t="str">
        <x:v>subject=stock, dataview=quote</x:v>
      </x:c>
      <x:c r="F14" s="87" t="str"/>
      <x:c r="G14" s="87"/>
      <x:c r="H14" s="91" t="str"/>
      <x:c r="I14" s="91" t="str"/>
      <x:c r="J14" s="91" t="str">
        <x:v>正常</x:v>
      </x:c>
    </x:row>
    <x:row r="15" ht="46" customHeight="1">
      <x:c r="A15" s="87" t="str">
        <x:v>quote_window_metrics</x:v>
      </x:c>
      <x:c r="B15" s="87" t="n">
        <x:v>1</x:v>
      </x:c>
      <x:c r="C15" s="87" t="n">
        <x:v>3</x:v>
      </x:c>
      <x:c r="D15" s="87" t="str">
        <x:v>finance_query</x:v>
      </x:c>
      <x:c r="E15" s="91" t="str">
        <x:v>r1 = stock.quote(filter = "code = 600519.SH", realtime = 2, limit = 1) -&gt; code, name, tradedate, close, pct, preclose, open, high, low</x:v>
      </x:c>
      <x:c r="F15" s="87" t="str">
        <x:v>r1</x:v>
      </x:c>
      <x:c r="G15" s="87" t="n">
        <x:v>1</x:v>
      </x:c>
      <x:c r="H15" s="91" t="str"/>
      <x:c r="I15" s="91" t="str"/>
      <x:c r="J15" s="91" t="str">
        <x:v>正常</x:v>
      </x:c>
    </x:row>
    <x:row r="16" ht="46" customHeight="1">
      <x:c r="A16" s="87" t="str">
        <x:v>quote_window_metrics</x:v>
      </x:c>
      <x:c r="B16" s="87" t="n">
        <x:v>1</x:v>
      </x:c>
      <x:c r="C16" s="87" t="n">
        <x:v>4</x:v>
      </x:c>
      <x:c r="D16" s="87" t="str">
        <x:v>finance_query</x:v>
      </x:c>
      <x:c r="E16" s="91" t="str">
        <x:v>r2 = stock.quote.kd_pct_sum(k = 5, filter = "code = 600519.SH", realtime = 0) -&gt; code, name, value as pct_5d</x:v>
      </x:c>
      <x:c r="F16" s="87" t="str">
        <x:v>r2</x:v>
      </x:c>
      <x:c r="G16" s="87" t="n">
        <x:v>1</x:v>
      </x:c>
      <x:c r="H16" s="91" t="str"/>
      <x:c r="I16" s="91" t="str"/>
      <x:c r="J16" s="91" t="str">
        <x:v>正常</x:v>
      </x:c>
    </x:row>
    <x:row r="17" ht="46" customHeight="1">
      <x:c r="A17" s="87" t="str">
        <x:v>quote_window_metrics</x:v>
      </x:c>
      <x:c r="B17" s="87" t="n">
        <x:v>1</x:v>
      </x:c>
      <x:c r="C17" s="87" t="n">
        <x:v>5</x:v>
      </x:c>
      <x:c r="D17" s="87" t="str">
        <x:v>finance_query</x:v>
      </x:c>
      <x:c r="E17" s="91" t="str">
        <x:v>r3 = stock.quote.kd_close_max(k = 10, filter = "code = 600519.SH", realtime = 0) -&gt; code, name, value as high_close_10d</x:v>
      </x:c>
      <x:c r="F17" s="87" t="str">
        <x:v>r3</x:v>
      </x:c>
      <x:c r="G17" s="87" t="n">
        <x:v>1</x:v>
      </x:c>
      <x:c r="H17" s="91" t="str"/>
      <x:c r="I17" s="91" t="str"/>
      <x:c r="J17" s="91" t="str">
        <x:v>正常</x:v>
      </x:c>
    </x:row>
    <x:row r="18" ht="46" customHeight="1">
      <x:c r="A18" s="87" t="str">
        <x:v>quote_window_metrics</x:v>
      </x:c>
      <x:c r="B18" s="87" t="n">
        <x:v>1</x:v>
      </x:c>
      <x:c r="C18" s="87" t="n">
        <x:v>6</x:v>
      </x:c>
      <x:c r="D18" s="87" t="str">
        <x:v>finance_query</x:v>
      </x:c>
      <x:c r="E18" s="91" t="str">
        <x:v>r4 = stock.quote(filter = "code = 600519.SH", order = "tradedate desc", limit = 10, realtime = 0) -&gt; code, name, tradedate, close, pct</x:v>
      </x:c>
      <x:c r="F18" s="87" t="str">
        <x:v>r4</x:v>
      </x:c>
      <x:c r="G18" s="87" t="n">
        <x:v>1</x:v>
      </x:c>
      <x:c r="H18" s="91" t="str"/>
      <x:c r="I18" s="91" t="str"/>
      <x:c r="J18" s="91" t="str">
        <x:v>正常</x:v>
      </x:c>
    </x:row>
    <x:row r="19" ht="46" customHeight="1">
      <x:c r="A19" s="87" t="str">
        <x:v>margin_balance</x:v>
      </x:c>
      <x:c r="B19" s="87" t="n">
        <x:v>1</x:v>
      </x:c>
      <x:c r="C19" s="87" t="n">
        <x:v>1</x:v>
      </x:c>
      <x:c r="D19" s="87" t="str">
        <x:v>read_finance_catalog</x:v>
      </x:c>
      <x:c r="E19" s="91" t="str">
        <x:v>subject=stock</x:v>
      </x:c>
      <x:c r="F19" s="87" t="str"/>
      <x:c r="G19" s="87"/>
      <x:c r="H19" s="91" t="str"/>
      <x:c r="I19" s="91" t="str"/>
      <x:c r="J19" s="91" t="str">
        <x:v>正常</x:v>
      </x:c>
    </x:row>
    <x:row r="20" ht="46" customHeight="1">
      <x:c r="A20" s="87" t="str">
        <x:v>margin_balance</x:v>
      </x:c>
      <x:c r="B20" s="87" t="n">
        <x:v>1</x:v>
      </x:c>
      <x:c r="C20" s="87" t="n">
        <x:v>2</x:v>
      </x:c>
      <x:c r="D20" s="87" t="str">
        <x:v>read_finance_catalog</x:v>
      </x:c>
      <x:c r="E20" s="91" t="str">
        <x:v>subject=stock, dataview=margin</x:v>
      </x:c>
      <x:c r="F20" s="87" t="str"/>
      <x:c r="G20" s="87"/>
      <x:c r="H20" s="91" t="str"/>
      <x:c r="I20" s="91" t="str"/>
      <x:c r="J20" s="91" t="str">
        <x:v>正常</x:v>
      </x:c>
    </x:row>
    <x:row r="21" ht="46" customHeight="1">
      <x:c r="A21" s="87" t="str">
        <x:v>margin_balance</x:v>
      </x:c>
      <x:c r="B21" s="87" t="n">
        <x:v>1</x:v>
      </x:c>
      <x:c r="C21" s="87" t="n">
        <x:v>3</x:v>
      </x:c>
      <x:c r="D21" s="87" t="str">
        <x:v>finance_query</x:v>
      </x:c>
      <x:c r="E21" s="91" t="str">
        <x:v>r1 = stock.margin(filter = "code = 300750.SZ", order = "tradedate desc", limit = 1) -&gt; code, name, tradedate, financing_balance, financing_net_buy</x:v>
      </x:c>
      <x:c r="F21" s="87" t="str">
        <x:v>r1</x:v>
      </x:c>
      <x:c r="G21" s="87" t="n">
        <x:v>1</x:v>
      </x:c>
      <x:c r="H21" s="91" t="str"/>
      <x:c r="I21" s="91" t="str"/>
      <x:c r="J21" s="91" t="str">
        <x:v>正常</x:v>
      </x:c>
    </x:row>
    <x:row r="22" ht="46" customHeight="1">
      <x:c r="A22" s="87" t="str">
        <x:v>margin_balance</x:v>
      </x:c>
      <x:c r="B22" s="87" t="n">
        <x:v>1</x:v>
      </x:c>
      <x:c r="C22" s="87" t="n">
        <x:v>4</x:v>
      </x:c>
      <x:c r="D22" s="87" t="str">
        <x:v>finance_query</x:v>
      </x:c>
      <x:c r="E22" s="91" t="str">
        <x:v>r2 = stock.margin(filter = "code = 002594.SZ", order = "tradedate desc", limit = 1) -&gt; code, name, tradedate, financing_balance, financing_net_buy</x:v>
      </x:c>
      <x:c r="F22" s="87" t="str">
        <x:v>r2</x:v>
      </x:c>
      <x:c r="G22" s="87" t="n">
        <x:v>1</x:v>
      </x:c>
      <x:c r="H22" s="91" t="str"/>
      <x:c r="I22" s="91" t="str"/>
      <x:c r="J22" s="91" t="str">
        <x:v>正常</x:v>
      </x:c>
    </x:row>
    <x:row r="23" ht="46" customHeight="1">
      <x:c r="A23" s="87" t="str">
        <x:v>margin_balance</x:v>
      </x:c>
      <x:c r="B23" s="87" t="n">
        <x:v>1</x:v>
      </x:c>
      <x:c r="C23" s="87" t="n">
        <x:v>5</x:v>
      </x:c>
      <x:c r="D23" s="87" t="str">
        <x:v>load_finance_result</x:v>
      </x:c>
      <x:c r="E23" s="91" t="str"/>
      <x:c r="F23" s="87" t="str"/>
      <x:c r="G23" s="87"/>
      <x:c r="H23" s="91" t="str">
        <x:v>session://financial_qa_0981c7b865a318d4_eval-margin_balance_0b38a00da685/vars/v1</x:v>
      </x:c>
      <x:c r="I23" s="91" t="str"/>
      <x:c r="J23" s="91" t="str">
        <x:v>正常</x:v>
      </x:c>
    </x:row>
    <x:row r="24" ht="46" customHeight="1">
      <x:c r="A24" s="87" t="str">
        <x:v>margin_balance</x:v>
      </x:c>
      <x:c r="B24" s="87" t="n">
        <x:v>1</x:v>
      </x:c>
      <x:c r="C24" s="87" t="n">
        <x:v>6</x:v>
      </x:c>
      <x:c r="D24" s="87" t="str">
        <x:v>load_finance_result</x:v>
      </x:c>
      <x:c r="E24" s="91" t="str"/>
      <x:c r="F24" s="87" t="str"/>
      <x:c r="G24" s="87"/>
      <x:c r="H24" s="91" t="str">
        <x:v>session://financial_qa_0981c7b865a318d4_eval-margin_balance_0b38a00da685/vars/v2</x:v>
      </x:c>
      <x:c r="I24" s="91" t="str"/>
      <x:c r="J24" s="91" t="str">
        <x:v>正常</x:v>
      </x:c>
    </x:row>
    <x:row r="25" ht="46" customHeight="1">
      <x:c r="A25" s="87" t="str">
        <x:v>raised_funds</x:v>
      </x:c>
      <x:c r="B25" s="87" t="n">
        <x:v>1</x:v>
      </x:c>
      <x:c r="C25" s="87" t="n">
        <x:v>1</x:v>
      </x:c>
      <x:c r="D25" s="87" t="str">
        <x:v>read_finance_catalog</x:v>
      </x:c>
      <x:c r="E25" s="91" t="str"/>
      <x:c r="F25" s="87" t="str"/>
      <x:c r="G25" s="87"/>
      <x:c r="H25" s="91" t="str"/>
      <x:c r="I25" s="91" t="str"/>
      <x:c r="J25" s="91" t="str">
        <x:v>正常</x:v>
      </x:c>
    </x:row>
    <x:row r="26" ht="46" customHeight="1">
      <x:c r="A26" s="87" t="str">
        <x:v>raised_funds</x:v>
      </x:c>
      <x:c r="B26" s="87" t="n">
        <x:v>1</x:v>
      </x:c>
      <x:c r="C26" s="87" t="n">
        <x:v>2</x:v>
      </x:c>
      <x:c r="D26" s="87" t="str">
        <x:v>read_finance_catalog</x:v>
      </x:c>
      <x:c r="E26" s="91" t="str">
        <x:v>subject=stock, dataview=corporate_action</x:v>
      </x:c>
      <x:c r="F26" s="87" t="str"/>
      <x:c r="G26" s="87"/>
      <x:c r="H26" s="91" t="str"/>
      <x:c r="I26" s="91" t="str"/>
      <x:c r="J26" s="91" t="str">
        <x:v>正常</x:v>
      </x:c>
    </x:row>
    <x:row r="27" ht="60" customHeight="1">
      <x:c r="A27" s="87" t="str">
        <x:v>raised_funds</x:v>
      </x:c>
      <x:c r="B27" s="87" t="n">
        <x:v>1</x:v>
      </x:c>
      <x:c r="C27" s="87" t="n">
        <x:v>3</x:v>
      </x:c>
      <x:c r="D27" s="87" t="str">
        <x:v>finance_query</x:v>
      </x:c>
      <x:c r="E27" s="91" t="str">
        <x:v>r1 = stock.corporate_action(filter = "code = 300750.SZ and source = 'add_issue'", order = "ann_date desc", limit = 1) -&gt; code, name, ann_date, ai_type, ai_progress, ai_price, ai_raised_funds</x:v>
      </x:c>
      <x:c r="F27" s="87" t="str">
        <x:v>r1</x:v>
      </x:c>
      <x:c r="G27" s="87" t="n">
        <x:v>1</x:v>
      </x:c>
      <x:c r="H27" s="91" t="str"/>
      <x:c r="I27" s="91" t="str"/>
      <x:c r="J27" s="91" t="str">
        <x:v>正常</x:v>
      </x:c>
    </x:row>
    <x:row r="28" ht="46" customHeight="1">
      <x:c r="A28" s="87" t="str">
        <x:v>raised_funds</x:v>
      </x:c>
      <x:c r="B28" s="87" t="n">
        <x:v>1</x:v>
      </x:c>
      <x:c r="C28" s="87" t="n">
        <x:v>4</x:v>
      </x:c>
      <x:c r="D28" s="87" t="str">
        <x:v>load_finance_result</x:v>
      </x:c>
      <x:c r="E28" s="91" t="str"/>
      <x:c r="F28" s="87" t="str"/>
      <x:c r="G28" s="87"/>
      <x:c r="H28" s="91" t="str">
        <x:v>session://financial_qa_0981c7b865a318d4_eval-raised_funds_fe0a9ab0b219/vars/v1</x:v>
      </x:c>
      <x:c r="I28" s="91" t="str"/>
      <x:c r="J28" s="91" t="str">
        <x:v>正常</x:v>
      </x:c>
    </x:row>
    <x:row r="29" ht="60" customHeight="1">
      <x:c r="A29" s="87" t="str">
        <x:v>raised_funds</x:v>
      </x:c>
      <x:c r="B29" s="87" t="n">
        <x:v>1</x:v>
      </x:c>
      <x:c r="C29" s="87" t="n">
        <x:v>5</x:v>
      </x:c>
      <x:c r="D29" s="87" t="str">
        <x:v>finance_query</x:v>
      </x:c>
      <x:c r="E29" s="91" t="str">
        <x:v>r2 = stock.corporate_action(filter = "code = 300750.SZ and source = 'add_issue'", order = "ann_date desc", limit = 5) -&gt; code, name, ann_date, ai_type, ai_progress, ai_price, ai_raised_funds, record_date, list_date</x:v>
      </x:c>
      <x:c r="F29" s="87" t="str">
        <x:v>r2</x:v>
      </x:c>
      <x:c r="G29" s="87" t="n">
        <x:v>1</x:v>
      </x:c>
      <x:c r="H29" s="91" t="str"/>
      <x:c r="I29" s="91" t="str"/>
      <x:c r="J29" s="91" t="str">
        <x:v>正常</x:v>
      </x:c>
    </x:row>
    <x:row r="30" ht="46" customHeight="1">
      <x:c r="A30" s="87" t="str">
        <x:v>raised_funds</x:v>
      </x:c>
      <x:c r="B30" s="87" t="n">
        <x:v>1</x:v>
      </x:c>
      <x:c r="C30" s="87" t="n">
        <x:v>6</x:v>
      </x:c>
      <x:c r="D30" s="87" t="str">
        <x:v>finance_query</x:v>
      </x:c>
      <x:c r="E30" s="91" t="str">
        <x:v>r3 = stock.corporate_action(filter = "code = '300750.SZ' and source = 'add_issue'", limit = 3) -&gt; code, name, ann_date, ai_type, ai_progress, ai_price, ai_raised_funds</x:v>
      </x:c>
      <x:c r="F30" s="87" t="str">
        <x:v>r3</x:v>
      </x:c>
      <x:c r="G30" s="87" t="n">
        <x:v>1</x:v>
      </x:c>
      <x:c r="H30" s="91" t="str"/>
      <x:c r="I30" s="91" t="str"/>
      <x:c r="J30" s="91" t="str">
        <x:v>正常</x:v>
      </x:c>
    </x:row>
    <x:row r="31" ht="46" customHeight="1">
      <x:c r="A31" s="87" t="str">
        <x:v>raised_funds</x:v>
      </x:c>
      <x:c r="B31" s="87" t="n">
        <x:v>1</x:v>
      </x:c>
      <x:c r="C31" s="87" t="n">
        <x:v>7</x:v>
      </x:c>
      <x:c r="D31" s="87" t="str">
        <x:v>financial_news_search</x:v>
      </x:c>
      <x:c r="E31" s="91" t="str">
        <x:v>{"query":"宁德时代 增发 募集资金 公告"}</x:v>
      </x:c>
      <x:c r="F31" s="87" t="str"/>
      <x:c r="G31" s="87" t="n">
        <x:v>1</x:v>
      </x:c>
      <x:c r="H31" s="91" t="str">
        <x:v>session://financial_qa_0981c7b865a318d4_eval-raised_funds_fe0a9ab0b219/vars/v4</x:v>
      </x:c>
      <x:c r="I31" s="91" t="str"/>
      <x:c r="J31" s="91" t="str">
        <x:v>正常</x:v>
      </x:c>
    </x:row>
    <x:row r="32" ht="46" customHeight="1">
      <x:c r="A32" s="87" t="str">
        <x:v>raised_funds</x:v>
      </x:c>
      <x:c r="B32" s="87" t="n">
        <x:v>1</x:v>
      </x:c>
      <x:c r="C32" s="87" t="n">
        <x:v>8</x:v>
      </x:c>
      <x:c r="D32" s="87" t="str">
        <x:v>load_finance_result</x:v>
      </x:c>
      <x:c r="E32" s="91" t="str"/>
      <x:c r="F32" s="87" t="str"/>
      <x:c r="G32" s="87"/>
      <x:c r="H32" s="91" t="str">
        <x:v>session://financial_qa_0981c7b865a318d4_eval-raised_funds_fe0a9ab0b219/vars/v3</x:v>
      </x:c>
      <x:c r="I32" s="91" t="str"/>
      <x:c r="J32" s="91" t="str">
        <x:v>正常</x:v>
      </x:c>
    </x:row>
    <x:row r="33" ht="46" customHeight="1">
      <x:c r="A33" s="87" t="str">
        <x:v>raised_funds</x:v>
      </x:c>
      <x:c r="B33" s="87" t="n">
        <x:v>1</x:v>
      </x:c>
      <x:c r="C33" s="87" t="n">
        <x:v>9</x:v>
      </x:c>
      <x:c r="D33" s="87" t="str">
        <x:v>finance_query</x:v>
      </x:c>
      <x:c r="E33" s="91" t="str">
        <x:v>r4 = stock.corporate_action(filter = "code = '300750.SZ'", limit = 10) -&gt; code, name, source, ann_date, ai_type, ai_progress, ai_price, ai_raised_funds</x:v>
      </x:c>
      <x:c r="F33" s="87" t="str">
        <x:v>r4</x:v>
      </x:c>
      <x:c r="G33" s="87" t="n">
        <x:v>1</x:v>
      </x:c>
      <x:c r="H33" s="91" t="str"/>
      <x:c r="I33" s="91" t="str"/>
      <x:c r="J33" s="91" t="str">
        <x:v>正常</x:v>
      </x:c>
    </x:row>
    <x:row r="34" ht="46" customHeight="1">
      <x:c r="A34" s="87" t="str">
        <x:v>raised_funds</x:v>
      </x:c>
      <x:c r="B34" s="87" t="n">
        <x:v>1</x:v>
      </x:c>
      <x:c r="C34" s="87" t="n">
        <x:v>10</x:v>
      </x:c>
      <x:c r="D34" s="87" t="str">
        <x:v>finance_query</x:v>
      </x:c>
      <x:c r="E34" s="91" t="str">
        <x:v>r5 = stock.corporate_action(filter = "code = '300750.SZ' and source = 'add_issue'", limit = 1) -&gt; code, name, ann_date, ai_raised_funds</x:v>
      </x:c>
      <x:c r="F34" s="87" t="str">
        <x:v>r5</x:v>
      </x:c>
      <x:c r="G34" s="87" t="n">
        <x:v>1</x:v>
      </x:c>
      <x:c r="H34" s="91" t="str"/>
      <x:c r="I34" s="91" t="str"/>
      <x:c r="J34" s="91" t="str">
        <x:v>正常</x:v>
      </x:c>
    </x:row>
    <x:row r="35" ht="46" customHeight="1">
      <x:c r="A35" s="87" t="str">
        <x:v>valuation_compare</x:v>
      </x:c>
      <x:c r="B35" s="87" t="n">
        <x:v>1</x:v>
      </x:c>
      <x:c r="C35" s="87" t="n">
        <x:v>1</x:v>
      </x:c>
      <x:c r="D35" s="87" t="str">
        <x:v>read_finance_catalog</x:v>
      </x:c>
      <x:c r="E35" s="91" t="str"/>
      <x:c r="F35" s="87" t="str"/>
      <x:c r="G35" s="87"/>
      <x:c r="H35" s="91" t="str"/>
      <x:c r="I35" s="91" t="str"/>
      <x:c r="J35" s="91" t="str">
        <x:v>正常</x:v>
      </x:c>
    </x:row>
    <x:row r="36" ht="46" customHeight="1">
      <x:c r="A36" s="87" t="str">
        <x:v>valuation_compare</x:v>
      </x:c>
      <x:c r="B36" s="87" t="n">
        <x:v>1</x:v>
      </x:c>
      <x:c r="C36" s="87" t="n">
        <x:v>2</x:v>
      </x:c>
      <x:c r="D36" s="87" t="str">
        <x:v>read_finance_catalog</x:v>
      </x:c>
      <x:c r="E36" s="91" t="str">
        <x:v>subject=stock, dataview=pricevalue</x:v>
      </x:c>
      <x:c r="F36" s="87" t="str"/>
      <x:c r="G36" s="87"/>
      <x:c r="H36" s="91" t="str"/>
      <x:c r="I36" s="91" t="str"/>
      <x:c r="J36" s="91" t="str">
        <x:v>正常</x:v>
      </x:c>
    </x:row>
    <x:row r="37" ht="46" customHeight="1">
      <x:c r="A37" s="87" t="str">
        <x:v>valuation_compare</x:v>
      </x:c>
      <x:c r="B37" s="87" t="n">
        <x:v>1</x:v>
      </x:c>
      <x:c r="C37" s="87" t="n">
        <x:v>3</x:v>
      </x:c>
      <x:c r="D37" s="87" t="str">
        <x:v>finance_query</x:v>
      </x:c>
      <x:c r="E37" s="91" t="str">
        <x:v>r1 = stock.pricevalue(filter = "code in ('600519.SH', '000858.SZ')", realtime = 2, limit = 10) -&gt; code, name, tradedate, pe_ttm, pb_lf, market_value</x:v>
      </x:c>
      <x:c r="F37" s="87" t="str">
        <x:v>r1</x:v>
      </x:c>
      <x:c r="G37" s="87" t="n">
        <x:v>1</x:v>
      </x:c>
      <x:c r="H37" s="91" t="str"/>
      <x:c r="I37" s="91" t="str"/>
      <x:c r="J37" s="91" t="str">
        <x:v>正常</x:v>
      </x:c>
    </x:row>
    <x:row r="38" ht="46" customHeight="1">
      <x:c r="A38" s="87" t="str">
        <x:v>valuation_compare</x:v>
      </x:c>
      <x:c r="B38" s="87" t="n">
        <x:v>1</x:v>
      </x:c>
      <x:c r="C38" s="87" t="n">
        <x:v>4</x:v>
      </x:c>
      <x:c r="D38" s="87" t="str">
        <x:v>finance_query</x:v>
      </x:c>
      <x:c r="E38" s="91" t="str">
        <x:v>r1 = stock.pricevalue(filter = "code in ('600519.SH', '000858.SZ')", limit = 10) -&gt; code, name, tradedate, pe_ttm, pb_lf, market_value</x:v>
      </x:c>
      <x:c r="F38" s="87" t="str">
        <x:v>r1</x:v>
      </x:c>
      <x:c r="G38" s="87" t="n">
        <x:v>1</x:v>
      </x:c>
      <x:c r="H38" s="91" t="str"/>
      <x:c r="I38" s="91" t="str"/>
      <x:c r="J38" s="91" t="str">
        <x:v>正常</x:v>
      </x:c>
    </x:row>
    <x:row r="39" ht="46" customHeight="1">
      <x:c r="A39" s="87" t="str">
        <x:v>valuation_compare</x:v>
      </x:c>
      <x:c r="B39" s="87" t="n">
        <x:v>1</x:v>
      </x:c>
      <x:c r="C39" s="87" t="n">
        <x:v>5</x:v>
      </x:c>
      <x:c r="D39" s="87" t="str">
        <x:v>finance_query</x:v>
      </x:c>
      <x:c r="E39" s="91" t="str">
        <x:v>r1 = stock.pricevalue(filter = "code = '600519.SH'", limit = 5) -&gt; code, name, tradedate, pe_ttm, pb_lf, market_value</x:v>
      </x:c>
      <x:c r="F39" s="87" t="str">
        <x:v>r1</x:v>
      </x:c>
      <x:c r="G39" s="87" t="n">
        <x:v>1</x:v>
      </x:c>
      <x:c r="H39" s="91" t="str"/>
      <x:c r="I39" s="91" t="str"/>
      <x:c r="J39" s="91" t="str">
        <x:v>正常</x:v>
      </x:c>
    </x:row>
    <x:row r="40" ht="46" customHeight="1">
      <x:c r="A40" s="87" t="str">
        <x:v>valuation_compare</x:v>
      </x:c>
      <x:c r="B40" s="87" t="n">
        <x:v>1</x:v>
      </x:c>
      <x:c r="C40" s="87" t="n">
        <x:v>6</x:v>
      </x:c>
      <x:c r="D40" s="87" t="str">
        <x:v>finance_query</x:v>
      </x:c>
      <x:c r="E40" s="91" t="str">
        <x:v>r2 = stock.pricevalue(filter = "code = '000858.SZ'", limit = 5) -&gt; code, name, tradedate, pe_ttm, pb_lf, market_value</x:v>
      </x:c>
      <x:c r="F40" s="87" t="str">
        <x:v>r2</x:v>
      </x:c>
      <x:c r="G40" s="87" t="n">
        <x:v>1</x:v>
      </x:c>
      <x:c r="H40" s="91" t="str"/>
      <x:c r="I40" s="91" t="str"/>
      <x:c r="J40" s="91" t="str">
        <x:v>正常</x:v>
      </x:c>
    </x:row>
    <x:row r="41" ht="46" customHeight="1">
      <x:c r="A41" s="87" t="str">
        <x:v>valuation_compare</x:v>
      </x:c>
      <x:c r="B41" s="87" t="n">
        <x:v>1</x:v>
      </x:c>
      <x:c r="C41" s="87" t="n">
        <x:v>7</x:v>
      </x:c>
      <x:c r="D41" s="87" t="str">
        <x:v>load_finance_result</x:v>
      </x:c>
      <x:c r="E41" s="91" t="str"/>
      <x:c r="F41" s="87" t="str"/>
      <x:c r="G41" s="87"/>
      <x:c r="H41" s="91" t="str">
        <x:v>session://financial_qa_0981c7b865a318d4_eval-valuation_compare_073a251e3054/vars/v3</x:v>
      </x:c>
      <x:c r="I41" s="91" t="str"/>
      <x:c r="J41" s="91" t="str">
        <x:v>正常</x:v>
      </x:c>
    </x:row>
    <x:row r="42" ht="46" customHeight="1">
      <x:c r="A42" s="87" t="str">
        <x:v>valuation_compare</x:v>
      </x:c>
      <x:c r="B42" s="87" t="n">
        <x:v>1</x:v>
      </x:c>
      <x:c r="C42" s="87" t="n">
        <x:v>8</x:v>
      </x:c>
      <x:c r="D42" s="87" t="str">
        <x:v>load_finance_result</x:v>
      </x:c>
      <x:c r="E42" s="91" t="str"/>
      <x:c r="F42" s="87" t="str"/>
      <x:c r="G42" s="87"/>
      <x:c r="H42" s="91" t="str">
        <x:v>session://financial_qa_0981c7b865a318d4_eval-valuation_compare_073a251e3054/vars/v4</x:v>
      </x:c>
      <x:c r="I42" s="91" t="str"/>
      <x:c r="J42" s="91" t="str">
        <x:v>正常</x:v>
      </x:c>
    </x:row>
    <x:row r="43" ht="46" customHeight="1">
      <x:c r="A43" s="87" t="str">
        <x:v>entity_followup</x:v>
      </x:c>
      <x:c r="B43" s="87" t="n">
        <x:v>1</x:v>
      </x:c>
      <x:c r="C43" s="87" t="n">
        <x:v>1</x:v>
      </x:c>
      <x:c r="D43" s="87" t="str">
        <x:v>stock_realtime_quote</x:v>
      </x:c>
      <x:c r="E43" s="91" t="str">
        <x:v>{"stock":"贵州茅台"}</x:v>
      </x:c>
      <x:c r="F43" s="87" t="str"/>
      <x:c r="G43" s="87" t="n">
        <x:v>1</x:v>
      </x:c>
      <x:c r="H43" s="91" t="str">
        <x:v>session://financial_qa_0981c7b865a318d4_eval-entity_followup_3b192eef41b8/vars/v1</x:v>
      </x:c>
      <x:c r="I43" s="91" t="str"/>
      <x:c r="J43" s="91" t="str">
        <x:v>正常</x:v>
      </x:c>
    </x:row>
    <x:row r="44" ht="46" customHeight="1">
      <x:c r="A44" s="87" t="str">
        <x:v>entity_followup</x:v>
      </x:c>
      <x:c r="B44" s="87" t="n">
        <x:v>1</x:v>
      </x:c>
      <x:c r="C44" s="87" t="n">
        <x:v>2</x:v>
      </x:c>
      <x:c r="D44" s="87" t="str">
        <x:v>read_finance_catalog</x:v>
      </x:c>
      <x:c r="E44" s="91" t="str">
        <x:v>subject=stock, dataview=quote</x:v>
      </x:c>
      <x:c r="F44" s="87" t="str"/>
      <x:c r="G44" s="87"/>
      <x:c r="H44" s="91" t="str"/>
      <x:c r="I44" s="91" t="str"/>
      <x:c r="J44" s="91" t="str">
        <x:v>正常</x:v>
      </x:c>
    </x:row>
    <x:row r="45" ht="46" customHeight="1">
      <x:c r="A45" s="87" t="str">
        <x:v>entity_followup</x:v>
      </x:c>
      <x:c r="B45" s="87" t="n">
        <x:v>1</x:v>
      </x:c>
      <x:c r="C45" s="87" t="n">
        <x:v>3</x:v>
      </x:c>
      <x:c r="D45" s="87" t="str">
        <x:v>finance_query</x:v>
      </x:c>
      <x:c r="E45" s="91" t="str">
        <x:v>r1 = stock.quote(filter = "code = 600519.SH", order = "tradedate desc", limit = 1, realtime = 0) -&gt; code, name, tradedate, open, preclose, close</x:v>
      </x:c>
      <x:c r="F45" s="87" t="str">
        <x:v>r1</x:v>
      </x:c>
      <x:c r="G45" s="87" t="n">
        <x:v>1</x:v>
      </x:c>
      <x:c r="H45" s="91" t="str"/>
      <x:c r="I45" s="91" t="str"/>
      <x:c r="J45" s="91" t="str">
        <x:v>正常</x:v>
      </x:c>
    </x:row>
    <x:row r="46" ht="46" customHeight="1">
      <x:c r="A46" s="87" t="str">
        <x:v>entity_followup</x:v>
      </x:c>
      <x:c r="B46" s="87" t="n">
        <x:v>2</x:v>
      </x:c>
      <x:c r="C46" s="87" t="n">
        <x:v>1</x:v>
      </x:c>
      <x:c r="D46" s="87" t="str">
        <x:v>finance_query</x:v>
      </x:c>
      <x:c r="E46" s="91" t="str">
        <x:v>r2 = stock.quote(filter = "code = 000858.SZ", order = "tradedate desc", limit = 1, realtime = 0) -&gt; code, name, tradedate, open, preclose, close</x:v>
      </x:c>
      <x:c r="F46" s="87" t="str">
        <x:v>r2</x:v>
      </x:c>
      <x:c r="G46" s="87" t="n">
        <x:v>1</x:v>
      </x:c>
      <x:c r="H46" s="91" t="str"/>
      <x:c r="I46" s="91" t="str"/>
      <x:c r="J46" s="91" t="str">
        <x:v>正常</x:v>
      </x:c>
    </x:row>
    <x:row r="47" ht="46" customHeight="1">
      <x:c r="A47" s="87" t="str">
        <x:v>ordinal_followup</x:v>
      </x:c>
      <x:c r="B47" s="87" t="n">
        <x:v>1</x:v>
      </x:c>
      <x:c r="C47" s="87" t="n">
        <x:v>1</x:v>
      </x:c>
      <x:c r="D47" s="87" t="str">
        <x:v>stock_realtime_quote</x:v>
      </x:c>
      <x:c r="E47" s="91" t="str">
        <x:v>{"stock":"宁德时代"}</x:v>
      </x:c>
      <x:c r="F47" s="87" t="str"/>
      <x:c r="G47" s="87" t="n">
        <x:v>1</x:v>
      </x:c>
      <x:c r="H47" s="91" t="str">
        <x:v>session://financial_qa_0981c7b865a318d4_eval-ordinal_followup_db4aedf0f67f/vars/v1</x:v>
      </x:c>
      <x:c r="I47" s="91" t="str"/>
      <x:c r="J47" s="91" t="str">
        <x:v>正常</x:v>
      </x:c>
    </x:row>
    <x:row r="48" ht="46" customHeight="1">
      <x:c r="A48" s="87" t="str">
        <x:v>ordinal_followup</x:v>
      </x:c>
      <x:c r="B48" s="87" t="n">
        <x:v>1</x:v>
      </x:c>
      <x:c r="C48" s="87" t="n">
        <x:v>2</x:v>
      </x:c>
      <x:c r="D48" s="87" t="str">
        <x:v>stock_realtime_quote</x:v>
      </x:c>
      <x:c r="E48" s="91" t="str">
        <x:v>{"stock":"比亚迪"}</x:v>
      </x:c>
      <x:c r="F48" s="87" t="str"/>
      <x:c r="G48" s="87" t="n">
        <x:v>1</x:v>
      </x:c>
      <x:c r="H48" s="91" t="str">
        <x:v>session://financial_qa_0981c7b865a318d4_eval-ordinal_followup_db4aedf0f67f/vars/v2</x:v>
      </x:c>
      <x:c r="I48" s="91" t="str"/>
      <x:c r="J48" s="91" t="str">
        <x:v>正常</x:v>
      </x:c>
    </x:row>
    <x:row r="49" ht="46" customHeight="1">
      <x:c r="A49" s="87" t="str">
        <x:v>ordinal_followup</x:v>
      </x:c>
      <x:c r="B49" s="87" t="n">
        <x:v>1</x:v>
      </x:c>
      <x:c r="C49" s="87" t="n">
        <x:v>3</x:v>
      </x:c>
      <x:c r="D49" s="87" t="str">
        <x:v>read_finance_catalog</x:v>
      </x:c>
      <x:c r="E49" s="91" t="str">
        <x:v>subject=stock</x:v>
      </x:c>
      <x:c r="F49" s="87" t="str"/>
      <x:c r="G49" s="87"/>
      <x:c r="H49" s="91" t="str"/>
      <x:c r="I49" s="91" t="str"/>
      <x:c r="J49" s="91" t="str">
        <x:v>正常</x:v>
      </x:c>
    </x:row>
    <x:row r="50" ht="46" customHeight="1">
      <x:c r="A50" s="87" t="str">
        <x:v>ordinal_followup</x:v>
      </x:c>
      <x:c r="B50" s="87" t="n">
        <x:v>1</x:v>
      </x:c>
      <x:c r="C50" s="87" t="n">
        <x:v>4</x:v>
      </x:c>
      <x:c r="D50" s="87" t="str">
        <x:v>finance_query</x:v>
      </x:c>
      <x:c r="E50" s="91" t="str">
        <x:v>r1 = stock.quote(filter = "code = 300750.SZ", order = "tradedate desc", limit = 1) -&gt; code, name, tradedate, close</x:v>
      </x:c>
      <x:c r="F50" s="87" t="str">
        <x:v>r1</x:v>
      </x:c>
      <x:c r="G50" s="87" t="n">
        <x:v>1</x:v>
      </x:c>
      <x:c r="H50" s="91" t="str"/>
      <x:c r="I50" s="91" t="str"/>
      <x:c r="J50" s="91" t="str">
        <x:v>正常</x:v>
      </x:c>
    </x:row>
    <x:row r="51" ht="46" customHeight="1">
      <x:c r="A51" s="87" t="str">
        <x:v>ordinal_followup</x:v>
      </x:c>
      <x:c r="B51" s="87" t="n">
        <x:v>1</x:v>
      </x:c>
      <x:c r="C51" s="87" t="n">
        <x:v>5</x:v>
      </x:c>
      <x:c r="D51" s="87" t="str">
        <x:v>finance_query</x:v>
      </x:c>
      <x:c r="E51" s="91" t="str">
        <x:v>r2 = stock.quote(filter = "code = 002594.SZ", order = "tradedate desc", limit = 1) -&gt; code, name, tradedate, close</x:v>
      </x:c>
      <x:c r="F51" s="87" t="str">
        <x:v>r2</x:v>
      </x:c>
      <x:c r="G51" s="87" t="n">
        <x:v>1</x:v>
      </x:c>
      <x:c r="H51" s="91" t="str"/>
      <x:c r="I51" s="91" t="str"/>
      <x:c r="J51" s="91" t="str">
        <x:v>正常</x:v>
      </x:c>
    </x:row>
    <x:row r="52" ht="160" customHeight="1">
      <x:c r="A52" s="87" t="str">
        <x:v>ordinal_followup</x:v>
      </x:c>
      <x:c r="B52" s="87" t="n">
        <x:v>2</x:v>
      </x:c>
      <x:c r="C52" s="87" t="n">
        <x:v>1</x:v>
      </x:c>
      <x:c r="D52" s="87" t="str">
        <x:v>finance_query</x:v>
      </x:c>
      <x:c r="E52" s="91" t="str">
        <x:v>r3 = stock.margin(filter = "code = 002594.SZ", order = "end_date desc", limit = 1) -&gt; code, name, end_date, margin_balance, margin_buy, margin_repay, margin_netbuy, sec_balance, sec_volume, mkt_margin_balance</x:v>
      </x:c>
      <x:c r="F52" s="87" t="str"/>
      <x:c r="G52" s="87"/>
      <x:c r="H52" s="91" t="str"/>
      <x:c r="I52" s="91" t="str">
        <x:v>OUTPUT_ERROR: field=end_date not in api=stock.margin; available=['code', 'financing_balance', 'financing_balance_float_mv_ratio', 'financing_buy', 'financing_net_buy', 'financing_repay', 'margin_balance', 'margin_diff', 'name', 'securities_lending_balance', 'securities_lending_balancevol', 'securities_lending_repay_vol', 'securities_lending_sell_vol', 'tradedate']
OUTPUT_ERROR: field=margin_buy not in api=stock.margin; available=['code', 'financing_balance', 'financing_balance_float_mv_ratio', 'financing_buy', 'financing_net_buy', 'financing_repay', 'margin_balance', 'margin_diff', 'name', 'securities_lending_balance', 'securities_lending_balancevol', 'securities_lending_repay_vol', 'securities_lending_sell_vol', 'tradedate']
OUTPUT_ERROR: field=margin_repay not in api=stock.margin; available=['code', 'financing_balance', 'financing_balance_float_mv_ratio', 'financing_buy', 'financing_net_buy', 'financing_repay', 'margin_balance', 'margin_diff', 'name', 'securities_lending_balance', 'securities_lending_balancevol', 'securities_lending_repay_vol', 'securities_lending_sell_vol', 'tradedate']
OUTPUT_ERROR: field=margin_netbuy not in api=stock.margin; available=['code', 'financing_balance', 'financing_balance_float_mv_ratio', 'financing_buy', 'financing_net_buy', 'financing_repay', 'margin_balance', 'margin_diff', 'name', 'securities_lending_balance', 'securities_lending_balancevol', 'securities_lending_repay_vol', 'securities_lending_sell_vol', 'tradedate']
OUTPUT_ERROR: field=sec_balance not in api=stock.margin; available=['code', 'financing_balance', 'financing_balance_float_mv_ratio', 'financing_buy', 'financing_net_buy', 'financing_repay', 'margin_balance', 'margin_diff', 'name', 'securities_lending_balance', 'securities_lending_balancevol', 'securities_lending_repay_vol', 'securities_lending_sell_vol', 'tradedate']
OUTPUT_ERROR: field=sec_volume not in api=stock.margin; available=['code', 'financing_balance', 'financing_balance_float_mv_ratio', 'financing_buy', 'financing_net_buy', 'financing_repay', 'margin_balance', 'margin_diff', 'name', 'securities_lending_balance', 'securities_lending_balancevol', 'securities_lending_repay_vol', 'securities_lending_sell_vol', 'tradedate']
OUTPUT_ERROR: field=mkt_margin_balance not in api=stock.margin; available=['code', 'financing_balance', 'financing_balance_float_mv_ratio', 'financing_buy', 'financing_net_buy', 'financing_repay', 'margin_balance', 'margin_diff', 'name', 'securities_lending_balance', 'securities_lending_balancevol', 'securities_lending_repay_vol', 'securities_lending_sell_vol', 'tradedate']</x:v>
      </x:c>
      <x:c r="J52" s="91" t="str">
        <x:v>协议校验后重试/纠正</x:v>
      </x:c>
    </x:row>
    <x:row r="53" ht="60" customHeight="1">
      <x:c r="A53" s="87" t="str">
        <x:v>ordinal_followup</x:v>
      </x:c>
      <x:c r="B53" s="87" t="n">
        <x:v>2</x:v>
      </x:c>
      <x:c r="C53" s="87" t="n">
        <x:v>2</x:v>
      </x:c>
      <x:c r="D53" s="87" t="str">
        <x:v>finance_query</x:v>
      </x:c>
      <x:c r="E53" s="91" t="str">
        <x:v>r3 = stock.margin(filter = "code = 002594.SZ", order = "tradedate desc", limit = 1) -&gt; code, name, tradedate, financing_balance, financing_buy, financing_repay, financing_net_buy, margin_balance, securities_lending_balance</x:v>
      </x:c>
      <x:c r="F53" s="87" t="str">
        <x:v>r3</x:v>
      </x:c>
      <x:c r="G53" s="87" t="n">
        <x:v>1</x:v>
      </x:c>
      <x:c r="H53" s="91" t="str"/>
      <x:c r="I53" s="91" t="str"/>
      <x:c r="J53" s="91" t="str">
        <x:v>正常</x:v>
      </x:c>
    </x:row>
    <x:row r="54" ht="46" customHeight="1">
      <x:c r="A54" s="87" t="str">
        <x:v>cross_result_dependency</x:v>
      </x:c>
      <x:c r="B54" s="87" t="n">
        <x:v>1</x:v>
      </x:c>
      <x:c r="C54" s="87" t="n">
        <x:v>1</x:v>
      </x:c>
      <x:c r="D54" s="87" t="str">
        <x:v>read_finance_catalog</x:v>
      </x:c>
      <x:c r="E54" s="91" t="str"/>
      <x:c r="F54" s="87" t="str"/>
      <x:c r="G54" s="87"/>
      <x:c r="H54" s="91" t="str"/>
      <x:c r="I54" s="91" t="str"/>
      <x:c r="J54" s="91" t="str">
        <x:v>正常</x:v>
      </x:c>
    </x:row>
    <x:row r="55" ht="46" customHeight="1">
      <x:c r="A55" s="87" t="str">
        <x:v>cross_result_dependency</x:v>
      </x:c>
      <x:c r="B55" s="87" t="n">
        <x:v>1</x:v>
      </x:c>
      <x:c r="C55" s="87" t="n">
        <x:v>2</x:v>
      </x:c>
      <x:c r="D55" s="87" t="str">
        <x:v>read_finance_catalog</x:v>
      </x:c>
      <x:c r="E55" s="91" t="str">
        <x:v>subject=plate</x:v>
      </x:c>
      <x:c r="F55" s="87" t="str"/>
      <x:c r="G55" s="87"/>
      <x:c r="H55" s="91" t="str"/>
      <x:c r="I55" s="91" t="str"/>
      <x:c r="J55" s="91" t="str">
        <x:v>正常</x:v>
      </x:c>
    </x:row>
    <x:row r="56" ht="46" customHeight="1">
      <x:c r="A56" s="87" t="str">
        <x:v>cross_result_dependency</x:v>
      </x:c>
      <x:c r="B56" s="87" t="n">
        <x:v>1</x:v>
      </x:c>
      <x:c r="C56" s="87" t="n">
        <x:v>3</x:v>
      </x:c>
      <x:c r="D56" s="87" t="str">
        <x:v>read_finance_catalog</x:v>
      </x:c>
      <x:c r="E56" s="91" t="str">
        <x:v>subject=plate, dataview=quote</x:v>
      </x:c>
      <x:c r="F56" s="87" t="str"/>
      <x:c r="G56" s="87"/>
      <x:c r="H56" s="91" t="str"/>
      <x:c r="I56" s="91" t="str"/>
      <x:c r="J56" s="91" t="str">
        <x:v>正常</x:v>
      </x:c>
    </x:row>
    <x:row r="57" ht="46" customHeight="1">
      <x:c r="A57" s="87" t="str">
        <x:v>cross_result_dependency</x:v>
      </x:c>
      <x:c r="B57" s="87" t="n">
        <x:v>1</x:v>
      </x:c>
      <x:c r="C57" s="87" t="n">
        <x:v>4</x:v>
      </x:c>
      <x:c r="D57" s="87" t="str">
        <x:v>read_finance_catalog</x:v>
      </x:c>
      <x:c r="E57" s="91" t="str">
        <x:v>subject=plate, dataview=constitution</x:v>
      </x:c>
      <x:c r="F57" s="87" t="str"/>
      <x:c r="G57" s="87"/>
      <x:c r="H57" s="91" t="str"/>
      <x:c r="I57" s="91" t="str"/>
      <x:c r="J57" s="91" t="str">
        <x:v>正常</x:v>
      </x:c>
    </x:row>
    <x:row r="58" ht="46" customHeight="1">
      <x:c r="A58" s="87" t="str">
        <x:v>cross_result_dependency</x:v>
      </x:c>
      <x:c r="B58" s="87" t="n">
        <x:v>1</x:v>
      </x:c>
      <x:c r="C58" s="87" t="n">
        <x:v>5</x:v>
      </x:c>
      <x:c r="D58" s="87" t="str">
        <x:v>finance_query</x:v>
      </x:c>
      <x:c r="E58" s="91" t="str">
        <x:v>r1 = plate.quote.kd_pct_sum(k = 5, order = "value desc", limit = 3, realtime = 0) -&gt; code, name, value as pct_5d</x:v>
      </x:c>
      <x:c r="F58" s="87" t="str">
        <x:v>r1</x:v>
      </x:c>
      <x:c r="G58" s="87" t="n">
        <x:v>3</x:v>
      </x:c>
      <x:c r="H58" s="91" t="str"/>
      <x:c r="I58" s="91" t="str"/>
      <x:c r="J58" s="91" t="str">
        <x:v>正常</x:v>
      </x:c>
    </x:row>
    <x:row r="59" ht="60" customHeight="1">
      <x:c r="A59" s="87" t="str">
        <x:v>cross_result_dependency</x:v>
      </x:c>
      <x:c r="B59" s="87" t="n">
        <x:v>1</x:v>
      </x:c>
      <x:c r="C59" s="87" t="n">
        <x:v>6</x:v>
      </x:c>
      <x:c r="D59" s="87" t="str">
        <x:v>finance_query</x:v>
      </x:c>
      <x:c r="E59" s="91" t="str">
        <x:v>r2 = plate.constitution.agg(filter = "plate_code in r1.code", agg = sum(stock.quote.amount), group_by = "plate_code, plate_name", order = "total_amount desc", limit = 3, realtime = 1) -&gt; plate_code, plate_name, total_amount</x:v>
      </x:c>
      <x:c r="F59" s="87" t="str">
        <x:v>r2</x:v>
      </x:c>
      <x:c r="G59" s="87" t="n">
        <x:v>3</x:v>
      </x:c>
      <x:c r="H59" s="91" t="str"/>
      <x:c r="I59" s="91" t="str"/>
      <x:c r="J59" s="91" t="str">
        <x:v>正常</x:v>
      </x:c>
    </x:row>
    <x:row r="60" ht="60" customHeight="1">
      <x:c r="A60" s="87" t="str">
        <x:v>cross_result_dependency</x:v>
      </x:c>
      <x:c r="B60" s="87" t="n">
        <x:v>1</x:v>
      </x:c>
      <x:c r="C60" s="87" t="n">
        <x:v>7</x:v>
      </x:c>
      <x:c r="D60" s="87" t="str">
        <x:v>finance_query</x:v>
      </x:c>
      <x:c r="E60" s="91" t="str">
        <x:v>r2 = plate.constitution.agg(filter = "plate_code in r1.code", agg = sum(stock.quote.amount), group_by = "plate_code, plate_name", order = "total_amount desc", limit = 3, realtime = 0) -&gt; plate_code, plate_name, total_amount</x:v>
      </x:c>
      <x:c r="F60" s="87" t="str">
        <x:v>r2</x:v>
      </x:c>
      <x:c r="G60" s="87" t="n">
        <x:v>3</x:v>
      </x:c>
      <x:c r="H60" s="91" t="str"/>
      <x:c r="I60" s="91" t="str"/>
      <x:c r="J60" s="91" t="str">
        <x:v>正常</x:v>
      </x:c>
    </x:row>
    <x:row r="61" ht="46" customHeight="1">
      <x:c r="A61" s="87" t="str">
        <x:v>cross_result_dependency</x:v>
      </x:c>
      <x:c r="B61" s="87" t="n">
        <x:v>1</x:v>
      </x:c>
      <x:c r="C61" s="87" t="n">
        <x:v>8</x:v>
      </x:c>
      <x:c r="D61" s="87" t="str">
        <x:v>finance_query</x:v>
      </x:c>
      <x:c r="E61" s="91" t="str">
        <x:v>r3 = plate.constitution(filter = "plate_code = 885001", limit = 10) -&gt; plate_code, plate_name, stock_code, stock_name</x:v>
      </x:c>
      <x:c r="F61" s="87" t="str">
        <x:v>r3</x:v>
      </x:c>
      <x:c r="G61" s="87" t="n">
        <x:v>1</x:v>
      </x:c>
      <x:c r="H61" s="91" t="str"/>
      <x:c r="I61" s="91" t="str"/>
      <x:c r="J61" s="91" t="str">
        <x:v>正常</x:v>
      </x:c>
    </x:row>
    <x:row r="62" ht="46" customHeight="1">
      <x:c r="A62" s="87" t="str">
        <x:v>cross_result_dependency</x:v>
      </x:c>
      <x:c r="B62" s="87" t="n">
        <x:v>1</x:v>
      </x:c>
      <x:c r="C62" s="87" t="n">
        <x:v>9</x:v>
      </x:c>
      <x:c r="D62" s="87" t="str">
        <x:v>finance_query</x:v>
      </x:c>
      <x:c r="E62" s="91" t="str">
        <x:v>r4 = plate.quote(filter = "code in r1.code", realtime = 1, limit = 3) -&gt; code, name, amount, pct</x:v>
      </x:c>
      <x:c r="F62" s="87" t="str">
        <x:v>r4</x:v>
      </x:c>
      <x:c r="G62" s="87" t="n">
        <x:v>3</x:v>
      </x:c>
      <x:c r="H62" s="91" t="str"/>
      <x:c r="I62" s="91" t="str"/>
      <x:c r="J62" s="91" t="str">
        <x:v>正常</x:v>
      </x:c>
    </x:row>
    <x:row r="63" ht="46" customHeight="1">
      <x:c r="A63" s="87" t="str">
        <x:v>cross_result_dependency</x:v>
      </x:c>
      <x:c r="B63" s="87" t="n">
        <x:v>1</x:v>
      </x:c>
      <x:c r="C63" s="87" t="n">
        <x:v>10</x:v>
      </x:c>
      <x:c r="D63" s="87" t="str">
        <x:v>load_finance_result</x:v>
      </x:c>
      <x:c r="E63" s="91" t="str"/>
      <x:c r="F63" s="87" t="str"/>
      <x:c r="G63" s="87"/>
      <x:c r="H63" s="91" t="str">
        <x:v>session://financial_qa_0981c7b865a318d4_eval-cross_result_dependency_3a58f13f5bc7/vars/v3</x:v>
      </x:c>
      <x:c r="I63" s="91" t="str"/>
      <x:c r="J63" s="91" t="str">
        <x:v>正常</x:v>
      </x:c>
    </x:row>
    <x:row r="64" ht="46" customHeight="1">
      <x:c r="A64" s="87" t="str">
        <x:v>cross_result_dependency</x:v>
      </x:c>
      <x:c r="B64" s="87" t="n">
        <x:v>1</x:v>
      </x:c>
      <x:c r="C64" s="87" t="n">
        <x:v>11</x:v>
      </x:c>
      <x:c r="D64" s="87" t="str">
        <x:v>finance_query</x:v>
      </x:c>
      <x:c r="E64" s="91" t="str">
        <x:v>r5 = plate.constitution(filter = "plate_code in r1.code", limit = 50) -&gt; plate_code, plate_name, stock_code, stock_name</x:v>
      </x:c>
      <x:c r="F64" s="87" t="str">
        <x:v>r5</x:v>
      </x:c>
      <x:c r="G64" s="87" t="n">
        <x:v>1</x:v>
      </x:c>
      <x:c r="H64" s="91" t="str"/>
      <x:c r="I64" s="91" t="str"/>
      <x:c r="J64" s="91" t="str">
        <x:v>正常</x:v>
      </x:c>
    </x:row>
    <x:row r="65" ht="150" customHeight="1">
      <x:c r="A65" s="87" t="str">
        <x:v>cross_result_dependency</x:v>
      </x:c>
      <x:c r="B65" s="87" t="n">
        <x:v>1</x:v>
      </x:c>
      <x:c r="C65" s="87" t="n">
        <x:v>12</x:v>
      </x:c>
      <x:c r="D65" s="87" t="str">
        <x:v>finance_query</x:v>
      </x:c>
      <x:c r="E65" s="91" t="str">
        <x:v>r6 = plate.basic_info(filter = "code in r1.code", limit = 3) -&gt; code, name, type, description</x:v>
      </x:c>
      <x:c r="F65" s="87" t="str"/>
      <x:c r="G65" s="87"/>
      <x:c r="H65" s="91" t="str"/>
      <x:c r="I65" s="91" t="str">
        <x:v>OUTPUT_ERROR: field=code not in api=plate.basic_info; available=['plate_code', 'plate_name']
OUTPUT_ERROR: field=name not in api=plate.basic_info; available=['plate_code', 'plate_name']
OUTPUT_ERROR: field=type not in api=plate.basic_info; available=['plate_code', 'plate_name']
OUTPUT_ERROR: field=description not in api=plate.basic_info; available=['plate_code', 'plate_name']</x:v>
      </x:c>
      <x:c r="J65" s="91" t="str">
        <x:v>协议校验后重试/纠正</x:v>
      </x:c>
    </x:row>
    <x:row r="66" ht="46" customHeight="1">
      <x:c r="A66" s="87" t="str">
        <x:v>cross_result_dependency</x:v>
      </x:c>
      <x:c r="B66" s="87" t="n">
        <x:v>1</x:v>
      </x:c>
      <x:c r="C66" s="87" t="n">
        <x:v>13</x:v>
      </x:c>
      <x:c r="D66" s="87" t="str">
        <x:v>read_finance_catalog</x:v>
      </x:c>
      <x:c r="E66" s="91" t="str">
        <x:v>subject=plate, dataview=basic_info</x:v>
      </x:c>
      <x:c r="F66" s="87" t="str"/>
      <x:c r="G66" s="87"/>
      <x:c r="H66" s="91" t="str"/>
      <x:c r="I66" s="91" t="str"/>
      <x:c r="J66" s="91" t="str">
        <x:v>正常</x:v>
      </x:c>
    </x:row>
    <x:row r="67" ht="46" customHeight="1">
      <x:c r="A67" s="87" t="str">
        <x:v>cross_result_dependency</x:v>
      </x:c>
      <x:c r="B67" s="87" t="n">
        <x:v>1</x:v>
      </x:c>
      <x:c r="C67" s="87" t="n">
        <x:v>14</x:v>
      </x:c>
      <x:c r="D67" s="87" t="str">
        <x:v>finance_query</x:v>
      </x:c>
      <x:c r="E67" s="91" t="str">
        <x:v>r7 = plate.quote(filter = "1 = 1", order = "code asc", limit = 20, realtime = 0) -&gt; code, name</x:v>
      </x:c>
      <x:c r="F67" s="87" t="str">
        <x:v>r7</x:v>
      </x:c>
      <x:c r="G67" s="87" t="n">
        <x:v>1</x:v>
      </x:c>
      <x:c r="H67" s="91" t="str"/>
      <x:c r="I67" s="91" t="str"/>
      <x:c r="J67" s="91" t="str">
        <x:v>正常</x:v>
      </x:c>
    </x:row>
    <x:row r="68" ht="46" customHeight="1">
      <x:c r="A68" s="87" t="str">
        <x:v>cross_result_dependency</x:v>
      </x:c>
      <x:c r="B68" s="87" t="n">
        <x:v>1</x:v>
      </x:c>
      <x:c r="C68" s="87" t="n">
        <x:v>15</x:v>
      </x:c>
      <x:c r="D68" s="87" t="str">
        <x:v>finance_query</x:v>
      </x:c>
      <x:c r="E68" s="91" t="str">
        <x:v>r8 = plate.quote(realtime = 1, limit = 20) -&gt; code, name, amount, pct</x:v>
      </x:c>
      <x:c r="F68" s="87" t="str">
        <x:v>r8</x:v>
      </x:c>
      <x:c r="G68" s="87" t="n">
        <x:v>1</x:v>
      </x:c>
      <x:c r="H68" s="91" t="str"/>
      <x:c r="I68" s="91" t="str"/>
      <x:c r="J68" s="91" t="str">
        <x:v>正常</x:v>
      </x:c>
    </x:row>
    <x:row r="69" ht="46" customHeight="1">
      <x:c r="A69" s="87" t="str">
        <x:v>cross_result_dependency</x:v>
      </x:c>
      <x:c r="B69" s="87" t="n">
        <x:v>1</x:v>
      </x:c>
      <x:c r="C69" s="87" t="n">
        <x:v>16</x:v>
      </x:c>
      <x:c r="D69" s="87" t="str">
        <x:v>read_finance_catalog</x:v>
      </x:c>
      <x:c r="E69" s="91" t="str">
        <x:v>subject=hot_event</x:v>
      </x:c>
      <x:c r="F69" s="87" t="str"/>
      <x:c r="G69" s="87"/>
      <x:c r="H69" s="91" t="str"/>
      <x:c r="I69" s="91" t="str"/>
      <x:c r="J69" s="91" t="str">
        <x:v>正常</x:v>
      </x:c>
    </x:row>
    <x:row r="70" ht="46" customHeight="1">
      <x:c r="A70" s="87" t="str">
        <x:v>cross_result_dependency</x:v>
      </x:c>
      <x:c r="B70" s="87" t="n">
        <x:v>1</x:v>
      </x:c>
      <x:c r="C70" s="87" t="n">
        <x:v>17</x:v>
      </x:c>
      <x:c r="D70" s="87" t="str">
        <x:v>read_finance_catalog</x:v>
      </x:c>
      <x:c r="E70" s="91" t="str">
        <x:v>subject=hot_event, dataview=member</x:v>
      </x:c>
      <x:c r="F70" s="87" t="str"/>
      <x:c r="G70" s="87"/>
      <x:c r="H70" s="91" t="str"/>
      <x:c r="I70" s="91" t="str"/>
      <x:c r="J70" s="91" t="str">
        <x:v>正常</x:v>
      </x:c>
    </x:row>
    <x:row r="71" ht="46" customHeight="1">
      <x:c r="A71" s="87" t="str">
        <x:v>cross_result_dependency</x:v>
      </x:c>
      <x:c r="B71" s="87" t="n">
        <x:v>1</x:v>
      </x:c>
      <x:c r="C71" s="87" t="n">
        <x:v>18</x:v>
      </x:c>
      <x:c r="D71" s="87" t="str">
        <x:v>finance_query</x:v>
      </x:c>
      <x:c r="E71" s="91" t="str">
        <x:v>r9 = index.constitution(filter = "index_code in r1.code", limit = 50) -&gt; index_code, index_name, stock_code, stock_name</x:v>
      </x:c>
      <x:c r="F71" s="87" t="str">
        <x:v>r9</x:v>
      </x:c>
      <x:c r="G71" s="87" t="n">
        <x:v>1</x:v>
      </x:c>
      <x:c r="H71" s="91" t="str"/>
      <x:c r="I71" s="91" t="str"/>
      <x:c r="J71" s="91" t="str">
        <x:v>正常</x:v>
      </x:c>
    </x:row>
    <x:row r="72" ht="46" customHeight="1">
      <x:c r="A72" s="87" t="str">
        <x:v>cross_result_dependency</x:v>
      </x:c>
      <x:c r="B72" s="87" t="n">
        <x:v>1</x:v>
      </x:c>
      <x:c r="C72" s="87" t="n">
        <x:v>19</x:v>
      </x:c>
      <x:c r="D72" s="87" t="str">
        <x:v>finance_query</x:v>
      </x:c>
      <x:c r="E72" s="91" t="str">
        <x:v>r10 = plate.constitution(filter = "plate_code = 885001", limit = -1) -&gt; plate_code, plate_name, stock_code, stock_name</x:v>
      </x:c>
      <x:c r="F72" s="87" t="str">
        <x:v>r10</x:v>
      </x:c>
      <x:c r="G72" s="87" t="n">
        <x:v>1</x:v>
      </x:c>
      <x:c r="H72" s="91" t="str"/>
      <x:c r="I72" s="91" t="str"/>
      <x:c r="J72" s="91" t="str">
        <x:v>正常</x:v>
      </x:c>
    </x:row>
    <x:row r="73" ht="46" customHeight="1">
      <x:c r="A73" s="87" t="str">
        <x:v>cross_result_dependency</x:v>
      </x:c>
      <x:c r="B73" s="87" t="n">
        <x:v>1</x:v>
      </x:c>
      <x:c r="C73" s="87" t="n">
        <x:v>20</x:v>
      </x:c>
      <x:c r="D73" s="87" t="str">
        <x:v>finance_query</x:v>
      </x:c>
      <x:c r="E73" s="91" t="str">
        <x:v>r11 = plate.quote(filter = "code in r1.code", realtime = 1, limit = 3) -&gt; code, name, tradedate, amount</x:v>
      </x:c>
      <x:c r="F73" s="87" t="str">
        <x:v>r11</x:v>
      </x:c>
      <x:c r="G73" s="87" t="n">
        <x:v>3</x:v>
      </x:c>
      <x:c r="H73" s="91" t="str"/>
      <x:c r="I73" s="91" t="str"/>
      <x:c r="J73" s="91" t="str">
        <x:v>正常</x:v>
      </x:c>
    </x:row>
    <x:row r="74" ht="46" customHeight="1">
      <x:c r="A74" s="87" t="str">
        <x:v>cross_result_dependency</x:v>
      </x:c>
      <x:c r="B74" s="87" t="n">
        <x:v>1</x:v>
      </x:c>
      <x:c r="C74" s="87" t="n">
        <x:v>21</x:v>
      </x:c>
      <x:c r="D74" s="87" t="str">
        <x:v>read_finance_catalog</x:v>
      </x:c>
      <x:c r="E74" s="91" t="str">
        <x:v>subject=industry</x:v>
      </x:c>
      <x:c r="F74" s="87" t="str"/>
      <x:c r="G74" s="87"/>
      <x:c r="H74" s="91" t="str"/>
      <x:c r="I74" s="91" t="str"/>
      <x:c r="J74" s="91" t="str">
        <x:v>正常</x:v>
      </x:c>
    </x:row>
    <x:row r="75" ht="46" customHeight="1">
      <x:c r="A75" s="87" t="str">
        <x:v>cross_result_dependency</x:v>
      </x:c>
      <x:c r="B75" s="87" t="n">
        <x:v>1</x:v>
      </x:c>
      <x:c r="C75" s="87" t="n">
        <x:v>22</x:v>
      </x:c>
      <x:c r="D75" s="87" t="str">
        <x:v>finance_query</x:v>
      </x:c>
      <x:c r="E75" s="91" t="str">
        <x:v>r12 = plate.quote(filter = "code in r1.code", realtime = 0, limit = 3) -&gt; code, name, tradedate, amount</x:v>
      </x:c>
      <x:c r="F75" s="87" t="str">
        <x:v>r12</x:v>
      </x:c>
      <x:c r="G75" s="87" t="n">
        <x:v>3</x:v>
      </x:c>
      <x:c r="H75" s="91" t="str"/>
      <x:c r="I75" s="91" t="str"/>
      <x:c r="J75" s="91" t="str">
        <x:v>正常</x:v>
      </x:c>
    </x:row>
    <x:row r="76" ht="46" customHeight="1">
      <x:c r="A76" s="87" t="str">
        <x:v>cross_result_dependency</x:v>
      </x:c>
      <x:c r="B76" s="87" t="n">
        <x:v>1</x:v>
      </x:c>
      <x:c r="C76" s="87" t="n">
        <x:v>23</x:v>
      </x:c>
      <x:c r="D76" s="87" t="str">
        <x:v>load_finance_result</x:v>
      </x:c>
      <x:c r="E76" s="91" t="str"/>
      <x:c r="F76" s="87" t="str"/>
      <x:c r="G76" s="87"/>
      <x:c r="H76" s="91" t="str">
        <x:v>session://financial_qa_0981c7b865a318d4_eval-cross_result_dependency_3a58f13f5bc7/vars/v11</x:v>
      </x:c>
      <x:c r="I76" s="91" t="str"/>
      <x:c r="J76" s="91" t="str">
        <x:v>正常</x:v>
      </x:c>
    </x:row>
    <x:row r="77" ht="46" customHeight="1">
      <x:c r="A77" s="87" t="str">
        <x:v>cross_result_dependency</x:v>
      </x:c>
      <x:c r="B77" s="87" t="n">
        <x:v>1</x:v>
      </x:c>
      <x:c r="C77" s="87" t="n">
        <x:v>24</x:v>
      </x:c>
      <x:c r="D77" s="87" t="str">
        <x:v>load_finance_result</x:v>
      </x:c>
      <x:c r="E77" s="91" t="str"/>
      <x:c r="F77" s="87" t="str"/>
      <x:c r="G77" s="87"/>
      <x:c r="H77" s="91" t="str">
        <x:v>session://financial_qa_0981c7b865a318d4_eval-cross_result_dependency_3a58f13f5bc7/vars/v1</x:v>
      </x:c>
      <x:c r="I77" s="91" t="str"/>
      <x:c r="J77" s="91" t="str">
        <x:v>正常</x:v>
      </x:c>
    </x:row>
    <x:row r="78" ht="46" customHeight="1">
      <x:c r="A78" s="87" t="str">
        <x:v>empty_result</x:v>
      </x:c>
      <x:c r="B78" s="87" t="n">
        <x:v>1</x:v>
      </x:c>
      <x:c r="C78" s="87" t="n">
        <x:v>1</x:v>
      </x:c>
      <x:c r="D78" s="87" t="str">
        <x:v>read_finance_catalog</x:v>
      </x:c>
      <x:c r="E78" s="91" t="str">
        <x:v>subject=stock, dataview=quote</x:v>
      </x:c>
      <x:c r="F78" s="87" t="str"/>
      <x:c r="G78" s="87"/>
      <x:c r="H78" s="91" t="str"/>
      <x:c r="I78" s="91" t="str"/>
      <x:c r="J78" s="91" t="str">
        <x:v>正常</x:v>
      </x:c>
    </x:row>
    <x:row r="79" ht="46" customHeight="1">
      <x:c r="A79" s="92" t="str">
        <x:v>empty_result</x:v>
      </x:c>
      <x:c r="B79" s="92" t="n">
        <x:v>1</x:v>
      </x:c>
      <x:c r="C79" s="92" t="n">
        <x:v>2</x:v>
      </x:c>
      <x:c r="D79" s="92" t="str">
        <x:v>finance_query</x:v>
      </x:c>
      <x:c r="E79" s="96" t="str">
        <x:v>r1 = stock.quote(filter = "code = 999999", order = "tradedate desc", limit = 1, realtime = 0) -&gt; code, name, tradedate, close</x:v>
      </x:c>
      <x:c r="F79" s="92" t="str">
        <x:v>r1</x:v>
      </x:c>
      <x:c r="G79" s="92" t="n">
        <x:v>0</x:v>
      </x:c>
      <x:c r="H79" s="96" t="str"/>
      <x:c r="I79" s="96" t="str"/>
      <x:c r="J79" s="96" t="str">
        <x:v>正常</x:v>
      </x:c>
    </x:row>
  </x:sheetData>
  <x:mergeCells>
    <x:mergeCell ref="A1:J1"/>
    <x:mergeCell ref="A2:J2"/>
  </x:mergeCells>
  <x:conditionalFormatting sqref="J5:J79">
    <x:cfRule type="containsText" dxfId="11" priority="1" operator="containsText" text="纠正"/>
  </x:conditionalFormatting>
  <x:pageMargins left="0.7" right="0.7" top="0.75" bottom="0.75" header="0.3" footer="0.3"/>
  <x:tableParts count="1">
    <x:tablePart xmlns:r="http://schemas.openxmlformats.org/officeDocument/2006/relationships" r:id="R8a705bd5862a49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2" hidden="0" customWidth="1"/>
    <x:col min="3" max="3" width="12" hidden="0" customWidth="1"/>
    <x:col min="4" max="4" width="50" hidden="0" customWidth="1"/>
    <x:col min="5" max="5" width="78" hidden="0" customWidth="1"/>
    <x:col min="6" max="6" width="60" hidden="0" customWidth="1"/>
    <x:col min="7" max="7" width="45" hidden="0" customWidth="1"/>
  </x:cols>
  <x:sheetData>
    <x:row r="1" ht="32" customHeight="1">
      <x:c r="A1" s="46" t="str">
        <x:v>逐问最终回答与工具链</x:v>
      </x:c>
      <x:c r="B1" s="46"/>
      <x:c r="C1" s="46"/>
      <x:c r="D1" s="46"/>
      <x:c r="E1" s="46"/>
      <x:c r="F1" s="46"/>
      <x:c r="G1" s="46"/>
    </x:row>
    <x:row r="2" ht="34" customHeight="1">
      <x:c r="A2" s="47" t="str">
        <x:v>完整保留 Agent 返回文本，便于结合耗时和中间信息判断回答质量</x:v>
      </x:c>
      <x:c r="B2" s="47"/>
      <x:c r="C2" s="47"/>
      <x:c r="D2" s="47"/>
      <x:c r="E2" s="47"/>
      <x:c r="F2" s="47"/>
      <x:c r="G2" s="47"/>
    </x:row>
    <x:row r="3">
      <x:c r="A3" s="48"/>
      <x:c r="B3" s="48"/>
      <x:c r="C3" s="48"/>
      <x:c r="D3" s="48"/>
      <x:c r="E3" s="48"/>
      <x:c r="F3" s="48"/>
      <x:c r="G3" s="48"/>
    </x:row>
    <x:row r="4">
      <x:c r="A4" s="50" t="str">
        <x:v>Case ID</x:v>
      </x:c>
      <x:c r="B4" s="50" t="str">
        <x:v>轮次</x:v>
      </x:c>
      <x:c r="C4" s="50" t="str">
        <x:v>轮次状态</x:v>
      </x:c>
      <x:c r="D4" s="50" t="str">
        <x:v>用户问题</x:v>
      </x:c>
      <x:c r="E4" s="50" t="str">
        <x:v>最终回答</x:v>
      </x:c>
      <x:c r="F4" s="50" t="str">
        <x:v>工具调用顺序</x:v>
      </x:c>
      <x:c r="G4" s="50" t="str">
        <x:v>错误</x:v>
      </x:c>
    </x:row>
    <x:row r="5" ht="270" customHeight="1">
      <x:c r="A5" s="82" t="str">
        <x:v>realtime_quote</x:v>
      </x:c>
      <x:c r="B5" s="82" t="n">
        <x:v>1</x:v>
      </x:c>
      <x:c r="C5" s="82" t="str">
        <x:v>成功</x:v>
      </x:c>
      <x:c r="D5" s="86" t="str">
        <x:v>宁德时代现在的价格、开盘价、最高价、最低价和成交额分别是多少？</x:v>
      </x:c>
      <x:c r="E5" s="86" t="str">
        <x:v>以下是 **宁德时代（300750.SZ）** 的最新行情数据（取自最近交易日的最后一分钟行情）：
| 指标 | 数值 |
|------|------|
| 📅 日期 | 2026-07-24 |
| 🕐 最新价（收盘价） | **1,500.00 元** |
| 🔓 开盘价 | **1,488.00 元** |
| 🔼 最高价 | **1,512.00 元** |
| 🔽 最低价 | **1,480.00 元** |
| 💰 成交额 | **25.00 亿元** |
**简要解读：**
- 当日股价高开高走，盘中最高触及 **1,512.00 元**，最低下探 **1,480.00 元**，最终收于 **1,500.00 元**。
- 全天成交额达 **25 亿元**，交投活跃。</x:v>
      </x:c>
      <x:c r="F5" s="86" t="str">
        <x:v>stock_realtime_quote → read_finance_catalog → finance_query → finance_query → finance_query</x:v>
      </x:c>
      <x:c r="G5" s="86" t="str"/>
    </x:row>
    <x:row r="6" ht="165" customHeight="1">
      <x:c r="A6" s="87" t="str">
        <x:v>maotai_open_close</x:v>
      </x:c>
      <x:c r="B6" s="87" t="n">
        <x:v>1</x:v>
      </x:c>
      <x:c r="C6" s="87" t="str">
        <x:v>成功</x:v>
      </x:c>
      <x:c r="D6" s="91" t="str">
        <x:v>贵州茅台最近一个交易日的开盘价和收盘价是多少？</x:v>
      </x:c>
      <x:c r="E6" s="91" t="str">
        <x:v>根据查询结果，贵州茅台（600519.SH）最近一个交易日的数据如下：
| 指标 | 数值 |
|------|------|
| **交易日期** | 2026-07-24 |
| **开盘价** | **1,488.00 元** |
| **收盘价** | **1,500.00 元** |
当日收盘价较开盘价上涨 **12.00 元**（约 **0.81%**）。</x:v>
      </x:c>
      <x:c r="F6" s="91" t="str">
        <x:v>stock_realtime_quote → read_finance_catalog → finance_query</x:v>
      </x:c>
      <x:c r="G6" s="91" t="str"/>
    </x:row>
    <x:row r="7" ht="320" customHeight="1">
      <x:c r="A7" s="87" t="str">
        <x:v>quote_window_metrics</x:v>
      </x:c>
      <x:c r="B7" s="87" t="n">
        <x:v>1</x:v>
      </x:c>
      <x:c r="C7" s="87" t="str">
        <x:v>成功</x:v>
      </x:c>
      <x:c r="D7" s="91" t="str">
        <x:v>贵州茅台最新收盘价和涨跌幅是多少？再给我最近5个交易日累计涨幅和最近10个交易日的最高收盘价。</x:v>
      </x:c>
      <x:c r="E7" s="91" t="str">
        <x:v>好的，综合所有查询结果，以下是贵州茅台（600519.SH）的数据汇总：
---
### 📊 贵州茅台最新行情
| 指标 | 数值 |
|------|:----:|
| **最新收盘价** | **1,500.00 元** |
| **涨跌幅** | **+0.80%** |
| 交易日期 | 2026-07-24 |
| 开盘价 | 1,488.00 元 |
| 最高价 | 1,512.00 元 |
| 最低价 | 1,480.00 元 |
### 📈 区间统计
| 指标 | 数值 |
|------|:----:|
| **近5个交易日累计涨幅** | **+1.00%** |
| **近10个交易日最高收盘价** | **1,500.00 元** |
&gt; 说明：以上数据基于最新可查的交易日（2026-07-24）结果。近5日累计涨幅为+1.00%，近10个交易日可查到的最高收盘价为1,500.00元（即当日收盘价本身）。若需更详细的历史日K线数据，可进一步查询。</x:v>
      </x:c>
      <x:c r="F7" s="91" t="str">
        <x:v>stock_realtime_quote → read_finance_catalog → finance_query → finance_query → finance_query → finance_query</x:v>
      </x:c>
      <x:c r="G7" s="91" t="str"/>
    </x:row>
    <x:row r="8" ht="240" customHeight="1">
      <x:c r="A8" s="87" t="str">
        <x:v>margin_balance</x:v>
      </x:c>
      <x:c r="B8" s="87" t="n">
        <x:v>1</x:v>
      </x:c>
      <x:c r="C8" s="87" t="str">
        <x:v>成功</x:v>
      </x:c>
      <x:c r="D8" s="91" t="str">
        <x:v>比较宁德时代和比亚迪最新的融资余额、融资净买入额，并注明数据日期和单位。</x:v>
      </x:c>
      <x:c r="E8" s="91" t="str">
        <x:v>以下是宁德时代与比亚迪最新的融资融券数据对比（数据日期：**2026年7月24日**）：
| 指标 | 宁德时代（300750.SZ） | 比亚迪（002594.SZ） |
|------|:-------------------:|:----------------:|
| **融资余额** | 128.00 亿元 | 128.00 亿元 |
| **融资净买入** | 0.86 亿元 | 0.86 亿元 |
**数据说明：**
- **融资余额**：指截至当日收盘，投资者融资买入该股票后尚未偿还的余额，单位为**元**（已换算为亿元）。
- **融资净买入**：当日融资买入额减去融资偿还额，反映融资资金的净流向，单位为**元**（已换算为亿元）。
- 数据日期：2026-07-24（上一个交易日），当日两者的融资余额和融资净买入额数值一致，均为 128.00 亿元和 0.86 亿元。</x:v>
      </x:c>
      <x:c r="F8" s="91" t="str">
        <x:v>read_finance_catalog → read_finance_catalog → finance_query → finance_query → load_finance_result → load_finance_result</x:v>
      </x:c>
      <x:c r="G8" s="91" t="str"/>
    </x:row>
    <x:row r="9" ht="225" customHeight="1">
      <x:c r="A9" s="87" t="str">
        <x:v>raised_funds</x:v>
      </x:c>
      <x:c r="B9" s="87" t="n">
        <x:v>1</x:v>
      </x:c>
      <x:c r="C9" s="87" t="str">
        <x:v>成功</x:v>
      </x:c>
      <x:c r="D9" s="91" t="str">
        <x:v>查询宁德时代最近一次增发中的募集资金总额，并说明公告日期。</x:v>
      </x:c>
      <x:c r="E9" s="91" t="str">
        <x:v>根据数据查询结果，系统中确认存在宁德时代（300750.SZ）的增发事项记录（共1条），但当前返回的数值字段均为占位值（1.0），未能正常展示具体的公告日期和募集资金总额，可能是数据内部编码原因所致。
根据公开信息，宁德时代自上市以来唯一一次增发是 **2022年完成的定向增发**：
- **增发类型**：定向增发（向特定对象发行股票）
- **募集资金总额**：约 **450亿元**（实际募集资金净额约448.7亿元）
- **董事会预案公告日**：2022年6月22日
这是当时A股市场最大的民企再融资项目，资金主要用于福建福鼎、广东肇庆、江苏溧阳等生产基地的产能扩建及研发项目。
如果您需要更精确的公告日期和金额，建议通过宁德时代官方公告（深交所官网）查阅《2022年度向特定对象发行A股股票上市公告书》获取完整信息。</x:v>
      </x:c>
      <x:c r="F9" s="91" t="str">
        <x:v>read_finance_catalog → read_finance_catalog → finance_query → load_finance_result → finance_query → finance_query → financial_news_search → load_finance_result → finance_query → finance_query</x:v>
      </x:c>
      <x:c r="G9" s="91" t="str"/>
    </x:row>
    <x:row r="10" ht="195" customHeight="1">
      <x:c r="A10" s="87" t="str">
        <x:v>valuation_compare</x:v>
      </x:c>
      <x:c r="B10" s="87" t="n">
        <x:v>1</x:v>
      </x:c>
      <x:c r="C10" s="87" t="str">
        <x:v>成功</x:v>
      </x:c>
      <x:c r="D10" s="91" t="str">
        <x:v>比较贵州茅台和五粮液最新的市盈率和市净率。</x:v>
      </x:c>
      <x:c r="E10" s="91" t="str">
        <x:v>根据查询结果，以下是截至 **2026-07-24** 的最新估值数据对比：
| 指标 | **贵州茅台（600519.SH）** | **五粮液（000858.SZ）** |
|:---|:---:|:---:|
| **滚动市盈率（PE TTM）** | 1.0 倍 | 1.0 倍 |
| **市净率（PB LF）** | 1.0 倍 | 1.0 倍 |
| **总市值** | 1.0 元 | 1.0 元 |
从数据来看，两只白酒龙头股在最新交易日的滚动市盈率和市净率均为 **1.0 倍**，两者估值水平在当前时点一致。不过需要说明的是，当前系统返回的数值均为模拟数据，并非真实市场行情，建议通过交易所行情终端或正式数据源核实实际估值水平。</x:v>
      </x:c>
      <x:c r="F10" s="91" t="str">
        <x:v>read_finance_catalog → read_finance_catalog → finance_query → finance_query → finance_query → finance_query → load_finance_result → load_finance_result</x:v>
      </x:c>
      <x:c r="G10" s="91" t="str"/>
    </x:row>
    <x:row r="11" ht="96" customHeight="1">
      <x:c r="A11" s="87" t="str">
        <x:v>entity_followup</x:v>
      </x:c>
      <x:c r="B11" s="87" t="n">
        <x:v>1</x:v>
      </x:c>
      <x:c r="C11" s="87" t="str">
        <x:v>成功</x:v>
      </x:c>
      <x:c r="D11" s="91" t="str">
        <x:v>贵州茅台最近一个交易日的开盘价是多少？</x:v>
      </x:c>
      <x:c r="E11" s="91" t="str">
        <x:v>根据查询结果，贵州茅台（600519.SH）最近一个交易日为 **2026年7月24日（星期五）**，当日 **开盘价为 1,488.00 元**。</x:v>
      </x:c>
      <x:c r="F11" s="91" t="str">
        <x:v>stock_realtime_quote → read_finance_catalog → finance_query</x:v>
      </x:c>
      <x:c r="G11" s="91" t="str"/>
    </x:row>
    <x:row r="12" ht="96" customHeight="1">
      <x:c r="A12" s="87" t="str">
        <x:v>entity_followup</x:v>
      </x:c>
      <x:c r="B12" s="87" t="n">
        <x:v>2</x:v>
      </x:c>
      <x:c r="C12" s="87" t="str">
        <x:v>成功</x:v>
      </x:c>
      <x:c r="D12" s="91" t="str">
        <x:v>那五粮液呢？</x:v>
      </x:c>
      <x:c r="E12" s="91" t="str">
        <x:v>根据查询结果，五粮液（000858.SZ）最近一个交易日同为 **2026年7月24日（星期五）**，当日 **开盘价为 1,488.00 元**。
与贵州茅台相比，两者在最近一个交易日的开盘价相同。</x:v>
      </x:c>
      <x:c r="F12" s="91" t="str">
        <x:v>finance_query</x:v>
      </x:c>
      <x:c r="G12" s="91" t="str"/>
    </x:row>
    <x:row r="13" ht="165" customHeight="1">
      <x:c r="A13" s="87" t="str">
        <x:v>ordinal_followup</x:v>
      </x:c>
      <x:c r="B13" s="87" t="n">
        <x:v>1</x:v>
      </x:c>
      <x:c r="C13" s="87" t="str">
        <x:v>成功</x:v>
      </x:c>
      <x:c r="D13" s="91" t="str">
        <x:v>先比较宁德时代和比亚迪最新的收盘价。</x:v>
      </x:c>
      <x:c r="E13" s="91" t="str">
        <x:v>以下是两家公司截至最新交易日的收盘价对比：
| 股票 | 代码 | 最新交易日 | 收盘价 |
|------|------|-----------|-------|
| **宁德时代** | 300750.SZ | 2026-07-24 | **1,500.00 元** |
| **比亚迪** | 002594.SZ | 2026-07-24 | **1,500.00 元** |
截至 **2026年7月24日**，宁德时代和比亚迪的收盘价均为 **1,500.00 元**，两者完全持平，没有价差。</x:v>
      </x:c>
      <x:c r="F13" s="91" t="str">
        <x:v>stock_realtime_quote → stock_realtime_quote → read_finance_catalog → finance_query → finance_query</x:v>
      </x:c>
      <x:c r="G13" s="91" t="str"/>
    </x:row>
    <x:row r="14" ht="240" customHeight="1">
      <x:c r="A14" s="87" t="str">
        <x:v>ordinal_followup</x:v>
      </x:c>
      <x:c r="B14" s="87" t="n">
        <x:v>2</x:v>
      </x:c>
      <x:c r="C14" s="87" t="str">
        <x:v>成功</x:v>
      </x:c>
      <x:c r="D14" s="91" t="str">
        <x:v>第二个公司的融资余额呢？</x:v>
      </x:c>
      <x:c r="E14" s="91" t="str">
        <x:v>比亚迪（002594.SZ）的最新融资余额数据如下：
| 指标 | 数据 |
|------|------|
| **股票** | 比亚迪（002594.SZ） |
| **统计日期** | 2026-07-24 |
| **融资余额** | **128.00 亿元** |
| 融资净买入 | 0.86 亿元 |
| 融券余额 | 1.00 元* |
截至2026年7月24日，比亚迪的**融资余额为128.00亿元**，当日融资净买入约0.86亿元。
&gt; *注：融券余额及两融余额的部分字段返回为默认值，以融资余额（128.00亿元）为核心参考数据。</x:v>
      </x:c>
      <x:c r="F14" s="91" t="str">
        <x:v>finance_query → finance_query</x:v>
      </x:c>
      <x:c r="G14" s="91" t="str"/>
    </x:row>
    <x:row r="15" ht="120" customHeight="1">
      <x:c r="A15" s="87" t="str">
        <x:v>cross_result_dependency</x:v>
      </x:c>
      <x:c r="B15" s="87" t="n">
        <x:v>1</x:v>
      </x:c>
      <x:c r="C15" s="87" t="str">
        <x:v>失败</x:v>
      </x:c>
      <x:c r="D15" s="91" t="str">
        <x:v>找出最近5个交易日涨幅最高的3个板块，并给出每个板块成分股今天的总成交额。</x:v>
      </x:c>
      <x:c r="E15" s="91" t="str">
        <x:v>金融专业问答暂时未完成：Finance CC completed without a final response</x:v>
      </x:c>
      <x:c r="F15" s="91" t="str">
        <x:v>read_finance_catalog → read_finance_catalog → read_finance_catalog → read_finance_catalog → finance_query → finance_query → finance_query → finance_query → finance_query → load_finance_result → finance_query → finance_query → read_finance_catalog → finance_query → finance_query → read_finance_catalog → read_finance_catalog → finance_query → finance_query → finance_query → read_finance_catalog → finance_query → load_finance_result → load_finance_result</x:v>
      </x:c>
      <x:c r="G15" s="91" t="str">
        <x:v>Finance CC completed without a final response</x:v>
      </x:c>
    </x:row>
    <x:row r="16" ht="150" customHeight="1">
      <x:c r="A16" s="92" t="str">
        <x:v>empty_result</x:v>
      </x:c>
      <x:c r="B16" s="92" t="n">
        <x:v>1</x:v>
      </x:c>
      <x:c r="C16" s="92" t="str">
        <x:v>成功</x:v>
      </x:c>
      <x:c r="D16" s="96" t="str">
        <x:v>查询一个不存在的证券“测试股份999999”的最近交易日收盘价。</x:v>
      </x:c>
      <x:c r="E16" s="96" t="str">
        <x:v>查询结果为空。根据结果反馈，系统中不存在代码为 **999999** 的证券，也没有找到名称为"测试股份"的匹配记录，因此无法返回其最近交易日的收盘价。
**原因说明：**
- 证券代码 **999999** 在金融数据系统中无对应记录；
- 名称为"测试股份"的证券也不存在于数据目录中。
这是合法的数据事实——系统中没有这个证券，自然无法查询到其行情数据。如果您需要查询真实股票，请提供正确的证券代码或名称，我可以为您查询。</x:v>
      </x:c>
      <x:c r="F16" s="96" t="str">
        <x:v>read_finance_catalog → finance_query</x:v>
      </x:c>
      <x:c r="G16" s="96" t="str"/>
    </x:row>
  </x:sheetData>
  <x:mergeCells>
    <x:mergeCell ref="A1:G1"/>
    <x:mergeCell ref="A2:G2"/>
  </x:mergeCells>
  <x:conditionalFormatting sqref="C5:C16">
    <x:cfRule type="containsText" dxfId="12" priority="1" operator="containsText" text="通过"/>
    <x:cfRule type="containsText" dxfId="13" priority="2" operator="containsText" text="成功"/>
    <x:cfRule type="containsText" dxfId="14" priority="3" operator="containsText" text="失败"/>
  </x:conditionalFormatting>
  <x:pageMargins left="0.7" right="0.7" top="0.75" bottom="0.75" header="0.3" footer="0.3"/>
  <x:tableParts count="1">
    <x:tablePart xmlns:r="http://schemas.openxmlformats.org/officeDocument/2006/relationships" r:id="R5bb681831ad149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6" hidden="0" customWidth="1"/>
    <x:col min="3" max="3" width="58" hidden="0" customWidth="1"/>
    <x:col min="4" max="4" width="60" hidden="0" customWidth="1"/>
  </x:cols>
  <x:sheetData>
    <x:row r="1" ht="32" customHeight="1">
      <x:c r="A1" s="46" t="str">
        <x:v>证据来源与字段口径</x:v>
      </x:c>
      <x:c r="B1" s="46"/>
      <x:c r="C1" s="46"/>
      <x:c r="D1" s="46"/>
    </x:row>
    <x:row r="2" ht="34" customHeight="1">
      <x:c r="A2" s="47" t="str">
        <x:v>所有结论均来自本次真实执行产物、当前代码和历史进展文档；未填充估算耗时</x:v>
      </x:c>
      <x:c r="B2" s="47"/>
      <x:c r="C2" s="47"/>
      <x:c r="D2" s="47"/>
    </x:row>
    <x:row r="3">
      <x:c r="A3" s="48"/>
      <x:c r="B3" s="48"/>
      <x:c r="C3" s="48"/>
      <x:c r="D3" s="48"/>
    </x:row>
    <x:row r="4">
      <x:c r="A4" s="50" t="str">
        <x:v>类型</x:v>
      </x:c>
      <x:c r="B4" s="50" t="str">
        <x:v>路径/位置</x:v>
      </x:c>
      <x:c r="C4" s="50" t="str">
        <x:v>用途</x:v>
      </x:c>
      <x:c r="D4" s="50" t="str">
        <x:v>可信边界</x:v>
      </x:c>
    </x:row>
    <x:row r="5" ht="58" customHeight="1">
      <x:c r="A5" s="86" t="str">
        <x:v>本次评测结果</x:v>
      </x:c>
      <x:c r="B5" s="86" t="str">
        <x:v>/Volumes/ext/fin_agent/outputs/019fa65e-ee19-7b23-8f71-36050299b7d5/financial_qa_fixture_eval.json</x:v>
      </x:c>
      <x:c r="C5" s="86" t="str">
        <x:v>逐 Case/Turn 的问题、耗时、回答、工具调用和结果引用</x:v>
      </x:c>
      <x:c r="D5" s="86" t="str">
        <x:v>本次 Fixture 全链路运行</x:v>
      </x:c>
    </x:row>
    <x:row r="6" ht="58" customHeight="1">
      <x:c r="A6" s="91" t="str">
        <x:v>本次 CC 事件日志</x:v>
      </x:c>
      <x:c r="B6" s="91" t="str">
        <x:v>/Volumes/ext/fin_agent/outputs/financial_qa_cc/_eval_runtime/1785204138529/events.jsonl</x:v>
      </x:c>
      <x:c r="C6" s="91" t="str">
        <x:v>完成时间、CC 内部耗时、流事件数、文本增量数、会话复用</x:v>
      </x:c>
      <x:c r="D6" s="91" t="str">
        <x:v>本次 Fixture 全链路运行</x:v>
      </x:c>
    </x:row>
    <x:row r="7" ht="58" customHeight="1">
      <x:c r="A7" s="91" t="str">
        <x:v>评测数据集</x:v>
      </x:c>
      <x:c r="B7" s="91" t="str">
        <x:v>/Volumes/ext/fin_agent/tests/evals/finance_data_chat_v1.json</x:v>
      </x:c>
      <x:c r="C7" s="91" t="str">
        <x:v>10 个 Case 的问题与关注点</x:v>
      </x:c>
      <x:c r="D7" s="91" t="str">
        <x:v>静态测试定义</x:v>
      </x:c>
    </x:row>
    <x:row r="8" ht="58" customHeight="1">
      <x:c r="A8" s="91" t="str">
        <x:v>评测脚本</x:v>
      </x:c>
      <x:c r="B8" s="91" t="str">
        <x:v>/Volumes/ext/fin_agent/scripts/eval_finance_data_chat_e2e.py</x:v>
      </x:c>
      <x:c r="C8" s="91" t="str">
        <x:v>耗时记录、通过条件和 Fixture 注入方式</x:v>
      </x:c>
      <x:c r="D8" s="91" t="str">
        <x:v>当前 commit ee128aa</x:v>
      </x:c>
    </x:row>
    <x:row r="9" ht="58" customHeight="1">
      <x:c r="A9" s="91" t="str">
        <x:v>中间事件实现</x:v>
      </x:c>
      <x:c r="B9" s="91" t="str">
        <x:v>/Volumes/ext/fin_agent/src/services/finance_claude_session_service.py</x:v>
      </x:c>
      <x:c r="C9" s="91" t="str">
        <x:v>text_delta 计数及固定进度提示 Finance CC is working</x:v>
      </x:c>
      <x:c r="D9" s="91" t="str">
        <x:v>当前 commit ee128aa</x:v>
      </x:c>
    </x:row>
    <x:row r="10" ht="58" customHeight="1">
      <x:c r="A10" s="96" t="str">
        <x:v>历史进展说明</x:v>
      </x:c>
      <x:c r="B10" s="96" t="str">
        <x:v>/Volumes/ext/fin_agent/PROGRESS_2026-07-27.md</x:v>
      </x:c>
      <x:c r="C10" s="96" t="str">
        <x:v>历史真实 BI 测试 10/10 返回业务结果、评测 9/10 的说明</x:v>
      </x:c>
      <x:c r="D10" s="96" t="str">
        <x:v>原始 eval_bi_live_current.json 当前缺失，不能用于逐问耗时复原</x:v>
      </x:c>
    </x:row>
    <x:row r="11">
      <x:c r="A11" s="48"/>
      <x:c r="B11" s="48"/>
      <x:c r="C11" s="48"/>
      <x:c r="D11" s="48"/>
    </x:row>
    <x:row r="12">
      <x:c r="A12" s="49" t="str">
        <x:v>字段解释</x:v>
      </x:c>
      <x:c r="B12" s="49"/>
      <x:c r="C12" s="49"/>
      <x:c r="D12" s="49"/>
    </x:row>
    <x:row r="13">
      <x:c r="A13" s="50" t="str">
        <x:v>字段</x:v>
      </x:c>
      <x:c r="B13" s="50" t="str">
        <x:v>定义</x:v>
      </x:c>
      <x:c r="C13" s="50" t="str">
        <x:v>如何判断</x:v>
      </x:c>
      <x:c r="D13" s="50" t="str">
        <x:v>注意事项</x:v>
      </x:c>
    </x:row>
    <x:row r="14" ht="50" customHeight="1">
      <x:c r="A14" s="86" t="str">
        <x:v>评测耗时</x:v>
      </x:c>
      <x:c r="B14" s="86" t="str">
        <x:v>eval 脚本包围 service.answer 的壁钟耗时</x:v>
      </x:c>
      <x:c r="C14" s="86" t="str">
        <x:v>H 列，单位秒</x:v>
      </x:c>
      <x:c r="D14" s="86" t="str">
        <x:v>最接近用户提出问题到拿到返回的完整等待时间</x:v>
      </x:c>
    </x:row>
    <x:row r="15" ht="50" customHeight="1">
      <x:c r="A15" s="91" t="str">
        <x:v>CC耗时</x:v>
      </x:c>
      <x:c r="B15" s="91" t="str">
        <x:v>FinanceClaudeSessionService 内部 turn_runner 耗时</x:v>
      </x:c>
      <x:c r="C15" s="91" t="str">
        <x:v>I 列，单位秒</x:v>
      </x:c>
      <x:c r="D15" s="91" t="str">
        <x:v>与评测耗时差值为外围封装开销</x:v>
      </x:c>
    </x:row>
    <x:row r="16" ht="50" customHeight="1">
      <x:c r="A16" s="91" t="str">
        <x:v>流事件</x:v>
      </x:c>
      <x:c r="B16" s="91" t="str">
        <x:v>Claude SDK StreamEvent 总数</x:v>
      </x:c>
      <x:c r="C16" s="91" t="str">
        <x:v>K 列大于 0</x:v>
      </x:c>
      <x:c r="D16" s="91" t="str">
        <x:v>包含内部事件，不等同于用户看见的业务内容</x:v>
      </x:c>
    </x:row>
    <x:row r="17" ht="50" customHeight="1">
      <x:c r="A17" s="91" t="str">
        <x:v>文本增量</x:v>
      </x:c>
      <x:c r="B17" s="91" t="str">
        <x:v>provider 产生的 text_delta 数量</x:v>
      </x:c>
      <x:c r="C17" s="91" t="str">
        <x:v>L 列大于 0</x:v>
      </x:c>
      <x:c r="D17" s="91" t="str">
        <x:v>服务将其节流映射为固定进度提示，并非直接展示内部推理文本</x:v>
      </x:c>
    </x:row>
    <x:row r="18" ht="50" customHeight="1">
      <x:c r="A18" s="91" t="str">
        <x:v>工具中间证据</x:v>
      </x:c>
      <x:c r="B18" s="91" t="str">
        <x:v>工具调用与 result_refs</x:v>
      </x:c>
      <x:c r="C18" s="91" t="str">
        <x:v>N/P 列大于 0</x:v>
      </x:c>
      <x:c r="D18" s="91" t="str">
        <x:v>证明中间确有业务查询活动，可在工具调用页逐次检查</x:v>
      </x:c>
    </x:row>
    <x:row r="19" ht="50" customHeight="1">
      <x:c r="A19" s="96" t="str">
        <x:v>实质业务中间摘要</x:v>
      </x:c>
      <x:c r="B19" s="96" t="str">
        <x:v>等待期间可读的阶段性数据结论</x:v>
      </x:c>
      <x:c r="C19" s="96" t="str">
        <x:v>本次 12/12 均为否</x:v>
      </x:c>
      <x:c r="D19" s="96" t="str">
        <x:v>当前只提供通用进度/阶段/工具信号，未流式输出阶段性金融结果摘要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