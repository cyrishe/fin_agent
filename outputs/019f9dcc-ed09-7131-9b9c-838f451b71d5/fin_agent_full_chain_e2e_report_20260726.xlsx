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cf5e8499c41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a4793b66998146b2"/>
    <x:sheet xmlns:r="http://schemas.openxmlformats.org/officeDocument/2006/relationships" name="案例明细" sheetId="2" r:id="R6b93d7f547274e84"/>
    <x:sheet xmlns:r="http://schemas.openxmlformats.org/officeDocument/2006/relationships" name="步骤记录" sheetId="3" r:id="R5d89873df6da4ba8"/>
    <x:sheet xmlns:r="http://schemas.openxmlformats.org/officeDocument/2006/relationships" name="问题汇总" sheetId="4" r:id="Rb75132b437994e19"/>
    <x:sheet xmlns:r="http://schemas.openxmlformats.org/officeDocument/2006/relationships" name="测试口径" sheetId="5" r:id="R8fa7afd2af2f44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0" fontId="0" fillId="4" borderId="3" xfId="0" applyNumberFormat="1" applyFont="1" applyFill="1" applyBorder="1"/>
    <x:xf numFmtId="200" fontId="0" fillId="4" borderId="4" xfId="0" applyNumberFormat="1" applyFont="1" applyFill="1" applyBorder="1"/>
    <x:xf numFmtId="201" fontId="0" fillId="4" borderId="4" xfId="0" applyNumberFormat="1" applyFont="1" applyFill="1" applyBorder="1"/>
    <x:xf numFmtId="200" fontId="4" fillId="4" borderId="3" xfId="0" applyNumberFormat="1" applyFont="1" applyFill="1" applyBorder="1"/>
    <x:xf numFmtId="200" fontId="4" fillId="4" borderId="4" xfId="0" applyNumberFormat="1" applyFont="1" applyFill="1" applyBorder="1"/>
    <x:xf numFmtId="201" fontId="4" fillId="4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5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7" borderId="4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201" fontId="0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C62828"/>
      </x:font>
      <x:fill>
        <x:patternFill patternType="solid">
          <x:bgColor rgb="FFFCE4D6"/>
        </x:patternFill>
      </x:fill>
    </x:dxf>
    <x:dxf>
      <x:font>
        <x:b/>
        <x:color rgb="FFBF7600"/>
      </x:font>
      <x:fill>
        <x:patternFill patternType="solid">
          <x:bgColor rgb="FFFFF2CC"/>
        </x:patternFill>
      </x:fill>
    </x:dxf>
    <x:dxf>
      <x:font>
        <x:b/>
        <x:color rgb="FFBF7600"/>
      </x:font>
      <x:fill>
        <x:patternFill patternType="solid">
          <x:bgColor rgb="FFFFF2CC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C62828"/>
      </x:font>
      <x:fill>
        <x:patternFill patternType="solid">
          <x:bgColor rgb="FFFCE4D6"/>
        </x:patternFill>
      </x:fill>
    </x:dxf>
    <x:dxf>
      <x:font>
        <x:b/>
        <x:color rgb="FFC62828"/>
      </x:font>
      <x:fill>
        <x:patternFill patternType="solid">
          <x:bgColor rgb="FFFCE4D6"/>
        </x:patternFill>
      </x:fill>
    </x:dxf>
    <x:dxf>
      <x:font>
        <x:b/>
        <x:color rgb="FFBF7600"/>
      </x:font>
      <x:fill>
        <x:patternFill patternType="solid">
          <x:bgColor rgb="FFFFF2CC"/>
        </x:patternFill>
      </x:fill>
    </x:dxf>
    <x:dxf>
      <x:font>
        <x:b/>
        <x:color rgb="FF2F75B5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233e94a9ee4142" /><Relationship Type="http://schemas.openxmlformats.org/officeDocument/2006/relationships/theme" Target="/xl/theme/theme1.xml" Id="Rfb3dcd4433484dfc" /><Relationship Type="http://schemas.openxmlformats.org/officeDocument/2006/relationships/sharedStrings" Target="/xl/sharedStrings.xml" Id="R7c5fbc3b0e0d4330" /><Relationship Type="http://schemas.openxmlformats.org/officeDocument/2006/relationships/worksheet" Target="/xl/worksheets/sheet1.xml" Id="Ra4793b66998146b2" /><Relationship Type="http://schemas.openxmlformats.org/officeDocument/2006/relationships/worksheet" Target="/xl/worksheets/sheet2.xml" Id="R6b93d7f547274e84" /><Relationship Type="http://schemas.openxmlformats.org/officeDocument/2006/relationships/worksheet" Target="/xl/worksheets/sheet3.xml" Id="R5d89873df6da4ba8" /><Relationship Type="http://schemas.openxmlformats.org/officeDocument/2006/relationships/worksheet" Target="/xl/worksheets/sheet4.xml" Id="Rb75132b437994e19" /><Relationship Type="http://schemas.openxmlformats.org/officeDocument/2006/relationships/worksheet" Target="/xl/worksheets/sheet5.xml" Id="R8fa7afd2af2f44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Fin Agent Custom Tool 全链路拟真测试</x:v>
      </x:c>
    </x:row>
    <x:row r="2">
      <x:c r="A2" s="5" t="str">
        <x:v>11 个中高难度案例｜真实 Chat API → Requirement → Design → Codex Coding → 技术测试｜未修改业务代码</x:v>
      </x:c>
    </x:row>
    <x:row r="4" ht="28" customHeight="1">
      <x:c r="A4" s="12" t="str">
        <x:v>核心指标</x:v>
      </x:c>
      <x:c r="B4" s="13" t="str">
        <x:v>结果</x:v>
      </x:c>
      <x:c r="D4" s="12" t="str">
        <x:v>结论</x:v>
      </x:c>
      <x:c r="E4" s="29" t="str"/>
      <x:c r="F4" s="29" t="str"/>
      <x:c r="G4" s="29" t="str"/>
      <x:c r="H4" s="13" t="str"/>
    </x:row>
    <x:row r="5" ht="34" customHeight="1">
      <x:c r="A5" s="16" t="str">
        <x:v>案例数</x:v>
      </x:c>
      <x:c r="B5" s="24" t="n">
        <x:f>COUNTA('案例明细'!A2:A12)</x:f>
        <x:v>11</x:v>
      </x:c>
      <x:c r="D5" s="34" t="str">
        <x:v>系统终态 5/11 通过，但按“至少 1 个真实运行 case”复核后仅 4/11 证据合格。</x:v>
      </x:c>
      <x:c r="E5" s="34"/>
      <x:c r="F5" s="34"/>
      <x:c r="G5" s="34"/>
      <x:c r="H5" s="34"/>
    </x:row>
    <x:row r="6" ht="34" customHeight="1">
      <x:c r="A6" s="18" t="str">
        <x:v>系统终态 Coding 通过</x:v>
      </x:c>
      <x:c r="B6" s="25" t="n">
        <x:f>COUNTIF('案例明细'!G2:G12,"coding_test_passed")</x:f>
        <x:v>5</x:v>
      </x:c>
      <x:c r="D6" s="35" t="str">
        <x:v>证据合格的 4 例全部先经历“样例 input/output 非法 JSON”，Coding 首次通过为 0/11。</x:v>
      </x:c>
      <x:c r="E6" s="35"/>
      <x:c r="F6" s="35"/>
      <x:c r="G6" s="35"/>
      <x:c r="H6" s="35"/>
    </x:row>
    <x:row r="7" ht="34" customHeight="1">
      <x:c r="A7" s="18" t="str">
        <x:v>证据合格通过</x:v>
      </x:c>
      <x:c r="B7" s="25" t="n">
        <x:f>COUNTIF('案例明细'!I2:I12,"通过（重试后）")</x:f>
        <x:v>4</x:v>
      </x:c>
      <x:c r="D7" s="36" t="str">
        <x:v>4 例形成 Design 后仍在 Coding 失败；失败结果大多没有结构化 error，定位信息不足。</x:v>
      </x:c>
      <x:c r="E7" s="36"/>
      <x:c r="F7" s="36"/>
      <x:c r="G7" s="36"/>
      <x:c r="H7" s="36"/>
    </x:row>
    <x:row r="8" ht="34" customHeight="1">
      <x:c r="A8" s="18" t="str">
        <x:v>Coding 首次即通过</x:v>
      </x:c>
      <x:c r="B8" s="25" t="n">
        <x:f>COUNTIF('案例明细'!T2:T12,"是")</x:f>
        <x:v>0</x:v>
      </x:c>
      <x:c r="D8" s="36" t="str">
        <x:v>6 例在业务口径补充后仍无 Design，设计确认命中空稿，需要额外续推。</x:v>
      </x:c>
      <x:c r="E8" s="36"/>
      <x:c r="F8" s="36"/>
      <x:c r="G8" s="36"/>
      <x:c r="H8" s="36"/>
    </x:row>
    <x:row r="9" ht="34" customHeight="1">
      <x:c r="A9" s="18" t="str">
        <x:v>Coding 终态失败</x:v>
      </x:c>
      <x:c r="B9" s="25" t="n">
        <x:f>COUNTIF('案例明细'!G2:G12,"coding_test_failed")</x:f>
        <x:v>4</x:v>
      </x:c>
      <x:c r="D9" s="36" t="str">
        <x:v>最后 2 例与断网窗口重合，分别止于代理连接和上下文建立，已单列为环境中断。</x:v>
      </x:c>
      <x:c r="E9" s="36"/>
      <x:c r="F9" s="36"/>
      <x:c r="G9" s="36"/>
      <x:c r="H9" s="36"/>
    </x:row>
    <x:row r="10" ht="34" customHeight="1">
      <x:c r="A10" s="18" t="str">
        <x:v>环境/上下文中断</x:v>
      </x:c>
      <x:c r="B10" s="25" t="n">
        <x:f>COUNTIF('案例明细'!I2:I12,"环境中断")</x:f>
        <x:v>2</x:v>
      </x:c>
      <x:c r="D10" s="37" t="str">
        <x:v>阿布最高复杂度案例重试后通过，端到端 907.89 秒，是全批次最慢案例。</x:v>
      </x:c>
      <x:c r="E10" s="37"/>
      <x:c r="F10" s="37"/>
      <x:c r="G10" s="37"/>
      <x:c r="H10" s="37"/>
    </x:row>
    <x:row r="11">
      <x:c r="A11" s="18" t="str">
        <x:v>平均总耗时（秒）</x:v>
      </x:c>
      <x:c r="B11" s="26" t="n">
        <x:f>AVERAGE('案例明细'!M2:M12)</x:f>
        <x:v>273.1690909090909</x:v>
      </x:c>
    </x:row>
    <x:row r="12">
      <x:c r="A12" s="18" t="str">
        <x:v>最长总耗时（秒）</x:v>
      </x:c>
      <x:c r="B12" s="26" t="n">
        <x:f>MAX('案例明细'!M2:M12)</x:f>
        <x:v>907.9</x:v>
      </x:c>
    </x:row>
    <x:row r="13">
      <x:c r="A13" s="18" t="str">
        <x:v>空 Design 确认次数</x:v>
      </x:c>
      <x:c r="B13" s="25" t="n">
        <x:f>COUNTIF('步骤记录'!H2:H43,"当前设计稿为空，请补充需求后重新生成设计。")</x:f>
        <x:v>6</x:v>
      </x:c>
    </x:row>
    <x:row r="15" ht="34" customHeight="1">
      <x:c r="A15" s="40" t="str">
        <x:v>判定口径：系统通过 ≠ 证据合格。证据合格要求最终 execution_ok=true 且至少记录 1 个真实运行 case；首次失败后成功仍标为“重试后通过”。</x:v>
      </x:c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  <x:mergeCell ref="D10:H10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3" hidden="0" customWidth="1"/>
    <x:col min="3" max="3" width="12" hidden="0" customWidth="1"/>
    <x:col min="4" max="4" width="30" hidden="0" customWidth="1"/>
    <x:col min="5" max="5" width="64" hidden="0" customWidth="1"/>
    <x:col min="6" max="6" width="8" hidden="0" customWidth="1"/>
    <x:col min="7" max="7" width="23" hidden="0" customWidth="1"/>
    <x:col min="8" max="8" width="10" hidden="0" customWidth="1"/>
    <x:col min="9" max="9" width="22" hidden="0" customWidth="1"/>
    <x:col min="10" max="10" width="14" hidden="0" customWidth="1"/>
    <x:col min="11" max="11" width="12" hidden="0" customWidth="1"/>
    <x:col min="12" max="12" width="16" hidden="0" customWidth="1"/>
    <x:col min="13" max="13" width="13" hidden="0" customWidth="1"/>
    <x:col min="14" max="14" width="27" hidden="0" customWidth="1"/>
    <x:col min="15" max="15" width="48" hidden="0" customWidth="1"/>
    <x:col min="16" max="16" width="58" hidden="0" customWidth="1"/>
    <x:col min="17" max="17" width="30" hidden="0" customWidth="1"/>
    <x:col min="18" max="18" width="10" hidden="0" customWidth="1"/>
    <x:col min="19" max="19" width="12" hidden="0" customWidth="1"/>
    <x:col min="20" max="20" width="15" hidden="0" customWidth="1"/>
    <x:col min="21" max="21" width="15" hidden="0" customWidth="1"/>
  </x:cols>
  <x:sheetData>
    <x:row r="1" ht="28" customHeight="1">
      <x:c r="A1" s="12" t="str">
        <x:v>案例ID</x:v>
      </x:c>
      <x:c r="B1" s="29" t="str">
        <x:v>类别</x:v>
      </x:c>
      <x:c r="C1" s="29" t="str">
        <x:v>难度</x:v>
      </x:c>
      <x:c r="D1" s="29" t="str">
        <x:v>来源</x:v>
      </x:c>
      <x:c r="E1" s="29" t="str">
        <x:v>原始问题</x:v>
      </x:c>
      <x:c r="F1" s="29" t="str">
        <x:v>轮次</x:v>
      </x:c>
      <x:c r="G1" s="29" t="str">
        <x:v>终态</x:v>
      </x:c>
      <x:c r="H1" s="29" t="str">
        <x:v>系统通过</x:v>
      </x:c>
      <x:c r="I1" s="29" t="str">
        <x:v>证据判定</x:v>
      </x:c>
      <x:c r="J1" s="29" t="str">
        <x:v>Requirement秒</x:v>
      </x:c>
      <x:c r="K1" s="29" t="str">
        <x:v>Design秒</x:v>
      </x:c>
      <x:c r="L1" s="29" t="str">
        <x:v>Coding/确认秒</x:v>
      </x:c>
      <x:c r="M1" s="29" t="str">
        <x:v>总耗时秒</x:v>
      </x:c>
      <x:c r="N1" s="29" t="str">
        <x:v>卡点阶段</x:v>
      </x:c>
      <x:c r="O1" s="29" t="str">
        <x:v>卡点/失败原因</x:v>
      </x:c>
      <x:c r="P1" s="29" t="str">
        <x:v>总体判断</x:v>
      </x:c>
      <x:c r="Q1" s="29" t="str">
        <x:v>工具名</x:v>
      </x:c>
      <x:c r="R1" s="29" t="str">
        <x:v>实现修订</x:v>
      </x:c>
      <x:c r="S1" s="29" t="str">
        <x:v>运行case数</x:v>
      </x:c>
      <x:c r="T1" s="29" t="str">
        <x:v>首次Coding通过</x:v>
      </x:c>
      <x:c r="U1" s="13" t="str">
        <x:v>失败/重试次数</x:v>
      </x:c>
    </x:row>
    <x:row r="2" ht="92" customHeight="1">
      <x:c r="A2" s="41" t="str">
        <x:v>db_intraday_pullback_volume_ma20</x:v>
      </x:c>
      <x:c r="B2" s="41" t="str">
        <x:v>盘中形态</x:v>
      </x:c>
      <x:c r="C2" s="41" t="str">
        <x:v>复杂</x:v>
      </x:c>
      <x:c r="D2" s="41" t="str">
        <x:v>aiia_system.aiia_runtime_turn#660</x:v>
      </x:c>
      <x:c r="E2" s="41" t="str">
        <x:v>创建一个盘中回踩反弹识别工具。输入股票代码和交易日，使用分钟线识别上午冲高后回落、回踩当日均价线附近且不有效跌破、随后重新站回均价线的形态；同时比较反弹时成交量与过去10个交易日同一分钟平均成交量的量比，并用日线MA20判断中期趋势。输出关键时间点、回撤幅度、量比、MA20位置以及是否满足条件；数据不足时明确返回数据不足。</x:v>
      </x:c>
      <x:c r="F2" s="47" t="n">
        <x:v>4</x:v>
      </x:c>
      <x:c r="G2" s="32" t="str">
        <x:v>coding_test_passed</x:v>
      </x:c>
      <x:c r="H2" s="32" t="str">
        <x:v>是</x:v>
      </x:c>
      <x:c r="I2" s="32" t="str">
        <x:v>通过（重试后）</x:v>
      </x:c>
      <x:c r="J2" s="48" t="n">
        <x:v>44.33</x:v>
      </x:c>
      <x:c r="K2" s="48" t="n">
        <x:v>67.75</x:v>
      </x:c>
      <x:c r="L2" s="48" t="n">
        <x:v>199.37</x:v>
      </x:c>
      <x:c r="M2" s="48" t="n">
        <x:f>SUM(J2:L2)</x:f>
        <x:v>311.45</x:v>
      </x:c>
      <x:c r="N2" s="32" t="str">
        <x:v>无（首次 Coding 失败后重试成功）</x:v>
      </x:c>
      <x:c r="O2" s="41" t="str">
        <x:v>首次实现返回“样例 input/output 不是合法 JSON”；再次确认后成功。</x:v>
      </x:c>
      <x:c r="P2" s="41" t="str">
        <x:v>Requirement 与 Design 覆盖分钟线、同分钟量比和 MA20；首次 Coding 因样例 JSON 非法未完成，第二次确认后 1/1 技术运行成功。属于重试后通过，主线可达但首轮实现不稳。</x:v>
      </x:c>
      <x:c r="Q2" s="41" t="str">
        <x:v>ct_intraday_pullback_rebound</x:v>
      </x:c>
      <x:c r="R2" s="43" t="n">
        <x:v>1</x:v>
      </x:c>
      <x:c r="S2" s="43" t="n">
        <x:v>1</x:v>
      </x:c>
      <x:c r="T2" s="43" t="str">
        <x:v>否</x:v>
      </x:c>
      <x:c r="U2" s="43" t="n">
        <x:v>1</x:v>
      </x:c>
    </x:row>
    <x:row r="3" ht="92" customHeight="1">
      <x:c r="A3" s="42" t="str">
        <x:v>db_gap_followthrough_5d</x:v>
      </x:c>
      <x:c r="B3" s="42" t="str">
        <x:v>选股策略</x:v>
      </x:c>
      <x:c r="C3" s="42" t="str">
        <x:v>复杂</x:v>
      </x:c>
      <x:c r="D3" s="42" t="str">
        <x:v>aiia_system.aiia_runtime_turn#652</x:v>
      </x:c>
      <x:c r="E3" s="42" t="str">
        <x:v>做一个跳空高开后持续走强的识别工具。输入股票代码和观察截止日，在最近60个交易日寻找开盘价高于前收盘2%以上的跳空日；要求跳空日收盘位于当日振幅上部30%，随后5个交易日最低价均未触及跳空日前收盘价，且至少3天收涨。输出跳空日、缺口幅度、后续5日逐日状态和最终结论。</x:v>
      </x:c>
      <x:c r="F3" s="49" t="n">
        <x:v>4</x:v>
      </x:c>
      <x:c r="G3" s="33" t="str">
        <x:v>coding_test_passed</x:v>
      </x:c>
      <x:c r="H3" s="33" t="str">
        <x:v>是</x:v>
      </x:c>
      <x:c r="I3" s="33" t="str">
        <x:v>证据不足（0运行case）</x:v>
      </x:c>
      <x:c r="J3" s="50" t="n">
        <x:v>78.94</x:v>
      </x:c>
      <x:c r="K3" s="50" t="n">
        <x:v>0</x:v>
      </x:c>
      <x:c r="L3" s="50" t="n">
        <x:v>169.38</x:v>
      </x:c>
      <x:c r="M3" s="50" t="n">
        <x:f>SUM(J3:L3)</x:f>
        <x:v>248.32</x:v>
      </x:c>
      <x:c r="N3" s="33" t="str">
        <x:v>证据验证</x:v>
      </x:c>
      <x:c r="O3" s="42" t="str">
        <x:v>执行标记成功，但 test case_count=0，无法核验实际运行证据。</x:v>
      </x:c>
      <x:c r="P3" s="42" t="str">
        <x:v>一次业务补充后仍停留在 Requirement，设计确认命中空设计；随后自动续推把 Design 与 Coding 合并完成。系统标记运行成功，但 case_count=0，缺少可核验真实样例，证据不足。</x:v>
      </x:c>
      <x:c r="Q3" s="42" t="str">
        <x:v>ct_gap_up_strength_detector</x:v>
      </x:c>
      <x:c r="R3" s="44" t="n">
        <x:v>1</x:v>
      </x:c>
      <x:c r="S3" s="44" t="n">
        <x:v>0</x:v>
      </x:c>
      <x:c r="T3" s="44" t="str">
        <x:v>否</x:v>
      </x:c>
      <x:c r="U3" s="44" t="n">
        <x:v>0</x:v>
      </x:c>
    </x:row>
    <x:row r="4" ht="92" customHeight="1">
      <x:c r="A4" s="42" t="str">
        <x:v>db_beta_csi300_120d</x:v>
      </x:c>
      <x:c r="B4" s="42" t="str">
        <x:v>风险评价</x:v>
      </x:c>
      <x:c r="C4" s="42" t="str">
        <x:v>复杂</x:v>
      </x:c>
      <x:c r="D4" s="42" t="str">
        <x:v>aiia_system.aiia_runtime_turn#648</x:v>
      </x:c>
      <x:c r="E4" s="42" t="str">
        <x:v>创建一个个股相对沪深300的Beta风险工具。输入股票代码和截止日，取双方最近120个共同交易日的复权收盘价计算日收益率，实际共同收益率样本少于80条时返回数据不足。输出样本区间、样本数、协方差、市场方差、Beta、R平方和年化残差波动率，并给出简洁解释。</x:v>
      </x:c>
      <x:c r="F4" s="49" t="n">
        <x:v>4</x:v>
      </x:c>
      <x:c r="G4" s="33" t="str">
        <x:v>coding_test_passed</x:v>
      </x:c>
      <x:c r="H4" s="33" t="str">
        <x:v>是</x:v>
      </x:c>
      <x:c r="I4" s="33" t="str">
        <x:v>通过（重试后）</x:v>
      </x:c>
      <x:c r="J4" s="50" t="n">
        <x:v>55.94</x:v>
      </x:c>
      <x:c r="K4" s="50" t="n">
        <x:v>67.96</x:v>
      </x:c>
      <x:c r="L4" s="50" t="n">
        <x:v>201.57</x:v>
      </x:c>
      <x:c r="M4" s="50" t="n">
        <x:f>SUM(J4:L4)</x:f>
        <x:v>325.46999999999997</x:v>
      </x:c>
      <x:c r="N4" s="33" t="str">
        <x:v>无（首次 Coding 失败后重试成功）</x:v>
      </x:c>
      <x:c r="O4" s="42" t="str">
        <x:v>首次实现返回“样例 input/output 不是合法 JSON”；再次确认后成功。</x:v>
      </x:c>
      <x:c r="P4" s="42" t="str">
        <x:v>Design 对共同日期、固定基准、120/80 样本与 252 年化处理清晰；首次 Coding 样例 JSON 非法，第二次确认后 1/1 成功。重试后通过。</x:v>
      </x:c>
      <x:c r="Q4" s="42" t="str">
        <x:v>ct_dynamic_fin_tool_module</x:v>
      </x:c>
      <x:c r="R4" s="44" t="n">
        <x:v>1</x:v>
      </x:c>
      <x:c r="S4" s="44" t="n">
        <x:v>1</x:v>
      </x:c>
      <x:c r="T4" s="44" t="str">
        <x:v>否</x:v>
      </x:c>
      <x:c r="U4" s="44" t="n">
        <x:v>1</x:v>
      </x:c>
    </x:row>
    <x:row r="5" ht="92" customHeight="1">
      <x:c r="A5" s="42" t="str">
        <x:v>db_earnings_quality_3y</x:v>
      </x:c>
      <x:c r="B5" s="42" t="str">
        <x:v>财务评价</x:v>
      </x:c>
      <x:c r="C5" s="42" t="str">
        <x:v>复杂</x:v>
      </x:c>
      <x:c r="D5" s="42" t="str">
        <x:v>aiia_system.aiia_runtime_turn#641</x:v>
      </x:c>
      <x:c r="E5" s="42" t="str">
        <x:v>创建一个三年盈利质量评价工具。输入股票代码，以最近三个完整年度比较营业收入、净利润、经营活动现金流净额和应收账款；识别净利润持续增长但经营现金流未同步、或应收账款增速显著高于收入增速的情况。输出逐年原始值、关键增长率、现金含量指标、风险命中项和总体评价，缺失年度不得自行补值。</x:v>
      </x:c>
      <x:c r="F5" s="49" t="n">
        <x:v>4</x:v>
      </x:c>
      <x:c r="G5" s="33" t="str">
        <x:v>coding_test_failed</x:v>
      </x:c>
      <x:c r="H5" s="33" t="str">
        <x:v>否</x:v>
      </x:c>
      <x:c r="I5" s="33" t="str">
        <x:v>Coding失败</x:v>
      </x:c>
      <x:c r="J5" s="50" t="n">
        <x:v>58.38</x:v>
      </x:c>
      <x:c r="K5" s="50" t="n">
        <x:v>0</x:v>
      </x:c>
      <x:c r="L5" s="50" t="n">
        <x:v>178.81</x:v>
      </x:c>
      <x:c r="M5" s="50" t="n">
        <x:f>SUM(J5:L5)</x:f>
        <x:v>237.19</x:v>
      </x:c>
      <x:c r="N5" s="33" t="str">
        <x:v>Coding</x:v>
      </x:c>
      <x:c r="O5" s="42" t="str">
        <x:v>Design 后 implement_dynamic_tool 调用未完成，execution_ok=false，error 为空。</x:v>
      </x:c>
      <x:c r="P5" s="42" t="str">
        <x:v>两轮 Requirement 后仍无 Design，确认动作命中空设计；自动续推虽生成 Design，但实现阶段两次调用仍以 execution_ok=false 结束，且未返回结构化 error。卡在 Coding。</x:v>
      </x:c>
      <x:c r="Q5" s="42" t="str"/>
      <x:c r="R5" s="44" t="str"/>
      <x:c r="S5" s="44" t="n">
        <x:v>0</x:v>
      </x:c>
      <x:c r="T5" s="44" t="str">
        <x:v>否</x:v>
      </x:c>
      <x:c r="U5" s="44" t="n">
        <x:v>1</x:v>
      </x:c>
    </x:row>
    <x:row r="6" ht="92" customHeight="1">
      <x:c r="A6" s="42" t="str">
        <x:v>db_cross_drawdown_after_ma_break</x:v>
      </x:c>
      <x:c r="B6" s="42" t="str">
        <x:v>趋势风险</x:v>
      </x:c>
      <x:c r="C6" s="42" t="str">
        <x:v>复杂</x:v>
      </x:c>
      <x:c r="D6" s="42" t="str">
        <x:v>aiia_system.aiia_runtime_turn#637</x:v>
      </x:c>
      <x:c r="E6" s="42" t="str">
        <x:v>开发一个趋势转弱后回撤统计工具。输入股票代码和截止日，在最近180个交易日查找MA20从上向下跌破MA60的最近一次信号，并比较信号日成交量与前20日均量；从信号日收盘开始统计随后最多60个交易日的最大回撤、峰值日、谷值日和截至截止日是否恢复。输出信号证据和回撤路径摘要。</x:v>
      </x:c>
      <x:c r="F6" s="49" t="n">
        <x:v>4</x:v>
      </x:c>
      <x:c r="G6" s="33" t="str">
        <x:v>coding_test_passed</x:v>
      </x:c>
      <x:c r="H6" s="33" t="str">
        <x:v>是</x:v>
      </x:c>
      <x:c r="I6" s="33" t="str">
        <x:v>通过（重试后）</x:v>
      </x:c>
      <x:c r="J6" s="50" t="n">
        <x:v>40.16</x:v>
      </x:c>
      <x:c r="K6" s="50" t="n">
        <x:v>42.98</x:v>
      </x:c>
      <x:c r="L6" s="50" t="n">
        <x:v>185.7</x:v>
      </x:c>
      <x:c r="M6" s="50" t="n">
        <x:f>SUM(J6:L6)</x:f>
        <x:v>268.84</x:v>
      </x:c>
      <x:c r="N6" s="33" t="str">
        <x:v>无（首次 Coding 失败后重试成功）</x:v>
      </x:c>
      <x:c r="O6" s="42" t="str">
        <x:v>首次实现返回“样例 input/output 不是合法 JSON”；再次确认后成功。</x:v>
      </x:c>
      <x:c r="P6" s="42" t="str">
        <x:v>Design 主线完整，覆盖下穿、量比、60 日回撤和未完结窗口；首次 Coding 样例 JSON 非法，第二次确认后 1/1 成功。重试后通过。</x:v>
      </x:c>
      <x:c r="Q6" s="42" t="str">
        <x:v>ct_trend_weakening_drawdown</x:v>
      </x:c>
      <x:c r="R6" s="44" t="n">
        <x:v>1</x:v>
      </x:c>
      <x:c r="S6" s="44" t="n">
        <x:v>1</x:v>
      </x:c>
      <x:c r="T6" s="44" t="str">
        <x:v>否</x:v>
      </x:c>
      <x:c r="U6" s="44" t="n">
        <x:v>1</x:v>
      </x:c>
    </x:row>
    <x:row r="7" ht="92" customHeight="1">
      <x:c r="A7" s="42" t="str">
        <x:v>sector_relative_strength_aligned</x:v>
      </x:c>
      <x:c r="B7" s="42" t="str">
        <x:v>相对强度</x:v>
      </x:c>
      <x:c r="C7" s="42" t="str">
        <x:v>复杂</x:v>
      </x:c>
      <x:c r="D7" s="42" t="str">
        <x:v>tests/evals/natural_tool_conversations_v1.json#selection_sector_relative</x:v>
      </x:c>
      <x:c r="E7" s="42" t="str">
        <x:v>创建一个行业相对强度评价工具。输入股票代码、行业指数代码和截止日，将个股与行业指数交易日严格对齐，计算20日和60日收益率差、近20日相对收益为正的天数占比，以及个股20日平均成交量相对前20日的变化。输出各指标、日期覆盖和相对强度结论。</x:v>
      </x:c>
      <x:c r="F7" s="49" t="n">
        <x:v>4</x:v>
      </x:c>
      <x:c r="G7" s="33" t="str">
        <x:v>coding_test_failed</x:v>
      </x:c>
      <x:c r="H7" s="33" t="str">
        <x:v>否</x:v>
      </x:c>
      <x:c r="I7" s="33" t="str">
        <x:v>Coding失败</x:v>
      </x:c>
      <x:c r="J7" s="50" t="n">
        <x:v>66.17</x:v>
      </x:c>
      <x:c r="K7" s="50" t="n">
        <x:v>0</x:v>
      </x:c>
      <x:c r="L7" s="50" t="n">
        <x:v>238.1</x:v>
      </x:c>
      <x:c r="M7" s="50" t="n">
        <x:f>SUM(J7:L7)</x:f>
        <x:v>304.27</x:v>
      </x:c>
      <x:c r="N7" s="33" t="str">
        <x:v>Coding</x:v>
      </x:c>
      <x:c r="O7" s="42" t="str">
        <x:v>Design/Flow 已保存，但 implement_dynamic_tool 后续处理未完成，execution_ok=false。</x:v>
      </x:c>
      <x:c r="P7" s="42" t="str">
        <x:v>系统继续追问综合结论与成交量阈值，其中综合评分并非用户核心；空设计确认后续推生成 Design，但实现未完成、execution_ok=false。卡在 Coding，且 Requirement 有额外摩擦。</x:v>
      </x:c>
      <x:c r="Q7" s="42" t="str"/>
      <x:c r="R7" s="44" t="str"/>
      <x:c r="S7" s="44" t="n">
        <x:v>0</x:v>
      </x:c>
      <x:c r="T7" s="44" t="str">
        <x:v>否</x:v>
      </x:c>
      <x:c r="U7" s="44" t="n">
        <x:v>1</x:v>
      </x:c>
    </x:row>
    <x:row r="8" ht="92" customHeight="1">
      <x:c r="A8" s="42" t="str">
        <x:v>valuation_percentile_5y</x:v>
      </x:c>
      <x:c r="B8" s="42" t="str">
        <x:v>估值评价</x:v>
      </x:c>
      <x:c r="C8" s="42" t="str">
        <x:v>中高</x:v>
      </x:c>
      <x:c r="D8" s="42" t="str">
        <x:v>tests/evals/natural_tool_conversations_v1.json#score_valuation_percentile</x:v>
      </x:c>
      <x:c r="E8" s="42" t="str">
        <x:v>创建一个个股历史估值分位工具。输入股票代码和截止日，基于近5年有效日频市盈率和市净率，分别计算当前值在自身历史中的百分位；过滤非正市盈率但保留正市净率，分别报告有效样本数。输出当前原始估值、分位数、历史区间和偏高/中性/偏低判断，任何指标样本不足250条时该指标返回数据不足。</x:v>
      </x:c>
      <x:c r="F8" s="49" t="n">
        <x:v>4</x:v>
      </x:c>
      <x:c r="G8" s="33" t="str">
        <x:v>coding_test_failed</x:v>
      </x:c>
      <x:c r="H8" s="33" t="str">
        <x:v>否</x:v>
      </x:c>
      <x:c r="I8" s="33" t="str">
        <x:v>Coding失败</x:v>
      </x:c>
      <x:c r="J8" s="50" t="n">
        <x:v>42.48</x:v>
      </x:c>
      <x:c r="K8" s="50" t="n">
        <x:v>0</x:v>
      </x:c>
      <x:c r="L8" s="50" t="n">
        <x:v>62.79</x:v>
      </x:c>
      <x:c r="M8" s="50" t="n">
        <x:f>SUM(J8:L8)</x:f>
        <x:v>105.27</x:v>
      </x:c>
      <x:c r="N8" s="33" t="str">
        <x:v>Coding</x:v>
      </x:c>
      <x:c r="O8" s="42" t="str">
        <x:v>反馈处理先失败；Design/Flow 保存后 implement_dynamic_tool 未完成，execution_ok=false。</x:v>
      </x:c>
      <x:c r="P8" s="42" t="str">
        <x:v>首轮 Requirement 正常；业务反馈处理直接失败，随后确认命中空设计。续推虽保存 Design/Flow，但 Coding 未完成且无结构化错误。卡在 Coding。</x:v>
      </x:c>
      <x:c r="Q8" s="42" t="str"/>
      <x:c r="R8" s="44" t="str"/>
      <x:c r="S8" s="44" t="n">
        <x:v>0</x:v>
      </x:c>
      <x:c r="T8" s="44" t="str">
        <x:v>否</x:v>
      </x:c>
      <x:c r="U8" s="44" t="n">
        <x:v>1</x:v>
      </x:c>
    </x:row>
    <x:row r="9" ht="92" customHeight="1">
      <x:c r="A9" s="42" t="str">
        <x:v>tail_var_es_250d</x:v>
      </x:c>
      <x:c r="B9" s="42" t="str">
        <x:v>风险评价</x:v>
      </x:c>
      <x:c r="C9" s="42" t="str">
        <x:v>中高</x:v>
      </x:c>
      <x:c r="D9" s="42" t="str">
        <x:v>tests/evals/natural_tool_conversations_v1.json#risk_tail_loss</x:v>
      </x:c>
      <x:c r="E9" s="42" t="str">
        <x:v>设计一个历史尾部损失工具。输入股票代码和截止日，取最近250个有效交易日的复权收盘价计算日收益率，输出95%和99%历史VaR、对应Expected Shortfall、最差5个交易日及其收益率；有效收益率不足200条时返回数据不足。</x:v>
      </x:c>
      <x:c r="F9" s="49" t="n">
        <x:v>4</x:v>
      </x:c>
      <x:c r="G9" s="33" t="str">
        <x:v>coding_test_failed</x:v>
      </x:c>
      <x:c r="H9" s="33" t="str">
        <x:v>否</x:v>
      </x:c>
      <x:c r="I9" s="33" t="str">
        <x:v>Coding失败</x:v>
      </x:c>
      <x:c r="J9" s="50" t="n">
        <x:v>47.22</x:v>
      </x:c>
      <x:c r="K9" s="50" t="n">
        <x:v>0</x:v>
      </x:c>
      <x:c r="L9" s="50" t="n">
        <x:v>178.71</x:v>
      </x:c>
      <x:c r="M9" s="50" t="n">
        <x:f>SUM(J9:L9)</x:f>
        <x:v>225.93</x:v>
      </x:c>
      <x:c r="N9" s="33" t="str">
        <x:v>Coding</x:v>
      </x:c>
      <x:c r="O9" s="42" t="str">
        <x:v>反馈处理先失败；Design/Flow 保存后两次 implement_dynamic_tool 仍失败，error 为空。</x:v>
      </x:c>
      <x:c r="P9" s="42" t="str">
        <x:v>首轮 Requirement 口径基本准确；反馈处理失败，确认命中空设计。续推生成 Design 后 Coding 失败，未给出可诊断 error。卡在 Coding。</x:v>
      </x:c>
      <x:c r="Q9" s="42" t="str"/>
      <x:c r="R9" s="44" t="str"/>
      <x:c r="S9" s="44" t="n">
        <x:v>0</x:v>
      </x:c>
      <x:c r="T9" s="44" t="str">
        <x:v>否</x:v>
      </x:c>
      <x:c r="U9" s="44" t="n">
        <x:v>1</x:v>
      </x:c>
    </x:row>
    <x:row r="10" ht="92" customHeight="1">
      <x:c r="A10" s="42" t="str">
        <x:v>liquidity_factor_20d</x:v>
      </x:c>
      <x:c r="B10" s="42" t="str">
        <x:v>因子计算</x:v>
      </x:c>
      <x:c r="C10" s="42" t="str">
        <x:v>中高</x:v>
      </x:c>
      <x:c r="D10" s="42" t="str">
        <x:v>tests/evals/natural_tool_conversations_v1.json#factor_liquidity</x:v>
      </x:c>
      <x:c r="E10" s="42" t="str">
        <x:v>做一个个股流动性变化工具。输入股票代码和截止日，分别比较最近20个交易日与再前20个交易日的日均成交额、成交额变异系数和平均换手率，判断流动性改善、稳定或恶化。输出两个窗口的起止日、原始统计值、变化率和结论。</x:v>
      </x:c>
      <x:c r="F10" s="49" t="n">
        <x:v>3</x:v>
      </x:c>
      <x:c r="G10" s="33" t="str">
        <x:v>continuation_api_error</x:v>
      </x:c>
      <x:c r="H10" s="33" t="str">
        <x:v>否</x:v>
      </x:c>
      <x:c r="I10" s="33" t="str">
        <x:v>环境中断</x:v>
      </x:c>
      <x:c r="J10" s="50" t="n">
        <x:v>55.55</x:v>
      </x:c>
      <x:c r="K10" s="50" t="n">
        <x:v>0</x:v>
      </x:c>
      <x:c r="L10" s="50" t="n">
        <x:v>2.12</x:v>
      </x:c>
      <x:c r="M10" s="50" t="n">
        <x:f>SUM(J10:L10)</x:f>
        <x:v>57.669999999999995</x:v>
      </x:c>
      <x:c r="N10" s="33" t="str">
        <x:v>Requirement → Design 续推</x:v>
      </x:c>
      <x:c r="O10" s="42" t="str">
        <x:v>自动续推请求经 127.0.0.1:7890 代理断开，未进入 Design/Coding。</x:v>
      </x:c>
      <x:c r="P10" s="42" t="str">
        <x:v>两轮 Requirement 能正确取消综合打分并保留独立指标；确认时仍无 Design，随后续推遭本地代理连接中断。属于环境中断，不能据此判断 Coding 质量。</x:v>
      </x:c>
      <x:c r="Q10" s="42" t="str"/>
      <x:c r="R10" s="44" t="str"/>
      <x:c r="S10" s="44" t="n">
        <x:v>0</x:v>
      </x:c>
      <x:c r="T10" s="44" t="str">
        <x:v>否</x:v>
      </x:c>
      <x:c r="U10" s="44" t="n">
        <x:v>0</x:v>
      </x:c>
    </x:row>
    <x:row r="11" ht="92" customHeight="1">
      <x:c r="A11" s="42" t="str">
        <x:v>portfolio_concentration_hhi</x:v>
      </x:c>
      <x:c r="B11" s="42" t="str">
        <x:v>组合分析</x:v>
      </x:c>
      <x:c r="C11" s="42" t="str">
        <x:v>中高</x:v>
      </x:c>
      <x:c r="D11" s="42" t="str">
        <x:v>自拟</x:v>
      </x:c>
      <x:c r="E11" s="42" t="str">
        <x:v>创建一个投资组合集中度分析工具。输入股票代码与持仓市值列表，校验市值为非负且总市值大于零，按市值计算权重、前3大持仓占比、HHI和等效持仓数量1/HHI；输出逐项权重、核心指标，并列出权重超过20%的持仓。不得调用行情数据，也不提供买卖建议。</x:v>
      </x:c>
      <x:c r="F11" s="49" t="n">
        <x:v>3</x:v>
      </x:c>
      <x:c r="G11" s="33" t="str">
        <x:v>followup_api_error</x:v>
      </x:c>
      <x:c r="H11" s="33" t="str">
        <x:v>否</x:v>
      </x:c>
      <x:c r="I11" s="33" t="str">
        <x:v>环境中断</x:v>
      </x:c>
      <x:c r="J11" s="50" t="n">
        <x:v>9.68</x:v>
      </x:c>
      <x:c r="K11" s="50" t="n">
        <x:v>0</x:v>
      </x:c>
      <x:c r="L11" s="50" t="n">
        <x:v>2.87</x:v>
      </x:c>
      <x:c r="M11" s="50" t="n">
        <x:f>SUM(J11:L11)</x:f>
        <x:v>12.55</x:v>
      </x:c>
      <x:c r="N11" s="33" t="str">
        <x:v>上下文建立</x:v>
      </x:c>
      <x:c r="O11" s="42" t="str">
        <x:v>断网窗口内两次都未整理出对话上下文，之后无可继续的自定义工具流程。</x:v>
      </x:c>
      <x:c r="P11" s="42" t="str">
        <x:v>初始请求即未建立自定义工具上下文，重提后仍未恢复，确认动作返回“当前没有可继续的自定义工具流程”。发生在断网窗口，属于环境/上下文中断。</x:v>
      </x:c>
      <x:c r="Q11" s="42" t="str"/>
      <x:c r="R11" s="44" t="str"/>
      <x:c r="S11" s="44" t="n">
        <x:v>0</x:v>
      </x:c>
      <x:c r="T11" s="44" t="str">
        <x:v>否</x:v>
      </x:c>
      <x:c r="U11" s="44" t="n">
        <x:v>0</x:v>
      </x:c>
    </x:row>
    <x:row r="12" ht="92" customHeight="1">
      <x:c r="A12" s="42" t="str">
        <x:v>abu_market_and_entry_decision</x:v>
      </x:c>
      <x:c r="B12" s="42" t="str">
        <x:v>复合交易决策</x:v>
      </x:c>
      <x:c r="C12" s="42" t="str">
        <x:v>最高复杂度</x:v>
      </x:c>
      <x:c r="D12" s="42" t="str">
        <x:v>aiia_system.aiia_runtime_turn#600</x:v>
      </x:c>
      <x:c r="E12" s="42" t="str">
        <x:v>创建“阿布体系·大盘状态+个股买入决策”工具，输入待评估股票代码和截止时点，最终只给出可买/不可买，同时保留可追溯的规则证据。第一步判断上证指数：日线需同时满足最近10日更高高点不少于3次、更高低点不少于3次，当前收盘价高于过去20日最高价的算术平均，且收盘价在MA20上方并且MA20向上，才算多头趋势；15分钟需同时满足最近8根K线更高高点不少于4次、更高低点不少于4次，最近3根至少2根阳线，且最新收盘价在15分钟MA20上方，才算强。多头且强为可操作，多头但弱为谨慎操作，非多头为不可操作。第二步仅在可操作或谨慎操作时判断个股15分钟信号：追强要求最近两根均为阳线，第二根高低点均抬高、收盘在自身中点上方、成交量高于第一根，且当前价不在最近20根K线前高的3%以内；回调要求此前存在一根实体涨幅至少0.5%、高低点均抬高的趋势阳线，随后1至2根实体占振幅不超过40%且绝对涨跌幅不超过0.5%的小K线，回调最低价不跌破趋势K中点，回调量低于趋势K成交量80%，且不在前高3%阻力区。可操作时任一信号符合即可买；谨慎操作时只有回调符合才可买；不可操作一律不可买。输出大盘日线证据、15分钟证据、个股两类信号逐项布尔值、唯一结论、信号类型和止损价；追强止损为第二根K最低价下方0.5%，回调止损为回调低点下方0.5%。分钟或日线数据不足时返回不可判断，不得把缺失当成不符合，也不要扩展主观评分。</x:v>
      </x:c>
      <x:c r="F12" s="49" t="n">
        <x:v>4</x:v>
      </x:c>
      <x:c r="G12" s="33" t="str">
        <x:v>coding_test_passed</x:v>
      </x:c>
      <x:c r="H12" s="33" t="str">
        <x:v>是</x:v>
      </x:c>
      <x:c r="I12" s="33" t="str">
        <x:v>通过（重试后）</x:v>
      </x:c>
      <x:c r="J12" s="50" t="n">
        <x:v>64.71</x:v>
      </x:c>
      <x:c r="K12" s="50" t="n">
        <x:v>105.3</x:v>
      </x:c>
      <x:c r="L12" s="50" t="n">
        <x:v>737.89</x:v>
      </x:c>
      <x:c r="M12" s="50" t="n">
        <x:f>SUM(J12:L12)</x:f>
        <x:v>907.9</x:v>
      </x:c>
      <x:c r="N12" s="33" t="str">
        <x:v>无（首次 Coding 失败后重试成功）</x:v>
      </x:c>
      <x:c r="O12" s="42" t="str">
        <x:v>首次实现返回“样例 input/output 不是合法 JSON”；第二次确认后成功。</x:v>
      </x:c>
      <x:c r="P12" s="42" t="str">
        <x:v>最高复杂度需求顺利完成 Requirement 与 Design，核心两级门控和证据输出均进入方案；首次 Coding 样例 JSON 非法，第二次确认后 1/1 技术运行成功。重试后通过，但端到端耗时约 15 分钟。</x:v>
      </x:c>
      <x:c r="Q12" s="42" t="str">
        <x:v>ct_abu_market_stock_decision</x:v>
      </x:c>
      <x:c r="R12" s="44" t="n">
        <x:v>1</x:v>
      </x:c>
      <x:c r="S12" s="44" t="n">
        <x:v>1</x:v>
      </x:c>
      <x:c r="T12" s="44" t="str">
        <x:v>否</x:v>
      </x:c>
      <x:c r="U12" s="44" t="n">
        <x:v>1</x:v>
      </x:c>
    </x:row>
  </x:sheetData>
  <x:conditionalFormatting sqref="I2:I12">
    <x:cfRule type="containsText" dxfId="0" priority="1" operator="containsText" text="通过"/>
    <x:cfRule type="containsText" dxfId="1" priority="2" operator="containsText" text="失败"/>
    <x:cfRule type="containsText" dxfId="2" priority="3" operator="containsText" text="中断"/>
    <x:cfRule type="containsText" dxfId="3" priority="4" operator="containsText" text="证据不足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" hidden="0" customWidth="1"/>
    <x:col min="3" max="3" width="25" hidden="0" customWidth="1"/>
    <x:col min="4" max="4" width="18" hidden="0" customWidth="1"/>
    <x:col min="5" max="5" width="20" hidden="0" customWidth="1"/>
    <x:col min="6" max="6" width="11" hidden="0" customWidth="1"/>
    <x:col min="7" max="7" width="58" hidden="0" customWidth="1"/>
    <x:col min="8" max="8" width="62" hidden="0" customWidth="1"/>
    <x:col min="9" max="9" width="14" hidden="0" customWidth="1"/>
    <x:col min="10" max="10" width="11" hidden="0" customWidth="1"/>
    <x:col min="11" max="11" width="10" hidden="0" customWidth="1"/>
    <x:col min="12" max="12" width="42" hidden="0" customWidth="1"/>
    <x:col min="13" max="13" width="12" hidden="0" customWidth="1"/>
    <x:col min="14" max="14" width="11" hidden="0" customWidth="1"/>
    <x:col min="15" max="15" width="34" hidden="0" customWidth="1"/>
    <x:col min="16" max="16" width="44" hidden="0" customWidth="1"/>
    <x:col min="17" max="17" width="54" hidden="0" customWidth="1"/>
  </x:cols>
  <x:sheetData>
    <x:row r="1" ht="28" customHeight="1">
      <x:c r="A1" s="12" t="str">
        <x:v>案例ID</x:v>
      </x:c>
      <x:c r="B1" s="29" t="str">
        <x:v>轮次</x:v>
      </x:c>
      <x:c r="C1" s="29" t="str">
        <x:v>输入类型</x:v>
      </x:c>
      <x:c r="D1" s="29" t="str">
        <x:v>路由</x:v>
      </x:c>
      <x:c r="E1" s="29" t="str">
        <x:v>响应阶段</x:v>
      </x:c>
      <x:c r="F1" s="29" t="str">
        <x:v>耗时秒</x:v>
      </x:c>
      <x:c r="G1" s="29" t="str">
        <x:v>用户输入</x:v>
      </x:c>
      <x:c r="H1" s="29" t="str">
        <x:v>响应摘要</x:v>
      </x:c>
      <x:c r="I1" s="29" t="str">
        <x:v>有Requirement</x:v>
      </x:c>
      <x:c r="J1" s="29" t="str">
        <x:v>有Design</x:v>
      </x:c>
      <x:c r="K1" s="29" t="str">
        <x:v>实现修订</x:v>
      </x:c>
      <x:c r="L1" s="29" t="str">
        <x:v>工具调用</x:v>
      </x:c>
      <x:c r="M1" s="29" t="str">
        <x:v>执行结果</x:v>
      </x:c>
      <x:c r="N1" s="29" t="str">
        <x:v>运行case数</x:v>
      </x:c>
      <x:c r="O1" s="29" t="str">
        <x:v>Surface Blocks</x:v>
      </x:c>
      <x:c r="P1" s="29" t="str">
        <x:v>技术错误</x:v>
      </x:c>
      <x:c r="Q1" s="13" t="str">
        <x:v>逐步判断</x:v>
      </x:c>
    </x:row>
    <x:row r="2" ht="82" customHeight="1">
      <x:c r="A2" s="41" t="str">
        <x:v>db_intraday_pullback_volume_ma20</x:v>
      </x:c>
      <x:c r="B2" s="43" t="n">
        <x:v>1</x:v>
      </x:c>
      <x:c r="C2" s="41" t="str">
        <x:v>initial_request</x:v>
      </x:c>
      <x:c r="D2" s="41" t="str"/>
      <x:c r="E2" s="41" t="str">
        <x:v>Requirement</x:v>
      </x:c>
      <x:c r="F2" s="45" t="n">
        <x:v>44.33</x:v>
      </x:c>
      <x:c r="G2" s="41" t="str">
        <x:v>创建一个盘中回踩反弹识别工具。输入股票代码和交易日，使用分钟线识别上午冲高后回落、回踩当日均价线附近且不有效跌破、随后重新站回均价线的形态；同时比较反弹时成交量与过去10个交易日同一分钟平均成交量的量比，并用日线MA20判断中期趋势。输出关键时间点、回撤幅度、量比、MA20位置以及是否满足条件；数据不足时明确返回数据不足。</x:v>
      </x:c>
      <x:c r="H2" s="41" t="str">
        <x:v>---
## 需求理解概要
我理解你要构建一个 **盘中回踩反弹识别工具**，核心逻辑如下：
### 输入
- **股票代码** + **交易日**
### 盘中形态识别（上午 09:30-11:30）
1. **冲高** → 从开盘价上涨至少一定幅度形成高点
2. **回落回踩** → 股价回落至当日均价线附近，**不有效跌破**
3. **重新站回** → 收盘价再次回到均价线之上，确认反弹
### 量价与趋势
- **量比** → 反弹分钟成交量 / 过去10日同分钟平均成交量
- **MA20** → 判断中期趋势（收盘价相对MA20的位置）
### 输出
- 关键时间点、回撤幅度、量比、MA20位置、是否满足条件
- **数据不足时明确返回"数据不足"**
---
我提了 **3个需要你确认的参数**（冲高涨幅、回踩范围、有效跌破定义），上面已展示了默认值。你可以直接确认默认值，或给出你倾向的数值/描述。</x:v>
      </x:c>
      <x:c r="I2" s="41" t="str">
        <x:v>是</x:v>
      </x:c>
      <x:c r="J2" s="41" t="str">
        <x:v>否</x:v>
      </x:c>
      <x:c r="K2" s="43" t="str"/>
      <x:c r="L2" s="43" t="str">
        <x:v>read_finance_asset → read_finance_asset → read_finance_asset → read_finance_asset → save_finance_artifact → request_user_interaction</x:v>
      </x:c>
      <x:c r="M2" s="43" t="str"/>
      <x:c r="N2" s="43" t="str"/>
      <x:c r="O2" s="41" t="str"/>
      <x:c r="P2" s="41" t="str"/>
      <x:c r="Q2" s="41" t="str">
        <x:v>Requirement 已建立，目标、主要输入与核心计算基本被保留。</x:v>
      </x:c>
    </x:row>
    <x:row r="3" ht="82" customHeight="1">
      <x:c r="A3" s="42" t="str">
        <x:v>db_intraday_pullback_volume_ma20</x:v>
      </x:c>
      <x:c r="B3" s="44" t="n">
        <x:v>2</x:v>
      </x:c>
      <x:c r="C3" s="42" t="str">
        <x:v>natural</x:v>
      </x:c>
      <x:c r="D3" s="42" t="str">
        <x:v>natural_language</x:v>
      </x:c>
      <x:c r="E3" s="42" t="str">
        <x:v>Design</x:v>
      </x:c>
      <x:c r="F3" s="46" t="n">
        <x:v>67.75</x:v>
      </x:c>
      <x:c r="G3" s="42" t="str">
        <x:v>核心需求已清楚。均价线采用当日累计成交额除以累计成交量，短暂触碰不算有效跌破；其余低风险细节采用合理默认值，请收敛为可执行设计，不扩展功能。</x:v>
      </x:c>
      <x:c r="H3" s="42" t="str">
        <x:v>---
## 设计方案已就绪
| 资产 | 状态 |
|---|---|
| ✅ 需求确认 | 已确认 — 冲高≥2%、回踩均价线±0.5%、短暂触碰不算有效跌破、量比&gt;1.0 |
| ✅ 可执行设计 | 已保存 — 5 阶段流程 + 5 个内部模块 |
| ✅ 流程图 | 已生成 |
### 设计概览
**输入** → `stock_code` + `trade_date`
**处理流程**（5 个阶段）：
1. **数据获取** — 目标日分钟线 / 10日同分钟均值 / 20日日线
2. **形态识别** — 冲高判定 → 回踩判定 → 重新站回判定（三个条件串联）
3. **量比计算** — 反弹分钟成交量 ÷ 10日同分钟均值
4. **MA20 计算** — 20日收盘价均线 + 偏离百分比
5. **结果组装** — 时间点、回撤幅度、量比、MA20位置、条件结论
**关键判断逻辑**：
- 冲高条件：09:30-11:30 内最高价 ≥ 开盘价 × 1.02
- 回踩条件：最低价在均价线 ±0.5% 内，且连续不超过 2 分钟收盘低于均价线，且最低偏离 ≤ 0.3%
- 重新站回：11:30 前出现收盘价 ≥ 均价线的分钟
**输出**：7 个结构化字段 + 中文摘要；数据不足时明确返回"数据不足"
---
设计完整可执行，如果你确认方案没问题，我就可以进入代码实现阶段。</x:v>
      </x:c>
      <x:c r="I3" s="42" t="str">
        <x:v>是</x:v>
      </x:c>
      <x:c r="J3" s="42" t="str">
        <x:v>是</x:v>
      </x:c>
      <x:c r="K3" s="44" t="str"/>
      <x:c r="L3" s="44" t="str">
        <x:v>read_finance_asset → save_finance_artifact → save_finance_artifact</x:v>
      </x:c>
      <x:c r="M3" s="44" t="str"/>
      <x:c r="N3" s="44" t="str"/>
      <x:c r="O3" s="42" t="str"/>
      <x:c r="P3" s="42" t="str"/>
      <x:c r="Q3" s="42" t="str">
        <x:v>Design 已生成，主流程可进入 Coding；未观察到新增底层状态。</x:v>
      </x:c>
    </x:row>
    <x:row r="4" ht="82" customHeight="1">
      <x:c r="A4" s="42" t="str">
        <x:v>db_intraday_pullback_volume_ma20</x:v>
      </x:c>
      <x:c r="B4" s="44" t="n">
        <x:v>3</x:v>
      </x:c>
      <x:c r="C4" s="42" t="str">
        <x:v>sop</x:v>
      </x:c>
      <x:c r="D4" s="42" t="str">
        <x:v>button_confirm</x:v>
      </x:c>
      <x:c r="E4" s="42" t="str">
        <x:v>Coding/确认</x:v>
      </x:c>
      <x:c r="F4" s="46" t="n">
        <x:v>168.61</x:v>
      </x:c>
      <x:c r="G4" s="42" t="str"/>
      <x:c r="H4" s="42" t="str">
        <x:v>实现未完成：执行样例的 input 或 output 不是合法 JSON。 当前设计和工作区代码已保留，可以继续修正。</x:v>
      </x:c>
      <x:c r="I4" s="42" t="str">
        <x:v>是</x:v>
      </x:c>
      <x:c r="J4" s="42" t="str">
        <x:v>是</x:v>
      </x:c>
      <x:c r="K4" s="44" t="str"/>
      <x:c r="L4" s="44" t="str"/>
      <x:c r="M4" s="44" t="str"/>
      <x:c r="N4" s="44" t="str"/>
      <x:c r="O4" s="42" t="str">
        <x:v>custom_tool_coding_failure, custom_tool_coding_retry</x:v>
      </x:c>
      <x:c r="P4" s="42" t="str"/>
      <x:c r="Q4" s="42" t="str">
        <x:v>Coding 首次执行因样例 JSON 非法未完成；这是确定性的实现/协议问题。</x:v>
      </x:c>
    </x:row>
    <x:row r="5" ht="82" customHeight="1">
      <x:c r="A5" s="42" t="str">
        <x:v>db_intraday_pullback_volume_ma20</x:v>
      </x:c>
      <x:c r="B5" s="44" t="n">
        <x:v>4</x:v>
      </x:c>
      <x:c r="C5" s="42" t="str">
        <x:v>automatic_user_confirmation</x:v>
      </x:c>
      <x:c r="D5" s="42" t="str">
        <x:v>button_confirm</x:v>
      </x:c>
      <x:c r="E5" s="42" t="str">
        <x:v>Coding/确认</x:v>
      </x:c>
      <x:c r="F5" s="46" t="n">
        <x:v>30.76</x:v>
      </x:c>
      <x:c r="G5" s="42" t="str"/>
      <x:c r="H5" s="42" t="str">
        <x:v>已生成 draft：ct_intraday_pullback_rebound。
样例技术运行：成功
以下实际结果和核心日志供你确认业务逻辑；确认后可启用。</x:v>
      </x:c>
      <x:c r="I5" s="42" t="str">
        <x:v>是</x:v>
      </x:c>
      <x:c r="J5" s="42" t="str">
        <x:v>是</x:v>
      </x:c>
      <x:c r="K5" s="44" t="n">
        <x:v>1</x:v>
      </x:c>
      <x:c r="L5" s="44" t="str"/>
      <x:c r="M5" s="44" t="str">
        <x:v>成功</x:v>
      </x:c>
      <x:c r="N5" s="44" t="n">
        <x:v>1</x:v>
      </x:c>
      <x:c r="O5" s="42" t="str">
        <x:v>custom_tool_implementation_summary, custom_tool_implementation_alignment, custom_tool_draft_summary, custom_tool_test_result, custom_tool_coding_review</x:v>
      </x:c>
      <x:c r="P5" s="42" t="str"/>
      <x:c r="Q5" s="42" t="str">
        <x:v>真实技术运行成功并有至少 1 个 case；但若此前失败，属于重试后成功。</x:v>
      </x:c>
    </x:row>
    <x:row r="6" ht="82" customHeight="1">
      <x:c r="A6" s="42" t="str">
        <x:v>db_gap_followthrough_5d</x:v>
      </x:c>
      <x:c r="B6" s="44" t="n">
        <x:v>1</x:v>
      </x:c>
      <x:c r="C6" s="42" t="str">
        <x:v>initial_request</x:v>
      </x:c>
      <x:c r="D6" s="42" t="str"/>
      <x:c r="E6" s="42" t="str">
        <x:v>Requirement</x:v>
      </x:c>
      <x:c r="F6" s="46" t="n">
        <x:v>51.67</x:v>
      </x:c>
      <x:c r="G6" s="42" t="str">
        <x:v>做一个跳空高开后持续走强的识别工具。输入股票代码和观察截止日，在最近60个交易日寻找开盘价高于前收盘2%以上的跳空日；要求跳空日收盘位于当日振幅上部30%，随后5个交易日最低价均未触及跳空日前收盘价，且至少3天收涨。输出跳空日、缺口幅度、后续5日逐日状态和最终结论。</x:v>
      </x:c>
      <x:c r="H6" s="42" t="str">
        <x:v>---
## 我的理解
我理解您需要这样一个工具：
**输入**：股票代码 + 观察截止日
**扫描范围**：截止日前 60 个交易日
**跳空条件**（一日内同时满足）：
1. 开盘价比前收盘价高开 **2% 以上**
2. 收盘价位于当日振幅的 **上部 30%**（即收盘 ≥ 最低价 + (最高价 - 最低价) × 0.7）
**后续验证**（跳空后 5 个交易日）：
1. 每日最低价 **均未回补** 跳空日前收盘价
2. 至少 **3 天收涨**（收盘价 &gt; 开盘价）
**输出**：跳空日期、缺口幅度、5 日逐日明细、最终结论
---
另外有两个问题需要您确认：
1. **是否只输出最终符合条件的跳空日**，还是也展示那些跳空条件满足但后续验证失败的中间结果？
2. **对于不符合条件的跳空日**，是直接跳过不展示，还是一并输出标注为"不符合"？
&gt; 关于默认口径：已按未复权价格判断、截止日含当日、不足 5 日观察期的不纳入、全部符合条件的跳空日均输出。这几点如果您有其他想法也请告诉我。</x:v>
      </x:c>
      <x:c r="I6" s="42" t="str">
        <x:v>是</x:v>
      </x:c>
      <x:c r="J6" s="42" t="str">
        <x:v>否</x:v>
      </x:c>
      <x:c r="K6" s="44" t="str"/>
      <x:c r="L6" s="44" t="str">
        <x:v>read_finance_asset → read_finance_asset → save_finance_artifact → request_user_interaction</x:v>
      </x:c>
      <x:c r="M6" s="44" t="str"/>
      <x:c r="N6" s="44" t="str"/>
      <x:c r="O6" s="42" t="str"/>
      <x:c r="P6" s="42" t="str"/>
      <x:c r="Q6" s="42" t="str">
        <x:v>Requirement 已建立，目标、主要输入与核心计算基本被保留。</x:v>
      </x:c>
    </x:row>
    <x:row r="7" ht="82" customHeight="1">
      <x:c r="A7" s="42" t="str">
        <x:v>db_gap_followthrough_5d</x:v>
      </x:c>
      <x:c r="B7" s="44" t="n">
        <x:v>2</x:v>
      </x:c>
      <x:c r="C7" s="42" t="str">
        <x:v>natural</x:v>
      </x:c>
      <x:c r="D7" s="42" t="str">
        <x:v>natural_language</x:v>
      </x:c>
      <x:c r="E7" s="42" t="str">
        <x:v>Requirement/续推</x:v>
      </x:c>
      <x:c r="F7" s="46" t="n">
        <x:v>27.27</x:v>
      </x:c>
      <x:c r="G7" s="42" t="str">
        <x:v>缺口回补以任一后续交易日最低价小于等于跳空日前收盘价为准；如后续不足5个交易日则返回数据不足。请保持核心流程极简。</x:v>
      </x:c>
      <x:c r="H7" s="42" t="str">
        <x:v>需求已更新，关键变化如下：
**已采纳您的反馈：**
- ✅ **缺口回补定义**：任一后续交易日 **最低价 ≤ 跳空日前收盘价** 即视为回补
- ✅ **不足5个交易日**：结论为 **"数据不足"**，仍输出该跳空日及其已有信息
- ✅ **极简流程**：所有跳空日均输出，结论明确三类——**符合 / 不符合 / 数据不足**
**当前需求概览：**
| 步骤 | 内容 |
|------|------|
| 输入 | 股票代码 + 观察截止日 |
| 扫描 | 60日内找开盘高开≥2% **且** 收盘在振幅上部30%的交易日 |
| 验证 | 看后续5日：缺口是否回补 + 至少3天收涨 |
| 结论 | 符合 / 不符合 / 数据不足 |
请您确认这份理解是否准确，没问题的话我进入设计方案阶段。</x:v>
      </x:c>
      <x:c r="I7" s="42" t="str">
        <x:v>是</x:v>
      </x:c>
      <x:c r="J7" s="42" t="str">
        <x:v>否</x:v>
      </x:c>
      <x:c r="K7" s="44" t="str"/>
      <x:c r="L7" s="44" t="str">
        <x:v>read_finance_asset → save_finance_artifact → request_user_interaction</x:v>
      </x:c>
      <x:c r="M7" s="44" t="str"/>
      <x:c r="N7" s="44" t="str"/>
      <x:c r="O7" s="42" t="str"/>
      <x:c r="P7" s="42" t="str"/>
      <x:c r="Q7" s="42" t="str">
        <x:v>仍停留在 Requirement；本轮没有形成 Design，增加了一次交互。</x:v>
      </x:c>
    </x:row>
    <x:row r="8" ht="82" customHeight="1">
      <x:c r="A8" s="42" t="str">
        <x:v>db_gap_followthrough_5d</x:v>
      </x:c>
      <x:c r="B8" s="44" t="n">
        <x:v>3</x:v>
      </x:c>
      <x:c r="C8" s="42" t="str">
        <x:v>sop</x:v>
      </x:c>
      <x:c r="D8" s="42" t="str">
        <x:v>button_confirm</x:v>
      </x:c>
      <x:c r="E8" s="42" t="str">
        <x:v>Coding/确认</x:v>
      </x:c>
      <x:c r="F8" s="46" t="n">
        <x:v>2.63</x:v>
      </x:c>
      <x:c r="G8" s="42" t="str"/>
      <x:c r="H8" s="42" t="str">
        <x:v>当前设计稿为空，请补充需求后重新生成设计。</x:v>
      </x:c>
      <x:c r="I8" s="42" t="str">
        <x:v>是</x:v>
      </x:c>
      <x:c r="J8" s="42" t="str">
        <x:v>否</x:v>
      </x:c>
      <x:c r="K8" s="44" t="str"/>
      <x:c r="L8" s="44" t="str"/>
      <x:c r="M8" s="44" t="str"/>
      <x:c r="N8" s="44" t="str"/>
      <x:c r="O8" s="42" t="str"/>
      <x:c r="P8" s="42" t="str"/>
      <x:c r="Q8" s="42" t="str">
        <x:v>设计尚未生成却进入确认动作；流程可恢复，但确认边界不顺畅。</x:v>
      </x:c>
    </x:row>
    <x:row r="9" ht="82" customHeight="1">
      <x:c r="A9" s="42" t="str">
        <x:v>db_gap_followthrough_5d</x:v>
      </x:c>
      <x:c r="B9" s="44" t="n">
        <x:v>4</x:v>
      </x:c>
      <x:c r="C9" s="42" t="str">
        <x:v>automatic_user_continuation</x:v>
      </x:c>
      <x:c r="D9" s="42" t="str">
        <x:v>natural_language</x:v>
      </x:c>
      <x:c r="E9" s="42" t="str">
        <x:v>Coding/续推</x:v>
      </x:c>
      <x:c r="F9" s="46" t="n">
        <x:v>166.75</x:v>
      </x:c>
      <x:c r="G9" s="42" t="str">
        <x:v>基于目前已经明确的信息，请完成设计并继续实现这个工具。</x:v>
      </x:c>
      <x:c r="H9" s="42" t="str">
        <x:v>工具已实现完成，以下是实现结果总结：
---
## ✅ 实现完成：跳空高开持续走强识别
**工具名称**：`ct_gap_up_strength_detector`
### 实现内容
| 项目 | 说明 |
|------|------|
| 数据源 | `stock.quote` 历史日K（realtime=0），取截止日前65条 |
| 输入 | `stock_code`（股票代码）、`end_date`（观察截止日） |
| 输出 | 每个跳空日：`gap_date`、`gap_amplitude`、`daily_details`（逐日明细）、`conclusion` |
### 验证结果
- ✅ **编译通过**
- ✅ **聚焦测试通过**
- ✅ **技术运行成功**（1/1 项）
- ✅ **接口契约检查通过**
### 已生成的资产
- 需求文档（requirement）
- 设计方案（design）
- 流程图（flow）
- 实现代码（code）
- 测试用例（tests）
- 工具接口契约（tool_contract）
---
您可以直接运行这个工具试试，比如：
```
run_dynamic_tool("ct_gap_up_strength_detector", {"stock_code": "600519.SH", "end_date": "2026-07-24"})
```
后续有调整需求随时告诉我。</x:v>
      </x:c>
      <x:c r="I9" s="42" t="str">
        <x:v>是</x:v>
      </x:c>
      <x:c r="J9" s="42" t="str">
        <x:v>是</x:v>
      </x:c>
      <x:c r="K9" s="44" t="n">
        <x:v>1</x:v>
      </x:c>
      <x:c r="L9" s="44" t="str">
        <x:v>read_finance_asset → save_finance_artifact → read_finance_asset → save_finance_artifact → implement_dynamic_tool</x:v>
      </x:c>
      <x:c r="M9" s="44" t="str">
        <x:v>成功</x:v>
      </x:c>
      <x:c r="N9" s="44" t="n">
        <x:v>0</x:v>
      </x:c>
      <x:c r="O9" s="42" t="str"/>
      <x:c r="P9" s="42" t="str"/>
      <x:c r="Q9" s="42" t="str">
        <x:v>系统标记执行成功，但未记录运行 case，证据不足以验证业务逻辑。</x:v>
      </x:c>
    </x:row>
    <x:row r="10" ht="82" customHeight="1">
      <x:c r="A10" s="42" t="str">
        <x:v>db_beta_csi300_120d</x:v>
      </x:c>
      <x:c r="B10" s="44" t="n">
        <x:v>1</x:v>
      </x:c>
      <x:c r="C10" s="42" t="str">
        <x:v>initial_request</x:v>
      </x:c>
      <x:c r="D10" s="42" t="str"/>
      <x:c r="E10" s="42" t="str">
        <x:v>Requirement</x:v>
      </x:c>
      <x:c r="F10" s="46" t="n">
        <x:v>55.94</x:v>
      </x:c>
      <x:c r="G10" s="42" t="str">
        <x:v>创建一个个股相对沪深300的Beta风险工具。输入股票代码和截止日，取双方最近120个共同交易日的复权收盘价计算日收益率，实际共同收益率样本少于80条时返回数据不足。输出样本区间、样本数、协方差、市场方差、Beta、R平方和年化残差波动率，并给出简洁解释。</x:v>
      </x:c>
      <x:c r="H10" s="42" t="str">
        <x:v>---
## 需求理解已就绪
我根据您的描述形成了以下需求理解，请您确认：
### 工具概要
**个股相对沪深300的Beta风险工具**
- **输入**：股票代码 + 截止日
- **数据**：取双方最近 **120个共同交易日** 的后复权收盘价
- **计算**：日收益率 → 一元线性回归（个股收益率 = α + β × 市场收益率）
- **校验**：共同收益率样本 &lt; 80 条时返回"数据不足"
- **输出**：样本区间、样本数、协方差、市场方差、**Beta**、**R平方**、**年化残差波动率**，配简洁解释
### 我已默认采用的业务口径
- CSI 300 指数代码用 **000300.SH**
- 复权价用 **后复权**（适合风险计算）
- 年化基准用 **sqrt(252)**
- 输出附带简洁的自然语言解释
### 需要您确认的一点
关于日收益率计算方式，我默认采用**对数收益率**（金融Beta计算惯例），您也可以选择**简单收益率**。请告诉我您的偏好，或者直接确认整体方案无误。</x:v>
      </x:c>
      <x:c r="I10" s="42" t="str">
        <x:v>是</x:v>
      </x:c>
      <x:c r="J10" s="42" t="str">
        <x:v>否</x:v>
      </x:c>
      <x:c r="K10" s="44" t="str"/>
      <x:c r="L10" s="44" t="str">
        <x:v>save_finance_artifact → request_user_interaction</x:v>
      </x:c>
      <x:c r="M10" s="44" t="str"/>
      <x:c r="N10" s="44" t="str"/>
      <x:c r="O10" s="42" t="str"/>
      <x:c r="P10" s="42" t="str"/>
      <x:c r="Q10" s="42" t="str">
        <x:v>Requirement 已建立，目标、主要输入与核心计算基本被保留。</x:v>
      </x:c>
    </x:row>
    <x:row r="11" ht="82" customHeight="1">
      <x:c r="A11" s="42" t="str">
        <x:v>db_beta_csi300_120d</x:v>
      </x:c>
      <x:c r="B11" s="44" t="n">
        <x:v>2</x:v>
      </x:c>
      <x:c r="C11" s="42" t="str">
        <x:v>natural</x:v>
      </x:c>
      <x:c r="D11" s="42" t="str">
        <x:v>natural_language</x:v>
      </x:c>
      <x:c r="E11" s="42" t="str">
        <x:v>Design</x:v>
      </x:c>
      <x:c r="F11" s="46" t="n">
        <x:v>67.96</x:v>
      </x:c>
      <x:c r="G11" s="42" t="str">
        <x:v>基准固定沪深300，不支持用户切换；共同日期严格内连接，年化按252个交易日。不要增加投资建议或额外评分。</x:v>
      </x:c>
      <x:c r="H11" s="42" t="str">
        <x:v>---
## 设计方案已就绪
基于您确认后的需求，我完成了完整的工具设计。以下是方案概要：
### 工具概览
**个股相对沪深300的Beta风险工具**
| 项目 | 内容 |
|---|---|
| 输入 | `stock_code`（A股代码）、`end_date`（截止日） |
| 固定基准 | 000300.SH（沪深300），不支持切换 |
| 数据窗口 | 最近120个共同交易日，严格内连接对齐 |
| 日收益率 | 对数收益率 ln(P_t/P_{t-1}) |
| 最小样本 | 共同收益率样本 ≥ 80 条，否则返回"数据不足" |
| 年化基准 | 252个交易日 |
### 输出指标
样本区间、样本数、协方差、市场方差、**Beta**、**R平方**、**年化残差波动率** + 简洁解释。不含投资建议或评分。
### 处理流程
```
输入 → 获取个股后复权收盘价 &amp; 沪深300收盘点位
     → 内连接对齐 → 截取120个共同交易日
     → 计算对数收益率 → 样本数≥80？
         → 否：返回"数据不足"
         → 是：计算协方差/市场方差/Beta/R²/年化残差波动率
             → 组装结果 + 简洁解释 → 返回
```
### 内部模块
- **数据读取模块**：获取个股和指数行情数据
- **收益率计算模块**：对数收益率计算与对齐
- **统计计算模块**：协方差、Beta、R²、残差波动率计算
- **结果组装模块**：格式化输出与解释生成
---
请您确认以上设计方案是否满足需求，确认后我将推进到代码实现阶段。</x:v>
      </x:c>
      <x:c r="I11" s="42" t="str">
        <x:v>是</x:v>
      </x:c>
      <x:c r="J11" s="42" t="str">
        <x:v>是</x:v>
      </x:c>
      <x:c r="K11" s="44" t="str"/>
      <x:c r="L11" s="44" t="str">
        <x:v>save_finance_artifact → read_finance_asset → read_finance_asset → read_finance_asset → save_finance_artifact → save_finance_artifact</x:v>
      </x:c>
      <x:c r="M11" s="44" t="str"/>
      <x:c r="N11" s="44" t="str"/>
      <x:c r="O11" s="42" t="str"/>
      <x:c r="P11" s="42" t="str"/>
      <x:c r="Q11" s="42" t="str">
        <x:v>Design 已生成，主流程可进入 Coding；未观察到新增底层状态。</x:v>
      </x:c>
    </x:row>
    <x:row r="12" ht="82" customHeight="1">
      <x:c r="A12" s="42" t="str">
        <x:v>db_beta_csi300_120d</x:v>
      </x:c>
      <x:c r="B12" s="44" t="n">
        <x:v>3</x:v>
      </x:c>
      <x:c r="C12" s="42" t="str">
        <x:v>sop</x:v>
      </x:c>
      <x:c r="D12" s="42" t="str">
        <x:v>button_confirm</x:v>
      </x:c>
      <x:c r="E12" s="42" t="str">
        <x:v>Coding/确认</x:v>
      </x:c>
      <x:c r="F12" s="46" t="n">
        <x:v>154.29</x:v>
      </x:c>
      <x:c r="G12" s="42" t="str"/>
      <x:c r="H12" s="42" t="str">
        <x:v>实现未完成：执行样例的 input 或 output 不是合法 JSON。 当前设计和工作区代码已保留，可以继续修正。</x:v>
      </x:c>
      <x:c r="I12" s="42" t="str">
        <x:v>是</x:v>
      </x:c>
      <x:c r="J12" s="42" t="str">
        <x:v>是</x:v>
      </x:c>
      <x:c r="K12" s="44" t="str"/>
      <x:c r="L12" s="44" t="str"/>
      <x:c r="M12" s="44" t="str"/>
      <x:c r="N12" s="44" t="str"/>
      <x:c r="O12" s="42" t="str">
        <x:v>custom_tool_coding_failure, custom_tool_coding_retry</x:v>
      </x:c>
      <x:c r="P12" s="42" t="str"/>
      <x:c r="Q12" s="42" t="str">
        <x:v>Coding 首次执行因样例 JSON 非法未完成；这是确定性的实现/协议问题。</x:v>
      </x:c>
    </x:row>
    <x:row r="13" ht="82" customHeight="1">
      <x:c r="A13" s="42" t="str">
        <x:v>db_beta_csi300_120d</x:v>
      </x:c>
      <x:c r="B13" s="44" t="n">
        <x:v>4</x:v>
      </x:c>
      <x:c r="C13" s="42" t="str">
        <x:v>automatic_user_confirmation</x:v>
      </x:c>
      <x:c r="D13" s="42" t="str">
        <x:v>button_confirm</x:v>
      </x:c>
      <x:c r="E13" s="42" t="str">
        <x:v>Coding/确认</x:v>
      </x:c>
      <x:c r="F13" s="46" t="n">
        <x:v>47.27</x:v>
      </x:c>
      <x:c r="G13" s="42" t="str"/>
      <x:c r="H13" s="42" t="str">
        <x:v>已生成 draft：ct_dynamic_fin_tool_module。
样例技术运行：成功
以下实际结果和核心日志供你确认业务逻辑；确认后可启用。</x:v>
      </x:c>
      <x:c r="I13" s="42" t="str">
        <x:v>是</x:v>
      </x:c>
      <x:c r="J13" s="42" t="str">
        <x:v>是</x:v>
      </x:c>
      <x:c r="K13" s="44" t="n">
        <x:v>1</x:v>
      </x:c>
      <x:c r="L13" s="44" t="str"/>
      <x:c r="M13" s="44" t="str">
        <x:v>成功</x:v>
      </x:c>
      <x:c r="N13" s="44" t="n">
        <x:v>1</x:v>
      </x:c>
      <x:c r="O13" s="42" t="str">
        <x:v>custom_tool_implementation_summary, custom_tool_implementation_alignment, custom_tool_draft_summary, custom_tool_test_result, custom_tool_coding_review</x:v>
      </x:c>
      <x:c r="P13" s="42" t="str"/>
      <x:c r="Q13" s="42" t="str">
        <x:v>真实技术运行成功并有至少 1 个 case；但若此前失败，属于重试后成功。</x:v>
      </x:c>
    </x:row>
    <x:row r="14" ht="82" customHeight="1">
      <x:c r="A14" s="42" t="str">
        <x:v>db_earnings_quality_3y</x:v>
      </x:c>
      <x:c r="B14" s="44" t="n">
        <x:v>1</x:v>
      </x:c>
      <x:c r="C14" s="42" t="str">
        <x:v>initial_request</x:v>
      </x:c>
      <x:c r="D14" s="42" t="str"/>
      <x:c r="E14" s="42" t="str">
        <x:v>Requirement</x:v>
      </x:c>
      <x:c r="F14" s="46" t="n">
        <x:v>37.95</x:v>
      </x:c>
      <x:c r="G14" s="42" t="str">
        <x:v>创建一个三年盈利质量评价工具。输入股票代码，以最近三个完整年度比较营业收入、净利润、经营活动现金流净额和应收账款；识别净利润持续增长但经营现金流未同步、或应收账款增速显著高于收入增速的情况。输出逐年原始值、关键增长率、现金含量指标、风险命中项和总体评价，缺失年度不得自行补值。</x:v>
      </x:c>
      <x:c r="H14" s="42" t="str">
        <x:v>需求理解已提交，等待您的确认。您可以：
1. **确认当前理解**，我会进入模块与流程设计阶段
2. **调整阈值**，比如将"应收账款与收入增速差距"改为 5 或 20 个百分点
3. **补充或修改**其他业务规则
请告诉我您的想法。</x:v>
      </x:c>
      <x:c r="I14" s="42" t="str">
        <x:v>是</x:v>
      </x:c>
      <x:c r="J14" s="42" t="str">
        <x:v>否</x:v>
      </x:c>
      <x:c r="K14" s="44" t="str"/>
      <x:c r="L14" s="44" t="str">
        <x:v>save_finance_artifact → request_user_interaction</x:v>
      </x:c>
      <x:c r="M14" s="44" t="str"/>
      <x:c r="N14" s="44" t="str"/>
      <x:c r="O14" s="42" t="str"/>
      <x:c r="P14" s="42" t="str"/>
      <x:c r="Q14" s="42" t="str">
        <x:v>Requirement 已建立，目标、主要输入与核心计算基本被保留。</x:v>
      </x:c>
    </x:row>
    <x:row r="15" ht="82" customHeight="1">
      <x:c r="A15" s="42" t="str">
        <x:v>db_earnings_quality_3y</x:v>
      </x:c>
      <x:c r="B15" s="44" t="n">
        <x:v>2</x:v>
      </x:c>
      <x:c r="C15" s="42" t="str">
        <x:v>natural</x:v>
      </x:c>
      <x:c r="D15" s="42" t="str">
        <x:v>natural_language</x:v>
      </x:c>
      <x:c r="E15" s="42" t="str">
        <x:v>Requirement/续推</x:v>
      </x:c>
      <x:c r="F15" s="46" t="n">
        <x:v>20.42</x:v>
      </x:c>
      <x:c r="G15" s="42" t="str">
        <x:v>现金含量使用经营现金流净额除以净利润；若净利润非正则只展示原值并说明指标不可比。保持为盈利质量评价，不预测股价。</x:v>
      </x:c>
      <x:c r="H15" s="42" t="str">
        <x:v>已提交，等待您的确认。如果没问题，告诉我"确认"或"继续"，我将进入**模块与流程设计**阶段。</x:v>
      </x:c>
      <x:c r="I15" s="42" t="str">
        <x:v>是</x:v>
      </x:c>
      <x:c r="J15" s="42" t="str">
        <x:v>否</x:v>
      </x:c>
      <x:c r="K15" s="44" t="str"/>
      <x:c r="L15" s="44" t="str">
        <x:v>save_finance_artifact → request_user_interaction</x:v>
      </x:c>
      <x:c r="M15" s="44" t="str"/>
      <x:c r="N15" s="44" t="str"/>
      <x:c r="O15" s="42" t="str"/>
      <x:c r="P15" s="42" t="str"/>
      <x:c r="Q15" s="42" t="str">
        <x:v>仍停留在 Requirement；本轮没有形成 Design，增加了一次交互。</x:v>
      </x:c>
    </x:row>
    <x:row r="16" ht="82" customHeight="1">
      <x:c r="A16" s="42" t="str">
        <x:v>db_earnings_quality_3y</x:v>
      </x:c>
      <x:c r="B16" s="44" t="n">
        <x:v>3</x:v>
      </x:c>
      <x:c r="C16" s="42" t="str">
        <x:v>sop</x:v>
      </x:c>
      <x:c r="D16" s="42" t="str">
        <x:v>button_confirm</x:v>
      </x:c>
      <x:c r="E16" s="42" t="str">
        <x:v>Coding/确认</x:v>
      </x:c>
      <x:c r="F16" s="46" t="n">
        <x:v>2.39</x:v>
      </x:c>
      <x:c r="G16" s="42" t="str"/>
      <x:c r="H16" s="42" t="str">
        <x:v>当前设计稿为空，请补充需求后重新生成设计。</x:v>
      </x:c>
      <x:c r="I16" s="42" t="str">
        <x:v>是</x:v>
      </x:c>
      <x:c r="J16" s="42" t="str">
        <x:v>否</x:v>
      </x:c>
      <x:c r="K16" s="44" t="str"/>
      <x:c r="L16" s="44" t="str"/>
      <x:c r="M16" s="44" t="str"/>
      <x:c r="N16" s="44" t="str"/>
      <x:c r="O16" s="42" t="str"/>
      <x:c r="P16" s="42" t="str"/>
      <x:c r="Q16" s="42" t="str">
        <x:v>设计尚未生成却进入确认动作；流程可恢复，但确认边界不顺畅。</x:v>
      </x:c>
    </x:row>
    <x:row r="17" ht="82" customHeight="1">
      <x:c r="A17" s="42" t="str">
        <x:v>db_earnings_quality_3y</x:v>
      </x:c>
      <x:c r="B17" s="44" t="n">
        <x:v>4</x:v>
      </x:c>
      <x:c r="C17" s="42" t="str">
        <x:v>automatic_user_continuation</x:v>
      </x:c>
      <x:c r="D17" s="42" t="str">
        <x:v>natural_language</x:v>
      </x:c>
      <x:c r="E17" s="42" t="str">
        <x:v>Coding/续推</x:v>
      </x:c>
      <x:c r="F17" s="46" t="n">
        <x:v>176.42</x:v>
      </x:c>
      <x:c r="G17" s="42" t="str">
        <x:v>基于目前已经明确的信息，请完成设计并继续实现这个工具。</x:v>
      </x:c>
      <x:c r="H17" s="42" t="str">
        <x:v>实现未完成：执行样例的 input 或 output 不是合法 JSON。 当前设计和工作区代码已保留，可以继续修正。</x:v>
      </x:c>
      <x:c r="I17" s="42" t="str">
        <x:v>是</x:v>
      </x:c>
      <x:c r="J17" s="42" t="str">
        <x:v>是</x:v>
      </x:c>
      <x:c r="K17" s="44" t="str"/>
      <x:c r="L17" s="44" t="str">
        <x:v>read_finance_asset → save_finance_artifact → read_finance_asset → save_finance_artifact → implement_dynamic_tool → implement_dynamic_tool</x:v>
      </x:c>
      <x:c r="M17" s="44" t="str">
        <x:v>失败</x:v>
      </x:c>
      <x:c r="N17" s="44" t="n">
        <x:v>0</x:v>
      </x:c>
      <x:c r="O17" s="42" t="str"/>
      <x:c r="P17" s="42" t="str"/>
      <x:c r="Q17" s="42" t="str">
        <x:v>Coding 首次执行因样例 JSON 非法未完成；这是确定性的实现/协议问题。</x:v>
      </x:c>
    </x:row>
    <x:row r="18" ht="82" customHeight="1">
      <x:c r="A18" s="42" t="str">
        <x:v>db_cross_drawdown_after_ma_break</x:v>
      </x:c>
      <x:c r="B18" s="44" t="n">
        <x:v>1</x:v>
      </x:c>
      <x:c r="C18" s="42" t="str">
        <x:v>initial_request</x:v>
      </x:c>
      <x:c r="D18" s="42" t="str"/>
      <x:c r="E18" s="42" t="str">
        <x:v>Requirement</x:v>
      </x:c>
      <x:c r="F18" s="46" t="n">
        <x:v>40.16</x:v>
      </x:c>
      <x:c r="G18" s="42" t="str">
        <x:v>开发一个趋势转弱后回撤统计工具。输入股票代码和截止日，在最近180个交易日查找MA20从上向下跌破MA60的最近一次信号，并比较信号日成交量与前20日均量；从信号日收盘开始统计随后最多60个交易日的最大回撤、峰值日、谷值日和截至截止日是否恢复。输出信号证据和回撤路径摘要。</x:v>
      </x:c>
      <x:c r="H18" s="42" t="str">
        <x:v>我已根据你的描述，形成了以下需求理解：
---
### 趋势转弱后回撤统计工具
**输入**：股票代码 + 截止日
**核心逻辑**：
1. 在截止日前最近 **180 个交易日** 内，查找 **MA20 从上向下跌破 MA60** 的最晚一次信号
2. 比较信号日成交量与前 20 日均量，输出量比
3. 从信号日收盘价开始，统计随后最多 **60 个交易日** 内的最大回撤、峰值日、谷值日
4. 判断截至截止日收盘价是否已恢复至信号日收盘价水平
**输出**：信号证据（日期、MA20、MA60、成交量、均量、量比）+ 回撤路径摘要（最大回撤、峰值日、谷值日、是否恢复）
**默认采用的口径**（已在 notice 中记录）：
- MA 采用简单移动均线（SMA），收盘价口径
- 成交量取前 20 日（不含信号日）简单算术均值
- 恢复判断基准：截止日收盘价 ≥ 信号日收盘价
- 回撤统计从信号日收盘价开始，信号日作为路径起点
- 若信号日后不足 60 个交易日，按实际可用天数统计
---
请确认以上理解是否准确，如有需要调整的地方请告诉我。</x:v>
      </x:c>
      <x:c r="I18" s="42" t="str">
        <x:v>是</x:v>
      </x:c>
      <x:c r="J18" s="42" t="str">
        <x:v>否</x:v>
      </x:c>
      <x:c r="K18" s="44" t="str"/>
      <x:c r="L18" s="44" t="str">
        <x:v>save_finance_artifact → request_user_interaction</x:v>
      </x:c>
      <x:c r="M18" s="44" t="str"/>
      <x:c r="N18" s="44" t="str"/>
      <x:c r="O18" s="42" t="str"/>
      <x:c r="P18" s="42" t="str"/>
      <x:c r="Q18" s="42" t="str">
        <x:v>Requirement 已建立，目标、主要输入与核心计算基本被保留。</x:v>
      </x:c>
    </x:row>
    <x:row r="19" ht="82" customHeight="1">
      <x:c r="A19" s="42" t="str">
        <x:v>db_cross_drawdown_after_ma_break</x:v>
      </x:c>
      <x:c r="B19" s="44" t="n">
        <x:v>2</x:v>
      </x:c>
      <x:c r="C19" s="42" t="str">
        <x:v>natural</x:v>
      </x:c>
      <x:c r="D19" s="42" t="str">
        <x:v>natural_language</x:v>
      </x:c>
      <x:c r="E19" s="42" t="str">
        <x:v>Design</x:v>
      </x:c>
      <x:c r="F19" s="46" t="n">
        <x:v>42.98</x:v>
      </x:c>
      <x:c r="G19" s="42" t="str">
        <x:v>下穿定义为前一日MA20大于等于MA60且当日MA20小于MA60；未来窗口不足60日时按已有区间计算并标注窗口未完结。</x:v>
      </x:c>
      <x:c r="H19" s="42" t="str">
        <x:v>设计文档和流程图已保存。以下是当前方案概览：
---
### 设计方案摘要
**输入**：`stock_code` + `end_date`
**主流程**：
1. 获取截止日前 **240+ 交易日** 的日线数据（收盘价、成交量）
2. 计算每交易日 **MA20 / MA60**（SMA 收盘价口径）
3. 在最近 **180 个交易日** 内从近到远查找 **MA20 下穿 MA60** 的最晚信号
4. 比对信号日成交量与 **前20日均量**，输出量比
5. 从信号日收盘开始，统计后续最多 **60 个交易日** 的最大回撤（峰值日、谷值日、幅度）
6. 判断截止日是否恢复，标注窗口是否完结
**内部模块**：数据读取 → 均线计算 → 信号检测 → 成交量分析 → 回撤统计 → 结果组装
**输出字段**：
- 信号证据：`signal_date`, `ma20`, `ma60`, `volume`, `avg_volume_20d`, `volume_ratio`
- 回撤摘要：`max_drawdown`, `peak_date`, `trough_date`, `recovered`, `window_closed`
---
请确认设计是否满足你的预期。如果确认没问题，告诉我"开始实现"，我将进入编码阶段。</x:v>
      </x:c>
      <x:c r="I19" s="42" t="str">
        <x:v>是</x:v>
      </x:c>
      <x:c r="J19" s="42" t="str">
        <x:v>是</x:v>
      </x:c>
      <x:c r="K19" s="44" t="str"/>
      <x:c r="L19" s="44" t="str">
        <x:v>save_finance_artifact → save_finance_artifact → read_finance_asset → save_finance_artifact</x:v>
      </x:c>
      <x:c r="M19" s="44" t="str"/>
      <x:c r="N19" s="44" t="str"/>
      <x:c r="O19" s="42" t="str"/>
      <x:c r="P19" s="42" t="str"/>
      <x:c r="Q19" s="42" t="str">
        <x:v>Design 已生成，主流程可进入 Coding；未观察到新增底层状态。</x:v>
      </x:c>
    </x:row>
    <x:row r="20" ht="82" customHeight="1">
      <x:c r="A20" s="42" t="str">
        <x:v>db_cross_drawdown_after_ma_break</x:v>
      </x:c>
      <x:c r="B20" s="44" t="n">
        <x:v>3</x:v>
      </x:c>
      <x:c r="C20" s="42" t="str">
        <x:v>sop</x:v>
      </x:c>
      <x:c r="D20" s="42" t="str">
        <x:v>button_confirm</x:v>
      </x:c>
      <x:c r="E20" s="42" t="str">
        <x:v>Coding/确认</x:v>
      </x:c>
      <x:c r="F20" s="46" t="n">
        <x:v>147.25</x:v>
      </x:c>
      <x:c r="G20" s="42" t="str"/>
      <x:c r="H20" s="42" t="str">
        <x:v>实现未完成：执行样例的 input 或 output 不是合法 JSON。 当前设计和工作区代码已保留，可以继续修正。</x:v>
      </x:c>
      <x:c r="I20" s="42" t="str">
        <x:v>是</x:v>
      </x:c>
      <x:c r="J20" s="42" t="str">
        <x:v>是</x:v>
      </x:c>
      <x:c r="K20" s="44" t="str"/>
      <x:c r="L20" s="44" t="str"/>
      <x:c r="M20" s="44" t="str"/>
      <x:c r="N20" s="44" t="str"/>
      <x:c r="O20" s="42" t="str">
        <x:v>custom_tool_coding_failure, custom_tool_coding_retry</x:v>
      </x:c>
      <x:c r="P20" s="42" t="str"/>
      <x:c r="Q20" s="42" t="str">
        <x:v>Coding 首次执行因样例 JSON 非法未完成；这是确定性的实现/协议问题。</x:v>
      </x:c>
    </x:row>
    <x:row r="21" ht="82" customHeight="1">
      <x:c r="A21" s="42" t="str">
        <x:v>db_cross_drawdown_after_ma_break</x:v>
      </x:c>
      <x:c r="B21" s="44" t="n">
        <x:v>4</x:v>
      </x:c>
      <x:c r="C21" s="42" t="str">
        <x:v>automatic_user_confirmation</x:v>
      </x:c>
      <x:c r="D21" s="42" t="str">
        <x:v>button_confirm</x:v>
      </x:c>
      <x:c r="E21" s="42" t="str">
        <x:v>Coding/确认</x:v>
      </x:c>
      <x:c r="F21" s="46" t="n">
        <x:v>38.45</x:v>
      </x:c>
      <x:c r="G21" s="42" t="str"/>
      <x:c r="H21" s="42" t="str">
        <x:v>已生成 draft：ct_trend_weakening_drawdown。
样例技术运行：成功
以下实际结果和核心日志供你确认业务逻辑；确认后可启用。</x:v>
      </x:c>
      <x:c r="I21" s="42" t="str">
        <x:v>是</x:v>
      </x:c>
      <x:c r="J21" s="42" t="str">
        <x:v>是</x:v>
      </x:c>
      <x:c r="K21" s="44" t="n">
        <x:v>1</x:v>
      </x:c>
      <x:c r="L21" s="44" t="str"/>
      <x:c r="M21" s="44" t="str">
        <x:v>成功</x:v>
      </x:c>
      <x:c r="N21" s="44" t="n">
        <x:v>1</x:v>
      </x:c>
      <x:c r="O21" s="42" t="str">
        <x:v>custom_tool_implementation_summary, custom_tool_implementation_alignment, custom_tool_draft_summary, custom_tool_test_result, custom_tool_coding_review</x:v>
      </x:c>
      <x:c r="P21" s="42" t="str"/>
      <x:c r="Q21" s="42" t="str">
        <x:v>真实技术运行成功并有至少 1 个 case；但若此前失败，属于重试后成功。</x:v>
      </x:c>
    </x:row>
    <x:row r="22" ht="82" customHeight="1">
      <x:c r="A22" s="42" t="str">
        <x:v>sector_relative_strength_aligned</x:v>
      </x:c>
      <x:c r="B22" s="44" t="n">
        <x:v>1</x:v>
      </x:c>
      <x:c r="C22" s="42" t="str">
        <x:v>initial_request</x:v>
      </x:c>
      <x:c r="D22" s="42" t="str"/>
      <x:c r="E22" s="42" t="str">
        <x:v>Requirement</x:v>
      </x:c>
      <x:c r="F22" s="46" t="n">
        <x:v>34.1</x:v>
      </x:c>
      <x:c r="G22" s="42" t="str">
        <x:v>创建一个行业相对强度评价工具。输入股票代码、行业指数代码和截止日，将个股与行业指数交易日严格对齐，计算20日和60日收益率差、近20日相对收益为正的天数占比，以及个股20日平均成交量相对前20日的变化。输出各指标、日期覆盖和相对强度结论。</x:v>
      </x:c>
      <x:c r="H22" s="42" t="str">
        <x:v>已根据你的描述形成以下需求理解，请确认：
---
**工具名称**：行业相对强度评价工具
**输入**：股票代码、行业指数代码、截止日
**核心计算**：
- 交易日严格对齐（个股与行业指数共同交易日）
- **20日收益率差**：个股近20日累计收益率 - 行业指数近20日累计收益率
- **60日收益率差**：个股近60日累计收益率 - 行业指数近60日累计收益率
- **相对收益为正天数占比**：近20日中个股日收益率 &gt; 行业指数日收益率的天数占比
- **20日平均成交量相对前20日的变化率**
**输出**：各指标值、日期覆盖范围、相对强度结论
---
已默认采用的部分（已记录在 `notice`）：
- 收益率使用**复权收盘价**计算
- 截止日包含在窗口内
- 收益率采用简单累计涨跌幅
还有一个问题需要你确认：**相对强度结论的判断标准**，你倾向于哪种方式？</x:v>
      </x:c>
      <x:c r="I22" s="42" t="str">
        <x:v>是</x:v>
      </x:c>
      <x:c r="J22" s="42" t="str">
        <x:v>否</x:v>
      </x:c>
      <x:c r="K22" s="44" t="str"/>
      <x:c r="L22" s="44" t="str">
        <x:v>read_finance_asset → read_finance_asset → read_finance_asset → save_finance_artifact → request_user_interaction</x:v>
      </x:c>
      <x:c r="M22" s="44" t="str"/>
      <x:c r="N22" s="44" t="str"/>
      <x:c r="O22" s="42" t="str"/>
      <x:c r="P22" s="42" t="str"/>
      <x:c r="Q22" s="42" t="str">
        <x:v>核心指标被识别，但后续又要求额外合成结论，存在偏离极简主线的风险。</x:v>
      </x:c>
    </x:row>
    <x:row r="23" ht="82" customHeight="1">
      <x:c r="A23" s="42" t="str">
        <x:v>sector_relative_strength_aligned</x:v>
      </x:c>
      <x:c r="B23" s="44" t="n">
        <x:v>2</x:v>
      </x:c>
      <x:c r="C23" s="42" t="str">
        <x:v>natural</x:v>
      </x:c>
      <x:c r="D23" s="42" t="str">
        <x:v>natural_language</x:v>
      </x:c>
      <x:c r="E23" s="42" t="str">
        <x:v>Requirement/续推</x:v>
      </x:c>
      <x:c r="F23" s="46" t="n">
        <x:v>32.07</x:v>
      </x:c>
      <x:c r="G23" s="42" t="str">
        <x:v>日期必须内连接；任一60日窗口共同样本不足61个收盘价时返回数据不足。成交量只用于判断是否明显萎缩，不合并成额外总分。</x:v>
      </x:c>
      <x:c r="H23" s="42" t="str">
        <x:v>已根据你的补充更新需求，主要变更如下：
---
**已确认纳入**：
- ✅ **交易日严格内连接** — 个股与行业指数只取共同交易日
- ✅ **数据充分性检查** — 60日窗口共同样本不足61个收盘价时，返回"数据不足"
- ✅ **成交量仅用于判断明显萎缩** — 单独输出标记，不参与相对强度总分
**还有两个问题需要你确认**：
1. **相对强度综合结论**的判断方式 — 三项指标（20日收益率差、60日收益率差、相对收益为正天数占比）如何合成结论？
2. **成交量明显萎缩的阈值** — 近20日日均成交量较前20日下降多少视为明显萎缩？</x:v>
      </x:c>
      <x:c r="I23" s="42" t="str">
        <x:v>是</x:v>
      </x:c>
      <x:c r="J23" s="42" t="str">
        <x:v>否</x:v>
      </x:c>
      <x:c r="K23" s="44" t="str"/>
      <x:c r="L23" s="44" t="str">
        <x:v>read_finance_asset → save_finance_artifact → request_user_interaction</x:v>
      </x:c>
      <x:c r="M23" s="44" t="str"/>
      <x:c r="N23" s="44" t="str"/>
      <x:c r="O23" s="42" t="str"/>
      <x:c r="P23" s="42" t="str"/>
      <x:c r="Q23" s="42" t="str">
        <x:v>仍停留在 Requirement；本轮没有形成 Design，增加了一次交互。</x:v>
      </x:c>
    </x:row>
    <x:row r="24" ht="82" customHeight="1">
      <x:c r="A24" s="42" t="str">
        <x:v>sector_relative_strength_aligned</x:v>
      </x:c>
      <x:c r="B24" s="44" t="n">
        <x:v>3</x:v>
      </x:c>
      <x:c r="C24" s="42" t="str">
        <x:v>sop</x:v>
      </x:c>
      <x:c r="D24" s="42" t="str">
        <x:v>button_confirm</x:v>
      </x:c>
      <x:c r="E24" s="42" t="str">
        <x:v>Coding/确认</x:v>
      </x:c>
      <x:c r="F24" s="46" t="n">
        <x:v>2.44</x:v>
      </x:c>
      <x:c r="G24" s="42" t="str"/>
      <x:c r="H24" s="42" t="str">
        <x:v>当前设计稿为空，请补充需求后重新生成设计。</x:v>
      </x:c>
      <x:c r="I24" s="42" t="str">
        <x:v>是</x:v>
      </x:c>
      <x:c r="J24" s="42" t="str">
        <x:v>否</x:v>
      </x:c>
      <x:c r="K24" s="44" t="str"/>
      <x:c r="L24" s="44" t="str"/>
      <x:c r="M24" s="44" t="str"/>
      <x:c r="N24" s="44" t="str"/>
      <x:c r="O24" s="42" t="str"/>
      <x:c r="P24" s="42" t="str"/>
      <x:c r="Q24" s="42" t="str">
        <x:v>设计尚未生成却进入确认动作；流程可恢复，但确认边界不顺畅。</x:v>
      </x:c>
    </x:row>
    <x:row r="25" ht="82" customHeight="1">
      <x:c r="A25" s="42" t="str">
        <x:v>sector_relative_strength_aligned</x:v>
      </x:c>
      <x:c r="B25" s="44" t="n">
        <x:v>4</x:v>
      </x:c>
      <x:c r="C25" s="42" t="str">
        <x:v>automatic_user_continuation</x:v>
      </x:c>
      <x:c r="D25" s="42" t="str">
        <x:v>natural_language</x:v>
      </x:c>
      <x:c r="E25" s="42" t="str">
        <x:v>Coding/续推</x:v>
      </x:c>
      <x:c r="F25" s="46" t="n">
        <x:v>235.66</x:v>
      </x:c>
      <x:c r="G25" s="42" t="str">
        <x:v>基于目前已经明确的信息，请完成设计并继续实现这个工具。</x:v>
      </x:c>
      <x:c r="H25" s="42" t="str">
        <x:v>本轮已保存 design, flow，但后续处理未完成；可以从当前结果继续。</x:v>
      </x:c>
      <x:c r="I25" s="42" t="str">
        <x:v>是</x:v>
      </x:c>
      <x:c r="J25" s="42" t="str">
        <x:v>是</x:v>
      </x:c>
      <x:c r="K25" s="44" t="str"/>
      <x:c r="L25" s="44" t="str">
        <x:v>read_finance_asset → save_finance_artifact → save_finance_artifact → implement_dynamic_tool</x:v>
      </x:c>
      <x:c r="M25" s="44" t="str">
        <x:v>失败</x:v>
      </x:c>
      <x:c r="N25" s="44" t="n">
        <x:v>0</x:v>
      </x:c>
      <x:c r="O25" s="42" t="str"/>
      <x:c r="P25" s="42" t="str"/>
      <x:c r="Q25" s="42" t="str">
        <x:v>已到 Coding，但执行失败；结构化 error 为空，诊断信息不足。</x:v>
      </x:c>
    </x:row>
    <x:row r="26" ht="82" customHeight="1">
      <x:c r="A26" s="42" t="str">
        <x:v>valuation_percentile_5y</x:v>
      </x:c>
      <x:c r="B26" s="44" t="n">
        <x:v>1</x:v>
      </x:c>
      <x:c r="C26" s="42" t="str">
        <x:v>initial_request</x:v>
      </x:c>
      <x:c r="D26" s="42" t="str"/>
      <x:c r="E26" s="42" t="str">
        <x:v>Requirement</x:v>
      </x:c>
      <x:c r="F26" s="46" t="n">
        <x:v>26.81</x:v>
      </x:c>
      <x:c r="G26" s="42" t="str">
        <x:v>创建一个个股历史估值分位工具。输入股票代码和截止日，基于近5年有效日频市盈率和市净率，分别计算当前值在自身历史中的百分位；过滤非正市盈率但保留正市净率，分别报告有效样本数。输出当前原始估值、分位数、历史区间和偏高/中性/偏低判断，任何指标样本不足250条时该指标返回数据不足。</x:v>
      </x:c>
      <x:c r="H26" s="42" t="str">
        <x:v>好的，以上需求理解已提交，等待你的确认或补充意见。确认后我会进入工具设计和流程图环节。</x:v>
      </x:c>
      <x:c r="I26" s="42" t="str">
        <x:v>是</x:v>
      </x:c>
      <x:c r="J26" s="42" t="str">
        <x:v>否</x:v>
      </x:c>
      <x:c r="K26" s="44" t="str"/>
      <x:c r="L26" s="44" t="str">
        <x:v>save_finance_artifact → request_user_interaction</x:v>
      </x:c>
      <x:c r="M26" s="44" t="str"/>
      <x:c r="N26" s="44" t="str"/>
      <x:c r="O26" s="42" t="str"/>
      <x:c r="P26" s="42" t="str"/>
      <x:c r="Q26" s="42" t="str">
        <x:v>Requirement 已建立，目标、主要输入与核心计算基本被保留。</x:v>
      </x:c>
    </x:row>
    <x:row r="27" ht="82" customHeight="1">
      <x:c r="A27" s="42" t="str">
        <x:v>valuation_percentile_5y</x:v>
      </x:c>
      <x:c r="B27" s="44" t="n">
        <x:v>2</x:v>
      </x:c>
      <x:c r="C27" s="42" t="str">
        <x:v>natural</x:v>
      </x:c>
      <x:c r="D27" s="42" t="str">
        <x:v>natural_language</x:v>
      </x:c>
      <x:c r="E27" s="42" t="str">
        <x:v>Requirement/续推</x:v>
      </x:c>
      <x:c r="F27" s="46" t="n">
        <x:v>15.67</x:v>
      </x:c>
      <x:c r="G27" s="42" t="str">
        <x:v>百分位按小于等于当前值的有效历史样本占比计算；PE与PB独立判定，不因其中一个缺失而阻断另一个。</x:v>
      </x:c>
      <x:c r="H27" s="42" t="str">
        <x:v>本轮处理失败，已有业务资产未改变；本轮反馈已经记录，可以继续重试。</x:v>
      </x:c>
      <x:c r="I27" s="42" t="str">
        <x:v>是</x:v>
      </x:c>
      <x:c r="J27" s="42" t="str">
        <x:v>否</x:v>
      </x:c>
      <x:c r="K27" s="44" t="str"/>
      <x:c r="L27" s="44" t="str"/>
      <x:c r="M27" s="44" t="str"/>
      <x:c r="N27" s="44" t="str"/>
      <x:c r="O27" s="42" t="str"/>
      <x:c r="P27" s="42" t="str"/>
      <x:c r="Q27" s="42" t="str">
        <x:v>SOFT 反馈未被吸收，资产保持不变；需要额外续推才能继续。</x:v>
      </x:c>
    </x:row>
    <x:row r="28" ht="82" customHeight="1">
      <x:c r="A28" s="42" t="str">
        <x:v>valuation_percentile_5y</x:v>
      </x:c>
      <x:c r="B28" s="44" t="n">
        <x:v>3</x:v>
      </x:c>
      <x:c r="C28" s="42" t="str">
        <x:v>sop</x:v>
      </x:c>
      <x:c r="D28" s="42" t="str">
        <x:v>button_confirm</x:v>
      </x:c>
      <x:c r="E28" s="42" t="str">
        <x:v>Coding/确认</x:v>
      </x:c>
      <x:c r="F28" s="46" t="n">
        <x:v>2.05</x:v>
      </x:c>
      <x:c r="G28" s="42" t="str"/>
      <x:c r="H28" s="42" t="str">
        <x:v>当前设计稿为空，请补充需求后重新生成设计。</x:v>
      </x:c>
      <x:c r="I28" s="42" t="str">
        <x:v>是</x:v>
      </x:c>
      <x:c r="J28" s="42" t="str">
        <x:v>否</x:v>
      </x:c>
      <x:c r="K28" s="44" t="str"/>
      <x:c r="L28" s="44" t="str"/>
      <x:c r="M28" s="44" t="str"/>
      <x:c r="N28" s="44" t="str"/>
      <x:c r="O28" s="42" t="str"/>
      <x:c r="P28" s="42" t="str"/>
      <x:c r="Q28" s="42" t="str">
        <x:v>设计尚未生成却进入确认动作；流程可恢复，但确认边界不顺畅。</x:v>
      </x:c>
    </x:row>
    <x:row r="29" ht="82" customHeight="1">
      <x:c r="A29" s="42" t="str">
        <x:v>valuation_percentile_5y</x:v>
      </x:c>
      <x:c r="B29" s="44" t="n">
        <x:v>4</x:v>
      </x:c>
      <x:c r="C29" s="42" t="str">
        <x:v>automatic_user_continuation</x:v>
      </x:c>
      <x:c r="D29" s="42" t="str">
        <x:v>natural_language</x:v>
      </x:c>
      <x:c r="E29" s="42" t="str">
        <x:v>Coding/续推</x:v>
      </x:c>
      <x:c r="F29" s="46" t="n">
        <x:v>60.74</x:v>
      </x:c>
      <x:c r="G29" s="42" t="str">
        <x:v>基于目前已经明确的信息，请完成设计并继续实现这个工具。</x:v>
      </x:c>
      <x:c r="H29" s="42" t="str">
        <x:v>本轮已保存 design, flow，但后续处理未完成；可以从当前结果继续。</x:v>
      </x:c>
      <x:c r="I29" s="42" t="str">
        <x:v>是</x:v>
      </x:c>
      <x:c r="J29" s="42" t="str">
        <x:v>是</x:v>
      </x:c>
      <x:c r="K29" s="44" t="str"/>
      <x:c r="L29" s="44" t="str">
        <x:v>read_finance_asset → read_finance_asset → read_finance_asset → read_finance_asset → read_finance_asset → read_finance_asset → read_finance_asset → finance_query → finance_query → finance_query → read_finance_asset → save_finance_artifact → save_finance_artifact → implement_dynamic_tool</x:v>
      </x:c>
      <x:c r="M29" s="44" t="str">
        <x:v>失败</x:v>
      </x:c>
      <x:c r="N29" s="44" t="n">
        <x:v>0</x:v>
      </x:c>
      <x:c r="O29" s="42" t="str"/>
      <x:c r="P29" s="42" t="str"/>
      <x:c r="Q29" s="42" t="str">
        <x:v>已到 Coding，但执行失败；结构化 error 为空，诊断信息不足。</x:v>
      </x:c>
    </x:row>
    <x:row r="30" ht="82" customHeight="1">
      <x:c r="A30" s="42" t="str">
        <x:v>tail_var_es_250d</x:v>
      </x:c>
      <x:c r="B30" s="44" t="n">
        <x:v>1</x:v>
      </x:c>
      <x:c r="C30" s="42" t="str">
        <x:v>initial_request</x:v>
      </x:c>
      <x:c r="D30" s="42" t="str"/>
      <x:c r="E30" s="42" t="str">
        <x:v>Requirement</x:v>
      </x:c>
      <x:c r="F30" s="46" t="n">
        <x:v>32.62</x:v>
      </x:c>
      <x:c r="G30" s="42" t="str">
        <x:v>设计一个历史尾部损失工具。输入股票代码和截止日，取最近250个有效交易日的复权收盘价计算日收益率，输出95%和99%历史VaR、对应Expected Shortfall、最差5个交易日及其收益率；有效收益率不足200条时返回数据不足。</x:v>
      </x:c>
      <x:c r="H30" s="42" t="str">
        <x:v>以下是当前对您需求的理解，请确认是否准确：
---
## 历史尾部损失工具 — 需求理解
**输入**
- 股票代码 + 截止日
**计算逻辑**
- 取截止日前最近 **250 个有效交易日**的**后复权收盘价**
- 计算日收益率：`当日收盘价 ÷ 前一日收盘价 − 1`
- 收益率从低到高排序，取经验分布的分位点
**输出指标**
| 指标 | 说明 |
|---|---|
| 95% / 99% 历史 VaR | 以**正数**表示损失幅度 |
| 95% / 99% Expected Shortfall | 超过 VaR 阈值的收益率均值 |
| 最差 5 个交易日 | 收益率最低的 5 天及其收益率 |
**边界条件**
- 有效收益率不足 **200 条** → 返回数据不足提示，不输出结果
---
默认已采用后复权（真实反映历史持有收益），VaR 以正数显示损失幅度。如果以上理解没有问题，请确认，我将继续进入模块与流程设计阶段。如需调整，请直接告诉我。</x:v>
      </x:c>
      <x:c r="I30" s="42" t="str">
        <x:v>是</x:v>
      </x:c>
      <x:c r="J30" s="42" t="str">
        <x:v>否</x:v>
      </x:c>
      <x:c r="K30" s="44" t="str"/>
      <x:c r="L30" s="44" t="str">
        <x:v>read_finance_asset → save_finance_artifact → request_user_interaction</x:v>
      </x:c>
      <x:c r="M30" s="44" t="str"/>
      <x:c r="N30" s="44" t="str"/>
      <x:c r="O30" s="42" t="str"/>
      <x:c r="P30" s="42" t="str"/>
      <x:c r="Q30" s="42" t="str">
        <x:v>Requirement 已建立，目标、主要输入与核心计算基本被保留。</x:v>
      </x:c>
    </x:row>
    <x:row r="31" ht="82" customHeight="1">
      <x:c r="A31" s="42" t="str">
        <x:v>tail_var_es_250d</x:v>
      </x:c>
      <x:c r="B31" s="44" t="n">
        <x:v>2</x:v>
      </x:c>
      <x:c r="C31" s="42" t="str">
        <x:v>natural</x:v>
      </x:c>
      <x:c r="D31" s="42" t="str">
        <x:v>natural_language</x:v>
      </x:c>
      <x:c r="E31" s="42" t="str">
        <x:v>Requirement/续推</x:v>
      </x:c>
      <x:c r="F31" s="46" t="n">
        <x:v>14.6</x:v>
      </x:c>
      <x:c r="G31" s="42" t="str">
        <x:v>VaR和ES都用历史模拟法，损失以正数展示；同时保留原始负收益率，避免方向歧义。不要扩展为组合风险。</x:v>
      </x:c>
      <x:c r="H31" s="42" t="str">
        <x:v>本轮处理失败，已有业务资产未改变；本轮反馈已经记录，可以继续重试。</x:v>
      </x:c>
      <x:c r="I31" s="42" t="str">
        <x:v>是</x:v>
      </x:c>
      <x:c r="J31" s="42" t="str">
        <x:v>否</x:v>
      </x:c>
      <x:c r="K31" s="44" t="str"/>
      <x:c r="L31" s="44" t="str">
        <x:v>read_finance_asset</x:v>
      </x:c>
      <x:c r="M31" s="44" t="str"/>
      <x:c r="N31" s="44" t="str"/>
      <x:c r="O31" s="42" t="str"/>
      <x:c r="P31" s="42" t="str"/>
      <x:c r="Q31" s="42" t="str">
        <x:v>SOFT 反馈未被吸收，资产保持不变；需要额外续推才能继续。</x:v>
      </x:c>
    </x:row>
    <x:row r="32" ht="82" customHeight="1">
      <x:c r="A32" s="42" t="str">
        <x:v>tail_var_es_250d</x:v>
      </x:c>
      <x:c r="B32" s="44" t="n">
        <x:v>3</x:v>
      </x:c>
      <x:c r="C32" s="42" t="str">
        <x:v>sop</x:v>
      </x:c>
      <x:c r="D32" s="42" t="str">
        <x:v>button_confirm</x:v>
      </x:c>
      <x:c r="E32" s="42" t="str">
        <x:v>Coding/确认</x:v>
      </x:c>
      <x:c r="F32" s="46" t="n">
        <x:v>4.74</x:v>
      </x:c>
      <x:c r="G32" s="42" t="str"/>
      <x:c r="H32" s="42" t="str">
        <x:v>当前设计稿为空，请补充需求后重新生成设计。</x:v>
      </x:c>
      <x:c r="I32" s="42" t="str">
        <x:v>是</x:v>
      </x:c>
      <x:c r="J32" s="42" t="str">
        <x:v>否</x:v>
      </x:c>
      <x:c r="K32" s="44" t="str"/>
      <x:c r="L32" s="44" t="str"/>
      <x:c r="M32" s="44" t="str"/>
      <x:c r="N32" s="44" t="str"/>
      <x:c r="O32" s="42" t="str"/>
      <x:c r="P32" s="42" t="str"/>
      <x:c r="Q32" s="42" t="str">
        <x:v>设计尚未生成却进入确认动作；流程可恢复，但确认边界不顺畅。</x:v>
      </x:c>
    </x:row>
    <x:row r="33" ht="82" customHeight="1">
      <x:c r="A33" s="42" t="str">
        <x:v>tail_var_es_250d</x:v>
      </x:c>
      <x:c r="B33" s="44" t="n">
        <x:v>4</x:v>
      </x:c>
      <x:c r="C33" s="42" t="str">
        <x:v>automatic_user_continuation</x:v>
      </x:c>
      <x:c r="D33" s="42" t="str">
        <x:v>natural_language</x:v>
      </x:c>
      <x:c r="E33" s="42" t="str">
        <x:v>Coding/续推</x:v>
      </x:c>
      <x:c r="F33" s="46" t="n">
        <x:v>173.97</x:v>
      </x:c>
      <x:c r="G33" s="42" t="str">
        <x:v>基于目前已经明确的信息，请完成设计并继续实现这个工具。</x:v>
      </x:c>
      <x:c r="H33" s="42" t="str">
        <x:v>本轮已保存 design, flow，但后续处理未完成；可以从当前结果继续。</x:v>
      </x:c>
      <x:c r="I33" s="42" t="str">
        <x:v>是</x:v>
      </x:c>
      <x:c r="J33" s="42" t="str">
        <x:v>是</x:v>
      </x:c>
      <x:c r="K33" s="44" t="str"/>
      <x:c r="L33" s="44" t="str">
        <x:v>read_finance_asset → read_finance_asset → read_finance_asset → read_finance_asset → read_finance_asset → read_finance_asset → read_finance_asset → read_finance_asset → save_finance_artifact → save_finance_artifact → implement_dynamic_tool → implement_dynamic_tool</x:v>
      </x:c>
      <x:c r="M33" s="44" t="str">
        <x:v>失败</x:v>
      </x:c>
      <x:c r="N33" s="44" t="n">
        <x:v>0</x:v>
      </x:c>
      <x:c r="O33" s="42" t="str"/>
      <x:c r="P33" s="42" t="str"/>
      <x:c r="Q33" s="42" t="str">
        <x:v>已到 Coding，但执行失败；结构化 error 为空，诊断信息不足。</x:v>
      </x:c>
    </x:row>
    <x:row r="34" ht="82" customHeight="1">
      <x:c r="A34" s="42" t="str">
        <x:v>liquidity_factor_20d</x:v>
      </x:c>
      <x:c r="B34" s="44" t="n">
        <x:v>1</x:v>
      </x:c>
      <x:c r="C34" s="42" t="str">
        <x:v>initial_request</x:v>
      </x:c>
      <x:c r="D34" s="42" t="str"/>
      <x:c r="E34" s="42" t="str">
        <x:v>Requirement</x:v>
      </x:c>
      <x:c r="F34" s="46" t="n">
        <x:v>37.11</x:v>
      </x:c>
      <x:c r="G34" s="42" t="str">
        <x:v>做一个个股流动性变化工具。输入股票代码和截止日，分别比较最近20个交易日与再前20个交易日的日均成交额、成交额变异系数和平均换手率，判断流动性改善、稳定或恶化。输出两个窗口的起止日、原始统计值、变化率和结论。</x:v>
      </x:c>
      <x:c r="H34" s="42" t="str">
        <x:v>以下是需求理解，请您确认：
---
## 个股流动性变化工具 — 需求概要
**目标**：输入股票代码和截止日，对比最近 20 个交易日（窗口1）与再前 20 个交易日（窗口2）的流动性指标，输出变化方向和详细统计。
**三个核心指标**：
- 日均成交额 → 衡量流动性规模
- 成交额变异系数（std/mean）→ 衡量流动性稳定性
- 平均换手率 → 衡量交易活跃度
**输出**：两个窗口的起止日期、各指标原始值、变化率，以及综合结论（改善/稳定/恶化）。
---
**已默认采用的业务口径**：
- 窗口以自然交易日顺序排列，跳过停牌日
- 成交额变异系数 = 标准差 ÷ 均值
- 变化率 = (窗口1 − 窗口2) / |窗口2| × 100%
**有一个事项需要您确认**：
综合判断规则——目前默认按三项指标**多数投票**（日均成交额和平均换手率上升为改善、下降为恶化；变异系数下降为改善、上升为恶化；至少两项改善则结论「改善」，至少两项恶化则结论「恶化」，否则「稳定」）。您觉得这个规则合适吗？还是希望调整？</x:v>
      </x:c>
      <x:c r="I34" s="42" t="str">
        <x:v>是</x:v>
      </x:c>
      <x:c r="J34" s="42" t="str">
        <x:v>否</x:v>
      </x:c>
      <x:c r="K34" s="44" t="str"/>
      <x:c r="L34" s="44" t="str">
        <x:v>read_finance_asset → read_finance_asset → save_finance_artifact → request_user_interaction</x:v>
      </x:c>
      <x:c r="M34" s="44" t="str"/>
      <x:c r="N34" s="44" t="str"/>
      <x:c r="O34" s="42" t="str"/>
      <x:c r="P34" s="42" t="str"/>
      <x:c r="Q34" s="42" t="str">
        <x:v>Requirement 已建立，目标、主要输入与核心计算基本被保留。</x:v>
      </x:c>
    </x:row>
    <x:row r="35" ht="82" customHeight="1">
      <x:c r="A35" s="42" t="str">
        <x:v>liquidity_factor_20d</x:v>
      </x:c>
      <x:c r="B35" s="44" t="n">
        <x:v>2</x:v>
      </x:c>
      <x:c r="C35" s="42" t="str">
        <x:v>natural</x:v>
      </x:c>
      <x:c r="D35" s="42" t="str">
        <x:v>natural_language</x:v>
      </x:c>
      <x:c r="E35" s="42" t="str">
        <x:v>Requirement/续推</x:v>
      </x:c>
      <x:c r="F35" s="46" t="n">
        <x:v>18.44</x:v>
      </x:c>
      <x:c r="G35" s="42" t="str">
        <x:v>三个指标分开输出，不做综合打分；换手率缺失时仍计算成交额相关指标并明确标注缺失。</x:v>
      </x:c>
      <x:c r="H35" s="42" t="str">
        <x:v>已根据您的反馈更新需求，主要调整如下：
**1. 取消综合结论** — 三个指标各自独立输出原始值、变化率和变化方向（上升/下降/持平），不做多数投票或综合打分。
**2. 换手率缺失处理** — 换手率字段缺失时，日均成交额和成交额变异系数照常计算输出，换手率相关位置标注「数据缺失」，变化率及方向标注为无法计算。
其他口径不变：窗口定义、变异系数计算方式、变化率公式均按之前的默认处理。
请您确认以上理解是否准确，确认后我将进入方案设计阶段。</x:v>
      </x:c>
      <x:c r="I35" s="42" t="str">
        <x:v>是</x:v>
      </x:c>
      <x:c r="J35" s="42" t="str">
        <x:v>否</x:v>
      </x:c>
      <x:c r="K35" s="44" t="str"/>
      <x:c r="L35" s="44" t="str">
        <x:v>save_finance_artifact → request_user_interaction</x:v>
      </x:c>
      <x:c r="M35" s="44" t="str"/>
      <x:c r="N35" s="44" t="str"/>
      <x:c r="O35" s="42" t="str"/>
      <x:c r="P35" s="42" t="str"/>
      <x:c r="Q35" s="42" t="str">
        <x:v>仍停留在 Requirement；本轮没有形成 Design，增加了一次交互。</x:v>
      </x:c>
    </x:row>
    <x:row r="36" ht="82" customHeight="1">
      <x:c r="A36" s="42" t="str">
        <x:v>liquidity_factor_20d</x:v>
      </x:c>
      <x:c r="B36" s="44" t="n">
        <x:v>3</x:v>
      </x:c>
      <x:c r="C36" s="42" t="str">
        <x:v>sop</x:v>
      </x:c>
      <x:c r="D36" s="42" t="str">
        <x:v>button_confirm</x:v>
      </x:c>
      <x:c r="E36" s="42" t="str">
        <x:v>Coding/确认</x:v>
      </x:c>
      <x:c r="F36" s="46" t="n">
        <x:v>2.12</x:v>
      </x:c>
      <x:c r="G36" s="42" t="str"/>
      <x:c r="H36" s="42" t="str">
        <x:v>当前设计稿为空，请补充需求后重新生成设计。</x:v>
      </x:c>
      <x:c r="I36" s="42" t="str">
        <x:v>是</x:v>
      </x:c>
      <x:c r="J36" s="42" t="str">
        <x:v>否</x:v>
      </x:c>
      <x:c r="K36" s="44" t="str"/>
      <x:c r="L36" s="44" t="str"/>
      <x:c r="M36" s="44" t="str"/>
      <x:c r="N36" s="44" t="str"/>
      <x:c r="O36" s="42" t="str"/>
      <x:c r="P36" s="42" t="str"/>
      <x:c r="Q36" s="42" t="str">
        <x:v>设计尚未生成却进入确认动作；流程可恢复，但确认边界不顺畅。</x:v>
      </x:c>
    </x:row>
    <x:row r="37" ht="82" customHeight="1">
      <x:c r="A37" s="42" t="str">
        <x:v>portfolio_concentration_hhi</x:v>
      </x:c>
      <x:c r="B37" s="44" t="n">
        <x:v>1</x:v>
      </x:c>
      <x:c r="C37" s="42" t="str">
        <x:v>initial_request</x:v>
      </x:c>
      <x:c r="D37" s="42" t="str"/>
      <x:c r="E37" s="42" t="str">
        <x:v>Requirement</x:v>
      </x:c>
      <x:c r="F37" s="46" t="n">
        <x:v>5.9</x:v>
      </x:c>
      <x:c r="G37" s="42" t="str">
        <x:v>创建一个投资组合集中度分析工具。输入股票代码与持仓市值列表，校验市值为非负且总市值大于零，按市值计算权重、前3大持仓占比、HHI和等效持仓数量1/HHI；输出逐项权重、核心指标，并列出权重超过20%的持仓。不得调用行情数据，也不提供买卖建议。</x:v>
      </x:c>
      <x:c r="H37" s="42" t="str">
        <x:v>我暂时没能整理好这轮对话的上下文，当前内容没有改变。请重新提交一次。</x:v>
      </x:c>
      <x:c r="I37" s="42" t="str">
        <x:v>否</x:v>
      </x:c>
      <x:c r="J37" s="42" t="str">
        <x:v>否</x:v>
      </x:c>
      <x:c r="K37" s="44" t="str"/>
      <x:c r="L37" s="44" t="str"/>
      <x:c r="M37" s="44" t="str"/>
      <x:c r="N37" s="44" t="str"/>
      <x:c r="O37" s="42" t="str">
        <x:v>context_resolution_message</x:v>
      </x:c>
      <x:c r="P37" s="42" t="str"/>
      <x:c r="Q37" s="42" t="str">
        <x:v>未建立 Requirement，上下文解析失败；主线未启动。</x:v>
      </x:c>
    </x:row>
    <x:row r="38" ht="82" customHeight="1">
      <x:c r="A38" s="42" t="str">
        <x:v>portfolio_concentration_hhi</x:v>
      </x:c>
      <x:c r="B38" s="44" t="n">
        <x:v>2</x:v>
      </x:c>
      <x:c r="C38" s="42" t="str">
        <x:v>natural</x:v>
      </x:c>
      <x:c r="D38" s="42" t="str">
        <x:v>natural_language</x:v>
      </x:c>
      <x:c r="E38" s="42" t="str">
        <x:v>Requirement/续推</x:v>
      </x:c>
      <x:c r="F38" s="46" t="n">
        <x:v>3.78</x:v>
      </x:c>
      <x:c r="G38" s="42" t="str">
        <x:v>重复股票代码先合并市值再计算；零市值可以保留输入但不计入有效持仓数。请直接形成最小可执行设计。</x:v>
      </x:c>
      <x:c r="H38" s="42" t="str">
        <x:v>我暂时没能整理好这轮对话的上下文，当前内容没有改变。请重新提交一次。</x:v>
      </x:c>
      <x:c r="I38" s="42" t="str">
        <x:v>否</x:v>
      </x:c>
      <x:c r="J38" s="42" t="str">
        <x:v>否</x:v>
      </x:c>
      <x:c r="K38" s="44" t="str"/>
      <x:c r="L38" s="44" t="str"/>
      <x:c r="M38" s="44" t="str"/>
      <x:c r="N38" s="44" t="str"/>
      <x:c r="O38" s="42" t="str">
        <x:v>context_resolution_message</x:v>
      </x:c>
      <x:c r="P38" s="42" t="str"/>
      <x:c r="Q38" s="42" t="str">
        <x:v>未形成可继续的阶段资产。</x:v>
      </x:c>
    </x:row>
    <x:row r="39" ht="82" customHeight="1">
      <x:c r="A39" s="42" t="str">
        <x:v>portfolio_concentration_hhi</x:v>
      </x:c>
      <x:c r="B39" s="44" t="n">
        <x:v>3</x:v>
      </x:c>
      <x:c r="C39" s="42" t="str">
        <x:v>sop</x:v>
      </x:c>
      <x:c r="D39" s="42" t="str">
        <x:v>button_confirm</x:v>
      </x:c>
      <x:c r="E39" s="42" t="str">
        <x:v>Coding/确认</x:v>
      </x:c>
      <x:c r="F39" s="46" t="n">
        <x:v>2.87</x:v>
      </x:c>
      <x:c r="G39" s="42" t="str"/>
      <x:c r="H39" s="42" t="str">
        <x:v>RuntimeError: 当前没有可继续的自定义工具流程。</x:v>
      </x:c>
      <x:c r="I39" s="42" t="str"/>
      <x:c r="J39" s="42" t="str"/>
      <x:c r="K39" s="44" t="str"/>
      <x:c r="L39" s="44" t="str"/>
      <x:c r="M39" s="44" t="str"/>
      <x:c r="N39" s="44" t="str"/>
      <x:c r="O39" s="42" t="str"/>
      <x:c r="P39" s="42" t="str">
        <x:v>RuntimeError: 当前没有可继续的自定义工具流程。</x:v>
      </x:c>
      <x:c r="Q39" s="42" t="str">
        <x:v>调用中断：RuntimeError: 当前没有可继续的自定义工具流程。</x:v>
      </x:c>
    </x:row>
    <x:row r="40" ht="82" customHeight="1">
      <x:c r="A40" s="42" t="str">
        <x:v>abu_market_and_entry_decision</x:v>
      </x:c>
      <x:c r="B40" s="44" t="n">
        <x:v>1</x:v>
      </x:c>
      <x:c r="C40" s="42" t="str">
        <x:v>initial_request</x:v>
      </x:c>
      <x:c r="D40" s="42" t="str"/>
      <x:c r="E40" s="42" t="str">
        <x:v>Requirement</x:v>
      </x:c>
      <x:c r="F40" s="46" t="n">
        <x:v>64.71</x:v>
      </x:c>
      <x:c r="G40" s="42" t="str">
        <x:v>创建“阿布体系·大盘状态+个股买入决策”工具，输入待评估股票代码和截止时点，最终只给出可买/不可买，同时保留可追溯的规则证据。第一步判断上证指数：日线需同时满足最近10日更高高点不少于3次、更高低点不少于3次，当前收盘价高于过去20日最高价的算术平均，且收盘价在MA20上方并且MA20向上，才算多头趋势；15分钟需同时满足最近8根K线更高高点不少于4次、更高低点不少于4次，最近3根至少2根阳线，且最新收盘价在15分钟MA20上方，才算强。多头且强为可操作，多头但弱为谨慎操作，非多头为不可操作。第二步仅在可操作或谨慎操作时判断个股15分钟信号：追强要求最近两根均为阳线，第二根高低点均抬高、收盘在自身中点上方、成交量高于第一根，且当前价不在最近20根K线前高的3%以内；回调要求此前存在一根实体涨幅至少0.5%、高低点均抬高的趋势阳线，随后1至2根实体占振幅不超过40%且绝对涨跌幅不超过0.5%的小K线，回调最低价不跌破趋势K中点，回调量低于趋势K成交量80%，且不在前高3%阻力区。可操作时任一信号符合即可买；谨慎操作时只有回调符合才可买；不可操作一律不可买。输出大盘日线证据、15分钟证据、个股两类信号逐项布尔值、唯一结论、信号类型和止损价；追强止损为第二根K最低价下方0.5%，回调止损为回调低点下方0.5%。分钟或日线数据不足时返回不可判断，不得把缺失当成不符合，也不要扩展主观评分。</x:v>
      </x:c>
      <x:c r="H40" s="42" t="str">
        <x:v>我已经基于您的详细描述，整理出了完整的**需求草案**，并保存为正式资产。核心要点如下：
---
### 工具目标
输入个股代码 + 截止时点 → 两步判断（大盘状态 → 个股信号）→ 输出 **可买/不可买** + 逐项规则证据 + 止损价
### 第一步：大盘状态
- **日线多头**（5项全部满足，涉及10日/20日窗口、MA20位置与方向）
- **15分钟强**（4项全部满足，涉及8根K线高低点计数、阳线数量、MA20位置）
- 结论：多头+强=可操作 / 多头+弱=谨慎操作 / 非多头=不可操作
### 第二步：个股信号
- **追强**（5项条件，最后两根15分钟K线形态+量价+前高阻力）
- **回调**（5项条件，趋势阳线后小K线缩量回调形态）
- 可操作时任一信号可买，谨慎操作时仅回调可买，不可操作一律不可买
### 输出
大盘日线/15分钟证据、两类信号逐项布尔值、唯一结论、信号类型、止损价
---
有两个事项需要您确认：
1. **盘中场景**：截止时点当日尚未收盘时，大盘日线数据用最近完整交易日还是含当日盘中？
2. **数据不足**：15分钟K线量不足时（如不足8根），统一返回**不可判断**，还是能判断多少算多少？
请确认整体需求理解，并告诉我这两个问题的偏好。</x:v>
      </x:c>
      <x:c r="I40" s="42" t="str">
        <x:v>是</x:v>
      </x:c>
      <x:c r="J40" s="42" t="str">
        <x:v>否</x:v>
      </x:c>
      <x:c r="K40" s="44" t="str"/>
      <x:c r="L40" s="44" t="str">
        <x:v>read_finance_asset → read_finance_asset → read_finance_asset → save_finance_artifact → request_user_interaction</x:v>
      </x:c>
      <x:c r="M40" s="44" t="str"/>
      <x:c r="N40" s="44" t="str"/>
      <x:c r="O40" s="42" t="str"/>
      <x:c r="P40" s="42" t="str"/>
      <x:c r="Q40" s="42" t="str">
        <x:v>复杂规则被压缩为大盘门控→个股信号→唯一结论，核心语义保持完整。</x:v>
      </x:c>
    </x:row>
    <x:row r="41" ht="82" customHeight="1">
      <x:c r="A41" s="42" t="str">
        <x:v>abu_market_and_entry_decision</x:v>
      </x:c>
      <x:c r="B41" s="44" t="n">
        <x:v>2</x:v>
      </x:c>
      <x:c r="C41" s="42" t="str">
        <x:v>natural</x:v>
      </x:c>
      <x:c r="D41" s="42" t="str">
        <x:v>natural_language</x:v>
      </x:c>
      <x:c r="E41" s="42" t="str">
        <x:v>Design</x:v>
      </x:c>
      <x:c r="F41" s="46" t="n">
        <x:v>105.3</x:v>
      </x:c>
      <x:c r="G41" s="42" t="str">
        <x:v>按单只股票调用；“下方0.5%”按低点乘以0.995计算。所有关键阈值已经给出，请不要再增加问题或旁支，直接形成可执行设计。</x:v>
      </x:c>
      <x:c r="H41" s="42" t="str">
        <x:v>设计已全部完成。以下是 **abu_market_stock_decision** 工具方案概要：
---
## 设计已完成
### 输入
`stock_code` + `cutoff_date` + `cutoff_time`
### 处理流程（两级判断）
**阶段1 — 数据采集**
- 上证指数日线（≥20交易日）
- 上证指数15分钟K线（≥8根）
- 个股15分钟K线（≥20根）
**阶段2 — 大盘状态判断**
- 日线多头：5项（更高高点计数、更高低点计数、收盘与20日最高均价、MA20位置、MA20方向）
- 15分钟强：4项（更高高点计数、更高低点计数、阳线数量、MA20位置）
- 结论：**可操作** / **谨慎操作** / **不可操作**
**阶段3 — 个股信号判断**
- **追强**：5项（双阳线、高低点抬高、收中点上方、量增、非前高3%阻力区）
- **回调**：5项（趋势阳线→小K线组合、不破中点、缩量、非阻力区）
- 决策：可操作时任一信号可买，谨慎操作时仅回调可买，不可操作一律不可买
### 输出
大盘日线证据(5项布尔)、15分钟证据(4项布尔)、两类信号逐项布尔值、唯一结论、信号类型、止损价（低点×0.995）
### 数据不足
统一返回**不可判断**，不将缺失视为条件不满足
---
**设计已就绪，需要我继续推进代码实现吗？**</x:v>
      </x:c>
      <x:c r="I41" s="42" t="str">
        <x:v>是</x:v>
      </x:c>
      <x:c r="J41" s="42" t="str">
        <x:v>是</x:v>
      </x:c>
      <x:c r="K41" s="44" t="str"/>
      <x:c r="L41" s="44" t="str">
        <x:v>save_finance_artifact → save_finance_artifact → read_finance_asset → save_finance_artifact</x:v>
      </x:c>
      <x:c r="M41" s="44" t="str"/>
      <x:c r="N41" s="44" t="str"/>
      <x:c r="O41" s="42" t="str"/>
      <x:c r="P41" s="42" t="str"/>
      <x:c r="Q41" s="42" t="str">
        <x:v>Design 已生成，主流程可进入 Coding；未观察到新增底层状态。</x:v>
      </x:c>
    </x:row>
    <x:row r="42" ht="82" customHeight="1">
      <x:c r="A42" s="42" t="str">
        <x:v>abu_market_and_entry_decision</x:v>
      </x:c>
      <x:c r="B42" s="44" t="n">
        <x:v>3</x:v>
      </x:c>
      <x:c r="C42" s="42" t="str">
        <x:v>sop</x:v>
      </x:c>
      <x:c r="D42" s="42" t="str">
        <x:v>button_confirm</x:v>
      </x:c>
      <x:c r="E42" s="42" t="str">
        <x:v>Coding/确认</x:v>
      </x:c>
      <x:c r="F42" s="46" t="n">
        <x:v>522.23</x:v>
      </x:c>
      <x:c r="G42" s="42" t="str"/>
      <x:c r="H42" s="42" t="str">
        <x:v>实现未完成：执行样例的 input 或 output 不是合法 JSON。 当前设计和工作区代码已保留，可以继续修正。</x:v>
      </x:c>
      <x:c r="I42" s="42" t="str">
        <x:v>是</x:v>
      </x:c>
      <x:c r="J42" s="42" t="str">
        <x:v>是</x:v>
      </x:c>
      <x:c r="K42" s="44" t="str"/>
      <x:c r="L42" s="44" t="str"/>
      <x:c r="M42" s="44" t="str"/>
      <x:c r="N42" s="44" t="str"/>
      <x:c r="O42" s="42" t="str">
        <x:v>custom_tool_coding_failure, custom_tool_coding_retry</x:v>
      </x:c>
      <x:c r="P42" s="42" t="str"/>
      <x:c r="Q42" s="42" t="str">
        <x:v>Coding 首次执行因样例 JSON 非法未完成；这是确定性的实现/协议问题。</x:v>
      </x:c>
    </x:row>
    <x:row r="43" ht="82" customHeight="1">
      <x:c r="A43" s="42" t="str">
        <x:v>abu_market_and_entry_decision</x:v>
      </x:c>
      <x:c r="B43" s="44" t="n">
        <x:v>4</x:v>
      </x:c>
      <x:c r="C43" s="42" t="str">
        <x:v>automatic_user_confirmation</x:v>
      </x:c>
      <x:c r="D43" s="42" t="str">
        <x:v>button_confirm</x:v>
      </x:c>
      <x:c r="E43" s="42" t="str">
        <x:v>Coding/确认</x:v>
      </x:c>
      <x:c r="F43" s="46" t="n">
        <x:v>215.66</x:v>
      </x:c>
      <x:c r="G43" s="42" t="str"/>
      <x:c r="H43" s="42" t="str">
        <x:v>已生成 draft：ct_abu_market_stock_decision。
样例技术运行：成功
以下实际结果和核心日志供你确认业务逻辑；确认后可启用。</x:v>
      </x:c>
      <x:c r="I43" s="42" t="str">
        <x:v>是</x:v>
      </x:c>
      <x:c r="J43" s="42" t="str">
        <x:v>是</x:v>
      </x:c>
      <x:c r="K43" s="44" t="n">
        <x:v>1</x:v>
      </x:c>
      <x:c r="L43" s="44" t="str"/>
      <x:c r="M43" s="44" t="str">
        <x:v>成功</x:v>
      </x:c>
      <x:c r="N43" s="44" t="n">
        <x:v>1</x:v>
      </x:c>
      <x:c r="O43" s="42" t="str">
        <x:v>custom_tool_implementation_summary, custom_tool_implementation_alignment, custom_tool_draft_summary, custom_tool_test_result, custom_tool_coding_review</x:v>
      </x:c>
      <x:c r="P43" s="42" t="str"/>
      <x:c r="Q43" s="42" t="str">
        <x:v>真实技术运行成功并有至少 1 个 case；但若此前失败，属于重试后成功。</x:v>
      </x:c>
    </x:row>
  </x:sheetData>
  <x:conditionalFormatting sqref="M2:M43">
    <x:cfRule type="containsText" dxfId="4" priority="1" operator="containsText" text="成功"/>
    <x:cfRule type="containsText" dxfId="5" priority="2" operator="containsText" text="失败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0" hidden="0" customWidth="1"/>
    <x:col min="4" max="4" width="10" hidden="0" customWidth="1"/>
    <x:col min="5" max="5" width="41" hidden="0" customWidth="1"/>
    <x:col min="6" max="6" width="62" hidden="0" customWidth="1"/>
    <x:col min="7" max="7" width="52" hidden="0" customWidth="1"/>
  </x:cols>
  <x:sheetData>
    <x:row r="1" ht="34" customHeight="1">
      <x:c r="A1" s="3" t="str">
        <x:v>问题汇总（只记录，不修复）</x:v>
      </x:c>
    </x:row>
    <x:row r="3" ht="28" customHeight="1">
      <x:c r="A3" s="12" t="str">
        <x:v>问题ID</x:v>
      </x:c>
      <x:c r="B3" s="29" t="str">
        <x:v>问题</x:v>
      </x:c>
      <x:c r="C3" s="29" t="str">
        <x:v>级别</x:v>
      </x:c>
      <x:c r="D3" s="29" t="str">
        <x:v>次数</x:v>
      </x:c>
      <x:c r="E3" s="29" t="str">
        <x:v>涉及案例</x:v>
      </x:c>
      <x:c r="F3" s="29" t="str">
        <x:v>证据</x:v>
      </x:c>
      <x:c r="G3" s="13" t="str">
        <x:v>判断</x:v>
      </x:c>
    </x:row>
    <x:row r="4" ht="72" customHeight="1">
      <x:c r="A4" s="41" t="str">
        <x:v>P1-01</x:v>
      </x:c>
      <x:c r="B4" s="41" t="str">
        <x:v>Coding 首次样例 JSON 非法</x:v>
      </x:c>
      <x:c r="C4" s="41" t="str">
        <x:v>高</x:v>
      </x:c>
      <x:c r="D4" s="43" t="n">
        <x:v>5</x:v>
      </x:c>
      <x:c r="E4" s="41" t="str">
        <x:v>盘中回踩、Beta、盈利质量、均线破位回撤、阿布</x:v>
      </x:c>
      <x:c r="F4" s="41" t="str">
        <x:v>返回“执行样例的 input 或 output 不是合法 JSON”。其中 4 例再次确认后成功，1 例最终失败。</x:v>
      </x:c>
      <x:c r="G4" s="41" t="str">
        <x:v>确定性主线摩擦；系统可恢复但首轮实现成功率为 0。</x:v>
      </x:c>
    </x:row>
    <x:row r="5" ht="72" customHeight="1">
      <x:c r="A5" s="42" t="str">
        <x:v>P1-02</x:v>
      </x:c>
      <x:c r="B5" s="42" t="str">
        <x:v>Design 后 Coding 未完成</x:v>
      </x:c>
      <x:c r="C5" s="42" t="str">
        <x:v>高</x:v>
      </x:c>
      <x:c r="D5" s="44" t="n">
        <x:v>4</x:v>
      </x:c>
      <x:c r="E5" s="42" t="str">
        <x:v>盈利质量、行业相对强度、估值分位、尾部风险</x:v>
      </x:c>
      <x:c r="F5" s="42" t="str">
        <x:v>均已保存或形成 Design/Flow，但 execution_ok=false；多数 error 为空。</x:v>
      </x:c>
      <x:c r="G5" s="42" t="str">
        <x:v>核心失败集中在实现/真实执行层，且诊断证据不足。</x:v>
      </x:c>
    </x:row>
    <x:row r="6" ht="72" customHeight="1">
      <x:c r="A6" s="42" t="str">
        <x:v>P1-03</x:v>
      </x:c>
      <x:c r="B6" s="42" t="str">
        <x:v>环境/上下文中断</x:v>
      </x:c>
      <x:c r="C6" s="42" t="str">
        <x:v>高</x:v>
      </x:c>
      <x:c r="D6" s="44" t="n">
        <x:v>2</x:v>
      </x:c>
      <x:c r="E6" s="42" t="str">
        <x:v>流动性、组合集中度</x:v>
      </x:c>
      <x:c r="F6" s="42" t="str">
        <x:v>代理 127.0.0.1:7890 断开；或无法整理上下文并提示无可继续流程。</x:v>
      </x:c>
      <x:c r="G6" s="42" t="str">
        <x:v>与用户确认的断网窗口一致，应与业务失败分开统计。</x:v>
      </x:c>
    </x:row>
    <x:row r="7" ht="72" customHeight="1">
      <x:c r="A7" s="42" t="str">
        <x:v>P2-01</x:v>
      </x:c>
      <x:c r="B7" s="42" t="str">
        <x:v>确认动作命中空 Design</x:v>
      </x:c>
      <x:c r="C7" s="42" t="str">
        <x:v>中</x:v>
      </x:c>
      <x:c r="D7" s="44" t="n">
        <x:v>6</x:v>
      </x:c>
      <x:c r="E7" s="42" t="str">
        <x:v>跳空、盈利质量、行业相对强度、估值分位、尾部风险、流动性</x:v>
      </x:c>
      <x:c r="F7" s="42" t="str">
        <x:v>业务反馈后仍只保存 Requirement；随后按钮确认返回“当前设计稿为空”。</x:v>
      </x:c>
      <x:c r="G7" s="42" t="str">
        <x:v>阶段衔接不顺滑，需要额外自然语言续推才能继续。</x:v>
      </x:c>
    </x:row>
    <x:row r="8" ht="72" customHeight="1">
      <x:c r="A8" s="42" t="str">
        <x:v>P2-02</x:v>
      </x:c>
      <x:c r="B8" s="42" t="str">
        <x:v>成功标记与运行证据不一致</x:v>
      </x:c>
      <x:c r="C8" s="42" t="str">
        <x:v>中</x:v>
      </x:c>
      <x:c r="D8" s="44" t="n">
        <x:v>1</x:v>
      </x:c>
      <x:c r="E8" s="42" t="str">
        <x:v>跳空高开持续走强</x:v>
      </x:c>
      <x:c r="F8" s="42" t="str">
        <x:v>execution_ok=true，但 case_count=0。</x:v>
      </x:c>
      <x:c r="G8" s="42" t="str">
        <x:v>不能只看终态布尔值，必须同时检查测试 case 证据。</x:v>
      </x:c>
    </x:row>
    <x:row r="9" ht="72" customHeight="1">
      <x:c r="A9" s="42" t="str">
        <x:v>P2-03</x:v>
      </x:c>
      <x:c r="B9" s="42" t="str">
        <x:v>反馈处理瞬时失败</x:v>
      </x:c>
      <x:c r="C9" s="42" t="str">
        <x:v>中</x:v>
      </x:c>
      <x:c r="D9" s="44" t="n">
        <x:v>2</x:v>
      </x:c>
      <x:c r="E9" s="42" t="str">
        <x:v>估值分位、尾部风险</x:v>
      </x:c>
      <x:c r="F9" s="42" t="str">
        <x:v>第二轮自然语言反馈返回“本轮处理失败，已有业务资产未改变”。</x:v>
      </x:c>
      <x:c r="G9" s="42" t="str">
        <x:v>SOFT 反馈吸收不稳定，迫使主线增加续推。</x:v>
      </x:c>
    </x:row>
    <x:row r="10" ht="72" customHeight="1">
      <x:c r="A10" s="42" t="str">
        <x:v>P2-04</x:v>
      </x:c>
      <x:c r="B10" s="42" t="str">
        <x:v>端到端耗时超过 300 秒</x:v>
      </x:c>
      <x:c r="C10" s="42" t="str">
        <x:v>中</x:v>
      </x:c>
      <x:c r="D10" s="44" t="n">
        <x:v>4</x:v>
      </x:c>
      <x:c r="E10" s="42" t="str">
        <x:v>盘中回踩、Beta、行业相对强度、阿布</x:v>
      </x:c>
      <x:c r="F10" s="42" t="str">
        <x:v>总耗时分别约 311、325、304、908 秒。</x:v>
      </x:c>
      <x:c r="G10" s="42" t="str">
        <x:v>复杂度会显著放大等待时间；阿布约为普通复杂案例的 3 倍。</x:v>
      </x:c>
    </x:row>
    <x:row r="11" ht="72" customHeight="1">
      <x:c r="A11" s="42" t="str">
        <x:v>P3-01</x:v>
      </x:c>
      <x:c r="B11" s="42" t="str">
        <x:v>权限模式告警</x:v>
      </x:c>
      <x:c r="C11" s="42" t="str">
        <x:v>低</x:v>
      </x:c>
      <x:c r="D11" s="44" t="n">
        <x:v>11</x:v>
      </x:c>
      <x:c r="E11" s="42" t="str">
        <x:v>全批次服务日志</x:v>
      </x:c>
      <x:c r="F11" s="42" t="str">
        <x:v>CLAUDE_CODE_SUBPROCESS_ENV_SCRUB 使 permission mode forced to default。</x:v>
      </x:c>
      <x:c r="G11" s="42" t="str">
        <x:v>未观察到直接阻断，但属于环境噪声，应走独立 trace，不污染业务结果。</x:v>
      </x:c>
    </x:row>
  </x:sheetData>
  <x:mergeCells>
    <x:mergeCell ref="A1:G1"/>
  </x:mergeCells>
  <x:conditionalFormatting sqref="C4:C11">
    <x:cfRule type="containsText" dxfId="6" priority="1" operator="containsText" text="高"/>
    <x:cfRule type="containsText" dxfId="7" priority="2" operator="containsText" text="中"/>
    <x:cfRule type="containsText" dxfId="8" priority="3" operator="containsText" text="低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68" hidden="0" customWidth="1"/>
    <x:col min="4" max="4" width="72" hidden="0" customWidth="1"/>
  </x:cols>
  <x:sheetData>
    <x:row r="1" ht="34" customHeight="1">
      <x:c r="A1" s="3" t="str">
        <x:v>测试口径与可复现信息</x:v>
      </x:c>
    </x:row>
    <x:row r="3" ht="28" customHeight="1">
      <x:c r="A3" s="12" t="str">
        <x:v>项目</x:v>
      </x:c>
      <x:c r="B3" s="29" t="str">
        <x:v>值</x:v>
      </x:c>
      <x:c r="C3" s="29" t="str">
        <x:v>说明</x:v>
      </x:c>
      <x:c r="D3" s="13" t="str">
        <x:v>证据/来源</x:v>
      </x:c>
    </x:row>
    <x:row r="4" ht="46" customHeight="1">
      <x:c r="A4" s="41" t="str">
        <x:v>执行日期</x:v>
      </x:c>
      <x:c r="B4" s="41" t="str">
        <x:v>2026-07-26</x:v>
      </x:c>
      <x:c r="C4" s="41" t="str">
        <x:v>Asia/Shanghai</x:v>
      </x:c>
      <x:c r="D4" s="41" t="str">
        <x:v>本次真实运行</x:v>
      </x:c>
    </x:row>
    <x:row r="5" ht="46" customHeight="1">
      <x:c r="A5" s="42" t="str">
        <x:v>代码版本</x:v>
      </x:c>
      <x:c r="B5" s="42" t="str">
        <x:v>39f52f1</x:v>
      </x:c>
      <x:c r="C5" s="42" t="str">
        <x:v>分支 agent/financial-tool-design-protocol</x:v>
      </x:c>
      <x:c r="D5" s="42" t="str">
        <x:v>git rev-parse / git branch</x:v>
      </x:c>
    </x:row>
    <x:row r="6" ht="46" customHeight="1">
      <x:c r="A6" s="42" t="str">
        <x:v>业务代码改动</x:v>
      </x:c>
      <x:c r="B6" s="42" t="str">
        <x:v>无</x:v>
      </x:c>
      <x:c r="C6" s="42" t="str">
        <x:v>仅运行现有 Flask、测试入口并生成独立报告；未修复或优化代码。</x:v>
      </x:c>
      <x:c r="D6" s="42" t="str">
        <x:v>git status 仅显示用户原有 AGENTS.md 修改</x:v>
      </x:c>
    </x:row>
    <x:row r="7" ht="46" customHeight="1">
      <x:c r="A7" s="42" t="str">
        <x:v>外层控制</x:v>
      </x:c>
      <x:c r="B7" s="42" t="str">
        <x:v>Finance CC</x:v>
      </x:c>
      <x:c r="C7" s="42" t="str">
        <x:v>Requirement / Design 由 Finance CC 推进。</x:v>
      </x:c>
      <x:c r="D7" s="42" t="str">
        <x:v>运行配置 CUSTOM_TOOL_DESIGN_PROVIDER=claude</x:v>
      </x:c>
    </x:row>
    <x:row r="8" ht="46" customHeight="1">
      <x:c r="A8" s="42" t="str">
        <x:v>核心 Coding</x:v>
      </x:c>
      <x:c r="B8" s="42" t="str">
        <x:v>Codex</x:v>
      </x:c>
      <x:c r="C8" s="42" t="str">
        <x:v>设计确认后进入实现和真实技术测试。</x:v>
      </x:c>
      <x:c r="D8" s="42" t="str">
        <x:v>运行配置 CUSTOM_TOOL_CODING_PROVIDER=codex</x:v>
      </x:c>
    </x:row>
    <x:row r="9" ht="46" customHeight="1">
      <x:c r="A9" s="42" t="str">
        <x:v>系统库</x:v>
      </x:c>
      <x:c r="B9" s="42" t="str">
        <x:v>AIIA_SYSTEM_DB_URL → aiia_system</x:v>
      </x:c>
      <x:c r="C9" s="42" t="str">
        <x:v>只记录变量名和库名，不写入凭据。</x:v>
      </x:c>
      <x:c r="D9" s="42" t="str">
        <x:v>aiia_runtime_turn / artifact / test_run</x:v>
      </x:c>
    </x:row>
    <x:row r="10" ht="46" customHeight="1">
      <x:c r="A10" s="42" t="str">
        <x:v>金融数据</x:v>
      </x:c>
      <x:c r="B10" s="42" t="str">
        <x:v>BI_DB_URL → KingdomAI</x:v>
      </x:c>
      <x:c r="C10" s="42" t="str">
        <x:v>KingdomaiStockKlineService 连通性已验证。</x:v>
      </x:c>
      <x:c r="D10" s="42" t="str">
        <x:v>600519.SH 返回 3 条日线</x:v>
      </x:c>
    </x:row>
    <x:row r="11" ht="46" customHeight="1">
      <x:c r="A11" s="42" t="str">
        <x:v>案例数</x:v>
      </x:c>
      <x:c r="B11" s="42" t="str">
        <x:v>11</x:v>
      </x:c>
      <x:c r="C11" s="42" t="str">
        <x:v>10 个中高难度 + 阿布最高复杂度。</x:v>
      </x:c>
      <x:c r="D11" s="42" t="str">
        <x:v>/tmp/fin_agent_e2e_cases_20260726.json；/tmp/fin_agent_e2e_case_abu_20260726.json</x:v>
      </x:c>
    </x:row>
    <x:row r="12" ht="46" customHeight="1">
      <x:c r="A12" s="42" t="str">
        <x:v>数据库案例</x:v>
      </x:c>
      <x:c r="B12" s="42" t="str">
        <x:v>6</x:v>
      </x:c>
      <x:c r="C12" s="42" t="str">
        <x:v>turn 600、637、641、648、652、660。</x:v>
      </x:c>
      <x:c r="D12" s="42" t="str">
        <x:v>aiia_system.aiia_runtime_turn</x:v>
      </x:c>
    </x:row>
    <x:row r="13" ht="46" customHeight="1">
      <x:c r="A13" s="42" t="str">
        <x:v>内置评测案例</x:v>
      </x:c>
      <x:c r="B13" s="42" t="str">
        <x:v>4</x:v>
      </x:c>
      <x:c r="C13" s="42" t="str">
        <x:v>行业相对强度、估值分位、尾部风险、流动性。</x:v>
      </x:c>
      <x:c r="D13" s="42" t="str">
        <x:v>/Users/cyrcyrisis/work/fin_agent/tests/evals/natural_tool_conversations_v1.json</x:v>
      </x:c>
    </x:row>
    <x:row r="14" ht="46" customHeight="1">
      <x:c r="A14" s="42" t="str">
        <x:v>自拟案例</x:v>
      </x:c>
      <x:c r="B14" s="42" t="str">
        <x:v>1</x:v>
      </x:c>
      <x:c r="C14" s="42" t="str">
        <x:v>投资组合集中度 HHI。</x:v>
      </x:c>
      <x:c r="D14" s="42" t="str">
        <x:v>本次测试设计</x:v>
      </x:c>
    </x:row>
    <x:row r="15" ht="46" customHeight="1">
      <x:c r="A15" s="42" t="str">
        <x:v>运行入口</x:v>
      </x:c>
      <x:c r="B15" s="42" t="str">
        <x:v>真实 Chat API</x:v>
      </x:c>
      <x:c r="C15" s="42" t="str">
        <x:v>POST /api/chat/dispatch；Design 确认走流式 /api/custom_tool/stream/start。</x:v>
      </x:c>
      <x:c r="D15" s="42" t="str">
        <x:v>http://127.0.0.1:22053</x:v>
      </x:c>
    </x:row>
    <x:row r="16" ht="46" customHeight="1">
      <x:c r="A16" s="42" t="str">
        <x:v>终止规则</x:v>
      </x:c>
      <x:c r="B16" s="42" t="str">
        <x:v>成功、真实 Coding 失败或 API 中断即记录</x:v>
      </x:c>
      <x:c r="C16" s="42" t="str">
        <x:v>未针对失败修改提示词、代码、协议或 validator。</x:v>
      </x:c>
      <x:c r="D16" s="42" t="str">
        <x:v>scripts/eval_custom_tool_chat_e2e_v1.py</x:v>
      </x:c>
    </x:row>
    <x:row r="17" ht="46" customHeight="1">
      <x:c r="A17" s="42" t="str">
        <x:v>耗时定义</x:v>
      </x:c>
      <x:c r="B17" s="42" t="str">
        <x:v>单请求 wall-clock</x:v>
      </x:c>
      <x:c r="C17" s="42" t="str">
        <x:v>步骤耗时含模型、工具、流式和真实测试；合并响应无法再拆分内部时间。</x:v>
      </x:c>
      <x:c r="D17" s="42" t="str">
        <x:v>步骤记录!F:F</x:v>
      </x:c>
    </x:row>
    <x:row r="18" ht="46" customHeight="1">
      <x:c r="A18" s="42" t="str">
        <x:v>通过定义</x:v>
      </x:c>
      <x:c r="B18" s="42" t="str">
        <x:v>双口径</x:v>
      </x:c>
      <x:c r="C18" s="42" t="str">
        <x:v>“系统通过”沿用 runner；“证据合格”要求 execution_ok=true 且 case_count≥1。</x:v>
      </x:c>
      <x:c r="D18" s="42" t="str">
        <x:v>总览与案例明细</x:v>
      </x:c>
    </x:row>
    <x:row r="19" ht="46" customHeight="1">
      <x:c r="A19" s="42" t="str">
        <x:v>断网影响</x:v>
      </x:c>
      <x:c r="B19" s="42" t="str">
        <x:v>案例 9、10</x:v>
      </x:c>
      <x:c r="C19" s="42" t="str">
        <x:v>用户确认期间发生断网；保留原始错误并归类环境中断，不计作 Coding 业务失败。</x:v>
      </x:c>
      <x:c r="D19" s="42" t="str">
        <x:v>原始 JSON error 字段</x:v>
      </x:c>
    </x:row>
    <x:row r="20" ht="46" customHeight="1">
      <x:c r="A20" s="42" t="str">
        <x:v>原始结果 1</x:v>
      </x:c>
      <x:c r="B20" s="42" t="str">
        <x:v>fin_agent_full_chain_raw_20260726.json</x:v>
      </x:c>
      <x:c r="C20" s="42" t="str">
        <x:v>前 10 例原始逐轮记录。</x:v>
      </x:c>
      <x:c r="D20" s="42" t="str">
        <x:v>/Users/cyrcyrisis/work/fin_agent/outputs/019f9dcc-ed09-7131-9b9c-838f451b71d5/fin_agent_full_chain_raw_20260726.json</x:v>
      </x:c>
    </x:row>
    <x:row r="21" ht="46" customHeight="1">
      <x:c r="A21" s="42" t="str">
        <x:v>原始结果 2</x:v>
      </x:c>
      <x:c r="B21" s="42" t="str">
        <x:v>fin_agent_abu_full_chain_raw_20260726.json</x:v>
      </x:c>
      <x:c r="C21" s="42" t="str">
        <x:v>阿布案例原始逐轮记录。</x:v>
      </x:c>
      <x:c r="D21" s="42" t="str">
        <x:v>/Users/cyrcyrisis/work/fin_agent/outputs/019f9dcc-ed09-7131-9b9c-838f451b71d5/fin_agent_abu_full_chain_raw_20260726.json</x:v>
      </x:c>
    </x:row>
  </x:sheetData>
  <x:mergeCells>
    <x:mergeCell ref="A1:D1"/>
  </x:mergeCells>
  <x:pageMargins left="0.7" right="0.7" top="0.75" bottom="0.75" header="0.3" footer="0.3"/>
</x:worksheet>
</file>