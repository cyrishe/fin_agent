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e2fa9b6c145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金总览" sheetId="1" r:id="Ref10b2a454414a86"/>
    <x:sheet xmlns:r="http://schemas.openxmlformats.org/officeDocument/2006/relationships" name="月度表现" sheetId="2" r:id="R40e2df22f0dd4d04"/>
    <x:sheet xmlns:r="http://schemas.openxmlformats.org/officeDocument/2006/relationships" name="每日资金" sheetId="3" r:id="Rdc4c33bb6d2c497b"/>
    <x:sheet xmlns:r="http://schemas.openxmlformats.org/officeDocument/2006/relationships" name="买卖明细" sheetId="4" r:id="R0d7cfce92b284641"/>
    <x:sheet xmlns:r="http://schemas.openxmlformats.org/officeDocument/2006/relationships" name="形态候选" sheetId="5" r:id="Rac5f69038d4f42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@"/>
    <x:numFmt numFmtId="202" formatCode="#,##0.00;[Red](#,##0.00);–"/>
    <x:numFmt numFmtId="203" formatCode="0.00%;[Red](0.00%);–"/>
    <x:numFmt numFmtId="204" formatCode="0"/>
    <x:numFmt numFmtId="205" formatCode="0.0000"/>
    <x:numFmt numFmtId="206" formatCode="0.00"/>
  </x:numFmts>
  <x:fonts count="7">
    <x:font>
      <x:sz val="11"/>
      <x:name val="Carlito"/>
    </x:font>
    <x:font>
      <x:sz val="10"/>
      <x:color rgb="FF233044"/>
      <x:name val="Arial"/>
    </x:font>
    <x:font>
      <x:b/>
      <x:sz val="10"/>
      <x:color rgb="FFFFFFFF"/>
      <x:name val="Arial"/>
    </x:font>
    <x:font>
      <x:b/>
      <x:sz val="15"/>
      <x:color rgb="FF203B59"/>
      <x:name val="Arial"/>
    </x:font>
    <x:font>
      <x:i/>
      <x:sz val="10"/>
      <x:color rgb="FF627083"/>
      <x:name val="Arial"/>
    </x:font>
    <x:font>
      <x:b/>
      <x:sz val="10"/>
      <x:color rgb="FF203B59"/>
      <x:name val="Arial"/>
    </x:font>
    <x:font>
      <x:i/>
      <x:sz val="9"/>
      <x:color rgb="FF62708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B59"/>
      </x:patternFill>
    </x:fill>
    <x:fill>
      <x:patternFill patternType="solid">
        <x:fgColor rgb="FFECF3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7b87aef3747d8" /><Relationship Type="http://schemas.openxmlformats.org/officeDocument/2006/relationships/theme" Target="/xl/theme/theme1.xml" Id="Rcbd4077e25354e38" /><Relationship Type="http://schemas.openxmlformats.org/officeDocument/2006/relationships/sharedStrings" Target="/xl/sharedStrings.xml" Id="R4cc2e03f09f44807" /><Relationship Type="http://schemas.openxmlformats.org/officeDocument/2006/relationships/worksheet" Target="/xl/worksheets/sheet1.xml" Id="Ref10b2a454414a86" /><Relationship Type="http://schemas.openxmlformats.org/officeDocument/2006/relationships/worksheet" Target="/xl/worksheets/sheet2.xml" Id="R40e2df22f0dd4d04" /><Relationship Type="http://schemas.openxmlformats.org/officeDocument/2006/relationships/worksheet" Target="/xl/worksheets/sheet3.xml" Id="Rdc4c33bb6d2c497b" /><Relationship Type="http://schemas.openxmlformats.org/officeDocument/2006/relationships/worksheet" Target="/xl/worksheets/sheet4.xml" Id="R0d7cfce92b284641" /><Relationship Type="http://schemas.openxmlformats.org/officeDocument/2006/relationships/worksheet" Target="/xl/worksheets/sheet5.xml" Id="Rac5f69038d4f42f2" /></Relationships>
</file>

<file path=xl/tables/table1.xml><?xml version="1.0" encoding="utf-8"?>
<x:table xmlns:x="http://schemas.openxmlformats.org/spreadsheetml/2006/main" id="3" name="MonthlyAccount" displayName="MonthlyAccount" ref="A1:M11" headerRowCount="1" totalsRowCount="0" totalsRowShown="0">
  <x:tableColumns count="13">
    <x:tableColumn id="1" name="方案"/>
    <x:tableColumn id="2" name="月份"/>
    <x:tableColumn id="3" name="交易日"/>
    <x:tableColumn id="4" name="买入笔"/>
    <x:tableColumn id="5" name="卖出笔"/>
    <x:tableColumn id="6" name="月初资产元"/>
    <x:tableColumn id="7" name="月末资产元"/>
    <x:tableColumn id="8" name="月盈亏元"/>
    <x:tableColumn id="9" name="月收益"/>
    <x:tableColumn id="10" name="月内回撤"/>
    <x:tableColumn id="11" name="手续费元"/>
    <x:tableColumn id="12" name="年化夏普"/>
    <x:tableColumn id="13" name="期末持仓元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DailyAccount" displayName="DailyAccount" ref="A1:M177" headerRowCount="1" totalsRowCount="0" totalsRowShown="0">
  <x:tableColumns count="13">
    <x:tableColumn id="1" name="方案"/>
    <x:tableColumn id="2" name="日期"/>
    <x:tableColumn id="3" name="买入股票"/>
    <x:tableColumn id="4" name="卖出股票"/>
    <x:tableColumn id="5" name="买入支出元"/>
    <x:tableColumn id="6" name="卖出净款元"/>
    <x:tableColumn id="7" name="现金元"/>
    <x:tableColumn id="8" name="持仓市值元"/>
    <x:tableColumn id="9" name="总资产元"/>
    <x:tableColumn id="10" name="日收益"/>
    <x:tableColumn id="11" name="全期回撤"/>
    <x:tableColumn id="12" name="手续费元"/>
    <x:tableColumn id="13" name="持仓笔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radeLedger" displayName="TradeLedger" ref="A1:X138" headerRowCount="1" totalsRowCount="0" totalsRowShown="0">
  <x:tableColumns count="24">
    <x:tableColumn id="1" name="方案"/>
    <x:tableColumn id="2" name="D0日期"/>
    <x:tableColumn id="3" name="买入日"/>
    <x:tableColumn id="4" name="股票代码"/>
    <x:tableColumn id="5" name="D0排名"/>
    <x:tableColumn id="6" name="模型分数"/>
    <x:tableColumn id="7" name="月度形态规则"/>
    <x:tableColumn id="8" name="买点分钟"/>
    <x:tableColumn id="9" name="资金用法"/>
    <x:tableColumn id="10" name="买入支出元"/>
    <x:tableColumn id="11" name="买入价"/>
    <x:tableColumn id="12" name="股数"/>
    <x:tableColumn id="13" name="卖出日"/>
    <x:tableColumn id="14" name="卖出价"/>
    <x:tableColumn id="15" name="卖出净款元"/>
    <x:tableColumn id="16" name="买费元"/>
    <x:tableColumn id="17" name="卖费元"/>
    <x:tableColumn id="18" name="净盈亏元"/>
    <x:tableColumn id="19" name="净收益"/>
    <x:tableColumn id="20" name="三日再板"/>
    <x:tableColumn id="21" name="五分最高"/>
    <x:tableColumn id="22" name="五分最低"/>
    <x:tableColumn id="23" name="高点回落"/>
    <x:tableColumn id="24" name="五分实体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hapeCandidates" displayName="ShapeCandidates" ref="A1:X250" headerRowCount="1" totalsRowCount="0" totalsRowShown="0">
  <x:tableColumns count="24">
    <x:tableColumn id="1" name="D0日期"/>
    <x:tableColumn id="2" name="D1日期"/>
    <x:tableColumn id="3" name="股票代码"/>
    <x:tableColumn id="4" name="D0排名"/>
    <x:tableColumn id="5" name="模型分数"/>
    <x:tableColumn id="6" name="冻结形态规则"/>
    <x:tableColumn id="7" name="五分最高"/>
    <x:tableColumn id="8" name="五分最低"/>
    <x:tableColumn id="9" name="高点回落"/>
    <x:tableColumn id="10" name="五分实体"/>
    <x:tableColumn id="11" name="收价位置"/>
    <x:tableColumn id="12" name="形态描述"/>
    <x:tableColumn id="13" name="触板根数"/>
    <x:tableColumn id="14" name="板下根数"/>
    <x:tableColumn id="15" name="分钟核验"/>
    <x:tableColumn id="16" name="可参与"/>
    <x:tableColumn id="17" name="形态通过"/>
    <x:tableColumn id="18" name="可买代理"/>
    <x:tableColumn id="19" name="买点分钟"/>
    <x:tableColumn id="20" name="买价"/>
    <x:tableColumn id="21" name="实体通过"/>
    <x:tableColumn id="22" name="形态版成交"/>
    <x:tableColumn id="23" name="无形态成交"/>
    <x:tableColumn id="24" name="三日再板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37e16f1e9a40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28be691d5e4f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60a1629dee45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d4d1a7d73741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4" hidden="0" customWidth="1"/>
    <x:col min="3" max="3" width="23" hidden="0" customWidth="1"/>
    <x:col min="4" max="4" width="70" hidden="0" customWidth="1"/>
    <x:col min="5" max="5" width="57" hidden="0" customWidth="1"/>
  </x:cols>
  <x:sheetData>
    <x:row r="1">
      <x:c r="A1" s="2"/>
      <x:c r="B1" s="2"/>
      <x:c r="C1" s="2"/>
      <x:c r="D1" s="2"/>
      <x:c r="E1" s="2"/>
    </x:row>
    <x:row r="2" ht="34" customHeight="1">
      <x:c r="A2" s="13" t="str">
        <x:v>2025年5—8月：涨停后形态过滤回测</x:v>
      </x:c>
      <x:c r="B2" s="13"/>
      <x:c r="C2" s="13"/>
      <x:c r="D2" s="13"/>
      <x:c r="E2" s="13"/>
    </x:row>
    <x:row r="3">
      <x:c r="A3" s="14" t="str">
        <x:v>D0为涨停后的冷静期末日；D1早盘买入，D2收盘卖出；账户回放至2025-09-05结清。</x:v>
      </x:c>
      <x:c r="B3" s="14"/>
      <x:c r="C3" s="14"/>
      <x:c r="D3" s="14"/>
      <x:c r="E3" s="14"/>
    </x:row>
    <x:row r="4">
      <x:c r="A4" s="15" t="str">
        <x:v>初始资金元</x:v>
      </x:c>
      <x:c r="B4" s="18" t="n">
        <x:v>1000000</x:v>
      </x:c>
      <x:c r="C4" s="18" t="n">
        <x:v>1000000</x:v>
      </x:c>
      <x:c r="D4" s="15" t="str">
        <x:v>  两份现金轮换；买卖各计0.1%费用</x:v>
      </x:c>
      <x:c r="E4" s="2"/>
    </x:row>
    <x:row r="5" ht="28" customHeight="1">
      <x:c r="A5" s="5" t="str">
        <x:v>指标</x:v>
      </x:c>
      <x:c r="B5" s="5" t="str">
        <x:v>形态过滤</x:v>
      </x:c>
      <x:c r="C5" s="5" t="str">
        <x:v>不加形态</x:v>
      </x:c>
      <x:c r="D5" s="5" t="str">
        <x:v>口径</x:v>
      </x:c>
      <x:c r="E5" s="2"/>
    </x:row>
    <x:row r="6" ht="23" customHeight="1">
      <x:c r="A6" s="2" t="str">
        <x:v>买入笔数</x:v>
      </x:c>
      <x:c r="B6" s="2" t="n">
        <x:f>COUNTA('买卖明细'!D2:D63)</x:f>
        <x:v>62</x:v>
      </x:c>
      <x:c r="C6" s="2" t="n">
        <x:f>COUNTA('买卖明细'!D64:D138)</x:f>
        <x:v>75</x:v>
      </x:c>
      <x:c r="D6" s="2" t="str">
        <x:v>  D0属2025年5—8月，买入日可跨至9月</x:v>
      </x:c>
      <x:c r="E6" s="2"/>
    </x:row>
    <x:row r="7" ht="23" customHeight="1">
      <x:c r="A7" s="2" t="str">
        <x:v>三日再板笔数</x:v>
      </x:c>
      <x:c r="B7" s="2" t="n">
        <x:f>SUM('买卖明细'!T2:T63)</x:f>
        <x:v>40</x:v>
      </x:c>
      <x:c r="C7" s="2" t="n">
        <x:f>SUM('买卖明细'!T64:T138)</x:f>
        <x:v>39</x:v>
      </x:c>
      <x:c r="D7" s="2" t="str">
        <x:v>  D1—D3任一天收盘封板，含买入日</x:v>
      </x:c>
      <x:c r="E7" s="2"/>
    </x:row>
    <x:row r="8" ht="23" customHeight="1">
      <x:c r="A8" s="2" t="str">
        <x:v>三日再板率</x:v>
      </x:c>
      <x:c r="B8" s="9" t="n">
        <x:f>B7/B6</x:f>
        <x:v>0.6451612903225806</x:v>
      </x:c>
      <x:c r="C8" s="9" t="n">
        <x:f>C7/C6</x:f>
        <x:v>0.52</x:v>
      </x:c>
      <x:c r="D8" s="2" t="str">
        <x:v>  三日再板笔数 / 买入笔数</x:v>
      </x:c>
      <x:c r="E8" s="2"/>
    </x:row>
    <x:row r="9" ht="23" customHeight="1">
      <x:c r="A9" s="2" t="str">
        <x:v>期末资产元</x:v>
      </x:c>
      <x:c r="B9" s="8" t="n">
        <x:f>'每日资金'!I89</x:f>
        <x:v>1005754.0872078002</x:v>
      </x:c>
      <x:c r="C9" s="8" t="n">
        <x:f>'每日资金'!I177</x:f>
        <x:v>866949.1680384106</x:v>
      </x:c>
      <x:c r="D9" s="2" t="str">
        <x:v>  2025-09-05收盘，现金加持仓市值</x:v>
      </x:c>
      <x:c r="E9" s="2"/>
    </x:row>
    <x:row r="10" ht="23" customHeight="1">
      <x:c r="A10" s="2" t="str">
        <x:v>账户总收益</x:v>
      </x:c>
      <x:c r="B10" s="9" t="n">
        <x:f>B9/B4-1</x:f>
        <x:v>0.005754087207800351</x:v>
      </x:c>
      <x:c r="C10" s="9" t="n">
        <x:f>C9/C4-1</x:f>
        <x:v>-0.1330508319615894</x:v>
      </x:c>
      <x:c r="D10" s="2" t="str">
        <x:v>  期末资产 / 初始资金 − 1</x:v>
      </x:c>
      <x:c r="E10" s="2"/>
    </x:row>
    <x:row r="11" ht="23" customHeight="1">
      <x:c r="A11" s="2" t="str">
        <x:v>账户总盈亏元</x:v>
      </x:c>
      <x:c r="B11" s="8" t="n">
        <x:f>B9-B4</x:f>
        <x:v>5754.087207800243</x:v>
      </x:c>
      <x:c r="C11" s="8" t="n">
        <x:f>C9-C4</x:f>
        <x:v>-133050.8319615894</x:v>
      </x:c>
      <x:c r="D11" s="2" t="str">
        <x:v>  期末资产 − 初始资金</x:v>
      </x:c>
      <x:c r="E11" s="2"/>
    </x:row>
    <x:row r="12" ht="23" customHeight="1">
      <x:c r="A12" s="2" t="str">
        <x:v>最大收盘回撤</x:v>
      </x:c>
      <x:c r="B12" s="9" t="n">
        <x:f>MAX('每日资金'!K2:K89)</x:f>
        <x:v>0.4281097647914248</x:v>
      </x:c>
      <x:c r="C12" s="9" t="n">
        <x:f>MAX('每日资金'!K90:K177)</x:f>
        <x:v>0.4782069345071399</x:v>
      </x:c>
      <x:c r="D12" s="2" t="str">
        <x:v>  从此前账户净值高点计算</x:v>
      </x:c>
      <x:c r="E12" s="2"/>
    </x:row>
    <x:row r="13" ht="23" customHeight="1">
      <x:c r="A13" s="2" t="str">
        <x:v>总手续费元</x:v>
      </x:c>
      <x:c r="B13" s="8" t="n">
        <x:f>SUM('每日资金'!L2:L89)</x:f>
        <x:v>68588.59877361188</x:v>
      </x:c>
      <x:c r="C13" s="8" t="n">
        <x:f>SUM('每日资金'!L90:L177)</x:f>
        <x:v>78273.13814437093</x:v>
      </x:c>
      <x:c r="D13" s="2" t="str">
        <x:v>  买卖两侧各0.1%</x:v>
      </x:c>
      <x:c r="E13" s="2"/>
    </x:row>
    <x:row r="14" ht="23" customHeight="1">
      <x:c r="A14" s="2" t="str">
        <x:v>单笔净收益胜率</x:v>
      </x:c>
      <x:c r="B14" s="9" t="n">
        <x:f>COUNTIFS('买卖明细'!S2:S63,"&gt;0")/B6</x:f>
        <x:v>0.4838709677419355</x:v>
      </x:c>
      <x:c r="C14" s="9" t="n">
        <x:f>COUNTIFS('买卖明细'!S64:S138,"&gt;0")/C6</x:f>
        <x:v>0.49333333333333335</x:v>
      </x:c>
      <x:c r="D14" s="2" t="str">
        <x:v>  扣双边费用后净收益大于零</x:v>
      </x:c>
      <x:c r="E14" s="2"/>
    </x:row>
    <x:row r="15" ht="23" customHeight="1">
      <x:c r="A15" s="2" t="str">
        <x:v>单笔净收益均值</x:v>
      </x:c>
      <x:c r="B15" s="9" t="n">
        <x:f>AVERAGE('买卖明细'!S2:S63)</x:f>
        <x:v>0.0035100064689329515</x:v>
      </x:c>
      <x:c r="C15" s="9" t="n">
        <x:f>AVERAGE('买卖明细'!S64:S138)</x:f>
        <x:v>-0.0012112312124662866</x:v>
      </x:c>
      <x:c r="D15" s="2" t="str">
        <x:v>  每笔收益等权平均，与账户收益不同</x:v>
      </x:c>
      <x:c r="E15" s="2"/>
    </x:row>
    <x:row r="16" ht="23" customHeight="1">
      <x:c r="A16" s="2" t="str">
        <x:v>年化夏普</x:v>
      </x:c>
      <x:c r="B16" s="12" t="n">
        <x:v>0.37085008213244364</x:v>
      </x:c>
      <x:c r="C16" s="12" t="n">
        <x:v>-0.20402994148390732</x:v>
      </x:c>
      <x:c r="D16" s="2" t="str">
        <x:v>  全体交易日日收益；无风险利率按0</x:v>
      </x:c>
      <x:c r="E16" s="2"/>
    </x:row>
    <x:row r="17">
      <x:c r="A17" s="2"/>
      <x:c r="B17" s="2"/>
      <x:c r="C17" s="2"/>
      <x:c r="D17" s="2"/>
      <x:c r="E17" s="2"/>
    </x:row>
    <x:row r="18" ht="28" customHeight="1">
      <x:c r="A18" s="5" t="str">
        <x:v>测试D0月</x:v>
      </x:c>
      <x:c r="B18" s="5" t="str">
        <x:v>09:35冻结规则</x:v>
      </x:c>
      <x:c r="C18" s="5" t="str">
        <x:v>Top1原命中/买入</x:v>
      </x:c>
      <x:c r="D18" s="5" t="str">
        <x:v>Top1过滤命中/买入</x:v>
      </x:c>
      <x:c r="E18" s="5" t="str">
        <x:v>当月训练与验证窗口</x:v>
      </x:c>
    </x:row>
    <x:row r="19" ht="26" customHeight="1">
      <x:c r="A19" s="2" t="str">
        <x:v>2025-05</x:v>
      </x:c>
      <x:c r="B19" s="2" t="str">
        <x:v>全部保留</x:v>
      </x:c>
      <x:c r="C19" s="2" t="str">
        <x:v>3/6</x:v>
      </x:c>
      <x:c r="D19" s="2" t="str">
        <x:v>3/6</x:v>
      </x:c>
      <x:c r="E19" s="2" t="str">
        <x:v>训练 2024-09—2025-02；验证 2025-03—2025-04</x:v>
      </x:c>
    </x:row>
    <x:row r="20" ht="26" customHeight="1">
      <x:c r="A20" s="2" t="str">
        <x:v>2025-06</x:v>
      </x:c>
      <x:c r="B20" s="2" t="str">
        <x:v>高点回落&lt;5%</x:v>
      </x:c>
      <x:c r="C20" s="2" t="str">
        <x:v>7/12</x:v>
      </x:c>
      <x:c r="D20" s="2" t="str">
        <x:v>7/11</x:v>
      </x:c>
      <x:c r="E20" s="2" t="str">
        <x:v>训练 2024-10—2025-03；验证 2025-04—2025-05</x:v>
      </x:c>
    </x:row>
    <x:row r="21" ht="26" customHeight="1">
      <x:c r="A21" s="2" t="str">
        <x:v>2025-07</x:v>
      </x:c>
      <x:c r="B21" s="2" t="str">
        <x:v>五分最高涨幅&gt;=6% 且 五分最低涨幅&gt;=-3%</x:v>
      </x:c>
      <x:c r="C21" s="2" t="str">
        <x:v>6/14</x:v>
      </x:c>
      <x:c r="D21" s="2" t="str">
        <x:v>4/7</x:v>
      </x:c>
      <x:c r="E21" s="2" t="str">
        <x:v>训练 2024-11—2025-04；验证 2025-05—2025-06</x:v>
      </x:c>
    </x:row>
    <x:row r="22" ht="26" customHeight="1">
      <x:c r="A22" s="2" t="str">
        <x:v>2025-08</x:v>
      </x:c>
      <x:c r="B22" s="2" t="str">
        <x:v>五分最高涨幅&gt;=6% 且 五分最低涨幅&gt;=-3%</x:v>
      </x:c>
      <x:c r="C22" s="2" t="str">
        <x:v>9/14</x:v>
      </x:c>
      <x:c r="D22" s="2" t="str">
        <x:v>5/7</x:v>
      </x:c>
      <x:c r="E22" s="2" t="str">
        <x:v>训练 2024-12—2025-05；验证 2025-06—2025-07</x:v>
      </x:c>
    </x:row>
    <x:row r="23">
      <x:c r="A23" s="2"/>
      <x:c r="B23" s="2"/>
      <x:c r="C23" s="2"/>
      <x:c r="D23" s="2"/>
      <x:c r="E23" s="2"/>
    </x:row>
    <x:row r="24">
      <x:c r="A24" s="2"/>
      <x:c r="B24" s="2"/>
      <x:c r="C24" s="2"/>
      <x:c r="D24" s="2"/>
      <x:c r="E24" s="2"/>
    </x:row>
    <x:row r="25" ht="25" customHeight="1">
      <x:c r="A25" s="16" t="str">
        <x:v>形态过滤是什么</x:v>
      </x:c>
      <x:c r="B25" s="2"/>
      <x:c r="C25" s="2"/>
      <x:c r="D25" s="2" t="str">
        <x:v>D1 09:35前五根分钟K结束后，按当月规则判断，再考虑09:36—09:40买点。</x:v>
      </x:c>
      <x:c r="E25" s="2"/>
    </x:row>
    <x:row r="26" ht="25" customHeight="1">
      <x:c r="A26" s="16" t="str">
        <x:v>五分最高/最低</x:v>
      </x:c>
      <x:c r="B26" s="2"/>
      <x:c r="C26" s="2"/>
      <x:c r="D26" s="2" t="str">
        <x:v>前五分钟最高/最低价 ÷ D1昨收 − 1；7—8月分别要求≥6%和≥−3%。</x:v>
      </x:c>
      <x:c r="E26" s="2"/>
    </x:row>
    <x:row r="27" ht="25" customHeight="1">
      <x:c r="A27" s="16" t="str">
        <x:v>高点回落</x:v>
      </x:c>
      <x:c r="B27" s="2"/>
      <x:c r="C27" s="2"/>
      <x:c r="D27" s="2" t="str">
        <x:v>（前五分钟最高价 − 09:35收价）÷ D1昨收；6月要求&lt;5%。</x:v>
      </x:c>
      <x:c r="E27" s="2"/>
    </x:row>
    <x:row r="28" ht="25" customHeight="1">
      <x:c r="A28" s="16" t="str">
        <x:v>实体过滤</x:v>
      </x:c>
      <x:c r="B28" s="2"/>
      <x:c r="C28" s="2"/>
      <x:c r="D28" s="2" t="str">
        <x:v>另一道后置条件：09:35收价 ÷ 09:30开盘价 − 1 &gt; −8%；拦截后当天不替补。</x:v>
      </x:c>
      <x:c r="E28" s="2"/>
    </x:row>
    <x:row r="29" ht="25" customHeight="1">
      <x:c r="A29" s="16" t="str">
        <x:v>五月规则</x:v>
      </x:c>
      <x:c r="B29" s="2"/>
      <x:c r="C29" s="2"/>
      <x:c r="D29" s="2" t="str">
        <x:v>全部保留，等于本月不使用五分钟形态筛选。</x:v>
      </x:c>
      <x:c r="E29" s="2"/>
    </x:row>
    <x:row r="30" ht="25" customHeight="1">
      <x:c r="A30" s="16" t="str">
        <x:v>结果边界</x:v>
      </x:c>
      <x:c r="B30" s="2"/>
      <x:c r="C30" s="2"/>
      <x:c r="D30" s="2" t="str">
        <x:v>分钟开价仅为成交代理；历史期已研究，账户回撤大，不代表可实盘成交。</x:v>
      </x:c>
      <x:c r="E30" s="2"/>
    </x:row>
    <x:row r="31">
      <x:c r="A31" s="2"/>
      <x:c r="B31" s="2"/>
      <x:c r="C31" s="2"/>
      <x:c r="D31" s="2"/>
      <x:c r="E31" s="2"/>
    </x:row>
    <x:row r="32">
      <x:c r="A32" s="17" t="str">
        <x:v>来源</x:v>
      </x:c>
      <x:c r="B32" s="17" t="str">
        <x:v>2024分钟扩展研究（提交1ec270d7）</x:v>
      </x:c>
      <x:c r="C32" s="17"/>
      <x:c r="D32" s="17" t="str">
        <x:v>R18/R19/R20/R21B/R23C冻结口径；原始运行材料及哈希见同目录研究包。</x:v>
      </x:c>
      <x:c r="E3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20" hidden="0" customWidth="1"/>
    <x:col min="7" max="7" width="20" hidden="0" customWidth="1"/>
    <x:col min="8" max="8" width="19" hidden="0" customWidth="1"/>
    <x:col min="9" max="9" width="15" hidden="0" customWidth="1"/>
    <x:col min="10" max="10" width="16" hidden="0" customWidth="1"/>
    <x:col min="11" max="11" width="17" hidden="0" customWidth="1"/>
    <x:col min="12" max="12" width="15" hidden="0" customWidth="1"/>
    <x:col min="13" max="13" width="18" hidden="0" customWidth="1"/>
  </x:cols>
  <x:sheetData>
    <x:row r="1" ht="28" customHeight="1">
      <x:c r="A1" s="5" t="str">
        <x:v>方案</x:v>
      </x:c>
      <x:c r="B1" s="5" t="str">
        <x:v>月份</x:v>
      </x:c>
      <x:c r="C1" s="5" t="str">
        <x:v>交易日</x:v>
      </x:c>
      <x:c r="D1" s="5" t="str">
        <x:v>买入笔</x:v>
      </x:c>
      <x:c r="E1" s="5" t="str">
        <x:v>卖出笔</x:v>
      </x:c>
      <x:c r="F1" s="5" t="str">
        <x:v>月初资产元</x:v>
      </x:c>
      <x:c r="G1" s="5" t="str">
        <x:v>月末资产元</x:v>
      </x:c>
      <x:c r="H1" s="5" t="str">
        <x:v>月盈亏元</x:v>
      </x:c>
      <x:c r="I1" s="5" t="str">
        <x:v>月收益</x:v>
      </x:c>
      <x:c r="J1" s="5" t="str">
        <x:v>月内回撤</x:v>
      </x:c>
      <x:c r="K1" s="5" t="str">
        <x:v>手续费元</x:v>
      </x:c>
      <x:c r="L1" s="5" t="str">
        <x:v>年化夏普</x:v>
      </x:c>
      <x:c r="M1" s="5" t="str">
        <x:v>期末持仓元</x:v>
      </x:c>
    </x:row>
    <x:row r="2">
      <x:c r="A2" s="2" t="str">
        <x:v>形态过滤</x:v>
      </x:c>
      <x:c r="B2" s="2" t="str">
        <x:v>2025-05</x:v>
      </x:c>
      <x:c r="C2" s="2" t="n">
        <x:v>19</x:v>
      </x:c>
      <x:c r="D2" s="2" t="n">
        <x:v>17</x:v>
      </x:c>
      <x:c r="E2" s="2" t="n">
        <x:v>16</x:v>
      </x:c>
      <x:c r="F2" s="8" t="n">
        <x:v>1000000</x:v>
      </x:c>
      <x:c r="G2" s="8" t="n">
        <x:v>1052600.2123502786</x:v>
      </x:c>
      <x:c r="H2" s="8" t="n">
        <x:f>G2-F2</x:f>
        <x:v>52600.21235027863</x:v>
      </x:c>
      <x:c r="I2" s="9" t="n">
        <x:f>G2/F2-1</x:f>
        <x:v>0.052600212350278674</x:v>
      </x:c>
      <x:c r="J2" s="9" t="n">
        <x:v>0.17658117929840356</x:v>
      </x:c>
      <x:c r="K2" s="8" t="n">
        <x:v>15565.798112369566</x:v>
      </x:c>
      <x:c r="L2" s="12" t="n">
        <x:v>1.1777547261361785</x:v>
      </x:c>
      <x:c r="M2" s="8" t="n">
        <x:v>508649.54315310717</x:v>
      </x:c>
    </x:row>
    <x:row r="3">
      <x:c r="A3" s="2" t="str">
        <x:v>形态过滤</x:v>
      </x:c>
      <x:c r="B3" s="2" t="str">
        <x:v>2025-06</x:v>
      </x:c>
      <x:c r="C3" s="2" t="n">
        <x:v>20</x:v>
      </x:c>
      <x:c r="D3" s="2" t="n">
        <x:v>19</x:v>
      </x:c>
      <x:c r="E3" s="2" t="n">
        <x:v>19</x:v>
      </x:c>
      <x:c r="F3" s="8" t="n">
        <x:v>1052600.2123502786</x:v>
      </x:c>
      <x:c r="G3" s="8" t="n">
        <x:v>1332801.2552826353</x:v>
      </x:c>
      <x:c r="H3" s="8" t="n">
        <x:f>G3-F3</x:f>
        <x:v>280201.0429323567</x:v>
      </x:c>
      <x:c r="I3" s="9" t="n">
        <x:f>G3/F3-1</x:f>
        <x:v>0.2661989230523858</x:v>
      </x:c>
      <x:c r="J3" s="9" t="n">
        <x:v>0.18281452229028572</x:v>
      </x:c>
      <x:c r="K3" s="8" t="n">
        <x:v>23905.410085268166</x:v>
      </x:c>
      <x:c r="L3" s="12" t="n">
        <x:v>3.852415155662231</x:v>
      </x:c>
      <x:c r="M3" s="8" t="n">
        <x:v>637915.1629833699</x:v>
      </x:c>
    </x:row>
    <x:row r="4">
      <x:c r="A4" s="2" t="str">
        <x:v>形态过滤</x:v>
      </x:c>
      <x:c r="B4" s="2" t="str">
        <x:v>2025-07</x:v>
      </x:c>
      <x:c r="C4" s="2" t="n">
        <x:v>23</x:v>
      </x:c>
      <x:c r="D4" s="2" t="n">
        <x:v>13</x:v>
      </x:c>
      <x:c r="E4" s="2" t="n">
        <x:v>14</x:v>
      </x:c>
      <x:c r="F4" s="8" t="n">
        <x:v>1332801.2552826353</x:v>
      </x:c>
      <x:c r="G4" s="8" t="n">
        <x:v>1107157.2867547744</x:v>
      </x:c>
      <x:c r="H4" s="8" t="n">
        <x:f>G4-F4</x:f>
        <x:v>-225643.96852786094</x:v>
      </x:c>
      <x:c r="I4" s="9" t="n">
        <x:f>G4/F4-1</x:f>
        <x:v>-0.16930053722076566</x:v>
      </x:c>
      <x:c r="J4" s="9" t="n">
        <x:v>0.1818184839739554</x:v>
      </x:c>
      <x:c r="K4" s="8" t="n">
        <x:v>16344.639427170407</x:v>
      </x:c>
      <x:c r="L4" s="12" t="n">
        <x:v>-3.4629334752893515</x:v>
      </x:c>
      <x:c r="M4" s="8" t="n">
        <x:v>0</x:v>
      </x:c>
    </x:row>
    <x:row r="5">
      <x:c r="A5" s="2" t="str">
        <x:v>形态过滤</x:v>
      </x:c>
      <x:c r="B5" s="2" t="str">
        <x:v>2025-08</x:v>
      </x:c>
      <x:c r="C5" s="2" t="n">
        <x:v>21</x:v>
      </x:c>
      <x:c r="D5" s="2" t="n">
        <x:v>13</x:v>
      </x:c>
      <x:c r="E5" s="2" t="n">
        <x:v>12</x:v>
      </x:c>
      <x:c r="F5" s="8" t="n">
        <x:v>1107157.2867547744</x:v>
      </x:c>
      <x:c r="G5" s="8" t="n">
        <x:v>960068.8605116712</x:v>
      </x:c>
      <x:c r="H5" s="8" t="n">
        <x:f>G5-F5</x:f>
        <x:v>-147088.42624310323</x:v>
      </x:c>
      <x:c r="I5" s="9" t="n">
        <x:f>G5/F5-1</x:f>
        <x:v>-0.13285233092241033</x:v>
      </x:c>
      <x:c r="J5" s="9" t="n">
        <x:v>0.17222359696297562</x:v>
      </x:c>
      <x:c r="K5" s="8" t="n">
        <x:v>12265.914475590958</x:v>
      </x:c>
      <x:c r="L5" s="12" t="n">
        <x:v>-2.9269274574154687</x:v>
      </x:c>
      <x:c r="M5" s="8" t="n">
        <x:v>460644.60984343686</x:v>
      </x:c>
    </x:row>
    <x:row r="6">
      <x:c r="A6" s="2" t="str">
        <x:v>形态过滤</x:v>
      </x:c>
      <x:c r="B6" s="2" t="str">
        <x:v>2025-09</x:v>
      </x:c>
      <x:c r="C6" s="2" t="n">
        <x:v>5</x:v>
      </x:c>
      <x:c r="D6" s="2" t="n">
        <x:v>0</x:v>
      </x:c>
      <x:c r="E6" s="2" t="n">
        <x:v>1</x:v>
      </x:c>
      <x:c r="F6" s="8" t="n">
        <x:v>960068.8605116712</x:v>
      </x:c>
      <x:c r="G6" s="8" t="n">
        <x:v>1005754.0872078002</x:v>
      </x:c>
      <x:c r="H6" s="8" t="n">
        <x:f>G6-F6</x:f>
        <x:v>45685.22669612907</x:v>
      </x:c>
      <x:c r="I6" s="9" t="n">
        <x:f>G6/F6-1</x:f>
        <x:v>0.0475853645245623</x:v>
      </x:c>
      <x:c r="J6" s="9" t="n">
        <x:v>0</x:v>
      </x:c>
      <x:c r="K6" s="8" t="n">
        <x:v>506.8366732127787</x:v>
      </x:c>
      <x:c r="L6" s="12" t="n">
        <x:v>7.0992957397195395</x:v>
      </x:c>
      <x:c r="M6" s="8" t="n">
        <x:v>0</x:v>
      </x:c>
    </x:row>
    <x:row r="7">
      <x:c r="A7" s="2" t="str">
        <x:v>不加形态</x:v>
      </x:c>
      <x:c r="B7" s="2" t="str">
        <x:v>2025-05</x:v>
      </x:c>
      <x:c r="C7" s="2" t="n">
        <x:v>19</x:v>
      </x:c>
      <x:c r="D7" s="2" t="n">
        <x:v>17</x:v>
      </x:c>
      <x:c r="E7" s="2" t="n">
        <x:v>16</x:v>
      </x:c>
      <x:c r="F7" s="8" t="n">
        <x:v>1000000</x:v>
      </x:c>
      <x:c r="G7" s="8" t="n">
        <x:v>1052600.2123502786</x:v>
      </x:c>
      <x:c r="H7" s="8" t="n">
        <x:f>G7-F7</x:f>
        <x:v>52600.21235027863</x:v>
      </x:c>
      <x:c r="I7" s="9" t="n">
        <x:f>G7/F7-1</x:f>
        <x:v>0.052600212350278674</x:v>
      </x:c>
      <x:c r="J7" s="9" t="n">
        <x:v>0.17658117929840356</x:v>
      </x:c>
      <x:c r="K7" s="8" t="n">
        <x:v>15565.798112369566</x:v>
      </x:c>
      <x:c r="L7" s="12" t="n">
        <x:v>1.1777547261361785</x:v>
      </x:c>
      <x:c r="M7" s="8" t="n">
        <x:v>508649.54315310717</x:v>
      </x:c>
    </x:row>
    <x:row r="8">
      <x:c r="A8" s="2" t="str">
        <x:v>不加形态</x:v>
      </x:c>
      <x:c r="B8" s="2" t="str">
        <x:v>2025-06</x:v>
      </x:c>
      <x:c r="C8" s="2" t="n">
        <x:v>20</x:v>
      </x:c>
      <x:c r="D8" s="2" t="n">
        <x:v>19</x:v>
      </x:c>
      <x:c r="E8" s="2" t="n">
        <x:v>19</x:v>
      </x:c>
      <x:c r="F8" s="8" t="n">
        <x:v>1052600.2123502786</x:v>
      </x:c>
      <x:c r="G8" s="8" t="n">
        <x:v>1276472.4327853434</x:v>
      </x:c>
      <x:c r="H8" s="8" t="n">
        <x:f>G8-F8</x:f>
        <x:v>223872.22043506475</x:v>
      </x:c>
      <x:c r="I8" s="9" t="n">
        <x:f>G8/F8-1</x:f>
        <x:v>0.2126849470562009</x:v>
      </x:c>
      <x:c r="J8" s="9" t="n">
        <x:v>0.18281452229028572</x:v>
      </x:c>
      <x:c r="K8" s="8" t="n">
        <x:v>23388.3029875241</x:v>
      </x:c>
      <x:c r="L8" s="12" t="n">
        <x:v>3.301575178957269</x:v>
      </x:c>
      <x:c r="M8" s="8" t="n">
        <x:v>610954.6466711302</x:v>
      </x:c>
    </x:row>
    <x:row r="9">
      <x:c r="A9" s="2" t="str">
        <x:v>不加形态</x:v>
      </x:c>
      <x:c r="B9" s="2" t="str">
        <x:v>2025-07</x:v>
      </x:c>
      <x:c r="C9" s="2" t="n">
        <x:v>23</x:v>
      </x:c>
      <x:c r="D9" s="2" t="n">
        <x:v>22</x:v>
      </x:c>
      <x:c r="E9" s="2" t="n">
        <x:v>22</x:v>
      </x:c>
      <x:c r="F9" s="8" t="n">
        <x:v>1276472.4327853434</x:v>
      </x:c>
      <x:c r="G9" s="8" t="n">
        <x:v>945388.7812042956</x:v>
      </x:c>
      <x:c r="H9" s="8" t="n">
        <x:f>G9-F9</x:f>
        <x:v>-331083.6515810478</x:v>
      </x:c>
      <x:c r="I9" s="9" t="n">
        <x:f>G9/F9-1</x:f>
        <x:v>-0.2593739144515659</x:v>
      </x:c>
      <x:c r="J9" s="9" t="n">
        <x:v>0.27856098042513155</x:v>
      </x:c>
      <x:c r="K9" s="8" t="n">
        <x:v>23997.77817054803</x:v>
      </x:c>
      <x:c r="L9" s="12" t="n">
        <x:v>-5.4961625716499105</x:v>
      </x:c>
      <x:c r="M9" s="8" t="n">
        <x:v>481904.4738747517</x:v>
      </x:c>
    </x:row>
    <x:row r="10">
      <x:c r="A10" s="2" t="str">
        <x:v>不加形态</x:v>
      </x:c>
      <x:c r="B10" s="2" t="str">
        <x:v>2025-08</x:v>
      </x:c>
      <x:c r="C10" s="2" t="n">
        <x:v>21</x:v>
      </x:c>
      <x:c r="D10" s="2" t="n">
        <x:v>16</x:v>
      </x:c>
      <x:c r="E10" s="2" t="n">
        <x:v>16</x:v>
      </x:c>
      <x:c r="F10" s="8" t="n">
        <x:v>945388.7812042956</x:v>
      </x:c>
      <x:c r="G10" s="8" t="n">
        <x:v>847434.8648494841</x:v>
      </x:c>
      <x:c r="H10" s="8" t="n">
        <x:f>G10-F10</x:f>
        <x:v>-97953.91635481152</x:v>
      </x:c>
      <x:c r="I10" s="9" t="n">
        <x:f>G10/F10-1</x:f>
        <x:v>-0.10361231093733914</x:v>
      </x:c>
      <x:c r="J10" s="9" t="n">
        <x:v>0.1528826253928448</x:v>
      </x:c>
      <x:c r="K10" s="8" t="n">
        <x:v>14009.065582560746</x:v>
      </x:c>
      <x:c r="L10" s="12" t="n">
        <x:v>-1.693182225801962</x:v>
      </x:c>
      <x:c r="M10" s="8" t="n">
        <x:v>402614.1821980602</x:v>
      </x:c>
    </x:row>
    <x:row r="11">
      <x:c r="A11" s="2" t="str">
        <x:v>不加形态</x:v>
      </x:c>
      <x:c r="B11" s="2" t="str">
        <x:v>2025-09</x:v>
      </x:c>
      <x:c r="C11" s="2" t="n">
        <x:v>5</x:v>
      </x:c>
      <x:c r="D11" s="2" t="n">
        <x:v>1</x:v>
      </x:c>
      <x:c r="E11" s="2" t="n">
        <x:v>2</x:v>
      </x:c>
      <x:c r="F11" s="8" t="n">
        <x:v>847434.8648494841</x:v>
      </x:c>
      <x:c r="G11" s="8" t="n">
        <x:v>866949.1680384106</x:v>
      </x:c>
      <x:c r="H11" s="8" t="n">
        <x:f>G11-F11</x:f>
        <x:v>19514.30318892654</x:v>
      </x:c>
      <x:c r="I11" s="9" t="n">
        <x:f>G11/F11-1</x:f>
        <x:v>0.023027496269453662</x:v>
      </x:c>
      <x:c r="J11" s="9" t="n">
        <x:v>0.019817327218013103</x:v>
      </x:c>
      <x:c r="K11" s="8" t="n">
        <x:v>1312.19329136848</x:v>
      </x:c>
      <x:c r="L11" s="12" t="n">
        <x:v>3.2426601227243697</x:v>
      </x:c>
      <x:c r="M11" s="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37e16f1e9a403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4" hidden="0" customWidth="1"/>
    <x:col min="4" max="4" width="14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19" hidden="0" customWidth="1"/>
    <x:col min="10" max="10" width="14" hidden="0" customWidth="1"/>
    <x:col min="11" max="11" width="14" hidden="0" customWidth="1"/>
    <x:col min="12" max="12" width="15" hidden="0" customWidth="1"/>
    <x:col min="13" max="13" width="11" hidden="0" customWidth="1"/>
  </x:cols>
  <x:sheetData>
    <x:row r="1" ht="28" customHeight="1">
      <x:c r="A1" s="5" t="str">
        <x:v>方案</x:v>
      </x:c>
      <x:c r="B1" s="5" t="str">
        <x:v>日期</x:v>
      </x:c>
      <x:c r="C1" s="5" t="str">
        <x:v>买入股票</x:v>
      </x:c>
      <x:c r="D1" s="5" t="str">
        <x:v>卖出股票</x:v>
      </x:c>
      <x:c r="E1" s="5" t="str">
        <x:v>买入支出元</x:v>
      </x:c>
      <x:c r="F1" s="5" t="str">
        <x:v>卖出净款元</x:v>
      </x:c>
      <x:c r="G1" s="5" t="str">
        <x:v>现金元</x:v>
      </x:c>
      <x:c r="H1" s="5" t="str">
        <x:v>持仓市值元</x:v>
      </x:c>
      <x:c r="I1" s="5" t="str">
        <x:v>总资产元</x:v>
      </x:c>
      <x:c r="J1" s="5" t="str">
        <x:v>日收益</x:v>
      </x:c>
      <x:c r="K1" s="5" t="str">
        <x:v>全期回撤</x:v>
      </x:c>
      <x:c r="L1" s="5" t="str">
        <x:v>手续费元</x:v>
      </x:c>
      <x:c r="M1" s="5" t="str">
        <x:v>持仓笔</x:v>
      </x:c>
    </x:row>
    <x:row r="2">
      <x:c r="A2" s="2" t="str">
        <x:v>形态过滤</x:v>
      </x:c>
      <x:c r="B2" s="6" t="d">
        <x:v>2025-05-06T00:00:00.000Z</x:v>
      </x:c>
      <x:c r="C2" s="7"/>
      <x:c r="D2" s="7"/>
      <x:c r="E2" s="8" t="n">
        <x:v>0</x:v>
      </x:c>
      <x:c r="F2" s="8" t="n">
        <x:v>0</x:v>
      </x:c>
      <x:c r="G2" s="8" t="n">
        <x:v>1000000</x:v>
      </x:c>
      <x:c r="H2" s="8" t="n">
        <x:v>0</x:v>
      </x:c>
      <x:c r="I2" s="8" t="n">
        <x:v>1000000</x:v>
      </x:c>
      <x:c r="J2" s="9" t="n">
        <x:v>0</x:v>
      </x:c>
      <x:c r="K2" s="9" t="n">
        <x:v>0</x:v>
      </x:c>
      <x:c r="L2" s="8" t="n">
        <x:v>0</x:v>
      </x:c>
      <x:c r="M2" s="10" t="n">
        <x:v>0</x:v>
      </x:c>
    </x:row>
    <x:row r="3">
      <x:c r="A3" s="2" t="str">
        <x:v>形态过滤</x:v>
      </x:c>
      <x:c r="B3" s="6" t="d">
        <x:v>2025-05-07T00:00:00.000Z</x:v>
      </x:c>
      <x:c r="C3" s="7" t="str">
        <x:v>603586</x:v>
      </x:c>
      <x:c r="D3" s="7"/>
      <x:c r="E3" s="8" t="n">
        <x:v>500000</x:v>
      </x:c>
      <x:c r="F3" s="8" t="n">
        <x:v>0</x:v>
      </x:c>
      <x:c r="G3" s="8" t="n">
        <x:v>500000</x:v>
      </x:c>
      <x:c r="H3" s="8" t="n">
        <x:v>485993.4657126546</x:v>
      </x:c>
      <x:c r="I3" s="8" t="n">
        <x:v>985993.4657126546</x:v>
      </x:c>
      <x:c r="J3" s="9" t="n">
        <x:v>-0.014006534287345329</x:v>
      </x:c>
      <x:c r="K3" s="9" t="n">
        <x:v>0.014006534287345329</x:v>
      </x:c>
      <x:c r="L3" s="8" t="n">
        <x:v>499.5004995004274</x:v>
      </x:c>
      <x:c r="M3" s="10" t="n">
        <x:v>1</x:v>
      </x:c>
    </x:row>
    <x:row r="4">
      <x:c r="A4" s="2" t="str">
        <x:v>形态过滤</x:v>
      </x:c>
      <x:c r="B4" s="6" t="d">
        <x:v>2025-05-08T00:00:00.000Z</x:v>
      </x:c>
      <x:c r="C4" s="7" t="str">
        <x:v>600410</x:v>
      </x:c>
      <x:c r="D4" s="7" t="str">
        <x:v>603586</x:v>
      </x:c>
      <x:c r="E4" s="8" t="n">
        <x:v>500000</x:v>
      </x:c>
      <x:c r="F4" s="8" t="n">
        <x:v>442691.473892722</x:v>
      </x:c>
      <x:c r="G4" s="8" t="n">
        <x:v>442691.473892722</x:v>
      </x:c>
      <x:c r="H4" s="8" t="n">
        <x:v>477647.35264735273</x:v>
      </x:c>
      <x:c r="I4" s="8" t="n">
        <x:v>920338.8265400748</x:v>
      </x:c>
      <x:c r="J4" s="9" t="n">
        <x:v>-0.06658729642303063</x:v>
      </x:c>
      <x:c r="K4" s="9" t="n">
        <x:v>0.07966117345992518</x:v>
      </x:c>
      <x:c r="L4" s="8" t="n">
        <x:v>942.6351080016507</x:v>
      </x:c>
      <x:c r="M4" s="10" t="n">
        <x:v>1</x:v>
      </x:c>
    </x:row>
    <x:row r="5">
      <x:c r="A5" s="2" t="str">
        <x:v>形态过滤</x:v>
      </x:c>
      <x:c r="B5" s="6" t="d">
        <x:v>2025-05-09T00:00:00.000Z</x:v>
      </x:c>
      <x:c r="C5" s="7" t="str">
        <x:v>002490</x:v>
      </x:c>
      <x:c r="D5" s="7" t="str">
        <x:v>600410</x:v>
      </x:c>
      <x:c r="E5" s="8" t="n">
        <x:v>442691.473892722</x:v>
      </x:c>
      <x:c r="F5" s="8" t="n">
        <x:v>444645.5330383903</x:v>
      </x:c>
      <x:c r="G5" s="8" t="n">
        <x:v>444645.5330383903</x:v>
      </x:c>
      <x:c r="H5" s="8" t="n">
        <x:v>400325.9710285173</x:v>
      </x:c>
      <x:c r="I5" s="8" t="n">
        <x:v>844971.5040669076</x:v>
      </x:c>
      <x:c r="J5" s="9" t="n">
        <x:v>-0.0818908431327443</x:v>
      </x:c>
      <x:c r="K5" s="9" t="n">
        <x:v>0.15502849593309243</x:v>
      </x:c>
      <x:c r="L5" s="8" t="n">
        <x:v>887.3398483300718</x:v>
      </x:c>
      <x:c r="M5" s="10" t="n">
        <x:v>1</x:v>
      </x:c>
    </x:row>
    <x:row r="6">
      <x:c r="A6" s="2" t="str">
        <x:v>形态过滤</x:v>
      </x:c>
      <x:c r="B6" s="6" t="d">
        <x:v>2025-05-12T00:00:00.000Z</x:v>
      </x:c>
      <x:c r="C6" s="7" t="str">
        <x:v>603912</x:v>
      </x:c>
      <x:c r="D6" s="7" t="str">
        <x:v>002490</x:v>
      </x:c>
      <x:c r="E6" s="8" t="n">
        <x:v>444645.5330383903</x:v>
      </x:c>
      <x:c r="F6" s="8" t="n">
        <x:v>381037.9862560057</x:v>
      </x:c>
      <x:c r="G6" s="8" t="n">
        <x:v>381037.9862560057</x:v>
      </x:c>
      <x:c r="H6" s="8" t="n">
        <x:v>442380.83444559074</x:v>
      </x:c>
      <x:c r="I6" s="8" t="n">
        <x:v>823418.8207015964</x:v>
      </x:c>
      <x:c r="J6" s="9" t="n">
        <x:v>-0.025506994332443744</x:v>
      </x:c>
      <x:c r="K6" s="9" t="n">
        <x:v>0.17658117929840356</x:v>
      </x:c>
      <x:c r="L6" s="8" t="n">
        <x:v>825.6207373683268</x:v>
      </x:c>
      <x:c r="M6" s="10" t="n">
        <x:v>1</x:v>
      </x:c>
    </x:row>
    <x:row r="7">
      <x:c r="A7" s="2" t="str">
        <x:v>形态过滤</x:v>
      </x:c>
      <x:c r="B7" s="6" t="d">
        <x:v>2025-05-13T00:00:00.000Z</x:v>
      </x:c>
      <x:c r="C7" s="7" t="str">
        <x:v>000559</x:v>
      </x:c>
      <x:c r="D7" s="7" t="str">
        <x:v>603912</x:v>
      </x:c>
      <x:c r="E7" s="8" t="n">
        <x:v>381037.9862560057</x:v>
      </x:c>
      <x:c r="F7" s="8" t="n">
        <x:v>463762.57477712753</x:v>
      </x:c>
      <x:c r="G7" s="8" t="n">
        <x:v>463762.57477712753</x:v>
      </x:c>
      <x:c r="H7" s="8" t="n">
        <x:v>390273.9351315523</x:v>
      </x:c>
      <x:c r="I7" s="8" t="n">
        <x:v>854036.5099086799</x:v>
      </x:c>
      <x:c r="J7" s="9" t="n">
        <x:v>0.03718361596471098</x:v>
      </x:c>
      <x:c r="K7" s="9" t="n">
        <x:v>0.14596349009132015</x:v>
      </x:c>
      <x:c r="L7" s="8" t="n">
        <x:v>844.8841305057226</x:v>
      </x:c>
      <x:c r="M7" s="10" t="n">
        <x:v>1</x:v>
      </x:c>
    </x:row>
    <x:row r="8">
      <x:c r="A8" s="2" t="str">
        <x:v>形态过滤</x:v>
      </x:c>
      <x:c r="B8" s="6" t="d">
        <x:v>2025-05-14T00:00:00.000Z</x:v>
      </x:c>
      <x:c r="C8" s="7" t="str">
        <x:v>605055</x:v>
      </x:c>
      <x:c r="D8" s="7" t="str">
        <x:v>000559</x:v>
      </x:c>
      <x:c r="E8" s="8" t="n">
        <x:v>463762.57477712753</x:v>
      </x:c>
      <x:c r="F8" s="8" t="n">
        <x:v>360262.109935091</x:v>
      </x:c>
      <x:c r="G8" s="8" t="n">
        <x:v>360262.109935091</x:v>
      </x:c>
      <x:c r="H8" s="8" t="n">
        <x:v>523299.31518608227</x:v>
      </x:c>
      <x:c r="I8" s="8" t="n">
        <x:v>883561.4251211733</x:v>
      </x:c>
      <x:c r="J8" s="9" t="n">
        <x:v>0.03457102228059372</x:v>
      </x:c>
      <x:c r="K8" s="9" t="n">
        <x:v>0.1164385748788267</x:v>
      </x:c>
      <x:c r="L8" s="8" t="n">
        <x:v>823.9220081693318</x:v>
      </x:c>
      <x:c r="M8" s="10" t="n">
        <x:v>1</x:v>
      </x:c>
    </x:row>
    <x:row r="9">
      <x:c r="A9" s="2" t="str">
        <x:v>形态过滤</x:v>
      </x:c>
      <x:c r="B9" s="6" t="d">
        <x:v>2025-05-15T00:00:00.000Z</x:v>
      </x:c>
      <x:c r="C9" s="7" t="str">
        <x:v>603332</x:v>
      </x:c>
      <x:c r="D9" s="7" t="str">
        <x:v>605055</x:v>
      </x:c>
      <x:c r="E9" s="8" t="n">
        <x:v>360262.109935091</x:v>
      </x:c>
      <x:c r="F9" s="8" t="n">
        <x:v>575300.7928792012</x:v>
      </x:c>
      <x:c r="G9" s="8" t="n">
        <x:v>575300.7928792012</x:v>
      </x:c>
      <x:c r="H9" s="8" t="n">
        <x:v>414162.7736411031</x:v>
      </x:c>
      <x:c r="I9" s="8" t="n">
        <x:v>989463.5665203044</x:v>
      </x:c>
      <x:c r="J9" s="9" t="n">
        <x:v>0.11985826722189419</x:v>
      </x:c>
      <x:c r="K9" s="9" t="n">
        <x:v>0.010536433479695573</x:v>
      </x:c>
      <x:c r="L9" s="8" t="n">
        <x:v>935.7788772760613</x:v>
      </x:c>
      <x:c r="M9" s="10" t="n">
        <x:v>1</x:v>
      </x:c>
    </x:row>
    <x:row r="10">
      <x:c r="A10" s="2" t="str">
        <x:v>形态过滤</x:v>
      </x:c>
      <x:c r="B10" s="6" t="d">
        <x:v>2025-05-16T00:00:00.000Z</x:v>
      </x:c>
      <x:c r="C10" s="7" t="str">
        <x:v>002040</x:v>
      </x:c>
      <x:c r="D10" s="7" t="str">
        <x:v>603332</x:v>
      </x:c>
      <x:c r="E10" s="8" t="n">
        <x:v>575300.7928792012</x:v>
      </x:c>
      <x:c r="F10" s="8" t="n">
        <x:v>384681.46162297577</x:v>
      </x:c>
      <x:c r="G10" s="8" t="n">
        <x:v>384681.46162297577</x:v>
      </x:c>
      <x:c r="H10" s="8" t="n">
        <x:v>575851.876933471</x:v>
      </x:c>
      <x:c r="I10" s="8" t="n">
        <x:v>960533.3385564467</x:v>
      </x:c>
      <x:c r="J10" s="9" t="n">
        <x:v>-0.029238295317530527</x:v>
      </x:c>
      <x:c r="K10" s="9" t="n">
        <x:v>0.039466661443553264</x:v>
      </x:c>
      <x:c r="L10" s="8" t="n">
        <x:v>959.7925949634177</x:v>
      </x:c>
      <x:c r="M10" s="10" t="n">
        <x:v>1</x:v>
      </x:c>
    </x:row>
    <x:row r="11">
      <x:c r="A11" s="2" t="str">
        <x:v>形态过滤</x:v>
      </x:c>
      <x:c r="B11" s="6" t="d">
        <x:v>2025-05-19T00:00:00.000Z</x:v>
      </x:c>
      <x:c r="C11" s="7" t="str">
        <x:v>601022</x:v>
      </x:c>
      <x:c r="D11" s="7" t="str">
        <x:v>002040</x:v>
      </x:c>
      <x:c r="E11" s="8" t="n">
        <x:v>384681.46162297577</x:v>
      </x:c>
      <x:c r="F11" s="8" t="n">
        <x:v>632634.9249155471</x:v>
      </x:c>
      <x:c r="G11" s="8" t="n">
        <x:v>632634.9249155471</x:v>
      </x:c>
      <x:c r="H11" s="8" t="n">
        <x:v>398265.9628435199</x:v>
      </x:c>
      <x:c r="I11" s="8" t="n">
        <x:v>1030900.8877590671</x:v>
      </x:c>
      <x:c r="J11" s="9" t="n">
        <x:v>0.07325883067044137</x:v>
      </x:c>
      <x:c r="K11" s="9" t="n">
        <x:v>0</x:v>
      </x:c>
      <x:c r="L11" s="8" t="n">
        <x:v>1017.5653575671462</x:v>
      </x:c>
      <x:c r="M11" s="10" t="n">
        <x:v>1</x:v>
      </x:c>
    </x:row>
    <x:row r="12">
      <x:c r="A12" s="2" t="str">
        <x:v>形态过滤</x:v>
      </x:c>
      <x:c r="B12" s="6" t="d">
        <x:v>2025-05-20T00:00:00.000Z</x:v>
      </x:c>
      <x:c r="C12" s="7" t="str">
        <x:v>600281</x:v>
      </x:c>
      <x:c r="D12" s="7" t="str">
        <x:v>601022</x:v>
      </x:c>
      <x:c r="E12" s="8" t="n">
        <x:v>632634.9249155471</x:v>
      </x:c>
      <x:c r="F12" s="8" t="n">
        <x:v>358173.9593898529</x:v>
      </x:c>
      <x:c r="G12" s="8" t="n">
        <x:v>358173.9593898529</x:v>
      </x:c>
      <x:c r="H12" s="8" t="n">
        <x:v>611281.5147150765</x:v>
      </x:c>
      <x:c r="I12" s="8" t="n">
        <x:v>969455.4741049295</x:v>
      </x:c>
      <x:c r="J12" s="9" t="n">
        <x:v>-0.05960360921572716</x:v>
      </x:c>
      <x:c r="K12" s="9" t="n">
        <x:v>0.05960360921572716</x:v>
      </x:c>
      <x:c r="L12" s="8" t="n">
        <x:v>990.5354138752296</x:v>
      </x:c>
      <x:c r="M12" s="10" t="n">
        <x:v>1</x:v>
      </x:c>
    </x:row>
    <x:row r="13">
      <x:c r="A13" s="2" t="str">
        <x:v>形态过滤</x:v>
      </x:c>
      <x:c r="B13" s="6" t="d">
        <x:v>2025-05-21T00:00:00.000Z</x:v>
      </x:c>
      <x:c r="C13" s="7" t="str">
        <x:v>002735</x:v>
      </x:c>
      <x:c r="D13" s="7" t="str">
        <x:v>600281</x:v>
      </x:c>
      <x:c r="E13" s="8" t="n">
        <x:v>358173.9593898529</x:v>
      </x:c>
      <x:c r="F13" s="8" t="n">
        <x:v>559953.5528159247</x:v>
      </x:c>
      <x:c r="G13" s="8" t="n">
        <x:v>559953.5528159247</x:v>
      </x:c>
      <x:c r="H13" s="8" t="n">
        <x:v>375551.1697705507</x:v>
      </x:c>
      <x:c r="I13" s="8" t="n">
        <x:v>935504.7225864754</x:v>
      </x:c>
      <x:c r="J13" s="9" t="n">
        <x:v>-0.035020434073880335</x:v>
      </x:c>
      <x:c r="K13" s="9" t="n">
        <x:v>0.09253669902250272</x:v>
      </x:c>
      <x:c r="L13" s="8" t="n">
        <x:v>918.3302101293498</x:v>
      </x:c>
      <x:c r="M13" s="10" t="n">
        <x:v>1</x:v>
      </x:c>
    </x:row>
    <x:row r="14">
      <x:c r="A14" s="2" t="str">
        <x:v>形态过滤</x:v>
      </x:c>
      <x:c r="B14" s="6" t="d">
        <x:v>2025-05-22T00:00:00.000Z</x:v>
      </x:c>
      <x:c r="C14" s="7" t="str">
        <x:v>002510</x:v>
      </x:c>
      <x:c r="D14" s="7" t="str">
        <x:v>002735</x:v>
      </x:c>
      <x:c r="E14" s="8" t="n">
        <x:v>559953.5528159247</x:v>
      </x:c>
      <x:c r="F14" s="8" t="n">
        <x:v>412765.0073182801</x:v>
      </x:c>
      <x:c r="G14" s="8" t="n">
        <x:v>412765.0073182801</x:v>
      </x:c>
      <x:c r="H14" s="8" t="n">
        <x:v>530393.3094181236</x:v>
      </x:c>
      <x:c r="I14" s="8" t="n">
        <x:v>943158.3167364036</x:v>
      </x:c>
      <x:c r="J14" s="9" t="n">
        <x:v>0.008181245872033172</x:v>
      </x:c>
      <x:c r="K14" s="9" t="n">
        <x:v>0.08511251863735891</x:v>
      </x:c>
      <x:c r="L14" s="8" t="n">
        <x:v>972.5723441609584</x:v>
      </x:c>
      <x:c r="M14" s="10" t="n">
        <x:v>1</x:v>
      </x:c>
    </x:row>
    <x:row r="15">
      <x:c r="A15" s="2" t="str">
        <x:v>形态过滤</x:v>
      </x:c>
      <x:c r="B15" s="6" t="d">
        <x:v>2025-05-23T00:00:00.000Z</x:v>
      </x:c>
      <x:c r="C15" s="7" t="str">
        <x:v>002431</x:v>
      </x:c>
      <x:c r="D15" s="7" t="str">
        <x:v>002510</x:v>
      </x:c>
      <x:c r="E15" s="8" t="n">
        <x:v>412765.0073182801</x:v>
      </x:c>
      <x:c r="F15" s="8" t="n">
        <x:v>477069.77015376755</x:v>
      </x:c>
      <x:c r="G15" s="8" t="n">
        <x:v>477069.77015376755</x:v>
      </x:c>
      <x:c r="H15" s="8" t="n">
        <x:v>398607.56617482926</x:v>
      </x:c>
      <x:c r="I15" s="8" t="n">
        <x:v>875677.3363285968</x:v>
      </x:c>
      <x:c r="J15" s="9" t="n">
        <x:v>-0.07154788248203148</x:v>
      </x:c>
      <x:c r="K15" s="9" t="n">
        <x:v>0.15057078063817497</x:v>
      </x:c>
      <x:c r="L15" s="8" t="n">
        <x:v>889.8999721347936</x:v>
      </x:c>
      <x:c r="M15" s="10" t="n">
        <x:v>1</x:v>
      </x:c>
    </x:row>
    <x:row r="16">
      <x:c r="A16" s="2" t="str">
        <x:v>形态过滤</x:v>
      </x:c>
      <x:c r="B16" s="6" t="d">
        <x:v>2025-05-26T00:00:00.000Z</x:v>
      </x:c>
      <x:c r="C16" s="7" t="str">
        <x:v>002471</x:v>
      </x:c>
      <x:c r="D16" s="7" t="str">
        <x:v>002431</x:v>
      </x:c>
      <x:c r="E16" s="8" t="n">
        <x:v>477069.77015376755</x:v>
      </x:c>
      <x:c r="F16" s="8" t="n">
        <x:v>437877.28398729436</x:v>
      </x:c>
      <x:c r="G16" s="8" t="n">
        <x:v>437877.28398729436</x:v>
      </x:c>
      <x:c r="H16" s="8" t="n">
        <x:v>487895.7819643827</x:v>
      </x:c>
      <x:c r="I16" s="8" t="n">
        <x:v>925773.065951677</x:v>
      </x:c>
      <x:c r="J16" s="9" t="n">
        <x:v>0.05720797780734377</x:v>
      </x:c>
      <x:c r="K16" s="9" t="n">
        <x:v>0.10197665270801437</x:v>
      </x:c>
      <x:c r="L16" s="8" t="n">
        <x:v>914.9087765636007</x:v>
      </x:c>
      <x:c r="M16" s="10" t="n">
        <x:v>1</x:v>
      </x:c>
    </x:row>
    <x:row r="17">
      <x:c r="A17" s="2" t="str">
        <x:v>形态过滤</x:v>
      </x:c>
      <x:c r="B17" s="6" t="d">
        <x:v>2025-05-27T00:00:00.000Z</x:v>
      </x:c>
      <x:c r="C17" s="7" t="str">
        <x:v>603332</x:v>
      </x:c>
      <x:c r="D17" s="7" t="str">
        <x:v>002471</x:v>
      </x:c>
      <x:c r="E17" s="8" t="n">
        <x:v>437877.28398729436</x:v>
      </x:c>
      <x:c r="F17" s="8" t="n">
        <x:v>536336.8631737035</x:v>
      </x:c>
      <x:c r="G17" s="8" t="n">
        <x:v>536336.8631737035</x:v>
      </x:c>
      <x:c r="H17" s="8" t="n">
        <x:v>443724.25442329916</x:v>
      </x:c>
      <x:c r="I17" s="8" t="n">
        <x:v>980061.1175970028</x:v>
      </x:c>
      <x:c r="J17" s="9" t="n">
        <x:v>0.058640776710779274</x:v>
      </x:c>
      <x:c r="K17" s="9" t="n">
        <x:v>0.049315866118398555</x:v>
      </x:c>
      <x:c r="L17" s="8" t="n">
        <x:v>974.3135810537254</x:v>
      </x:c>
      <x:c r="M17" s="10" t="n">
        <x:v>1</x:v>
      </x:c>
    </x:row>
    <x:row r="18">
      <x:c r="A18" s="2" t="str">
        <x:v>形态过滤</x:v>
      </x:c>
      <x:c r="B18" s="6" t="d">
        <x:v>2025-05-28T00:00:00.000Z</x:v>
      </x:c>
      <x:c r="C18" s="7" t="str">
        <x:v>603333</x:v>
      </x:c>
      <x:c r="D18" s="7" t="str">
        <x:v>603332</x:v>
      </x:c>
      <x:c r="E18" s="8" t="n">
        <x:v>536336.8631737035</x:v>
      </x:c>
      <x:c r="F18" s="8" t="n">
        <x:v>470859.44024008064</x:v>
      </x:c>
      <x:c r="G18" s="8" t="n">
        <x:v>470859.44024008064</x:v>
      </x:c>
      <x:c r="H18" s="8" t="n">
        <x:v>561226.8069571652</x:v>
      </x:c>
      <x:c r="I18" s="8" t="n">
        <x:v>1032086.247197246</x:v>
      </x:c>
      <x:c r="J18" s="9" t="n">
        <x:v>0.05308355638860851</x:v>
      </x:c>
      <x:c r="K18" s="9" t="n">
        <x:v>0</x:v>
      </x:c>
      <x:c r="L18" s="8" t="n">
        <x:v>1007.1318331226016</x:v>
      </x:c>
      <x:c r="M18" s="10" t="n">
        <x:v>1</x:v>
      </x:c>
    </x:row>
    <x:row r="19">
      <x:c r="A19" s="2" t="str">
        <x:v>形态过滤</x:v>
      </x:c>
      <x:c r="B19" s="6" t="d">
        <x:v>2025-05-29T00:00:00.000Z</x:v>
      </x:c>
      <x:c r="C19" s="7"/>
      <x:c r="D19" s="7" t="str">
        <x:v>603333</x:v>
      </x:c>
      <x:c r="E19" s="8" t="n">
        <x:v>0</x:v>
      </x:c>
      <x:c r="F19" s="8" t="n">
        <x:v>617041.8981542621</x:v>
      </x:c>
      <x:c r="G19" s="8" t="n">
        <x:v>1087901.3383943427</x:v>
      </x:c>
      <x:c r="H19" s="8" t="n">
        <x:v>0</x:v>
      </x:c>
      <x:c r="I19" s="8" t="n">
        <x:v>1087901.3383943427</x:v>
      </x:c>
      <x:c r="J19" s="9" t="n">
        <x:v>0.05407987108506607</x:v>
      </x:c>
      <x:c r="K19" s="9" t="n">
        <x:v>0</x:v>
      </x:c>
      <x:c r="L19" s="8" t="n">
        <x:v>617.6595577119741</x:v>
      </x:c>
      <x:c r="M19" s="10" t="n">
        <x:v>0</x:v>
      </x:c>
    </x:row>
    <x:row r="20">
      <x:c r="A20" s="2" t="str">
        <x:v>形态过滤</x:v>
      </x:c>
      <x:c r="B20" s="6" t="d">
        <x:v>2025-05-30T00:00:00.000Z</x:v>
      </x:c>
      <x:c r="C20" s="7" t="str">
        <x:v>603390</x:v>
      </x:c>
      <x:c r="D20" s="7"/>
      <x:c r="E20" s="8" t="n">
        <x:v>543950.6691971713</x:v>
      </x:c>
      <x:c r="F20" s="8" t="n">
        <x:v>0</x:v>
      </x:c>
      <x:c r="G20" s="8" t="n">
        <x:v>543950.6691971713</x:v>
      </x:c>
      <x:c r="H20" s="8" t="n">
        <x:v>508649.54315310717</x:v>
      </x:c>
      <x:c r="I20" s="8" t="n">
        <x:v>1052600.2123502786</x:v>
      </x:c>
      <x:c r="J20" s="9" t="n">
        <x:v>-0.0324488304207492</x:v>
      </x:c>
      <x:c r="K20" s="9" t="n">
        <x:v>0.0324488304207492</x:v>
      </x:c>
      <x:c r="L20" s="8" t="n">
        <x:v>543.4072619351791</x:v>
      </x:c>
      <x:c r="M20" s="10" t="n">
        <x:v>1</x:v>
      </x:c>
    </x:row>
    <x:row r="21">
      <x:c r="A21" s="2" t="str">
        <x:v>形态过滤</x:v>
      </x:c>
      <x:c r="B21" s="6" t="d">
        <x:v>2025-06-03T00:00:00.000Z</x:v>
      </x:c>
      <x:c r="C21" s="7" t="str">
        <x:v>002537</x:v>
      </x:c>
      <x:c r="D21" s="7" t="str">
        <x:v>603390</x:v>
      </x:c>
      <x:c r="E21" s="8" t="n">
        <x:v>543950.6691971713</x:v>
      </x:c>
      <x:c r="F21" s="8" t="n">
        <x:v>471724.12956790737</x:v>
      </x:c>
      <x:c r="G21" s="8" t="n">
        <x:v>471724.12956790737</x:v>
      </x:c>
      <x:c r="H21" s="8" t="n">
        <x:v>544001.1496531982</x:v>
      </x:c>
      <x:c r="I21" s="8" t="n">
        <x:v>1015725.2792211056</x:v>
      </x:c>
      <x:c r="J21" s="9" t="n">
        <x:v>-0.035032230372476825</x:v>
      </x:c>
      <x:c r="K21" s="9" t="n">
        <x:v>0.06634430589060891</x:v>
      </x:c>
      <x:c r="L21" s="8" t="n">
        <x:v>1015.6035878289804</x:v>
      </x:c>
      <x:c r="M21" s="10" t="n">
        <x:v>1</x:v>
      </x:c>
    </x:row>
    <x:row r="22">
      <x:c r="A22" s="2" t="str">
        <x:v>形态过滤</x:v>
      </x:c>
      <x:c r="B22" s="6" t="d">
        <x:v>2025-06-04T00:00:00.000Z</x:v>
      </x:c>
      <x:c r="C22" s="7" t="str">
        <x:v>603123</x:v>
      </x:c>
      <x:c r="D22" s="7" t="str">
        <x:v>002537</x:v>
      </x:c>
      <x:c r="E22" s="8" t="n">
        <x:v>471724.12956790737</x:v>
      </x:c>
      <x:c r="F22" s="8" t="n">
        <x:v>503706.461877194</x:v>
      </x:c>
      <x:c r="G22" s="8" t="n">
        <x:v>503706.461877194</x:v>
      </x:c>
      <x:c r="H22" s="8" t="n">
        <x:v>453655.6818931872</x:v>
      </x:c>
      <x:c r="I22" s="8" t="n">
        <x:v>957362.1437703812</x:v>
      </x:c>
      <x:c r="J22" s="9" t="n">
        <x:v>-0.05745956770464489</x:v>
      </x:c>
      <x:c r="K22" s="9" t="n">
        <x:v>0.11999175845911458</x:v>
      </x:c>
      <x:c r="L22" s="8" t="n">
        <x:v>975.4635492409147</x:v>
      </x:c>
      <x:c r="M22" s="10" t="n">
        <x:v>1</x:v>
      </x:c>
    </x:row>
    <x:row r="23">
      <x:c r="A23" s="2" t="str">
        <x:v>形态过滤</x:v>
      </x:c>
      <x:c r="B23" s="6" t="d">
        <x:v>2025-06-05T00:00:00.000Z</x:v>
      </x:c>
      <x:c r="C23" s="7" t="str">
        <x:v>002177</x:v>
      </x:c>
      <x:c r="D23" s="7" t="str">
        <x:v>603123</x:v>
      </x:c>
      <x:c r="E23" s="8" t="n">
        <x:v>503706.461877194</x:v>
      </x:c>
      <x:c r="F23" s="8" t="n">
        <x:v>498557.3880276299</x:v>
      </x:c>
      <x:c r="G23" s="8" t="n">
        <x:v>498557.3880276299</x:v>
      </x:c>
      <x:c r="H23" s="8" t="n">
        <x:v>540526.9440260459</x:v>
      </x:c>
      <x:c r="I23" s="8" t="n">
        <x:v>1039084.3320536758</x:v>
      </x:c>
      <x:c r="J23" s="9" t="n">
        <x:v>0.08536183388393437</x:v>
      </x:c>
      <x:c r="K23" s="9" t="n">
        <x:v>0.044872641128208324</x:v>
      </x:c>
      <x:c r="L23" s="8" t="n">
        <x:v>1002.2597030906397</x:v>
      </x:c>
      <x:c r="M23" s="10" t="n">
        <x:v>1</x:v>
      </x:c>
    </x:row>
    <x:row r="24">
      <x:c r="A24" s="2" t="str">
        <x:v>形态过滤</x:v>
      </x:c>
      <x:c r="B24" s="6" t="d">
        <x:v>2025-06-06T00:00:00.000Z</x:v>
      </x:c>
      <x:c r="C24" s="7" t="str">
        <x:v>603093</x:v>
      </x:c>
      <x:c r="D24" s="7" t="str">
        <x:v>002177</x:v>
      </x:c>
      <x:c r="E24" s="8" t="n">
        <x:v>498557.3880276299</x:v>
      </x:c>
      <x:c r="F24" s="8" t="n">
        <x:v>522674.8919967763</x:v>
      </x:c>
      <x:c r="G24" s="8" t="n">
        <x:v>522674.8919967763</x:v>
      </x:c>
      <x:c r="H24" s="8" t="n">
        <x:v>502631.1475908758</x:v>
      </x:c>
      <x:c r="I24" s="8" t="n">
        <x:v>1025306.0395876521</x:v>
      </x:c>
      <x:c r="J24" s="9" t="n">
        <x:v>-0.013260032935721311</x:v>
      </x:c>
      <x:c r="K24" s="9" t="n">
        <x:v>0.05753766136465677</x:v>
      </x:c>
      <x:c r="L24" s="8" t="n">
        <x:v>1021.2574187857656</x:v>
      </x:c>
      <x:c r="M24" s="10" t="n">
        <x:v>1</x:v>
      </x:c>
    </x:row>
    <x:row r="25">
      <x:c r="A25" s="2" t="str">
        <x:v>形态过滤</x:v>
      </x:c>
      <x:c r="B25" s="6" t="d">
        <x:v>2025-06-09T00:00:00.000Z</x:v>
      </x:c>
      <x:c r="C25" s="7" t="str">
        <x:v>002298</x:v>
      </x:c>
      <x:c r="D25" s="7" t="str">
        <x:v>603093</x:v>
      </x:c>
      <x:c r="E25" s="8" t="n">
        <x:v>522674.8919967763</x:v>
      </x:c>
      <x:c r="F25" s="8" t="n">
        <x:v>552368.2342468665</x:v>
      </x:c>
      <x:c r="G25" s="8" t="n">
        <x:v>552368.2342468665</x:v>
      </x:c>
      <x:c r="H25" s="8" t="n">
        <x:v>512149.8132181027</x:v>
      </x:c>
      <x:c r="I25" s="8" t="n">
        <x:v>1064518.047464969</x:v>
      </x:c>
      <x:c r="J25" s="9" t="n">
        <x:v>0.03824419867173212</x:v>
      </x:c>
      <x:c r="K25" s="9" t="n">
        <x:v>0.021493944445261426</x:v>
      </x:c>
      <x:c r="L25" s="8" t="n">
        <x:v>1075.0738946597041</x:v>
      </x:c>
      <x:c r="M25" s="10" t="n">
        <x:v>1</x:v>
      </x:c>
    </x:row>
    <x:row r="26">
      <x:c r="A26" s="2" t="str">
        <x:v>形态过滤</x:v>
      </x:c>
      <x:c r="B26" s="6" t="d">
        <x:v>2025-06-10T00:00:00.000Z</x:v>
      </x:c>
      <x:c r="C26" s="7" t="str">
        <x:v>003040</x:v>
      </x:c>
      <x:c r="D26" s="7" t="str">
        <x:v>002298</x:v>
      </x:c>
      <x:c r="E26" s="8" t="n">
        <x:v>552368.2342468665</x:v>
      </x:c>
      <x:c r="F26" s="8" t="n">
        <x:v>562934.6687202181</x:v>
      </x:c>
      <x:c r="G26" s="8" t="n">
        <x:v>562934.6687202181</x:v>
      </x:c>
      <x:c r="H26" s="8" t="n">
        <x:v>550239.7994923831</x:v>
      </x:c>
      <x:c r="I26" s="8" t="n">
        <x:v>1113174.4682126013</x:v>
      </x:c>
      <x:c r="J26" s="9" t="n">
        <x:v>0.04570746439057749</x:v>
      </x:c>
      <x:c r="K26" s="9" t="n">
        <x:v>0</x:v>
      </x:c>
      <x:c r="L26" s="8" t="n">
        <x:v>1115.3145847161222</x:v>
      </x:c>
      <x:c r="M26" s="10" t="n">
        <x:v>1</x:v>
      </x:c>
    </x:row>
    <x:row r="27">
      <x:c r="A27" s="2" t="str">
        <x:v>形态过滤</x:v>
      </x:c>
      <x:c r="B27" s="6" t="d">
        <x:v>2025-06-11T00:00:00.000Z</x:v>
      </x:c>
      <x:c r="C27" s="7" t="str">
        <x:v>002940</x:v>
      </x:c>
      <x:c r="D27" s="7" t="str">
        <x:v>003040</x:v>
      </x:c>
      <x:c r="E27" s="8" t="n">
        <x:v>562934.6687202181</x:v>
      </x:c>
      <x:c r="F27" s="8" t="n">
        <x:v>604816.0198340116</x:v>
      </x:c>
      <x:c r="G27" s="8" t="n">
        <x:v>604816.0198340116</x:v>
      </x:c>
      <x:c r="H27" s="8" t="n">
        <x:v>583838.5948161142</x:v>
      </x:c>
      <x:c r="I27" s="8" t="n">
        <x:v>1188654.6146501256</x:v>
      </x:c>
      <x:c r="J27" s="9" t="n">
        <x:v>0.06780621420353006</x:v>
      </x:c>
      <x:c r="K27" s="9" t="n">
        <x:v>0</x:v>
      </x:c>
      <x:c r="L27" s="8" t="n">
        <x:v>1167.7937376990544</x:v>
      </x:c>
      <x:c r="M27" s="10" t="n">
        <x:v>1</x:v>
      </x:c>
    </x:row>
    <x:row r="28">
      <x:c r="A28" s="2" t="str">
        <x:v>形态过滤</x:v>
      </x:c>
      <x:c r="B28" s="6" t="d">
        <x:v>2025-06-12T00:00:00.000Z</x:v>
      </x:c>
      <x:c r="C28" s="7" t="str">
        <x:v>002181</x:v>
      </x:c>
      <x:c r="D28" s="7" t="str">
        <x:v>002940</x:v>
      </x:c>
      <x:c r="E28" s="8" t="n">
        <x:v>604816.0198340116</x:v>
      </x:c>
      <x:c r="F28" s="8" t="n">
        <x:v>605369.7393181607</x:v>
      </x:c>
      <x:c r="G28" s="8" t="n">
        <x:v>605369.7393181607</x:v>
      </x:c>
      <x:c r="H28" s="8" t="n">
        <x:v>632712.3650083435</x:v>
      </x:c>
      <x:c r="I28" s="8" t="n">
        <x:v>1238082.1043265043</x:v>
      </x:c>
      <x:c r="J28" s="9" t="n">
        <x:v>0.0415827180302728</x:v>
      </x:c>
      <x:c r="K28" s="9" t="n">
        <x:v>0</x:v>
      </x:c>
      <x:c r="L28" s="8" t="n">
        <x:v>1210.1875230591472</x:v>
      </x:c>
      <x:c r="M28" s="10" t="n">
        <x:v>1</x:v>
      </x:c>
    </x:row>
    <x:row r="29">
      <x:c r="A29" s="2" t="str">
        <x:v>形态过滤</x:v>
      </x:c>
      <x:c r="B29" s="6" t="d">
        <x:v>2025-06-13T00:00:00.000Z</x:v>
      </x:c>
      <x:c r="C29" s="7" t="str">
        <x:v>600281</x:v>
      </x:c>
      <x:c r="D29" s="7" t="str">
        <x:v>002181</x:v>
      </x:c>
      <x:c r="E29" s="8" t="n">
        <x:v>605369.7393181607</x:v>
      </x:c>
      <x:c r="F29" s="8" t="n">
        <x:v>568729.3270968747</x:v>
      </x:c>
      <x:c r="G29" s="8" t="n">
        <x:v>568729.3270968747</x:v>
      </x:c>
      <x:c r="H29" s="8" t="n">
        <x:v>636317.9295269726</x:v>
      </x:c>
      <x:c r="I29" s="8" t="n">
        <x:v>1205047.2566238474</x:v>
      </x:c>
      <x:c r="J29" s="9" t="n">
        <x:v>-0.02668227542197399</x:v>
      </x:c>
      <x:c r="K29" s="9" t="n">
        <x:v>0.02668227542197399</x:v>
      </x:c>
      <x:c r="L29" s="8" t="n">
        <x:v>1174.0636000663044</x:v>
      </x:c>
      <x:c r="M29" s="10" t="n">
        <x:v>1</x:v>
      </x:c>
    </x:row>
    <x:row r="30">
      <x:c r="A30" s="2" t="str">
        <x:v>形态过滤</x:v>
      </x:c>
      <x:c r="B30" s="6" t="d">
        <x:v>2025-06-16T00:00:00.000Z</x:v>
      </x:c>
      <x:c r="C30" s="7" t="str">
        <x:v>002235</x:v>
      </x:c>
      <x:c r="D30" s="7" t="str">
        <x:v>600281</x:v>
      </x:c>
      <x:c r="E30" s="8" t="n">
        <x:v>568729.3270968747</x:v>
      </x:c>
      <x:c r="F30" s="8" t="n">
        <x:v>672456.5808634136</x:v>
      </x:c>
      <x:c r="G30" s="8" t="n">
        <x:v>672456.5808634136</x:v>
      </x:c>
      <x:c r="H30" s="8" t="n">
        <x:v>546663.1758686919</x:v>
      </x:c>
      <x:c r="I30" s="8" t="n">
        <x:v>1219119.7567321055</x:v>
      </x:c>
      <x:c r="J30" s="9" t="n">
        <x:v>0.01167796535024257</x:v>
      </x:c>
      <x:c r="K30" s="9" t="n">
        <x:v>0.015315904759574894</x:v>
      </x:c>
      <x:c r="L30" s="8" t="n">
        <x:v>1241.2908765049006</x:v>
      </x:c>
      <x:c r="M30" s="10" t="n">
        <x:v>1</x:v>
      </x:c>
    </x:row>
    <x:row r="31">
      <x:c r="A31" s="2" t="str">
        <x:v>形态过滤</x:v>
      </x:c>
      <x:c r="B31" s="6" t="d">
        <x:v>2025-06-17T00:00:00.000Z</x:v>
      </x:c>
      <x:c r="C31" s="7" t="str">
        <x:v>002828</x:v>
      </x:c>
      <x:c r="D31" s="7" t="str">
        <x:v>002235</x:v>
      </x:c>
      <x:c r="E31" s="8" t="n">
        <x:v>672456.5808634136</x:v>
      </x:c>
      <x:c r="F31" s="8" t="n">
        <x:v>562223.8817469653</x:v>
      </x:c>
      <x:c r="G31" s="8" t="n">
        <x:v>562223.8817469653</x:v>
      </x:c>
      <x:c r="H31" s="8" t="n">
        <x:v>749086.0602723561</x:v>
      </x:c>
      <x:c r="I31" s="8" t="n">
        <x:v>1311309.9420193215</x:v>
      </x:c>
      <x:c r="J31" s="9" t="n">
        <x:v>0.07562028650436692</x:v>
      </x:c>
      <x:c r="K31" s="9" t="n">
        <x:v>0</x:v>
      </x:c>
      <x:c r="L31" s="8" t="n">
        <x:v>1234.5714644826614</x:v>
      </x:c>
      <x:c r="M31" s="10" t="n">
        <x:v>1</x:v>
      </x:c>
    </x:row>
    <x:row r="32">
      <x:c r="A32" s="2" t="str">
        <x:v>形态过滤</x:v>
      </x:c>
      <x:c r="B32" s="6" t="d">
        <x:v>2025-06-18T00:00:00.000Z</x:v>
      </x:c>
      <x:c r="C32" s="7"/>
      <x:c r="D32" s="7" t="str">
        <x:v>002828</x:v>
      </x:c>
      <x:c r="E32" s="8" t="n">
        <x:v>0</x:v>
      </x:c>
      <x:c r="F32" s="8" t="n">
        <x:v>823109.3827738152</x:v>
      </x:c>
      <x:c r="G32" s="8" t="n">
        <x:v>1385333.2645207806</x:v>
      </x:c>
      <x:c r="H32" s="8" t="n">
        <x:v>0</x:v>
      </x:c>
      <x:c r="I32" s="8" t="n">
        <x:v>1385333.2645207806</x:v>
      </x:c>
      <x:c r="J32" s="9" t="n">
        <x:v>0.05644990564737773</x:v>
      </x:c>
      <x:c r="K32" s="9" t="n">
        <x:v>0</x:v>
      </x:c>
      <x:c r="L32" s="8" t="n">
        <x:v>823.9333160899051</x:v>
      </x:c>
      <x:c r="M32" s="10" t="n">
        <x:v>0</x:v>
      </x:c>
    </x:row>
    <x:row r="33">
      <x:c r="A33" s="2" t="str">
        <x:v>形态过滤</x:v>
      </x:c>
      <x:c r="B33" s="6" t="d">
        <x:v>2025-06-19T00:00:00.000Z</x:v>
      </x:c>
      <x:c r="C33" s="7" t="str">
        <x:v>600722</x:v>
      </x:c>
      <x:c r="D33" s="7"/>
      <x:c r="E33" s="8" t="n">
        <x:v>692666.6322603903</x:v>
      </x:c>
      <x:c r="F33" s="8" t="n">
        <x:v>0</x:v>
      </x:c>
      <x:c r="G33" s="8" t="n">
        <x:v>692666.6322603903</x:v>
      </x:c>
      <x:c r="H33" s="8" t="n">
        <x:v>767291.627137785</x:v>
      </x:c>
      <x:c r="I33" s="8" t="n">
        <x:v>1459958.2593981754</x:v>
      </x:c>
      <x:c r="J33" s="9" t="n">
        <x:v>0.05386790080667647</x:v>
      </x:c>
      <x:c r="K33" s="9" t="n">
        <x:v>0</x:v>
      </x:c>
      <x:c r="L33" s="8" t="n">
        <x:v>691.9746576027246</x:v>
      </x:c>
      <x:c r="M33" s="10" t="n">
        <x:v>1</x:v>
      </x:c>
    </x:row>
    <x:row r="34">
      <x:c r="A34" s="2" t="str">
        <x:v>形态过滤</x:v>
      </x:c>
      <x:c r="B34" s="6" t="d">
        <x:v>2025-06-20T00:00:00.000Z</x:v>
      </x:c>
      <x:c r="C34" s="7" t="str">
        <x:v>002490</x:v>
      </x:c>
      <x:c r="D34" s="7" t="str">
        <x:v>600722</x:v>
      </x:c>
      <x:c r="E34" s="8" t="n">
        <x:v>692666.6322603903</x:v>
      </x:c>
      <x:c r="F34" s="8" t="n">
        <x:v>690342.1622881165</x:v>
      </x:c>
      <x:c r="G34" s="8" t="n">
        <x:v>690342.1622881165</x:v>
      </x:c>
      <x:c r="H34" s="8" t="n">
        <x:v>717527.6360962435</x:v>
      </x:c>
      <x:c r="I34" s="8" t="n">
        <x:v>1407869.79838436</x:v>
      </x:c>
      <x:c r="J34" s="9" t="n">
        <x:v>-0.03567804810754471</x:v>
      </x:c>
      <x:c r="K34" s="9" t="n">
        <x:v>0.03567804810754471</x:v>
      </x:c>
      <x:c r="L34" s="8" t="n">
        <x:v>1383.0078530863248</x:v>
      </x:c>
      <x:c r="M34" s="10" t="n">
        <x:v>1</x:v>
      </x:c>
    </x:row>
    <x:row r="35">
      <x:c r="A35" s="2" t="str">
        <x:v>形态过滤</x:v>
      </x:c>
      <x:c r="B35" s="6" t="d">
        <x:v>2025-06-23T00:00:00.000Z</x:v>
      </x:c>
      <x:c r="C35" s="7" t="str">
        <x:v>002579</x:v>
      </x:c>
      <x:c r="D35" s="7" t="str">
        <x:v>002490</x:v>
      </x:c>
      <x:c r="E35" s="8" t="n">
        <x:v>690342.1622881165</x:v>
      </x:c>
      <x:c r="F35" s="8" t="n">
        <x:v>788286.8999020424</x:v>
      </x:c>
      <x:c r="G35" s="8" t="n">
        <x:v>788286.8999020424</x:v>
      </x:c>
      <x:c r="H35" s="8" t="n">
        <x:v>748914.4346034835</x:v>
      </x:c>
      <x:c r="I35" s="8" t="n">
        <x:v>1537201.3345055259</x:v>
      </x:c>
      <x:c r="J35" s="9" t="n">
        <x:v>0.09186327902593261</x:v>
      </x:c>
      <x:c r="K35" s="9" t="n">
        <x:v>0</x:v>
      </x:c>
      <x:c r="L35" s="8" t="n">
        <x:v>1478.7284856561928</x:v>
      </x:c>
      <x:c r="M35" s="10" t="n">
        <x:v>1</x:v>
      </x:c>
    </x:row>
    <x:row r="36">
      <x:c r="A36" s="2" t="str">
        <x:v>形态过滤</x:v>
      </x:c>
      <x:c r="B36" s="6" t="d">
        <x:v>2025-06-24T00:00:00.000Z</x:v>
      </x:c>
      <x:c r="C36" s="7" t="str">
        <x:v>600798</x:v>
      </x:c>
      <x:c r="D36" s="7" t="str">
        <x:v>002579</x:v>
      </x:c>
      <x:c r="E36" s="8" t="n">
        <x:v>788286.8999020424</x:v>
      </x:c>
      <x:c r="F36" s="8" t="n">
        <x:v>822982.072185768</x:v>
      </x:c>
      <x:c r="G36" s="8" t="n">
        <x:v>822982.072185768</x:v>
      </x:c>
      <x:c r="H36" s="8" t="n">
        <x:v>779560.8984803561</x:v>
      </x:c>
      <x:c r="I36" s="8" t="n">
        <x:v>1602542.970666124</x:v>
      </x:c>
      <x:c r="J36" s="9" t="n">
        <x:v>0.04250688227617028</x:v>
      </x:c>
      <x:c r="K36" s="9" t="n">
        <x:v>0</x:v>
      </x:c>
      <x:c r="L36" s="8" t="n">
        <x:v>1611.3052785653206</x:v>
      </x:c>
      <x:c r="M36" s="10" t="n">
        <x:v>1</x:v>
      </x:c>
    </x:row>
    <x:row r="37">
      <x:c r="A37" s="2" t="str">
        <x:v>形态过滤</x:v>
      </x:c>
      <x:c r="B37" s="6" t="d">
        <x:v>2025-06-25T00:00:00.000Z</x:v>
      </x:c>
      <x:c r="C37" s="7" t="str">
        <x:v>603928</x:v>
      </x:c>
      <x:c r="D37" s="7" t="str">
        <x:v>600798</x:v>
      </x:c>
      <x:c r="E37" s="8" t="n">
        <x:v>822982.072185768</x:v>
      </x:c>
      <x:c r="F37" s="8" t="n">
        <x:v>702647.927797904</x:v>
      </x:c>
      <x:c r="G37" s="8" t="n">
        <x:v>702647.927797904</x:v>
      </x:c>
      <x:c r="H37" s="8" t="n">
        <x:v>848621.298495736</x:v>
      </x:c>
      <x:c r="I37" s="8" t="n">
        <x:v>1551269.22629364</x:v>
      </x:c>
      <x:c r="J37" s="9" t="n">
        <x:v>-0.03199523838738083</x:v>
      </x:c>
      <x:c r="K37" s="9" t="n">
        <x:v>0.03199523838738083</x:v>
      </x:c>
      <x:c r="L37" s="8" t="n">
        <x:v>1525.5111913503852</x:v>
      </x:c>
      <x:c r="M37" s="10" t="n">
        <x:v>1</x:v>
      </x:c>
    </x:row>
    <x:row r="38">
      <x:c r="A38" s="2" t="str">
        <x:v>形态过滤</x:v>
      </x:c>
      <x:c r="B38" s="6" t="d">
        <x:v>2025-06-26T00:00:00.000Z</x:v>
      </x:c>
      <x:c r="C38" s="7" t="str">
        <x:v>002125</x:v>
      </x:c>
      <x:c r="D38" s="7" t="str">
        <x:v>603928</x:v>
      </x:c>
      <x:c r="E38" s="8" t="n">
        <x:v>702647.927797904</x:v>
      </x:c>
      <x:c r="F38" s="8" t="n">
        <x:v>791192.6626359363</x:v>
      </x:c>
      <x:c r="G38" s="8" t="n">
        <x:v>791192.6626359363</x:v>
      </x:c>
      <x:c r="H38" s="8" t="n">
        <x:v>633065.2927326035</x:v>
      </x:c>
      <x:c r="I38" s="8" t="n">
        <x:v>1424257.9553685398</x:v>
      </x:c>
      <x:c r="J38" s="9" t="n">
        <x:v>-0.08187571104505253</x:v>
      </x:c>
      <x:c r="K38" s="9" t="n">
        <x:v>0.11125131653941056</x:v>
      </x:c>
      <x:c r="L38" s="8" t="n">
        <x:v>1493.930629099259</x:v>
      </x:c>
      <x:c r="M38" s="10" t="n">
        <x:v>1</x:v>
      </x:c>
    </x:row>
    <x:row r="39">
      <x:c r="A39" s="2" t="str">
        <x:v>形态过滤</x:v>
      </x:c>
      <x:c r="B39" s="6" t="d">
        <x:v>2025-06-27T00:00:00.000Z</x:v>
      </x:c>
      <x:c r="C39" s="7" t="str">
        <x:v>002759</x:v>
      </x:c>
      <x:c r="D39" s="7" t="str">
        <x:v>002125</x:v>
      </x:c>
      <x:c r="E39" s="8" t="n">
        <x:v>791192.6626359363</x:v>
      </x:c>
      <x:c r="F39" s="8" t="n">
        <x:v>589076.8105902193</x:v>
      </x:c>
      <x:c r="G39" s="8" t="n">
        <x:v>589076.8105902193</x:v>
      </x:c>
      <x:c r="H39" s="8" t="n">
        <x:v>720498.0324439219</x:v>
      </x:c>
      <x:c r="I39" s="8" t="n">
        <x:v>1309574.8430341412</x:v>
      </x:c>
      <x:c r="J39" s="9" t="n">
        <x:v>-0.08052130718464079</x:v>
      </x:c>
      <x:c r="K39" s="9" t="n">
        <x:v>0.18281452229028572</x:v>
      </x:c>
      <x:c r="L39" s="8" t="n">
        <x:v>1380.0687374427287</x:v>
      </x:c>
      <x:c r="M39" s="10" t="n">
        <x:v>1</x:v>
      </x:c>
    </x:row>
    <x:row r="40">
      <x:c r="A40" s="2" t="str">
        <x:v>形态过滤</x:v>
      </x:c>
      <x:c r="B40" s="6" t="d">
        <x:v>2025-06-30T00:00:00.000Z</x:v>
      </x:c>
      <x:c r="C40" s="7" t="str">
        <x:v>002263</x:v>
      </x:c>
      <x:c r="D40" s="7" t="str">
        <x:v>002759</x:v>
      </x:c>
      <x:c r="E40" s="8" t="n">
        <x:v>589076.8105902193</x:v>
      </x:c>
      <x:c r="F40" s="8" t="n">
        <x:v>694886.0922992656</x:v>
      </x:c>
      <x:c r="G40" s="8" t="n">
        <x:v>694886.0922992656</x:v>
      </x:c>
      <x:c r="H40" s="8" t="n">
        <x:v>637915.1629833699</x:v>
      </x:c>
      <x:c r="I40" s="8" t="n">
        <x:v>1332801.2552826353</x:v>
      </x:c>
      <x:c r="J40" s="9" t="n">
        <x:v>0.017735841805483155</x:v>
      </x:c>
      <x:c r="K40" s="9" t="n">
        <x:v>0.1683210499318879</x:v>
      </x:c>
      <x:c r="L40" s="8" t="n">
        <x:v>1284.0699962411297</x:v>
      </x:c>
      <x:c r="M40" s="10" t="n">
        <x:v>1</x:v>
      </x:c>
    </x:row>
    <x:row r="41">
      <x:c r="A41" s="2" t="str">
        <x:v>形态过滤</x:v>
      </x:c>
      <x:c r="B41" s="6" t="d">
        <x:v>2025-07-01T00:00:00.000Z</x:v>
      </x:c>
      <x:c r="C41" s="7" t="str">
        <x:v>600241</x:v>
      </x:c>
      <x:c r="D41" s="7" t="str">
        <x:v>002263</x:v>
      </x:c>
      <x:c r="E41" s="8" t="n">
        <x:v>694886.0922992656</x:v>
      </x:c>
      <x:c r="F41" s="8" t="n">
        <x:v>649621.6012890623</x:v>
      </x:c>
      <x:c r="G41" s="8" t="n">
        <x:v>649621.6012890623</x:v>
      </x:c>
      <x:c r="H41" s="8" t="n">
        <x:v>668069.9097911953</x:v>
      </x:c>
      <x:c r="I41" s="8" t="n">
        <x:v>1317691.5110802576</x:v>
      </x:c>
      <x:c r="J41" s="9" t="n">
        <x:v>-0.011336832211471415</x:v>
      </x:c>
      <x:c r="K41" s="9" t="n">
        <x:v>0.17774965464262282</x:v>
      </x:c>
      <x:c r="L41" s="8" t="n">
        <x:v>1344.4637735610395</x:v>
      </x:c>
      <x:c r="M41" s="10" t="n">
        <x:v>1</x:v>
      </x:c>
    </x:row>
    <x:row r="42">
      <x:c r="A42" s="2" t="str">
        <x:v>形态过滤</x:v>
      </x:c>
      <x:c r="B42" s="6" t="d">
        <x:v>2025-07-02T00:00:00.000Z</x:v>
      </x:c>
      <x:c r="C42" s="7"/>
      <x:c r="D42" s="7" t="str">
        <x:v>600241</x:v>
      </x:c>
      <x:c r="E42" s="8" t="n">
        <x:v>0</x:v>
      </x:c>
      <x:c r="F42" s="8" t="n">
        <x:v>613905.3092164234</x:v>
      </x:c>
      <x:c r="G42" s="8" t="n">
        <x:v>1263526.9105054857</x:v>
      </x:c>
      <x:c r="H42" s="8" t="n">
        <x:v>0</x:v>
      </x:c>
      <x:c r="I42" s="8" t="n">
        <x:v>1263526.9105054857</x:v>
      </x:c>
      <x:c r="J42" s="9" t="n">
        <x:v>-0.04110567619151406</x:v>
      </x:c>
      <x:c r="K42" s="9" t="n">
        <x:v>0.21154881108724377</x:v>
      </x:c>
      <x:c r="L42" s="8" t="n">
        <x:v>614.519829045469</x:v>
      </x:c>
      <x:c r="M42" s="10" t="n">
        <x:v>0</x:v>
      </x:c>
    </x:row>
    <x:row r="43">
      <x:c r="A43" s="2" t="str">
        <x:v>形态过滤</x:v>
      </x:c>
      <x:c r="B43" s="6" t="d">
        <x:v>2025-07-03T00:00:00.000Z</x:v>
      </x:c>
      <x:c r="C43" s="7" t="str">
        <x:v>603316</x:v>
      </x:c>
      <x:c r="D43" s="7"/>
      <x:c r="E43" s="8" t="n">
        <x:v>631763.4552527429</x:v>
      </x:c>
      <x:c r="F43" s="8" t="n">
        <x:v>0</x:v>
      </x:c>
      <x:c r="G43" s="8" t="n">
        <x:v>631763.4552527429</x:v>
      </x:c>
      <x:c r="H43" s="8" t="n">
        <x:v>653516.7738295728</x:v>
      </x:c>
      <x:c r="I43" s="8" t="n">
        <x:v>1285280.2290823157</x:v>
      </x:c>
      <x:c r="J43" s="9" t="n">
        <x:v>0.017216347666174636</x:v>
      </x:c>
      <x:c r="K43" s="9" t="n">
        <x:v>0.19797456130111302</x:v>
      </x:c>
      <x:c r="L43" s="8" t="n">
        <x:v>631.1323229297996</x:v>
      </x:c>
      <x:c r="M43" s="10" t="n">
        <x:v>1</x:v>
      </x:c>
    </x:row>
    <x:row r="44">
      <x:c r="A44" s="2" t="str">
        <x:v>形态过滤</x:v>
      </x:c>
      <x:c r="B44" s="6" t="d">
        <x:v>2025-07-04T00:00:00.000Z</x:v>
      </x:c>
      <x:c r="C44" s="7"/>
      <x:c r="D44" s="7" t="str">
        <x:v>603316</x:v>
      </x:c>
      <x:c r="E44" s="8" t="n">
        <x:v>0</x:v>
      </x:c>
      <x:c r="F44" s="8" t="n">
        <x:v>633773.6881359846</x:v>
      </x:c>
      <x:c r="G44" s="8" t="n">
        <x:v>1265537.1433887274</x:v>
      </x:c>
      <x:c r="H44" s="8" t="n">
        <x:v>0</x:v>
      </x:c>
      <x:c r="I44" s="8" t="n">
        <x:v>1265537.1433887274</x:v>
      </x:c>
      <x:c r="J44" s="9" t="n">
        <x:v>-0.01536091915743909</x:v>
      </x:c>
      <x:c r="K44" s="9" t="n">
        <x:v>0.21029440922717624</x:v>
      </x:c>
      <x:c r="L44" s="8" t="n">
        <x:v>634.4080962322168</x:v>
      </x:c>
      <x:c r="M44" s="10" t="n">
        <x:v>0</x:v>
      </x:c>
    </x:row>
    <x:row r="45">
      <x:c r="A45" s="2" t="str">
        <x:v>形态过滤</x:v>
      </x:c>
      <x:c r="B45" s="6" t="d">
        <x:v>2025-07-07T00:00:00.000Z</x:v>
      </x:c>
      <x:c r="C45" s="7" t="str">
        <x:v>603716</x:v>
      </x:c>
      <x:c r="D45" s="7"/>
      <x:c r="E45" s="8" t="n">
        <x:v>632768.5716943637</x:v>
      </x:c>
      <x:c r="F45" s="8" t="n">
        <x:v>0</x:v>
      </x:c>
      <x:c r="G45" s="8" t="n">
        <x:v>632768.5716943637</x:v>
      </x:c>
      <x:c r="H45" s="8" t="n">
        <x:v>623829.7803936764</x:v>
      </x:c>
      <x:c r="I45" s="8" t="n">
        <x:v>1256598.3520880402</x:v>
      </x:c>
      <x:c r="J45" s="9" t="n">
        <x:v>-0.0070632389949075725</x:v>
      </x:c>
      <x:c r="K45" s="9" t="n">
        <x:v>0.2158722885504194</x:v>
      </x:c>
      <x:c r="L45" s="8" t="n">
        <x:v>632.1364352590172</x:v>
      </x:c>
      <x:c r="M45" s="10" t="n">
        <x:v>1</x:v>
      </x:c>
    </x:row>
    <x:row r="46">
      <x:c r="A46" s="2" t="str">
        <x:v>形态过滤</x:v>
      </x:c>
      <x:c r="B46" s="6" t="d">
        <x:v>2025-07-08T00:00:00.000Z</x:v>
      </x:c>
      <x:c r="C46" s="7" t="str">
        <x:v>600744</x:v>
      </x:c>
      <x:c r="D46" s="7" t="str">
        <x:v>603716</x:v>
      </x:c>
      <x:c r="E46" s="8" t="n">
        <x:v>632768.5716943637</x:v>
      </x:c>
      <x:c r="F46" s="8" t="n">
        <x:v>586139.9952727677</x:v>
      </x:c>
      <x:c r="G46" s="8" t="n">
        <x:v>586139.9952727677</x:v>
      </x:c>
      <x:c r="H46" s="8" t="n">
        <x:v>643486.9513618234</x:v>
      </x:c>
      <x:c r="I46" s="8" t="n">
        <x:v>1229626.946634591</x:v>
      </x:c>
      <x:c r="J46" s="9" t="n">
        <x:v>-0.021463823670174187</x:v>
      </x:c>
      <x:c r="K46" s="9" t="n">
        <x:v>0.23270266748387036</x:v>
      </x:c>
      <x:c r="L46" s="8" t="n">
        <x:v>1218.8631572537797</x:v>
      </x:c>
      <x:c r="M46" s="10" t="n">
        <x:v>1</x:v>
      </x:c>
    </x:row>
    <x:row r="47">
      <x:c r="A47" s="2" t="str">
        <x:v>形态过滤</x:v>
      </x:c>
      <x:c r="B47" s="6" t="d">
        <x:v>2025-07-09T00:00:00.000Z</x:v>
      </x:c>
      <x:c r="C47" s="7" t="str">
        <x:v>600744</x:v>
      </x:c>
      <x:c r="D47" s="7" t="str">
        <x:v>600744</x:v>
      </x:c>
      <x:c r="E47" s="8" t="n">
        <x:v>586139.9952727677</x:v>
      </x:c>
      <x:c r="F47" s="8" t="n">
        <x:v>707389.4839035065</x:v>
      </x:c>
      <x:c r="G47" s="8" t="n">
        <x:v>707389.4839035065</x:v>
      </x:c>
      <x:c r="H47" s="8" t="n">
        <x:v>587002.0414273177</x:v>
      </x:c>
      <x:c r="I47" s="8" t="n">
        <x:v>1294391.5253308243</x:v>
      </x:c>
      <x:c r="J47" s="9" t="n">
        <x:v>0.05267010362247637</x:v>
      </x:c>
      <x:c r="K47" s="9" t="n">
        <x:v>0.19228903747099613</x:v>
      </x:c>
      <x:c r="L47" s="8" t="n">
        <x:v>1293.6520223168734</x:v>
      </x:c>
      <x:c r="M47" s="10" t="n">
        <x:v>1</x:v>
      </x:c>
    </x:row>
    <x:row r="48">
      <x:c r="A48" s="2" t="str">
        <x:v>形态过滤</x:v>
      </x:c>
      <x:c r="B48" s="6" t="d">
        <x:v>2025-07-10T00:00:00.000Z</x:v>
      </x:c>
      <x:c r="C48" s="7"/>
      <x:c r="D48" s="7" t="str">
        <x:v>600744</x:v>
      </x:c>
      <x:c r="E48" s="8" t="n">
        <x:v>0</x:v>
      </x:c>
      <x:c r="F48" s="8" t="n">
        <x:v>576291.9684223855</x:v>
      </x:c>
      <x:c r="G48" s="8" t="n">
        <x:v>1283681.4523258922</x:v>
      </x:c>
      <x:c r="H48" s="8" t="n">
        <x:v>0</x:v>
      </x:c>
      <x:c r="I48" s="8" t="n">
        <x:v>1283681.4523258922</x:v>
      </x:c>
      <x:c r="J48" s="9" t="n">
        <x:v>-0.008274214405254887</x:v>
      </x:c>
      <x:c r="K48" s="9" t="n">
        <x:v>0.1989722111524359</x:v>
      </x:c>
      <x:c r="L48" s="8" t="n">
        <x:v>576.8688372596451</x:v>
      </x:c>
      <x:c r="M48" s="10" t="n">
        <x:v>0</x:v>
      </x:c>
    </x:row>
    <x:row r="49">
      <x:c r="A49" s="2" t="str">
        <x:v>形态过滤</x:v>
      </x:c>
      <x:c r="B49" s="6" t="d">
        <x:v>2025-07-11T00:00:00.000Z</x:v>
      </x:c>
      <x:c r="C49" s="7" t="str">
        <x:v>605500</x:v>
      </x:c>
      <x:c r="D49" s="7"/>
      <x:c r="E49" s="8" t="n">
        <x:v>641840.7261629461</x:v>
      </x:c>
      <x:c r="F49" s="8" t="n">
        <x:v>0</x:v>
      </x:c>
      <x:c r="G49" s="8" t="n">
        <x:v>641840.7261629461</x:v>
      </x:c>
      <x:c r="H49" s="8" t="n">
        <x:v>542240.6144915939</x:v>
      </x:c>
      <x:c r="I49" s="8" t="n">
        <x:v>1184081.3406545399</x:v>
      </x:c>
      <x:c r="J49" s="9" t="n">
        <x:v>-0.07758942959788628</x:v>
      </x:c>
      <x:c r="K49" s="9" t="n">
        <x:v>0.2611235003811745</x:v>
      </x:c>
      <x:c r="L49" s="8" t="n">
        <x:v>641.1995266362792</x:v>
      </x:c>
      <x:c r="M49" s="10" t="n">
        <x:v>1</x:v>
      </x:c>
    </x:row>
    <x:row r="50">
      <x:c r="A50" s="2" t="str">
        <x:v>形态过滤</x:v>
      </x:c>
      <x:c r="B50" s="6" t="d">
        <x:v>2025-07-14T00:00:00.000Z</x:v>
      </x:c>
      <x:c r="C50" s="7"/>
      <x:c r="D50" s="7" t="str">
        <x:v>605500</x:v>
      </x:c>
      <x:c r="E50" s="8" t="n">
        <x:v>0</x:v>
      </x:c>
      <x:c r="F50" s="8" t="n">
        <x:v>595868.2112648125</x:v>
      </x:c>
      <x:c r="G50" s="8" t="n">
        <x:v>1237708.9374277587</x:v>
      </x:c>
      <x:c r="H50" s="8" t="n">
        <x:v>0</x:v>
      </x:c>
      <x:c r="I50" s="8" t="n">
        <x:v>1237708.9374277587</x:v>
      </x:c>
      <x:c r="J50" s="9" t="n">
        <x:v>0.04529046690624683</x:v>
      </x:c>
      <x:c r="K50" s="9" t="n">
        <x:v>0.2276594387273846</x:v>
      </x:c>
      <x:c r="L50" s="8" t="n">
        <x:v>596.4646759407533</x:v>
      </x:c>
      <x:c r="M50" s="10" t="n">
        <x:v>0</x:v>
      </x:c>
    </x:row>
    <x:row r="51">
      <x:c r="A51" s="2" t="str">
        <x:v>形态过滤</x:v>
      </x:c>
      <x:c r="B51" s="6" t="d">
        <x:v>2025-07-15T00:00:00.000Z</x:v>
      </x:c>
      <x:c r="C51" s="7"/>
      <x:c r="D51" s="7"/>
      <x:c r="E51" s="8" t="n">
        <x:v>0</x:v>
      </x:c>
      <x:c r="F51" s="8" t="n">
        <x:v>0</x:v>
      </x:c>
      <x:c r="G51" s="8" t="n">
        <x:v>1237708.9374277587</x:v>
      </x:c>
      <x:c r="H51" s="8" t="n">
        <x:v>0</x:v>
      </x:c>
      <x:c r="I51" s="8" t="n">
        <x:v>1237708.9374277587</x:v>
      </x:c>
      <x:c r="J51" s="9" t="n">
        <x:v>0</x:v>
      </x:c>
      <x:c r="K51" s="9" t="n">
        <x:v>0.2276594387273846</x:v>
      </x:c>
      <x:c r="L51" s="8" t="n">
        <x:v>0</x:v>
      </x:c>
      <x:c r="M51" s="10" t="n">
        <x:v>0</x:v>
      </x:c>
    </x:row>
    <x:row r="52">
      <x:c r="A52" s="2" t="str">
        <x:v>形态过滤</x:v>
      </x:c>
      <x:c r="B52" s="6" t="d">
        <x:v>2025-07-16T00:00:00.000Z</x:v>
      </x:c>
      <x:c r="C52" s="7" t="str">
        <x:v>002645</x:v>
      </x:c>
      <x:c r="D52" s="7"/>
      <x:c r="E52" s="8" t="n">
        <x:v>618854.4687138794</x:v>
      </x:c>
      <x:c r="F52" s="8" t="n">
        <x:v>0</x:v>
      </x:c>
      <x:c r="G52" s="8" t="n">
        <x:v>618854.4687138794</x:v>
      </x:c>
      <x:c r="H52" s="8" t="n">
        <x:v>645600.0267172589</x:v>
      </x:c>
      <x:c r="I52" s="8" t="n">
        <x:v>1264454.4954311382</x:v>
      </x:c>
      <x:c r="J52" s="9" t="n">
        <x:v>0.021608923709449</x:v>
      </x:c>
      <x:c r="K52" s="9" t="n">
        <x:v>0.21096999046113163</x:v>
      </x:c>
      <x:c r="L52" s="8" t="n">
        <x:v>618.2362324813148</x:v>
      </x:c>
      <x:c r="M52" s="10" t="n">
        <x:v>1</x:v>
      </x:c>
    </x:row>
    <x:row r="53">
      <x:c r="A53" s="2" t="str">
        <x:v>形态过滤</x:v>
      </x:c>
      <x:c r="B53" s="6" t="d">
        <x:v>2025-07-17T00:00:00.000Z</x:v>
      </x:c>
      <x:c r="C53" s="7" t="str">
        <x:v>600822</x:v>
      </x:c>
      <x:c r="D53" s="7" t="str">
        <x:v>002645</x:v>
      </x:c>
      <x:c r="E53" s="8" t="n">
        <x:v>618854.4687138794</x:v>
      </x:c>
      <x:c r="F53" s="8" t="n">
        <x:v>603718.1163633447</x:v>
      </x:c>
      <x:c r="G53" s="8" t="n">
        <x:v>603718.1163633447</x:v>
      </x:c>
      <x:c r="H53" s="8" t="n">
        <x:v>629583.6063687148</x:v>
      </x:c>
      <x:c r="I53" s="8" t="n">
        <x:v>1233301.7227320597</x:v>
      </x:c>
      <x:c r="J53" s="9" t="n">
        <x:v>-0.024637322111347726</x:v>
      </x:c>
      <x:c r="K53" s="9" t="n">
        <x:v>0.23040957696166053</x:v>
      </x:c>
      <x:c r="L53" s="8" t="n">
        <x:v>1222.5586712834615</x:v>
      </x:c>
      <x:c r="M53" s="10" t="n">
        <x:v>1</x:v>
      </x:c>
    </x:row>
    <x:row r="54">
      <x:c r="A54" s="2" t="str">
        <x:v>形态过滤</x:v>
      </x:c>
      <x:c r="B54" s="6" t="d">
        <x:v>2025-07-18T00:00:00.000Z</x:v>
      </x:c>
      <x:c r="C54" s="7" t="str">
        <x:v>600826</x:v>
      </x:c>
      <x:c r="D54" s="7" t="str">
        <x:v>600822</x:v>
      </x:c>
      <x:c r="E54" s="8" t="n">
        <x:v>603718.1163633447</x:v>
      </x:c>
      <x:c r="F54" s="8" t="n">
        <x:v>601982.0976097035</x:v>
      </x:c>
      <x:c r="G54" s="8" t="n">
        <x:v>601982.0976097035</x:v>
      </x:c>
      <x:c r="H54" s="8" t="n">
        <x:v>608999.0501557583</x:v>
      </x:c>
      <x:c r="I54" s="8" t="n">
        <x:v>1210981.1477654618</x:v>
      </x:c>
      <x:c r="J54" s="9" t="n">
        <x:v>-0.01809822734792943</x:v>
      </x:c>
      <x:c r="K54" s="9" t="n">
        <x:v>0.2443377994025976</x:v>
      </x:c>
      <x:c r="L54" s="8" t="n">
        <x:v>1205.699683653929</x:v>
      </x:c>
      <x:c r="M54" s="10" t="n">
        <x:v>1</x:v>
      </x:c>
    </x:row>
    <x:row r="55">
      <x:c r="A55" s="2" t="str">
        <x:v>形态过滤</x:v>
      </x:c>
      <x:c r="B55" s="6" t="d">
        <x:v>2025-07-21T00:00:00.000Z</x:v>
      </x:c>
      <x:c r="C55" s="7"/>
      <x:c r="D55" s="7" t="str">
        <x:v>600826</x:v>
      </x:c>
      <x:c r="E55" s="8" t="n">
        <x:v>0</x:v>
      </x:c>
      <x:c r="F55" s="8" t="n">
        <x:v>583617.7853946083</x:v>
      </x:c>
      <x:c r="G55" s="8" t="n">
        <x:v>1185599.883004312</x:v>
      </x:c>
      <x:c r="H55" s="8" t="n">
        <x:v>0</x:v>
      </x:c>
      <x:c r="I55" s="8" t="n">
        <x:v>1185599.883004312</x:v>
      </x:c>
      <x:c r="J55" s="9" t="n">
        <x:v>-0.02095925672169563</x:v>
      </x:c>
      <x:c r="K55" s="9" t="n">
        <x:v>0.26017591745979995</x:v>
      </x:c>
      <x:c r="L55" s="8" t="n">
        <x:v>584.2019873819903</x:v>
      </x:c>
      <x:c r="M55" s="10" t="n">
        <x:v>0</x:v>
      </x:c>
    </x:row>
    <x:row r="56">
      <x:c r="A56" s="2" t="str">
        <x:v>形态过滤</x:v>
      </x:c>
      <x:c r="B56" s="6" t="d">
        <x:v>2025-07-22T00:00:00.000Z</x:v>
      </x:c>
      <x:c r="C56" s="7" t="str">
        <x:v>601003</x:v>
      </x:c>
      <x:c r="D56" s="7"/>
      <x:c r="E56" s="8" t="n">
        <x:v>592799.941502156</x:v>
      </x:c>
      <x:c r="F56" s="8" t="n">
        <x:v>0</x:v>
      </x:c>
      <x:c r="G56" s="8" t="n">
        <x:v>592799.941502156</x:v>
      </x:c>
      <x:c r="H56" s="8" t="n">
        <x:v>635979.6097425729</x:v>
      </x:c>
      <x:c r="I56" s="8" t="n">
        <x:v>1228779.5512447287</x:v>
      </x:c>
      <x:c r="J56" s="9" t="n">
        <x:v>0.036420101637492985</x:v>
      </x:c>
      <x:c r="K56" s="9" t="n">
        <x:v>0.23323144917982086</x:v>
      </x:c>
      <x:c r="L56" s="8" t="n">
        <x:v>592.2077337682713</x:v>
      </x:c>
      <x:c r="M56" s="10" t="n">
        <x:v>1</x:v>
      </x:c>
    </x:row>
    <x:row r="57">
      <x:c r="A57" s="2" t="str">
        <x:v>形态过滤</x:v>
      </x:c>
      <x:c r="B57" s="6" t="d">
        <x:v>2025-07-23T00:00:00.000Z</x:v>
      </x:c>
      <x:c r="C57" s="7" t="str">
        <x:v>002246</x:v>
      </x:c>
      <x:c r="D57" s="7" t="str">
        <x:v>601003</x:v>
      </x:c>
      <x:c r="E57" s="8" t="n">
        <x:v>592799.941502156</x:v>
      </x:c>
      <x:c r="F57" s="8" t="n">
        <x:v>667925.3547550268</x:v>
      </x:c>
      <x:c r="G57" s="8" t="n">
        <x:v>667925.3547550268</x:v>
      </x:c>
      <x:c r="H57" s="8" t="n">
        <x:v>497183.7155218936</x:v>
      </x:c>
      <x:c r="I57" s="8" t="n">
        <x:v>1165109.0702769202</x:v>
      </x:c>
      <x:c r="J57" s="9" t="n">
        <x:v>-0.05181603234144938</x:v>
      </x:c>
      <x:c r="K57" s="9" t="n">
        <x:v>0.2729623532075256</x:v>
      </x:c>
      <x:c r="L57" s="8" t="n">
        <x:v>1260.8016824720016</x:v>
      </x:c>
      <x:c r="M57" s="10" t="n">
        <x:v>1</x:v>
      </x:c>
    </x:row>
    <x:row r="58">
      <x:c r="A58" s="2" t="str">
        <x:v>形态过滤</x:v>
      </x:c>
      <x:c r="B58" s="6" t="d">
        <x:v>2025-07-24T00:00:00.000Z</x:v>
      </x:c>
      <x:c r="C58" s="7"/>
      <x:c r="D58" s="7" t="str">
        <x:v>002246</x:v>
      </x:c>
      <x:c r="E58" s="8" t="n">
        <x:v>0</x:v>
      </x:c>
      <x:c r="F58" s="8" t="n">
        <x:v>450850.10451410443</x:v>
      </x:c>
      <x:c r="G58" s="8" t="n">
        <x:v>1118775.459269131</x:v>
      </x:c>
      <x:c r="H58" s="8" t="n">
        <x:v>0</x:v>
      </x:c>
      <x:c r="I58" s="8" t="n">
        <x:v>1118775.459269131</x:v>
      </x:c>
      <x:c r="J58" s="9" t="n">
        <x:v>-0.039767616774948555</x:v>
      </x:c>
      <x:c r="K58" s="9" t="n">
        <x:v>0.301874907726129</x:v>
      </x:c>
      <x:c r="L58" s="8" t="n">
        <x:v>451.3014059200244</x:v>
      </x:c>
      <x:c r="M58" s="10" t="n">
        <x:v>0</x:v>
      </x:c>
    </x:row>
    <x:row r="59">
      <x:c r="A59" s="2" t="str">
        <x:v>形态过滤</x:v>
      </x:c>
      <x:c r="B59" s="6" t="d">
        <x:v>2025-07-25T00:00:00.000Z</x:v>
      </x:c>
      <x:c r="C59" s="7"/>
      <x:c r="D59" s="7"/>
      <x:c r="E59" s="8" t="n">
        <x:v>0</x:v>
      </x:c>
      <x:c r="F59" s="8" t="n">
        <x:v>0</x:v>
      </x:c>
      <x:c r="G59" s="8" t="n">
        <x:v>1118775.459269131</x:v>
      </x:c>
      <x:c r="H59" s="8" t="n">
        <x:v>0</x:v>
      </x:c>
      <x:c r="I59" s="8" t="n">
        <x:v>1118775.459269131</x:v>
      </x:c>
      <x:c r="J59" s="9" t="n">
        <x:v>0</x:v>
      </x:c>
      <x:c r="K59" s="9" t="n">
        <x:v>0.301874907726129</x:v>
      </x:c>
      <x:c r="L59" s="8" t="n">
        <x:v>0</x:v>
      </x:c>
      <x:c r="M59" s="10" t="n">
        <x:v>0</x:v>
      </x:c>
    </x:row>
    <x:row r="60">
      <x:c r="A60" s="2" t="str">
        <x:v>形态过滤</x:v>
      </x:c>
      <x:c r="B60" s="6" t="d">
        <x:v>2025-07-28T00:00:00.000Z</x:v>
      </x:c>
      <x:c r="C60" s="7"/>
      <x:c r="D60" s="7"/>
      <x:c r="E60" s="8" t="n">
        <x:v>0</x:v>
      </x:c>
      <x:c r="F60" s="8" t="n">
        <x:v>0</x:v>
      </x:c>
      <x:c r="G60" s="8" t="n">
        <x:v>1118775.459269131</x:v>
      </x:c>
      <x:c r="H60" s="8" t="n">
        <x:v>0</x:v>
      </x:c>
      <x:c r="I60" s="8" t="n">
        <x:v>1118775.459269131</x:v>
      </x:c>
      <x:c r="J60" s="9" t="n">
        <x:v>0</x:v>
      </x:c>
      <x:c r="K60" s="9" t="n">
        <x:v>0.301874907726129</x:v>
      </x:c>
      <x:c r="L60" s="8" t="n">
        <x:v>0</x:v>
      </x:c>
      <x:c r="M60" s="10" t="n">
        <x:v>0</x:v>
      </x:c>
    </x:row>
    <x:row r="61">
      <x:c r="A61" s="2" t="str">
        <x:v>形态过滤</x:v>
      </x:c>
      <x:c r="B61" s="6" t="d">
        <x:v>2025-07-29T00:00:00.000Z</x:v>
      </x:c>
      <x:c r="C61" s="7" t="str">
        <x:v>603616</x:v>
      </x:c>
      <x:c r="D61" s="7"/>
      <x:c r="E61" s="8" t="n">
        <x:v>559387.7296345655</x:v>
      </x:c>
      <x:c r="F61" s="8" t="n">
        <x:v>0</x:v>
      </x:c>
      <x:c r="G61" s="8" t="n">
        <x:v>559387.7296345655</x:v>
      </x:c>
      <x:c r="H61" s="8" t="n">
        <x:v>531085.6219739962</x:v>
      </x:c>
      <x:c r="I61" s="8" t="n">
        <x:v>1090473.3516085618</x:v>
      </x:c>
      <x:c r="J61" s="9" t="n">
        <x:v>-0.025297397637823016</x:v>
      </x:c>
      <x:c r="K61" s="9" t="n">
        <x:v>0.31953565578632304</x:v>
      </x:c>
      <x:c r="L61" s="8" t="n">
        <x:v>558.8289007337298</x:v>
      </x:c>
      <x:c r="M61" s="10" t="n">
        <x:v>1</x:v>
      </x:c>
    </x:row>
    <x:row r="62">
      <x:c r="A62" s="2" t="str">
        <x:v>形态过滤</x:v>
      </x:c>
      <x:c r="B62" s="6" t="d">
        <x:v>2025-07-30T00:00:00.000Z</x:v>
      </x:c>
      <x:c r="C62" s="7" t="str">
        <x:v>300528</x:v>
      </x:c>
      <x:c r="D62" s="7" t="str">
        <x:v>603616</x:v>
      </x:c>
      <x:c r="E62" s="8" t="n">
        <x:v>559387.7296345655</x:v>
      </x:c>
      <x:c r="F62" s="8" t="n">
        <x:v>583609.9899872245</x:v>
      </x:c>
      <x:c r="G62" s="8" t="n">
        <x:v>583609.9899872245</x:v>
      </x:c>
      <x:c r="H62" s="8" t="n">
        <x:v>571468.003496794</x:v>
      </x:c>
      <x:c r="I62" s="8" t="n">
        <x:v>1155077.9934840184</x:v>
      </x:c>
      <x:c r="J62" s="9" t="n">
        <x:v>0.059244585647286074</x:v>
      </x:c>
      <x:c r="K62" s="9" t="n">
        <x:v>0.27922182766563153</x:v>
      </x:c>
      <x:c r="L62" s="8" t="n">
        <x:v>1143.0230849051256</x:v>
      </x:c>
      <x:c r="M62" s="10" t="n">
        <x:v>1</x:v>
      </x:c>
    </x:row>
    <x:row r="63">
      <x:c r="A63" s="2" t="str">
        <x:v>形态过滤</x:v>
      </x:c>
      <x:c r="B63" s="6" t="d">
        <x:v>2025-07-31T00:00:00.000Z</x:v>
      </x:c>
      <x:c r="C63" s="7"/>
      <x:c r="D63" s="7" t="str">
        <x:v>300528</x:v>
      </x:c>
      <x:c r="E63" s="8" t="n">
        <x:v>0</x:v>
      </x:c>
      <x:c r="F63" s="8" t="n">
        <x:v>523547.2967675498</x:v>
      </x:c>
      <x:c r="G63" s="8" t="n">
        <x:v>1107157.2867547744</x:v>
      </x:c>
      <x:c r="H63" s="8" t="n">
        <x:v>0</x:v>
      </x:c>
      <x:c r="I63" s="8" t="n">
        <x:v>1107157.2867547744</x:v>
      </x:c>
      <x:c r="J63" s="9" t="n">
        <x:v>-0.04148698789135663</x:v>
      </x:c>
      <x:c r="K63" s="9" t="n">
        <x:v>0.3091247429736216</x:v>
      </x:c>
      <x:c r="L63" s="8" t="n">
        <x:v>524.0713681356855</x:v>
      </x:c>
      <x:c r="M63" s="10" t="n">
        <x:v>0</x:v>
      </x:c>
    </x:row>
    <x:row r="64">
      <x:c r="A64" s="2" t="str">
        <x:v>形态过滤</x:v>
      </x:c>
      <x:c r="B64" s="6" t="d">
        <x:v>2025-08-01T00:00:00.000Z</x:v>
      </x:c>
      <x:c r="C64" s="7" t="str">
        <x:v>603839</x:v>
      </x:c>
      <x:c r="D64" s="7"/>
      <x:c r="E64" s="8" t="n">
        <x:v>553578.6433773872</x:v>
      </x:c>
      <x:c r="F64" s="8" t="n">
        <x:v>0</x:v>
      </x:c>
      <x:c r="G64" s="8" t="n">
        <x:v>553578.6433773872</x:v>
      </x:c>
      <x:c r="H64" s="8" t="n">
        <x:v>513207.77328093443</x:v>
      </x:c>
      <x:c r="I64" s="8" t="n">
        <x:v>1066786.4166583216</x:v>
      </x:c>
      <x:c r="J64" s="9" t="n">
        <x:v>-0.036463536463536395</x:v>
      </x:c>
      <x:c r="K64" s="9" t="n">
        <x:v>0.334316498099958</x:v>
      </x:c>
      <x:c r="L64" s="8" t="n">
        <x:v>553.0256177595584</x:v>
      </x:c>
      <x:c r="M64" s="10" t="n">
        <x:v>1</x:v>
      </x:c>
    </x:row>
    <x:row r="65">
      <x:c r="A65" s="2" t="str">
        <x:v>形态过滤</x:v>
      </x:c>
      <x:c r="B65" s="6" t="d">
        <x:v>2025-08-04T00:00:00.000Z</x:v>
      </x:c>
      <x:c r="C65" s="7"/>
      <x:c r="D65" s="7" t="str">
        <x:v>603839</x:v>
      </x:c>
      <x:c r="E65" s="8" t="n">
        <x:v>0</x:v>
      </x:c>
      <x:c r="F65" s="8" t="n">
        <x:v>461314.61443845974</x:v>
      </x:c>
      <x:c r="G65" s="8" t="n">
        <x:v>1014893.2578158469</x:v>
      </x:c>
      <x:c r="H65" s="8" t="n">
        <x:v>0</x:v>
      </x:c>
      <x:c r="I65" s="8" t="n">
        <x:v>1014893.2578158469</x:v>
      </x:c>
      <x:c r="J65" s="9" t="n">
        <x:v>-0.04864437532400212</x:v>
      </x:c>
      <x:c r="K65" s="9" t="n">
        <x:v>0.3666982562133798</x:v>
      </x:c>
      <x:c r="L65" s="8" t="n">
        <x:v>461.776390829289</x:v>
      </x:c>
      <x:c r="M65" s="10" t="n">
        <x:v>0</x:v>
      </x:c>
    </x:row>
    <x:row r="66">
      <x:c r="A66" s="2" t="str">
        <x:v>形态过滤</x:v>
      </x:c>
      <x:c r="B66" s="6" t="d">
        <x:v>2025-08-05T00:00:00.000Z</x:v>
      </x:c>
      <x:c r="C66" s="7"/>
      <x:c r="D66" s="7"/>
      <x:c r="E66" s="8" t="n">
        <x:v>0</x:v>
      </x:c>
      <x:c r="F66" s="8" t="n">
        <x:v>0</x:v>
      </x:c>
      <x:c r="G66" s="8" t="n">
        <x:v>1014893.2578158469</x:v>
      </x:c>
      <x:c r="H66" s="8" t="n">
        <x:v>0</x:v>
      </x:c>
      <x:c r="I66" s="8" t="n">
        <x:v>1014893.2578158469</x:v>
      </x:c>
      <x:c r="J66" s="9" t="n">
        <x:v>0</x:v>
      </x:c>
      <x:c r="K66" s="9" t="n">
        <x:v>0.3666982562133798</x:v>
      </x:c>
      <x:c r="L66" s="8" t="n">
        <x:v>0</x:v>
      </x:c>
      <x:c r="M66" s="10" t="n">
        <x:v>0</x:v>
      </x:c>
    </x:row>
    <x:row r="67">
      <x:c r="A67" s="2" t="str">
        <x:v>形态过滤</x:v>
      </x:c>
      <x:c r="B67" s="6" t="d">
        <x:v>2025-08-06T00:00:00.000Z</x:v>
      </x:c>
      <x:c r="C67" s="7" t="str">
        <x:v>002775</x:v>
      </x:c>
      <x:c r="D67" s="7"/>
      <x:c r="E67" s="8" t="n">
        <x:v>507446.62890792347</x:v>
      </x:c>
      <x:c r="F67" s="8" t="n">
        <x:v>0</x:v>
      </x:c>
      <x:c r="G67" s="8" t="n">
        <x:v>507446.62890792347</x:v>
      </x:c>
      <x:c r="H67" s="8" t="n">
        <x:v>506939.6892187048</x:v>
      </x:c>
      <x:c r="I67" s="8" t="n">
        <x:v>1014386.3181266283</x:v>
      </x:c>
      <x:c r="J67" s="9" t="n">
        <x:v>-0.0004995004995004271</x:v>
      </x:c>
      <x:c r="K67" s="9" t="n">
        <x:v>0.3670145907507357</x:v>
      </x:c>
      <x:c r="L67" s="8" t="n">
        <x:v>506.9396892186487</x:v>
      </x:c>
      <x:c r="M67" s="10" t="n">
        <x:v>1</x:v>
      </x:c>
    </x:row>
    <x:row r="68">
      <x:c r="A68" s="2" t="str">
        <x:v>形态过滤</x:v>
      </x:c>
      <x:c r="B68" s="6" t="d">
        <x:v>2025-08-07T00:00:00.000Z</x:v>
      </x:c>
      <x:c r="C68" s="7" t="str">
        <x:v>600203</x:v>
      </x:c>
      <x:c r="D68" s="7" t="str">
        <x:v>002775</x:v>
      </x:c>
      <x:c r="E68" s="8" t="n">
        <x:v>507446.62890792347</x:v>
      </x:c>
      <x:c r="F68" s="8" t="n">
        <x:v>455437.785167142</x:v>
      </x:c>
      <x:c r="G68" s="8" t="n">
        <x:v>455437.785167142</x:v>
      </x:c>
      <x:c r="H68" s="8" t="n">
        <x:v>509223.20133230265</x:v>
      </x:c>
      <x:c r="I68" s="8" t="n">
        <x:v>964660.9864994446</x:v>
      </x:c>
      <x:c r="J68" s="9" t="n">
        <x:v>-0.04902011269140205</x:v>
      </x:c>
      <x:c r="K68" s="9" t="n">
        <x:v>0.39804360684414786</x:v>
      </x:c>
      <x:c r="L68" s="8" t="n">
        <x:v>962.8333680646367</x:v>
      </x:c>
      <x:c r="M68" s="10" t="n">
        <x:v>1</x:v>
      </x:c>
    </x:row>
    <x:row r="69">
      <x:c r="A69" s="2" t="str">
        <x:v>形态过滤</x:v>
      </x:c>
      <x:c r="B69" s="6" t="d">
        <x:v>2025-08-08T00:00:00.000Z</x:v>
      </x:c>
      <x:c r="C69" s="7" t="str">
        <x:v>603767</x:v>
      </x:c>
      <x:c r="D69" s="7" t="str">
        <x:v>600203</x:v>
      </x:c>
      <x:c r="E69" s="8" t="n">
        <x:v>455437.785167142</x:v>
      </x:c>
      <x:c r="F69" s="8" t="n">
        <x:v>498937.2841246096</x:v>
      </x:c>
      <x:c r="G69" s="8" t="n">
        <x:v>498937.2841246096</x:v>
      </x:c>
      <x:c r="H69" s="8" t="n">
        <x:v>448207.74408998736</x:v>
      </x:c>
      <x:c r="I69" s="8" t="n">
        <x:v>947145.0282145969</x:v>
      </x:c>
      <x:c r="J69" s="9" t="n">
        <x:v>-0.018157631053795864</x:v>
      </x:c>
      <x:c r="K69" s="9" t="n">
        <x:v>0.4089737089415455</x:v>
      </x:c>
      <x:c r="L69" s="8" t="n">
        <x:v>954.4195232101974</x:v>
      </x:c>
      <x:c r="M69" s="10" t="n">
        <x:v>1</x:v>
      </x:c>
    </x:row>
    <x:row r="70">
      <x:c r="A70" s="2" t="str">
        <x:v>形态过滤</x:v>
      </x:c>
      <x:c r="B70" s="6" t="d">
        <x:v>2025-08-11T00:00:00.000Z</x:v>
      </x:c>
      <x:c r="C70" s="7"/>
      <x:c r="D70" s="7" t="str">
        <x:v>603767</x:v>
      </x:c>
      <x:c r="E70" s="8" t="n">
        <x:v>0</x:v>
      </x:c>
      <x:c r="F70" s="8" t="n">
        <x:v>453926.1943876111</x:v>
      </x:c>
      <x:c r="G70" s="8" t="n">
        <x:v>952863.4785122208</x:v>
      </x:c>
      <x:c r="H70" s="8" t="n">
        <x:v>0</x:v>
      </x:c>
      <x:c r="I70" s="8" t="n">
        <x:v>952863.4785122208</x:v>
      </x:c>
      <x:c r="J70" s="9" t="n">
        <x:v>0.006037565660248934</x:v>
      </x:c>
      <x:c r="K70" s="9" t="n">
        <x:v>0.4054053489023467</x:v>
      </x:c>
      <x:c r="L70" s="8" t="n">
        <x:v>454.3805749625737</x:v>
      </x:c>
      <x:c r="M70" s="10" t="n">
        <x:v>0</x:v>
      </x:c>
    </x:row>
    <x:row r="71">
      <x:c r="A71" s="2" t="str">
        <x:v>形态过滤</x:v>
      </x:c>
      <x:c r="B71" s="6" t="d">
        <x:v>2025-08-12T00:00:00.000Z</x:v>
      </x:c>
      <x:c r="C71" s="7" t="str">
        <x:v>601929</x:v>
      </x:c>
      <x:c r="D71" s="7"/>
      <x:c r="E71" s="8" t="n">
        <x:v>476431.7392561104</x:v>
      </x:c>
      <x:c r="F71" s="8" t="n">
        <x:v>0</x:v>
      </x:c>
      <x:c r="G71" s="8" t="n">
        <x:v>476431.7392561104</x:v>
      </x:c>
      <x:c r="H71" s="8" t="n">
        <x:v>486367.3162361018</x:v>
      </x:c>
      <x:c r="I71" s="8" t="n">
        <x:v>962799.0554922122</x:v>
      </x:c>
      <x:c r="J71" s="9" t="n">
        <x:v>0.010427072927073011</x:v>
      </x:c>
      <x:c r="K71" s="9" t="n">
        <x:v>0.39920546711330396</x:v>
      </x:c>
      <x:c r="L71" s="8" t="n">
        <x:v>475.95578347257106</x:v>
      </x:c>
      <x:c r="M71" s="10" t="n">
        <x:v>1</x:v>
      </x:c>
    </x:row>
    <x:row r="72">
      <x:c r="A72" s="2" t="str">
        <x:v>形态过滤</x:v>
      </x:c>
      <x:c r="B72" s="6" t="d">
        <x:v>2025-08-13T00:00:00.000Z</x:v>
      </x:c>
      <x:c r="C72" s="7" t="str">
        <x:v>600581</x:v>
      </x:c>
      <x:c r="D72" s="7" t="str">
        <x:v>601929</x:v>
      </x:c>
      <x:c r="E72" s="8" t="n">
        <x:v>476431.7392561104</x:v>
      </x:c>
      <x:c r="F72" s="8" t="n">
        <x:v>534914.8061503109</x:v>
      </x:c>
      <x:c r="G72" s="8" t="n">
        <x:v>534914.8061503109</x:v>
      </x:c>
      <x:c r="H72" s="8" t="n">
        <x:v>462685.64081076137</x:v>
      </x:c>
      <x:c r="I72" s="8" t="n">
        <x:v>997600.4469610723</x:v>
      </x:c>
      <x:c r="J72" s="9" t="n">
        <x:v>0.03614605900404477</x:v>
      </x:c>
      <x:c r="K72" s="9" t="n">
        <x:v>0.377489112478274</x:v>
      </x:c>
      <x:c r="L72" s="8" t="n">
        <x:v>1011.4060398792886</x:v>
      </x:c>
      <x:c r="M72" s="10" t="n">
        <x:v>1</x:v>
      </x:c>
    </x:row>
    <x:row r="73">
      <x:c r="A73" s="2" t="str">
        <x:v>形态过滤</x:v>
      </x:c>
      <x:c r="B73" s="6" t="d">
        <x:v>2025-08-14T00:00:00.000Z</x:v>
      </x:c>
      <x:c r="C73" s="7" t="str">
        <x:v>601929</x:v>
      </x:c>
      <x:c r="D73" s="7" t="str">
        <x:v>600581</x:v>
      </x:c>
      <x:c r="E73" s="8" t="n">
        <x:v>534914.8061503109</x:v>
      </x:c>
      <x:c r="F73" s="8" t="n">
        <x:v>416265.7971033398</x:v>
      </x:c>
      <x:c r="G73" s="8" t="n">
        <x:v>416265.7971033398</x:v>
      </x:c>
      <x:c r="H73" s="8" t="n">
        <x:v>500212.8793227586</x:v>
      </x:c>
      <x:c r="I73" s="8" t="n">
        <x:v>916478.6764260984</x:v>
      </x:c>
      <x:c r="J73" s="9" t="n">
        <x:v>-0.08131689473685577</x:v>
      </x:c>
      <x:c r="K73" s="9" t="n">
        <x:v>0.4281097647914248</x:v>
      </x:c>
      <x:c r="L73" s="8" t="n">
        <x:v>951.0629053074729</x:v>
      </x:c>
      <x:c r="M73" s="10" t="n">
        <x:v>1</x:v>
      </x:c>
    </x:row>
    <x:row r="74">
      <x:c r="A74" s="2" t="str">
        <x:v>形态过滤</x:v>
      </x:c>
      <x:c r="B74" s="6" t="d">
        <x:v>2025-08-15T00:00:00.000Z</x:v>
      </x:c>
      <x:c r="C74" s="7"/>
      <x:c r="D74" s="7" t="str">
        <x:v>601929</x:v>
      </x:c>
      <x:c r="E74" s="8" t="n">
        <x:v>0</x:v>
      </x:c>
      <x:c r="F74" s="8" t="n">
        <x:v>535211.3804530788</x:v>
      </x:c>
      <x:c r="G74" s="8" t="n">
        <x:v>951477.1775564186</x:v>
      </x:c>
      <x:c r="H74" s="8" t="n">
        <x:v>0</x:v>
      </x:c>
      <x:c r="I74" s="8" t="n">
        <x:v>951477.1775564186</x:v>
      </x:c>
      <x:c r="J74" s="9" t="n">
        <x:v>0.03818801465932675</x:v>
      </x:c>
      <x:c r="K74" s="9" t="n">
        <x:v>0.406270412105754</x:v>
      </x:c>
      <x:c r="L74" s="8" t="n">
        <x:v>535.7471275806595</x:v>
      </x:c>
      <x:c r="M74" s="10" t="n">
        <x:v>0</x:v>
      </x:c>
    </x:row>
    <x:row r="75">
      <x:c r="A75" s="2" t="str">
        <x:v>形态过滤</x:v>
      </x:c>
      <x:c r="B75" s="6" t="d">
        <x:v>2025-08-18T00:00:00.000Z</x:v>
      </x:c>
      <x:c r="C75" s="7" t="str">
        <x:v>002939</x:v>
      </x:c>
      <x:c r="D75" s="7"/>
      <x:c r="E75" s="8" t="n">
        <x:v>475738.5887782093</x:v>
      </x:c>
      <x:c r="F75" s="8" t="n">
        <x:v>0</x:v>
      </x:c>
      <x:c r="G75" s="8" t="n">
        <x:v>475738.5887782093</x:v>
      </x:c>
      <x:c r="H75" s="8" t="n">
        <x:v>480696.97627729265</x:v>
      </x:c>
      <x:c r="I75" s="8" t="n">
        <x:v>956435.5650555019</x:v>
      </x:c>
      <x:c r="J75" s="9" t="n">
        <x:v>0.005211252162471647</x:v>
      </x:c>
      <x:c r="K75" s="9" t="n">
        <x:v>0.4031763375069167</x:v>
      </x:c>
      <x:c r="L75" s="8" t="n">
        <x:v>475.26332545268815</x:v>
      </x:c>
      <x:c r="M75" s="10" t="n">
        <x:v>1</x:v>
      </x:c>
    </x:row>
    <x:row r="76">
      <x:c r="A76" s="2" t="str">
        <x:v>形态过滤</x:v>
      </x:c>
      <x:c r="B76" s="6" t="d">
        <x:v>2025-08-19T00:00:00.000Z</x:v>
      </x:c>
      <x:c r="C76" s="7" t="str">
        <x:v>601609</x:v>
      </x:c>
      <x:c r="D76" s="7" t="str">
        <x:v>002939</x:v>
      </x:c>
      <x:c r="E76" s="8" t="n">
        <x:v>475738.5887782093</x:v>
      </x:c>
      <x:c r="F76" s="8" t="n">
        <x:v>498672.21769163467</x:v>
      </x:c>
      <x:c r="G76" s="8" t="n">
        <x:v>498672.21769163467</x:v>
      </x:c>
      <x:c r="H76" s="8" t="n">
        <x:v>477757.2109686256</x:v>
      </x:c>
      <x:c r="I76" s="8" t="n">
        <x:v>976429.4286602603</x:v>
      </x:c>
      <x:c r="J76" s="9" t="n">
        <x:v>0.020904558901046366</x:v>
      </x:c>
      <x:c r="K76" s="9" t="n">
        <x:v>0.3907000021007918</x:v>
      </x:c>
      <x:c r="L76" s="8" t="n">
        <x:v>974.4347145334035</x:v>
      </x:c>
      <x:c r="M76" s="10" t="n">
        <x:v>1</x:v>
      </x:c>
    </x:row>
    <x:row r="77">
      <x:c r="A77" s="2" t="str">
        <x:v>形态过滤</x:v>
      </x:c>
      <x:c r="B77" s="6" t="d">
        <x:v>2025-08-20T00:00:00.000Z</x:v>
      </x:c>
      <x:c r="C77" s="7" t="str">
        <x:v>002272</x:v>
      </x:c>
      <x:c r="D77" s="7" t="str">
        <x:v>601609</x:v>
      </x:c>
      <x:c r="E77" s="8" t="n">
        <x:v>498672.21769163467</x:v>
      </x:c>
      <x:c r="F77" s="8" t="n">
        <x:v>524971.8078244177</x:v>
      </x:c>
      <x:c r="G77" s="8" t="n">
        <x:v>524971.8078244177</x:v>
      </x:c>
      <x:c r="H77" s="8" t="n">
        <x:v>501575.4420552472</x:v>
      </x:c>
      <x:c r="I77" s="8" t="n">
        <x:v>1026547.249879665</x:v>
      </x:c>
      <x:c r="J77" s="9" t="n">
        <x:v>0.051327643092619946</x:v>
      </x:c>
      <x:c r="K77" s="9" t="n">
        <x:v>0.35942606927228715</x:v>
      </x:c>
      <x:c r="L77" s="8" t="n">
        <x:v>1023.6713487774922</x:v>
      </x:c>
      <x:c r="M77" s="10" t="n">
        <x:v>1</x:v>
      </x:c>
    </x:row>
    <x:row r="78">
      <x:c r="A78" s="2" t="str">
        <x:v>形态过滤</x:v>
      </x:c>
      <x:c r="B78" s="6" t="d">
        <x:v>2025-08-21T00:00:00.000Z</x:v>
      </x:c>
      <x:c r="C78" s="7"/>
      <x:c r="D78" s="7" t="str">
        <x:v>002272</x:v>
      </x:c>
      <x:c r="E78" s="8" t="n">
        <x:v>0</x:v>
      </x:c>
      <x:c r="F78" s="8" t="n">
        <x:v>450888.0646362838</x:v>
      </x:c>
      <x:c r="G78" s="8" t="n">
        <x:v>975859.8724607015</x:v>
      </x:c>
      <x:c r="H78" s="8" t="n">
        <x:v>0</x:v>
      </x:c>
      <x:c r="I78" s="8" t="n">
        <x:v>975859.8724607015</x:v>
      </x:c>
      <x:c r="J78" s="9" t="n">
        <x:v>-0.049376565399113614</x:v>
      </x:c>
      <x:c r="K78" s="9" t="n">
        <x:v>0.3910554098558313</x:v>
      </x:c>
      <x:c r="L78" s="8" t="n">
        <x:v>451.3394040403241</x:v>
      </x:c>
      <x:c r="M78" s="10" t="n">
        <x:v>0</x:v>
      </x:c>
    </x:row>
    <x:row r="79">
      <x:c r="A79" s="2" t="str">
        <x:v>形态过滤</x:v>
      </x:c>
      <x:c r="B79" s="6" t="d">
        <x:v>2025-08-22T00:00:00.000Z</x:v>
      </x:c>
      <x:c r="C79" s="7"/>
      <x:c r="D79" s="7"/>
      <x:c r="E79" s="8" t="n">
        <x:v>0</x:v>
      </x:c>
      <x:c r="F79" s="8" t="n">
        <x:v>0</x:v>
      </x:c>
      <x:c r="G79" s="8" t="n">
        <x:v>975859.8724607015</x:v>
      </x:c>
      <x:c r="H79" s="8" t="n">
        <x:v>0</x:v>
      </x:c>
      <x:c r="I79" s="8" t="n">
        <x:v>975859.8724607015</x:v>
      </x:c>
      <x:c r="J79" s="9" t="n">
        <x:v>0</x:v>
      </x:c>
      <x:c r="K79" s="9" t="n">
        <x:v>0.3910554098558313</x:v>
      </x:c>
      <x:c r="L79" s="8" t="n">
        <x:v>0</x:v>
      </x:c>
      <x:c r="M79" s="10" t="n">
        <x:v>0</x:v>
      </x:c>
    </x:row>
    <x:row r="80">
      <x:c r="A80" s="2" t="str">
        <x:v>形态过滤</x:v>
      </x:c>
      <x:c r="B80" s="6" t="d">
        <x:v>2025-08-25T00:00:00.000Z</x:v>
      </x:c>
      <x:c r="C80" s="7"/>
      <x:c r="D80" s="7"/>
      <x:c r="E80" s="8" t="n">
        <x:v>0</x:v>
      </x:c>
      <x:c r="F80" s="8" t="n">
        <x:v>0</x:v>
      </x:c>
      <x:c r="G80" s="8" t="n">
        <x:v>975859.8724607015</x:v>
      </x:c>
      <x:c r="H80" s="8" t="n">
        <x:v>0</x:v>
      </x:c>
      <x:c r="I80" s="8" t="n">
        <x:v>975859.8724607015</x:v>
      </x:c>
      <x:c r="J80" s="9" t="n">
        <x:v>0</x:v>
      </x:c>
      <x:c r="K80" s="9" t="n">
        <x:v>0.3910554098558313</x:v>
      </x:c>
      <x:c r="L80" s="8" t="n">
        <x:v>0</x:v>
      </x:c>
      <x:c r="M80" s="10" t="n">
        <x:v>0</x:v>
      </x:c>
    </x:row>
    <x:row r="81">
      <x:c r="A81" s="2" t="str">
        <x:v>形态过滤</x:v>
      </x:c>
      <x:c r="B81" s="6" t="d">
        <x:v>2025-08-26T00:00:00.000Z</x:v>
      </x:c>
      <x:c r="C81" s="7" t="str">
        <x:v>002217</x:v>
      </x:c>
      <x:c r="D81" s="7"/>
      <x:c r="E81" s="8" t="n">
        <x:v>487929.93623035075</x:v>
      </x:c>
      <x:c r="F81" s="8" t="n">
        <x:v>0</x:v>
      </x:c>
      <x:c r="G81" s="8" t="n">
        <x:v>487929.93623035075</x:v>
      </x:c>
      <x:c r="H81" s="8" t="n">
        <x:v>488756.3549057156</x:v>
      </x:c>
      <x:c r="I81" s="8" t="n">
        <x:v>976686.2911360664</x:v>
      </x:c>
      <x:c r="J81" s="9" t="n">
        <x:v>0.0008468620328461185</x:v>
      </x:c>
      <x:c r="K81" s="9" t="n">
        <x:v>0.3905397178023312</x:v>
      </x:c>
      <x:c r="L81" s="8" t="n">
        <x:v>487.4424937365693</x:v>
      </x:c>
      <x:c r="M81" s="10" t="n">
        <x:v>1</x:v>
      </x:c>
    </x:row>
    <x:row r="82">
      <x:c r="A82" s="2" t="str">
        <x:v>形态过滤</x:v>
      </x:c>
      <x:c r="B82" s="6" t="d">
        <x:v>2025-08-27T00:00:00.000Z</x:v>
      </x:c>
      <x:c r="C82" s="7" t="str">
        <x:v>002217</x:v>
      </x:c>
      <x:c r="D82" s="7" t="str">
        <x:v>002217</x:v>
      </x:c>
      <x:c r="E82" s="8" t="n">
        <x:v>487929.93623035075</x:v>
      </x:c>
      <x:c r="F82" s="8" t="n">
        <x:v>511893.450093591</x:v>
      </x:c>
      <x:c r="G82" s="8" t="n">
        <x:v>511893.450093591</x:v>
      </x:c>
      <x:c r="H82" s="8" t="n">
        <x:v>487442.4937366142</x:v>
      </x:c>
      <x:c r="I82" s="8" t="n">
        <x:v>999335.9438302051</x:v>
      </x:c>
      <x:c r="J82" s="9" t="n">
        <x:v>0.023190304706532716</x:v>
      </x:c>
      <x:c r="K82" s="9" t="n">
        <x:v>0.37640614815163786</x:v>
      </x:c>
      <x:c r="L82" s="8" t="n">
        <x:v>999.8483496861098</x:v>
      </x:c>
      <x:c r="M82" s="10" t="n">
        <x:v>1</x:v>
      </x:c>
    </x:row>
    <x:row r="83">
      <x:c r="A83" s="2" t="str">
        <x:v>形态过滤</x:v>
      </x:c>
      <x:c r="B83" s="6" t="d">
        <x:v>2025-08-28T00:00:00.000Z</x:v>
      </x:c>
      <x:c r="C83" s="7"/>
      <x:c r="D83" s="7" t="str">
        <x:v>002217</x:v>
      </x:c>
      <x:c r="E83" s="8" t="n">
        <x:v>0</x:v>
      </x:c>
      <x:c r="F83" s="8" t="n">
        <x:v>486955.05124287755</x:v>
      </x:c>
      <x:c r="G83" s="8" t="n">
        <x:v>998848.5013364686</x:v>
      </x:c>
      <x:c r="H83" s="8" t="n">
        <x:v>0</x:v>
      </x:c>
      <x:c r="I83" s="8" t="n">
        <x:v>998848.5013364686</x:v>
      </x:c>
      <x:c r="J83" s="9" t="n">
        <x:v>-0.00048776639802250443</x:v>
      </x:c>
      <x:c r="K83" s="9" t="n">
        <x:v>0.37671031627858287</x:v>
      </x:c>
      <x:c r="L83" s="8" t="n">
        <x:v>487.4424937366142</x:v>
      </x:c>
      <x:c r="M83" s="10" t="n">
        <x:v>0</x:v>
      </x:c>
    </x:row>
    <x:row r="84">
      <x:c r="A84" s="2" t="str">
        <x:v>形态过滤</x:v>
      </x:c>
      <x:c r="B84" s="6" t="d">
        <x:v>2025-08-29T00:00:00.000Z</x:v>
      </x:c>
      <x:c r="C84" s="7" t="str">
        <x:v>605188</x:v>
      </x:c>
      <x:c r="D84" s="7"/>
      <x:c r="E84" s="8" t="n">
        <x:v>499424.2506682343</x:v>
      </x:c>
      <x:c r="F84" s="8" t="n">
        <x:v>0</x:v>
      </x:c>
      <x:c r="G84" s="8" t="n">
        <x:v>499424.2506682343</x:v>
      </x:c>
      <x:c r="H84" s="8" t="n">
        <x:v>460644.60984343686</x:v>
      </x:c>
      <x:c r="I84" s="8" t="n">
        <x:v>960068.8605116712</x:v>
      </x:c>
      <x:c r="J84" s="9" t="n">
        <x:v>-0.038824347008490245</x:v>
      </x:c>
      <x:c r="K84" s="9" t="n">
        <x:v>0.4009091312461953</x:v>
      </x:c>
      <x:c r="L84" s="8" t="n">
        <x:v>498.92532534286147</x:v>
      </x:c>
      <x:c r="M84" s="10" t="n">
        <x:v>1</x:v>
      </x:c>
    </x:row>
    <x:row r="85">
      <x:c r="A85" s="2" t="str">
        <x:v>形态过滤</x:v>
      </x:c>
      <x:c r="B85" s="6" t="d">
        <x:v>2025-09-01T00:00:00.000Z</x:v>
      </x:c>
      <x:c r="C85" s="7"/>
      <x:c r="D85" s="7" t="str">
        <x:v>605188</x:v>
      </x:c>
      <x:c r="E85" s="8" t="n">
        <x:v>0</x:v>
      </x:c>
      <x:c r="F85" s="8" t="n">
        <x:v>506329.83653956593</x:v>
      </x:c>
      <x:c r="G85" s="8" t="n">
        <x:v>1005754.0872078002</x:v>
      </x:c>
      <x:c r="H85" s="8" t="n">
        <x:v>0</x:v>
      </x:c>
      <x:c r="I85" s="8" t="n">
        <x:v>1005754.0872078002</x:v>
      </x:c>
      <x:c r="J85" s="9" t="n">
        <x:v>0.0475853645245623</x:v>
      </x:c>
      <x:c r="K85" s="9" t="n">
        <x:v>0.3724011738732088</x:v>
      </x:c>
      <x:c r="L85" s="8" t="n">
        <x:v>506.8366732127787</x:v>
      </x:c>
      <x:c r="M85" s="10" t="n">
        <x:v>0</x:v>
      </x:c>
    </x:row>
    <x:row r="86">
      <x:c r="A86" s="2" t="str">
        <x:v>形态过滤</x:v>
      </x:c>
      <x:c r="B86" s="6" t="d">
        <x:v>2025-09-02T00:00:00.000Z</x:v>
      </x:c>
      <x:c r="C86" s="7"/>
      <x:c r="D86" s="7"/>
      <x:c r="E86" s="8" t="n">
        <x:v>0</x:v>
      </x:c>
      <x:c r="F86" s="8" t="n">
        <x:v>0</x:v>
      </x:c>
      <x:c r="G86" s="8" t="n">
        <x:v>1005754.0872078002</x:v>
      </x:c>
      <x:c r="H86" s="8" t="n">
        <x:v>0</x:v>
      </x:c>
      <x:c r="I86" s="8" t="n">
        <x:v>1005754.0872078002</x:v>
      </x:c>
      <x:c r="J86" s="9" t="n">
        <x:v>0</x:v>
      </x:c>
      <x:c r="K86" s="9" t="n">
        <x:v>0.3724011738732088</x:v>
      </x:c>
      <x:c r="L86" s="8" t="n">
        <x:v>0</x:v>
      </x:c>
      <x:c r="M86" s="10" t="n">
        <x:v>0</x:v>
      </x:c>
    </x:row>
    <x:row r="87">
      <x:c r="A87" s="2" t="str">
        <x:v>形态过滤</x:v>
      </x:c>
      <x:c r="B87" s="6" t="d">
        <x:v>2025-09-03T00:00:00.000Z</x:v>
      </x:c>
      <x:c r="C87" s="7"/>
      <x:c r="D87" s="7"/>
      <x:c r="E87" s="8" t="n">
        <x:v>0</x:v>
      </x:c>
      <x:c r="F87" s="8" t="n">
        <x:v>0</x:v>
      </x:c>
      <x:c r="G87" s="8" t="n">
        <x:v>1005754.0872078002</x:v>
      </x:c>
      <x:c r="H87" s="8" t="n">
        <x:v>0</x:v>
      </x:c>
      <x:c r="I87" s="8" t="n">
        <x:v>1005754.0872078002</x:v>
      </x:c>
      <x:c r="J87" s="9" t="n">
        <x:v>0</x:v>
      </x:c>
      <x:c r="K87" s="9" t="n">
        <x:v>0.3724011738732088</x:v>
      </x:c>
      <x:c r="L87" s="8" t="n">
        <x:v>0</x:v>
      </x:c>
      <x:c r="M87" s="10" t="n">
        <x:v>0</x:v>
      </x:c>
    </x:row>
    <x:row r="88">
      <x:c r="A88" s="2" t="str">
        <x:v>形态过滤</x:v>
      </x:c>
      <x:c r="B88" s="6" t="d">
        <x:v>2025-09-04T00:00:00.000Z</x:v>
      </x:c>
      <x:c r="C88" s="7"/>
      <x:c r="D88" s="7"/>
      <x:c r="E88" s="8" t="n">
        <x:v>0</x:v>
      </x:c>
      <x:c r="F88" s="8" t="n">
        <x:v>0</x:v>
      </x:c>
      <x:c r="G88" s="8" t="n">
        <x:v>1005754.0872078002</x:v>
      </x:c>
      <x:c r="H88" s="8" t="n">
        <x:v>0</x:v>
      </x:c>
      <x:c r="I88" s="8" t="n">
        <x:v>1005754.0872078002</x:v>
      </x:c>
      <x:c r="J88" s="9" t="n">
        <x:v>0</x:v>
      </x:c>
      <x:c r="K88" s="9" t="n">
        <x:v>0.3724011738732088</x:v>
      </x:c>
      <x:c r="L88" s="8" t="n">
        <x:v>0</x:v>
      </x:c>
      <x:c r="M88" s="10" t="n">
        <x:v>0</x:v>
      </x:c>
    </x:row>
    <x:row r="89">
      <x:c r="A89" s="2" t="str">
        <x:v>形态过滤</x:v>
      </x:c>
      <x:c r="B89" s="6" t="d">
        <x:v>2025-09-05T00:00:00.000Z</x:v>
      </x:c>
      <x:c r="C89" s="7"/>
      <x:c r="D89" s="7"/>
      <x:c r="E89" s="8" t="n">
        <x:v>0</x:v>
      </x:c>
      <x:c r="F89" s="8" t="n">
        <x:v>0</x:v>
      </x:c>
      <x:c r="G89" s="8" t="n">
        <x:v>1005754.0872078002</x:v>
      </x:c>
      <x:c r="H89" s="8" t="n">
        <x:v>0</x:v>
      </x:c>
      <x:c r="I89" s="8" t="n">
        <x:v>1005754.0872078002</x:v>
      </x:c>
      <x:c r="J89" s="9" t="n">
        <x:v>0</x:v>
      </x:c>
      <x:c r="K89" s="9" t="n">
        <x:v>0.3724011738732088</x:v>
      </x:c>
      <x:c r="L89" s="8" t="n">
        <x:v>0</x:v>
      </x:c>
      <x:c r="M89" s="10" t="n">
        <x:v>0</x:v>
      </x:c>
    </x:row>
    <x:row r="90">
      <x:c r="A90" s="2" t="str">
        <x:v>不加形态</x:v>
      </x:c>
      <x:c r="B90" s="6" t="d">
        <x:v>2025-05-06T00:00:00.000Z</x:v>
      </x:c>
      <x:c r="C90" s="7"/>
      <x:c r="D90" s="7"/>
      <x:c r="E90" s="8" t="n">
        <x:v>0</x:v>
      </x:c>
      <x:c r="F90" s="8" t="n">
        <x:v>0</x:v>
      </x:c>
      <x:c r="G90" s="8" t="n">
        <x:v>1000000</x:v>
      </x:c>
      <x:c r="H90" s="8" t="n">
        <x:v>0</x:v>
      </x:c>
      <x:c r="I90" s="8" t="n">
        <x:v>1000000</x:v>
      </x:c>
      <x:c r="J90" s="9" t="n">
        <x:v>0</x:v>
      </x:c>
      <x:c r="K90" s="9" t="n">
        <x:v>0</x:v>
      </x:c>
      <x:c r="L90" s="8" t="n">
        <x:v>0</x:v>
      </x:c>
      <x:c r="M90" s="10" t="n">
        <x:v>0</x:v>
      </x:c>
    </x:row>
    <x:row r="91">
      <x:c r="A91" s="2" t="str">
        <x:v>不加形态</x:v>
      </x:c>
      <x:c r="B91" s="6" t="d">
        <x:v>2025-05-07T00:00:00.000Z</x:v>
      </x:c>
      <x:c r="C91" s="7" t="str">
        <x:v>603586</x:v>
      </x:c>
      <x:c r="D91" s="7"/>
      <x:c r="E91" s="8" t="n">
        <x:v>500000</x:v>
      </x:c>
      <x:c r="F91" s="8" t="n">
        <x:v>0</x:v>
      </x:c>
      <x:c r="G91" s="8" t="n">
        <x:v>500000</x:v>
      </x:c>
      <x:c r="H91" s="8" t="n">
        <x:v>485993.4657126546</x:v>
      </x:c>
      <x:c r="I91" s="8" t="n">
        <x:v>985993.4657126546</x:v>
      </x:c>
      <x:c r="J91" s="9" t="n">
        <x:v>-0.014006534287345329</x:v>
      </x:c>
      <x:c r="K91" s="9" t="n">
        <x:v>0.014006534287345329</x:v>
      </x:c>
      <x:c r="L91" s="8" t="n">
        <x:v>499.5004995004274</x:v>
      </x:c>
      <x:c r="M91" s="10" t="n">
        <x:v>1</x:v>
      </x:c>
    </x:row>
    <x:row r="92">
      <x:c r="A92" s="2" t="str">
        <x:v>不加形态</x:v>
      </x:c>
      <x:c r="B92" s="6" t="d">
        <x:v>2025-05-08T00:00:00.000Z</x:v>
      </x:c>
      <x:c r="C92" s="7" t="str">
        <x:v>600410</x:v>
      </x:c>
      <x:c r="D92" s="7" t="str">
        <x:v>603586</x:v>
      </x:c>
      <x:c r="E92" s="8" t="n">
        <x:v>500000</x:v>
      </x:c>
      <x:c r="F92" s="8" t="n">
        <x:v>442691.473892722</x:v>
      </x:c>
      <x:c r="G92" s="8" t="n">
        <x:v>442691.473892722</x:v>
      </x:c>
      <x:c r="H92" s="8" t="n">
        <x:v>477647.35264735273</x:v>
      </x:c>
      <x:c r="I92" s="8" t="n">
        <x:v>920338.8265400748</x:v>
      </x:c>
      <x:c r="J92" s="9" t="n">
        <x:v>-0.06658729642303063</x:v>
      </x:c>
      <x:c r="K92" s="9" t="n">
        <x:v>0.07966117345992518</x:v>
      </x:c>
      <x:c r="L92" s="8" t="n">
        <x:v>942.6351080016507</x:v>
      </x:c>
      <x:c r="M92" s="10" t="n">
        <x:v>1</x:v>
      </x:c>
    </x:row>
    <x:row r="93">
      <x:c r="A93" s="2" t="str">
        <x:v>不加形态</x:v>
      </x:c>
      <x:c r="B93" s="6" t="d">
        <x:v>2025-05-09T00:00:00.000Z</x:v>
      </x:c>
      <x:c r="C93" s="7" t="str">
        <x:v>002490</x:v>
      </x:c>
      <x:c r="D93" s="7" t="str">
        <x:v>600410</x:v>
      </x:c>
      <x:c r="E93" s="8" t="n">
        <x:v>442691.473892722</x:v>
      </x:c>
      <x:c r="F93" s="8" t="n">
        <x:v>444645.5330383903</x:v>
      </x:c>
      <x:c r="G93" s="8" t="n">
        <x:v>444645.5330383903</x:v>
      </x:c>
      <x:c r="H93" s="8" t="n">
        <x:v>400325.9710285173</x:v>
      </x:c>
      <x:c r="I93" s="8" t="n">
        <x:v>844971.5040669076</x:v>
      </x:c>
      <x:c r="J93" s="9" t="n">
        <x:v>-0.0818908431327443</x:v>
      </x:c>
      <x:c r="K93" s="9" t="n">
        <x:v>0.15502849593309243</x:v>
      </x:c>
      <x:c r="L93" s="8" t="n">
        <x:v>887.3398483300718</x:v>
      </x:c>
      <x:c r="M93" s="10" t="n">
        <x:v>1</x:v>
      </x:c>
    </x:row>
    <x:row r="94">
      <x:c r="A94" s="2" t="str">
        <x:v>不加形态</x:v>
      </x:c>
      <x:c r="B94" s="6" t="d">
        <x:v>2025-05-12T00:00:00.000Z</x:v>
      </x:c>
      <x:c r="C94" s="7" t="str">
        <x:v>603912</x:v>
      </x:c>
      <x:c r="D94" s="7" t="str">
        <x:v>002490</x:v>
      </x:c>
      <x:c r="E94" s="8" t="n">
        <x:v>444645.5330383903</x:v>
      </x:c>
      <x:c r="F94" s="8" t="n">
        <x:v>381037.9862560057</x:v>
      </x:c>
      <x:c r="G94" s="8" t="n">
        <x:v>381037.9862560057</x:v>
      </x:c>
      <x:c r="H94" s="8" t="n">
        <x:v>442380.83444559074</x:v>
      </x:c>
      <x:c r="I94" s="8" t="n">
        <x:v>823418.8207015964</x:v>
      </x:c>
      <x:c r="J94" s="9" t="n">
        <x:v>-0.025506994332443744</x:v>
      </x:c>
      <x:c r="K94" s="9" t="n">
        <x:v>0.17658117929840356</x:v>
      </x:c>
      <x:c r="L94" s="8" t="n">
        <x:v>825.6207373683268</x:v>
      </x:c>
      <x:c r="M94" s="10" t="n">
        <x:v>1</x:v>
      </x:c>
    </x:row>
    <x:row r="95">
      <x:c r="A95" s="2" t="str">
        <x:v>不加形态</x:v>
      </x:c>
      <x:c r="B95" s="6" t="d">
        <x:v>2025-05-13T00:00:00.000Z</x:v>
      </x:c>
      <x:c r="C95" s="7" t="str">
        <x:v>000559</x:v>
      </x:c>
      <x:c r="D95" s="7" t="str">
        <x:v>603912</x:v>
      </x:c>
      <x:c r="E95" s="8" t="n">
        <x:v>381037.9862560057</x:v>
      </x:c>
      <x:c r="F95" s="8" t="n">
        <x:v>463762.57477712753</x:v>
      </x:c>
      <x:c r="G95" s="8" t="n">
        <x:v>463762.57477712753</x:v>
      </x:c>
      <x:c r="H95" s="8" t="n">
        <x:v>390273.9351315523</x:v>
      </x:c>
      <x:c r="I95" s="8" t="n">
        <x:v>854036.5099086799</x:v>
      </x:c>
      <x:c r="J95" s="9" t="n">
        <x:v>0.03718361596471098</x:v>
      </x:c>
      <x:c r="K95" s="9" t="n">
        <x:v>0.14596349009132015</x:v>
      </x:c>
      <x:c r="L95" s="8" t="n">
        <x:v>844.8841305057226</x:v>
      </x:c>
      <x:c r="M95" s="10" t="n">
        <x:v>1</x:v>
      </x:c>
    </x:row>
    <x:row r="96">
      <x:c r="A96" s="2" t="str">
        <x:v>不加形态</x:v>
      </x:c>
      <x:c r="B96" s="6" t="d">
        <x:v>2025-05-14T00:00:00.000Z</x:v>
      </x:c>
      <x:c r="C96" s="7" t="str">
        <x:v>605055</x:v>
      </x:c>
      <x:c r="D96" s="7" t="str">
        <x:v>000559</x:v>
      </x:c>
      <x:c r="E96" s="8" t="n">
        <x:v>463762.57477712753</x:v>
      </x:c>
      <x:c r="F96" s="8" t="n">
        <x:v>360262.109935091</x:v>
      </x:c>
      <x:c r="G96" s="8" t="n">
        <x:v>360262.109935091</x:v>
      </x:c>
      <x:c r="H96" s="8" t="n">
        <x:v>523299.31518608227</x:v>
      </x:c>
      <x:c r="I96" s="8" t="n">
        <x:v>883561.4251211733</x:v>
      </x:c>
      <x:c r="J96" s="9" t="n">
        <x:v>0.03457102228059372</x:v>
      </x:c>
      <x:c r="K96" s="9" t="n">
        <x:v>0.1164385748788267</x:v>
      </x:c>
      <x:c r="L96" s="8" t="n">
        <x:v>823.9220081693318</x:v>
      </x:c>
      <x:c r="M96" s="10" t="n">
        <x:v>1</x:v>
      </x:c>
    </x:row>
    <x:row r="97">
      <x:c r="A97" s="2" t="str">
        <x:v>不加形态</x:v>
      </x:c>
      <x:c r="B97" s="6" t="d">
        <x:v>2025-05-15T00:00:00.000Z</x:v>
      </x:c>
      <x:c r="C97" s="7" t="str">
        <x:v>603332</x:v>
      </x:c>
      <x:c r="D97" s="7" t="str">
        <x:v>605055</x:v>
      </x:c>
      <x:c r="E97" s="8" t="n">
        <x:v>360262.109935091</x:v>
      </x:c>
      <x:c r="F97" s="8" t="n">
        <x:v>575300.7928792012</x:v>
      </x:c>
      <x:c r="G97" s="8" t="n">
        <x:v>575300.7928792012</x:v>
      </x:c>
      <x:c r="H97" s="8" t="n">
        <x:v>414162.7736411031</x:v>
      </x:c>
      <x:c r="I97" s="8" t="n">
        <x:v>989463.5665203044</x:v>
      </x:c>
      <x:c r="J97" s="9" t="n">
        <x:v>0.11985826722189419</x:v>
      </x:c>
      <x:c r="K97" s="9" t="n">
        <x:v>0.010536433479695573</x:v>
      </x:c>
      <x:c r="L97" s="8" t="n">
        <x:v>935.7788772760613</x:v>
      </x:c>
      <x:c r="M97" s="10" t="n">
        <x:v>1</x:v>
      </x:c>
    </x:row>
    <x:row r="98">
      <x:c r="A98" s="2" t="str">
        <x:v>不加形态</x:v>
      </x:c>
      <x:c r="B98" s="6" t="d">
        <x:v>2025-05-16T00:00:00.000Z</x:v>
      </x:c>
      <x:c r="C98" s="7" t="str">
        <x:v>002040</x:v>
      </x:c>
      <x:c r="D98" s="7" t="str">
        <x:v>603332</x:v>
      </x:c>
      <x:c r="E98" s="8" t="n">
        <x:v>575300.7928792012</x:v>
      </x:c>
      <x:c r="F98" s="8" t="n">
        <x:v>384681.46162297577</x:v>
      </x:c>
      <x:c r="G98" s="8" t="n">
        <x:v>384681.46162297577</x:v>
      </x:c>
      <x:c r="H98" s="8" t="n">
        <x:v>575851.876933471</x:v>
      </x:c>
      <x:c r="I98" s="8" t="n">
        <x:v>960533.3385564467</x:v>
      </x:c>
      <x:c r="J98" s="9" t="n">
        <x:v>-0.029238295317530527</x:v>
      </x:c>
      <x:c r="K98" s="9" t="n">
        <x:v>0.039466661443553264</x:v>
      </x:c>
      <x:c r="L98" s="8" t="n">
        <x:v>959.7925949634177</x:v>
      </x:c>
      <x:c r="M98" s="10" t="n">
        <x:v>1</x:v>
      </x:c>
    </x:row>
    <x:row r="99">
      <x:c r="A99" s="2" t="str">
        <x:v>不加形态</x:v>
      </x:c>
      <x:c r="B99" s="6" t="d">
        <x:v>2025-05-19T00:00:00.000Z</x:v>
      </x:c>
      <x:c r="C99" s="7" t="str">
        <x:v>601022</x:v>
      </x:c>
      <x:c r="D99" s="7" t="str">
        <x:v>002040</x:v>
      </x:c>
      <x:c r="E99" s="8" t="n">
        <x:v>384681.46162297577</x:v>
      </x:c>
      <x:c r="F99" s="8" t="n">
        <x:v>632634.9249155471</x:v>
      </x:c>
      <x:c r="G99" s="8" t="n">
        <x:v>632634.9249155471</x:v>
      </x:c>
      <x:c r="H99" s="8" t="n">
        <x:v>398265.9628435199</x:v>
      </x:c>
      <x:c r="I99" s="8" t="n">
        <x:v>1030900.8877590671</x:v>
      </x:c>
      <x:c r="J99" s="9" t="n">
        <x:v>0.07325883067044137</x:v>
      </x:c>
      <x:c r="K99" s="9" t="n">
        <x:v>0</x:v>
      </x:c>
      <x:c r="L99" s="8" t="n">
        <x:v>1017.5653575671462</x:v>
      </x:c>
      <x:c r="M99" s="10" t="n">
        <x:v>1</x:v>
      </x:c>
    </x:row>
    <x:row r="100">
      <x:c r="A100" s="2" t="str">
        <x:v>不加形态</x:v>
      </x:c>
      <x:c r="B100" s="6" t="d">
        <x:v>2025-05-20T00:00:00.000Z</x:v>
      </x:c>
      <x:c r="C100" s="7" t="str">
        <x:v>600281</x:v>
      </x:c>
      <x:c r="D100" s="7" t="str">
        <x:v>601022</x:v>
      </x:c>
      <x:c r="E100" s="8" t="n">
        <x:v>632634.9249155471</x:v>
      </x:c>
      <x:c r="F100" s="8" t="n">
        <x:v>358173.9593898529</x:v>
      </x:c>
      <x:c r="G100" s="8" t="n">
        <x:v>358173.9593898529</x:v>
      </x:c>
      <x:c r="H100" s="8" t="n">
        <x:v>611281.5147150765</x:v>
      </x:c>
      <x:c r="I100" s="8" t="n">
        <x:v>969455.4741049295</x:v>
      </x:c>
      <x:c r="J100" s="9" t="n">
        <x:v>-0.05960360921572716</x:v>
      </x:c>
      <x:c r="K100" s="9" t="n">
        <x:v>0.05960360921572716</x:v>
      </x:c>
      <x:c r="L100" s="8" t="n">
        <x:v>990.5354138752296</x:v>
      </x:c>
      <x:c r="M100" s="10" t="n">
        <x:v>1</x:v>
      </x:c>
    </x:row>
    <x:row r="101">
      <x:c r="A101" s="2" t="str">
        <x:v>不加形态</x:v>
      </x:c>
      <x:c r="B101" s="6" t="d">
        <x:v>2025-05-21T00:00:00.000Z</x:v>
      </x:c>
      <x:c r="C101" s="7" t="str">
        <x:v>002735</x:v>
      </x:c>
      <x:c r="D101" s="7" t="str">
        <x:v>600281</x:v>
      </x:c>
      <x:c r="E101" s="8" t="n">
        <x:v>358173.9593898529</x:v>
      </x:c>
      <x:c r="F101" s="8" t="n">
        <x:v>559953.5528159247</x:v>
      </x:c>
      <x:c r="G101" s="8" t="n">
        <x:v>559953.5528159247</x:v>
      </x:c>
      <x:c r="H101" s="8" t="n">
        <x:v>375551.1697705507</x:v>
      </x:c>
      <x:c r="I101" s="8" t="n">
        <x:v>935504.7225864754</x:v>
      </x:c>
      <x:c r="J101" s="9" t="n">
        <x:v>-0.035020434073880335</x:v>
      </x:c>
      <x:c r="K101" s="9" t="n">
        <x:v>0.09253669902250272</x:v>
      </x:c>
      <x:c r="L101" s="8" t="n">
        <x:v>918.3302101293498</x:v>
      </x:c>
      <x:c r="M101" s="10" t="n">
        <x:v>1</x:v>
      </x:c>
    </x:row>
    <x:row r="102">
      <x:c r="A102" s="2" t="str">
        <x:v>不加形态</x:v>
      </x:c>
      <x:c r="B102" s="6" t="d">
        <x:v>2025-05-22T00:00:00.000Z</x:v>
      </x:c>
      <x:c r="C102" s="7" t="str">
        <x:v>002510</x:v>
      </x:c>
      <x:c r="D102" s="7" t="str">
        <x:v>002735</x:v>
      </x:c>
      <x:c r="E102" s="8" t="n">
        <x:v>559953.5528159247</x:v>
      </x:c>
      <x:c r="F102" s="8" t="n">
        <x:v>412765.0073182801</x:v>
      </x:c>
      <x:c r="G102" s="8" t="n">
        <x:v>412765.0073182801</x:v>
      </x:c>
      <x:c r="H102" s="8" t="n">
        <x:v>530393.3094181236</x:v>
      </x:c>
      <x:c r="I102" s="8" t="n">
        <x:v>943158.3167364036</x:v>
      </x:c>
      <x:c r="J102" s="9" t="n">
        <x:v>0.008181245872033172</x:v>
      </x:c>
      <x:c r="K102" s="9" t="n">
        <x:v>0.08511251863735891</x:v>
      </x:c>
      <x:c r="L102" s="8" t="n">
        <x:v>972.5723441609584</x:v>
      </x:c>
      <x:c r="M102" s="10" t="n">
        <x:v>1</x:v>
      </x:c>
    </x:row>
    <x:row r="103">
      <x:c r="A103" s="2" t="str">
        <x:v>不加形态</x:v>
      </x:c>
      <x:c r="B103" s="6" t="d">
        <x:v>2025-05-23T00:00:00.000Z</x:v>
      </x:c>
      <x:c r="C103" s="7" t="str">
        <x:v>002431</x:v>
      </x:c>
      <x:c r="D103" s="7" t="str">
        <x:v>002510</x:v>
      </x:c>
      <x:c r="E103" s="8" t="n">
        <x:v>412765.0073182801</x:v>
      </x:c>
      <x:c r="F103" s="8" t="n">
        <x:v>477069.77015376755</x:v>
      </x:c>
      <x:c r="G103" s="8" t="n">
        <x:v>477069.77015376755</x:v>
      </x:c>
      <x:c r="H103" s="8" t="n">
        <x:v>398607.56617482926</x:v>
      </x:c>
      <x:c r="I103" s="8" t="n">
        <x:v>875677.3363285968</x:v>
      </x:c>
      <x:c r="J103" s="9" t="n">
        <x:v>-0.07154788248203148</x:v>
      </x:c>
      <x:c r="K103" s="9" t="n">
        <x:v>0.15057078063817497</x:v>
      </x:c>
      <x:c r="L103" s="8" t="n">
        <x:v>889.8999721347936</x:v>
      </x:c>
      <x:c r="M103" s="10" t="n">
        <x:v>1</x:v>
      </x:c>
    </x:row>
    <x:row r="104">
      <x:c r="A104" s="2" t="str">
        <x:v>不加形态</x:v>
      </x:c>
      <x:c r="B104" s="6" t="d">
        <x:v>2025-05-26T00:00:00.000Z</x:v>
      </x:c>
      <x:c r="C104" s="7" t="str">
        <x:v>002471</x:v>
      </x:c>
      <x:c r="D104" s="7" t="str">
        <x:v>002431</x:v>
      </x:c>
      <x:c r="E104" s="8" t="n">
        <x:v>477069.77015376755</x:v>
      </x:c>
      <x:c r="F104" s="8" t="n">
        <x:v>437877.28398729436</x:v>
      </x:c>
      <x:c r="G104" s="8" t="n">
        <x:v>437877.28398729436</x:v>
      </x:c>
      <x:c r="H104" s="8" t="n">
        <x:v>487895.7819643827</x:v>
      </x:c>
      <x:c r="I104" s="8" t="n">
        <x:v>925773.065951677</x:v>
      </x:c>
      <x:c r="J104" s="9" t="n">
        <x:v>0.05720797780734377</x:v>
      </x:c>
      <x:c r="K104" s="9" t="n">
        <x:v>0.10197665270801437</x:v>
      </x:c>
      <x:c r="L104" s="8" t="n">
        <x:v>914.9087765636007</x:v>
      </x:c>
      <x:c r="M104" s="10" t="n">
        <x:v>1</x:v>
      </x:c>
    </x:row>
    <x:row r="105">
      <x:c r="A105" s="2" t="str">
        <x:v>不加形态</x:v>
      </x:c>
      <x:c r="B105" s="6" t="d">
        <x:v>2025-05-27T00:00:00.000Z</x:v>
      </x:c>
      <x:c r="C105" s="7" t="str">
        <x:v>603332</x:v>
      </x:c>
      <x:c r="D105" s="7" t="str">
        <x:v>002471</x:v>
      </x:c>
      <x:c r="E105" s="8" t="n">
        <x:v>437877.28398729436</x:v>
      </x:c>
      <x:c r="F105" s="8" t="n">
        <x:v>536336.8631737035</x:v>
      </x:c>
      <x:c r="G105" s="8" t="n">
        <x:v>536336.8631737035</x:v>
      </x:c>
      <x:c r="H105" s="8" t="n">
        <x:v>443724.25442329916</x:v>
      </x:c>
      <x:c r="I105" s="8" t="n">
        <x:v>980061.1175970028</x:v>
      </x:c>
      <x:c r="J105" s="9" t="n">
        <x:v>0.058640776710779274</x:v>
      </x:c>
      <x:c r="K105" s="9" t="n">
        <x:v>0.049315866118398555</x:v>
      </x:c>
      <x:c r="L105" s="8" t="n">
        <x:v>974.3135810537254</x:v>
      </x:c>
      <x:c r="M105" s="10" t="n">
        <x:v>1</x:v>
      </x:c>
    </x:row>
    <x:row r="106">
      <x:c r="A106" s="2" t="str">
        <x:v>不加形态</x:v>
      </x:c>
      <x:c r="B106" s="6" t="d">
        <x:v>2025-05-28T00:00:00.000Z</x:v>
      </x:c>
      <x:c r="C106" s="7" t="str">
        <x:v>603333</x:v>
      </x:c>
      <x:c r="D106" s="7" t="str">
        <x:v>603332</x:v>
      </x:c>
      <x:c r="E106" s="8" t="n">
        <x:v>536336.8631737035</x:v>
      </x:c>
      <x:c r="F106" s="8" t="n">
        <x:v>470859.44024008064</x:v>
      </x:c>
      <x:c r="G106" s="8" t="n">
        <x:v>470859.44024008064</x:v>
      </x:c>
      <x:c r="H106" s="8" t="n">
        <x:v>561226.8069571652</x:v>
      </x:c>
      <x:c r="I106" s="8" t="n">
        <x:v>1032086.247197246</x:v>
      </x:c>
      <x:c r="J106" s="9" t="n">
        <x:v>0.05308355638860851</x:v>
      </x:c>
      <x:c r="K106" s="9" t="n">
        <x:v>0</x:v>
      </x:c>
      <x:c r="L106" s="8" t="n">
        <x:v>1007.1318331226016</x:v>
      </x:c>
      <x:c r="M106" s="10" t="n">
        <x:v>1</x:v>
      </x:c>
    </x:row>
    <x:row r="107">
      <x:c r="A107" s="2" t="str">
        <x:v>不加形态</x:v>
      </x:c>
      <x:c r="B107" s="6" t="d">
        <x:v>2025-05-29T00:00:00.000Z</x:v>
      </x:c>
      <x:c r="C107" s="7"/>
      <x:c r="D107" s="7" t="str">
        <x:v>603333</x:v>
      </x:c>
      <x:c r="E107" s="8" t="n">
        <x:v>0</x:v>
      </x:c>
      <x:c r="F107" s="8" t="n">
        <x:v>617041.8981542621</x:v>
      </x:c>
      <x:c r="G107" s="8" t="n">
        <x:v>1087901.3383943427</x:v>
      </x:c>
      <x:c r="H107" s="8" t="n">
        <x:v>0</x:v>
      </x:c>
      <x:c r="I107" s="8" t="n">
        <x:v>1087901.3383943427</x:v>
      </x:c>
      <x:c r="J107" s="9" t="n">
        <x:v>0.05407987108506607</x:v>
      </x:c>
      <x:c r="K107" s="9" t="n">
        <x:v>0</x:v>
      </x:c>
      <x:c r="L107" s="8" t="n">
        <x:v>617.6595577119741</x:v>
      </x:c>
      <x:c r="M107" s="10" t="n">
        <x:v>0</x:v>
      </x:c>
    </x:row>
    <x:row r="108">
      <x:c r="A108" s="2" t="str">
        <x:v>不加形态</x:v>
      </x:c>
      <x:c r="B108" s="6" t="d">
        <x:v>2025-05-30T00:00:00.000Z</x:v>
      </x:c>
      <x:c r="C108" s="7" t="str">
        <x:v>603390</x:v>
      </x:c>
      <x:c r="D108" s="7"/>
      <x:c r="E108" s="8" t="n">
        <x:v>543950.6691971713</x:v>
      </x:c>
      <x:c r="F108" s="8" t="n">
        <x:v>0</x:v>
      </x:c>
      <x:c r="G108" s="8" t="n">
        <x:v>543950.6691971713</x:v>
      </x:c>
      <x:c r="H108" s="8" t="n">
        <x:v>508649.54315310717</x:v>
      </x:c>
      <x:c r="I108" s="8" t="n">
        <x:v>1052600.2123502786</x:v>
      </x:c>
      <x:c r="J108" s="9" t="n">
        <x:v>-0.0324488304207492</x:v>
      </x:c>
      <x:c r="K108" s="9" t="n">
        <x:v>0.0324488304207492</x:v>
      </x:c>
      <x:c r="L108" s="8" t="n">
        <x:v>543.4072619351791</x:v>
      </x:c>
      <x:c r="M108" s="10" t="n">
        <x:v>1</x:v>
      </x:c>
    </x:row>
    <x:row r="109">
      <x:c r="A109" s="2" t="str">
        <x:v>不加形态</x:v>
      </x:c>
      <x:c r="B109" s="6" t="d">
        <x:v>2025-06-03T00:00:00.000Z</x:v>
      </x:c>
      <x:c r="C109" s="7" t="str">
        <x:v>002537</x:v>
      </x:c>
      <x:c r="D109" s="7" t="str">
        <x:v>603390</x:v>
      </x:c>
      <x:c r="E109" s="8" t="n">
        <x:v>543950.6691971713</x:v>
      </x:c>
      <x:c r="F109" s="8" t="n">
        <x:v>471724.12956790737</x:v>
      </x:c>
      <x:c r="G109" s="8" t="n">
        <x:v>471724.12956790737</x:v>
      </x:c>
      <x:c r="H109" s="8" t="n">
        <x:v>544001.1496531982</x:v>
      </x:c>
      <x:c r="I109" s="8" t="n">
        <x:v>1015725.2792211056</x:v>
      </x:c>
      <x:c r="J109" s="9" t="n">
        <x:v>-0.035032230372476825</x:v>
      </x:c>
      <x:c r="K109" s="9" t="n">
        <x:v>0.06634430589060891</x:v>
      </x:c>
      <x:c r="L109" s="8" t="n">
        <x:v>1015.6035878289804</x:v>
      </x:c>
      <x:c r="M109" s="10" t="n">
        <x:v>1</x:v>
      </x:c>
    </x:row>
    <x:row r="110">
      <x:c r="A110" s="2" t="str">
        <x:v>不加形态</x:v>
      </x:c>
      <x:c r="B110" s="6" t="d">
        <x:v>2025-06-04T00:00:00.000Z</x:v>
      </x:c>
      <x:c r="C110" s="7" t="str">
        <x:v>603123</x:v>
      </x:c>
      <x:c r="D110" s="7" t="str">
        <x:v>002537</x:v>
      </x:c>
      <x:c r="E110" s="8" t="n">
        <x:v>471724.12956790737</x:v>
      </x:c>
      <x:c r="F110" s="8" t="n">
        <x:v>503706.461877194</x:v>
      </x:c>
      <x:c r="G110" s="8" t="n">
        <x:v>503706.461877194</x:v>
      </x:c>
      <x:c r="H110" s="8" t="n">
        <x:v>453655.6818931872</x:v>
      </x:c>
      <x:c r="I110" s="8" t="n">
        <x:v>957362.1437703812</x:v>
      </x:c>
      <x:c r="J110" s="9" t="n">
        <x:v>-0.05745956770464489</x:v>
      </x:c>
      <x:c r="K110" s="9" t="n">
        <x:v>0.11999175845911458</x:v>
      </x:c>
      <x:c r="L110" s="8" t="n">
        <x:v>975.4635492409147</x:v>
      </x:c>
      <x:c r="M110" s="10" t="n">
        <x:v>1</x:v>
      </x:c>
    </x:row>
    <x:row r="111">
      <x:c r="A111" s="2" t="str">
        <x:v>不加形态</x:v>
      </x:c>
      <x:c r="B111" s="6" t="d">
        <x:v>2025-06-05T00:00:00.000Z</x:v>
      </x:c>
      <x:c r="C111" s="7" t="str">
        <x:v>002177</x:v>
      </x:c>
      <x:c r="D111" s="7" t="str">
        <x:v>603123</x:v>
      </x:c>
      <x:c r="E111" s="8" t="n">
        <x:v>503706.461877194</x:v>
      </x:c>
      <x:c r="F111" s="8" t="n">
        <x:v>498557.3880276299</x:v>
      </x:c>
      <x:c r="G111" s="8" t="n">
        <x:v>498557.3880276299</x:v>
      </x:c>
      <x:c r="H111" s="8" t="n">
        <x:v>540526.9440260459</x:v>
      </x:c>
      <x:c r="I111" s="8" t="n">
        <x:v>1039084.3320536758</x:v>
      </x:c>
      <x:c r="J111" s="9" t="n">
        <x:v>0.08536183388393437</x:v>
      </x:c>
      <x:c r="K111" s="9" t="n">
        <x:v>0.044872641128208324</x:v>
      </x:c>
      <x:c r="L111" s="8" t="n">
        <x:v>1002.2597030906397</x:v>
      </x:c>
      <x:c r="M111" s="10" t="n">
        <x:v>1</x:v>
      </x:c>
    </x:row>
    <x:row r="112">
      <x:c r="A112" s="2" t="str">
        <x:v>不加形态</x:v>
      </x:c>
      <x:c r="B112" s="6" t="d">
        <x:v>2025-06-06T00:00:00.000Z</x:v>
      </x:c>
      <x:c r="C112" s="7" t="str">
        <x:v>603093</x:v>
      </x:c>
      <x:c r="D112" s="7" t="str">
        <x:v>002177</x:v>
      </x:c>
      <x:c r="E112" s="8" t="n">
        <x:v>498557.3880276299</x:v>
      </x:c>
      <x:c r="F112" s="8" t="n">
        <x:v>522674.8919967763</x:v>
      </x:c>
      <x:c r="G112" s="8" t="n">
        <x:v>522674.8919967763</x:v>
      </x:c>
      <x:c r="H112" s="8" t="n">
        <x:v>502631.1475908758</x:v>
      </x:c>
      <x:c r="I112" s="8" t="n">
        <x:v>1025306.0395876521</x:v>
      </x:c>
      <x:c r="J112" s="9" t="n">
        <x:v>-0.013260032935721311</x:v>
      </x:c>
      <x:c r="K112" s="9" t="n">
        <x:v>0.05753766136465677</x:v>
      </x:c>
      <x:c r="L112" s="8" t="n">
        <x:v>1021.2574187857656</x:v>
      </x:c>
      <x:c r="M112" s="10" t="n">
        <x:v>1</x:v>
      </x:c>
    </x:row>
    <x:row r="113">
      <x:c r="A113" s="2" t="str">
        <x:v>不加形态</x:v>
      </x:c>
      <x:c r="B113" s="6" t="d">
        <x:v>2025-06-09T00:00:00.000Z</x:v>
      </x:c>
      <x:c r="C113" s="7" t="str">
        <x:v>002298</x:v>
      </x:c>
      <x:c r="D113" s="7" t="str">
        <x:v>603093</x:v>
      </x:c>
      <x:c r="E113" s="8" t="n">
        <x:v>522674.8919967763</x:v>
      </x:c>
      <x:c r="F113" s="8" t="n">
        <x:v>552368.2342468665</x:v>
      </x:c>
      <x:c r="G113" s="8" t="n">
        <x:v>552368.2342468665</x:v>
      </x:c>
      <x:c r="H113" s="8" t="n">
        <x:v>512149.8132181027</x:v>
      </x:c>
      <x:c r="I113" s="8" t="n">
        <x:v>1064518.047464969</x:v>
      </x:c>
      <x:c r="J113" s="9" t="n">
        <x:v>0.03824419867173212</x:v>
      </x:c>
      <x:c r="K113" s="9" t="n">
        <x:v>0.021493944445261426</x:v>
      </x:c>
      <x:c r="L113" s="8" t="n">
        <x:v>1075.0738946597041</x:v>
      </x:c>
      <x:c r="M113" s="10" t="n">
        <x:v>1</x:v>
      </x:c>
    </x:row>
    <x:row r="114">
      <x:c r="A114" s="2" t="str">
        <x:v>不加形态</x:v>
      </x:c>
      <x:c r="B114" s="6" t="d">
        <x:v>2025-06-10T00:00:00.000Z</x:v>
      </x:c>
      <x:c r="C114" s="7" t="str">
        <x:v>003040</x:v>
      </x:c>
      <x:c r="D114" s="7" t="str">
        <x:v>002298</x:v>
      </x:c>
      <x:c r="E114" s="8" t="n">
        <x:v>552368.2342468665</x:v>
      </x:c>
      <x:c r="F114" s="8" t="n">
        <x:v>562934.6687202181</x:v>
      </x:c>
      <x:c r="G114" s="8" t="n">
        <x:v>562934.6687202181</x:v>
      </x:c>
      <x:c r="H114" s="8" t="n">
        <x:v>550239.7994923831</x:v>
      </x:c>
      <x:c r="I114" s="8" t="n">
        <x:v>1113174.4682126013</x:v>
      </x:c>
      <x:c r="J114" s="9" t="n">
        <x:v>0.04570746439057749</x:v>
      </x:c>
      <x:c r="K114" s="9" t="n">
        <x:v>0</x:v>
      </x:c>
      <x:c r="L114" s="8" t="n">
        <x:v>1115.3145847161222</x:v>
      </x:c>
      <x:c r="M114" s="10" t="n">
        <x:v>1</x:v>
      </x:c>
    </x:row>
    <x:row r="115">
      <x:c r="A115" s="2" t="str">
        <x:v>不加形态</x:v>
      </x:c>
      <x:c r="B115" s="6" t="d">
        <x:v>2025-06-11T00:00:00.000Z</x:v>
      </x:c>
      <x:c r="C115" s="7" t="str">
        <x:v>002940</x:v>
      </x:c>
      <x:c r="D115" s="7" t="str">
        <x:v>003040</x:v>
      </x:c>
      <x:c r="E115" s="8" t="n">
        <x:v>562934.6687202181</x:v>
      </x:c>
      <x:c r="F115" s="8" t="n">
        <x:v>604816.0198340116</x:v>
      </x:c>
      <x:c r="G115" s="8" t="n">
        <x:v>604816.0198340116</x:v>
      </x:c>
      <x:c r="H115" s="8" t="n">
        <x:v>583838.5948161142</x:v>
      </x:c>
      <x:c r="I115" s="8" t="n">
        <x:v>1188654.6146501256</x:v>
      </x:c>
      <x:c r="J115" s="9" t="n">
        <x:v>0.06780621420353006</x:v>
      </x:c>
      <x:c r="K115" s="9" t="n">
        <x:v>0</x:v>
      </x:c>
      <x:c r="L115" s="8" t="n">
        <x:v>1167.7937376990544</x:v>
      </x:c>
      <x:c r="M115" s="10" t="n">
        <x:v>1</x:v>
      </x:c>
    </x:row>
    <x:row r="116">
      <x:c r="A116" s="2" t="str">
        <x:v>不加形态</x:v>
      </x:c>
      <x:c r="B116" s="6" t="d">
        <x:v>2025-06-12T00:00:00.000Z</x:v>
      </x:c>
      <x:c r="C116" s="7" t="str">
        <x:v>002181</x:v>
      </x:c>
      <x:c r="D116" s="7" t="str">
        <x:v>002940</x:v>
      </x:c>
      <x:c r="E116" s="8" t="n">
        <x:v>604816.0198340116</x:v>
      </x:c>
      <x:c r="F116" s="8" t="n">
        <x:v>605369.7393181607</x:v>
      </x:c>
      <x:c r="G116" s="8" t="n">
        <x:v>605369.7393181607</x:v>
      </x:c>
      <x:c r="H116" s="8" t="n">
        <x:v>632712.3650083435</x:v>
      </x:c>
      <x:c r="I116" s="8" t="n">
        <x:v>1238082.1043265043</x:v>
      </x:c>
      <x:c r="J116" s="9" t="n">
        <x:v>0.0415827180302728</x:v>
      </x:c>
      <x:c r="K116" s="9" t="n">
        <x:v>0</x:v>
      </x:c>
      <x:c r="L116" s="8" t="n">
        <x:v>1210.1875230591472</x:v>
      </x:c>
      <x:c r="M116" s="10" t="n">
        <x:v>1</x:v>
      </x:c>
    </x:row>
    <x:row r="117">
      <x:c r="A117" s="2" t="str">
        <x:v>不加形态</x:v>
      </x:c>
      <x:c r="B117" s="6" t="d">
        <x:v>2025-06-13T00:00:00.000Z</x:v>
      </x:c>
      <x:c r="C117" s="7" t="str">
        <x:v>600281</x:v>
      </x:c>
      <x:c r="D117" s="7" t="str">
        <x:v>002181</x:v>
      </x:c>
      <x:c r="E117" s="8" t="n">
        <x:v>605369.7393181607</x:v>
      </x:c>
      <x:c r="F117" s="8" t="n">
        <x:v>568729.3270968747</x:v>
      </x:c>
      <x:c r="G117" s="8" t="n">
        <x:v>568729.3270968747</x:v>
      </x:c>
      <x:c r="H117" s="8" t="n">
        <x:v>636317.9295269726</x:v>
      </x:c>
      <x:c r="I117" s="8" t="n">
        <x:v>1205047.2566238474</x:v>
      </x:c>
      <x:c r="J117" s="9" t="n">
        <x:v>-0.02668227542197399</x:v>
      </x:c>
      <x:c r="K117" s="9" t="n">
        <x:v>0.02668227542197399</x:v>
      </x:c>
      <x:c r="L117" s="8" t="n">
        <x:v>1174.0636000663044</x:v>
      </x:c>
      <x:c r="M117" s="10" t="n">
        <x:v>1</x:v>
      </x:c>
    </x:row>
    <x:row r="118">
      <x:c r="A118" s="2" t="str">
        <x:v>不加形态</x:v>
      </x:c>
      <x:c r="B118" s="6" t="d">
        <x:v>2025-06-16T00:00:00.000Z</x:v>
      </x:c>
      <x:c r="C118" s="7" t="str">
        <x:v>601279</x:v>
      </x:c>
      <x:c r="D118" s="7" t="str">
        <x:v>600281</x:v>
      </x:c>
      <x:c r="E118" s="8" t="n">
        <x:v>568729.3270968747</x:v>
      </x:c>
      <x:c r="F118" s="8" t="n">
        <x:v>672456.5808634136</x:v>
      </x:c>
      <x:c r="G118" s="8" t="n">
        <x:v>672456.5808634136</x:v>
      </x:c>
      <x:c r="H118" s="8" t="n">
        <x:v>560483.3123372823</x:v>
      </x:c>
      <x:c r="I118" s="8" t="n">
        <x:v>1232939.893200696</x:v>
      </x:c>
      <x:c r="J118" s="9" t="n">
        <x:v>0.02314650850705613</x:v>
      </x:c>
      <x:c r="K118" s="9" t="n">
        <x:v>0.004153368429960169</x:v>
      </x:c>
      <x:c r="L118" s="8" t="n">
        <x:v>1241.2908765049006</x:v>
      </x:c>
      <x:c r="M118" s="10" t="n">
        <x:v>1</x:v>
      </x:c>
    </x:row>
    <x:row r="119">
      <x:c r="A119" s="2" t="str">
        <x:v>不加形态</x:v>
      </x:c>
      <x:c r="B119" s="6" t="d">
        <x:v>2025-06-17T00:00:00.000Z</x:v>
      </x:c>
      <x:c r="C119" s="7" t="str">
        <x:v>002828</x:v>
      </x:c>
      <x:c r="D119" s="7" t="str">
        <x:v>601279</x:v>
      </x:c>
      <x:c r="E119" s="8" t="n">
        <x:v>672456.5808634136</x:v>
      </x:c>
      <x:c r="F119" s="8" t="n">
        <x:v>503674.8735977817</x:v>
      </x:c>
      <x:c r="G119" s="8" t="n">
        <x:v>503674.8735977817</x:v>
      </x:c>
      <x:c r="H119" s="8" t="n">
        <x:v>749086.0602723561</x:v>
      </x:c>
      <x:c r="I119" s="8" t="n">
        <x:v>1252760.933870138</x:v>
      </x:c>
      <x:c r="J119" s="9" t="n">
        <x:v>0.01607624246627859</x:v>
      </x:c>
      <x:c r="K119" s="9" t="n">
        <x:v>0</x:v>
      </x:c>
      <x:c r="L119" s="8" t="n">
        <x:v>1175.9638487177128</x:v>
      </x:c>
      <x:c r="M119" s="10" t="n">
        <x:v>1</x:v>
      </x:c>
    </x:row>
    <x:row r="120">
      <x:c r="A120" s="2" t="str">
        <x:v>不加形态</x:v>
      </x:c>
      <x:c r="B120" s="6" t="d">
        <x:v>2025-06-18T00:00:00.000Z</x:v>
      </x:c>
      <x:c r="C120" s="7"/>
      <x:c r="D120" s="7" t="str">
        <x:v>002828</x:v>
      </x:c>
      <x:c r="E120" s="8" t="n">
        <x:v>0</x:v>
      </x:c>
      <x:c r="F120" s="8" t="n">
        <x:v>823109.3827738152</x:v>
      </x:c>
      <x:c r="G120" s="8" t="n">
        <x:v>1326784.2563715968</x:v>
      </x:c>
      <x:c r="H120" s="8" t="n">
        <x:v>0</x:v>
      </x:c>
      <x:c r="I120" s="8" t="n">
        <x:v>1326784.2563715968</x:v>
      </x:c>
      <x:c r="J120" s="9" t="n">
        <x:v>0.059088147227563725</x:v>
      </x:c>
      <x:c r="K120" s="9" t="n">
        <x:v>0</x:v>
      </x:c>
      <x:c r="L120" s="8" t="n">
        <x:v>823.9333160899051</x:v>
      </x:c>
      <x:c r="M120" s="10" t="n">
        <x:v>0</x:v>
      </x:c>
    </x:row>
    <x:row r="121">
      <x:c r="A121" s="2" t="str">
        <x:v>不加形态</x:v>
      </x:c>
      <x:c r="B121" s="6" t="d">
        <x:v>2025-06-19T00:00:00.000Z</x:v>
      </x:c>
      <x:c r="C121" s="7" t="str">
        <x:v>600722</x:v>
      </x:c>
      <x:c r="D121" s="7"/>
      <x:c r="E121" s="8" t="n">
        <x:v>663392.1281857984</x:v>
      </x:c>
      <x:c r="F121" s="8" t="n">
        <x:v>0</x:v>
      </x:c>
      <x:c r="G121" s="8" t="n">
        <x:v>663392.1281857984</x:v>
      </x:c>
      <x:c r="H121" s="8" t="n">
        <x:v>734863.2108998835</x:v>
      </x:c>
      <x:c r="I121" s="8" t="n">
        <x:v>1398255.3390856818</x:v>
      </x:c>
      <x:c r="J121" s="9" t="n">
        <x:v>0.05386790080667625</x:v>
      </x:c>
      <x:c r="K121" s="9" t="n">
        <x:v>0</x:v>
      </x:c>
      <x:c r="L121" s="8" t="n">
        <x:v>662.7293987869052</x:v>
      </x:c>
      <x:c r="M121" s="10" t="n">
        <x:v>1</x:v>
      </x:c>
    </x:row>
    <x:row r="122">
      <x:c r="A122" s="2" t="str">
        <x:v>不加形态</x:v>
      </x:c>
      <x:c r="B122" s="6" t="d">
        <x:v>2025-06-20T00:00:00.000Z</x:v>
      </x:c>
      <x:c r="C122" s="7" t="str">
        <x:v>002490</x:v>
      </x:c>
      <x:c r="D122" s="7" t="str">
        <x:v>600722</x:v>
      </x:c>
      <x:c r="E122" s="8" t="n">
        <x:v>663392.1281857984</x:v>
      </x:c>
      <x:c r="F122" s="8" t="n">
        <x:v>661165.898409465</x:v>
      </x:c>
      <x:c r="G122" s="8" t="n">
        <x:v>661165.898409465</x:v>
      </x:c>
      <x:c r="H122" s="8" t="n">
        <x:v>687202.419421687</x:v>
      </x:c>
      <x:c r="I122" s="8" t="n">
        <x:v>1348368.3178311521</x:v>
      </x:c>
      <x:c r="J122" s="9" t="n">
        <x:v>-0.03567804810754438</x:v>
      </x:c>
      <x:c r="K122" s="9" t="n">
        <x:v>0.03567804810754438</x:v>
      </x:c>
      <x:c r="L122" s="8" t="n">
        <x:v>1324.5571249225059</x:v>
      </x:c>
      <x:c r="M122" s="10" t="n">
        <x:v>1</x:v>
      </x:c>
    </x:row>
    <x:row r="123">
      <x:c r="A123" s="2" t="str">
        <x:v>不加形态</x:v>
      </x:c>
      <x:c r="B123" s="6" t="d">
        <x:v>2025-06-23T00:00:00.000Z</x:v>
      </x:c>
      <x:c r="C123" s="7" t="str">
        <x:v>002579</x:v>
      </x:c>
      <x:c r="D123" s="7" t="str">
        <x:v>002490</x:v>
      </x:c>
      <x:c r="E123" s="8" t="n">
        <x:v>661165.898409465</x:v>
      </x:c>
      <x:c r="F123" s="8" t="n">
        <x:v>754971.1503215795</x:v>
      </x:c>
      <x:c r="G123" s="8" t="n">
        <x:v>754971.1503215795</x:v>
      </x:c>
      <x:c r="H123" s="8" t="n">
        <x:v>717262.7025202228</x:v>
      </x:c>
      <x:c r="I123" s="8" t="n">
        <x:v>1472233.8528418024</x:v>
      </x:c>
      <x:c r="J123" s="9" t="n">
        <x:v>0.09186327902593239</x:v>
      </x:c>
      <x:c r="K123" s="9" t="n">
        <x:v>0</x:v>
      </x:c>
      <x:c r="L123" s="8" t="n">
        <x:v>1416.2322702151632</x:v>
      </x:c>
      <x:c r="M123" s="10" t="n">
        <x:v>1</x:v>
      </x:c>
    </x:row>
    <x:row r="124">
      <x:c r="A124" s="2" t="str">
        <x:v>不加形态</x:v>
      </x:c>
      <x:c r="B124" s="6" t="d">
        <x:v>2025-06-24T00:00:00.000Z</x:v>
      </x:c>
      <x:c r="C124" s="7" t="str">
        <x:v>600798</x:v>
      </x:c>
      <x:c r="D124" s="7" t="str">
        <x:v>002579</x:v>
      </x:c>
      <x:c r="E124" s="8" t="n">
        <x:v>754971.1503215795</x:v>
      </x:c>
      <x:c r="F124" s="8" t="n">
        <x:v>788199.9837994728</x:v>
      </x:c>
      <x:c r="G124" s="8" t="n">
        <x:v>788199.9837994728</x:v>
      </x:c>
      <x:c r="H124" s="8" t="n">
        <x:v>746613.9401080685</x:v>
      </x:c>
      <x:c r="I124" s="8" t="n">
        <x:v>1534813.9239075412</x:v>
      </x:c>
      <x:c r="J124" s="9" t="n">
        <x:v>0.042506882276170055</x:v>
      </x:c>
      <x:c r="K124" s="9" t="n">
        <x:v>0</x:v>
      </x:c>
      <x:c r="L124" s="8" t="n">
        <x:v>1543.2059061603918</x:v>
      </x:c>
      <x:c r="M124" s="10" t="n">
        <x:v>1</x:v>
      </x:c>
    </x:row>
    <x:row r="125">
      <x:c r="A125" s="2" t="str">
        <x:v>不加形态</x:v>
      </x:c>
      <x:c r="B125" s="6" t="d">
        <x:v>2025-06-25T00:00:00.000Z</x:v>
      </x:c>
      <x:c r="C125" s="7" t="str">
        <x:v>603928</x:v>
      </x:c>
      <x:c r="D125" s="7" t="str">
        <x:v>600798</x:v>
      </x:c>
      <x:c r="E125" s="8" t="n">
        <x:v>788199.9837994728</x:v>
      </x:c>
      <x:c r="F125" s="8" t="n">
        <x:v>672951.5794142698</x:v>
      </x:c>
      <x:c r="G125" s="8" t="n">
        <x:v>672951.5794142698</x:v>
      </x:c>
      <x:c r="H125" s="8" t="n">
        <x:v>812755.6071175784</x:v>
      </x:c>
      <x:c r="I125" s="8" t="n">
        <x:v>1485707.1865318483</x:v>
      </x:c>
      <x:c r="J125" s="9" t="n">
        <x:v>-0.03199523838738072</x:v>
      </x:c>
      <x:c r="K125" s="9" t="n">
        <x:v>0.03199523838738072</x:v>
      </x:c>
      <x:c r="L125" s="8" t="n">
        <x:v>1461.037775846998</x:v>
      </x:c>
      <x:c r="M125" s="10" t="n">
        <x:v>1</x:v>
      </x:c>
    </x:row>
    <x:row r="126">
      <x:c r="A126" s="2" t="str">
        <x:v>不加形态</x:v>
      </x:c>
      <x:c r="B126" s="6" t="d">
        <x:v>2025-06-26T00:00:00.000Z</x:v>
      </x:c>
      <x:c r="C126" s="7" t="str">
        <x:v>002125</x:v>
      </x:c>
      <x:c r="D126" s="7" t="str">
        <x:v>603928</x:v>
      </x:c>
      <x:c r="E126" s="8" t="n">
        <x:v>672951.5794142698</x:v>
      </x:c>
      <x:c r="F126" s="8" t="n">
        <x:v>757754.1054030886</x:v>
      </x:c>
      <x:c r="G126" s="8" t="n">
        <x:v>757754.1054030886</x:v>
      </x:c>
      <x:c r="H126" s="8" t="n">
        <x:v>606309.7488267203</x:v>
      </x:c>
      <x:c r="I126" s="8" t="n">
        <x:v>1364063.8542298088</x:v>
      </x:c>
      <x:c r="J126" s="9" t="n">
        <x:v>-0.08187571104505242</x:v>
      </x:c>
      <x:c r="K126" s="9" t="n">
        <x:v>0.11125131653941045</x:v>
      </x:c>
      <x:c r="L126" s="8" t="n">
        <x:v>1430.791918135133</x:v>
      </x:c>
      <x:c r="M126" s="10" t="n">
        <x:v>1</x:v>
      </x:c>
    </x:row>
    <x:row r="127">
      <x:c r="A127" s="2" t="str">
        <x:v>不加形态</x:v>
      </x:c>
      <x:c r="B127" s="6" t="d">
        <x:v>2025-06-27T00:00:00.000Z</x:v>
      </x:c>
      <x:c r="C127" s="7" t="str">
        <x:v>002759</x:v>
      </x:c>
      <x:c r="D127" s="7" t="str">
        <x:v>002125</x:v>
      </x:c>
      <x:c r="E127" s="8" t="n">
        <x:v>757754.1054030886</x:v>
      </x:c>
      <x:c r="F127" s="8" t="n">
        <x:v>564180.3731285285</x:v>
      </x:c>
      <x:c r="G127" s="8" t="n">
        <x:v>564180.3731285285</x:v>
      </x:c>
      <x:c r="H127" s="8" t="n">
        <x:v>690047.2764753768</x:v>
      </x:c>
      <x:c r="I127" s="8" t="n">
        <x:v>1254227.6496039052</x:v>
      </x:c>
      <x:c r="J127" s="9" t="n">
        <x:v>-0.0805213071846409</x:v>
      </x:c>
      <x:c r="K127" s="9" t="n">
        <x:v>0.18281452229028572</x:v>
      </x:c>
      <x:c r="L127" s="8" t="n">
        <x:v>1321.7422265415203</x:v>
      </x:c>
      <x:c r="M127" s="10" t="n">
        <x:v>1</x:v>
      </x:c>
    </x:row>
    <x:row r="128">
      <x:c r="A128" s="2" t="str">
        <x:v>不加形态</x:v>
      </x:c>
      <x:c r="B128" s="6" t="d">
        <x:v>2025-06-30T00:00:00.000Z</x:v>
      </x:c>
      <x:c r="C128" s="7" t="str">
        <x:v>002263</x:v>
      </x:c>
      <x:c r="D128" s="7" t="str">
        <x:v>002759</x:v>
      </x:c>
      <x:c r="E128" s="8" t="n">
        <x:v>564180.3731285285</x:v>
      </x:c>
      <x:c r="F128" s="8" t="n">
        <x:v>665517.7861142133</x:v>
      </x:c>
      <x:c r="G128" s="8" t="n">
        <x:v>665517.7861142133</x:v>
      </x:c>
      <x:c r="H128" s="8" t="n">
        <x:v>610954.6466711302</x:v>
      </x:c>
      <x:c r="I128" s="8" t="n">
        <x:v>1276472.4327853434</x:v>
      </x:c>
      <x:c r="J128" s="9" t="n">
        <x:v>0.017735841805483377</x:v>
      </x:c>
      <x:c r="K128" s="9" t="n">
        <x:v>0.1683210499318878</x:v>
      </x:c>
      <x:c r="L128" s="8" t="n">
        <x:v>1229.8007264563348</x:v>
      </x:c>
      <x:c r="M128" s="10" t="n">
        <x:v>1</x:v>
      </x:c>
    </x:row>
    <x:row r="129">
      <x:c r="A129" s="2" t="str">
        <x:v>不加形态</x:v>
      </x:c>
      <x:c r="B129" s="6" t="d">
        <x:v>2025-07-01T00:00:00.000Z</x:v>
      </x:c>
      <x:c r="C129" s="7" t="str">
        <x:v>600241</x:v>
      </x:c>
      <x:c r="D129" s="7" t="str">
        <x:v>002263</x:v>
      </x:c>
      <x:c r="E129" s="8" t="n">
        <x:v>665517.7861142133</x:v>
      </x:c>
      <x:c r="F129" s="8" t="n">
        <x:v>622166.3301266278</x:v>
      </x:c>
      <x:c r="G129" s="8" t="n">
        <x:v>622166.3301266278</x:v>
      </x:c>
      <x:c r="H129" s="8" t="n">
        <x:v>639834.9488656594</x:v>
      </x:c>
      <x:c r="I129" s="8" t="n">
        <x:v>1262001.2789922873</x:v>
      </x:c>
      <x:c r="J129" s="9" t="n">
        <x:v>-0.011336832211471304</x:v>
      </x:c>
      <x:c r="K129" s="9" t="n">
        <x:v>0.1777496546426226</x:v>
      </x:c>
      <x:c r="L129" s="8" t="n">
        <x:v>1287.6420524268578</x:v>
      </x:c>
      <x:c r="M129" s="10" t="n">
        <x:v>1</x:v>
      </x:c>
    </x:row>
    <x:row r="130">
      <x:c r="A130" s="2" t="str">
        <x:v>不加形态</x:v>
      </x:c>
      <x:c r="B130" s="6" t="d">
        <x:v>2025-07-02T00:00:00.000Z</x:v>
      </x:c>
      <x:c r="C130" s="7" t="str">
        <x:v>002173</x:v>
      </x:c>
      <x:c r="D130" s="7" t="str">
        <x:v>600241</x:v>
      </x:c>
      <x:c r="E130" s="8" t="n">
        <x:v>622166.3301266278</x:v>
      </x:c>
      <x:c r="F130" s="8" t="n">
        <x:v>587959.532938126</x:v>
      </x:c>
      <x:c r="G130" s="8" t="n">
        <x:v>587959.532938126</x:v>
      </x:c>
      <x:c r="H130" s="8" t="n">
        <x:v>578719.5394239167</x:v>
      </x:c>
      <x:c r="I130" s="8" t="n">
        <x:v>1166679.0723620427</x:v>
      </x:c>
      <x:c r="J130" s="9" t="n">
        <x:v>-0.07553257529688062</x:v>
      </x:c>
      <x:c r="K130" s="9" t="n">
        <x:v>0.23985634076621476</x:v>
      </x:c>
      <x:c r="L130" s="8" t="n">
        <x:v>1210.0928663603931</x:v>
      </x:c>
      <x:c r="M130" s="10" t="n">
        <x:v>1</x:v>
      </x:c>
    </x:row>
    <x:row r="131">
      <x:c r="A131" s="2" t="str">
        <x:v>不加形态</x:v>
      </x:c>
      <x:c r="B131" s="6" t="d">
        <x:v>2025-07-03T00:00:00.000Z</x:v>
      </x:c>
      <x:c r="C131" s="7" t="str">
        <x:v>603316</x:v>
      </x:c>
      <x:c r="D131" s="7" t="str">
        <x:v>002173</x:v>
      </x:c>
      <x:c r="E131" s="8" t="n">
        <x:v>587959.532938126</x:v>
      </x:c>
      <x:c r="F131" s="8" t="n">
        <x:v>590474.4907086954</x:v>
      </x:c>
      <x:c r="G131" s="8" t="n">
        <x:v>590474.4907086954</x:v>
      </x:c>
      <x:c r="H131" s="8" t="n">
        <x:v>608204.5644035349</x:v>
      </x:c>
      <x:c r="I131" s="8" t="n">
        <x:v>1198679.0551122301</x:v>
      </x:c>
      <x:c r="J131" s="9" t="n">
        <x:v>0.027428264985846162</x:v>
      </x:c>
      <x:c r="K131" s="9" t="n">
        <x:v>0.21900691905343972</x:v>
      </x:c>
      <x:c r="L131" s="8" t="n">
        <x:v>1178.4377170422936</x:v>
      </x:c>
      <x:c r="M131" s="10" t="n">
        <x:v>1</x:v>
      </x:c>
    </x:row>
    <x:row r="132">
      <x:c r="A132" s="2" t="str">
        <x:v>不加形态</x:v>
      </x:c>
      <x:c r="B132" s="6" t="d">
        <x:v>2025-07-04T00:00:00.000Z</x:v>
      </x:c>
      <x:c r="C132" s="7" t="str">
        <x:v>601218</x:v>
      </x:c>
      <x:c r="D132" s="7" t="str">
        <x:v>603316</x:v>
      </x:c>
      <x:c r="E132" s="8" t="n">
        <x:v>590474.4907086954</x:v>
      </x:c>
      <x:c r="F132" s="8" t="n">
        <x:v>589830.3844052386</x:v>
      </x:c>
      <x:c r="G132" s="8" t="n">
        <x:v>589830.3844052386</x:v>
      </x:c>
      <x:c r="H132" s="8" t="n">
        <x:v>580446.4524049513</x:v>
      </x:c>
      <x:c r="I132" s="8" t="n">
        <x:v>1170276.8368101898</x:v>
      </x:c>
      <x:c r="J132" s="9" t="n">
        <x:v>-0.023694597966743558</x:v>
      </x:c>
      <x:c r="K132" s="9" t="n">
        <x:v>0.23751223612127692</x:v>
      </x:c>
      <x:c r="L132" s="8" t="n">
        <x:v>1180.3054113129306</x:v>
      </x:c>
      <x:c r="M132" s="10" t="n">
        <x:v>1</x:v>
      </x:c>
    </x:row>
    <x:row r="133">
      <x:c r="A133" s="2" t="str">
        <x:v>不加形态</x:v>
      </x:c>
      <x:c r="B133" s="6" t="d">
        <x:v>2025-07-07T00:00:00.000Z</x:v>
      </x:c>
      <x:c r="C133" s="7" t="str">
        <x:v>603716</x:v>
      </x:c>
      <x:c r="D133" s="7" t="str">
        <x:v>601218</x:v>
      </x:c>
      <x:c r="E133" s="8" t="n">
        <x:v>589830.3844052386</x:v>
      </x:c>
      <x:c r="F133" s="8" t="n">
        <x:v>529186.6599038482</x:v>
      </x:c>
      <x:c r="G133" s="8" t="n">
        <x:v>529186.6599038482</x:v>
      </x:c>
      <x:c r="H133" s="8" t="n">
        <x:v>581498.1584622136</x:v>
      </x:c>
      <x:c r="I133" s="8" t="n">
        <x:v>1110684.818366062</x:v>
      </x:c>
      <x:c r="J133" s="9" t="n">
        <x:v>-0.05092130047327703</x:v>
      </x:c>
      <x:c r="K133" s="9" t="n">
        <x:v>0.2763391046529424</x:v>
      </x:c>
      <x:c r="L133" s="8" t="n">
        <x:v>1118.9575195420257</x:v>
      </x:c>
      <x:c r="M133" s="10" t="n">
        <x:v>1</x:v>
      </x:c>
    </x:row>
    <x:row r="134">
      <x:c r="A134" s="2" t="str">
        <x:v>不加形态</x:v>
      </x:c>
      <x:c r="B134" s="6" t="d">
        <x:v>2025-07-08T00:00:00.000Z</x:v>
      </x:c>
      <x:c r="C134" s="7" t="str">
        <x:v>002721</x:v>
      </x:c>
      <x:c r="D134" s="7" t="str">
        <x:v>603716</x:v>
      </x:c>
      <x:c r="E134" s="8" t="n">
        <x:v>529186.6599038482</x:v>
      </x:c>
      <x:c r="F134" s="8" t="n">
        <x:v>546365.9135302482</x:v>
      </x:c>
      <x:c r="G134" s="8" t="n">
        <x:v>546365.9135302482</x:v>
      </x:c>
      <x:c r="H134" s="8" t="n">
        <x:v>558027.8908964988</x:v>
      </x:c>
      <x:c r="I134" s="8" t="n">
        <x:v>1104393.804426747</x:v>
      </x:c>
      <x:c r="J134" s="9" t="n">
        <x:v>-0.005664085648140693</x:v>
      </x:c>
      <x:c r="K134" s="9" t="n">
        <x:v>0.2804379819443984</x:v>
      </x:c>
      <x:c r="L134" s="8" t="n">
        <x:v>1075.570828258536</x:v>
      </x:c>
      <x:c r="M134" s="10" t="n">
        <x:v>1</x:v>
      </x:c>
    </x:row>
    <x:row r="135">
      <x:c r="A135" s="2" t="str">
        <x:v>不加形态</x:v>
      </x:c>
      <x:c r="B135" s="6" t="d">
        <x:v>2025-07-09T00:00:00.000Z</x:v>
      </x:c>
      <x:c r="C135" s="7" t="str">
        <x:v>600744</x:v>
      </x:c>
      <x:c r="D135" s="7" t="str">
        <x:v>002721</x:v>
      </x:c>
      <x:c r="E135" s="8" t="n">
        <x:v>546365.9135302482</x:v>
      </x:c>
      <x:c r="F135" s="8" t="n">
        <x:v>575074.1744689372</x:v>
      </x:c>
      <x:c r="G135" s="8" t="n">
        <x:v>575074.1744689372</x:v>
      </x:c>
      <x:c r="H135" s="8" t="n">
        <x:v>547169.4632598938</x:v>
      </x:c>
      <x:c r="I135" s="8" t="n">
        <x:v>1122243.637728831</x:v>
      </x:c>
      <x:c r="J135" s="9" t="n">
        <x:v>0.01616256196887056</x:v>
      </x:c>
      <x:c r="K135" s="9" t="n">
        <x:v>0.26880801623712913</x:v>
      </x:c>
      <x:c r="L135" s="8" t="n">
        <x:v>1121.4699177299792</x:v>
      </x:c>
      <x:c r="M135" s="10" t="n">
        <x:v>1</x:v>
      </x:c>
    </x:row>
    <x:row r="136">
      <x:c r="A136" s="2" t="str">
        <x:v>不加形态</x:v>
      </x:c>
      <x:c r="B136" s="6" t="d">
        <x:v>2025-07-10T00:00:00.000Z</x:v>
      </x:c>
      <x:c r="C136" s="7" t="str">
        <x:v>600744</x:v>
      </x:c>
      <x:c r="D136" s="7" t="str">
        <x:v>600744</x:v>
      </x:c>
      <x:c r="E136" s="8" t="n">
        <x:v>575074.1744689372</x:v>
      </x:c>
      <x:c r="F136" s="8" t="n">
        <x:v>537186.1506238191</x:v>
      </x:c>
      <x:c r="G136" s="8" t="n">
        <x:v>537186.1506238191</x:v>
      </x:c>
      <x:c r="H136" s="8" t="n">
        <x:v>553659.299650462</x:v>
      </x:c>
      <x:c r="I136" s="8" t="n">
        <x:v>1090845.4502742812</x:v>
      </x:c>
      <x:c r="J136" s="9" t="n">
        <x:v>-0.027978048971694536</x:v>
      </x:c>
      <x:c r="K136" s="9" t="n">
        <x:v>0.2892653413665571</x:v>
      </x:c>
      <x:c r="L136" s="8" t="n">
        <x:v>1112.2235492923487</x:v>
      </x:c>
      <x:c r="M136" s="10" t="n">
        <x:v>1</x:v>
      </x:c>
    </x:row>
    <x:row r="137">
      <x:c r="A137" s="2" t="str">
        <x:v>不加形态</x:v>
      </x:c>
      <x:c r="B137" s="6" t="d">
        <x:v>2025-07-11T00:00:00.000Z</x:v>
      </x:c>
      <x:c r="C137" s="7" t="str">
        <x:v>605500</x:v>
      </x:c>
      <x:c r="D137" s="7" t="str">
        <x:v>600744</x:v>
      </x:c>
      <x:c r="E137" s="8" t="n">
        <x:v>537186.1506238191</x:v>
      </x:c>
      <x:c r="F137" s="8" t="n">
        <x:v>595438.6943801711</x:v>
      </x:c>
      <x:c r="G137" s="8" t="n">
        <x:v>595438.6943801711</x:v>
      </x:c>
      <x:c r="H137" s="8" t="n">
        <x:v>453826.21659424645</x:v>
      </x:c>
      <x:c r="I137" s="8" t="n">
        <x:v>1049264.9109744176</x:v>
      </x:c>
      <x:c r="J137" s="9" t="n">
        <x:v>-0.038117718041000836</x:v>
      </x:c>
      <x:c r="K137" s="9" t="n">
        <x:v>0.3163569246863137</x:v>
      </x:c>
      <x:c r="L137" s="8" t="n">
        <x:v>1132.684230231931</x:v>
      </x:c>
      <x:c r="M137" s="10" t="n">
        <x:v>1</x:v>
      </x:c>
    </x:row>
    <x:row r="138">
      <x:c r="A138" s="2" t="str">
        <x:v>不加形态</x:v>
      </x:c>
      <x:c r="B138" s="6" t="d">
        <x:v>2025-07-14T00:00:00.000Z</x:v>
      </x:c>
      <x:c r="C138" s="7" t="str">
        <x:v>000010</x:v>
      </x:c>
      <x:c r="D138" s="7" t="str">
        <x:v>605500</x:v>
      </x:c>
      <x:c r="E138" s="8" t="n">
        <x:v>595438.6943801711</x:v>
      </x:c>
      <x:c r="F138" s="8" t="n">
        <x:v>498709.6294154174</x:v>
      </x:c>
      <x:c r="G138" s="8" t="n">
        <x:v>498709.6294154174</x:v>
      </x:c>
      <x:c r="H138" s="8" t="n">
        <x:v>604138.2856941673</x:v>
      </x:c>
      <x:c r="I138" s="8" t="n">
        <x:v>1102847.9151095846</x:v>
      </x:c>
      <x:c r="J138" s="9" t="n">
        <x:v>0.05106718386818665</x:v>
      </x:c>
      <x:c r="K138" s="9" t="n">
        <x:v>0.2814451980590572</x:v>
      </x:c>
      <x:c r="L138" s="8" t="n">
        <x:v>1094.052688783191</x:v>
      </x:c>
      <x:c r="M138" s="10" t="n">
        <x:v>1</x:v>
      </x:c>
    </x:row>
    <x:row r="139">
      <x:c r="A139" s="2" t="str">
        <x:v>不加形态</x:v>
      </x:c>
      <x:c r="B139" s="6" t="d">
        <x:v>2025-07-15T00:00:00.000Z</x:v>
      </x:c>
      <x:c r="C139" s="7" t="str">
        <x:v>600513</x:v>
      </x:c>
      <x:c r="D139" s="7" t="str">
        <x:v>000010</x:v>
      </x:c>
      <x:c r="E139" s="8" t="n">
        <x:v>498709.6294154174</x:v>
      </x:c>
      <x:c r="F139" s="8" t="n">
        <x:v>577226.2486752833</x:v>
      </x:c>
      <x:c r="G139" s="8" t="n">
        <x:v>577226.2486752833</x:v>
      </x:c>
      <x:c r="H139" s="8" t="n">
        <x:v>493222.6521296221</x:v>
      </x:c>
      <x:c r="I139" s="8" t="n">
        <x:v>1070448.9008049055</x:v>
      </x:c>
      <x:c r="J139" s="9" t="n">
        <x:v>-0.029377590382858698</x:v>
      </x:c>
      <x:c r="K139" s="9" t="n">
        <x:v>0.3025546066981144</x:v>
      </x:c>
      <x:c r="L139" s="8" t="n">
        <x:v>1076.0154707253837</x:v>
      </x:c>
      <x:c r="M139" s="10" t="n">
        <x:v>1</x:v>
      </x:c>
    </x:row>
    <x:row r="140">
      <x:c r="A140" s="2" t="str">
        <x:v>不加形态</x:v>
      </x:c>
      <x:c r="B140" s="6" t="d">
        <x:v>2025-07-16T00:00:00.000Z</x:v>
      </x:c>
      <x:c r="C140" s="7" t="str">
        <x:v>002645</x:v>
      </x:c>
      <x:c r="D140" s="7" t="str">
        <x:v>600513</x:v>
      </x:c>
      <x:c r="E140" s="8" t="n">
        <x:v>577226.2486752833</x:v>
      </x:c>
      <x:c r="F140" s="8" t="n">
        <x:v>541902.6968832031</x:v>
      </x:c>
      <x:c r="G140" s="8" t="n">
        <x:v>541902.6968832031</x:v>
      </x:c>
      <x:c r="H140" s="8" t="n">
        <x:v>602172.7246167144</x:v>
      </x:c>
      <x:c r="I140" s="8" t="n">
        <x:v>1144075.4214999175</x:v>
      </x:c>
      <x:c r="J140" s="9" t="n">
        <x:v>0.06878097650401616</x:v>
      </x:c>
      <x:c r="K140" s="9" t="n">
        <x:v>0.2545836314885831</x:v>
      </x:c>
      <x:c r="L140" s="8" t="n">
        <x:v>1119.0947411013608</x:v>
      </x:c>
      <x:c r="M140" s="10" t="n">
        <x:v>1</x:v>
      </x:c>
    </x:row>
    <x:row r="141">
      <x:c r="A141" s="2" t="str">
        <x:v>不加形态</x:v>
      </x:c>
      <x:c r="B141" s="6" t="d">
        <x:v>2025-07-17T00:00:00.000Z</x:v>
      </x:c>
      <x:c r="C141" s="7" t="str">
        <x:v>600822</x:v>
      </x:c>
      <x:c r="D141" s="7" t="str">
        <x:v>002645</x:v>
      </x:c>
      <x:c r="E141" s="8" t="n">
        <x:v>541902.6968832031</x:v>
      </x:c>
      <x:c r="F141" s="8" t="n">
        <x:v>563108.0668932494</x:v>
      </x:c>
      <x:c r="G141" s="8" t="n">
        <x:v>563108.0668932494</x:v>
      </x:c>
      <x:c r="H141" s="8" t="n">
        <x:v>551297.7144912516</x:v>
      </x:c>
      <x:c r="I141" s="8" t="n">
        <x:v>1114405.7813845011</x:v>
      </x:c>
      <x:c r="J141" s="9" t="n">
        <x:v>-0.025933290373914897</x:v>
      </x:c>
      <x:c r="K141" s="9" t="n">
        <x:v>0.2739147306226588</x:v>
      </x:c>
      <x:c r="L141" s="8" t="n">
        <x:v>1105.0330741795224</x:v>
      </x:c>
      <x:c r="M141" s="10" t="n">
        <x:v>1</x:v>
      </x:c>
    </x:row>
    <x:row r="142">
      <x:c r="A142" s="2" t="str">
        <x:v>不加形态</x:v>
      </x:c>
      <x:c r="B142" s="6" t="d">
        <x:v>2025-07-18T00:00:00.000Z</x:v>
      </x:c>
      <x:c r="C142" s="7" t="str">
        <x:v>002394</x:v>
      </x:c>
      <x:c r="D142" s="7" t="str">
        <x:v>600822</x:v>
      </x:c>
      <x:c r="E142" s="8" t="n">
        <x:v>563108.0668932494</x:v>
      </x:c>
      <x:c r="F142" s="8" t="n">
        <x:v>527128.3292953456</x:v>
      </x:c>
      <x:c r="G142" s="8" t="n">
        <x:v>527128.3292953456</x:v>
      </x:c>
      <x:c r="H142" s="8" t="n">
        <x:v>539554.5304984183</x:v>
      </x:c>
      <x:c r="I142" s="8" t="n">
        <x:v>1066682.8597937638</x:v>
      </x:c>
      <x:c r="J142" s="9" t="n">
        <x:v>-0.04282364860979804</x:v>
      </x:c>
      <x:c r="K142" s="9" t="n">
        <x:v>0.30500835105922464</x:v>
      </x:c>
      <x:c r="L142" s="8" t="n">
        <x:v>1090.2015066523913</x:v>
      </x:c>
      <x:c r="M142" s="10" t="n">
        <x:v>1</x:v>
      </x:c>
    </x:row>
    <x:row r="143">
      <x:c r="A143" s="2" t="str">
        <x:v>不加形态</x:v>
      </x:c>
      <x:c r="B143" s="6" t="d">
        <x:v>2025-07-21T00:00:00.000Z</x:v>
      </x:c>
      <x:c r="C143" s="7" t="str">
        <x:v>600620</x:v>
      </x:c>
      <x:c r="D143" s="7" t="str">
        <x:v>002394</x:v>
      </x:c>
      <x:c r="E143" s="8" t="n">
        <x:v>527128.3292953456</x:v>
      </x:c>
      <x:c r="F143" s="8" t="n">
        <x:v>547322.550393536</x:v>
      </x:c>
      <x:c r="G143" s="8" t="n">
        <x:v>547322.550393536</x:v>
      </x:c>
      <x:c r="H143" s="8" t="n">
        <x:v>495932.23414065817</x:v>
      </x:c>
      <x:c r="I143" s="8" t="n">
        <x:v>1043254.7845341942</x:v>
      </x:c>
      <x:c r="J143" s="9" t="n">
        <x:v>-0.021963487126904213</x:v>
      </x:c>
      <x:c r="K143" s="9" t="n">
        <x:v>0.3202727911940413</x:v>
      </x:c>
      <x:c r="L143" s="8" t="n">
        <x:v>1074.47214838208</x:v>
      </x:c>
      <x:c r="M143" s="10" t="n">
        <x:v>1</x:v>
      </x:c>
    </x:row>
    <x:row r="144">
      <x:c r="A144" s="2" t="str">
        <x:v>不加形态</x:v>
      </x:c>
      <x:c r="B144" s="6" t="d">
        <x:v>2025-07-22T00:00:00.000Z</x:v>
      </x:c>
      <x:c r="C144" s="7" t="str">
        <x:v>601003</x:v>
      </x:c>
      <x:c r="D144" s="7" t="str">
        <x:v>600620</x:v>
      </x:c>
      <x:c r="E144" s="8" t="n">
        <x:v>547322.550393536</x:v>
      </x:c>
      <x:c r="F144" s="8" t="n">
        <x:v>445892.6717158657</x:v>
      </x:c>
      <x:c r="G144" s="8" t="n">
        <x:v>445892.6717158657</x:v>
      </x:c>
      <x:c r="H144" s="8" t="n">
        <x:v>587189.636221185</x:v>
      </x:c>
      <x:c r="I144" s="8" t="n">
        <x:v>1033082.3079370507</x:v>
      </x:c>
      <x:c r="J144" s="9" t="n">
        <x:v>-0.009750711665018064</x:v>
      </x:c>
      <x:c r="K144" s="9" t="n">
        <x:v>0.32690061521797564</x:v>
      </x:c>
      <x:c r="L144" s="8" t="n">
        <x:v>993.1147853454358</x:v>
      </x:c>
      <x:c r="M144" s="10" t="n">
        <x:v>1</x:v>
      </x:c>
    </x:row>
    <x:row r="145">
      <x:c r="A145" s="2" t="str">
        <x:v>不加形态</x:v>
      </x:c>
      <x:c r="B145" s="6" t="d">
        <x:v>2025-07-23T00:00:00.000Z</x:v>
      </x:c>
      <x:c r="C145" s="7" t="str">
        <x:v>002246</x:v>
      </x:c>
      <x:c r="D145" s="7" t="str">
        <x:v>601003</x:v>
      </x:c>
      <x:c r="E145" s="8" t="n">
        <x:v>445892.6717158657</x:v>
      </x:c>
      <x:c r="F145" s="8" t="n">
        <x:v>616684.6233329106</x:v>
      </x:c>
      <x:c r="G145" s="8" t="n">
        <x:v>616684.6233329106</x:v>
      </x:c>
      <x:c r="H145" s="8" t="n">
        <x:v>373971.99244978634</x:v>
      </x:c>
      <x:c r="I145" s="8" t="n">
        <x:v>990656.615782697</x:v>
      </x:c>
      <x:c r="J145" s="9" t="n">
        <x:v>-0.041067097779530326</x:v>
      </x:c>
      <x:c r="K145" s="9" t="n">
        <x:v>0.3545428534681607</x:v>
      </x:c>
      <x:c r="L145" s="8" t="n">
        <x:v>1062.7491497495027</x:v>
      </x:c>
      <x:c r="M145" s="10" t="n">
        <x:v>1</x:v>
      </x:c>
    </x:row>
    <x:row r="146">
      <x:c r="A146" s="2" t="str">
        <x:v>不加形态</x:v>
      </x:c>
      <x:c r="B146" s="6" t="d">
        <x:v>2025-07-24T00:00:00.000Z</x:v>
      </x:c>
      <x:c r="C146" s="7" t="str">
        <x:v>002297</x:v>
      </x:c>
      <x:c r="D146" s="7" t="str">
        <x:v>002246</x:v>
      </x:c>
      <x:c r="E146" s="8" t="n">
        <x:v>616684.6233329106</x:v>
      </x:c>
      <x:c r="F146" s="8" t="n">
        <x:v>339120.74474190915</x:v>
      </x:c>
      <x:c r="G146" s="8" t="n">
        <x:v>339120.74474190915</x:v>
      </x:c>
      <x:c r="H146" s="8" t="n">
        <x:v>614194.106842702</x:v>
      </x:c>
      <x:c r="I146" s="8" t="n">
        <x:v>953314.8515846112</x:v>
      </x:c>
      <x:c r="J146" s="9" t="n">
        <x:v>-0.03769395328630887</x:v>
      </x:c>
      <x:c r="K146" s="9" t="n">
        <x:v>0.3788726849978461</x:v>
      </x:c>
      <x:c r="L146" s="8" t="n">
        <x:v>955.5287597249737</x:v>
      </x:c>
      <x:c r="M146" s="10" t="n">
        <x:v>1</x:v>
      </x:c>
    </x:row>
    <x:row r="147">
      <x:c r="A147" s="2" t="str">
        <x:v>不加形态</x:v>
      </x:c>
      <x:c r="B147" s="6" t="d">
        <x:v>2025-07-25T00:00:00.000Z</x:v>
      </x:c>
      <x:c r="C147" s="7"/>
      <x:c r="D147" s="7" t="str">
        <x:v>002297</x:v>
      </x:c>
      <x:c r="E147" s="8" t="n">
        <x:v>0</x:v>
      </x:c>
      <x:c r="F147" s="8" t="n">
        <x:v>617949.2508733476</x:v>
      </x:c>
      <x:c r="G147" s="8" t="n">
        <x:v>957069.9956152567</x:v>
      </x:c>
      <x:c r="H147" s="8" t="n">
        <x:v>0</x:v>
      </x:c>
      <x:c r="I147" s="8" t="n">
        <x:v>957069.9956152567</x:v>
      </x:c>
      <x:c r="J147" s="9" t="n">
        <x:v>0.00393903863388223</x:v>
      </x:c>
      <x:c r="K147" s="9" t="n">
        <x:v>0.37642604050749306</x:v>
      </x:c>
      <x:c r="L147" s="8" t="n">
        <x:v>618.5678186920397</x:v>
      </x:c>
      <x:c r="M147" s="10" t="n">
        <x:v>0</x:v>
      </x:c>
    </x:row>
    <x:row r="148">
      <x:c r="A148" s="2" t="str">
        <x:v>不加形态</x:v>
      </x:c>
      <x:c r="B148" s="6" t="d">
        <x:v>2025-07-28T00:00:00.000Z</x:v>
      </x:c>
      <x:c r="C148" s="7" t="str">
        <x:v>600117</x:v>
      </x:c>
      <x:c r="D148" s="7"/>
      <x:c r="E148" s="8" t="n">
        <x:v>478534.99780762836</x:v>
      </x:c>
      <x:c r="F148" s="8" t="n">
        <x:v>0</x:v>
      </x:c>
      <x:c r="G148" s="8" t="n">
        <x:v>478534.99780762836</x:v>
      </x:c>
      <x:c r="H148" s="8" t="n">
        <x:v>442362.02261537686</x:v>
      </x:c>
      <x:c r="I148" s="8" t="n">
        <x:v>920897.0204230052</x:v>
      </x:c>
      <x:c r="J148" s="9" t="n">
        <x:v>-0.03779553779553768</x:v>
      </x:c>
      <x:c r="K148" s="9" t="n">
        <x:v>0.39999435366180514</x:v>
      </x:c>
      <x:c r="L148" s="8" t="n">
        <x:v>478.05694086669246</x:v>
      </x:c>
      <x:c r="M148" s="10" t="n">
        <x:v>1</x:v>
      </x:c>
    </x:row>
    <x:row r="149">
      <x:c r="A149" s="2" t="str">
        <x:v>不加形态</x:v>
      </x:c>
      <x:c r="B149" s="6" t="d">
        <x:v>2025-07-29T00:00:00.000Z</x:v>
      </x:c>
      <x:c r="C149" s="7" t="str">
        <x:v>603616</x:v>
      </x:c>
      <x:c r="D149" s="7" t="str">
        <x:v>600117</x:v>
      </x:c>
      <x:c r="E149" s="8" t="n">
        <x:v>478534.99780762836</x:v>
      </x:c>
      <x:c r="F149" s="8" t="n">
        <x:v>486493.6897591783</x:v>
      </x:c>
      <x:c r="G149" s="8" t="n">
        <x:v>486493.6897591783</x:v>
      </x:c>
      <x:c r="H149" s="8" t="n">
        <x:v>454323.61756131967</x:v>
      </x:c>
      <x:c r="I149" s="8" t="n">
        <x:v>940817.3073204979</x:v>
      </x:c>
      <x:c r="J149" s="9" t="n">
        <x:v>0.02163139466814923</x:v>
      </x:c>
      <x:c r="K149" s="9" t="n">
        <x:v>0.3870153947227457</x:v>
      </x:c>
      <x:c r="L149" s="8" t="n">
        <x:v>965.0376112963004</x:v>
      </x:c>
      <x:c r="M149" s="10" t="n">
        <x:v>1</x:v>
      </x:c>
    </x:row>
    <x:row r="150">
      <x:c r="A150" s="2" t="str">
        <x:v>不加形态</x:v>
      </x:c>
      <x:c r="B150" s="6" t="d">
        <x:v>2025-07-30T00:00:00.000Z</x:v>
      </x:c>
      <x:c r="C150" s="7" t="str">
        <x:v>002097</x:v>
      </x:c>
      <x:c r="D150" s="7" t="str">
        <x:v>603616</x:v>
      </x:c>
      <x:c r="E150" s="8" t="n">
        <x:v>486493.6897591783</x:v>
      </x:c>
      <x:c r="F150" s="8" t="n">
        <x:v>499256.2233381341</x:v>
      </x:c>
      <x:c r="G150" s="8" t="n">
        <x:v>499256.2233381341</x:v>
      </x:c>
      <x:c r="H150" s="8" t="n">
        <x:v>480755.4376742507</x:v>
      </x:c>
      <x:c r="I150" s="8" t="n">
        <x:v>980011.6610123848</x:v>
      </x:c>
      <x:c r="J150" s="9" t="n">
        <x:v>0.04165989867205422</x:v>
      </x:c>
      <x:c r="K150" s="9" t="n">
        <x:v>0.36147851817936616</x:v>
      </x:c>
      <x:c r="L150" s="8" t="n">
        <x:v>985.7636613945144</x:v>
      </x:c>
      <x:c r="M150" s="10" t="n">
        <x:v>1</x:v>
      </x:c>
    </x:row>
    <x:row r="151">
      <x:c r="A151" s="2" t="str">
        <x:v>不加形态</x:v>
      </x:c>
      <x:c r="B151" s="6" t="d">
        <x:v>2025-07-31T00:00:00.000Z</x:v>
      </x:c>
      <x:c r="C151" s="7" t="str">
        <x:v>002644</x:v>
      </x:c>
      <x:c r="D151" s="7" t="str">
        <x:v>002097</x:v>
      </x:c>
      <x:c r="E151" s="8" t="n">
        <x:v>499256.2233381341</x:v>
      </x:c>
      <x:c r="F151" s="8" t="n">
        <x:v>463484.30732954387</x:v>
      </x:c>
      <x:c r="G151" s="8" t="n">
        <x:v>463484.30732954387</x:v>
      </x:c>
      <x:c r="H151" s="8" t="n">
        <x:v>481904.4738747517</x:v>
      </x:c>
      <x:c r="I151" s="8" t="n">
        <x:v>945388.7812042956</x:v>
      </x:c>
      <x:c r="J151" s="9" t="n">
        <x:v>-0.035329048811850505</x:v>
      </x:c>
      <x:c r="K151" s="9" t="n">
        <x:v>0.3840368747780224</x:v>
      </x:c>
      <x:c r="L151" s="8" t="n">
        <x:v>962.7057214573442</x:v>
      </x:c>
      <x:c r="M151" s="10" t="n">
        <x:v>1</x:v>
      </x:c>
    </x:row>
    <x:row r="152">
      <x:c r="A152" s="2" t="str">
        <x:v>不加形态</x:v>
      </x:c>
      <x:c r="B152" s="6" t="d">
        <x:v>2025-08-01T00:00:00.000Z</x:v>
      </x:c>
      <x:c r="C152" s="7" t="str">
        <x:v>603839</x:v>
      </x:c>
      <x:c r="D152" s="7" t="str">
        <x:v>002644</x:v>
      </x:c>
      <x:c r="E152" s="8" t="n">
        <x:v>463484.30732954387</x:v>
      </x:c>
      <x:c r="F152" s="8" t="n">
        <x:v>474597.1076418853</x:v>
      </x:c>
      <x:c r="G152" s="8" t="n">
        <x:v>474597.1076418853</x:v>
      </x:c>
      <x:c r="H152" s="8" t="n">
        <x:v>429683.7534483684</x:v>
      </x:c>
      <x:c r="I152" s="8" t="n">
        <x:v>904280.8610902537</x:v>
      </x:c>
      <x:c r="J152" s="9" t="n">
        <x:v>-0.04348255546429913</x:v>
      </x:c>
      <x:c r="K152" s="9" t="n">
        <x:v>0.41082052553445003</x:v>
      </x:c>
      <x:c r="L152" s="8" t="n">
        <x:v>938.093465865162</x:v>
      </x:c>
      <x:c r="M152" s="10" t="n">
        <x:v>1</x:v>
      </x:c>
    </x:row>
    <x:row r="153">
      <x:c r="A153" s="2" t="str">
        <x:v>不加形态</x:v>
      </x:c>
      <x:c r="B153" s="6" t="d">
        <x:v>2025-08-04T00:00:00.000Z</x:v>
      </x:c>
      <x:c r="C153" s="7"/>
      <x:c r="D153" s="7" t="str">
        <x:v>603839</x:v>
      </x:c>
      <x:c r="E153" s="8" t="n">
        <x:v>0</x:v>
      </x:c>
      <x:c r="F153" s="8" t="n">
        <x:v>386236.1510724765</x:v>
      </x:c>
      <x:c r="G153" s="8" t="n">
        <x:v>860833.2587143618</x:v>
      </x:c>
      <x:c r="H153" s="8" t="n">
        <x:v>0</x:v>
      </x:c>
      <x:c r="I153" s="8" t="n">
        <x:v>860833.2587143618</x:v>
      </x:c>
      <x:c r="J153" s="9" t="n">
        <x:v>-0.04804657960305492</x:v>
      </x:c>
      <x:c r="K153" s="9" t="n">
        <x:v>0.4391285840548451</x:v>
      </x:c>
      <x:c r="L153" s="8" t="n">
        <x:v>386.62277384632284</x:v>
      </x:c>
      <x:c r="M153" s="10" t="n">
        <x:v>0</x:v>
      </x:c>
    </x:row>
    <x:row r="154">
      <x:c r="A154" s="2" t="str">
        <x:v>不加形态</x:v>
      </x:c>
      <x:c r="B154" s="6" t="d">
        <x:v>2025-08-05T00:00:00.000Z</x:v>
      </x:c>
      <x:c r="C154" s="7"/>
      <x:c r="D154" s="7"/>
      <x:c r="E154" s="8" t="n">
        <x:v>0</x:v>
      </x:c>
      <x:c r="F154" s="8" t="n">
        <x:v>0</x:v>
      </x:c>
      <x:c r="G154" s="8" t="n">
        <x:v>860833.2587143618</x:v>
      </x:c>
      <x:c r="H154" s="8" t="n">
        <x:v>0</x:v>
      </x:c>
      <x:c r="I154" s="8" t="n">
        <x:v>860833.2587143618</x:v>
      </x:c>
      <x:c r="J154" s="9" t="n">
        <x:v>0</x:v>
      </x:c>
      <x:c r="K154" s="9" t="n">
        <x:v>0.4391285840548451</x:v>
      </x:c>
      <x:c r="L154" s="8" t="n">
        <x:v>0</x:v>
      </x:c>
      <x:c r="M154" s="10" t="n">
        <x:v>0</x:v>
      </x:c>
    </x:row>
    <x:row r="155">
      <x:c r="A155" s="2" t="str">
        <x:v>不加形态</x:v>
      </x:c>
      <x:c r="B155" s="6" t="d">
        <x:v>2025-08-06T00:00:00.000Z</x:v>
      </x:c>
      <x:c r="C155" s="7" t="str">
        <x:v>002775</x:v>
      </x:c>
      <x:c r="D155" s="7"/>
      <x:c r="E155" s="8" t="n">
        <x:v>430416.6293571809</x:v>
      </x:c>
      <x:c r="F155" s="8" t="n">
        <x:v>0</x:v>
      </x:c>
      <x:c r="G155" s="8" t="n">
        <x:v>430416.6293571809</x:v>
      </x:c>
      <x:c r="H155" s="8" t="n">
        <x:v>429986.6427144665</x:v>
      </x:c>
      <x:c r="I155" s="8" t="n">
        <x:v>860403.2720716475</x:v>
      </x:c>
      <x:c r="J155" s="9" t="n">
        <x:v>-0.0004995004995004271</x:v>
      </x:c>
      <x:c r="K155" s="9" t="n">
        <x:v>0.43940873960726523</x:v>
      </x:c>
      <x:c r="L155" s="8" t="n">
        <x:v>429.9866427144152</x:v>
      </x:c>
      <x:c r="M155" s="10" t="n">
        <x:v>1</x:v>
      </x:c>
    </x:row>
    <x:row r="156">
      <x:c r="A156" s="2" t="str">
        <x:v>不加形态</x:v>
      </x:c>
      <x:c r="B156" s="6" t="d">
        <x:v>2025-08-07T00:00:00.000Z</x:v>
      </x:c>
      <x:c r="C156" s="7" t="str">
        <x:v>600203</x:v>
      </x:c>
      <x:c r="D156" s="7" t="str">
        <x:v>002775</x:v>
      </x:c>
      <x:c r="E156" s="8" t="n">
        <x:v>430416.6293571809</x:v>
      </x:c>
      <x:c r="F156" s="8" t="n">
        <x:v>386302.6872311936</x:v>
      </x:c>
      <x:c r="G156" s="8" t="n">
        <x:v>386302.6872311936</x:v>
      </x:c>
      <x:c r="H156" s="8" t="n">
        <x:v>431923.51948345057</x:v>
      </x:c>
      <x:c r="I156" s="8" t="n">
        <x:v>818226.2067146441</x:v>
      </x:c>
      <x:c r="J156" s="9" t="n">
        <x:v>-0.04902011269140227</x:v>
      </x:c>
      <x:c r="K156" s="9" t="n">
        <x:v>0.46688898636553233</x:v>
      </x:c>
      <x:c r="L156" s="8" t="n">
        <x:v>816.6760193222167</x:v>
      </x:c>
      <x:c r="M156" s="10" t="n">
        <x:v>1</x:v>
      </x:c>
    </x:row>
    <x:row r="157">
      <x:c r="A157" s="2" t="str">
        <x:v>不加形态</x:v>
      </x:c>
      <x:c r="B157" s="6" t="d">
        <x:v>2025-08-08T00:00:00.000Z</x:v>
      </x:c>
      <x:c r="C157" s="7"/>
      <x:c r="D157" s="7" t="str">
        <x:v>600203</x:v>
      </x:c>
      <x:c r="E157" s="8" t="n">
        <x:v>0</x:v>
      </x:c>
      <x:c r="F157" s="8" t="n">
        <x:v>423198.9964259024</x:v>
      </x:c>
      <x:c r="G157" s="8" t="n">
        <x:v>809501.683657096</x:v>
      </x:c>
      <x:c r="H157" s="8" t="n">
        <x:v>0</x:v>
      </x:c>
      <x:c r="I157" s="8" t="n">
        <x:v>809501.683657096</x:v>
      </x:c>
      <x:c r="J157" s="9" t="n">
        <x:v>-0.010662727477990463</x:v>
      </x:c>
      <x:c r="K157" s="9" t="n">
        <x:v>0.4725734038194318</x:v>
      </x:c>
      <x:c r="L157" s="8" t="n">
        <x:v>423.6226190449474</x:v>
      </x:c>
      <x:c r="M157" s="10" t="n">
        <x:v>0</x:v>
      </x:c>
    </x:row>
    <x:row r="158">
      <x:c r="A158" s="2" t="str">
        <x:v>不加形态</x:v>
      </x:c>
      <x:c r="B158" s="6" t="d">
        <x:v>2025-08-11T00:00:00.000Z</x:v>
      </x:c>
      <x:c r="C158" s="7" t="str">
        <x:v>605169</x:v>
      </x:c>
      <x:c r="D158" s="7"/>
      <x:c r="E158" s="8" t="n">
        <x:v>404750.841828548</x:v>
      </x:c>
      <x:c r="F158" s="8" t="n">
        <x:v>0</x:v>
      </x:c>
      <x:c r="G158" s="8" t="n">
        <x:v>404750.841828548</x:v>
      </x:c>
      <x:c r="H158" s="8" t="n">
        <x:v>396104.42048829317</x:v>
      </x:c>
      <x:c r="I158" s="8" t="n">
        <x:v>800855.2623168412</x:v>
      </x:c>
      <x:c r="J158" s="9" t="n">
        <x:v>-0.01068116535742436</x:v>
      </x:c>
      <x:c r="K158" s="9" t="n">
        <x:v>0.4782069345071399</x:v>
      </x:c>
      <x:c r="L158" s="8" t="n">
        <x:v>404.3464953331859</x:v>
      </x:c>
      <x:c r="M158" s="10" t="n">
        <x:v>1</x:v>
      </x:c>
    </x:row>
    <x:row r="159">
      <x:c r="A159" s="2" t="str">
        <x:v>不加形态</x:v>
      </x:c>
      <x:c r="B159" s="6" t="d">
        <x:v>2025-08-12T00:00:00.000Z</x:v>
      </x:c>
      <x:c r="C159" s="7" t="str">
        <x:v>601929</x:v>
      </x:c>
      <x:c r="D159" s="7" t="str">
        <x:v>605169</x:v>
      </x:c>
      <x:c r="E159" s="8" t="n">
        <x:v>404750.841828548</x:v>
      </x:c>
      <x:c r="F159" s="8" t="n">
        <x:v>435182.2790537609</x:v>
      </x:c>
      <x:c r="G159" s="8" t="n">
        <x:v>435182.2790537609</x:v>
      </x:c>
      <x:c r="H159" s="8" t="n">
        <x:v>413191.5749186289</x:v>
      </x:c>
      <x:c r="I159" s="8" t="n">
        <x:v>848373.8539723898</x:v>
      </x:c>
      <x:c r="J159" s="9" t="n">
        <x:v>0.05933480603983221</x:v>
      </x:c>
      <x:c r="K159" s="9" t="n">
        <x:v>0.4472464441731917</x:v>
      </x:c>
      <x:c r="L159" s="8" t="n">
        <x:v>839.9643922838975</x:v>
      </x:c>
      <x:c r="M159" s="10" t="n">
        <x:v>1</x:v>
      </x:c>
    </x:row>
    <x:row r="160">
      <x:c r="A160" s="2" t="str">
        <x:v>不加形态</x:v>
      </x:c>
      <x:c r="B160" s="6" t="d">
        <x:v>2025-08-13T00:00:00.000Z</x:v>
      </x:c>
      <x:c r="C160" s="7" t="str">
        <x:v>002307</x:v>
      </x:c>
      <x:c r="D160" s="7" t="str">
        <x:v>601929</x:v>
      </x:c>
      <x:c r="E160" s="8" t="n">
        <x:v>435182.2790537609</x:v>
      </x:c>
      <x:c r="F160" s="8" t="n">
        <x:v>454434.9174426168</x:v>
      </x:c>
      <x:c r="G160" s="8" t="n">
        <x:v>454434.9174426168</x:v>
      </x:c>
      <x:c r="H160" s="8" t="n">
        <x:v>440958.210543985</x:v>
      </x:c>
      <x:c r="I160" s="8" t="n">
        <x:v>895393.1279866018</x:v>
      </x:c>
      <x:c r="J160" s="9" t="n">
        <x:v>0.05542282307976709</x:v>
      </x:c>
      <x:c r="K160" s="9" t="n">
        <x:v>0.4166112816418903</x:v>
      </x:c>
      <x:c r="L160" s="8" t="n">
        <x:v>889.6373387720485</x:v>
      </x:c>
      <x:c r="M160" s="10" t="n">
        <x:v>1</x:v>
      </x:c>
    </x:row>
    <x:row r="161">
      <x:c r="A161" s="2" t="str">
        <x:v>不加形态</x:v>
      </x:c>
      <x:c r="B161" s="6" t="d">
        <x:v>2025-08-14T00:00:00.000Z</x:v>
      </x:c>
      <x:c r="C161" s="7" t="str">
        <x:v>601929</x:v>
      </x:c>
      <x:c r="D161" s="7" t="str">
        <x:v>002307</x:v>
      </x:c>
      <x:c r="E161" s="8" t="n">
        <x:v>454434.9174426168</x:v>
      </x:c>
      <x:c r="F161" s="8" t="n">
        <x:v>396310.41539152886</x:v>
      </x:c>
      <x:c r="G161" s="8" t="n">
        <x:v>396310.41539152886</x:v>
      </x:c>
      <x:c r="H161" s="8" t="n">
        <x:v>424954.0224072545</x:v>
      </x:c>
      <x:c r="I161" s="8" t="n">
        <x:v>821264.4377987834</x:v>
      </x:c>
      <x:c r="J161" s="9" t="n">
        <x:v>-0.08278898717315997</x:v>
      </x:c>
      <x:c r="K161" s="9" t="n">
        <x:v>0.46490944276300605</x:v>
      </x:c>
      <x:c r="L161" s="8" t="n">
        <x:v>850.6880590201075</x:v>
      </x:c>
      <x:c r="M161" s="10" t="n">
        <x:v>1</x:v>
      </x:c>
    </x:row>
    <x:row r="162">
      <x:c r="A162" s="2" t="str">
        <x:v>不加形态</x:v>
      </x:c>
      <x:c r="B162" s="6" t="d">
        <x:v>2025-08-15T00:00:00.000Z</x:v>
      </x:c>
      <x:c r="C162" s="7" t="str">
        <x:v>600658</x:v>
      </x:c>
      <x:c r="D162" s="7" t="str">
        <x:v>601929</x:v>
      </x:c>
      <x:c r="E162" s="8" t="n">
        <x:v>396310.41539152886</x:v>
      </x:c>
      <x:c r="F162" s="8" t="n">
        <x:v>454686.87105699483</x:v>
      </x:c>
      <x:c r="G162" s="8" t="n">
        <x:v>454686.87105699483</x:v>
      </x:c>
      <x:c r="H162" s="8" t="n">
        <x:v>395336.52351707534</x:v>
      </x:c>
      <x:c r="I162" s="8" t="n">
        <x:v>850023.3945740701</x:v>
      </x:c>
      <x:c r="J162" s="9" t="n">
        <x:v>0.035017900997112106</x:v>
      </x:c>
      <x:c r="K162" s="9" t="n">
        <x:v>0.44617169460519146</x:v>
      </x:c>
      <x:c r="L162" s="8" t="n">
        <x:v>851.0565139606556</x:v>
      </x:c>
      <x:c r="M162" s="10" t="n">
        <x:v>1</x:v>
      </x:c>
    </x:row>
    <x:row r="163">
      <x:c r="A163" s="2" t="str">
        <x:v>不加形态</x:v>
      </x:c>
      <x:c r="B163" s="6" t="d">
        <x:v>2025-08-18T00:00:00.000Z</x:v>
      </x:c>
      <x:c r="C163" s="7" t="str">
        <x:v>002939</x:v>
      </x:c>
      <x:c r="D163" s="7" t="str">
        <x:v>600658</x:v>
      </x:c>
      <x:c r="E163" s="8" t="n">
        <x:v>454686.87105699483</x:v>
      </x:c>
      <x:c r="F163" s="8" t="n">
        <x:v>404756.9767287782</x:v>
      </x:c>
      <x:c r="G163" s="8" t="n">
        <x:v>404756.9767287782</x:v>
      </x:c>
      <x:c r="H163" s="8" t="n">
        <x:v>459425.84693708137</x:v>
      </x:c>
      <x:c r="I163" s="8" t="n">
        <x:v>864182.8236658596</x:v>
      </x:c>
      <x:c r="J163" s="9" t="n">
        <x:v>0.01665769340252643</x:v>
      </x:c>
      <x:c r="K163" s="9" t="n">
        <x:v>0.4369461924962841</x:v>
      </x:c>
      <x:c r="L163" s="8" t="n">
        <x:v>859.3947772861457</x:v>
      </x:c>
      <x:c r="M163" s="10" t="n">
        <x:v>1</x:v>
      </x:c>
    </x:row>
    <x:row r="164">
      <x:c r="A164" s="2" t="str">
        <x:v>不加形态</x:v>
      </x:c>
      <x:c r="B164" s="6" t="d">
        <x:v>2025-08-19T00:00:00.000Z</x:v>
      </x:c>
      <x:c r="C164" s="7" t="str">
        <x:v>601609</x:v>
      </x:c>
      <x:c r="D164" s="7" t="str">
        <x:v>002939</x:v>
      </x:c>
      <x:c r="E164" s="8" t="n">
        <x:v>404756.9767287782</x:v>
      </x:c>
      <x:c r="F164" s="8" t="n">
        <x:v>476605.6731440986</x:v>
      </x:c>
      <x:c r="G164" s="8" t="n">
        <x:v>476605.6731440986</x:v>
      </x:c>
      <x:c r="H164" s="8" t="n">
        <x:v>406474.41448603244</x:v>
      </x:c>
      <x:c r="I164" s="8" t="n">
        <x:v>883080.087630131</x:v>
      </x:c>
      <x:c r="J164" s="9" t="n">
        <x:v>0.021867206159119634</x:v>
      </x:c>
      <x:c r="K164" s="9" t="n">
        <x:v>0.42463377880892306</x:v>
      </x:c>
      <x:c r="L164" s="8" t="n">
        <x:v>881.4353800046479</x:v>
      </x:c>
      <x:c r="M164" s="10" t="n">
        <x:v>1</x:v>
      </x:c>
    </x:row>
    <x:row r="165">
      <x:c r="A165" s="2" t="str">
        <x:v>不加形态</x:v>
      </x:c>
      <x:c r="B165" s="6" t="d">
        <x:v>2025-08-20T00:00:00.000Z</x:v>
      </x:c>
      <x:c r="C165" s="7" t="str">
        <x:v>002052</x:v>
      </x:c>
      <x:c r="D165" s="7" t="str">
        <x:v>601609</x:v>
      </x:c>
      <x:c r="E165" s="8" t="n">
        <x:v>476605.6731440986</x:v>
      </x:c>
      <x:c r="F165" s="8" t="n">
        <x:v>446644.45309882995</x:v>
      </x:c>
      <x:c r="G165" s="8" t="n">
        <x:v>446644.45309882995</x:v>
      </x:c>
      <x:c r="H165" s="8" t="n">
        <x:v>495696.51114572416</x:v>
      </x:c>
      <x:c r="I165" s="8" t="n">
        <x:v>942340.964244554</x:v>
      </x:c>
      <x:c r="J165" s="9" t="n">
        <x:v>0.0671070239772451</x:v>
      </x:c>
      <x:c r="K165" s="9" t="n">
        <x:v>0.38602266400775653</x:v>
      </x:c>
      <x:c r="L165" s="8" t="n">
        <x:v>923.2210882439027</x:v>
      </x:c>
      <x:c r="M165" s="10" t="n">
        <x:v>1</x:v>
      </x:c>
    </x:row>
    <x:row r="166">
      <x:c r="A166" s="2" t="str">
        <x:v>不加形态</x:v>
      </x:c>
      <x:c r="B166" s="6" t="d">
        <x:v>2025-08-21T00:00:00.000Z</x:v>
      </x:c>
      <x:c r="C166" s="7" t="str">
        <x:v>603222</x:v>
      </x:c>
      <x:c r="D166" s="7" t="str">
        <x:v>002052</x:v>
      </x:c>
      <x:c r="E166" s="8" t="n">
        <x:v>446644.45309882995</x:v>
      </x:c>
      <x:c r="F166" s="8" t="n">
        <x:v>500152.82278092427</x:v>
      </x:c>
      <x:c r="G166" s="8" t="n">
        <x:v>500152.82278092427</x:v>
      </x:c>
      <x:c r="H166" s="8" t="n">
        <x:v>458670.8841498143</x:v>
      </x:c>
      <x:c r="I166" s="8" t="n">
        <x:v>958823.7069307386</x:v>
      </x:c>
      <x:c r="J166" s="9" t="n">
        <x:v>0.01749127259834049</x:v>
      </x:c>
      <x:c r="K166" s="9" t="n">
        <x:v>0.3752834190547133</x:v>
      </x:c>
      <x:c r="L166" s="8" t="n">
        <x:v>946.8517311011224</x:v>
      </x:c>
      <x:c r="M166" s="10" t="n">
        <x:v>1</x:v>
      </x:c>
    </x:row>
    <x:row r="167">
      <x:c r="A167" s="2" t="str">
        <x:v>不加形态</x:v>
      </x:c>
      <x:c r="B167" s="6" t="d">
        <x:v>2025-08-22T00:00:00.000Z</x:v>
      </x:c>
      <x:c r="C167" s="7" t="str">
        <x:v>601929</x:v>
      </x:c>
      <x:c r="D167" s="7" t="str">
        <x:v>603222</x:v>
      </x:c>
      <x:c r="E167" s="8" t="n">
        <x:v>500152.82278092427</x:v>
      </x:c>
      <x:c r="F167" s="8" t="n">
        <x:v>412390.991939098</x:v>
      </x:c>
      <x:c r="G167" s="8" t="n">
        <x:v>412390.991939098</x:v>
      </x:c>
      <x:c r="H167" s="8" t="n">
        <x:v>485189.52522782766</x:v>
      </x:c>
      <x:c r="I167" s="8" t="n">
        <x:v>897580.5171669256</x:v>
      </x:c>
      <x:c r="J167" s="9" t="n">
        <x:v>-0.06387325357218876</x:v>
      </x:c>
      <x:c r="K167" s="9" t="n">
        <x:v>0.41518609964018227</x:v>
      </x:c>
      <x:c r="L167" s="8" t="n">
        <x:v>912.456965346069</x:v>
      </x:c>
      <x:c r="M167" s="10" t="n">
        <x:v>1</x:v>
      </x:c>
    </x:row>
    <x:row r="168">
      <x:c r="A168" s="2" t="str">
        <x:v>不加形态</x:v>
      </x:c>
      <x:c r="B168" s="6" t="d">
        <x:v>2025-08-25T00:00:00.000Z</x:v>
      </x:c>
      <x:c r="C168" s="7"/>
      <x:c r="D168" s="7" t="str">
        <x:v>601929</x:v>
      </x:c>
      <x:c r="E168" s="8" t="n">
        <x:v>0</x:v>
      </x:c>
      <x:c r="F168" s="8" t="n">
        <x:v>462373.78365126054</x:v>
      </x:c>
      <x:c r="G168" s="8" t="n">
        <x:v>874764.7755903585</x:v>
      </x:c>
      <x:c r="H168" s="8" t="n">
        <x:v>0</x:v>
      </x:c>
      <x:c r="I168" s="8" t="n">
        <x:v>874764.7755903585</x:v>
      </x:c>
      <x:c r="J168" s="9" t="n">
        <x:v>-0.025419158660641816</x:v>
      </x:c>
      <x:c r="K168" s="9" t="n">
        <x:v>0.4300515769603773</x:v>
      </x:c>
      <x:c r="L168" s="8" t="n">
        <x:v>462.8366202715321</x:v>
      </x:c>
      <x:c r="M168" s="10" t="n">
        <x:v>0</x:v>
      </x:c>
    </x:row>
    <x:row r="169">
      <x:c r="A169" s="2" t="str">
        <x:v>不加形态</x:v>
      </x:c>
      <x:c r="B169" s="6" t="d">
        <x:v>2025-08-26T00:00:00.000Z</x:v>
      </x:c>
      <x:c r="C169" s="7"/>
      <x:c r="D169" s="7"/>
      <x:c r="E169" s="8" t="n">
        <x:v>0</x:v>
      </x:c>
      <x:c r="F169" s="8" t="n">
        <x:v>0</x:v>
      </x:c>
      <x:c r="G169" s="8" t="n">
        <x:v>874764.7755903585</x:v>
      </x:c>
      <x:c r="H169" s="8" t="n">
        <x:v>0</x:v>
      </x:c>
      <x:c r="I169" s="8" t="n">
        <x:v>874764.7755903585</x:v>
      </x:c>
      <x:c r="J169" s="9" t="n">
        <x:v>0</x:v>
      </x:c>
      <x:c r="K169" s="9" t="n">
        <x:v>0.4300515769603773</x:v>
      </x:c>
      <x:c r="L169" s="8" t="n">
        <x:v>0</x:v>
      </x:c>
      <x:c r="M169" s="10" t="n">
        <x:v>0</x:v>
      </x:c>
    </x:row>
    <x:row r="170">
      <x:c r="A170" s="2" t="str">
        <x:v>不加形态</x:v>
      </x:c>
      <x:c r="B170" s="6" t="d">
        <x:v>2025-08-27T00:00:00.000Z</x:v>
      </x:c>
      <x:c r="C170" s="7" t="str">
        <x:v>002217</x:v>
      </x:c>
      <x:c r="D170" s="7"/>
      <x:c r="E170" s="8" t="n">
        <x:v>437382.38779517927</x:v>
      </x:c>
      <x:c r="F170" s="8" t="n">
        <x:v>0</x:v>
      </x:c>
      <x:c r="G170" s="8" t="n">
        <x:v>437382.38779517927</x:v>
      </x:c>
      <x:c r="H170" s="8" t="n">
        <x:v>436945.4423528265</x:v>
      </x:c>
      <x:c r="I170" s="8" t="n">
        <x:v>874327.8301480057</x:v>
      </x:c>
      <x:c r="J170" s="9" t="n">
        <x:v>-0.0004995004995004271</x:v>
      </x:c>
      <x:c r="K170" s="9" t="n">
        <x:v>0.4303362664823751</x:v>
      </x:c>
      <x:c r="L170" s="8" t="n">
        <x:v>436.9454423527932</x:v>
      </x:c>
      <x:c r="M170" s="10" t="n">
        <x:v>1</x:v>
      </x:c>
    </x:row>
    <x:row r="171">
      <x:c r="A171" s="2" t="str">
        <x:v>不加形态</x:v>
      </x:c>
      <x:c r="B171" s="6" t="d">
        <x:v>2025-08-28T00:00:00.000Z</x:v>
      </x:c>
      <x:c r="C171" s="7" t="str">
        <x:v>603083</x:v>
      </x:c>
      <x:c r="D171" s="7" t="str">
        <x:v>002217</x:v>
      </x:c>
      <x:c r="E171" s="8" t="n">
        <x:v>437382.38779517927</x:v>
      </x:c>
      <x:c r="F171" s="8" t="n">
        <x:v>436508.4969104736</x:v>
      </x:c>
      <x:c r="G171" s="8" t="n">
        <x:v>436508.4969104736</x:v>
      </x:c>
      <x:c r="H171" s="8" t="n">
        <x:v>452064.99084773386</x:v>
      </x:c>
      <x:c r="I171" s="8" t="n">
        <x:v>888573.4877582075</x:v>
      </x:c>
      <x:c r="J171" s="9" t="n">
        <x:v>0.01629326794709285</x:v>
      </x:c>
      <x:c r="K171" s="9" t="n">
        <x:v>0.4210545826324311</x:v>
      </x:c>
      <x:c r="L171" s="8" t="n">
        <x:v>873.8908847056197</x:v>
      </x:c>
      <x:c r="M171" s="10" t="n">
        <x:v>1</x:v>
      </x:c>
    </x:row>
    <x:row r="172">
      <x:c r="A172" s="2" t="str">
        <x:v>不加形态</x:v>
      </x:c>
      <x:c r="B172" s="6" t="d">
        <x:v>2025-08-29T00:00:00.000Z</x:v>
      </x:c>
      <x:c r="C172" s="7" t="str">
        <x:v>605188</x:v>
      </x:c>
      <x:c r="D172" s="7" t="str">
        <x:v>603083</x:v>
      </x:c>
      <x:c r="E172" s="8" t="n">
        <x:v>436508.4969104736</x:v>
      </x:c>
      <x:c r="F172" s="8" t="n">
        <x:v>444820.6826514239</x:v>
      </x:c>
      <x:c r="G172" s="8" t="n">
        <x:v>444820.6826514239</x:v>
      </x:c>
      <x:c r="H172" s="8" t="n">
        <x:v>402614.1821980602</x:v>
      </x:c>
      <x:c r="I172" s="8" t="n">
        <x:v>847434.8648494841</x:v>
      </x:c>
      <x:c r="J172" s="9" t="n">
        <x:v>-0.04629737829845959</x:v>
      </x:c>
      <x:c r="K172" s="9" t="n">
        <x:v>0.4478582376344571</x:v>
      </x:c>
      <x:c r="L172" s="8" t="n">
        <x:v>881.3383730859541</x:v>
      </x:c>
      <x:c r="M172" s="10" t="n">
        <x:v>1</x:v>
      </x:c>
    </x:row>
    <x:row r="173">
      <x:c r="A173" s="2" t="str">
        <x:v>不加形态</x:v>
      </x:c>
      <x:c r="B173" s="6" t="d">
        <x:v>2025-09-01T00:00:00.000Z</x:v>
      </x:c>
      <x:c r="C173" s="7" t="str">
        <x:v>002053</x:v>
      </x:c>
      <x:c r="D173" s="7" t="str">
        <x:v>605188</x:v>
      </x:c>
      <x:c r="E173" s="8" t="n">
        <x:v>444820.6826514239</x:v>
      </x:c>
      <x:c r="F173" s="8" t="n">
        <x:v>442544.1407642672</x:v>
      </x:c>
      <x:c r="G173" s="8" t="n">
        <x:v>442544.1407642672</x:v>
      </x:c>
      <x:c r="H173" s="8" t="n">
        <x:v>441933.00019335333</x:v>
      </x:c>
      <x:c r="I173" s="8" t="n">
        <x:v>884477.1409576205</x:v>
      </x:c>
      <x:c r="J173" s="9" t="n">
        <x:v>0.04371105986383461</x:v>
      </x:c>
      <x:c r="K173" s="9" t="n">
        <x:v>0.4237235360063737</x:v>
      </x:c>
      <x:c r="L173" s="8" t="n">
        <x:v>887.3634342372054</x:v>
      </x:c>
      <x:c r="M173" s="10" t="n">
        <x:v>1</x:v>
      </x:c>
    </x:row>
    <x:row r="174">
      <x:c r="A174" s="2" t="str">
        <x:v>不加形态</x:v>
      </x:c>
      <x:c r="B174" s="6" t="d">
        <x:v>2025-09-02T00:00:00.000Z</x:v>
      </x:c>
      <x:c r="C174" s="7"/>
      <x:c r="D174" s="7" t="str">
        <x:v>002053</x:v>
      </x:c>
      <x:c r="E174" s="8" t="n">
        <x:v>0</x:v>
      </x:c>
      <x:c r="F174" s="8" t="n">
        <x:v>424405.0272741434</x:v>
      </x:c>
      <x:c r="G174" s="8" t="n">
        <x:v>866949.1680384106</x:v>
      </x:c>
      <x:c r="H174" s="8" t="n">
        <x:v>0</x:v>
      </x:c>
      <x:c r="I174" s="8" t="n">
        <x:v>866949.1680384106</x:v>
      </x:c>
      <x:c r="J174" s="9" t="n">
        <x:v>-0.019817327218013103</x:v>
      </x:c>
      <x:c r="K174" s="9" t="n">
        <x:v>0.4351437952613749</x:v>
      </x:c>
      <x:c r="L174" s="8" t="n">
        <x:v>424.8298571312747</x:v>
      </x:c>
      <x:c r="M174" s="10" t="n">
        <x:v>0</x:v>
      </x:c>
    </x:row>
    <x:row r="175">
      <x:c r="A175" s="2" t="str">
        <x:v>不加形态</x:v>
      </x:c>
      <x:c r="B175" s="6" t="d">
        <x:v>2025-09-03T00:00:00.000Z</x:v>
      </x:c>
      <x:c r="C175" s="7"/>
      <x:c r="D175" s="7"/>
      <x:c r="E175" s="8" t="n">
        <x:v>0</x:v>
      </x:c>
      <x:c r="F175" s="8" t="n">
        <x:v>0</x:v>
      </x:c>
      <x:c r="G175" s="8" t="n">
        <x:v>866949.1680384106</x:v>
      </x:c>
      <x:c r="H175" s="8" t="n">
        <x:v>0</x:v>
      </x:c>
      <x:c r="I175" s="8" t="n">
        <x:v>866949.1680384106</x:v>
      </x:c>
      <x:c r="J175" s="9" t="n">
        <x:v>0</x:v>
      </x:c>
      <x:c r="K175" s="9" t="n">
        <x:v>0.4351437952613749</x:v>
      </x:c>
      <x:c r="L175" s="8" t="n">
        <x:v>0</x:v>
      </x:c>
      <x:c r="M175" s="10" t="n">
        <x:v>0</x:v>
      </x:c>
    </x:row>
    <x:row r="176">
      <x:c r="A176" s="2" t="str">
        <x:v>不加形态</x:v>
      </x:c>
      <x:c r="B176" s="6" t="d">
        <x:v>2025-09-04T00:00:00.000Z</x:v>
      </x:c>
      <x:c r="C176" s="7"/>
      <x:c r="D176" s="7"/>
      <x:c r="E176" s="8" t="n">
        <x:v>0</x:v>
      </x:c>
      <x:c r="F176" s="8" t="n">
        <x:v>0</x:v>
      </x:c>
      <x:c r="G176" s="8" t="n">
        <x:v>866949.1680384106</x:v>
      </x:c>
      <x:c r="H176" s="8" t="n">
        <x:v>0</x:v>
      </x:c>
      <x:c r="I176" s="8" t="n">
        <x:v>866949.1680384106</x:v>
      </x:c>
      <x:c r="J176" s="9" t="n">
        <x:v>0</x:v>
      </x:c>
      <x:c r="K176" s="9" t="n">
        <x:v>0.4351437952613749</x:v>
      </x:c>
      <x:c r="L176" s="8" t="n">
        <x:v>0</x:v>
      </x:c>
      <x:c r="M176" s="10" t="n">
        <x:v>0</x:v>
      </x:c>
    </x:row>
    <x:row r="177">
      <x:c r="A177" s="2" t="str">
        <x:v>不加形态</x:v>
      </x:c>
      <x:c r="B177" s="6" t="d">
        <x:v>2025-09-05T00:00:00.000Z</x:v>
      </x:c>
      <x:c r="C177" s="7"/>
      <x:c r="D177" s="7"/>
      <x:c r="E177" s="8" t="n">
        <x:v>0</x:v>
      </x:c>
      <x:c r="F177" s="8" t="n">
        <x:v>0</x:v>
      </x:c>
      <x:c r="G177" s="8" t="n">
        <x:v>866949.1680384106</x:v>
      </x:c>
      <x:c r="H177" s="8" t="n">
        <x:v>0</x:v>
      </x:c>
      <x:c r="I177" s="8" t="n">
        <x:v>866949.1680384106</x:v>
      </x:c>
      <x:c r="J177" s="9" t="n">
        <x:v>0</x:v>
      </x:c>
      <x:c r="K177" s="9" t="n">
        <x:v>0.4351437952613749</x:v>
      </x:c>
      <x:c r="L177" s="8" t="n">
        <x:v>0</x:v>
      </x:c>
      <x:c r="M177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128be691d5e4f9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2" hidden="0" customWidth="1"/>
    <x:col min="6" max="6" width="13" hidden="0" customWidth="1"/>
    <x:col min="7" max="7" width="37" hidden="0" customWidth="1"/>
    <x:col min="8" max="8" width="13" hidden="0" customWidth="1"/>
    <x:col min="9" max="9" width="14" hidden="0" customWidth="1"/>
    <x:col min="10" max="10" width="19" hidden="0" customWidth="1"/>
    <x:col min="11" max="11" width="13" hidden="0" customWidth="1"/>
    <x:col min="12" max="12" width="16" hidden="0" customWidth="1"/>
    <x:col min="13" max="13" width="15" hidden="0" customWidth="1"/>
    <x:col min="14" max="14" width="13" hidden="0" customWidth="1"/>
    <x:col min="15" max="15" width="19" hidden="0" customWidth="1"/>
    <x:col min="16" max="16" width="14" hidden="0" customWidth="1"/>
    <x:col min="17" max="17" width="14" hidden="0" customWidth="1"/>
    <x:col min="18" max="18" width="18" hidden="0" customWidth="1"/>
    <x:col min="19" max="19" width="14" hidden="0" customWidth="1"/>
    <x:col min="20" max="20" width="13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 ht="28" customHeight="1">
      <x:c r="A1" s="5" t="str">
        <x:v>方案</x:v>
      </x:c>
      <x:c r="B1" s="5" t="str">
        <x:v>D0日期</x:v>
      </x:c>
      <x:c r="C1" s="5" t="str">
        <x:v>买入日</x:v>
      </x:c>
      <x:c r="D1" s="5" t="str">
        <x:v>股票代码</x:v>
      </x:c>
      <x:c r="E1" s="5" t="str">
        <x:v>D0排名</x:v>
      </x:c>
      <x:c r="F1" s="5" t="str">
        <x:v>模型分数</x:v>
      </x:c>
      <x:c r="G1" s="5" t="str">
        <x:v>月度形态规则</x:v>
      </x:c>
      <x:c r="H1" s="5" t="str">
        <x:v>买点分钟</x:v>
      </x:c>
      <x:c r="I1" s="5" t="str">
        <x:v>资金用法</x:v>
      </x:c>
      <x:c r="J1" s="5" t="str">
        <x:v>买入支出元</x:v>
      </x:c>
      <x:c r="K1" s="5" t="str">
        <x:v>买入价</x:v>
      </x:c>
      <x:c r="L1" s="5" t="str">
        <x:v>股数</x:v>
      </x:c>
      <x:c r="M1" s="5" t="str">
        <x:v>卖出日</x:v>
      </x:c>
      <x:c r="N1" s="5" t="str">
        <x:v>卖出价</x:v>
      </x:c>
      <x:c r="O1" s="5" t="str">
        <x:v>卖出净款元</x:v>
      </x:c>
      <x:c r="P1" s="5" t="str">
        <x:v>买费元</x:v>
      </x:c>
      <x:c r="Q1" s="5" t="str">
        <x:v>卖费元</x:v>
      </x:c>
      <x:c r="R1" s="5" t="str">
        <x:v>净盈亏元</x:v>
      </x:c>
      <x:c r="S1" s="5" t="str">
        <x:v>净收益</x:v>
      </x:c>
      <x:c r="T1" s="5" t="str">
        <x:v>三日再板</x:v>
      </x:c>
      <x:c r="U1" s="5" t="str">
        <x:v>五分最高</x:v>
      </x:c>
      <x:c r="V1" s="5" t="str">
        <x:v>五分最低</x:v>
      </x:c>
      <x:c r="W1" s="5" t="str">
        <x:v>高点回落</x:v>
      </x:c>
      <x:c r="X1" s="5" t="str">
        <x:v>五分实体</x:v>
      </x:c>
    </x:row>
    <x:row r="2">
      <x:c r="A2" s="2" t="str">
        <x:v>形态过滤</x:v>
      </x:c>
      <x:c r="B2" s="6" t="d">
        <x:v>2025-05-06T00:00:00.000Z</x:v>
      </x:c>
      <x:c r="C2" s="6" t="d">
        <x:v>2025-05-07T00:00:00.000Z</x:v>
      </x:c>
      <x:c r="D2" s="7" t="str">
        <x:v>603586</x:v>
      </x:c>
      <x:c r="E2" s="2" t="n">
        <x:v>2</x:v>
      </x:c>
      <x:c r="F2" s="11" t="n">
        <x:v>0.71826675987459</x:v>
      </x:c>
      <x:c r="G2" s="2" t="str">
        <x:v>全部保留</x:v>
      </x:c>
      <x:c r="H2" s="2" t="str">
        <x:v>09:36</x:v>
      </x:c>
      <x:c r="I2" s="2" t="str">
        <x:v>空仓半买</x:v>
      </x:c>
      <x:c r="J2" s="8" t="n">
        <x:v>500000</x:v>
      </x:c>
      <x:c r="K2" s="12" t="n">
        <x:v>19.23</x:v>
      </x:c>
      <x:c r="L2" s="8" t="n">
        <x:v>25975.064976625043</x:v>
      </x:c>
      <x:c r="M2" s="6" t="d">
        <x:v>2025-05-08T00:00:00.000Z</x:v>
      </x:c>
      <x:c r="N2" s="12" t="n">
        <x:v>17.06</x:v>
      </x:c>
      <x:c r="O2" s="8" t="n">
        <x:v>442691.473892722</x:v>
      </x:c>
      <x:c r="P2" s="8" t="n">
        <x:v>499.5004995004274</x:v>
      </x:c>
      <x:c r="Q2" s="8" t="n">
        <x:v>443.1346085012232</x:v>
      </x:c>
      <x:c r="R2" s="8" t="n">
        <x:f>O2-J2</x:f>
        <x:v>-57308.52610727801</x:v>
      </x:c>
      <x:c r="S2" s="9" t="n">
        <x:f>R2/J2</x:f>
        <x:v>-0.11461705221455602</x:v>
      </x:c>
      <x:c r="T2" s="2" t="n">
        <x:v>0</x:v>
      </x:c>
      <x:c r="U2" s="9" t="n">
        <x:v>0.100053792361485</x:v>
      </x:c>
      <x:c r="V2" s="9" t="n">
        <x:v>0.015599784830554</x:v>
      </x:c>
      <x:c r="W2" s="9" t="n">
        <x:v>0.066164604626143</x:v>
      </x:c>
      <x:c r="X2" s="9" t="n">
        <x:v>-0.060146699266504</x:v>
      </x:c>
    </x:row>
    <x:row r="3">
      <x:c r="A3" s="2" t="str">
        <x:v>形态过滤</x:v>
      </x:c>
      <x:c r="B3" s="6" t="d">
        <x:v>2025-05-07T00:00:00.000Z</x:v>
      </x:c>
      <x:c r="C3" s="6" t="d">
        <x:v>2025-05-08T00:00:00.000Z</x:v>
      </x:c>
      <x:c r="D3" s="7" t="str">
        <x:v>600410</x:v>
      </x:c>
      <x:c r="E3" s="2" t="n">
        <x:v>2</x:v>
      </x:c>
      <x:c r="F3" s="11" t="n">
        <x:v>0.7736169874332208</x:v>
      </x:c>
      <x:c r="G3" s="2" t="str">
        <x:v>全部保留</x:v>
      </x:c>
      <x:c r="H3" s="2" t="str">
        <x:v>09:36</x:v>
      </x:c>
      <x:c r="I3" s="2" t="str">
        <x:v>余款全买</x:v>
      </x:c>
      <x:c r="J3" s="8" t="n">
        <x:v>500000</x:v>
      </x:c>
      <x:c r="K3" s="12" t="n">
        <x:v>11.2</x:v>
      </x:c>
      <x:c r="L3" s="8" t="n">
        <x:v>44598.258883973176</x:v>
      </x:c>
      <x:c r="M3" s="6" t="d">
        <x:v>2025-05-09T00:00:00.000Z</x:v>
      </x:c>
      <x:c r="N3" s="12" t="n">
        <x:v>9.98</x:v>
      </x:c>
      <x:c r="O3" s="8" t="n">
        <x:v>444645.5330383903</x:v>
      </x:c>
      <x:c r="P3" s="8" t="n">
        <x:v>499.5004995004274</x:v>
      </x:c>
      <x:c r="Q3" s="8" t="n">
        <x:v>445.09062366205234</x:v>
      </x:c>
      <x:c r="R3" s="8" t="n">
        <x:f>O3-J3</x:f>
        <x:v>-55354.46696160972</x:v>
      </x:c>
      <x:c r="S3" s="9" t="n">
        <x:f>R3/J3</x:f>
        <x:v>-0.11070893392321944</x:v>
      </x:c>
      <x:c r="T3" s="2" t="n">
        <x:v>0</x:v>
      </x:c>
      <x:c r="U3" s="9" t="n">
        <x:v>0.027272727272727</x:v>
      </x:c>
      <x:c r="V3" s="9" t="n">
        <x:v>-0.015454545454545</x:v>
      </x:c>
      <x:c r="W3" s="9" t="n">
        <x:v>0.009090909090909</x:v>
      </x:c>
      <x:c r="X3" s="9" t="n">
        <x:v>-0.00709219858156</x:v>
      </x:c>
    </x:row>
    <x:row r="4">
      <x:c r="A4" s="2" t="str">
        <x:v>形态过滤</x:v>
      </x:c>
      <x:c r="B4" s="6" t="d">
        <x:v>2025-05-08T00:00:00.000Z</x:v>
      </x:c>
      <x:c r="C4" s="6" t="d">
        <x:v>2025-05-09T00:00:00.000Z</x:v>
      </x:c>
      <x:c r="D4" s="7" t="str">
        <x:v>002490</x:v>
      </x:c>
      <x:c r="E4" s="2" t="n">
        <x:v>1</x:v>
      </x:c>
      <x:c r="F4" s="11" t="n">
        <x:v>0.7421351214028248</x:v>
      </x:c>
      <x:c r="G4" s="2" t="str">
        <x:v>全部保留</x:v>
      </x:c>
      <x:c r="H4" s="2" t="str">
        <x:v>09:36</x:v>
      </x:c>
      <x:c r="I4" s="2" t="str">
        <x:v>余款全买</x:v>
      </x:c>
      <x:c r="J4" s="8" t="n">
        <x:v>442691.473892722</x:v>
      </x:c>
      <x:c r="K4" s="12" t="n">
        <x:v>5.38</x:v>
      </x:c>
      <x:c r="L4" s="8" t="n">
        <x:v>82202.45811673866</x:v>
      </x:c>
      <x:c r="M4" s="6" t="d">
        <x:v>2025-05-12T00:00:00.000Z</x:v>
      </x:c>
      <x:c r="N4" s="12" t="n">
        <x:v>4.64</x:v>
      </x:c>
      <x:c r="O4" s="8" t="n">
        <x:v>381037.9862560057</x:v>
      </x:c>
      <x:c r="P4" s="8" t="n">
        <x:v>442.24922466801945</x:v>
      </x:c>
      <x:c r="Q4" s="8" t="n">
        <x:v>381.4194056616674</x:v>
      </x:c>
      <x:c r="R4" s="8" t="n">
        <x:f>O4-J4</x:f>
        <x:v>-61653.48763671628</x:v>
      </x:c>
      <x:c r="S4" s="9" t="n">
        <x:f>R4/J4</x:f>
        <x:v>-0.1392696522808046</x:v>
      </x:c>
      <x:c r="T4" s="2" t="n">
        <x:v>0</x:v>
      </x:c>
      <x:c r="U4" s="9" t="n">
        <x:v>0.053130929791271</x:v>
      </x:c>
      <x:c r="V4" s="9" t="n">
        <x:v>-0.003795066413662</x:v>
      </x:c>
      <x:c r="W4" s="9" t="n">
        <x:v>0.032258064516129</x:v>
      </x:c>
      <x:c r="X4" s="9" t="n">
        <x:v>0.020872865275142</x:v>
      </x:c>
    </x:row>
    <x:row r="5">
      <x:c r="A5" s="2" t="str">
        <x:v>形态过滤</x:v>
      </x:c>
      <x:c r="B5" s="6" t="d">
        <x:v>2025-05-09T00:00:00.000Z</x:v>
      </x:c>
      <x:c r="C5" s="6" t="d">
        <x:v>2025-05-12T00:00:00.000Z</x:v>
      </x:c>
      <x:c r="D5" s="7" t="str">
        <x:v>603912</x:v>
      </x:c>
      <x:c r="E5" s="2" t="n">
        <x:v>2</x:v>
      </x:c>
      <x:c r="F5" s="11" t="n">
        <x:v>0.766814819855272</x:v>
      </x:c>
      <x:c r="G5" s="2" t="str">
        <x:v>全部保留</x:v>
      </x:c>
      <x:c r="H5" s="2" t="str">
        <x:v>09:36</x:v>
      </x:c>
      <x:c r="I5" s="2" t="str">
        <x:v>余款全买</x:v>
      </x:c>
      <x:c r="J5" s="8" t="n">
        <x:v>444645.5330383903</x:v>
      </x:c>
      <x:c r="K5" s="12" t="n">
        <x:v>9.76</x:v>
      </x:c>
      <x:c r="L5" s="8" t="n">
        <x:v>45512.431527324145</x:v>
      </x:c>
      <x:c r="M5" s="6" t="d">
        <x:v>2025-05-13T00:00:00.000Z</x:v>
      </x:c>
      <x:c r="N5" s="12" t="n">
        <x:v>10.2</x:v>
      </x:c>
      <x:c r="O5" s="8" t="n">
        <x:v>463762.57477712753</x:v>
      </x:c>
      <x:c r="P5" s="8" t="n">
        <x:v>444.2013317066594</x:v>
      </x:c>
      <x:c r="Q5" s="8" t="n">
        <x:v>464.2268015787063</x:v>
      </x:c>
      <x:c r="R5" s="8" t="n">
        <x:f>O5-J5</x:f>
        <x:v>19117.041738737258</x:v>
      </x:c>
      <x:c r="S5" s="9" t="n">
        <x:f>R5/J5</x:f>
        <x:v>0.042993891354547155</x:v>
      </x:c>
      <x:c r="T5" s="2" t="n">
        <x:v>0</x:v>
      </x:c>
      <x:c r="U5" s="9" t="n">
        <x:v>-0.034146341463415</x:v>
      </x:c>
      <x:c r="V5" s="9" t="n">
        <x:v>-0.070243902439024</x:v>
      </x:c>
      <x:c r="W5" s="9" t="n">
        <x:v>0.014634146341463</x:v>
      </x:c>
      <x:c r="X5" s="9" t="n">
        <x:v>-0.015151515151515</x:v>
      </x:c>
    </x:row>
    <x:row r="6">
      <x:c r="A6" s="2" t="str">
        <x:v>形态过滤</x:v>
      </x:c>
      <x:c r="B6" s="6" t="d">
        <x:v>2025-05-12T00:00:00.000Z</x:v>
      </x:c>
      <x:c r="C6" s="6" t="d">
        <x:v>2025-05-13T00:00:00.000Z</x:v>
      </x:c>
      <x:c r="D6" s="7" t="str">
        <x:v>000559</x:v>
      </x:c>
      <x:c r="E6" s="2" t="n">
        <x:v>2</x:v>
      </x:c>
      <x:c r="F6" s="11" t="n">
        <x:v>0.6856934366188223</x:v>
      </x:c>
      <x:c r="G6" s="2" t="str">
        <x:v>全部保留</x:v>
      </x:c>
      <x:c r="H6" s="2" t="str">
        <x:v>09:36</x:v>
      </x:c>
      <x:c r="I6" s="2" t="str">
        <x:v>余款全买</x:v>
      </x:c>
      <x:c r="J6" s="8" t="n">
        <x:v>381037.9862560057</x:v>
      </x:c>
      <x:c r="K6" s="12" t="n">
        <x:v>9.5</x:v>
      </x:c>
      <x:c r="L6" s="8" t="n">
        <x:v>40069.192518639866</x:v>
      </x:c>
      <x:c r="M6" s="6" t="d">
        <x:v>2025-05-14T00:00:00.000Z</x:v>
      </x:c>
      <x:c r="N6" s="12" t="n">
        <x:v>9</x:v>
      </x:c>
      <x:c r="O6" s="8" t="n">
        <x:v>360262.109935091</x:v>
      </x:c>
      <x:c r="P6" s="8" t="n">
        <x:v>380.65732892701635</x:v>
      </x:c>
      <x:c r="Q6" s="8" t="n">
        <x:v>360.6227326677588</x:v>
      </x:c>
      <x:c r="R6" s="8" t="n">
        <x:f>O6-J6</x:f>
        <x:v>-20775.876320914715</x:v>
      </x:c>
      <x:c r="S6" s="9" t="n">
        <x:f>R6/J6</x:f>
        <x:v>-0.054524422945475444</x:v>
      </x:c>
      <x:c r="T6" s="2" t="n">
        <x:v>0</x:v>
      </x:c>
      <x:c r="U6" s="9" t="n">
        <x:v>0.049568965517242</x:v>
      </x:c>
      <x:c r="V6" s="9" t="n">
        <x:v>0</x:v>
      </x:c>
      <x:c r="W6" s="9" t="n">
        <x:v>0.025862068965517</x:v>
      </x:c>
      <x:c r="X6" s="9" t="n">
        <x:v>-0.005235602094241</x:v>
      </x:c>
    </x:row>
    <x:row r="7">
      <x:c r="A7" s="2" t="str">
        <x:v>形态过滤</x:v>
      </x:c>
      <x:c r="B7" s="6" t="d">
        <x:v>2025-05-13T00:00:00.000Z</x:v>
      </x:c>
      <x:c r="C7" s="6" t="d">
        <x:v>2025-05-14T00:00:00.000Z</x:v>
      </x:c>
      <x:c r="D7" s="7" t="str">
        <x:v>605055</x:v>
      </x:c>
      <x:c r="E7" s="2" t="n">
        <x:v>1</x:v>
      </x:c>
      <x:c r="F7" s="11" t="n">
        <x:v>0.8081499654829787</x:v>
      </x:c>
      <x:c r="G7" s="2" t="str">
        <x:v>全部保留</x:v>
      </x:c>
      <x:c r="H7" s="2" t="str">
        <x:v>09:36</x:v>
      </x:c>
      <x:c r="I7" s="2" t="str">
        <x:v>余款全买</x:v>
      </x:c>
      <x:c r="J7" s="8" t="n">
        <x:v>463762.57477712753</x:v>
      </x:c>
      <x:c r="K7" s="12" t="n">
        <x:v>7.49</x:v>
      </x:c>
      <x:c r="L7" s="8" t="n">
        <x:v>61855.71101490333</x:v>
      </x:c>
      <x:c r="M7" s="6" t="d">
        <x:v>2025-05-15T00:00:00.000Z</x:v>
      </x:c>
      <x:c r="N7" s="12" t="n">
        <x:v>9.31</x:v>
      </x:c>
      <x:c r="O7" s="8" t="n">
        <x:v>575300.7928792012</x:v>
      </x:c>
      <x:c r="P7" s="8" t="n">
        <x:v>463.299275501573</x:v>
      </x:c>
      <x:c r="Q7" s="8" t="n">
        <x:v>575.8766695487501</x:v>
      </x:c>
      <x:c r="R7" s="8" t="n">
        <x:f>O7-J7</x:f>
        <x:v>111538.2181020737</x:v>
      </x:c>
      <x:c r="S7" s="9" t="n">
        <x:f>R7/J7</x:f>
        <x:v>0.24050715639500692</x:v>
      </x:c>
      <x:c r="T7" s="2" t="n">
        <x:v>1</x:v>
      </x:c>
      <x:c r="U7" s="9" t="n">
        <x:v>0.001300390117035</x:v>
      </x:c>
      <x:c r="V7" s="9" t="n">
        <x:v>-0.081924577373212</x:v>
      </x:c>
      <x:c r="W7" s="9" t="n">
        <x:v>0.026007802340702</x:v>
      </x:c>
      <x:c r="X7" s="9" t="n">
        <x:v>-0.024707412223667</x:v>
      </x:c>
    </x:row>
    <x:row r="8">
      <x:c r="A8" s="2" t="str">
        <x:v>形态过滤</x:v>
      </x:c>
      <x:c r="B8" s="6" t="d">
        <x:v>2025-05-14T00:00:00.000Z</x:v>
      </x:c>
      <x:c r="C8" s="6" t="d">
        <x:v>2025-05-15T00:00:00.000Z</x:v>
      </x:c>
      <x:c r="D8" s="7" t="str">
        <x:v>603332</x:v>
      </x:c>
      <x:c r="E8" s="2" t="n">
        <x:v>3</x:v>
      </x:c>
      <x:c r="F8" s="11" t="n">
        <x:v>0.7329461428838403</x:v>
      </x:c>
      <x:c r="G8" s="2" t="str">
        <x:v>全部保留</x:v>
      </x:c>
      <x:c r="H8" s="2" t="str">
        <x:v>09:36</x:v>
      </x:c>
      <x:c r="I8" s="2" t="str">
        <x:v>余款全买</x:v>
      </x:c>
      <x:c r="J8" s="8" t="n">
        <x:v>360262.109935091</x:v>
      </x:c>
      <x:c r="K8" s="12" t="n">
        <x:v>13.73</x:v>
      </x:c>
      <x:c r="L8" s="8" t="n">
        <x:v>26212.833774753362</x:v>
      </x:c>
      <x:c r="M8" s="6" t="d">
        <x:v>2025-05-16T00:00:00.000Z</x:v>
      </x:c>
      <x:c r="N8" s="12" t="n">
        <x:v>14.69</x:v>
      </x:c>
      <x:c r="O8" s="8" t="n">
        <x:v>384681.46162297577</x:v>
      </x:c>
      <x:c r="P8" s="8" t="n">
        <x:v>359.9022077273112</x:v>
      </x:c>
      <x:c r="Q8" s="8" t="n">
        <x:v>385.0665281511269</x:v>
      </x:c>
      <x:c r="R8" s="8" t="n">
        <x:f>O8-J8</x:f>
        <x:v>24419.351687884773</x:v>
      </x:c>
      <x:c r="S8" s="9" t="n">
        <x:f>R8/J8</x:f>
        <x:v>0.06778218140199214</x:v>
      </x:c>
      <x:c r="T8" s="2" t="n">
        <x:v>1</x:v>
      </x:c>
      <x:c r="U8" s="9" t="n">
        <x:v>-0.030640668523677</x:v>
      </x:c>
      <x:c r="V8" s="9" t="n">
        <x:v>-0.08008356545961</x:v>
      </x:c>
      <x:c r="W8" s="9" t="n">
        <x:v>0.013231197771588</x:v>
      </x:c>
      <x:c r="X8" s="9" t="n">
        <x:v>0.005860805860806</x:v>
      </x:c>
    </x:row>
    <x:row r="9">
      <x:c r="A9" s="2" t="str">
        <x:v>形态过滤</x:v>
      </x:c>
      <x:c r="B9" s="6" t="d">
        <x:v>2025-05-15T00:00:00.000Z</x:v>
      </x:c>
      <x:c r="C9" s="6" t="d">
        <x:v>2025-05-16T00:00:00.000Z</x:v>
      </x:c>
      <x:c r="D9" s="7" t="str">
        <x:v>002040</x:v>
      </x:c>
      <x:c r="E9" s="2" t="n">
        <x:v>2</x:v>
      </x:c>
      <x:c r="F9" s="11" t="n">
        <x:v>0.7963617795803033</x:v>
      </x:c>
      <x:c r="G9" s="2" t="str">
        <x:v>全部保留</x:v>
      </x:c>
      <x:c r="H9" s="2" t="str">
        <x:v>09:37</x:v>
      </x:c>
      <x:c r="I9" s="2" t="str">
        <x:v>余款全买</x:v>
      </x:c>
      <x:c r="J9" s="8" t="n">
        <x:v>575300.7928792012</x:v>
      </x:c>
      <x:c r="K9" s="12" t="n">
        <x:v>10.21</x:v>
      </x:c>
      <x:c r="L9" s="8" t="n">
        <x:v>56290.506054102734</x:v>
      </x:c>
      <x:c r="M9" s="6" t="d">
        <x:v>2025-05-19T00:00:00.000Z</x:v>
      </x:c>
      <x:c r="N9" s="12" t="n">
        <x:v>11.25</x:v>
      </x:c>
      <x:c r="O9" s="8" t="n">
        <x:v>632634.9249155471</x:v>
      </x:c>
      <x:c r="P9" s="8" t="n">
        <x:v>574.7260668122908</x:v>
      </x:c>
      <x:c r="Q9" s="8" t="n">
        <x:v>633.2681931086557</x:v>
      </x:c>
      <x:c r="R9" s="8" t="n">
        <x:f>O9-J9</x:f>
        <x:v>57334.132036345894</x:v>
      </x:c>
      <x:c r="S9" s="9" t="n">
        <x:f>R9/J9</x:f>
        <x:v>0.09965940034500287</x:v>
      </x:c>
      <x:c r="T9" s="2" t="n">
        <x:v>1</x:v>
      </x:c>
      <x:c r="U9" s="9" t="n">
        <x:v>0.1</x:v>
      </x:c>
      <x:c r="V9" s="9" t="n">
        <x:v>0.035483870967742</x:v>
      </x:c>
      <x:c r="W9" s="9" t="n">
        <x:v>0</x:v>
      </x:c>
      <x:c r="X9" s="9" t="n">
        <x:v>0.062305295950156</x:v>
      </x:c>
    </x:row>
    <x:row r="10">
      <x:c r="A10" s="2" t="str">
        <x:v>形态过滤</x:v>
      </x:c>
      <x:c r="B10" s="6" t="d">
        <x:v>2025-05-16T00:00:00.000Z</x:v>
      </x:c>
      <x:c r="C10" s="6" t="d">
        <x:v>2025-05-19T00:00:00.000Z</x:v>
      </x:c>
      <x:c r="D10" s="7" t="str">
        <x:v>601022</x:v>
      </x:c>
      <x:c r="E10" s="2" t="n">
        <x:v>2</x:v>
      </x:c>
      <x:c r="F10" s="11" t="n">
        <x:v>0.7583809301266186</x:v>
      </x:c>
      <x:c r="G10" s="2" t="str">
        <x:v>全部保留</x:v>
      </x:c>
      <x:c r="H10" s="2" t="str">
        <x:v>09:36</x:v>
      </x:c>
      <x:c r="I10" s="2" t="str">
        <x:v>余款全买</x:v>
      </x:c>
      <x:c r="J10" s="8" t="n">
        <x:v>384681.46162297577</x:v>
      </x:c>
      <x:c r="K10" s="12" t="n">
        <x:v>12.38</x:v>
      </x:c>
      <x:c r="L10" s="8" t="n">
        <x:v>31041.77418889477</x:v>
      </x:c>
      <x:c r="M10" s="6" t="d">
        <x:v>2025-05-20T00:00:00.000Z</x:v>
      </x:c>
      <x:c r="N10" s="12" t="n">
        <x:v>11.55</x:v>
      </x:c>
      <x:c r="O10" s="8" t="n">
        <x:v>358173.9593898529</x:v>
      </x:c>
      <x:c r="P10" s="8" t="n">
        <x:v>384.29716445849044</x:v>
      </x:c>
      <x:c r="Q10" s="8" t="n">
        <x:v>358.53249188173464</x:v>
      </x:c>
      <x:c r="R10" s="8" t="n">
        <x:f>O10-J10</x:f>
        <x:v>-26507.502233122883</x:v>
      </x:c>
      <x:c r="S10" s="9" t="n">
        <x:f>R10/J10</x:f>
        <x:v>-0.06890766745370938</x:v>
      </x:c>
      <x:c r="T10" s="2" t="n">
        <x:v>0</x:v>
      </x:c>
      <x:c r="U10" s="9" t="n">
        <x:v>0.035159443990188</x:v>
      </x:c>
      <x:c r="V10" s="9" t="n">
        <x:v>-0.051512673753066</x:v>
      </x:c>
      <x:c r="W10" s="9" t="n">
        <x:v>0.021259198691742</x:v>
      </x:c>
      <x:c r="X10" s="9" t="n">
        <x:v>0.013900245298446</x:v>
      </x:c>
    </x:row>
    <x:row r="11">
      <x:c r="A11" s="2" t="str">
        <x:v>形态过滤</x:v>
      </x:c>
      <x:c r="B11" s="6" t="d">
        <x:v>2025-05-19T00:00:00.000Z</x:v>
      </x:c>
      <x:c r="C11" s="6" t="d">
        <x:v>2025-05-20T00:00:00.000Z</x:v>
      </x:c>
      <x:c r="D11" s="7" t="str">
        <x:v>600281</x:v>
      </x:c>
      <x:c r="E11" s="2" t="n">
        <x:v>3</x:v>
      </x:c>
      <x:c r="F11" s="11" t="n">
        <x:v>0.7112793947588365</x:v>
      </x:c>
      <x:c r="G11" s="2" t="str">
        <x:v>全部保留</x:v>
      </x:c>
      <x:c r="H11" s="2" t="str">
        <x:v>09:36</x:v>
      </x:c>
      <x:c r="I11" s="2" t="str">
        <x:v>余款全买</x:v>
      </x:c>
      <x:c r="J11" s="8" t="n">
        <x:v>632634.9249155471</x:v>
      </x:c>
      <x:c r="K11" s="12" t="n">
        <x:v>6.1</x:v>
      </x:c>
      <x:c r="L11" s="8" t="n">
        <x:v>103607.03639238585</x:v>
      </x:c>
      <x:c r="M11" s="6" t="d">
        <x:v>2025-05-21T00:00:00.000Z</x:v>
      </x:c>
      <x:c r="N11" s="12" t="n">
        <x:v>5.41</x:v>
      </x:c>
      <x:c r="O11" s="8" t="n">
        <x:v>559953.5528159247</x:v>
      </x:c>
      <x:c r="P11" s="8" t="n">
        <x:v>632.002921993495</x:v>
      </x:c>
      <x:c r="Q11" s="8" t="n">
        <x:v>560.5140668828076</x:v>
      </x:c>
      <x:c r="R11" s="8" t="n">
        <x:f>O11-J11</x:f>
        <x:v>-72681.37209962239</x:v>
      </x:c>
      <x:c r="S11" s="9" t="n">
        <x:f>R11/J11</x:f>
        <x:v>-0.1148867525916703</x:v>
      </x:c>
      <x:c r="T11" s="2" t="n">
        <x:v>0</x:v>
      </x:c>
      <x:c r="U11" s="9" t="n">
        <x:v>0.098920863309353</x:v>
      </x:c>
      <x:c r="V11" s="9" t="n">
        <x:v>0.005395683453237</x:v>
      </x:c>
      <x:c r="W11" s="9" t="n">
        <x:v>0</x:v>
      </x:c>
      <x:c r="X11" s="9" t="n">
        <x:v>0.071929824561404</x:v>
      </x:c>
    </x:row>
    <x:row r="12">
      <x:c r="A12" s="2" t="str">
        <x:v>形态过滤</x:v>
      </x:c>
      <x:c r="B12" s="6" t="d">
        <x:v>2025-05-20T00:00:00.000Z</x:v>
      </x:c>
      <x:c r="C12" s="6" t="d">
        <x:v>2025-05-21T00:00:00.000Z</x:v>
      </x:c>
      <x:c r="D12" s="7" t="str">
        <x:v>002735</x:v>
      </x:c>
      <x:c r="E12" s="2" t="n">
        <x:v>2</x:v>
      </x:c>
      <x:c r="F12" s="11" t="n">
        <x:v>0.8056469612076429</x:v>
      </x:c>
      <x:c r="G12" s="2" t="str">
        <x:v>全部保留</x:v>
      </x:c>
      <x:c r="H12" s="2" t="str">
        <x:v>09:36</x:v>
      </x:c>
      <x:c r="I12" s="2" t="str">
        <x:v>余款全买</x:v>
      </x:c>
      <x:c r="J12" s="8" t="n">
        <x:v>358173.9593898529</x:v>
      </x:c>
      <x:c r="K12" s="12" t="n">
        <x:v>14.93</x:v>
      </x:c>
      <x:c r="L12" s="8" t="n">
        <x:v>23966.252059384216</x:v>
      </x:c>
      <x:c r="M12" s="6" t="d">
        <x:v>2025-05-22T00:00:00.000Z</x:v>
      </x:c>
      <x:c r="N12" s="12" t="n">
        <x:v>17.24</x:v>
      </x:c>
      <x:c r="O12" s="8" t="n">
        <x:v>412765.0073182801</x:v>
      </x:c>
      <x:c r="P12" s="8" t="n">
        <x:v>357.8161432465422</x:v>
      </x:c>
      <x:c r="Q12" s="8" t="n">
        <x:v>413.1781855037839</x:v>
      </x:c>
      <x:c r="R12" s="8" t="n">
        <x:f>O12-J12</x:f>
        <x:v>54591.04792842723</x:v>
      </x:c>
      <x:c r="S12" s="9" t="n">
        <x:f>R12/J12</x:f>
        <x:v>0.15241489923338575</x:v>
      </x:c>
      <x:c r="T12" s="2" t="n">
        <x:v>1</x:v>
      </x:c>
      <x:c r="U12" s="9" t="n">
        <x:v>0.035386631716907</x:v>
      </x:c>
      <x:c r="V12" s="9" t="n">
        <x:v>-0.043250327653997</x:v>
      </x:c>
      <x:c r="W12" s="9" t="n">
        <x:v>0.055701179554391</x:v>
      </x:c>
      <x:c r="X12" s="9" t="n">
        <x:v>-0.033613445378151</x:v>
      </x:c>
    </x:row>
    <x:row r="13">
      <x:c r="A13" s="2" t="str">
        <x:v>形态过滤</x:v>
      </x:c>
      <x:c r="B13" s="6" t="d">
        <x:v>2025-05-21T00:00:00.000Z</x:v>
      </x:c>
      <x:c r="C13" s="6" t="d">
        <x:v>2025-05-22T00:00:00.000Z</x:v>
      </x:c>
      <x:c r="D13" s="7" t="str">
        <x:v>002510</x:v>
      </x:c>
      <x:c r="E13" s="2" t="n">
        <x:v>2</x:v>
      </x:c>
      <x:c r="F13" s="11" t="n">
        <x:v>0.8157358755293997</x:v>
      </x:c>
      <x:c r="G13" s="2" t="str">
        <x:v>全部保留</x:v>
      </x:c>
      <x:c r="H13" s="2" t="str">
        <x:v>09:36</x:v>
      </x:c>
      <x:c r="I13" s="2" t="str">
        <x:v>余款全买</x:v>
      </x:c>
      <x:c r="J13" s="8" t="n">
        <x:v>559953.5528159247</x:v>
      </x:c>
      <x:c r="K13" s="12" t="n">
        <x:v>8.68</x:v>
      </x:c>
      <x:c r="L13" s="8" t="n">
        <x:v>64446.33164254235</x:v>
      </x:c>
      <x:c r="M13" s="6" t="d">
        <x:v>2025-05-23T00:00:00.000Z</x:v>
      </x:c>
      <x:c r="N13" s="12" t="n">
        <x:v>7.41</x:v>
      </x:c>
      <x:c r="O13" s="8" t="n">
        <x:v>477069.77015376755</x:v>
      </x:c>
      <x:c r="P13" s="8" t="n">
        <x:v>559.3941586571746</x:v>
      </x:c>
      <x:c r="Q13" s="8" t="n">
        <x:v>477.5473174712388</x:v>
      </x:c>
      <x:c r="R13" s="8" t="n">
        <x:f>O13-J13</x:f>
        <x:v>-82883.7826621572</x:v>
      </x:c>
      <x:c r="S13" s="9" t="n">
        <x:f>R13/J13</x:f>
        <x:v>-0.14801903165958452</x:v>
      </x:c>
      <x:c r="T13" s="2" t="n">
        <x:v>0</x:v>
      </x:c>
      <x:c r="U13" s="9" t="n">
        <x:v>0.069657615112161</x:v>
      </x:c>
      <x:c r="V13" s="9" t="n">
        <x:v>0</x:v>
      </x:c>
      <x:c r="W13" s="9" t="n">
        <x:v>0.043683589138135</x:v>
      </x:c>
      <x:c r="X13" s="9" t="n">
        <x:v>0.011641443538999</x:v>
      </x:c>
    </x:row>
    <x:row r="14">
      <x:c r="A14" s="2" t="str">
        <x:v>形态过滤</x:v>
      </x:c>
      <x:c r="B14" s="6" t="d">
        <x:v>2025-05-22T00:00:00.000Z</x:v>
      </x:c>
      <x:c r="C14" s="6" t="d">
        <x:v>2025-05-23T00:00:00.000Z</x:v>
      </x:c>
      <x:c r="D14" s="7" t="str">
        <x:v>002431</x:v>
      </x:c>
      <x:c r="E14" s="2" t="n">
        <x:v>1</x:v>
      </x:c>
      <x:c r="F14" s="11" t="n">
        <x:v>0.7793582058784181</x:v>
      </x:c>
      <x:c r="G14" s="2" t="str">
        <x:v>全部保留</x:v>
      </x:c>
      <x:c r="H14" s="2" t="str">
        <x:v>09:36</x:v>
      </x:c>
      <x:c r="I14" s="2" t="str">
        <x:v>余款全买</x:v>
      </x:c>
      <x:c r="J14" s="8" t="n">
        <x:v>412765.0073182801</x:v>
      </x:c>
      <x:c r="K14" s="12" t="n">
        <x:v>2.7</x:v>
      </x:c>
      <x:c r="L14" s="8" t="n">
        <x:v>152723.20543096907</x:v>
      </x:c>
      <x:c r="M14" s="6" t="d">
        <x:v>2025-05-26T00:00:00.000Z</x:v>
      </x:c>
      <x:c r="N14" s="12" t="n">
        <x:v>2.87</x:v>
      </x:c>
      <x:c r="O14" s="8" t="n">
        <x:v>437877.28398729436</x:v>
      </x:c>
      <x:c r="P14" s="8" t="n">
        <x:v>412.35265466355486</x:v>
      </x:c>
      <x:c r="Q14" s="8" t="n">
        <x:v>438.31559958688126</x:v>
      </x:c>
      <x:c r="R14" s="8" t="n">
        <x:f>O14-J14</x:f>
        <x:v>25112.276669014245</x:v>
      </x:c>
      <x:c r="S14" s="9" t="n">
        <x:f>R14/J14</x:f>
        <x:v>0.06083916083916084</x:v>
      </x:c>
      <x:c r="T14" s="2" t="n">
        <x:v>1</x:v>
      </x:c>
      <x:c r="U14" s="9" t="n">
        <x:v>-0.010344827586207</x:v>
      </x:c>
      <x:c r="V14" s="9" t="n">
        <x:v>-0.096551724137931</x:v>
      </x:c>
      <x:c r="W14" s="9" t="n">
        <x:v>0.058620689655172</x:v>
      </x:c>
      <x:c r="X14" s="9" t="n">
        <x:v>-0.059233449477352</x:v>
      </x:c>
    </x:row>
    <x:row r="15">
      <x:c r="A15" s="2" t="str">
        <x:v>形态过滤</x:v>
      </x:c>
      <x:c r="B15" s="6" t="d">
        <x:v>2025-05-23T00:00:00.000Z</x:v>
      </x:c>
      <x:c r="C15" s="6" t="d">
        <x:v>2025-05-26T00:00:00.000Z</x:v>
      </x:c>
      <x:c r="D15" s="7" t="str">
        <x:v>002471</x:v>
      </x:c>
      <x:c r="E15" s="2" t="n">
        <x:v>2</x:v>
      </x:c>
      <x:c r="F15" s="11" t="n">
        <x:v>0.7572941553827948</x:v>
      </x:c>
      <x:c r="G15" s="2" t="str">
        <x:v>全部保留</x:v>
      </x:c>
      <x:c r="H15" s="2" t="str">
        <x:v>09:36</x:v>
      </x:c>
      <x:c r="I15" s="2" t="str">
        <x:v>余款全买</x:v>
      </x:c>
      <x:c r="J15" s="8" t="n">
        <x:v>477069.77015376755</x:v>
      </x:c>
      <x:c r="K15" s="12" t="n">
        <x:v>5.06</x:v>
      </x:c>
      <x:c r="L15" s="8" t="n">
        <x:v>94188.37489659898</x:v>
      </x:c>
      <x:c r="M15" s="6" t="d">
        <x:v>2025-05-27T00:00:00.000Z</x:v>
      </x:c>
      <x:c r="N15" s="12" t="n">
        <x:v>5.7</x:v>
      </x:c>
      <x:c r="O15" s="8" t="n">
        <x:v>536336.8631737035</x:v>
      </x:c>
      <x:c r="P15" s="8" t="n">
        <x:v>476.5931769767194</x:v>
      </x:c>
      <x:c r="Q15" s="8" t="n">
        <x:v>536.8737369106142</x:v>
      </x:c>
      <x:c r="R15" s="8" t="n">
        <x:f>O15-J15</x:f>
        <x:v>59267.093019936</x:v>
      </x:c>
      <x:c r="S15" s="9" t="n">
        <x:f>R15/J15</x:f>
        <x:v>0.12423149972557102</x:v>
      </x:c>
      <x:c r="T15" s="2" t="n">
        <x:v>1</x:v>
      </x:c>
      <x:c r="U15" s="9" t="n">
        <x:v>0.099787685774947</x:v>
      </x:c>
      <x:c r="V15" s="9" t="n">
        <x:v>0.044585987261146</x:v>
      </x:c>
      <x:c r="W15" s="9" t="n">
        <x:v>0.021231422505308</x:v>
      </x:c>
      <x:c r="X15" s="9" t="n">
        <x:v>0.018036072144288</x:v>
      </x:c>
    </x:row>
    <x:row r="16">
      <x:c r="A16" s="2" t="str">
        <x:v>形态过滤</x:v>
      </x:c>
      <x:c r="B16" s="6" t="d">
        <x:v>2025-05-26T00:00:00.000Z</x:v>
      </x:c>
      <x:c r="C16" s="6" t="d">
        <x:v>2025-05-27T00:00:00.000Z</x:v>
      </x:c>
      <x:c r="D16" s="7" t="str">
        <x:v>603332</x:v>
      </x:c>
      <x:c r="E16" s="2" t="n">
        <x:v>2</x:v>
      </x:c>
      <x:c r="F16" s="11" t="n">
        <x:v>0.7468780857572436</x:v>
      </x:c>
      <x:c r="G16" s="2" t="str">
        <x:v>全部保留</x:v>
      </x:c>
      <x:c r="H16" s="2" t="str">
        <x:v>09:36</x:v>
      </x:c>
      <x:c r="I16" s="2" t="str">
        <x:v>余款全买</x:v>
      </x:c>
      <x:c r="J16" s="8" t="n">
        <x:v>437877.28398729436</x:v>
      </x:c>
      <x:c r="K16" s="12" t="n">
        <x:v>19.49</x:v>
      </x:c>
      <x:c r="L16" s="8" t="n">
        <x:v>22444.322429099604</x:v>
      </x:c>
      <x:c r="M16" s="6" t="d">
        <x:v>2025-05-28T00:00:00.000Z</x:v>
      </x:c>
      <x:c r="N16" s="12" t="n">
        <x:v>21</x:v>
      </x:c>
      <x:c r="O16" s="8" t="n">
        <x:v>470859.44024008064</x:v>
      </x:c>
      <x:c r="P16" s="8" t="n">
        <x:v>437.43984414311126</x:v>
      </x:c>
      <x:c r="Q16" s="8" t="n">
        <x:v>471.3307710110917</x:v>
      </x:c>
      <x:c r="R16" s="8" t="n">
        <x:f>O16-J16</x:f>
        <x:v>32982.156252786284</x:v>
      </x:c>
      <x:c r="S16" s="9" t="n">
        <x:f>R16/J16</x:f>
        <x:v>0.07532283006885397</x:v>
      </x:c>
      <x:c r="T16" s="2" t="n">
        <x:v>1</x:v>
      </x:c>
      <x:c r="U16" s="9" t="n">
        <x:v>0.099610461880913</x:v>
      </x:c>
      <x:c r="V16" s="9" t="n">
        <x:v>0.030606566499722</x:v>
      </x:c>
      <x:c r="W16" s="9" t="n">
        <x:v>0.011686143572621</x:v>
      </x:c>
      <x:c r="X16" s="9" t="n">
        <x:v>0.041555673947789</x:v>
      </x:c>
    </x:row>
    <x:row r="17">
      <x:c r="A17" s="2" t="str">
        <x:v>形态过滤</x:v>
      </x:c>
      <x:c r="B17" s="6" t="d">
        <x:v>2025-05-27T00:00:00.000Z</x:v>
      </x:c>
      <x:c r="C17" s="6" t="d">
        <x:v>2025-05-28T00:00:00.000Z</x:v>
      </x:c>
      <x:c r="D17" s="7" t="str">
        <x:v>603333</x:v>
      </x:c>
      <x:c r="E17" s="2" t="n">
        <x:v>1</x:v>
      </x:c>
      <x:c r="F17" s="11" t="n">
        <x:v>0.7584203844164195</x:v>
      </x:c>
      <x:c r="G17" s="2" t="str">
        <x:v>全部保留</x:v>
      </x:c>
      <x:c r="H17" s="2" t="str">
        <x:v>09:36</x:v>
      </x:c>
      <x:c r="I17" s="2" t="str">
        <x:v>余款全买</x:v>
      </x:c>
      <x:c r="J17" s="8" t="n">
        <x:v>536336.8631737035</x:v>
      </x:c>
      <x:c r="K17" s="12" t="n">
        <x:v>8.64</x:v>
      </x:c>
      <x:c r="L17" s="8" t="n">
        <x:v>62014.0118184713</x:v>
      </x:c>
      <x:c r="M17" s="6" t="d">
        <x:v>2025-05-29T00:00:00.000Z</x:v>
      </x:c>
      <x:c r="N17" s="12" t="n">
        <x:v>9.96</x:v>
      </x:c>
      <x:c r="O17" s="8" t="n">
        <x:v>617041.8981542621</x:v>
      </x:c>
      <x:c r="P17" s="8" t="n">
        <x:v>535.80106211151</x:v>
      </x:c>
      <x:c r="Q17" s="8" t="n">
        <x:v>617.6595577119741</x:v>
      </x:c>
      <x:c r="R17" s="8" t="n">
        <x:f>O17-J17</x:f>
        <x:v>80705.03498055856</x:v>
      </x:c>
      <x:c r="S17" s="9" t="n">
        <x:f>R17/J17</x:f>
        <x:v>0.1504745254745255</x:v>
      </x:c>
      <x:c r="T17" s="2" t="n">
        <x:v>1</x:v>
      </x:c>
      <x:c r="U17" s="9" t="n">
        <x:v>0.099635479951397</x:v>
      </x:c>
      <x:c r="V17" s="9" t="n">
        <x:v>0.004860267314702</x:v>
      </x:c>
      <x:c r="W17" s="9" t="n">
        <x:v>0.051032806804374</x:v>
      </x:c>
      <x:c r="X17" s="9" t="n">
        <x:v>-0.046408839779006</x:v>
      </x:c>
    </x:row>
    <x:row r="18">
      <x:c r="A18" s="2" t="str">
        <x:v>形态过滤</x:v>
      </x:c>
      <x:c r="B18" s="6" t="d">
        <x:v>2025-05-29T00:00:00.000Z</x:v>
      </x:c>
      <x:c r="C18" s="6" t="d">
        <x:v>2025-05-30T00:00:00.000Z</x:v>
      </x:c>
      <x:c r="D18" s="7" t="str">
        <x:v>603390</x:v>
      </x:c>
      <x:c r="E18" s="2" t="n">
        <x:v>1</x:v>
      </x:c>
      <x:c r="F18" s="11" t="n">
        <x:v>0.7812409948089033</x:v>
      </x:c>
      <x:c r="G18" s="2" t="str">
        <x:v>全部保留</x:v>
      </x:c>
      <x:c r="H18" s="2" t="str">
        <x:v>09:36</x:v>
      </x:c>
      <x:c r="I18" s="2" t="str">
        <x:v>空仓半买</x:v>
      </x:c>
      <x:c r="J18" s="8" t="n">
        <x:v>543950.6691971713</x:v>
      </x:c>
      <x:c r="K18" s="12" t="n">
        <x:v>19.23</x:v>
      </x:c>
      <x:c r="L18" s="8" t="n">
        <x:v>28258.3079529504</x:v>
      </x:c>
      <x:c r="M18" s="6" t="d">
        <x:v>2025-06-03T00:00:00.000Z</x:v>
      </x:c>
      <x:c r="N18" s="12" t="n">
        <x:v>16.71</x:v>
      </x:c>
      <x:c r="O18" s="8" t="n">
        <x:v>471724.12956790737</x:v>
      </x:c>
      <x:c r="P18" s="8" t="n">
        <x:v>543.4072619351791</x:v>
      </x:c>
      <x:c r="Q18" s="8" t="n">
        <x:v>472.1963258938012</x:v>
      </x:c>
      <x:c r="R18" s="8" t="n">
        <x:f>O18-J18</x:f>
        <x:v>-72226.53962926398</x:v>
      </x:c>
      <x:c r="S18" s="9" t="n">
        <x:f>R18/J18</x:f>
        <x:v>-0.13278141515270991</x:v>
      </x:c>
      <x:c r="T18" s="2" t="n">
        <x:v>0</x:v>
      </x:c>
      <x:c r="U18" s="9" t="n">
        <x:v>0.100227790432802</x:v>
      </x:c>
      <x:c r="V18" s="9" t="n">
        <x:v>0.053530751708428</x:v>
      </x:c>
      <x:c r="W18" s="9" t="n">
        <x:v>0.005125284738041</x:v>
      </x:c>
      <x:c r="X18" s="9" t="n">
        <x:v>0.022872340425532</x:v>
      </x:c>
    </x:row>
    <x:row r="19">
      <x:c r="A19" s="2" t="str">
        <x:v>形态过滤</x:v>
      </x:c>
      <x:c r="B19" s="6" t="d">
        <x:v>2025-05-30T00:00:00.000Z</x:v>
      </x:c>
      <x:c r="C19" s="6" t="d">
        <x:v>2025-06-03T00:00:00.000Z</x:v>
      </x:c>
      <x:c r="D19" s="7" t="str">
        <x:v>002537</x:v>
      </x:c>
      <x:c r="E19" s="2" t="n">
        <x:v>3</x:v>
      </x:c>
      <x:c r="F19" s="11" t="n">
        <x:v>0.7909671563253974</x:v>
      </x:c>
      <x:c r="G19" s="2" t="str">
        <x:v>全部保留</x:v>
      </x:c>
      <x:c r="H19" s="2" t="str">
        <x:v>09:36</x:v>
      </x:c>
      <x:c r="I19" s="2" t="str">
        <x:v>余款全买</x:v>
      </x:c>
      <x:c r="J19" s="8" t="n">
        <x:v>543950.6691971713</x:v>
      </x:c>
      <x:c r="K19" s="12" t="n">
        <x:v>9.15</x:v>
      </x:c>
      <x:c r="L19" s="8" t="n">
        <x:v>59388.77179620067</x:v>
      </x:c>
      <x:c r="M19" s="6" t="d">
        <x:v>2025-06-04T00:00:00.000Z</x:v>
      </x:c>
      <x:c r="N19" s="12" t="n">
        <x:v>8.49</x:v>
      </x:c>
      <x:c r="O19" s="8" t="n">
        <x:v>503706.461877194</x:v>
      </x:c>
      <x:c r="P19" s="8" t="n">
        <x:v>543.4072619351791</x:v>
      </x:c>
      <x:c r="Q19" s="8" t="n">
        <x:v>504.2106725497437</x:v>
      </x:c>
      <x:c r="R19" s="8" t="n">
        <x:f>O19-J19</x:f>
        <x:v>-40244.207319977344</x:v>
      </x:c>
      <x:c r="S19" s="9" t="n">
        <x:f>R19/J19</x:f>
        <x:v>-0.0739850313620804</x:v>
      </x:c>
      <x:c r="T19" s="2" t="n">
        <x:v>1</x:v>
      </x:c>
      <x:c r="U19" s="9" t="n">
        <x:v>0.099639855942377</x:v>
      </x:c>
      <x:c r="V19" s="9" t="n">
        <x:v>0.050420168067227</x:v>
      </x:c>
      <x:c r="W19" s="9" t="n">
        <x:v>0.001200480192077</x:v>
      </x:c>
      <x:c r="X19" s="9" t="n">
        <x:v>0.030405405405405</x:v>
      </x:c>
    </x:row>
    <x:row r="20">
      <x:c r="A20" s="2" t="str">
        <x:v>形态过滤</x:v>
      </x:c>
      <x:c r="B20" s="6" t="d">
        <x:v>2025-06-03T00:00:00.000Z</x:v>
      </x:c>
      <x:c r="C20" s="6" t="d">
        <x:v>2025-06-04T00:00:00.000Z</x:v>
      </x:c>
      <x:c r="D20" s="7" t="str">
        <x:v>603123</x:v>
      </x:c>
      <x:c r="E20" s="2" t="n">
        <x:v>1</x:v>
      </x:c>
      <x:c r="F20" s="11" t="n">
        <x:v>0.7824358829718444</x:v>
      </x:c>
      <x:c r="G20" s="2" t="str">
        <x:v>高点回落&lt;5%</x:v>
      </x:c>
      <x:c r="H20" s="2" t="str">
        <x:v>09:36</x:v>
      </x:c>
      <x:c r="I20" s="2" t="str">
        <x:v>余款全买</x:v>
      </x:c>
      <x:c r="J20" s="8" t="n">
        <x:v>471724.12956790737</x:v>
      </x:c>
      <x:c r="K20" s="12" t="n">
        <x:v>13.39</x:v>
      </x:c>
      <x:c r="L20" s="8" t="n">
        <x:v>35194.38959605797</x:v>
      </x:c>
      <x:c r="M20" s="6" t="d">
        <x:v>2025-06-05T00:00:00.000Z</x:v>
      </x:c>
      <x:c r="N20" s="12" t="n">
        <x:v>14.18</x:v>
      </x:c>
      <x:c r="O20" s="8" t="n">
        <x:v>498557.3880276299</x:v>
      </x:c>
      <x:c r="P20" s="8" t="n">
        <x:v>471.25287669117097</x:v>
      </x:c>
      <x:c r="Q20" s="8" t="n">
        <x:v>499.056444472102</x:v>
      </x:c>
      <x:c r="R20" s="8" t="n">
        <x:f>O20-J20</x:f>
        <x:v>26833.258459722507</x:v>
      </x:c>
      <x:c r="S20" s="9" t="n">
        <x:f>R20/J20</x:f>
        <x:v>0.05688337055028623</x:v>
      </x:c>
      <x:c r="T20" s="2" t="n">
        <x:v>1</x:v>
      </x:c>
      <x:c r="U20" s="9" t="n">
        <x:v>0.10016155088853</x:v>
      </x:c>
      <x:c r="V20" s="9" t="n">
        <x:v>-0.02907915993538</x:v>
      </x:c>
      <x:c r="W20" s="9" t="n">
        <x:v>0.018578352180937</x:v>
      </x:c>
      <x:c r="X20" s="9" t="n">
        <x:v>0.08421052631579</x:v>
      </x:c>
    </x:row>
    <x:row r="21">
      <x:c r="A21" s="2" t="str">
        <x:v>形态过滤</x:v>
      </x:c>
      <x:c r="B21" s="6" t="d">
        <x:v>2025-06-04T00:00:00.000Z</x:v>
      </x:c>
      <x:c r="C21" s="6" t="d">
        <x:v>2025-06-05T00:00:00.000Z</x:v>
      </x:c>
      <x:c r="D21" s="7" t="str">
        <x:v>002177</x:v>
      </x:c>
      <x:c r="E21" s="2" t="n">
        <x:v>1</x:v>
      </x:c>
      <x:c r="F21" s="11" t="n">
        <x:v>0.7455323686855856</x:v>
      </x:c>
      <x:c r="G21" s="2" t="str">
        <x:v>高点回落&lt;5%</x:v>
      </x:c>
      <x:c r="H21" s="2" t="str">
        <x:v>09:36</x:v>
      </x:c>
      <x:c r="I21" s="2" t="str">
        <x:v>余款全买</x:v>
      </x:c>
      <x:c r="J21" s="8" t="n">
        <x:v>503706.461877194</x:v>
      </x:c>
      <x:c r="K21" s="12" t="n">
        <x:v>7.55</x:v>
      </x:c>
      <x:c r="L21" s="8" t="n">
        <x:v>66649.43822762588</x:v>
      </x:c>
      <x:c r="M21" s="6" t="d">
        <x:v>2025-06-06T00:00:00.000Z</x:v>
      </x:c>
      <x:c r="N21" s="12" t="n">
        <x:v>7.85</x:v>
      </x:c>
      <x:c r="O21" s="8" t="n">
        <x:v>522674.8919967763</x:v>
      </x:c>
      <x:c r="P21" s="8" t="n">
        <x:v>503.2032586185378</x:v>
      </x:c>
      <x:c r="Q21" s="8" t="n">
        <x:v>523.1980900868632</x:v>
      </x:c>
      <x:c r="R21" s="8" t="n">
        <x:f>O21-J21</x:f>
        <x:v>18968.430119582277</x:v>
      </x:c>
      <x:c r="S21" s="9" t="n">
        <x:f>R21/J21</x:f>
        <x:v>0.03765770653187862</x:v>
      </x:c>
      <x:c r="T21" s="2" t="n">
        <x:v>0</x:v>
      </x:c>
      <x:c r="U21" s="9" t="n">
        <x:v>-0.010430247718383</x:v>
      </x:c>
      <x:c r="V21" s="9" t="n">
        <x:v>-0.061277705345502</x:v>
      </x:c>
      <x:c r="W21" s="9" t="n">
        <x:v>0.009126466753585</x:v>
      </x:c>
      <x:c r="X21" s="9" t="n">
        <x:v>0.021739130434782</x:v>
      </x:c>
    </x:row>
    <x:row r="22">
      <x:c r="A22" s="2" t="str">
        <x:v>形态过滤</x:v>
      </x:c>
      <x:c r="B22" s="6" t="d">
        <x:v>2025-06-05T00:00:00.000Z</x:v>
      </x:c>
      <x:c r="C22" s="6" t="d">
        <x:v>2025-06-06T00:00:00.000Z</x:v>
      </x:c>
      <x:c r="D22" s="7" t="str">
        <x:v>603093</x:v>
      </x:c>
      <x:c r="E22" s="2" t="n">
        <x:v>1</x:v>
      </x:c>
      <x:c r="F22" s="11" t="n">
        <x:v>0.7303612416528862</x:v>
      </x:c>
      <x:c r="G22" s="2" t="str">
        <x:v>高点回落&lt;5%</x:v>
      </x:c>
      <x:c r="H22" s="2" t="str">
        <x:v>09:39</x:v>
      </x:c>
      <x:c r="I22" s="2" t="str">
        <x:v>余款全买</x:v>
      </x:c>
      <x:c r="J22" s="8" t="n">
        <x:v>498557.3880276299</x:v>
      </x:c>
      <x:c r="K22" s="12" t="n">
        <x:v>18.52</x:v>
      </x:c>
      <x:c r="L22" s="8" t="n">
        <x:v>26893.052305557827</x:v>
      </x:c>
      <x:c r="M22" s="6" t="d">
        <x:v>2025-06-09T00:00:00.000Z</x:v>
      </x:c>
      <x:c r="N22" s="12" t="n">
        <x:v>20.56</x:v>
      </x:c>
      <x:c r="O22" s="8" t="n">
        <x:v>552368.2342468665</x:v>
      </x:c>
      <x:c r="P22" s="8" t="n">
        <x:v>498.0593286989024</x:v>
      </x:c>
      <x:c r="Q22" s="8" t="n">
        <x:v>552.9211554022688</x:v>
      </x:c>
      <x:c r="R22" s="8" t="n">
        <x:f>O22-J22</x:f>
        <x:v>53810.84621923667</x:v>
      </x:c>
      <x:c r="S22" s="9" t="n">
        <x:f>R22/J22</x:f>
        <x:v>0.107933103613449</x:v>
      </x:c>
      <x:c r="T22" s="2" t="n">
        <x:v>1</x:v>
      </x:c>
      <x:c r="U22" s="9" t="n">
        <x:v>0.099942229924899</x:v>
      </x:c>
      <x:c r="V22" s="9" t="n">
        <x:v>0.032928942807626</x:v>
      </x:c>
      <x:c r="W22" s="9" t="n">
        <x:v>0</x:v>
      </x:c>
      <x:c r="X22" s="9" t="n">
        <x:v>0.063687150837989</x:v>
      </x:c>
    </x:row>
    <x:row r="23">
      <x:c r="A23" s="2" t="str">
        <x:v>形态过滤</x:v>
      </x:c>
      <x:c r="B23" s="6" t="d">
        <x:v>2025-06-06T00:00:00.000Z</x:v>
      </x:c>
      <x:c r="C23" s="6" t="d">
        <x:v>2025-06-09T00:00:00.000Z</x:v>
      </x:c>
      <x:c r="D23" s="7" t="str">
        <x:v>002298</x:v>
      </x:c>
      <x:c r="E23" s="2" t="n">
        <x:v>2</x:v>
      </x:c>
      <x:c r="F23" s="11" t="n">
        <x:v>0.7330994298673611</x:v>
      </x:c>
      <x:c r="G23" s="2" t="str">
        <x:v>高点回落&lt;5%</x:v>
      </x:c>
      <x:c r="H23" s="2" t="str">
        <x:v>09:36</x:v>
      </x:c>
      <x:c r="I23" s="2" t="str">
        <x:v>余款全买</x:v>
      </x:c>
      <x:c r="J23" s="8" t="n">
        <x:v>522674.8919967763</x:v>
      </x:c>
      <x:c r="K23" s="12" t="n">
        <x:v>7.83</x:v>
      </x:c>
      <x:c r="L23" s="8" t="n">
        <x:v>66686.17359610712</x:v>
      </x:c>
      <x:c r="M23" s="6" t="d">
        <x:v>2025-06-10T00:00:00.000Z</x:v>
      </x:c>
      <x:c r="N23" s="12" t="n">
        <x:v>8.45</x:v>
      </x:c>
      <x:c r="O23" s="8" t="n">
        <x:v>562934.6687202181</x:v>
      </x:c>
      <x:c r="P23" s="8" t="n">
        <x:v>522.1527392574353</x:v>
      </x:c>
      <x:c r="Q23" s="8" t="n">
        <x:v>563.4981668871052</x:v>
      </x:c>
      <x:c r="R23" s="8" t="n">
        <x:f>O23-J23</x:f>
        <x:v>40259.77672344184</x:v>
      </x:c>
      <x:c r="S23" s="9" t="n">
        <x:f>R23/J23</x:f>
        <x:v>0.07702642185400815</x:v>
      </x:c>
      <x:c r="T23" s="2" t="n">
        <x:v>1</x:v>
      </x:c>
      <x:c r="U23" s="9" t="n">
        <x:v>-0.012578616352201</x:v>
      </x:c>
      <x:c r="V23" s="9" t="n">
        <x:v>-0.045283018867925</x:v>
      </x:c>
      <x:c r="W23" s="9" t="n">
        <x:v>0.00125786163522</x:v>
      </x:c>
      <x:c r="X23" s="9" t="n">
        <x:v>-0.001273885350318</x:v>
      </x:c>
    </x:row>
    <x:row r="24">
      <x:c r="A24" s="2" t="str">
        <x:v>形态过滤</x:v>
      </x:c>
      <x:c r="B24" s="6" t="d">
        <x:v>2025-06-09T00:00:00.000Z</x:v>
      </x:c>
      <x:c r="C24" s="6" t="d">
        <x:v>2025-06-10T00:00:00.000Z</x:v>
      </x:c>
      <x:c r="D24" s="7" t="str">
        <x:v>003040</x:v>
      </x:c>
      <x:c r="E24" s="2" t="n">
        <x:v>1</x:v>
      </x:c>
      <x:c r="F24" s="11" t="n">
        <x:v>0.7510955603233002</x:v>
      </x:c>
      <x:c r="G24" s="2" t="str">
        <x:v>高点回落&lt;5%</x:v>
      </x:c>
      <x:c r="H24" s="2" t="str">
        <x:v>09:36</x:v>
      </x:c>
      <x:c r="I24" s="2" t="str">
        <x:v>余款全买</x:v>
      </x:c>
      <x:c r="J24" s="8" t="n">
        <x:v>552368.2342468665</x:v>
      </x:c>
      <x:c r="K24" s="12" t="n">
        <x:v>17.5</x:v>
      </x:c>
      <x:c r="L24" s="8" t="n">
        <x:v>31532.36673308786</x:v>
      </x:c>
      <x:c r="M24" s="6" t="d">
        <x:v>2025-06-11T00:00:00.000Z</x:v>
      </x:c>
      <x:c r="N24" s="12" t="n">
        <x:v>19.2</x:v>
      </x:c>
      <x:c r="O24" s="8" t="n">
        <x:v>604816.0198340116</x:v>
      </x:c>
      <x:c r="P24" s="8" t="n">
        <x:v>551.8164178290172</x:v>
      </x:c>
      <x:c r="Q24" s="8" t="n">
        <x:v>605.4214412752868</x:v>
      </x:c>
      <x:c r="R24" s="8" t="n">
        <x:f>O24-J24</x:f>
        <x:v>52447.785587145016</x:v>
      </x:c>
      <x:c r="S24" s="9" t="n">
        <x:f>R24/J24</x:f>
        <x:v>0.09495076352219206</x:v>
      </x:c>
      <x:c r="T24" s="2" t="n">
        <x:v>1</x:v>
      </x:c>
      <x:c r="U24" s="9" t="n">
        <x:v>0.046674445740957</x:v>
      </x:c>
      <x:c r="V24" s="9" t="n">
        <x:v>0.013418903150525</x:v>
      </x:c>
      <x:c r="W24" s="9" t="n">
        <x:v>0.025087514585764</x:v>
      </x:c>
      <x:c r="X24" s="9" t="n">
        <x:v>-0.02396878483835</x:v>
      </x:c>
    </x:row>
    <x:row r="25">
      <x:c r="A25" s="2" t="str">
        <x:v>形态过滤</x:v>
      </x:c>
      <x:c r="B25" s="6" t="d">
        <x:v>2025-06-10T00:00:00.000Z</x:v>
      </x:c>
      <x:c r="C25" s="6" t="d">
        <x:v>2025-06-11T00:00:00.000Z</x:v>
      </x:c>
      <x:c r="D25" s="7" t="str">
        <x:v>002940</x:v>
      </x:c>
      <x:c r="E25" s="2" t="n">
        <x:v>1</x:v>
      </x:c>
      <x:c r="F25" s="11" t="n">
        <x:v>0.8060181944708943</x:v>
      </x:c>
      <x:c r="G25" s="2" t="str">
        <x:v>高点回落&lt;5%</x:v>
      </x:c>
      <x:c r="H25" s="2" t="str">
        <x:v>09:36</x:v>
      </x:c>
      <x:c r="I25" s="2" t="str">
        <x:v>余款全买</x:v>
      </x:c>
      <x:c r="J25" s="8" t="n">
        <x:v>562934.6687202181</x:v>
      </x:c>
      <x:c r="K25" s="12" t="n">
        <x:v>25.15</x:v>
      </x:c>
      <x:c r="L25" s="8" t="n">
        <x:v>22360.727491999776</x:v>
      </x:c>
      <x:c r="M25" s="6" t="d">
        <x:v>2025-06-12T00:00:00.000Z</x:v>
      </x:c>
      <x:c r="N25" s="12" t="n">
        <x:v>27.1</x:v>
      </x:c>
      <x:c r="O25" s="8" t="n">
        <x:v>605369.7393181607</x:v>
      </x:c>
      <x:c r="P25" s="8" t="n">
        <x:v>562.3722964237677</x:v>
      </x:c>
      <x:c r="Q25" s="8" t="n">
        <x:v>605.975715033194</x:v>
      </x:c>
      <x:c r="R25" s="8" t="n">
        <x:f>O25-J25</x:f>
        <x:v>42435.07059794257</x:v>
      </x:c>
      <x:c r="S25" s="9" t="n">
        <x:f>R25/J25</x:f>
        <x:v>0.07538187458664596</x:v>
      </x:c>
      <x:c r="T25" s="2" t="n">
        <x:v>1</x:v>
      </x:c>
      <x:c r="U25" s="9" t="n">
        <x:v>0.09983150800337</x:v>
      </x:c>
      <x:c r="V25" s="9" t="n">
        <x:v>0.03117101937658</x:v>
      </x:c>
      <x:c r="W25" s="9" t="n">
        <x:v>0.036225779275484</x:v>
      </x:c>
      <x:c r="X25" s="9" t="n">
        <x:v>-0.02055857253685</x:v>
      </x:c>
    </x:row>
    <x:row r="26">
      <x:c r="A26" s="2" t="str">
        <x:v>形态过滤</x:v>
      </x:c>
      <x:c r="B26" s="6" t="d">
        <x:v>2025-06-11T00:00:00.000Z</x:v>
      </x:c>
      <x:c r="C26" s="6" t="d">
        <x:v>2025-06-12T00:00:00.000Z</x:v>
      </x:c>
      <x:c r="D26" s="7" t="str">
        <x:v>002181</x:v>
      </x:c>
      <x:c r="E26" s="2" t="n">
        <x:v>3</x:v>
      </x:c>
      <x:c r="F26" s="11" t="n">
        <x:v>0.723331713318353</x:v>
      </x:c>
      <x:c r="G26" s="2" t="str">
        <x:v>高点回落&lt;5%</x:v>
      </x:c>
      <x:c r="H26" s="2" t="str">
        <x:v>09:36</x:v>
      </x:c>
      <x:c r="I26" s="2" t="str">
        <x:v>余款全买</x:v>
      </x:c>
      <x:c r="J26" s="8" t="n">
        <x:v>604816.0198340116</x:v>
      </x:c>
      <x:c r="K26" s="12" t="n">
        <x:v>8.48</x:v>
      </x:c>
      <x:c r="L26" s="8" t="n">
        <x:v>71251.39245589453</x:v>
      </x:c>
      <x:c r="M26" s="6" t="d">
        <x:v>2025-06-13T00:00:00.000Z</x:v>
      </x:c>
      <x:c r="N26" s="12" t="n">
        <x:v>7.99</x:v>
      </x:c>
      <x:c r="O26" s="8" t="n">
        <x:v>568729.3270968747</x:v>
      </x:c>
      <x:c r="P26" s="8" t="n">
        <x:v>604.2118080259534</x:v>
      </x:c>
      <x:c r="Q26" s="8" t="n">
        <x:v>569.2986257225974</x:v>
      </x:c>
      <x:c r="R26" s="8" t="n">
        <x:f>O26-J26</x:f>
        <x:v>-36086.69273713685</x:v>
      </x:c>
      <x:c r="S26" s="9" t="n">
        <x:f>R26/J26</x:f>
        <x:v>-0.059665570278777745</x:v>
      </x:c>
      <x:c r="T26" s="2" t="n">
        <x:v>1</x:v>
      </x:c>
      <x:c r="U26" s="9" t="n">
        <x:v>0.100371747211896</x:v>
      </x:c>
      <x:c r="V26" s="9" t="n">
        <x:v>0.034696406443618</x:v>
      </x:c>
      <x:c r="W26" s="9" t="n">
        <x:v>0.048327137546468</x:v>
      </x:c>
      <x:c r="X26" s="9" t="n">
        <x:v>-0.001176470588235</x:v>
      </x:c>
    </x:row>
    <x:row r="27">
      <x:c r="A27" s="2" t="str">
        <x:v>形态过滤</x:v>
      </x:c>
      <x:c r="B27" s="6" t="d">
        <x:v>2025-06-12T00:00:00.000Z</x:v>
      </x:c>
      <x:c r="C27" s="6" t="d">
        <x:v>2025-06-13T00:00:00.000Z</x:v>
      </x:c>
      <x:c r="D27" s="7" t="str">
        <x:v>600281</x:v>
      </x:c>
      <x:c r="E27" s="2" t="n">
        <x:v>2</x:v>
      </x:c>
      <x:c r="F27" s="11" t="n">
        <x:v>0.7503697258896685</x:v>
      </x:c>
      <x:c r="G27" s="2" t="str">
        <x:v>高点回落&lt;5%</x:v>
      </x:c>
      <x:c r="H27" s="2" t="str">
        <x:v>09:36</x:v>
      </x:c>
      <x:c r="I27" s="2" t="str">
        <x:v>余款全买</x:v>
      </x:c>
      <x:c r="J27" s="8" t="n">
        <x:v>605369.7393181607</x:v>
      </x:c>
      <x:c r="K27" s="12" t="n">
        <x:v>6.9</x:v>
      </x:c>
      <x:c r="L27" s="8" t="n">
        <x:v>87647.09773098797</x:v>
      </x:c>
      <x:c r="M27" s="6" t="d">
        <x:v>2025-06-16T00:00:00.000Z</x:v>
      </x:c>
      <x:c r="N27" s="12" t="n">
        <x:v>7.68</x:v>
      </x:c>
      <x:c r="O27" s="8" t="n">
        <x:v>672456.5808634136</x:v>
      </x:c>
      <x:c r="P27" s="8" t="n">
        <x:v>604.7649743437069</x:v>
      </x:c>
      <x:c r="Q27" s="8" t="n">
        <x:v>673.1297105739876</x:v>
      </x:c>
      <x:c r="R27" s="8" t="n">
        <x:f>O27-J27</x:f>
        <x:v>67086.84154525294</x:v>
      </x:c>
      <x:c r="S27" s="9" t="n">
        <x:f>R27/J27</x:f>
        <x:v>0.1108196151674415</x:v>
      </x:c>
      <x:c r="T27" s="2" t="n">
        <x:v>1</x:v>
      </x:c>
      <x:c r="U27" s="9" t="n">
        <x:v>0.090909090909091</x:v>
      </x:c>
      <x:c r="V27" s="9" t="n">
        <x:v>0.016666666666667</x:v>
      </x:c>
      <x:c r="W27" s="9" t="n">
        <x:v>0.043939393939394</x:v>
      </x:c>
      <x:c r="X27" s="9" t="n">
        <x:v>0.029806259314456</x:v>
      </x:c>
    </x:row>
    <x:row r="28">
      <x:c r="A28" s="2" t="str">
        <x:v>形态过滤</x:v>
      </x:c>
      <x:c r="B28" s="6" t="d">
        <x:v>2025-06-13T00:00:00.000Z</x:v>
      </x:c>
      <x:c r="C28" s="6" t="d">
        <x:v>2025-06-16T00:00:00.000Z</x:v>
      </x:c>
      <x:c r="D28" s="7" t="str">
        <x:v>002235</x:v>
      </x:c>
      <x:c r="E28" s="2" t="n">
        <x:v>2</x:v>
      </x:c>
      <x:c r="F28" s="11" t="n">
        <x:v>0.7610631062700668</x:v>
      </x:c>
      <x:c r="G28" s="2" t="str">
        <x:v>高点回落&lt;5%</x:v>
      </x:c>
      <x:c r="H28" s="2" t="str">
        <x:v>09:36</x:v>
      </x:c>
      <x:c r="I28" s="2" t="str">
        <x:v>余款全买</x:v>
      </x:c>
      <x:c r="J28" s="8" t="n">
        <x:v>568729.3270968747</x:v>
      </x:c>
      <x:c r="K28" s="12" t="n">
        <x:v>7.4</x:v>
      </x:c>
      <x:c r="L28" s="8" t="n">
        <x:v>76778.53593661402</x:v>
      </x:c>
      <x:c r="M28" s="6" t="d">
        <x:v>2025-06-17T00:00:00.000Z</x:v>
      </x:c>
      <x:c r="N28" s="12" t="n">
        <x:v>7.33</x:v>
      </x:c>
      <x:c r="O28" s="8" t="n">
        <x:v>562223.8817469653</x:v>
      </x:c>
      <x:c r="P28" s="8" t="n">
        <x:v>568.1611659309128</x:v>
      </x:c>
      <x:c r="Q28" s="8" t="n">
        <x:v>562.7866684153807</x:v>
      </x:c>
      <x:c r="R28" s="8" t="n">
        <x:f>O28-J28</x:f>
        <x:v>-6505.445349909365</x:v>
      </x:c>
      <x:c r="S28" s="9" t="n">
        <x:f>R28/J28</x:f>
        <x:v>-0.011438561438561543</x:v>
      </x:c>
      <x:c r="T28" s="2" t="n">
        <x:v>1</x:v>
      </x:c>
      <x:c r="U28" s="9" t="n">
        <x:v>0.071014492753623</x:v>
      </x:c>
      <x:c r="V28" s="9" t="n">
        <x:v>0.001449275362319</x:v>
      </x:c>
      <x:c r="W28" s="9" t="n">
        <x:v>0</x:v>
      </x:c>
      <x:c r="X28" s="9" t="n">
        <x:v>0.069464544138929</x:v>
      </x:c>
    </x:row>
    <x:row r="29">
      <x:c r="A29" s="2" t="str">
        <x:v>形态过滤</x:v>
      </x:c>
      <x:c r="B29" s="6" t="d">
        <x:v>2025-06-16T00:00:00.000Z</x:v>
      </x:c>
      <x:c r="C29" s="6" t="d">
        <x:v>2025-06-17T00:00:00.000Z</x:v>
      </x:c>
      <x:c r="D29" s="7" t="str">
        <x:v>002828</x:v>
      </x:c>
      <x:c r="E29" s="2" t="n">
        <x:v>1</x:v>
      </x:c>
      <x:c r="F29" s="11" t="n">
        <x:v>0.7315191560702615</x:v>
      </x:c>
      <x:c r="G29" s="2" t="str">
        <x:v>高点回落&lt;5%</x:v>
      </x:c>
      <x:c r="H29" s="2" t="str">
        <x:v>09:36</x:v>
      </x:c>
      <x:c r="I29" s="2" t="str">
        <x:v>余款全买</x:v>
      </x:c>
      <x:c r="J29" s="8" t="n">
        <x:v>672456.5808634136</x:v>
      </x:c>
      <x:c r="K29" s="12" t="n">
        <x:v>10.95</x:v>
      </x:c>
      <x:c r="L29" s="8" t="n">
        <x:v>61350.20968651565</x:v>
      </x:c>
      <x:c r="M29" s="6" t="d">
        <x:v>2025-06-18T00:00:00.000Z</x:v>
      </x:c>
      <x:c r="N29" s="12" t="n">
        <x:v>13.43</x:v>
      </x:c>
      <x:c r="O29" s="8" t="n">
        <x:v>823109.3827738152</x:v>
      </x:c>
      <x:c r="P29" s="8" t="n">
        <x:v>671.7847960672807</x:v>
      </x:c>
      <x:c r="Q29" s="8" t="n">
        <x:v>823.9333160899051</x:v>
      </x:c>
      <x:c r="R29" s="8" t="n">
        <x:f>O29-J29</x:f>
        <x:v>150652.80191040155</x:v>
      </x:c>
      <x:c r="S29" s="9" t="n">
        <x:f>R29/J29</x:f>
        <x:v>0.22403350074582953</x:v>
      </x:c>
      <x:c r="T29" s="2" t="n">
        <x:v>1</x:v>
      </x:c>
      <x:c r="U29" s="9" t="n">
        <x:v>0.007207207207207</x:v>
      </x:c>
      <x:c r="V29" s="9" t="n">
        <x:v>-0.051351351351351</x:v>
      </x:c>
      <x:c r="W29" s="9" t="n">
        <x:v>0.01981981981982</x:v>
      </x:c>
      <x:c r="X29" s="9" t="n">
        <x:v>0.01953488372093</x:v>
      </x:c>
    </x:row>
    <x:row r="30">
      <x:c r="A30" s="2" t="str">
        <x:v>形态过滤</x:v>
      </x:c>
      <x:c r="B30" s="6" t="d">
        <x:v>2025-06-18T00:00:00.000Z</x:v>
      </x:c>
      <x:c r="C30" s="6" t="d">
        <x:v>2025-06-19T00:00:00.000Z</x:v>
      </x:c>
      <x:c r="D30" s="7" t="str">
        <x:v>600722</x:v>
      </x:c>
      <x:c r="E30" s="2" t="n">
        <x:v>2</x:v>
      </x:c>
      <x:c r="F30" s="11" t="n">
        <x:v>0.7764982191345828</x:v>
      </x:c>
      <x:c r="G30" s="2" t="str">
        <x:v>高点回落&lt;5%</x:v>
      </x:c>
      <x:c r="H30" s="2" t="str">
        <x:v>09:36</x:v>
      </x:c>
      <x:c r="I30" s="2" t="str">
        <x:v>空仓半买</x:v>
      </x:c>
      <x:c r="J30" s="8" t="n">
        <x:v>692666.6322603903</x:v>
      </x:c>
      <x:c r="K30" s="12" t="n">
        <x:v>7.35</x:v>
      </x:c>
      <x:c r="L30" s="8" t="n">
        <x:v>94146.21191874662</x:v>
      </x:c>
      <x:c r="M30" s="6" t="d">
        <x:v>2025-06-20T00:00:00.000Z</x:v>
      </x:c>
      <x:c r="N30" s="12" t="n">
        <x:v>7.34</x:v>
      </x:c>
      <x:c r="O30" s="8" t="n">
        <x:v>690342.1622881165</x:v>
      </x:c>
      <x:c r="P30" s="8" t="n">
        <x:v>691.9746576027246</x:v>
      </x:c>
      <x:c r="Q30" s="8" t="n">
        <x:v>691.0331954836001</x:v>
      </x:c>
      <x:c r="R30" s="8" t="n">
        <x:f>O30-J30</x:f>
        <x:v>-2324.4699722738005</x:v>
      </x:c>
      <x:c r="S30" s="9" t="n">
        <x:f>R30/J30</x:f>
        <x:v>-0.0033558278456236874</x:v>
      </x:c>
      <x:c r="T30" s="2" t="n">
        <x:v>0</x:v>
      </x:c>
      <x:c r="U30" s="9" t="n">
        <x:v>-0.018252933507171</x:v>
      </x:c>
      <x:c r="V30" s="9" t="n">
        <x:v>-0.083441981747066</x:v>
      </x:c>
      <x:c r="W30" s="9" t="n">
        <x:v>0.02477183833116</x:v>
      </x:c>
      <x:c r="X30" s="9" t="n">
        <x:v>0.044096728307255</x:v>
      </x:c>
    </x:row>
    <x:row r="31">
      <x:c r="A31" s="2" t="str">
        <x:v>形态过滤</x:v>
      </x:c>
      <x:c r="B31" s="6" t="d">
        <x:v>2025-06-19T00:00:00.000Z</x:v>
      </x:c>
      <x:c r="C31" s="6" t="d">
        <x:v>2025-06-20T00:00:00.000Z</x:v>
      </x:c>
      <x:c r="D31" s="7" t="str">
        <x:v>002490</x:v>
      </x:c>
      <x:c r="E31" s="2" t="n">
        <x:v>2</x:v>
      </x:c>
      <x:c r="F31" s="11" t="n">
        <x:v>0.7434461376785325</x:v>
      </x:c>
      <x:c r="G31" s="2" t="str">
        <x:v>高点回落&lt;5%</x:v>
      </x:c>
      <x:c r="H31" s="2" t="str">
        <x:v>09:36</x:v>
      </x:c>
      <x:c r="I31" s="2" t="str">
        <x:v>余款全买</x:v>
      </x:c>
      <x:c r="J31" s="8" t="n">
        <x:v>692666.6322603903</x:v>
      </x:c>
      <x:c r="K31" s="12" t="n">
        <x:v>6.77</x:v>
      </x:c>
      <x:c r="L31" s="8" t="n">
        <x:v>102211.91397382387</x:v>
      </x:c>
      <x:c r="M31" s="6" t="d">
        <x:v>2025-06-23T00:00:00.000Z</x:v>
      </x:c>
      <x:c r="N31" s="12" t="n">
        <x:v>7.72</x:v>
      </x:c>
      <x:c r="O31" s="8" t="n">
        <x:v>788286.8999020424</x:v>
      </x:c>
      <x:c r="P31" s="8" t="n">
        <x:v>691.9746576027246</x:v>
      </x:c>
      <x:c r="Q31" s="8" t="n">
        <x:v>789.0759758779203</x:v>
      </x:c>
      <x:c r="R31" s="8" t="n">
        <x:f>O31-J31</x:f>
        <x:v>95620.26764165203</x:v>
      </x:c>
      <x:c r="S31" s="9" t="n">
        <x:f>R31/J31</x:f>
        <x:v>0.13804659151778806</x:v>
      </x:c>
      <x:c r="T31" s="2" t="n">
        <x:v>1</x:v>
      </x:c>
      <x:c r="U31" s="9" t="n">
        <x:v>0.070532915360502</x:v>
      </x:c>
      <x:c r="V31" s="9" t="n">
        <x:v>-0.050156739811912</x:v>
      </x:c>
      <x:c r="W31" s="9" t="n">
        <x:v>0.015673981191223</x:v>
      </x:c>
      <x:c r="X31" s="9" t="n">
        <x:v>0.027480916030534</x:v>
      </x:c>
    </x:row>
    <x:row r="32">
      <x:c r="A32" s="2" t="str">
        <x:v>形态过滤</x:v>
      </x:c>
      <x:c r="B32" s="6" t="d">
        <x:v>2025-06-20T00:00:00.000Z</x:v>
      </x:c>
      <x:c r="C32" s="6" t="d">
        <x:v>2025-06-23T00:00:00.000Z</x:v>
      </x:c>
      <x:c r="D32" s="7" t="str">
        <x:v>002579</x:v>
      </x:c>
      <x:c r="E32" s="2" t="n">
        <x:v>1</x:v>
      </x:c>
      <x:c r="F32" s="11" t="n">
        <x:v>0.7688412725974163</x:v>
      </x:c>
      <x:c r="G32" s="2" t="str">
        <x:v>高点回落&lt;5%</x:v>
      </x:c>
      <x:c r="H32" s="2" t="str">
        <x:v>09:36</x:v>
      </x:c>
      <x:c r="I32" s="2" t="str">
        <x:v>余款全买</x:v>
      </x:c>
      <x:c r="J32" s="8" t="n">
        <x:v>690342.1622881165</x:v>
      </x:c>
      <x:c r="K32" s="12" t="n">
        <x:v>10.59</x:v>
      </x:c>
      <x:c r="L32" s="8" t="n">
        <x:v>65122.99431334639</x:v>
      </x:c>
      <x:c r="M32" s="6" t="d">
        <x:v>2025-06-24T00:00:00.000Z</x:v>
      </x:c>
      <x:c r="N32" s="12" t="n">
        <x:v>12.65</x:v>
      </x:c>
      <x:c r="O32" s="8" t="n">
        <x:v>822982.072185768</x:v>
      </x:c>
      <x:c r="P32" s="8" t="n">
        <x:v>689.6525097782724</x:v>
      </x:c>
      <x:c r="Q32" s="8" t="n">
        <x:v>823.8058780638319</x:v>
      </x:c>
      <x:c r="R32" s="8" t="n">
        <x:f>O32-J32</x:f>
        <x:v>132639.90989765152</x:v>
      </x:c>
      <x:c r="S32" s="9" t="n">
        <x:f>R32/J32</x:f>
        <x:v>0.19213647542259463</x:v>
      </x:c>
      <x:c r="T32" s="2" t="n">
        <x:v>1</x:v>
      </x:c>
      <x:c r="U32" s="9" t="n">
        <x:v>-0.015596330275229</x:v>
      </x:c>
      <x:c r="V32" s="9" t="n">
        <x:v>-0.06605504587156</x:v>
      </x:c>
      <x:c r="W32" s="9" t="n">
        <x:v>0.011009174311927</x:v>
      </x:c>
      <x:c r="X32" s="9" t="n">
        <x:v>0.030097087378641</x:v>
      </x:c>
    </x:row>
    <x:row r="33">
      <x:c r="A33" s="2" t="str">
        <x:v>形态过滤</x:v>
      </x:c>
      <x:c r="B33" s="6" t="d">
        <x:v>2025-06-23T00:00:00.000Z</x:v>
      </x:c>
      <x:c r="C33" s="6" t="d">
        <x:v>2025-06-24T00:00:00.000Z</x:v>
      </x:c>
      <x:c r="D33" s="7" t="str">
        <x:v>600798</x:v>
      </x:c>
      <x:c r="E33" s="2" t="n">
        <x:v>1</x:v>
      </x:c>
      <x:c r="F33" s="11" t="n">
        <x:v>0.7481941398163994</x:v>
      </x:c>
      <x:c r="G33" s="2" t="str">
        <x:v>高点回落&lt;5%</x:v>
      </x:c>
      <x:c r="H33" s="2" t="str">
        <x:v>09:36</x:v>
      </x:c>
      <x:c r="I33" s="2" t="str">
        <x:v>余款全买</x:v>
      </x:c>
      <x:c r="J33" s="8" t="n">
        <x:v>788286.8999020424</x:v>
      </x:c>
      <x:c r="K33" s="12" t="n">
        <x:v>4.96</x:v>
      </x:c>
      <x:c r="L33" s="8" t="n">
        <x:v>158770.04042369776</x:v>
      </x:c>
      <x:c r="M33" s="6" t="d">
        <x:v>2025-06-25T00:00:00.000Z</x:v>
      </x:c>
      <x:c r="N33" s="12" t="n">
        <x:v>4.43</x:v>
      </x:c>
      <x:c r="O33" s="8" t="n">
        <x:v>702647.927797904</x:v>
      </x:c>
      <x:c r="P33" s="8" t="n">
        <x:v>787.4994005014887</x:v>
      </x:c>
      <x:c r="Q33" s="8" t="n">
        <x:v>703.351279076981</x:v>
      </x:c>
      <x:c r="R33" s="8" t="n">
        <x:f>O33-J33</x:f>
        <x:v>-85638.97210413835</x:v>
      </x:c>
      <x:c r="S33" s="9" t="n">
        <x:f>R33/J33</x:f>
        <x:v>-0.10863934452644132</x:v>
      </x:c>
      <x:c r="T33" s="2" t="n">
        <x:v>0</x:v>
      </x:c>
      <x:c r="U33" s="9" t="n">
        <x:v>0.047916666666667</x:v>
      </x:c>
      <x:c r="V33" s="9" t="n">
        <x:v>-0.047916666666667</x:v>
      </x:c>
      <x:c r="W33" s="9" t="n">
        <x:v>0.016666666666667</x:v>
      </x:c>
      <x:c r="X33" s="9" t="n">
        <x:v>0.039915966386555</x:v>
      </x:c>
    </x:row>
    <x:row r="34">
      <x:c r="A34" s="2" t="str">
        <x:v>形态过滤</x:v>
      </x:c>
      <x:c r="B34" s="6" t="d">
        <x:v>2025-06-24T00:00:00.000Z</x:v>
      </x:c>
      <x:c r="C34" s="6" t="d">
        <x:v>2025-06-25T00:00:00.000Z</x:v>
      </x:c>
      <x:c r="D34" s="7" t="str">
        <x:v>603928</x:v>
      </x:c>
      <x:c r="E34" s="2" t="n">
        <x:v>1</x:v>
      </x:c>
      <x:c r="F34" s="11" t="n">
        <x:v>0.7871466516409099</x:v>
      </x:c>
      <x:c r="G34" s="2" t="str">
        <x:v>高点回落&lt;5%</x:v>
      </x:c>
      <x:c r="H34" s="2" t="str">
        <x:v>09:36</x:v>
      </x:c>
      <x:c r="I34" s="2" t="str">
        <x:v>余款全买</x:v>
      </x:c>
      <x:c r="J34" s="8" t="n">
        <x:v>822982.072185768</x:v>
      </x:c>
      <x:c r="K34" s="12" t="n">
        <x:v>17.71</x:v>
      </x:c>
      <x:c r="L34" s="8" t="n">
        <x:v>46423.48460042319</x:v>
      </x:c>
      <x:c r="M34" s="6" t="d">
        <x:v>2025-06-26T00:00:00.000Z</x:v>
      </x:c>
      <x:c r="N34" s="12" t="n">
        <x:v>17.06</x:v>
      </x:c>
      <x:c r="O34" s="8" t="n">
        <x:v>791192.6626359363</x:v>
      </x:c>
      <x:c r="P34" s="8" t="n">
        <x:v>822.1599122734042</x:v>
      </x:c>
      <x:c r="Q34" s="8" t="n">
        <x:v>791.9846472832195</x:v>
      </x:c>
      <x:c r="R34" s="8" t="n">
        <x:f>O34-J34</x:f>
        <x:v>-31789.409549831762</x:v>
      </x:c>
      <x:c r="S34" s="9" t="n">
        <x:f>R34/J34</x:f>
        <x:v>-0.038627098480288745</x:v>
      </x:c>
      <x:c r="T34" s="2" t="n">
        <x:v>1</x:v>
      </x:c>
      <x:c r="U34" s="9" t="n">
        <x:v>0.099879663056558</x:v>
      </x:c>
      <x:c r="V34" s="9" t="n">
        <x:v>0.028880866425993</x:v>
      </x:c>
      <x:c r="W34" s="9" t="n">
        <x:v>0.030084235860409</x:v>
      </x:c>
      <x:c r="X34" s="9" t="n">
        <x:v>-0.027352297592998</x:v>
      </x:c>
    </x:row>
    <x:row r="35">
      <x:c r="A35" s="2" t="str">
        <x:v>形态过滤</x:v>
      </x:c>
      <x:c r="B35" s="6" t="d">
        <x:v>2025-06-25T00:00:00.000Z</x:v>
      </x:c>
      <x:c r="C35" s="6" t="d">
        <x:v>2025-06-26T00:00:00.000Z</x:v>
      </x:c>
      <x:c r="D35" s="7" t="str">
        <x:v>002125</x:v>
      </x:c>
      <x:c r="E35" s="2" t="n">
        <x:v>1</x:v>
      </x:c>
      <x:c r="F35" s="11" t="n">
        <x:v>0.7821652631350957</x:v>
      </x:c>
      <x:c r="G35" s="2" t="str">
        <x:v>高点回落&lt;5%</x:v>
      </x:c>
      <x:c r="H35" s="2" t="str">
        <x:v>09:36</x:v>
      </x:c>
      <x:c r="I35" s="2" t="str">
        <x:v>余款全买</x:v>
      </x:c>
      <x:c r="J35" s="8" t="n">
        <x:v>702647.927797904</x:v>
      </x:c>
      <x:c r="K35" s="12" t="n">
        <x:v>17.63</x:v>
      </x:c>
      <x:c r="L35" s="8" t="n">
        <x:v>39815.42721588701</x:v>
      </x:c>
      <x:c r="M35" s="6" t="d">
        <x:v>2025-06-27T00:00:00.000Z</x:v>
      </x:c>
      <x:c r="N35" s="12" t="n">
        <x:v>14.81</x:v>
      </x:c>
      <x:c r="O35" s="8" t="n">
        <x:v>589076.8105902193</x:v>
      </x:c>
      <x:c r="P35" s="8" t="n">
        <x:v>701.9459818160394</x:v>
      </x:c>
      <x:c r="Q35" s="8" t="n">
        <x:v>589.6664770672867</x:v>
      </x:c>
      <x:c r="R35" s="8" t="n">
        <x:f>O35-J35</x:f>
        <x:v>-113571.11720768467</x:v>
      </x:c>
      <x:c r="S35" s="9" t="n">
        <x:f>R35/J35</x:f>
        <x:v>-0.16163303514409574</x:v>
      </x:c>
      <x:c r="T35" s="2" t="n">
        <x:v>0</x:v>
      </x:c>
      <x:c r="U35" s="9" t="n">
        <x:v>0.09718826405868</x:v>
      </x:c>
      <x:c r="V35" s="9" t="n">
        <x:v>0.02078239608802</x:v>
      </x:c>
      <x:c r="W35" s="9" t="n">
        <x:v>0.018337408312958</x:v>
      </x:c>
      <x:c r="X35" s="9" t="n">
        <x:v>0.045616113744076</x:v>
      </x:c>
    </x:row>
    <x:row r="36">
      <x:c r="A36" s="2" t="str">
        <x:v>形态过滤</x:v>
      </x:c>
      <x:c r="B36" s="6" t="d">
        <x:v>2025-06-26T00:00:00.000Z</x:v>
      </x:c>
      <x:c r="C36" s="6" t="d">
        <x:v>2025-06-27T00:00:00.000Z</x:v>
      </x:c>
      <x:c r="D36" s="7" t="str">
        <x:v>002759</x:v>
      </x:c>
      <x:c r="E36" s="2" t="n">
        <x:v>1</x:v>
      </x:c>
      <x:c r="F36" s="11" t="n">
        <x:v>0.7930832328823892</x:v>
      </x:c>
      <x:c r="G36" s="2" t="str">
        <x:v>高点回落&lt;5%</x:v>
      </x:c>
      <x:c r="H36" s="2" t="str">
        <x:v>09:36</x:v>
      </x:c>
      <x:c r="I36" s="2" t="str">
        <x:v>余款全买</x:v>
      </x:c>
      <x:c r="J36" s="8" t="n">
        <x:v>791192.6626359363</x:v>
      </x:c>
      <x:c r="K36" s="12" t="n">
        <x:v>11.42</x:v>
      </x:c>
      <x:c r="L36" s="8" t="n">
        <x:v>69212.10686300883</x:v>
      </x:c>
      <x:c r="M36" s="6" t="d">
        <x:v>2025-06-30T00:00:00.000Z</x:v>
      </x:c>
      <x:c r="N36" s="12" t="n">
        <x:v>10.05</x:v>
      </x:c>
      <x:c r="O36" s="8" t="n">
        <x:v>694886.0922992656</x:v>
      </x:c>
      <x:c r="P36" s="8" t="n">
        <x:v>790.402260375442</x:v>
      </x:c>
      <x:c r="Q36" s="8" t="n">
        <x:v>695.5816739732388</x:v>
      </x:c>
      <x:c r="R36" s="8" t="n">
        <x:f>O36-J36</x:f>
        <x:v>-96306.57033667073</x:v>
      </x:c>
      <x:c r="S36" s="9" t="n">
        <x:f>R36/J36</x:f>
        <x:v>-0.12172328547109613</x:v>
      </x:c>
      <x:c r="T36" s="2" t="n">
        <x:v>0</x:v>
      </x:c>
      <x:c r="U36" s="9" t="n">
        <x:v>0.048076923076923</x:v>
      </x:c>
      <x:c r="V36" s="9" t="n">
        <x:v>-0.018356643356643</x:v>
      </x:c>
      <x:c r="W36" s="9" t="n">
        <x:v>0.049825174825175</x:v>
      </x:c>
      <x:c r="X36" s="9" t="n">
        <x:v>0.016918967052538</x:v>
      </x:c>
    </x:row>
    <x:row r="37">
      <x:c r="A37" s="2" t="str">
        <x:v>形态过滤</x:v>
      </x:c>
      <x:c r="B37" s="6" t="d">
        <x:v>2025-06-27T00:00:00.000Z</x:v>
      </x:c>
      <x:c r="C37" s="6" t="d">
        <x:v>2025-06-30T00:00:00.000Z</x:v>
      </x:c>
      <x:c r="D37" s="7" t="str">
        <x:v>002263</x:v>
      </x:c>
      <x:c r="E37" s="2" t="n">
        <x:v>2</x:v>
      </x:c>
      <x:c r="F37" s="11" t="n">
        <x:v>0.7431774377906054</x:v>
      </x:c>
      <x:c r="G37" s="2" t="str">
        <x:v>高点回落&lt;5%</x:v>
      </x:c>
      <x:c r="H37" s="2" t="str">
        <x:v>09:36</x:v>
      </x:c>
      <x:c r="I37" s="2" t="str">
        <x:v>余款全买</x:v>
      </x:c>
      <x:c r="J37" s="8" t="n">
        <x:v>589076.8105902193</x:v>
      </x:c>
      <x:c r="K37" s="12" t="n">
        <x:v>3.81</x:v>
      </x:c>
      <x:c r="L37" s="8" t="n">
        <x:v>154458.8772356828</x:v>
      </x:c>
      <x:c r="M37" s="6" t="d">
        <x:v>2025-07-01T00:00:00.000Z</x:v>
      </x:c>
      <x:c r="N37" s="12" t="n">
        <x:v>4.21</x:v>
      </x:c>
      <x:c r="O37" s="8" t="n">
        <x:v>649621.6012890623</x:v>
      </x:c>
      <x:c r="P37" s="8" t="n">
        <x:v>588.4883222678909</x:v>
      </x:c>
      <x:c r="Q37" s="8" t="n">
        <x:v>650.2718731622246</x:v>
      </x:c>
      <x:c r="R37" s="8" t="n">
        <x:f>O37-J37</x:f>
        <x:v>60544.79069884296</x:v>
      </x:c>
      <x:c r="S37" s="9" t="n">
        <x:f>R37/J37</x:f>
        <x:v>0.10277911065312645</x:v>
      </x:c>
      <x:c r="T37" s="2" t="n">
        <x:v>1</x:v>
      </x:c>
      <x:c r="U37" s="9" t="n">
        <x:v>0.061333333333333</x:v>
      </x:c>
      <x:c r="V37" s="9" t="n">
        <x:v>-0.010666666666667</x:v>
      </x:c>
      <x:c r="W37" s="9" t="n">
        <x:v>0.042666666666667</x:v>
      </x:c>
      <x:c r="X37" s="9" t="n">
        <x:v>0.005263157894737</x:v>
      </x:c>
    </x:row>
    <x:row r="38">
      <x:c r="A38" s="2" t="str">
        <x:v>形态过滤</x:v>
      </x:c>
      <x:c r="B38" s="6" t="d">
        <x:v>2025-06-30T00:00:00.000Z</x:v>
      </x:c>
      <x:c r="C38" s="6" t="d">
        <x:v>2025-07-01T00:00:00.000Z</x:v>
      </x:c>
      <x:c r="D38" s="7" t="str">
        <x:v>600241</x:v>
      </x:c>
      <x:c r="E38" s="2" t="n">
        <x:v>3</x:v>
      </x:c>
      <x:c r="F38" s="11" t="n">
        <x:v>0.753684515644546</x:v>
      </x:c>
      <x:c r="G38" s="2" t="str">
        <x:v>高点回落&lt;5%</x:v>
      </x:c>
      <x:c r="H38" s="2" t="str">
        <x:v>09:36</x:v>
      </x:c>
      <x:c r="I38" s="2" t="str">
        <x:v>余款全买</x:v>
      </x:c>
      <x:c r="J38" s="8" t="n">
        <x:v>694886.0922992656</x:v>
      </x:c>
      <x:c r="K38" s="12" t="n">
        <x:v>10.63</x:v>
      </x:c>
      <x:c r="L38" s="8" t="n">
        <x:v>65304.976519178424</x:v>
      </x:c>
      <x:c r="M38" s="6" t="d">
        <x:v>2025-07-02T00:00:00.000Z</x:v>
      </x:c>
      <x:c r="N38" s="12" t="n">
        <x:v>9.41</x:v>
      </x:c>
      <x:c r="O38" s="8" t="n">
        <x:v>613905.3092164234</x:v>
      </x:c>
      <x:c r="P38" s="8" t="n">
        <x:v>694.191900398815</x:v>
      </x:c>
      <x:c r="Q38" s="8" t="n">
        <x:v>614.519829045469</x:v>
      </x:c>
      <x:c r="R38" s="8" t="n">
        <x:f>O38-J38</x:f>
        <x:v>-80980.78308284213</x:v>
      </x:c>
      <x:c r="S38" s="9" t="n">
        <x:f>R38/J38</x:f>
        <x:v>-0.11653821249305743</x:v>
      </x:c>
      <x:c r="T38" s="2" t="n">
        <x:v>0</x:v>
      </x:c>
      <x:c r="U38" s="9" t="n">
        <x:v>0.030046948356808</x:v>
      </x:c>
      <x:c r="V38" s="9" t="n">
        <x:v>-0.035680751173709</x:v>
      </x:c>
      <x:c r="W38" s="9" t="n">
        <x:v>0.032863849765258</x:v>
      </x:c>
      <x:c r="X38" s="9" t="n">
        <x:v>-0.007476635514019</x:v>
      </x:c>
    </x:row>
    <x:row r="39">
      <x:c r="A39" s="2" t="str">
        <x:v>形态过滤</x:v>
      </x:c>
      <x:c r="B39" s="6" t="d">
        <x:v>2025-07-02T00:00:00.000Z</x:v>
      </x:c>
      <x:c r="C39" s="6" t="d">
        <x:v>2025-07-03T00:00:00.000Z</x:v>
      </x:c>
      <x:c r="D39" s="7" t="str">
        <x:v>603316</x:v>
      </x:c>
      <x:c r="E39" s="2" t="n">
        <x:v>2</x:v>
      </x:c>
      <x:c r="F39" s="11" t="n">
        <x:v>0.754023531945604</x:v>
      </x:c>
      <x:c r="G39" s="2" t="str">
        <x:v>五分最高涨幅&gt;=6% 且 五分最低涨幅&gt;=-3%</x:v>
      </x:c>
      <x:c r="H39" s="2" t="str">
        <x:v>09:36</x:v>
      </x:c>
      <x:c r="I39" s="2" t="str">
        <x:v>空仓半买</x:v>
      </x:c>
      <x:c r="J39" s="8" t="n">
        <x:v>631763.4552527429</x:v>
      </x:c>
      <x:c r="K39" s="12" t="n">
        <x:v>11.56</x:v>
      </x:c>
      <x:c r="L39" s="8" t="n">
        <x:v>54596.22170673123</x:v>
      </x:c>
      <x:c r="M39" s="6" t="d">
        <x:v>2025-07-04T00:00:00.000Z</x:v>
      </x:c>
      <x:c r="N39" s="12" t="n">
        <x:v>11.62</x:v>
      </x:c>
      <x:c r="O39" s="8" t="n">
        <x:v>633773.6881359846</x:v>
      </x:c>
      <x:c r="P39" s="8" t="n">
        <x:v>631.1323229297996</x:v>
      </x:c>
      <x:c r="Q39" s="8" t="n">
        <x:v>634.4080962322168</x:v>
      </x:c>
      <x:c r="R39" s="8" t="n">
        <x:f>O39-J39</x:f>
        <x:v>2010.232883241726</x:v>
      </x:c>
      <x:c r="S39" s="9" t="n">
        <x:f>R39/J39</x:f>
        <x:v>0.0031819391680981512</x:v>
      </x:c>
      <x:c r="T39" s="2" t="n">
        <x:v>1</x:v>
      </x:c>
      <x:c r="U39" s="9" t="n">
        <x:v>0.100183823529412</x:v>
      </x:c>
      <x:c r="V39" s="9" t="n">
        <x:v>0.020220588235294</x:v>
      </x:c>
      <x:c r="W39" s="9" t="n">
        <x:v>0.035845588235294</x:v>
      </x:c>
      <x:c r="X39" s="9" t="n">
        <x:v>0.043243243243243</x:v>
      </x:c>
    </x:row>
    <x:row r="40">
      <x:c r="A40" s="2" t="str">
        <x:v>形态过滤</x:v>
      </x:c>
      <x:c r="B40" s="6" t="d">
        <x:v>2025-07-04T00:00:00.000Z</x:v>
      </x:c>
      <x:c r="C40" s="6" t="d">
        <x:v>2025-07-07T00:00:00.000Z</x:v>
      </x:c>
      <x:c r="D40" s="7" t="str">
        <x:v>603716</x:v>
      </x:c>
      <x:c r="E40" s="2" t="n">
        <x:v>1</x:v>
      </x:c>
      <x:c r="F40" s="11" t="n">
        <x:v>0.800455264259689</x:v>
      </x:c>
      <x:c r="G40" s="2" t="str">
        <x:v>五分最高涨幅&gt;=6% 且 五分最低涨幅&gt;=-3%</x:v>
      </x:c>
      <x:c r="H40" s="2" t="str">
        <x:v>09:36</x:v>
      </x:c>
      <x:c r="I40" s="2" t="str">
        <x:v>空仓半买</x:v>
      </x:c>
      <x:c r="J40" s="8" t="n">
        <x:v>632768.5716943637</x:v>
      </x:c>
      <x:c r="K40" s="12" t="n">
        <x:v>22.83</x:v>
      </x:c>
      <x:c r="L40" s="8" t="n">
        <x:v>27688.849551428153</x:v>
      </x:c>
      <x:c r="M40" s="6" t="d">
        <x:v>2025-07-08T00:00:00.000Z</x:v>
      </x:c>
      <x:c r="N40" s="12" t="n">
        <x:v>21.19</x:v>
      </x:c>
      <x:c r="O40" s="8" t="n">
        <x:v>586139.9952727677</x:v>
      </x:c>
      <x:c r="P40" s="8" t="n">
        <x:v>632.1364352590172</x:v>
      </x:c>
      <x:c r="Q40" s="8" t="n">
        <x:v>586.7267219947626</x:v>
      </x:c>
      <x:c r="R40" s="8" t="n">
        <x:f>O40-J40</x:f>
        <x:v>-46628.57642159599</x:v>
      </x:c>
      <x:c r="S40" s="9" t="n">
        <x:f>R40/J40</x:f>
        <x:v>-0.07368977934023921</x:v>
      </x:c>
      <x:c r="T40" s="2" t="n">
        <x:v>0</x:v>
      </x:c>
      <x:c r="U40" s="9" t="n">
        <x:v>0.100094876660342</x:v>
      </x:c>
      <x:c r="V40" s="9" t="n">
        <x:v>0.019924098671727</x:v>
      </x:c>
      <x:c r="W40" s="9" t="n">
        <x:v>0.01707779886148</x:v>
      </x:c>
      <x:c r="X40" s="9" t="n">
        <x:v>0.042465753424658</x:v>
      </x:c>
    </x:row>
    <x:row r="41">
      <x:c r="A41" s="2" t="str">
        <x:v>形态过滤</x:v>
      </x:c>
      <x:c r="B41" s="6" t="d">
        <x:v>2025-07-07T00:00:00.000Z</x:v>
      </x:c>
      <x:c r="C41" s="6" t="d">
        <x:v>2025-07-08T00:00:00.000Z</x:v>
      </x:c>
      <x:c r="D41" s="7" t="str">
        <x:v>600744</x:v>
      </x:c>
      <x:c r="E41" s="2" t="n">
        <x:v>1</x:v>
      </x:c>
      <x:c r="F41" s="11" t="n">
        <x:v>0.7938296425404293</x:v>
      </x:c>
      <x:c r="G41" s="2" t="str">
        <x:v>五分最高涨幅&gt;=6% 且 五分最低涨幅&gt;=-3%</x:v>
      </x:c>
      <x:c r="H41" s="2" t="str">
        <x:v>09:37</x:v>
      </x:c>
      <x:c r="I41" s="2" t="str">
        <x:v>余款全买</x:v>
      </x:c>
      <x:c r="J41" s="8" t="n">
        <x:v>632768.5716943637</x:v>
      </x:c>
      <x:c r="K41" s="12" t="n">
        <x:v>7.24</x:v>
      </x:c>
      <x:c r="L41" s="8" t="n">
        <x:v>87311.66232860561</x:v>
      </x:c>
      <x:c r="M41" s="6" t="d">
        <x:v>2025-07-09T00:00:00.000Z</x:v>
      </x:c>
      <x:c r="N41" s="12" t="n">
        <x:v>8.11</x:v>
      </x:c>
      <x:c r="O41" s="8" t="n">
        <x:v>707389.4839035065</x:v>
      </x:c>
      <x:c r="P41" s="8" t="n">
        <x:v>632.1364352590172</x:v>
      </x:c>
      <x:c r="Q41" s="8" t="n">
        <x:v>708.0975814849915</x:v>
      </x:c>
      <x:c r="R41" s="8" t="n">
        <x:f>O41-J41</x:f>
        <x:v>74620.91220914281</x:v>
      </x:c>
      <x:c r="S41" s="9" t="n">
        <x:f>R41/J41</x:f>
        <x:v>0.11792765245803924</x:v>
      </x:c>
      <x:c r="T41" s="2" t="n">
        <x:v>1</x:v>
      </x:c>
      <x:c r="U41" s="9" t="n">
        <x:v>0.1</x:v>
      </x:c>
      <x:c r="V41" s="9" t="n">
        <x:v>0.052238805970149</x:v>
      </x:c>
      <x:c r="W41" s="9" t="n">
        <x:v>0</x:v>
      </x:c>
      <x:c r="X41" s="9" t="n">
        <x:v>0.022191400832178</x:v>
      </x:c>
    </x:row>
    <x:row r="42">
      <x:c r="A42" s="2" t="str">
        <x:v>形态过滤</x:v>
      </x:c>
      <x:c r="B42" s="6" t="d">
        <x:v>2025-07-08T00:00:00.000Z</x:v>
      </x:c>
      <x:c r="C42" s="6" t="d">
        <x:v>2025-07-09T00:00:00.000Z</x:v>
      </x:c>
      <x:c r="D42" s="7" t="str">
        <x:v>600744</x:v>
      </x:c>
      <x:c r="E42" s="2" t="n">
        <x:v>2</x:v>
      </x:c>
      <x:c r="F42" s="11" t="n">
        <x:v>0.7495332291809412</x:v>
      </x:c>
      <x:c r="G42" s="2" t="str">
        <x:v>五分最高涨幅&gt;=6% 且 五分最低涨幅&gt;=-3%</x:v>
      </x:c>
      <x:c r="H42" s="2" t="str">
        <x:v>09:36</x:v>
      </x:c>
      <x:c r="I42" s="2" t="str">
        <x:v>余款全买</x:v>
      </x:c>
      <x:c r="J42" s="8" t="n">
        <x:v>586139.9952727677</x:v>
      </x:c>
      <x:c r="K42" s="12" t="n">
        <x:v>8.09</x:v>
      </x:c>
      <x:c r="L42" s="8" t="n">
        <x:v>72380.02976908973</x:v>
      </x:c>
      <x:c r="M42" s="6" t="d">
        <x:v>2025-07-10T00:00:00.000Z</x:v>
      </x:c>
      <x:c r="N42" s="12" t="n">
        <x:v>7.97</x:v>
      </x:c>
      <x:c r="O42" s="8" t="n">
        <x:v>576291.9684223855</x:v>
      </x:c>
      <x:c r="P42" s="8" t="n">
        <x:v>585.554440831882</x:v>
      </x:c>
      <x:c r="Q42" s="8" t="n">
        <x:v>576.8688372596451</x:v>
      </x:c>
      <x:c r="R42" s="8" t="n">
        <x:f>O42-J42</x:f>
        <x:v>-9848.026850382215</x:v>
      </x:c>
      <x:c r="S42" s="9" t="n">
        <x:f>R42/J42</x:f>
        <x:v>-0.016801492697660583</x:v>
      </x:c>
      <x:c r="T42" s="2" t="n">
        <x:v>1</x:v>
      </x:c>
      <x:c r="U42" s="9" t="n">
        <x:v>0.100407055630936</x:v>
      </x:c>
      <x:c r="V42" s="9" t="n">
        <x:v>0.029850746268657</x:v>
      </x:c>
      <x:c r="W42" s="9" t="n">
        <x:v>0.002713704206241</x:v>
      </x:c>
      <x:c r="X42" s="9" t="n">
        <x:v>0.065876152832675</x:v>
      </x:c>
    </x:row>
    <x:row r="43">
      <x:c r="A43" s="2" t="str">
        <x:v>形态过滤</x:v>
      </x:c>
      <x:c r="B43" s="6" t="d">
        <x:v>2025-07-10T00:00:00.000Z</x:v>
      </x:c>
      <x:c r="C43" s="6" t="d">
        <x:v>2025-07-11T00:00:00.000Z</x:v>
      </x:c>
      <x:c r="D43" s="7" t="str">
        <x:v>605500</x:v>
      </x:c>
      <x:c r="E43" s="2" t="n">
        <x:v>1</x:v>
      </x:c>
      <x:c r="F43" s="11" t="n">
        <x:v>0.7693516966102247</x:v>
      </x:c>
      <x:c r="G43" s="2" t="str">
        <x:v>五分最高涨幅&gt;=6% 且 五分最低涨幅&gt;=-3%</x:v>
      </x:c>
      <x:c r="H43" s="2" t="str">
        <x:v>09:36</x:v>
      </x:c>
      <x:c r="I43" s="2" t="str">
        <x:v>空仓半买</x:v>
      </x:c>
      <x:c r="J43" s="8" t="n">
        <x:v>641840.7261629461</x:v>
      </x:c>
      <x:c r="K43" s="12" t="n">
        <x:v>14.19</x:v>
      </x:c>
      <x:c r="L43" s="8" t="n">
        <x:v>45186.717874299495</x:v>
      </x:c>
      <x:c r="M43" s="6" t="d">
        <x:v>2025-07-14T00:00:00.000Z</x:v>
      </x:c>
      <x:c r="N43" s="12" t="n">
        <x:v>13.2</x:v>
      </x:c>
      <x:c r="O43" s="8" t="n">
        <x:v>595868.2112648125</x:v>
      </x:c>
      <x:c r="P43" s="8" t="n">
        <x:v>641.1995266362792</x:v>
      </x:c>
      <x:c r="Q43" s="8" t="n">
        <x:v>596.4646759407533</x:v>
      </x:c>
      <x:c r="R43" s="8" t="n">
        <x:f>O43-J43</x:f>
        <x:v>-45972.51489813358</x:v>
      </x:c>
      <x:c r="S43" s="9" t="n">
        <x:f>R43/J43</x:f>
        <x:v>-0.07162604837023445</x:v>
      </x:c>
      <x:c r="T43" s="2" t="n">
        <x:v>1</x:v>
      </x:c>
      <x:c r="U43" s="9" t="n">
        <x:v>0.082078313253012</x:v>
      </x:c>
      <x:c r="V43" s="9" t="n">
        <x:v>-0.009789156626506</x:v>
      </x:c>
      <x:c r="W43" s="9" t="n">
        <x:v>0.011295180722891</x:v>
      </x:c>
      <x:c r="X43" s="9" t="n">
        <x:v>0.028943560057887</x:v>
      </x:c>
    </x:row>
    <x:row r="44">
      <x:c r="A44" s="2" t="str">
        <x:v>形态过滤</x:v>
      </x:c>
      <x:c r="B44" s="6" t="d">
        <x:v>2025-07-15T00:00:00.000Z</x:v>
      </x:c>
      <x:c r="C44" s="6" t="d">
        <x:v>2025-07-16T00:00:00.000Z</x:v>
      </x:c>
      <x:c r="D44" s="7" t="str">
        <x:v>002645</x:v>
      </x:c>
      <x:c r="E44" s="2" t="n">
        <x:v>1</x:v>
      </x:c>
      <x:c r="F44" s="11" t="n">
        <x:v>0.7814565871260017</x:v>
      </x:c>
      <x:c r="G44" s="2" t="str">
        <x:v>五分最高涨幅&gt;=6% 且 五分最低涨幅&gt;=-3%</x:v>
      </x:c>
      <x:c r="H44" s="2" t="str">
        <x:v>09:36</x:v>
      </x:c>
      <x:c r="I44" s="2" t="str">
        <x:v>空仓半买</x:v>
      </x:c>
      <x:c r="J44" s="8" t="n">
        <x:v>618854.4687138794</x:v>
      </x:c>
      <x:c r="K44" s="12" t="n">
        <x:v>13.33</x:v>
      </x:c>
      <x:c r="L44" s="8" t="n">
        <x:v>46379.3122641709</x:v>
      </x:c>
      <x:c r="M44" s="6" t="d">
        <x:v>2025-07-17T00:00:00.000Z</x:v>
      </x:c>
      <x:c r="N44" s="12" t="n">
        <x:v>13.03</x:v>
      </x:c>
      <x:c r="O44" s="8" t="n">
        <x:v>603718.1163633447</x:v>
      </x:c>
      <x:c r="P44" s="8" t="n">
        <x:v>618.2362324813148</x:v>
      </x:c>
      <x:c r="Q44" s="8" t="n">
        <x:v>604.3224388021468</x:v>
      </x:c>
      <x:c r="R44" s="8" t="n">
        <x:f>O44-J44</x:f>
        <x:v>-15136.352350534638</x:v>
      </x:c>
      <x:c r="S44" s="9" t="n">
        <x:f>R44/J44</x:f>
        <x:v>-0.024458662118076693</x:v>
      </x:c>
      <x:c r="T44" s="2" t="n">
        <x:v>1</x:v>
      </x:c>
      <x:c r="U44" s="9" t="n">
        <x:v>0.078260869565217</x:v>
      </x:c>
      <x:c r="V44" s="9" t="n">
        <x:v>0.017391304347826</x:v>
      </x:c>
      <x:c r="W44" s="9" t="n">
        <x:v>0.024505928853755</x:v>
      </x:c>
      <x:c r="X44" s="9" t="n">
        <x:v>0.034937888198758</x:v>
      </x:c>
    </x:row>
    <x:row r="45">
      <x:c r="A45" s="2" t="str">
        <x:v>形态过滤</x:v>
      </x:c>
      <x:c r="B45" s="6" t="d">
        <x:v>2025-07-16T00:00:00.000Z</x:v>
      </x:c>
      <x:c r="C45" s="6" t="d">
        <x:v>2025-07-17T00:00:00.000Z</x:v>
      </x:c>
      <x:c r="D45" s="7" t="str">
        <x:v>600822</x:v>
      </x:c>
      <x:c r="E45" s="2" t="n">
        <x:v>2</x:v>
      </x:c>
      <x:c r="F45" s="11" t="n">
        <x:v>0.7465305481507912</x:v>
      </x:c>
      <x:c r="G45" s="2" t="str">
        <x:v>五分最高涨幅&gt;=6% 且 五分最低涨幅&gt;=-3%</x:v>
      </x:c>
      <x:c r="H45" s="2" t="str">
        <x:v>09:36</x:v>
      </x:c>
      <x:c r="I45" s="2" t="str">
        <x:v>余款全买</x:v>
      </x:c>
      <x:c r="J45" s="8" t="n">
        <x:v>618854.4687138794</x:v>
      </x:c>
      <x:c r="K45" s="12" t="n">
        <x:v>15.8</x:v>
      </x:c>
      <x:c r="L45" s="8" t="n">
        <x:v>39128.8754735062</x:v>
      </x:c>
      <x:c r="M45" s="6" t="d">
        <x:v>2025-07-18T00:00:00.000Z</x:v>
      </x:c>
      <x:c r="N45" s="12" t="n">
        <x:v>15.4</x:v>
      </x:c>
      <x:c r="O45" s="8" t="n">
        <x:v>601982.0976097035</x:v>
      </x:c>
      <x:c r="P45" s="8" t="n">
        <x:v>618.2362324813148</x:v>
      </x:c>
      <x:c r="Q45" s="8" t="n">
        <x:v>602.5846822919955</x:v>
      </x:c>
      <x:c r="R45" s="8" t="n">
        <x:f>O45-J45</x:f>
        <x:v>-16872.371104175807</x:v>
      </x:c>
      <x:c r="S45" s="9" t="n">
        <x:f>R45/J45</x:f>
        <x:v>-0.02726387536514108</x:v>
      </x:c>
      <x:c r="T45" s="2" t="n">
        <x:v>1</x:v>
      </x:c>
      <x:c r="U45" s="9" t="n">
        <x:v>0.091592617908407</x:v>
      </x:c>
      <x:c r="V45" s="9" t="n">
        <x:v>0.020505809979494</x:v>
      </x:c>
      <x:c r="W45" s="9" t="n">
        <x:v>0.007518796992481</x:v>
      </x:c>
      <x:c r="X45" s="9" t="n">
        <x:v>0.062290689886135</x:v>
      </x:c>
    </x:row>
    <x:row r="46">
      <x:c r="A46" s="2" t="str">
        <x:v>形态过滤</x:v>
      </x:c>
      <x:c r="B46" s="6" t="d">
        <x:v>2025-07-17T00:00:00.000Z</x:v>
      </x:c>
      <x:c r="C46" s="6" t="d">
        <x:v>2025-07-18T00:00:00.000Z</x:v>
      </x:c>
      <x:c r="D46" s="7" t="str">
        <x:v>600826</x:v>
      </x:c>
      <x:c r="E46" s="2" t="n">
        <x:v>3</x:v>
      </x:c>
      <x:c r="F46" s="11" t="n">
        <x:v>0.7319819789726422</x:v>
      </x:c>
      <x:c r="G46" s="2" t="str">
        <x:v>五分最高涨幅&gt;=6% 且 五分最低涨幅&gt;=-3%</x:v>
      </x:c>
      <x:c r="H46" s="2" t="str">
        <x:v>09:36</x:v>
      </x:c>
      <x:c r="I46" s="2" t="str">
        <x:v>余款全买</x:v>
      </x:c>
      <x:c r="J46" s="8" t="n">
        <x:v>603718.1163633447</x:v>
      </x:c>
      <x:c r="K46" s="12" t="n">
        <x:v>14.35</x:v>
      </x:c>
      <x:c r="L46" s="8" t="n">
        <x:v>42028.91995553887</x:v>
      </x:c>
      <x:c r="M46" s="6" t="d">
        <x:v>2025-07-21T00:00:00.000Z</x:v>
      </x:c>
      <x:c r="N46" s="12" t="n">
        <x:v>13.9</x:v>
      </x:c>
      <x:c r="O46" s="8" t="n">
        <x:v>583617.7853946083</x:v>
      </x:c>
      <x:c r="P46" s="8" t="n">
        <x:v>603.1150013619335</x:v>
      </x:c>
      <x:c r="Q46" s="8" t="n">
        <x:v>584.2019873819903</x:v>
      </x:c>
      <x:c r="R46" s="8" t="n">
        <x:f>O46-J46</x:f>
        <x:v>-20100.330968736438</x:v>
      </x:c>
      <x:c r="S46" s="9" t="n">
        <x:f>R46/J46</x:f>
        <x:v>-0.03329423190050364</x:v>
      </x:c>
      <x:c r="T46" s="2" t="n">
        <x:v>1</x:v>
      </x:c>
      <x:c r="U46" s="9" t="n">
        <x:v>0.100227790432802</x:v>
      </x:c>
      <x:c r="V46" s="9" t="n">
        <x:v>0.03872437357631</x:v>
      </x:c>
      <x:c r="W46" s="9" t="n">
        <x:v>0.003796507213364</x:v>
      </x:c>
      <x:c r="X46" s="9" t="n">
        <x:v>0.055555555555556</x:v>
      </x:c>
    </x:row>
    <x:row r="47">
      <x:c r="A47" s="2" t="str">
        <x:v>形态过滤</x:v>
      </x:c>
      <x:c r="B47" s="6" t="d">
        <x:v>2025-07-21T00:00:00.000Z</x:v>
      </x:c>
      <x:c r="C47" s="6" t="d">
        <x:v>2025-07-22T00:00:00.000Z</x:v>
      </x:c>
      <x:c r="D47" s="7" t="str">
        <x:v>601003</x:v>
      </x:c>
      <x:c r="E47" s="2" t="n">
        <x:v>1</x:v>
      </x:c>
      <x:c r="F47" s="11" t="n">
        <x:v>0.73951805255151</x:v>
      </x:c>
      <x:c r="G47" s="2" t="str">
        <x:v>五分最高涨幅&gt;=6% 且 五分最低涨幅&gt;=-3%</x:v>
      </x:c>
      <x:c r="H47" s="2" t="str">
        <x:v>09:36</x:v>
      </x:c>
      <x:c r="I47" s="2" t="str">
        <x:v>空仓半买</x:v>
      </x:c>
      <x:c r="J47" s="8" t="n">
        <x:v>592799.941502156</x:v>
      </x:c>
      <x:c r="K47" s="12" t="n">
        <x:v>6.9</x:v>
      </x:c>
      <x:c r="L47" s="8" t="n">
        <x:v>85827.20779251996</x:v>
      </x:c>
      <x:c r="M47" s="6" t="d">
        <x:v>2025-07-23T00:00:00.000Z</x:v>
      </x:c>
      <x:c r="N47" s="12" t="n">
        <x:v>7.79</x:v>
      </x:c>
      <x:c r="O47" s="8" t="n">
        <x:v>667925.3547550268</x:v>
      </x:c>
      <x:c r="P47" s="8" t="n">
        <x:v>592.2077337682713</x:v>
      </x:c>
      <x:c r="Q47" s="8" t="n">
        <x:v>668.5939487037305</x:v>
      </x:c>
      <x:c r="R47" s="8" t="n">
        <x:f>O47-J47</x:f>
        <x:v>75125.41325287079</x:v>
      </x:c>
      <x:c r="S47" s="9" t="n">
        <x:f>R47/J47</x:f>
        <x:v>0.1267297919471835</x:v>
      </x:c>
      <x:c r="T47" s="2" t="n">
        <x:v>1</x:v>
      </x:c>
      <x:c r="U47" s="9" t="n">
        <x:v>0.08160237388724</x:v>
      </x:c>
      <x:c r="V47" s="9" t="n">
        <x:v>0.017804154302671</x:v>
      </x:c>
      <x:c r="W47" s="9" t="n">
        <x:v>0.062314540059347</x:v>
      </x:c>
      <x:c r="X47" s="9" t="n">
        <x:v>-0.018571428571429</x:v>
      </x:c>
    </x:row>
    <x:row r="48">
      <x:c r="A48" s="2" t="str">
        <x:v>形态过滤</x:v>
      </x:c>
      <x:c r="B48" s="6" t="d">
        <x:v>2025-07-22T00:00:00.000Z</x:v>
      </x:c>
      <x:c r="C48" s="6" t="d">
        <x:v>2025-07-23T00:00:00.000Z</x:v>
      </x:c>
      <x:c r="D48" s="7" t="str">
        <x:v>002246</x:v>
      </x:c>
      <x:c r="E48" s="2" t="n">
        <x:v>1</x:v>
      </x:c>
      <x:c r="F48" s="11" t="n">
        <x:v>0.7104782594171196</x:v>
      </x:c>
      <x:c r="G48" s="2" t="str">
        <x:v>五分最高涨幅&gt;=6% 且 五分最低涨幅&gt;=-3%</x:v>
      </x:c>
      <x:c r="H48" s="2" t="str">
        <x:v>09:36</x:v>
      </x:c>
      <x:c r="I48" s="2" t="str">
        <x:v>余款全买</x:v>
      </x:c>
      <x:c r="J48" s="8" t="n">
        <x:v>592799.941502156</x:v>
      </x:c>
      <x:c r="K48" s="12" t="n">
        <x:v>23.62</x:v>
      </x:c>
      <x:c r="L48" s="8" t="n">
        <x:v>25072.300328890247</x:v>
      </x:c>
      <x:c r="M48" s="6" t="d">
        <x:v>2025-07-24T00:00:00.000Z</x:v>
      </x:c>
      <x:c r="N48" s="12" t="n">
        <x:v>18</x:v>
      </x:c>
      <x:c r="O48" s="8" t="n">
        <x:v>450850.10451410443</x:v>
      </x:c>
      <x:c r="P48" s="8" t="n">
        <x:v>592.2077337682713</x:v>
      </x:c>
      <x:c r="Q48" s="8" t="n">
        <x:v>451.3014059200244</x:v>
      </x:c>
      <x:c r="R48" s="8" t="n">
        <x:f>O48-J48</x:f>
        <x:v>-141949.83698805154</x:v>
      </x:c>
      <x:c r="S48" s="9" t="n">
        <x:f>R48/J48</x:f>
        <x:v>-0.23945656375800314</x:v>
      </x:c>
      <x:c r="T48" s="2" t="n">
        <x:v>0</x:v>
      </x:c>
      <x:c r="U48" s="9" t="n">
        <x:v>0.099860659544821</x:v>
      </x:c>
      <x:c r="V48" s="9" t="n">
        <x:v>0.049233627496516</x:v>
      </x:c>
      <x:c r="W48" s="9" t="n">
        <x:v>0.013469577333953</x:v>
      </x:c>
      <x:c r="X48" s="9" t="n">
        <x:v>-0.012246621621622</x:v>
      </x:c>
    </x:row>
    <x:row r="49">
      <x:c r="A49" s="2" t="str">
        <x:v>形态过滤</x:v>
      </x:c>
      <x:c r="B49" s="6" t="d">
        <x:v>2025-07-28T00:00:00.000Z</x:v>
      </x:c>
      <x:c r="C49" s="6" t="d">
        <x:v>2025-07-29T00:00:00.000Z</x:v>
      </x:c>
      <x:c r="D49" s="7" t="str">
        <x:v>603616</x:v>
      </x:c>
      <x:c r="E49" s="2" t="n">
        <x:v>2</x:v>
      </x:c>
      <x:c r="F49" s="11" t="n">
        <x:v>0.6759080976903181</x:v>
      </x:c>
      <x:c r="G49" s="2" t="str">
        <x:v>五分最高涨幅&gt;=6% 且 五分最低涨幅&gt;=-3%</x:v>
      </x:c>
      <x:c r="H49" s="2" t="str">
        <x:v>09:36</x:v>
      </x:c>
      <x:c r="I49" s="2" t="str">
        <x:v>空仓半买</x:v>
      </x:c>
      <x:c r="J49" s="8" t="n">
        <x:v>559387.7296345655</x:v>
      </x:c>
      <x:c r="K49" s="12" t="n">
        <x:v>7.05</x:v>
      </x:c>
      <x:c r="L49" s="8" t="n">
        <x:v>79266.51074238749</x:v>
      </x:c>
      <x:c r="M49" s="6" t="d">
        <x:v>2025-07-30T00:00:00.000Z</x:v>
      </x:c>
      <x:c r="N49" s="12" t="n">
        <x:v>7.37</x:v>
      </x:c>
      <x:c r="O49" s="8" t="n">
        <x:v>583609.9899872245</x:v>
      </x:c>
      <x:c r="P49" s="8" t="n">
        <x:v>558.8289007337298</x:v>
      </x:c>
      <x:c r="Q49" s="8" t="n">
        <x:v>584.1941841713958</x:v>
      </x:c>
      <x:c r="R49" s="8" t="n">
        <x:f>O49-J49</x:f>
        <x:v>24222.260352658923</x:v>
      </x:c>
      <x:c r="S49" s="9" t="n">
        <x:f>R49/J49</x:f>
        <x:v>0.04330137947159252</x:v>
      </x:c>
      <x:c r="T49" s="2" t="n">
        <x:v>1</x:v>
      </x:c>
      <x:c r="U49" s="9" t="n">
        <x:v>0.100763358778626</x:v>
      </x:c>
      <x:c r="V49" s="9" t="n">
        <x:v>0.047328244274809</x:v>
      </x:c>
      <x:c r="W49" s="9" t="n">
        <x:v>0.022900763358779</x:v>
      </x:c>
      <x:c r="X49" s="9" t="n">
        <x:v>0.010014306151645</x:v>
      </x:c>
    </x:row>
    <x:row r="50">
      <x:c r="A50" s="2" t="str">
        <x:v>形态过滤</x:v>
      </x:c>
      <x:c r="B50" s="6" t="d">
        <x:v>2025-07-29T00:00:00.000Z</x:v>
      </x:c>
      <x:c r="C50" s="6" t="d">
        <x:v>2025-07-30T00:00:00.000Z</x:v>
      </x:c>
      <x:c r="D50" s="7" t="str">
        <x:v>300528</x:v>
      </x:c>
      <x:c r="E50" s="2" t="n">
        <x:v>3</x:v>
      </x:c>
      <x:c r="F50" s="11" t="n">
        <x:v>0.6746629220746244</x:v>
      </x:c>
      <x:c r="G50" s="2" t="str">
        <x:v>五分最高涨幅&gt;=6% 且 五分最低涨幅&gt;=-3%</x:v>
      </x:c>
      <x:c r="H50" s="2" t="str">
        <x:v>09:36</x:v>
      </x:c>
      <x:c r="I50" s="2" t="str">
        <x:v>余款全买</x:v>
      </x:c>
      <x:c r="J50" s="8" t="n">
        <x:v>559387.7296345655</x:v>
      </x:c>
      <x:c r="K50" s="12" t="n">
        <x:v>24.76</x:v>
      </x:c>
      <x:c r="L50" s="8" t="n">
        <x:v>22569.826362432625</x:v>
      </x:c>
      <x:c r="M50" s="6" t="d">
        <x:v>2025-07-31T00:00:00.000Z</x:v>
      </x:c>
      <x:c r="N50" s="12" t="n">
        <x:v>23.22</x:v>
      </x:c>
      <x:c r="O50" s="8" t="n">
        <x:v>523547.2967675498</x:v>
      </x:c>
      <x:c r="P50" s="8" t="n">
        <x:v>558.8289007337298</x:v>
      </x:c>
      <x:c r="Q50" s="8" t="n">
        <x:v>524.0713681356855</x:v>
      </x:c>
      <x:c r="R50" s="8" t="n">
        <x:f>O50-J50</x:f>
        <x:v>-35840.43286701571</x:v>
      </x:c>
      <x:c r="S50" s="9" t="n">
        <x:f>R50/J50</x:f>
        <x:v>-0.06407082416775463</x:v>
      </x:c>
      <x:c r="T50" s="2" t="n">
        <x:v>1</x:v>
      </x:c>
      <x:c r="U50" s="9" t="n">
        <x:v>0.180094786729858</x:v>
      </x:c>
      <x:c r="V50" s="9" t="n">
        <x:v>0.066350710900474</x:v>
      </x:c>
      <x:c r="W50" s="9" t="n">
        <x:v>0.007582938388626</x:v>
      </x:c>
      <x:c r="X50" s="9" t="n">
        <x:v>0.099067081297201</x:v>
      </x:c>
    </x:row>
    <x:row r="51">
      <x:c r="A51" s="2" t="str">
        <x:v>形态过滤</x:v>
      </x:c>
      <x:c r="B51" s="6" t="d">
        <x:v>2025-07-31T00:00:00.000Z</x:v>
      </x:c>
      <x:c r="C51" s="6" t="d">
        <x:v>2025-08-01T00:00:00.000Z</x:v>
      </x:c>
      <x:c r="D51" s="7" t="str">
        <x:v>603839</x:v>
      </x:c>
      <x:c r="E51" s="2" t="n">
        <x:v>1</x:v>
      </x:c>
      <x:c r="F51" s="11" t="n">
        <x:v>0.7534766624328735</x:v>
      </x:c>
      <x:c r="G51" s="2" t="str">
        <x:v>五分最高涨幅&gt;=6% 且 五分最低涨幅&gt;=-3%</x:v>
      </x:c>
      <x:c r="H51" s="2" t="str">
        <x:v>09:36</x:v>
      </x:c>
      <x:c r="I51" s="2" t="str">
        <x:v>空仓半买</x:v>
      </x:c>
      <x:c r="J51" s="8" t="n">
        <x:v>553578.6433773872</x:v>
      </x:c>
      <x:c r="K51" s="12" t="n">
        <x:v>10</x:v>
      </x:c>
      <x:c r="L51" s="8" t="n">
        <x:v>55302.561775962764</x:v>
      </x:c>
      <x:c r="M51" s="6" t="d">
        <x:v>2025-08-04T00:00:00.000Z</x:v>
      </x:c>
      <x:c r="N51" s="12" t="n">
        <x:v>8.35</x:v>
      </x:c>
      <x:c r="O51" s="8" t="n">
        <x:v>461314.61443845974</x:v>
      </x:c>
      <x:c r="P51" s="8" t="n">
        <x:v>553.0256177595584</x:v>
      </x:c>
      <x:c r="Q51" s="8" t="n">
        <x:v>461.776390829289</x:v>
      </x:c>
      <x:c r="R51" s="8" t="n">
        <x:f>O51-J51</x:f>
        <x:v>-92264.02893892745</x:v>
      </x:c>
      <x:c r="S51" s="9" t="n">
        <x:f>R51/J51</x:f>
        <x:v>-0.16666833166833164</x:v>
      </x:c>
      <x:c r="T51" s="2" t="n">
        <x:v>0</x:v>
      </x:c>
      <x:c r="U51" s="9" t="n">
        <x:v>0.099576271186441</x:v>
      </x:c>
      <x:c r="V51" s="9" t="n">
        <x:v>0.028601694915254</x:v>
      </x:c>
      <x:c r="W51" s="9" t="n">
        <x:v>0.031779661016949</x:v>
      </x:c>
      <x:c r="X51" s="9" t="n">
        <x:v>0.006993006993007</x:v>
      </x:c>
    </x:row>
    <x:row r="52">
      <x:c r="A52" s="2" t="str">
        <x:v>形态过滤</x:v>
      </x:c>
      <x:c r="B52" s="6" t="d">
        <x:v>2025-08-05T00:00:00.000Z</x:v>
      </x:c>
      <x:c r="C52" s="6" t="d">
        <x:v>2025-08-06T00:00:00.000Z</x:v>
      </x:c>
      <x:c r="D52" s="7" t="str">
        <x:v>002775</x:v>
      </x:c>
      <x:c r="E52" s="2" t="n">
        <x:v>1</x:v>
      </x:c>
      <x:c r="F52" s="11" t="n">
        <x:v>0.7395430071469048</x:v>
      </x:c>
      <x:c r="G52" s="2" t="str">
        <x:v>五分最高涨幅&gt;=6% 且 五分最低涨幅&gt;=-3%</x:v>
      </x:c>
      <x:c r="H52" s="2" t="str">
        <x:v>09:36</x:v>
      </x:c>
      <x:c r="I52" s="2" t="str">
        <x:v>空仓半买</x:v>
      </x:c>
      <x:c r="J52" s="8" t="n">
        <x:v>507446.62890792347</x:v>
      </x:c>
      <x:c r="K52" s="12" t="n">
        <x:v>5.76</x:v>
      </x:c>
      <x:c r="L52" s="8" t="n">
        <x:v>88010.3627115807</x:v>
      </x:c>
      <x:c r="M52" s="6" t="d">
        <x:v>2025-08-07T00:00:00.000Z</x:v>
      </x:c>
      <x:c r="N52" s="12" t="n">
        <x:v>5.18</x:v>
      </x:c>
      <x:c r="O52" s="8" t="n">
        <x:v>455437.785167142</x:v>
      </x:c>
      <x:c r="P52" s="8" t="n">
        <x:v>506.9396892186487</x:v>
      </x:c>
      <x:c r="Q52" s="8" t="n">
        <x:v>455.893678845988</x:v>
      </x:c>
      <x:c r="R52" s="8" t="n">
        <x:f>O52-J52</x:f>
        <x:v>-52008.84374078148</x:v>
      </x:c>
      <x:c r="S52" s="9" t="n">
        <x:f>R52/J52</x:f>
        <x:v>-0.10249125874125871</x:v>
      </x:c>
      <x:c r="T52" s="2" t="n">
        <x:v>0</x:v>
      </x:c>
      <x:c r="U52" s="9" t="n">
        <x:v>0.068376068376068</x:v>
      </x:c>
      <x:c r="V52" s="9" t="n">
        <x:v>-0.025641025641026</x:v>
      </x:c>
      <x:c r="W52" s="9" t="n">
        <x:v>0.082051282051282</x:v>
      </x:c>
      <x:c r="X52" s="9" t="n">
        <x:v>-0.023688663282572</x:v>
      </x:c>
    </x:row>
    <x:row r="53">
      <x:c r="A53" s="2" t="str">
        <x:v>形态过滤</x:v>
      </x:c>
      <x:c r="B53" s="6" t="d">
        <x:v>2025-08-06T00:00:00.000Z</x:v>
      </x:c>
      <x:c r="C53" s="6" t="d">
        <x:v>2025-08-07T00:00:00.000Z</x:v>
      </x:c>
      <x:c r="D53" s="7" t="str">
        <x:v>600203</x:v>
      </x:c>
      <x:c r="E53" s="2" t="n">
        <x:v>3</x:v>
      </x:c>
      <x:c r="F53" s="11" t="n">
        <x:v>0.6973706943330404</x:v>
      </x:c>
      <x:c r="G53" s="2" t="str">
        <x:v>五分最高涨幅&gt;=6% 且 五分最低涨幅&gt;=-3%</x:v>
      </x:c>
      <x:c r="H53" s="2" t="str">
        <x:v>09:36</x:v>
      </x:c>
      <x:c r="I53" s="2" t="str">
        <x:v>余款全买</x:v>
      </x:c>
      <x:c r="J53" s="8" t="n">
        <x:v>507446.62890792347</x:v>
      </x:c>
      <x:c r="K53" s="12" t="n">
        <x:v>15.54</x:v>
      </x:c>
      <x:c r="L53" s="8" t="n">
        <x:v>32621.60162282528</x:v>
      </x:c>
      <x:c r="M53" s="6" t="d">
        <x:v>2025-08-08T00:00:00.000Z</x:v>
      </x:c>
      <x:c r="N53" s="12" t="n">
        <x:v>15.31</x:v>
      </x:c>
      <x:c r="O53" s="8" t="n">
        <x:v>498937.2841246096</x:v>
      </x:c>
      <x:c r="P53" s="8" t="n">
        <x:v>506.9396892186487</x:v>
      </x:c>
      <x:c r="Q53" s="8" t="n">
        <x:v>499.43672084545506</x:v>
      </x:c>
      <x:c r="R53" s="8" t="n">
        <x:f>O53-J53</x:f>
        <x:v>-8509.344783313863</x:v>
      </x:c>
      <x:c r="S53" s="9" t="n">
        <x:f>R53/J53</x:f>
        <x:v>-0.016768945340373695</x:v>
      </x:c>
      <x:c r="T53" s="2" t="n">
        <x:v>1</x:v>
      </x:c>
      <x:c r="U53" s="9" t="n">
        <x:v>0.100070472163496</x:v>
      </x:c>
      <x:c r="V53" s="9" t="n">
        <x:v>0.071176885130374</x:v>
      </x:c>
      <x:c r="W53" s="9" t="n">
        <x:v>0.004228329809725</x:v>
      </x:c>
      <x:c r="X53" s="9" t="n">
        <x:v>0.023026315789474</x:v>
      </x:c>
    </x:row>
    <x:row r="54">
      <x:c r="A54" s="2" t="str">
        <x:v>形态过滤</x:v>
      </x:c>
      <x:c r="B54" s="6" t="d">
        <x:v>2025-08-07T00:00:00.000Z</x:v>
      </x:c>
      <x:c r="C54" s="6" t="d">
        <x:v>2025-08-08T00:00:00.000Z</x:v>
      </x:c>
      <x:c r="D54" s="7" t="str">
        <x:v>603767</x:v>
      </x:c>
      <x:c r="E54" s="2" t="n">
        <x:v>3</x:v>
      </x:c>
      <x:c r="F54" s="11" t="n">
        <x:v>0.7232175562436617</x:v>
      </x:c>
      <x:c r="G54" s="2" t="str">
        <x:v>五分最高涨幅&gt;=6% 且 五分最低涨幅&gt;=-3%</x:v>
      </x:c>
      <x:c r="H54" s="2" t="str">
        <x:v>09:36</x:v>
      </x:c>
      <x:c r="I54" s="2" t="str">
        <x:v>余款全买</x:v>
      </x:c>
      <x:c r="J54" s="8" t="n">
        <x:v>455437.785167142</x:v>
      </x:c>
      <x:c r="K54" s="12" t="n">
        <x:v>30.22</x:v>
      </x:c>
      <x:c r="L54" s="8" t="n">
        <x:v>15055.685055088592</x:v>
      </x:c>
      <x:c r="M54" s="6" t="d">
        <x:v>2025-08-11T00:00:00.000Z</x:v>
      </x:c>
      <x:c r="N54" s="12" t="n">
        <x:v>30.18</x:v>
      </x:c>
      <x:c r="O54" s="8" t="n">
        <x:v>453926.1943876111</x:v>
      </x:c>
      <x:c r="P54" s="8" t="n">
        <x:v>454.9828023647424</x:v>
      </x:c>
      <x:c r="Q54" s="8" t="n">
        <x:v>454.3805749625737</x:v>
      </x:c>
      <x:c r="R54" s="8" t="n">
        <x:f>O54-J54</x:f>
        <x:v>-1511.590779530874</x:v>
      </x:c>
      <x:c r="S54" s="9" t="n">
        <x:f>R54/J54</x:f>
        <x:v>-0.003318984126396391</x:v>
      </x:c>
      <x:c r="T54" s="2" t="n">
        <x:v>0</x:v>
      </x:c>
      <x:c r="U54" s="9" t="n">
        <x:v>0.076157804459691</x:v>
      </x:c>
      <x:c r="V54" s="9" t="n">
        <x:v>-0.028130360205832</x:v>
      </x:c>
      <x:c r="W54" s="9" t="n">
        <x:v>0.033962264150943</x:v>
      </x:c>
      <x:c r="X54" s="9" t="n">
        <x:v>0.009973404255319</x:v>
      </x:c>
    </x:row>
    <x:row r="55">
      <x:c r="A55" s="2" t="str">
        <x:v>形态过滤</x:v>
      </x:c>
      <x:c r="B55" s="6" t="d">
        <x:v>2025-08-11T00:00:00.000Z</x:v>
      </x:c>
      <x:c r="C55" s="6" t="d">
        <x:v>2025-08-12T00:00:00.000Z</x:v>
      </x:c>
      <x:c r="D55" s="7" t="str">
        <x:v>601929</x:v>
      </x:c>
      <x:c r="E55" s="2" t="n">
        <x:v>1</x:v>
      </x:c>
      <x:c r="F55" s="11" t="n">
        <x:v>0.753328078384913</x:v>
      </x:c>
      <x:c r="G55" s="2" t="str">
        <x:v>五分最高涨幅&gt;=6% 且 五分最低涨幅&gt;=-3%</x:v>
      </x:c>
      <x:c r="H55" s="2" t="str">
        <x:v>09:36</x:v>
      </x:c>
      <x:c r="I55" s="2" t="str">
        <x:v>空仓半买</x:v>
      </x:c>
      <x:c r="J55" s="8" t="n">
        <x:v>476431.7392561104</x:v>
      </x:c>
      <x:c r="K55" s="12" t="n">
        <x:v>3.2</x:v>
      </x:c>
      <x:c r="L55" s="8" t="n">
        <x:v>148736.18233519932</x:v>
      </x:c>
      <x:c r="M55" s="6" t="d">
        <x:v>2025-08-13T00:00:00.000Z</x:v>
      </x:c>
      <x:c r="N55" s="12" t="n">
        <x:v>3.6</x:v>
      </x:c>
      <x:c r="O55" s="8" t="n">
        <x:v>534914.8061503109</x:v>
      </x:c>
      <x:c r="P55" s="8" t="n">
        <x:v>475.95578347257106</x:v>
      </x:c>
      <x:c r="Q55" s="8" t="n">
        <x:v>535.4502564067176</x:v>
      </x:c>
      <x:c r="R55" s="8" t="n">
        <x:f>O55-J55</x:f>
        <x:v>58483.066894200514</x:v>
      </x:c>
      <x:c r="S55" s="9" t="n">
        <x:f>R55/J55</x:f>
        <x:v>0.12275224775224806</x:v>
      </x:c>
      <x:c r="T55" s="2" t="n">
        <x:v>1</x:v>
      </x:c>
      <x:c r="U55" s="9" t="n">
        <x:v>0.097643097643098</x:v>
      </x:c>
      <x:c r="V55" s="9" t="n">
        <x:v>0.02020202020202</x:v>
      </x:c>
      <x:c r="W55" s="9" t="n">
        <x:v>0.013468013468013</x:v>
      </x:c>
      <x:c r="X55" s="9" t="n">
        <x:v>0.05921052631579</x:v>
      </x:c>
    </x:row>
    <x:row r="56">
      <x:c r="A56" s="2" t="str">
        <x:v>形态过滤</x:v>
      </x:c>
      <x:c r="B56" s="6" t="d">
        <x:v>2025-08-12T00:00:00.000Z</x:v>
      </x:c>
      <x:c r="C56" s="6" t="d">
        <x:v>2025-08-13T00:00:00.000Z</x:v>
      </x:c>
      <x:c r="D56" s="7" t="str">
        <x:v>600581</x:v>
      </x:c>
      <x:c r="E56" s="2" t="n">
        <x:v>3</x:v>
      </x:c>
      <x:c r="F56" s="11" t="n">
        <x:v>0.7442795445974131</x:v>
      </x:c>
      <x:c r="G56" s="2" t="str">
        <x:v>五分最高涨幅&gt;=6% 且 五分最低涨幅&gt;=-3%</x:v>
      </x:c>
      <x:c r="H56" s="2" t="str">
        <x:v>09:36</x:v>
      </x:c>
      <x:c r="I56" s="2" t="str">
        <x:v>余款全买</x:v>
      </x:c>
      <x:c r="J56" s="8" t="n">
        <x:v>476431.7392561104</x:v>
      </x:c>
      <x:c r="K56" s="12" t="n">
        <x:v>5.38</x:v>
      </x:c>
      <x:c r="L56" s="8" t="n">
        <x:v>88467.61774584347</x:v>
      </x:c>
      <x:c r="M56" s="6" t="d">
        <x:v>2025-08-14T00:00:00.000Z</x:v>
      </x:c>
      <x:c r="N56" s="12" t="n">
        <x:v>4.71</x:v>
      </x:c>
      <x:c r="O56" s="8" t="n">
        <x:v>416265.7971033398</x:v>
      </x:c>
      <x:c r="P56" s="8" t="n">
        <x:v>475.95578347257106</x:v>
      </x:c>
      <x:c r="Q56" s="8" t="n">
        <x:v>416.6824795829227</x:v>
      </x:c>
      <x:c r="R56" s="8" t="n">
        <x:f>O56-J56</x:f>
        <x:v>-60165.942152770585</x:v>
      </x:c>
      <x:c r="S56" s="9" t="n">
        <x:f>R56/J56</x:f>
        <x:v>-0.12628449617297183</x:v>
      </x:c>
      <x:c r="T56" s="2" t="n">
        <x:v>0</x:v>
      </x:c>
      <x:c r="U56" s="9" t="n">
        <x:v>0.08187134502924</x:v>
      </x:c>
      <x:c r="V56" s="9" t="n">
        <x:v>0.031189083820663</x:v>
      </x:c>
      <x:c r="W56" s="9" t="n">
        <x:v>0.029239766081871</x:v>
      </x:c>
      <x:c r="X56" s="9" t="n">
        <x:v>0.005586592178771</x:v>
      </x:c>
    </x:row>
    <x:row r="57">
      <x:c r="A57" s="2" t="str">
        <x:v>形态过滤</x:v>
      </x:c>
      <x:c r="B57" s="6" t="d">
        <x:v>2025-08-13T00:00:00.000Z</x:v>
      </x:c>
      <x:c r="C57" s="6" t="d">
        <x:v>2025-08-14T00:00:00.000Z</x:v>
      </x:c>
      <x:c r="D57" s="7" t="str">
        <x:v>601929</x:v>
      </x:c>
      <x:c r="E57" s="2" t="n">
        <x:v>1</x:v>
      </x:c>
      <x:c r="F57" s="11" t="n">
        <x:v>0.7626078334153757</x:v>
      </x:c>
      <x:c r="G57" s="2" t="str">
        <x:v>五分最高涨幅&gt;=6% 且 五分最低涨幅&gt;=-3%</x:v>
      </x:c>
      <x:c r="H57" s="2" t="str">
        <x:v>09:36</x:v>
      </x:c>
      <x:c r="I57" s="2" t="str">
        <x:v>余款全买</x:v>
      </x:c>
      <x:c r="J57" s="8" t="n">
        <x:v>534914.8061503109</x:v>
      </x:c>
      <x:c r="K57" s="12" t="n">
        <x:v>3.91</x:v>
      </x:c>
      <x:c r="L57" s="8" t="n">
        <x:v>136670.18560731108</x:v>
      </x:c>
      <x:c r="M57" s="6" t="d">
        <x:v>2025-08-15T00:00:00.000Z</x:v>
      </x:c>
      <x:c r="N57" s="12" t="n">
        <x:v>3.92</x:v>
      </x:c>
      <x:c r="O57" s="8" t="n">
        <x:v>535211.3804530788</x:v>
      </x:c>
      <x:c r="P57" s="8" t="n">
        <x:v>534.3804257245502</x:v>
      </x:c>
      <x:c r="Q57" s="8" t="n">
        <x:v>535.7471275806595</x:v>
      </x:c>
      <x:c r="R57" s="8" t="n">
        <x:f>O57-J57</x:f>
        <x:v>296.5743027678691</x:v>
      </x:c>
      <x:c r="S57" s="9" t="n">
        <x:f>R57/J57</x:f>
        <x:v>0.0005544327794967256</x:v>
      </x:c>
      <x:c r="T57" s="2" t="n">
        <x:v>1</x:v>
      </x:c>
      <x:c r="U57" s="9" t="n">
        <x:v>0.1</x:v>
      </x:c>
      <x:c r="V57" s="9" t="n">
        <x:v>0.030555555555555</x:v>
      </x:c>
      <x:c r="W57" s="9" t="n">
        <x:v>0.013888888888889</x:v>
      </x:c>
      <x:c r="X57" s="9" t="n">
        <x:v>0.042666666666667</x:v>
      </x:c>
    </x:row>
    <x:row r="58">
      <x:c r="A58" s="2" t="str">
        <x:v>形态过滤</x:v>
      </x:c>
      <x:c r="B58" s="6" t="d">
        <x:v>2025-08-15T00:00:00.000Z</x:v>
      </x:c>
      <x:c r="C58" s="6" t="d">
        <x:v>2025-08-18T00:00:00.000Z</x:v>
      </x:c>
      <x:c r="D58" s="7" t="str">
        <x:v>002939</x:v>
      </x:c>
      <x:c r="E58" s="2" t="n">
        <x:v>1</x:v>
      </x:c>
      <x:c r="F58" s="11" t="n">
        <x:v>0.7388003310024593</x:v>
      </x:c>
      <x:c r="G58" s="2" t="str">
        <x:v>五分最高涨幅&gt;=6% 且 五分最低涨幅&gt;=-3%</x:v>
      </x:c>
      <x:c r="H58" s="2" t="str">
        <x:v>09:36</x:v>
      </x:c>
      <x:c r="I58" s="2" t="str">
        <x:v>空仓半买</x:v>
      </x:c>
      <x:c r="J58" s="8" t="n">
        <x:v>475738.5887782093</x:v>
      </x:c>
      <x:c r="K58" s="12" t="n">
        <x:v>13.12</x:v>
      </x:c>
      <x:c r="L58" s="8" t="n">
        <x:v>36224.338830240595</x:v>
      </x:c>
      <x:c r="M58" s="6" t="d">
        <x:v>2025-08-19T00:00:00.000Z</x:v>
      </x:c>
      <x:c r="N58" s="12" t="n">
        <x:v>13.78</x:v>
      </x:c>
      <x:c r="O58" s="8" t="n">
        <x:v>498672.21769163467</x:v>
      </x:c>
      <x:c r="P58" s="8" t="n">
        <x:v>475.26332545268815</x:v>
      </x:c>
      <x:c r="Q58" s="8" t="n">
        <x:v>499.17138908071536</x:v>
      </x:c>
      <x:c r="R58" s="8" t="n">
        <x:f>O58-J58</x:f>
        <x:v>22933.628913425375</x:v>
      </x:c>
      <x:c r="S58" s="9" t="n">
        <x:f>R58/J58</x:f>
        <x:v>0.048206366803927904</x:v>
      </x:c>
      <x:c r="T58" s="2" t="n">
        <x:v>1</x:v>
      </x:c>
      <x:c r="U58" s="9" t="n">
        <x:v>0.100331674958541</x:v>
      </x:c>
      <x:c r="V58" s="9" t="n">
        <x:v>0.062189054726368</x:v>
      </x:c>
      <x:c r="W58" s="9" t="n">
        <x:v>0.009950248756219</x:v>
      </x:c>
      <x:c r="X58" s="9" t="n">
        <x:v>0.008435582822086</x:v>
      </x:c>
    </x:row>
    <x:row r="59">
      <x:c r="A59" s="2" t="str">
        <x:v>形态过滤</x:v>
      </x:c>
      <x:c r="B59" s="6" t="d">
        <x:v>2025-08-18T00:00:00.000Z</x:v>
      </x:c>
      <x:c r="C59" s="6" t="d">
        <x:v>2025-08-19T00:00:00.000Z</x:v>
      </x:c>
      <x:c r="D59" s="7" t="str">
        <x:v>601609</x:v>
      </x:c>
      <x:c r="E59" s="2" t="n">
        <x:v>1</x:v>
      </x:c>
      <x:c r="F59" s="11" t="n">
        <x:v>0.7720480572246814</x:v>
      </x:c>
      <x:c r="G59" s="2" t="str">
        <x:v>五分最高涨幅&gt;=6% 且 五分最低涨幅&gt;=-3%</x:v>
      </x:c>
      <x:c r="H59" s="2" t="str">
        <x:v>09:36</x:v>
      </x:c>
      <x:c r="I59" s="2" t="str">
        <x:v>余款全买</x:v>
      </x:c>
      <x:c r="J59" s="8" t="n">
        <x:v>475738.5887782093</x:v>
      </x:c>
      <x:c r="K59" s="12" t="n">
        <x:v>13.34</x:v>
      </x:c>
      <x:c r="L59" s="8" t="n">
        <x:v>35626.93594098625</x:v>
      </x:c>
      <x:c r="M59" s="6" t="d">
        <x:v>2025-08-20T00:00:00.000Z</x:v>
      </x:c>
      <x:c r="N59" s="12" t="n">
        <x:v>14.75</x:v>
      </x:c>
      <x:c r="O59" s="8" t="n">
        <x:v>524971.8078244177</x:v>
      </x:c>
      <x:c r="P59" s="8" t="n">
        <x:v>475.26332545268815</x:v>
      </x:c>
      <x:c r="Q59" s="8" t="n">
        <x:v>525.4973051295473</x:v>
      </x:c>
      <x:c r="R59" s="8" t="n">
        <x:f>O59-J59</x:f>
        <x:v>49233.219046208425</x:v>
      </x:c>
      <x:c r="S59" s="9" t="n">
        <x:f>R59/J59</x:f>
        <x:v>0.10348796630655727</x:v>
      </x:c>
      <x:c r="T59" s="2" t="n">
        <x:v>1</x:v>
      </x:c>
      <x:c r="U59" s="9" t="n">
        <x:v>0.09976057462091</x:v>
      </x:c>
      <x:c r="V59" s="9" t="n">
        <x:v>0.045490822027135</x:v>
      </x:c>
      <x:c r="W59" s="9" t="n">
        <x:v>0.034317637669593</x:v>
      </x:c>
      <x:c r="X59" s="9" t="n">
        <x:v>-0.031204644412192</x:v>
      </x:c>
    </x:row>
    <x:row r="60">
      <x:c r="A60" s="2" t="str">
        <x:v>形态过滤</x:v>
      </x:c>
      <x:c r="B60" s="6" t="d">
        <x:v>2025-08-19T00:00:00.000Z</x:v>
      </x:c>
      <x:c r="C60" s="6" t="d">
        <x:v>2025-08-20T00:00:00.000Z</x:v>
      </x:c>
      <x:c r="D60" s="7" t="str">
        <x:v>002272</x:v>
      </x:c>
      <x:c r="E60" s="2" t="n">
        <x:v>3</x:v>
      </x:c>
      <x:c r="F60" s="11" t="n">
        <x:v>0.7379016744548257</x:v>
      </x:c>
      <x:c r="G60" s="2" t="str">
        <x:v>五分最高涨幅&gt;=6% 且 五分最低涨幅&gt;=-3%</x:v>
      </x:c>
      <x:c r="H60" s="2" t="str">
        <x:v>09:36</x:v>
      </x:c>
      <x:c r="I60" s="2" t="str">
        <x:v>余款全买</x:v>
      </x:c>
      <x:c r="J60" s="8" t="n">
        <x:v>498672.21769163467</x:v>
      </x:c>
      <x:c r="K60" s="12" t="n">
        <x:v>19.04</x:v>
      </x:c>
      <x:c r="L60" s="8" t="n">
        <x:v>26164.603132772412</x:v>
      </x:c>
      <x:c r="M60" s="6" t="d">
        <x:v>2025-08-21T00:00:00.000Z</x:v>
      </x:c>
      <x:c r="N60" s="12" t="n">
        <x:v>17.25</x:v>
      </x:c>
      <x:c r="O60" s="8" t="n">
        <x:v>450888.0646362838</x:v>
      </x:c>
      <x:c r="P60" s="8" t="n">
        <x:v>498.1740436479449</x:v>
      </x:c>
      <x:c r="Q60" s="8" t="n">
        <x:v>451.3394040403241</x:v>
      </x:c>
      <x:c r="R60" s="8" t="n">
        <x:f>O60-J60</x:f>
        <x:v>-47784.15305535088</x:v>
      </x:c>
      <x:c r="S60" s="9" t="n">
        <x:f>R60/J60</x:f>
        <x:v>-0.09582276966730739</x:v>
      </x:c>
      <x:c r="T60" s="2" t="n">
        <x:v>1</x:v>
      </x:c>
      <x:c r="U60" s="9" t="n">
        <x:v>0.091009988901221</x:v>
      </x:c>
      <x:c r="V60" s="9" t="n">
        <x:v>0.040510543840178</x:v>
      </x:c>
      <x:c r="W60" s="9" t="n">
        <x:v>0.03496115427303</x:v>
      </x:c>
      <x:c r="X60" s="9" t="n">
        <x:v>0.002106371774618</x:v>
      </x:c>
    </x:row>
    <x:row r="61">
      <x:c r="A61" s="2" t="str">
        <x:v>形态过滤</x:v>
      </x:c>
      <x:c r="B61" s="6" t="d">
        <x:v>2025-08-25T00:00:00.000Z</x:v>
      </x:c>
      <x:c r="C61" s="6" t="d">
        <x:v>2025-08-26T00:00:00.000Z</x:v>
      </x:c>
      <x:c r="D61" s="7" t="str">
        <x:v>002217</x:v>
      </x:c>
      <x:c r="E61" s="2" t="n">
        <x:v>3</x:v>
      </x:c>
      <x:c r="F61" s="11" t="n">
        <x:v>0.6946211538626658</x:v>
      </x:c>
      <x:c r="G61" s="2" t="str">
        <x:v>五分最高涨幅&gt;=6% 且 五分最低涨幅&gt;=-3%</x:v>
      </x:c>
      <x:c r="H61" s="2" t="str">
        <x:v>09:36</x:v>
      </x:c>
      <x:c r="I61" s="2" t="str">
        <x:v>空仓半买</x:v>
      </x:c>
      <x:c r="J61" s="8" t="n">
        <x:v>487929.93623035075</x:v>
      </x:c>
      <x:c r="K61" s="12" t="n">
        <x:v>3.71</x:v>
      </x:c>
      <x:c r="L61" s="8" t="n">
        <x:v>131386.1169101386</x:v>
      </x:c>
      <x:c r="M61" s="6" t="d">
        <x:v>2025-08-27T00:00:00.000Z</x:v>
      </x:c>
      <x:c r="N61" s="12" t="n">
        <x:v>3.9</x:v>
      </x:c>
      <x:c r="O61" s="8" t="n">
        <x:v>511893.450093591</x:v>
      </x:c>
      <x:c r="P61" s="8" t="n">
        <x:v>487.4424937365693</x:v>
      </x:c>
      <x:c r="Q61" s="8" t="n">
        <x:v>512.4058559495405</x:v>
      </x:c>
      <x:c r="R61" s="8" t="n">
        <x:f>O61-J61</x:f>
        <x:v>23963.513863240252</x:v>
      </x:c>
      <x:c r="S61" s="9" t="n">
        <x:f>R61/J61</x:f>
        <x:v>0.04911261245493067</x:v>
      </x:c>
      <x:c r="T61" s="2" t="n">
        <x:v>1</x:v>
      </x:c>
      <x:c r="U61" s="9" t="n">
        <x:v>0.100591715976331</x:v>
      </x:c>
      <x:c r="V61" s="9" t="n">
        <x:v>0.044378698224852</x:v>
      </x:c>
      <x:c r="W61" s="9" t="n">
        <x:v>0.002958579881657</x:v>
      </x:c>
      <x:c r="X61" s="9" t="n">
        <x:v>0.022038567493113</x:v>
      </x:c>
    </x:row>
    <x:row r="62">
      <x:c r="A62" s="2" t="str">
        <x:v>形态过滤</x:v>
      </x:c>
      <x:c r="B62" s="6" t="d">
        <x:v>2025-08-26T00:00:00.000Z</x:v>
      </x:c>
      <x:c r="C62" s="6" t="d">
        <x:v>2025-08-27T00:00:00.000Z</x:v>
      </x:c>
      <x:c r="D62" s="7" t="str">
        <x:v>002217</x:v>
      </x:c>
      <x:c r="E62" s="2" t="n">
        <x:v>1</x:v>
      </x:c>
      <x:c r="F62" s="11" t="n">
        <x:v>0.766070378575499</x:v>
      </x:c>
      <x:c r="G62" s="2" t="str">
        <x:v>五分最高涨幅&gt;=6% 且 五分最低涨幅&gt;=-3%</x:v>
      </x:c>
      <x:c r="H62" s="2" t="str">
        <x:v>09:36</x:v>
      </x:c>
      <x:c r="I62" s="2" t="str">
        <x:v>余款全买</x:v>
      </x:c>
      <x:c r="J62" s="8" t="n">
        <x:v>487929.93623035075</x:v>
      </x:c>
      <x:c r="K62" s="12" t="n">
        <x:v>3.9</x:v>
      </x:c>
      <x:c r="L62" s="8" t="n">
        <x:v>124985.25480426005</x:v>
      </x:c>
      <x:c r="M62" s="6" t="d">
        <x:v>2025-08-28T00:00:00.000Z</x:v>
      </x:c>
      <x:c r="N62" s="12" t="n">
        <x:v>3.9</x:v>
      </x:c>
      <x:c r="O62" s="8" t="n">
        <x:v>486955.05124287755</x:v>
      </x:c>
      <x:c r="P62" s="8" t="n">
        <x:v>487.4424937365693</x:v>
      </x:c>
      <x:c r="Q62" s="8" t="n">
        <x:v>487.4424937366142</x:v>
      </x:c>
      <x:c r="R62" s="8" t="n">
        <x:f>O62-J62</x:f>
        <x:v>-974.8849874731968</x:v>
      </x:c>
      <x:c r="S62" s="9" t="n">
        <x:f>R62/J62</x:f>
        <x:v>-0.0019980019980019334</x:v>
      </x:c>
      <x:c r="T62" s="2" t="n">
        <x:v>0</x:v>
      </x:c>
      <x:c r="U62" s="9" t="n">
        <x:v>0.07258064516129</x:v>
      </x:c>
      <x:c r="V62" s="9" t="n">
        <x:v>-0.005376344086022</x:v>
      </x:c>
      <x:c r="W62" s="9" t="n">
        <x:v>0.024193548387097</x:v>
      </x:c>
      <x:c r="X62" s="9" t="n">
        <x:v>-0.002557544757033</x:v>
      </x:c>
    </x:row>
    <x:row r="63">
      <x:c r="A63" s="2" t="str">
        <x:v>形态过滤</x:v>
      </x:c>
      <x:c r="B63" s="6" t="d">
        <x:v>2025-08-28T00:00:00.000Z</x:v>
      </x:c>
      <x:c r="C63" s="6" t="d">
        <x:v>2025-08-29T00:00:00.000Z</x:v>
      </x:c>
      <x:c r="D63" s="7" t="str">
        <x:v>605188</x:v>
      </x:c>
      <x:c r="E63" s="2" t="n">
        <x:v>1</x:v>
      </x:c>
      <x:c r="F63" s="11" t="n">
        <x:v>0.7412736143819656</x:v>
      </x:c>
      <x:c r="G63" s="2" t="str">
        <x:v>五分最高涨幅&gt;=6% 且 五分最低涨幅&gt;=-3%</x:v>
      </x:c>
      <x:c r="H63" s="2" t="str">
        <x:v>09:36</x:v>
      </x:c>
      <x:c r="I63" s="2" t="str">
        <x:v>空仓半买</x:v>
      </x:c>
      <x:c r="J63" s="8" t="n">
        <x:v>499424.2506682343</x:v>
      </x:c>
      <x:c r="K63" s="12" t="n">
        <x:v>19.55</x:v>
      </x:c>
      <x:c r="L63" s="8" t="n">
        <x:v>25520.47699963639</x:v>
      </x:c>
      <x:c r="M63" s="6" t="d">
        <x:v>2025-09-01T00:00:00.000Z</x:v>
      </x:c>
      <x:c r="N63" s="12" t="n">
        <x:v>19.86</x:v>
      </x:c>
      <x:c r="O63" s="8" t="n">
        <x:v>506329.83653956593</x:v>
      </x:c>
      <x:c r="P63" s="8" t="n">
        <x:v>498.92532534286147</x:v>
      </x:c>
      <x:c r="Q63" s="8" t="n">
        <x:v>506.8366732127787</x:v>
      </x:c>
      <x:c r="R63" s="8" t="n">
        <x:f>O63-J63</x:f>
        <x:v>6905.585871331627</x:v>
      </x:c>
      <x:c r="S63" s="9" t="n">
        <x:f>R63/J63</x:f>
        <x:v>0.013827093622490074</x:v>
      </x:c>
      <x:c r="T63" s="2" t="n">
        <x:v>1</x:v>
      </x:c>
      <x:c r="U63" s="9" t="n">
        <x:v>0.100054083288264</x:v>
      </x:c>
      <x:c r="V63" s="9" t="n">
        <x:v>0.017306652244456</x:v>
      </x:c>
      <x:c r="W63" s="9" t="n">
        <x:v>0.045429962141698</x:v>
      </x:c>
      <x:c r="X63" s="9" t="n">
        <x:v>0.036682615629984</x:v>
      </x:c>
    </x:row>
    <x:row r="64">
      <x:c r="A64" s="2" t="str">
        <x:v>不加形态</x:v>
      </x:c>
      <x:c r="B64" s="6" t="d">
        <x:v>2025-05-06T00:00:00.000Z</x:v>
      </x:c>
      <x:c r="C64" s="6" t="d">
        <x:v>2025-05-07T00:00:00.000Z</x:v>
      </x:c>
      <x:c r="D64" s="7" t="str">
        <x:v>603586</x:v>
      </x:c>
      <x:c r="E64" s="2" t="n">
        <x:v>2</x:v>
      </x:c>
      <x:c r="F64" s="11" t="n">
        <x:v>0.71826675987459</x:v>
      </x:c>
      <x:c r="G64" s="2" t="str">
        <x:v>全部保留</x:v>
      </x:c>
      <x:c r="H64" s="2" t="str">
        <x:v>09:36</x:v>
      </x:c>
      <x:c r="I64" s="2" t="str">
        <x:v>空仓半买</x:v>
      </x:c>
      <x:c r="J64" s="8" t="n">
        <x:v>500000</x:v>
      </x:c>
      <x:c r="K64" s="12" t="n">
        <x:v>19.23</x:v>
      </x:c>
      <x:c r="L64" s="8" t="n">
        <x:v>25975.064976625043</x:v>
      </x:c>
      <x:c r="M64" s="6" t="d">
        <x:v>2025-05-08T00:00:00.000Z</x:v>
      </x:c>
      <x:c r="N64" s="12" t="n">
        <x:v>17.06</x:v>
      </x:c>
      <x:c r="O64" s="8" t="n">
        <x:v>442691.473892722</x:v>
      </x:c>
      <x:c r="P64" s="8" t="n">
        <x:v>499.5004995004274</x:v>
      </x:c>
      <x:c r="Q64" s="8" t="n">
        <x:v>443.1346085012232</x:v>
      </x:c>
      <x:c r="R64" s="8" t="n">
        <x:f>O64-J64</x:f>
        <x:v>-57308.52610727801</x:v>
      </x:c>
      <x:c r="S64" s="9" t="n">
        <x:f>R64/J64</x:f>
        <x:v>-0.11461705221455602</x:v>
      </x:c>
      <x:c r="T64" s="2" t="n">
        <x:v>0</x:v>
      </x:c>
      <x:c r="U64" s="9" t="n">
        <x:v>0.100053792361485</x:v>
      </x:c>
      <x:c r="V64" s="9" t="n">
        <x:v>0.015599784830554</x:v>
      </x:c>
      <x:c r="W64" s="9" t="n">
        <x:v>0.066164604626143</x:v>
      </x:c>
      <x:c r="X64" s="9" t="n">
        <x:v>-0.060146699266504</x:v>
      </x:c>
    </x:row>
    <x:row r="65">
      <x:c r="A65" s="2" t="str">
        <x:v>不加形态</x:v>
      </x:c>
      <x:c r="B65" s="6" t="d">
        <x:v>2025-05-07T00:00:00.000Z</x:v>
      </x:c>
      <x:c r="C65" s="6" t="d">
        <x:v>2025-05-08T00:00:00.000Z</x:v>
      </x:c>
      <x:c r="D65" s="7" t="str">
        <x:v>600410</x:v>
      </x:c>
      <x:c r="E65" s="2" t="n">
        <x:v>2</x:v>
      </x:c>
      <x:c r="F65" s="11" t="n">
        <x:v>0.7736169874332208</x:v>
      </x:c>
      <x:c r="G65" s="2" t="str">
        <x:v>全部保留</x:v>
      </x:c>
      <x:c r="H65" s="2" t="str">
        <x:v>09:36</x:v>
      </x:c>
      <x:c r="I65" s="2" t="str">
        <x:v>余款全买</x:v>
      </x:c>
      <x:c r="J65" s="8" t="n">
        <x:v>500000</x:v>
      </x:c>
      <x:c r="K65" s="12" t="n">
        <x:v>11.2</x:v>
      </x:c>
      <x:c r="L65" s="8" t="n">
        <x:v>44598.258883973176</x:v>
      </x:c>
      <x:c r="M65" s="6" t="d">
        <x:v>2025-05-09T00:00:00.000Z</x:v>
      </x:c>
      <x:c r="N65" s="12" t="n">
        <x:v>9.98</x:v>
      </x:c>
      <x:c r="O65" s="8" t="n">
        <x:v>444645.5330383903</x:v>
      </x:c>
      <x:c r="P65" s="8" t="n">
        <x:v>499.5004995004274</x:v>
      </x:c>
      <x:c r="Q65" s="8" t="n">
        <x:v>445.09062366205234</x:v>
      </x:c>
      <x:c r="R65" s="8" t="n">
        <x:f>O65-J65</x:f>
        <x:v>-55354.46696160972</x:v>
      </x:c>
      <x:c r="S65" s="9" t="n">
        <x:f>R65/J65</x:f>
        <x:v>-0.11070893392321944</x:v>
      </x:c>
      <x:c r="T65" s="2" t="n">
        <x:v>0</x:v>
      </x:c>
      <x:c r="U65" s="9" t="n">
        <x:v>0.027272727272727</x:v>
      </x:c>
      <x:c r="V65" s="9" t="n">
        <x:v>-0.015454545454545</x:v>
      </x:c>
      <x:c r="W65" s="9" t="n">
        <x:v>0.009090909090909</x:v>
      </x:c>
      <x:c r="X65" s="9" t="n">
        <x:v>-0.00709219858156</x:v>
      </x:c>
    </x:row>
    <x:row r="66">
      <x:c r="A66" s="2" t="str">
        <x:v>不加形态</x:v>
      </x:c>
      <x:c r="B66" s="6" t="d">
        <x:v>2025-05-08T00:00:00.000Z</x:v>
      </x:c>
      <x:c r="C66" s="6" t="d">
        <x:v>2025-05-09T00:00:00.000Z</x:v>
      </x:c>
      <x:c r="D66" s="7" t="str">
        <x:v>002490</x:v>
      </x:c>
      <x:c r="E66" s="2" t="n">
        <x:v>1</x:v>
      </x:c>
      <x:c r="F66" s="11" t="n">
        <x:v>0.7421351214028248</x:v>
      </x:c>
      <x:c r="G66" s="2" t="str">
        <x:v>全部保留</x:v>
      </x:c>
      <x:c r="H66" s="2" t="str">
        <x:v>09:36</x:v>
      </x:c>
      <x:c r="I66" s="2" t="str">
        <x:v>余款全买</x:v>
      </x:c>
      <x:c r="J66" s="8" t="n">
        <x:v>442691.473892722</x:v>
      </x:c>
      <x:c r="K66" s="12" t="n">
        <x:v>5.38</x:v>
      </x:c>
      <x:c r="L66" s="8" t="n">
        <x:v>82202.45811673866</x:v>
      </x:c>
      <x:c r="M66" s="6" t="d">
        <x:v>2025-05-12T00:00:00.000Z</x:v>
      </x:c>
      <x:c r="N66" s="12" t="n">
        <x:v>4.64</x:v>
      </x:c>
      <x:c r="O66" s="8" t="n">
        <x:v>381037.9862560057</x:v>
      </x:c>
      <x:c r="P66" s="8" t="n">
        <x:v>442.24922466801945</x:v>
      </x:c>
      <x:c r="Q66" s="8" t="n">
        <x:v>381.4194056616674</x:v>
      </x:c>
      <x:c r="R66" s="8" t="n">
        <x:f>O66-J66</x:f>
        <x:v>-61653.48763671628</x:v>
      </x:c>
      <x:c r="S66" s="9" t="n">
        <x:f>R66/J66</x:f>
        <x:v>-0.1392696522808046</x:v>
      </x:c>
      <x:c r="T66" s="2" t="n">
        <x:v>0</x:v>
      </x:c>
      <x:c r="U66" s="9" t="n">
        <x:v>0.053130929791271</x:v>
      </x:c>
      <x:c r="V66" s="9" t="n">
        <x:v>-0.003795066413662</x:v>
      </x:c>
      <x:c r="W66" s="9" t="n">
        <x:v>0.032258064516129</x:v>
      </x:c>
      <x:c r="X66" s="9" t="n">
        <x:v>0.020872865275142</x:v>
      </x:c>
    </x:row>
    <x:row r="67">
      <x:c r="A67" s="2" t="str">
        <x:v>不加形态</x:v>
      </x:c>
      <x:c r="B67" s="6" t="d">
        <x:v>2025-05-09T00:00:00.000Z</x:v>
      </x:c>
      <x:c r="C67" s="6" t="d">
        <x:v>2025-05-12T00:00:00.000Z</x:v>
      </x:c>
      <x:c r="D67" s="7" t="str">
        <x:v>603912</x:v>
      </x:c>
      <x:c r="E67" s="2" t="n">
        <x:v>2</x:v>
      </x:c>
      <x:c r="F67" s="11" t="n">
        <x:v>0.766814819855272</x:v>
      </x:c>
      <x:c r="G67" s="2" t="str">
        <x:v>全部保留</x:v>
      </x:c>
      <x:c r="H67" s="2" t="str">
        <x:v>09:36</x:v>
      </x:c>
      <x:c r="I67" s="2" t="str">
        <x:v>余款全买</x:v>
      </x:c>
      <x:c r="J67" s="8" t="n">
        <x:v>444645.5330383903</x:v>
      </x:c>
      <x:c r="K67" s="12" t="n">
        <x:v>9.76</x:v>
      </x:c>
      <x:c r="L67" s="8" t="n">
        <x:v>45512.431527324145</x:v>
      </x:c>
      <x:c r="M67" s="6" t="d">
        <x:v>2025-05-13T00:00:00.000Z</x:v>
      </x:c>
      <x:c r="N67" s="12" t="n">
        <x:v>10.2</x:v>
      </x:c>
      <x:c r="O67" s="8" t="n">
        <x:v>463762.57477712753</x:v>
      </x:c>
      <x:c r="P67" s="8" t="n">
        <x:v>444.2013317066594</x:v>
      </x:c>
      <x:c r="Q67" s="8" t="n">
        <x:v>464.2268015787063</x:v>
      </x:c>
      <x:c r="R67" s="8" t="n">
        <x:f>O67-J67</x:f>
        <x:v>19117.041738737258</x:v>
      </x:c>
      <x:c r="S67" s="9" t="n">
        <x:f>R67/J67</x:f>
        <x:v>0.042993891354547155</x:v>
      </x:c>
      <x:c r="T67" s="2" t="n">
        <x:v>0</x:v>
      </x:c>
      <x:c r="U67" s="9" t="n">
        <x:v>-0.034146341463415</x:v>
      </x:c>
      <x:c r="V67" s="9" t="n">
        <x:v>-0.070243902439024</x:v>
      </x:c>
      <x:c r="W67" s="9" t="n">
        <x:v>0.014634146341463</x:v>
      </x:c>
      <x:c r="X67" s="9" t="n">
        <x:v>-0.015151515151515</x:v>
      </x:c>
    </x:row>
    <x:row r="68">
      <x:c r="A68" s="2" t="str">
        <x:v>不加形态</x:v>
      </x:c>
      <x:c r="B68" s="6" t="d">
        <x:v>2025-05-12T00:00:00.000Z</x:v>
      </x:c>
      <x:c r="C68" s="6" t="d">
        <x:v>2025-05-13T00:00:00.000Z</x:v>
      </x:c>
      <x:c r="D68" s="7" t="str">
        <x:v>000559</x:v>
      </x:c>
      <x:c r="E68" s="2" t="n">
        <x:v>2</x:v>
      </x:c>
      <x:c r="F68" s="11" t="n">
        <x:v>0.6856934366188223</x:v>
      </x:c>
      <x:c r="G68" s="2" t="str">
        <x:v>全部保留</x:v>
      </x:c>
      <x:c r="H68" s="2" t="str">
        <x:v>09:36</x:v>
      </x:c>
      <x:c r="I68" s="2" t="str">
        <x:v>余款全买</x:v>
      </x:c>
      <x:c r="J68" s="8" t="n">
        <x:v>381037.9862560057</x:v>
      </x:c>
      <x:c r="K68" s="12" t="n">
        <x:v>9.5</x:v>
      </x:c>
      <x:c r="L68" s="8" t="n">
        <x:v>40069.192518639866</x:v>
      </x:c>
      <x:c r="M68" s="6" t="d">
        <x:v>2025-05-14T00:00:00.000Z</x:v>
      </x:c>
      <x:c r="N68" s="12" t="n">
        <x:v>9</x:v>
      </x:c>
      <x:c r="O68" s="8" t="n">
        <x:v>360262.109935091</x:v>
      </x:c>
      <x:c r="P68" s="8" t="n">
        <x:v>380.65732892701635</x:v>
      </x:c>
      <x:c r="Q68" s="8" t="n">
        <x:v>360.6227326677588</x:v>
      </x:c>
      <x:c r="R68" s="8" t="n">
        <x:f>O68-J68</x:f>
        <x:v>-20775.876320914715</x:v>
      </x:c>
      <x:c r="S68" s="9" t="n">
        <x:f>R68/J68</x:f>
        <x:v>-0.054524422945475444</x:v>
      </x:c>
      <x:c r="T68" s="2" t="n">
        <x:v>0</x:v>
      </x:c>
      <x:c r="U68" s="9" t="n">
        <x:v>0.049568965517242</x:v>
      </x:c>
      <x:c r="V68" s="9" t="n">
        <x:v>0</x:v>
      </x:c>
      <x:c r="W68" s="9" t="n">
        <x:v>0.025862068965517</x:v>
      </x:c>
      <x:c r="X68" s="9" t="n">
        <x:v>-0.005235602094241</x:v>
      </x:c>
    </x:row>
    <x:row r="69">
      <x:c r="A69" s="2" t="str">
        <x:v>不加形态</x:v>
      </x:c>
      <x:c r="B69" s="6" t="d">
        <x:v>2025-05-13T00:00:00.000Z</x:v>
      </x:c>
      <x:c r="C69" s="6" t="d">
        <x:v>2025-05-14T00:00:00.000Z</x:v>
      </x:c>
      <x:c r="D69" s="7" t="str">
        <x:v>605055</x:v>
      </x:c>
      <x:c r="E69" s="2" t="n">
        <x:v>1</x:v>
      </x:c>
      <x:c r="F69" s="11" t="n">
        <x:v>0.8081499654829787</x:v>
      </x:c>
      <x:c r="G69" s="2" t="str">
        <x:v>全部保留</x:v>
      </x:c>
      <x:c r="H69" s="2" t="str">
        <x:v>09:36</x:v>
      </x:c>
      <x:c r="I69" s="2" t="str">
        <x:v>余款全买</x:v>
      </x:c>
      <x:c r="J69" s="8" t="n">
        <x:v>463762.57477712753</x:v>
      </x:c>
      <x:c r="K69" s="12" t="n">
        <x:v>7.49</x:v>
      </x:c>
      <x:c r="L69" s="8" t="n">
        <x:v>61855.71101490333</x:v>
      </x:c>
      <x:c r="M69" s="6" t="d">
        <x:v>2025-05-15T00:00:00.000Z</x:v>
      </x:c>
      <x:c r="N69" s="12" t="n">
        <x:v>9.31</x:v>
      </x:c>
      <x:c r="O69" s="8" t="n">
        <x:v>575300.7928792012</x:v>
      </x:c>
      <x:c r="P69" s="8" t="n">
        <x:v>463.299275501573</x:v>
      </x:c>
      <x:c r="Q69" s="8" t="n">
        <x:v>575.8766695487501</x:v>
      </x:c>
      <x:c r="R69" s="8" t="n">
        <x:f>O69-J69</x:f>
        <x:v>111538.2181020737</x:v>
      </x:c>
      <x:c r="S69" s="9" t="n">
        <x:f>R69/J69</x:f>
        <x:v>0.24050715639500692</x:v>
      </x:c>
      <x:c r="T69" s="2" t="n">
        <x:v>1</x:v>
      </x:c>
      <x:c r="U69" s="9" t="n">
        <x:v>0.001300390117035</x:v>
      </x:c>
      <x:c r="V69" s="9" t="n">
        <x:v>-0.081924577373212</x:v>
      </x:c>
      <x:c r="W69" s="9" t="n">
        <x:v>0.026007802340702</x:v>
      </x:c>
      <x:c r="X69" s="9" t="n">
        <x:v>-0.024707412223667</x:v>
      </x:c>
    </x:row>
    <x:row r="70">
      <x:c r="A70" s="2" t="str">
        <x:v>不加形态</x:v>
      </x:c>
      <x:c r="B70" s="6" t="d">
        <x:v>2025-05-14T00:00:00.000Z</x:v>
      </x:c>
      <x:c r="C70" s="6" t="d">
        <x:v>2025-05-15T00:00:00.000Z</x:v>
      </x:c>
      <x:c r="D70" s="7" t="str">
        <x:v>603332</x:v>
      </x:c>
      <x:c r="E70" s="2" t="n">
        <x:v>3</x:v>
      </x:c>
      <x:c r="F70" s="11" t="n">
        <x:v>0.7329461428838403</x:v>
      </x:c>
      <x:c r="G70" s="2" t="str">
        <x:v>全部保留</x:v>
      </x:c>
      <x:c r="H70" s="2" t="str">
        <x:v>09:36</x:v>
      </x:c>
      <x:c r="I70" s="2" t="str">
        <x:v>余款全买</x:v>
      </x:c>
      <x:c r="J70" s="8" t="n">
        <x:v>360262.109935091</x:v>
      </x:c>
      <x:c r="K70" s="12" t="n">
        <x:v>13.73</x:v>
      </x:c>
      <x:c r="L70" s="8" t="n">
        <x:v>26212.833774753362</x:v>
      </x:c>
      <x:c r="M70" s="6" t="d">
        <x:v>2025-05-16T00:00:00.000Z</x:v>
      </x:c>
      <x:c r="N70" s="12" t="n">
        <x:v>14.69</x:v>
      </x:c>
      <x:c r="O70" s="8" t="n">
        <x:v>384681.46162297577</x:v>
      </x:c>
      <x:c r="P70" s="8" t="n">
        <x:v>359.9022077273112</x:v>
      </x:c>
      <x:c r="Q70" s="8" t="n">
        <x:v>385.0665281511269</x:v>
      </x:c>
      <x:c r="R70" s="8" t="n">
        <x:f>O70-J70</x:f>
        <x:v>24419.351687884773</x:v>
      </x:c>
      <x:c r="S70" s="9" t="n">
        <x:f>R70/J70</x:f>
        <x:v>0.06778218140199214</x:v>
      </x:c>
      <x:c r="T70" s="2" t="n">
        <x:v>1</x:v>
      </x:c>
      <x:c r="U70" s="9" t="n">
        <x:v>-0.030640668523677</x:v>
      </x:c>
      <x:c r="V70" s="9" t="n">
        <x:v>-0.08008356545961</x:v>
      </x:c>
      <x:c r="W70" s="9" t="n">
        <x:v>0.013231197771588</x:v>
      </x:c>
      <x:c r="X70" s="9" t="n">
        <x:v>0.005860805860806</x:v>
      </x:c>
    </x:row>
    <x:row r="71">
      <x:c r="A71" s="2" t="str">
        <x:v>不加形态</x:v>
      </x:c>
      <x:c r="B71" s="6" t="d">
        <x:v>2025-05-15T00:00:00.000Z</x:v>
      </x:c>
      <x:c r="C71" s="6" t="d">
        <x:v>2025-05-16T00:00:00.000Z</x:v>
      </x:c>
      <x:c r="D71" s="7" t="str">
        <x:v>002040</x:v>
      </x:c>
      <x:c r="E71" s="2" t="n">
        <x:v>2</x:v>
      </x:c>
      <x:c r="F71" s="11" t="n">
        <x:v>0.7963617795803033</x:v>
      </x:c>
      <x:c r="G71" s="2" t="str">
        <x:v>全部保留</x:v>
      </x:c>
      <x:c r="H71" s="2" t="str">
        <x:v>09:37</x:v>
      </x:c>
      <x:c r="I71" s="2" t="str">
        <x:v>余款全买</x:v>
      </x:c>
      <x:c r="J71" s="8" t="n">
        <x:v>575300.7928792012</x:v>
      </x:c>
      <x:c r="K71" s="12" t="n">
        <x:v>10.21</x:v>
      </x:c>
      <x:c r="L71" s="8" t="n">
        <x:v>56290.506054102734</x:v>
      </x:c>
      <x:c r="M71" s="6" t="d">
        <x:v>2025-05-19T00:00:00.000Z</x:v>
      </x:c>
      <x:c r="N71" s="12" t="n">
        <x:v>11.25</x:v>
      </x:c>
      <x:c r="O71" s="8" t="n">
        <x:v>632634.9249155471</x:v>
      </x:c>
      <x:c r="P71" s="8" t="n">
        <x:v>574.7260668122908</x:v>
      </x:c>
      <x:c r="Q71" s="8" t="n">
        <x:v>633.2681931086557</x:v>
      </x:c>
      <x:c r="R71" s="8" t="n">
        <x:f>O71-J71</x:f>
        <x:v>57334.132036345894</x:v>
      </x:c>
      <x:c r="S71" s="9" t="n">
        <x:f>R71/J71</x:f>
        <x:v>0.09965940034500287</x:v>
      </x:c>
      <x:c r="T71" s="2" t="n">
        <x:v>1</x:v>
      </x:c>
      <x:c r="U71" s="9" t="n">
        <x:v>0.1</x:v>
      </x:c>
      <x:c r="V71" s="9" t="n">
        <x:v>0.035483870967742</x:v>
      </x:c>
      <x:c r="W71" s="9" t="n">
        <x:v>0</x:v>
      </x:c>
      <x:c r="X71" s="9" t="n">
        <x:v>0.062305295950156</x:v>
      </x:c>
    </x:row>
    <x:row r="72">
      <x:c r="A72" s="2" t="str">
        <x:v>不加形态</x:v>
      </x:c>
      <x:c r="B72" s="6" t="d">
        <x:v>2025-05-16T00:00:00.000Z</x:v>
      </x:c>
      <x:c r="C72" s="6" t="d">
        <x:v>2025-05-19T00:00:00.000Z</x:v>
      </x:c>
      <x:c r="D72" s="7" t="str">
        <x:v>601022</x:v>
      </x:c>
      <x:c r="E72" s="2" t="n">
        <x:v>2</x:v>
      </x:c>
      <x:c r="F72" s="11" t="n">
        <x:v>0.7583809301266186</x:v>
      </x:c>
      <x:c r="G72" s="2" t="str">
        <x:v>全部保留</x:v>
      </x:c>
      <x:c r="H72" s="2" t="str">
        <x:v>09:36</x:v>
      </x:c>
      <x:c r="I72" s="2" t="str">
        <x:v>余款全买</x:v>
      </x:c>
      <x:c r="J72" s="8" t="n">
        <x:v>384681.46162297577</x:v>
      </x:c>
      <x:c r="K72" s="12" t="n">
        <x:v>12.38</x:v>
      </x:c>
      <x:c r="L72" s="8" t="n">
        <x:v>31041.77418889477</x:v>
      </x:c>
      <x:c r="M72" s="6" t="d">
        <x:v>2025-05-20T00:00:00.000Z</x:v>
      </x:c>
      <x:c r="N72" s="12" t="n">
        <x:v>11.55</x:v>
      </x:c>
      <x:c r="O72" s="8" t="n">
        <x:v>358173.9593898529</x:v>
      </x:c>
      <x:c r="P72" s="8" t="n">
        <x:v>384.29716445849044</x:v>
      </x:c>
      <x:c r="Q72" s="8" t="n">
        <x:v>358.53249188173464</x:v>
      </x:c>
      <x:c r="R72" s="8" t="n">
        <x:f>O72-J72</x:f>
        <x:v>-26507.502233122883</x:v>
      </x:c>
      <x:c r="S72" s="9" t="n">
        <x:f>R72/J72</x:f>
        <x:v>-0.06890766745370938</x:v>
      </x:c>
      <x:c r="T72" s="2" t="n">
        <x:v>0</x:v>
      </x:c>
      <x:c r="U72" s="9" t="n">
        <x:v>0.035159443990188</x:v>
      </x:c>
      <x:c r="V72" s="9" t="n">
        <x:v>-0.051512673753066</x:v>
      </x:c>
      <x:c r="W72" s="9" t="n">
        <x:v>0.021259198691742</x:v>
      </x:c>
      <x:c r="X72" s="9" t="n">
        <x:v>0.013900245298446</x:v>
      </x:c>
    </x:row>
    <x:row r="73">
      <x:c r="A73" s="2" t="str">
        <x:v>不加形态</x:v>
      </x:c>
      <x:c r="B73" s="6" t="d">
        <x:v>2025-05-19T00:00:00.000Z</x:v>
      </x:c>
      <x:c r="C73" s="6" t="d">
        <x:v>2025-05-20T00:00:00.000Z</x:v>
      </x:c>
      <x:c r="D73" s="7" t="str">
        <x:v>600281</x:v>
      </x:c>
      <x:c r="E73" s="2" t="n">
        <x:v>3</x:v>
      </x:c>
      <x:c r="F73" s="11" t="n">
        <x:v>0.7112793947588365</x:v>
      </x:c>
      <x:c r="G73" s="2" t="str">
        <x:v>全部保留</x:v>
      </x:c>
      <x:c r="H73" s="2" t="str">
        <x:v>09:36</x:v>
      </x:c>
      <x:c r="I73" s="2" t="str">
        <x:v>余款全买</x:v>
      </x:c>
      <x:c r="J73" s="8" t="n">
        <x:v>632634.9249155471</x:v>
      </x:c>
      <x:c r="K73" s="12" t="n">
        <x:v>6.1</x:v>
      </x:c>
      <x:c r="L73" s="8" t="n">
        <x:v>103607.03639238585</x:v>
      </x:c>
      <x:c r="M73" s="6" t="d">
        <x:v>2025-05-21T00:00:00.000Z</x:v>
      </x:c>
      <x:c r="N73" s="12" t="n">
        <x:v>5.41</x:v>
      </x:c>
      <x:c r="O73" s="8" t="n">
        <x:v>559953.5528159247</x:v>
      </x:c>
      <x:c r="P73" s="8" t="n">
        <x:v>632.002921993495</x:v>
      </x:c>
      <x:c r="Q73" s="8" t="n">
        <x:v>560.5140668828076</x:v>
      </x:c>
      <x:c r="R73" s="8" t="n">
        <x:f>O73-J73</x:f>
        <x:v>-72681.37209962239</x:v>
      </x:c>
      <x:c r="S73" s="9" t="n">
        <x:f>R73/J73</x:f>
        <x:v>-0.1148867525916703</x:v>
      </x:c>
      <x:c r="T73" s="2" t="n">
        <x:v>0</x:v>
      </x:c>
      <x:c r="U73" s="9" t="n">
        <x:v>0.098920863309353</x:v>
      </x:c>
      <x:c r="V73" s="9" t="n">
        <x:v>0.005395683453237</x:v>
      </x:c>
      <x:c r="W73" s="9" t="n">
        <x:v>0</x:v>
      </x:c>
      <x:c r="X73" s="9" t="n">
        <x:v>0.071929824561404</x:v>
      </x:c>
    </x:row>
    <x:row r="74">
      <x:c r="A74" s="2" t="str">
        <x:v>不加形态</x:v>
      </x:c>
      <x:c r="B74" s="6" t="d">
        <x:v>2025-05-20T00:00:00.000Z</x:v>
      </x:c>
      <x:c r="C74" s="6" t="d">
        <x:v>2025-05-21T00:00:00.000Z</x:v>
      </x:c>
      <x:c r="D74" s="7" t="str">
        <x:v>002735</x:v>
      </x:c>
      <x:c r="E74" s="2" t="n">
        <x:v>2</x:v>
      </x:c>
      <x:c r="F74" s="11" t="n">
        <x:v>0.8056469612076429</x:v>
      </x:c>
      <x:c r="G74" s="2" t="str">
        <x:v>全部保留</x:v>
      </x:c>
      <x:c r="H74" s="2" t="str">
        <x:v>09:36</x:v>
      </x:c>
      <x:c r="I74" s="2" t="str">
        <x:v>余款全买</x:v>
      </x:c>
      <x:c r="J74" s="8" t="n">
        <x:v>358173.9593898529</x:v>
      </x:c>
      <x:c r="K74" s="12" t="n">
        <x:v>14.93</x:v>
      </x:c>
      <x:c r="L74" s="8" t="n">
        <x:v>23966.252059384216</x:v>
      </x:c>
      <x:c r="M74" s="6" t="d">
        <x:v>2025-05-22T00:00:00.000Z</x:v>
      </x:c>
      <x:c r="N74" s="12" t="n">
        <x:v>17.24</x:v>
      </x:c>
      <x:c r="O74" s="8" t="n">
        <x:v>412765.0073182801</x:v>
      </x:c>
      <x:c r="P74" s="8" t="n">
        <x:v>357.8161432465422</x:v>
      </x:c>
      <x:c r="Q74" s="8" t="n">
        <x:v>413.1781855037839</x:v>
      </x:c>
      <x:c r="R74" s="8" t="n">
        <x:f>O74-J74</x:f>
        <x:v>54591.04792842723</x:v>
      </x:c>
      <x:c r="S74" s="9" t="n">
        <x:f>R74/J74</x:f>
        <x:v>0.15241489923338575</x:v>
      </x:c>
      <x:c r="T74" s="2" t="n">
        <x:v>1</x:v>
      </x:c>
      <x:c r="U74" s="9" t="n">
        <x:v>0.035386631716907</x:v>
      </x:c>
      <x:c r="V74" s="9" t="n">
        <x:v>-0.043250327653997</x:v>
      </x:c>
      <x:c r="W74" s="9" t="n">
        <x:v>0.055701179554391</x:v>
      </x:c>
      <x:c r="X74" s="9" t="n">
        <x:v>-0.033613445378151</x:v>
      </x:c>
    </x:row>
    <x:row r="75">
      <x:c r="A75" s="2" t="str">
        <x:v>不加形态</x:v>
      </x:c>
      <x:c r="B75" s="6" t="d">
        <x:v>2025-05-21T00:00:00.000Z</x:v>
      </x:c>
      <x:c r="C75" s="6" t="d">
        <x:v>2025-05-22T00:00:00.000Z</x:v>
      </x:c>
      <x:c r="D75" s="7" t="str">
        <x:v>002510</x:v>
      </x:c>
      <x:c r="E75" s="2" t="n">
        <x:v>2</x:v>
      </x:c>
      <x:c r="F75" s="11" t="n">
        <x:v>0.8157358755293997</x:v>
      </x:c>
      <x:c r="G75" s="2" t="str">
        <x:v>全部保留</x:v>
      </x:c>
      <x:c r="H75" s="2" t="str">
        <x:v>09:36</x:v>
      </x:c>
      <x:c r="I75" s="2" t="str">
        <x:v>余款全买</x:v>
      </x:c>
      <x:c r="J75" s="8" t="n">
        <x:v>559953.5528159247</x:v>
      </x:c>
      <x:c r="K75" s="12" t="n">
        <x:v>8.68</x:v>
      </x:c>
      <x:c r="L75" s="8" t="n">
        <x:v>64446.33164254235</x:v>
      </x:c>
      <x:c r="M75" s="6" t="d">
        <x:v>2025-05-23T00:00:00.000Z</x:v>
      </x:c>
      <x:c r="N75" s="12" t="n">
        <x:v>7.41</x:v>
      </x:c>
      <x:c r="O75" s="8" t="n">
        <x:v>477069.77015376755</x:v>
      </x:c>
      <x:c r="P75" s="8" t="n">
        <x:v>559.3941586571746</x:v>
      </x:c>
      <x:c r="Q75" s="8" t="n">
        <x:v>477.5473174712388</x:v>
      </x:c>
      <x:c r="R75" s="8" t="n">
        <x:f>O75-J75</x:f>
        <x:v>-82883.7826621572</x:v>
      </x:c>
      <x:c r="S75" s="9" t="n">
        <x:f>R75/J75</x:f>
        <x:v>-0.14801903165958452</x:v>
      </x:c>
      <x:c r="T75" s="2" t="n">
        <x:v>0</x:v>
      </x:c>
      <x:c r="U75" s="9" t="n">
        <x:v>0.069657615112161</x:v>
      </x:c>
      <x:c r="V75" s="9" t="n">
        <x:v>0</x:v>
      </x:c>
      <x:c r="W75" s="9" t="n">
        <x:v>0.043683589138135</x:v>
      </x:c>
      <x:c r="X75" s="9" t="n">
        <x:v>0.011641443538999</x:v>
      </x:c>
    </x:row>
    <x:row r="76">
      <x:c r="A76" s="2" t="str">
        <x:v>不加形态</x:v>
      </x:c>
      <x:c r="B76" s="6" t="d">
        <x:v>2025-05-22T00:00:00.000Z</x:v>
      </x:c>
      <x:c r="C76" s="6" t="d">
        <x:v>2025-05-23T00:00:00.000Z</x:v>
      </x:c>
      <x:c r="D76" s="7" t="str">
        <x:v>002431</x:v>
      </x:c>
      <x:c r="E76" s="2" t="n">
        <x:v>1</x:v>
      </x:c>
      <x:c r="F76" s="11" t="n">
        <x:v>0.7793582058784181</x:v>
      </x:c>
      <x:c r="G76" s="2" t="str">
        <x:v>全部保留</x:v>
      </x:c>
      <x:c r="H76" s="2" t="str">
        <x:v>09:36</x:v>
      </x:c>
      <x:c r="I76" s="2" t="str">
        <x:v>余款全买</x:v>
      </x:c>
      <x:c r="J76" s="8" t="n">
        <x:v>412765.0073182801</x:v>
      </x:c>
      <x:c r="K76" s="12" t="n">
        <x:v>2.7</x:v>
      </x:c>
      <x:c r="L76" s="8" t="n">
        <x:v>152723.20543096907</x:v>
      </x:c>
      <x:c r="M76" s="6" t="d">
        <x:v>2025-05-26T00:00:00.000Z</x:v>
      </x:c>
      <x:c r="N76" s="12" t="n">
        <x:v>2.87</x:v>
      </x:c>
      <x:c r="O76" s="8" t="n">
        <x:v>437877.28398729436</x:v>
      </x:c>
      <x:c r="P76" s="8" t="n">
        <x:v>412.35265466355486</x:v>
      </x:c>
      <x:c r="Q76" s="8" t="n">
        <x:v>438.31559958688126</x:v>
      </x:c>
      <x:c r="R76" s="8" t="n">
        <x:f>O76-J76</x:f>
        <x:v>25112.276669014245</x:v>
      </x:c>
      <x:c r="S76" s="9" t="n">
        <x:f>R76/J76</x:f>
        <x:v>0.06083916083916084</x:v>
      </x:c>
      <x:c r="T76" s="2" t="n">
        <x:v>1</x:v>
      </x:c>
      <x:c r="U76" s="9" t="n">
        <x:v>-0.010344827586207</x:v>
      </x:c>
      <x:c r="V76" s="9" t="n">
        <x:v>-0.096551724137931</x:v>
      </x:c>
      <x:c r="W76" s="9" t="n">
        <x:v>0.058620689655172</x:v>
      </x:c>
      <x:c r="X76" s="9" t="n">
        <x:v>-0.059233449477352</x:v>
      </x:c>
    </x:row>
    <x:row r="77">
      <x:c r="A77" s="2" t="str">
        <x:v>不加形态</x:v>
      </x:c>
      <x:c r="B77" s="6" t="d">
        <x:v>2025-05-23T00:00:00.000Z</x:v>
      </x:c>
      <x:c r="C77" s="6" t="d">
        <x:v>2025-05-26T00:00:00.000Z</x:v>
      </x:c>
      <x:c r="D77" s="7" t="str">
        <x:v>002471</x:v>
      </x:c>
      <x:c r="E77" s="2" t="n">
        <x:v>2</x:v>
      </x:c>
      <x:c r="F77" s="11" t="n">
        <x:v>0.7572941553827948</x:v>
      </x:c>
      <x:c r="G77" s="2" t="str">
        <x:v>全部保留</x:v>
      </x:c>
      <x:c r="H77" s="2" t="str">
        <x:v>09:36</x:v>
      </x:c>
      <x:c r="I77" s="2" t="str">
        <x:v>余款全买</x:v>
      </x:c>
      <x:c r="J77" s="8" t="n">
        <x:v>477069.77015376755</x:v>
      </x:c>
      <x:c r="K77" s="12" t="n">
        <x:v>5.06</x:v>
      </x:c>
      <x:c r="L77" s="8" t="n">
        <x:v>94188.37489659898</x:v>
      </x:c>
      <x:c r="M77" s="6" t="d">
        <x:v>2025-05-27T00:00:00.000Z</x:v>
      </x:c>
      <x:c r="N77" s="12" t="n">
        <x:v>5.7</x:v>
      </x:c>
      <x:c r="O77" s="8" t="n">
        <x:v>536336.8631737035</x:v>
      </x:c>
      <x:c r="P77" s="8" t="n">
        <x:v>476.5931769767194</x:v>
      </x:c>
      <x:c r="Q77" s="8" t="n">
        <x:v>536.8737369106142</x:v>
      </x:c>
      <x:c r="R77" s="8" t="n">
        <x:f>O77-J77</x:f>
        <x:v>59267.093019936</x:v>
      </x:c>
      <x:c r="S77" s="9" t="n">
        <x:f>R77/J77</x:f>
        <x:v>0.12423149972557102</x:v>
      </x:c>
      <x:c r="T77" s="2" t="n">
        <x:v>1</x:v>
      </x:c>
      <x:c r="U77" s="9" t="n">
        <x:v>0.099787685774947</x:v>
      </x:c>
      <x:c r="V77" s="9" t="n">
        <x:v>0.044585987261146</x:v>
      </x:c>
      <x:c r="W77" s="9" t="n">
        <x:v>0.021231422505308</x:v>
      </x:c>
      <x:c r="X77" s="9" t="n">
        <x:v>0.018036072144288</x:v>
      </x:c>
    </x:row>
    <x:row r="78">
      <x:c r="A78" s="2" t="str">
        <x:v>不加形态</x:v>
      </x:c>
      <x:c r="B78" s="6" t="d">
        <x:v>2025-05-26T00:00:00.000Z</x:v>
      </x:c>
      <x:c r="C78" s="6" t="d">
        <x:v>2025-05-27T00:00:00.000Z</x:v>
      </x:c>
      <x:c r="D78" s="7" t="str">
        <x:v>603332</x:v>
      </x:c>
      <x:c r="E78" s="2" t="n">
        <x:v>2</x:v>
      </x:c>
      <x:c r="F78" s="11" t="n">
        <x:v>0.7468780857572436</x:v>
      </x:c>
      <x:c r="G78" s="2" t="str">
        <x:v>全部保留</x:v>
      </x:c>
      <x:c r="H78" s="2" t="str">
        <x:v>09:36</x:v>
      </x:c>
      <x:c r="I78" s="2" t="str">
        <x:v>余款全买</x:v>
      </x:c>
      <x:c r="J78" s="8" t="n">
        <x:v>437877.28398729436</x:v>
      </x:c>
      <x:c r="K78" s="12" t="n">
        <x:v>19.49</x:v>
      </x:c>
      <x:c r="L78" s="8" t="n">
        <x:v>22444.322429099604</x:v>
      </x:c>
      <x:c r="M78" s="6" t="d">
        <x:v>2025-05-28T00:00:00.000Z</x:v>
      </x:c>
      <x:c r="N78" s="12" t="n">
        <x:v>21</x:v>
      </x:c>
      <x:c r="O78" s="8" t="n">
        <x:v>470859.44024008064</x:v>
      </x:c>
      <x:c r="P78" s="8" t="n">
        <x:v>437.43984414311126</x:v>
      </x:c>
      <x:c r="Q78" s="8" t="n">
        <x:v>471.3307710110917</x:v>
      </x:c>
      <x:c r="R78" s="8" t="n">
        <x:f>O78-J78</x:f>
        <x:v>32982.156252786284</x:v>
      </x:c>
      <x:c r="S78" s="9" t="n">
        <x:f>R78/J78</x:f>
        <x:v>0.07532283006885397</x:v>
      </x:c>
      <x:c r="T78" s="2" t="n">
        <x:v>1</x:v>
      </x:c>
      <x:c r="U78" s="9" t="n">
        <x:v>0.099610461880913</x:v>
      </x:c>
      <x:c r="V78" s="9" t="n">
        <x:v>0.030606566499722</x:v>
      </x:c>
      <x:c r="W78" s="9" t="n">
        <x:v>0.011686143572621</x:v>
      </x:c>
      <x:c r="X78" s="9" t="n">
        <x:v>0.041555673947789</x:v>
      </x:c>
    </x:row>
    <x:row r="79">
      <x:c r="A79" s="2" t="str">
        <x:v>不加形态</x:v>
      </x:c>
      <x:c r="B79" s="6" t="d">
        <x:v>2025-05-27T00:00:00.000Z</x:v>
      </x:c>
      <x:c r="C79" s="6" t="d">
        <x:v>2025-05-28T00:00:00.000Z</x:v>
      </x:c>
      <x:c r="D79" s="7" t="str">
        <x:v>603333</x:v>
      </x:c>
      <x:c r="E79" s="2" t="n">
        <x:v>1</x:v>
      </x:c>
      <x:c r="F79" s="11" t="n">
        <x:v>0.7584203844164195</x:v>
      </x:c>
      <x:c r="G79" s="2" t="str">
        <x:v>全部保留</x:v>
      </x:c>
      <x:c r="H79" s="2" t="str">
        <x:v>09:36</x:v>
      </x:c>
      <x:c r="I79" s="2" t="str">
        <x:v>余款全买</x:v>
      </x:c>
      <x:c r="J79" s="8" t="n">
        <x:v>536336.8631737035</x:v>
      </x:c>
      <x:c r="K79" s="12" t="n">
        <x:v>8.64</x:v>
      </x:c>
      <x:c r="L79" s="8" t="n">
        <x:v>62014.0118184713</x:v>
      </x:c>
      <x:c r="M79" s="6" t="d">
        <x:v>2025-05-29T00:00:00.000Z</x:v>
      </x:c>
      <x:c r="N79" s="12" t="n">
        <x:v>9.96</x:v>
      </x:c>
      <x:c r="O79" s="8" t="n">
        <x:v>617041.8981542621</x:v>
      </x:c>
      <x:c r="P79" s="8" t="n">
        <x:v>535.80106211151</x:v>
      </x:c>
      <x:c r="Q79" s="8" t="n">
        <x:v>617.6595577119741</x:v>
      </x:c>
      <x:c r="R79" s="8" t="n">
        <x:f>O79-J79</x:f>
        <x:v>80705.03498055856</x:v>
      </x:c>
      <x:c r="S79" s="9" t="n">
        <x:f>R79/J79</x:f>
        <x:v>0.1504745254745255</x:v>
      </x:c>
      <x:c r="T79" s="2" t="n">
        <x:v>1</x:v>
      </x:c>
      <x:c r="U79" s="9" t="n">
        <x:v>0.099635479951397</x:v>
      </x:c>
      <x:c r="V79" s="9" t="n">
        <x:v>0.004860267314702</x:v>
      </x:c>
      <x:c r="W79" s="9" t="n">
        <x:v>0.051032806804374</x:v>
      </x:c>
      <x:c r="X79" s="9" t="n">
        <x:v>-0.046408839779006</x:v>
      </x:c>
    </x:row>
    <x:row r="80">
      <x:c r="A80" s="2" t="str">
        <x:v>不加形态</x:v>
      </x:c>
      <x:c r="B80" s="6" t="d">
        <x:v>2025-05-29T00:00:00.000Z</x:v>
      </x:c>
      <x:c r="C80" s="6" t="d">
        <x:v>2025-05-30T00:00:00.000Z</x:v>
      </x:c>
      <x:c r="D80" s="7" t="str">
        <x:v>603390</x:v>
      </x:c>
      <x:c r="E80" s="2" t="n">
        <x:v>1</x:v>
      </x:c>
      <x:c r="F80" s="11" t="n">
        <x:v>0.7812409948089033</x:v>
      </x:c>
      <x:c r="G80" s="2" t="str">
        <x:v>全部保留</x:v>
      </x:c>
      <x:c r="H80" s="2" t="str">
        <x:v>09:36</x:v>
      </x:c>
      <x:c r="I80" s="2" t="str">
        <x:v>空仓半买</x:v>
      </x:c>
      <x:c r="J80" s="8" t="n">
        <x:v>543950.6691971713</x:v>
      </x:c>
      <x:c r="K80" s="12" t="n">
        <x:v>19.23</x:v>
      </x:c>
      <x:c r="L80" s="8" t="n">
        <x:v>28258.3079529504</x:v>
      </x:c>
      <x:c r="M80" s="6" t="d">
        <x:v>2025-06-03T00:00:00.000Z</x:v>
      </x:c>
      <x:c r="N80" s="12" t="n">
        <x:v>16.71</x:v>
      </x:c>
      <x:c r="O80" s="8" t="n">
        <x:v>471724.12956790737</x:v>
      </x:c>
      <x:c r="P80" s="8" t="n">
        <x:v>543.4072619351791</x:v>
      </x:c>
      <x:c r="Q80" s="8" t="n">
        <x:v>472.1963258938012</x:v>
      </x:c>
      <x:c r="R80" s="8" t="n">
        <x:f>O80-J80</x:f>
        <x:v>-72226.53962926398</x:v>
      </x:c>
      <x:c r="S80" s="9" t="n">
        <x:f>R80/J80</x:f>
        <x:v>-0.13278141515270991</x:v>
      </x:c>
      <x:c r="T80" s="2" t="n">
        <x:v>0</x:v>
      </x:c>
      <x:c r="U80" s="9" t="n">
        <x:v>0.100227790432802</x:v>
      </x:c>
      <x:c r="V80" s="9" t="n">
        <x:v>0.053530751708428</x:v>
      </x:c>
      <x:c r="W80" s="9" t="n">
        <x:v>0.005125284738041</x:v>
      </x:c>
      <x:c r="X80" s="9" t="n">
        <x:v>0.022872340425532</x:v>
      </x:c>
    </x:row>
    <x:row r="81">
      <x:c r="A81" s="2" t="str">
        <x:v>不加形态</x:v>
      </x:c>
      <x:c r="B81" s="6" t="d">
        <x:v>2025-05-30T00:00:00.000Z</x:v>
      </x:c>
      <x:c r="C81" s="6" t="d">
        <x:v>2025-06-03T00:00:00.000Z</x:v>
      </x:c>
      <x:c r="D81" s="7" t="str">
        <x:v>002537</x:v>
      </x:c>
      <x:c r="E81" s="2" t="n">
        <x:v>3</x:v>
      </x:c>
      <x:c r="F81" s="11" t="n">
        <x:v>0.7909671563253974</x:v>
      </x:c>
      <x:c r="G81" s="2" t="str">
        <x:v>全部保留</x:v>
      </x:c>
      <x:c r="H81" s="2" t="str">
        <x:v>09:36</x:v>
      </x:c>
      <x:c r="I81" s="2" t="str">
        <x:v>余款全买</x:v>
      </x:c>
      <x:c r="J81" s="8" t="n">
        <x:v>543950.6691971713</x:v>
      </x:c>
      <x:c r="K81" s="12" t="n">
        <x:v>9.15</x:v>
      </x:c>
      <x:c r="L81" s="8" t="n">
        <x:v>59388.77179620067</x:v>
      </x:c>
      <x:c r="M81" s="6" t="d">
        <x:v>2025-06-04T00:00:00.000Z</x:v>
      </x:c>
      <x:c r="N81" s="12" t="n">
        <x:v>8.49</x:v>
      </x:c>
      <x:c r="O81" s="8" t="n">
        <x:v>503706.461877194</x:v>
      </x:c>
      <x:c r="P81" s="8" t="n">
        <x:v>543.4072619351791</x:v>
      </x:c>
      <x:c r="Q81" s="8" t="n">
        <x:v>504.2106725497437</x:v>
      </x:c>
      <x:c r="R81" s="8" t="n">
        <x:f>O81-J81</x:f>
        <x:v>-40244.207319977344</x:v>
      </x:c>
      <x:c r="S81" s="9" t="n">
        <x:f>R81/J81</x:f>
        <x:v>-0.0739850313620804</x:v>
      </x:c>
      <x:c r="T81" s="2" t="n">
        <x:v>1</x:v>
      </x:c>
      <x:c r="U81" s="9" t="n">
        <x:v>0.099639855942377</x:v>
      </x:c>
      <x:c r="V81" s="9" t="n">
        <x:v>0.050420168067227</x:v>
      </x:c>
      <x:c r="W81" s="9" t="n">
        <x:v>0.001200480192077</x:v>
      </x:c>
      <x:c r="X81" s="9" t="n">
        <x:v>0.030405405405405</x:v>
      </x:c>
    </x:row>
    <x:row r="82">
      <x:c r="A82" s="2" t="str">
        <x:v>不加形态</x:v>
      </x:c>
      <x:c r="B82" s="6" t="d">
        <x:v>2025-06-03T00:00:00.000Z</x:v>
      </x:c>
      <x:c r="C82" s="6" t="d">
        <x:v>2025-06-04T00:00:00.000Z</x:v>
      </x:c>
      <x:c r="D82" s="7" t="str">
        <x:v>603123</x:v>
      </x:c>
      <x:c r="E82" s="2" t="n">
        <x:v>1</x:v>
      </x:c>
      <x:c r="F82" s="11" t="n">
        <x:v>0.7824358829718444</x:v>
      </x:c>
      <x:c r="G82" s="2" t="str">
        <x:v>高点回落&lt;5%</x:v>
      </x:c>
      <x:c r="H82" s="2" t="str">
        <x:v>09:36</x:v>
      </x:c>
      <x:c r="I82" s="2" t="str">
        <x:v>余款全买</x:v>
      </x:c>
      <x:c r="J82" s="8" t="n">
        <x:v>471724.12956790737</x:v>
      </x:c>
      <x:c r="K82" s="12" t="n">
        <x:v>13.39</x:v>
      </x:c>
      <x:c r="L82" s="8" t="n">
        <x:v>35194.38959605797</x:v>
      </x:c>
      <x:c r="M82" s="6" t="d">
        <x:v>2025-06-05T00:00:00.000Z</x:v>
      </x:c>
      <x:c r="N82" s="12" t="n">
        <x:v>14.18</x:v>
      </x:c>
      <x:c r="O82" s="8" t="n">
        <x:v>498557.3880276299</x:v>
      </x:c>
      <x:c r="P82" s="8" t="n">
        <x:v>471.25287669117097</x:v>
      </x:c>
      <x:c r="Q82" s="8" t="n">
        <x:v>499.056444472102</x:v>
      </x:c>
      <x:c r="R82" s="8" t="n">
        <x:f>O82-J82</x:f>
        <x:v>26833.258459722507</x:v>
      </x:c>
      <x:c r="S82" s="9" t="n">
        <x:f>R82/J82</x:f>
        <x:v>0.05688337055028623</x:v>
      </x:c>
      <x:c r="T82" s="2" t="n">
        <x:v>1</x:v>
      </x:c>
      <x:c r="U82" s="9" t="n">
        <x:v>0.10016155088853</x:v>
      </x:c>
      <x:c r="V82" s="9" t="n">
        <x:v>-0.02907915993538</x:v>
      </x:c>
      <x:c r="W82" s="9" t="n">
        <x:v>0.018578352180937</x:v>
      </x:c>
      <x:c r="X82" s="9" t="n">
        <x:v>0.08421052631579</x:v>
      </x:c>
    </x:row>
    <x:row r="83">
      <x:c r="A83" s="2" t="str">
        <x:v>不加形态</x:v>
      </x:c>
      <x:c r="B83" s="6" t="d">
        <x:v>2025-06-04T00:00:00.000Z</x:v>
      </x:c>
      <x:c r="C83" s="6" t="d">
        <x:v>2025-06-05T00:00:00.000Z</x:v>
      </x:c>
      <x:c r="D83" s="7" t="str">
        <x:v>002177</x:v>
      </x:c>
      <x:c r="E83" s="2" t="n">
        <x:v>1</x:v>
      </x:c>
      <x:c r="F83" s="11" t="n">
        <x:v>0.7455323686855856</x:v>
      </x:c>
      <x:c r="G83" s="2" t="str">
        <x:v>高点回落&lt;5%</x:v>
      </x:c>
      <x:c r="H83" s="2" t="str">
        <x:v>09:36</x:v>
      </x:c>
      <x:c r="I83" s="2" t="str">
        <x:v>余款全买</x:v>
      </x:c>
      <x:c r="J83" s="8" t="n">
        <x:v>503706.461877194</x:v>
      </x:c>
      <x:c r="K83" s="12" t="n">
        <x:v>7.55</x:v>
      </x:c>
      <x:c r="L83" s="8" t="n">
        <x:v>66649.43822762588</x:v>
      </x:c>
      <x:c r="M83" s="6" t="d">
        <x:v>2025-06-06T00:00:00.000Z</x:v>
      </x:c>
      <x:c r="N83" s="12" t="n">
        <x:v>7.85</x:v>
      </x:c>
      <x:c r="O83" s="8" t="n">
        <x:v>522674.8919967763</x:v>
      </x:c>
      <x:c r="P83" s="8" t="n">
        <x:v>503.2032586185378</x:v>
      </x:c>
      <x:c r="Q83" s="8" t="n">
        <x:v>523.1980900868632</x:v>
      </x:c>
      <x:c r="R83" s="8" t="n">
        <x:f>O83-J83</x:f>
        <x:v>18968.430119582277</x:v>
      </x:c>
      <x:c r="S83" s="9" t="n">
        <x:f>R83/J83</x:f>
        <x:v>0.03765770653187862</x:v>
      </x:c>
      <x:c r="T83" s="2" t="n">
        <x:v>0</x:v>
      </x:c>
      <x:c r="U83" s="9" t="n">
        <x:v>-0.010430247718383</x:v>
      </x:c>
      <x:c r="V83" s="9" t="n">
        <x:v>-0.061277705345502</x:v>
      </x:c>
      <x:c r="W83" s="9" t="n">
        <x:v>0.009126466753585</x:v>
      </x:c>
      <x:c r="X83" s="9" t="n">
        <x:v>0.021739130434782</x:v>
      </x:c>
    </x:row>
    <x:row r="84">
      <x:c r="A84" s="2" t="str">
        <x:v>不加形态</x:v>
      </x:c>
      <x:c r="B84" s="6" t="d">
        <x:v>2025-06-05T00:00:00.000Z</x:v>
      </x:c>
      <x:c r="C84" s="6" t="d">
        <x:v>2025-06-06T00:00:00.000Z</x:v>
      </x:c>
      <x:c r="D84" s="7" t="str">
        <x:v>603093</x:v>
      </x:c>
      <x:c r="E84" s="2" t="n">
        <x:v>1</x:v>
      </x:c>
      <x:c r="F84" s="11" t="n">
        <x:v>0.7303612416528862</x:v>
      </x:c>
      <x:c r="G84" s="2" t="str">
        <x:v>高点回落&lt;5%</x:v>
      </x:c>
      <x:c r="H84" s="2" t="str">
        <x:v>09:39</x:v>
      </x:c>
      <x:c r="I84" s="2" t="str">
        <x:v>余款全买</x:v>
      </x:c>
      <x:c r="J84" s="8" t="n">
        <x:v>498557.3880276299</x:v>
      </x:c>
      <x:c r="K84" s="12" t="n">
        <x:v>18.52</x:v>
      </x:c>
      <x:c r="L84" s="8" t="n">
        <x:v>26893.052305557827</x:v>
      </x:c>
      <x:c r="M84" s="6" t="d">
        <x:v>2025-06-09T00:00:00.000Z</x:v>
      </x:c>
      <x:c r="N84" s="12" t="n">
        <x:v>20.56</x:v>
      </x:c>
      <x:c r="O84" s="8" t="n">
        <x:v>552368.2342468665</x:v>
      </x:c>
      <x:c r="P84" s="8" t="n">
        <x:v>498.0593286989024</x:v>
      </x:c>
      <x:c r="Q84" s="8" t="n">
        <x:v>552.9211554022688</x:v>
      </x:c>
      <x:c r="R84" s="8" t="n">
        <x:f>O84-J84</x:f>
        <x:v>53810.84621923667</x:v>
      </x:c>
      <x:c r="S84" s="9" t="n">
        <x:f>R84/J84</x:f>
        <x:v>0.107933103613449</x:v>
      </x:c>
      <x:c r="T84" s="2" t="n">
        <x:v>1</x:v>
      </x:c>
      <x:c r="U84" s="9" t="n">
        <x:v>0.099942229924899</x:v>
      </x:c>
      <x:c r="V84" s="9" t="n">
        <x:v>0.032928942807626</x:v>
      </x:c>
      <x:c r="W84" s="9" t="n">
        <x:v>0</x:v>
      </x:c>
      <x:c r="X84" s="9" t="n">
        <x:v>0.063687150837989</x:v>
      </x:c>
    </x:row>
    <x:row r="85">
      <x:c r="A85" s="2" t="str">
        <x:v>不加形态</x:v>
      </x:c>
      <x:c r="B85" s="6" t="d">
        <x:v>2025-06-06T00:00:00.000Z</x:v>
      </x:c>
      <x:c r="C85" s="6" t="d">
        <x:v>2025-06-09T00:00:00.000Z</x:v>
      </x:c>
      <x:c r="D85" s="7" t="str">
        <x:v>002298</x:v>
      </x:c>
      <x:c r="E85" s="2" t="n">
        <x:v>2</x:v>
      </x:c>
      <x:c r="F85" s="11" t="n">
        <x:v>0.7330994298673611</x:v>
      </x:c>
      <x:c r="G85" s="2" t="str">
        <x:v>高点回落&lt;5%</x:v>
      </x:c>
      <x:c r="H85" s="2" t="str">
        <x:v>09:36</x:v>
      </x:c>
      <x:c r="I85" s="2" t="str">
        <x:v>余款全买</x:v>
      </x:c>
      <x:c r="J85" s="8" t="n">
        <x:v>522674.8919967763</x:v>
      </x:c>
      <x:c r="K85" s="12" t="n">
        <x:v>7.83</x:v>
      </x:c>
      <x:c r="L85" s="8" t="n">
        <x:v>66686.17359610712</x:v>
      </x:c>
      <x:c r="M85" s="6" t="d">
        <x:v>2025-06-10T00:00:00.000Z</x:v>
      </x:c>
      <x:c r="N85" s="12" t="n">
        <x:v>8.45</x:v>
      </x:c>
      <x:c r="O85" s="8" t="n">
        <x:v>562934.6687202181</x:v>
      </x:c>
      <x:c r="P85" s="8" t="n">
        <x:v>522.1527392574353</x:v>
      </x:c>
      <x:c r="Q85" s="8" t="n">
        <x:v>563.4981668871052</x:v>
      </x:c>
      <x:c r="R85" s="8" t="n">
        <x:f>O85-J85</x:f>
        <x:v>40259.77672344184</x:v>
      </x:c>
      <x:c r="S85" s="9" t="n">
        <x:f>R85/J85</x:f>
        <x:v>0.07702642185400815</x:v>
      </x:c>
      <x:c r="T85" s="2" t="n">
        <x:v>1</x:v>
      </x:c>
      <x:c r="U85" s="9" t="n">
        <x:v>-0.012578616352201</x:v>
      </x:c>
      <x:c r="V85" s="9" t="n">
        <x:v>-0.045283018867925</x:v>
      </x:c>
      <x:c r="W85" s="9" t="n">
        <x:v>0.00125786163522</x:v>
      </x:c>
      <x:c r="X85" s="9" t="n">
        <x:v>-0.001273885350318</x:v>
      </x:c>
    </x:row>
    <x:row r="86">
      <x:c r="A86" s="2" t="str">
        <x:v>不加形态</x:v>
      </x:c>
      <x:c r="B86" s="6" t="d">
        <x:v>2025-06-09T00:00:00.000Z</x:v>
      </x:c>
      <x:c r="C86" s="6" t="d">
        <x:v>2025-06-10T00:00:00.000Z</x:v>
      </x:c>
      <x:c r="D86" s="7" t="str">
        <x:v>003040</x:v>
      </x:c>
      <x:c r="E86" s="2" t="n">
        <x:v>1</x:v>
      </x:c>
      <x:c r="F86" s="11" t="n">
        <x:v>0.7510955603233002</x:v>
      </x:c>
      <x:c r="G86" s="2" t="str">
        <x:v>高点回落&lt;5%</x:v>
      </x:c>
      <x:c r="H86" s="2" t="str">
        <x:v>09:36</x:v>
      </x:c>
      <x:c r="I86" s="2" t="str">
        <x:v>余款全买</x:v>
      </x:c>
      <x:c r="J86" s="8" t="n">
        <x:v>552368.2342468665</x:v>
      </x:c>
      <x:c r="K86" s="12" t="n">
        <x:v>17.5</x:v>
      </x:c>
      <x:c r="L86" s="8" t="n">
        <x:v>31532.36673308786</x:v>
      </x:c>
      <x:c r="M86" s="6" t="d">
        <x:v>2025-06-11T00:00:00.000Z</x:v>
      </x:c>
      <x:c r="N86" s="12" t="n">
        <x:v>19.2</x:v>
      </x:c>
      <x:c r="O86" s="8" t="n">
        <x:v>604816.0198340116</x:v>
      </x:c>
      <x:c r="P86" s="8" t="n">
        <x:v>551.8164178290172</x:v>
      </x:c>
      <x:c r="Q86" s="8" t="n">
        <x:v>605.4214412752868</x:v>
      </x:c>
      <x:c r="R86" s="8" t="n">
        <x:f>O86-J86</x:f>
        <x:v>52447.785587145016</x:v>
      </x:c>
      <x:c r="S86" s="9" t="n">
        <x:f>R86/J86</x:f>
        <x:v>0.09495076352219206</x:v>
      </x:c>
      <x:c r="T86" s="2" t="n">
        <x:v>1</x:v>
      </x:c>
      <x:c r="U86" s="9" t="n">
        <x:v>0.046674445740957</x:v>
      </x:c>
      <x:c r="V86" s="9" t="n">
        <x:v>0.013418903150525</x:v>
      </x:c>
      <x:c r="W86" s="9" t="n">
        <x:v>0.025087514585764</x:v>
      </x:c>
      <x:c r="X86" s="9" t="n">
        <x:v>-0.02396878483835</x:v>
      </x:c>
    </x:row>
    <x:row r="87">
      <x:c r="A87" s="2" t="str">
        <x:v>不加形态</x:v>
      </x:c>
      <x:c r="B87" s="6" t="d">
        <x:v>2025-06-10T00:00:00.000Z</x:v>
      </x:c>
      <x:c r="C87" s="6" t="d">
        <x:v>2025-06-11T00:00:00.000Z</x:v>
      </x:c>
      <x:c r="D87" s="7" t="str">
        <x:v>002940</x:v>
      </x:c>
      <x:c r="E87" s="2" t="n">
        <x:v>1</x:v>
      </x:c>
      <x:c r="F87" s="11" t="n">
        <x:v>0.8060181944708943</x:v>
      </x:c>
      <x:c r="G87" s="2" t="str">
        <x:v>高点回落&lt;5%</x:v>
      </x:c>
      <x:c r="H87" s="2" t="str">
        <x:v>09:36</x:v>
      </x:c>
      <x:c r="I87" s="2" t="str">
        <x:v>余款全买</x:v>
      </x:c>
      <x:c r="J87" s="8" t="n">
        <x:v>562934.6687202181</x:v>
      </x:c>
      <x:c r="K87" s="12" t="n">
        <x:v>25.15</x:v>
      </x:c>
      <x:c r="L87" s="8" t="n">
        <x:v>22360.727491999776</x:v>
      </x:c>
      <x:c r="M87" s="6" t="d">
        <x:v>2025-06-12T00:00:00.000Z</x:v>
      </x:c>
      <x:c r="N87" s="12" t="n">
        <x:v>27.1</x:v>
      </x:c>
      <x:c r="O87" s="8" t="n">
        <x:v>605369.7393181607</x:v>
      </x:c>
      <x:c r="P87" s="8" t="n">
        <x:v>562.3722964237677</x:v>
      </x:c>
      <x:c r="Q87" s="8" t="n">
        <x:v>605.975715033194</x:v>
      </x:c>
      <x:c r="R87" s="8" t="n">
        <x:f>O87-J87</x:f>
        <x:v>42435.07059794257</x:v>
      </x:c>
      <x:c r="S87" s="9" t="n">
        <x:f>R87/J87</x:f>
        <x:v>0.07538187458664596</x:v>
      </x:c>
      <x:c r="T87" s="2" t="n">
        <x:v>1</x:v>
      </x:c>
      <x:c r="U87" s="9" t="n">
        <x:v>0.09983150800337</x:v>
      </x:c>
      <x:c r="V87" s="9" t="n">
        <x:v>0.03117101937658</x:v>
      </x:c>
      <x:c r="W87" s="9" t="n">
        <x:v>0.036225779275484</x:v>
      </x:c>
      <x:c r="X87" s="9" t="n">
        <x:v>-0.02055857253685</x:v>
      </x:c>
    </x:row>
    <x:row r="88">
      <x:c r="A88" s="2" t="str">
        <x:v>不加形态</x:v>
      </x:c>
      <x:c r="B88" s="6" t="d">
        <x:v>2025-06-11T00:00:00.000Z</x:v>
      </x:c>
      <x:c r="C88" s="6" t="d">
        <x:v>2025-06-12T00:00:00.000Z</x:v>
      </x:c>
      <x:c r="D88" s="7" t="str">
        <x:v>002181</x:v>
      </x:c>
      <x:c r="E88" s="2" t="n">
        <x:v>3</x:v>
      </x:c>
      <x:c r="F88" s="11" t="n">
        <x:v>0.723331713318353</x:v>
      </x:c>
      <x:c r="G88" s="2" t="str">
        <x:v>高点回落&lt;5%</x:v>
      </x:c>
      <x:c r="H88" s="2" t="str">
        <x:v>09:36</x:v>
      </x:c>
      <x:c r="I88" s="2" t="str">
        <x:v>余款全买</x:v>
      </x:c>
      <x:c r="J88" s="8" t="n">
        <x:v>604816.0198340116</x:v>
      </x:c>
      <x:c r="K88" s="12" t="n">
        <x:v>8.48</x:v>
      </x:c>
      <x:c r="L88" s="8" t="n">
        <x:v>71251.39245589453</x:v>
      </x:c>
      <x:c r="M88" s="6" t="d">
        <x:v>2025-06-13T00:00:00.000Z</x:v>
      </x:c>
      <x:c r="N88" s="12" t="n">
        <x:v>7.99</x:v>
      </x:c>
      <x:c r="O88" s="8" t="n">
        <x:v>568729.3270968747</x:v>
      </x:c>
      <x:c r="P88" s="8" t="n">
        <x:v>604.2118080259534</x:v>
      </x:c>
      <x:c r="Q88" s="8" t="n">
        <x:v>569.2986257225974</x:v>
      </x:c>
      <x:c r="R88" s="8" t="n">
        <x:f>O88-J88</x:f>
        <x:v>-36086.69273713685</x:v>
      </x:c>
      <x:c r="S88" s="9" t="n">
        <x:f>R88/J88</x:f>
        <x:v>-0.059665570278777745</x:v>
      </x:c>
      <x:c r="T88" s="2" t="n">
        <x:v>1</x:v>
      </x:c>
      <x:c r="U88" s="9" t="n">
        <x:v>0.100371747211896</x:v>
      </x:c>
      <x:c r="V88" s="9" t="n">
        <x:v>0.034696406443618</x:v>
      </x:c>
      <x:c r="W88" s="9" t="n">
        <x:v>0.048327137546468</x:v>
      </x:c>
      <x:c r="X88" s="9" t="n">
        <x:v>-0.001176470588235</x:v>
      </x:c>
    </x:row>
    <x:row r="89">
      <x:c r="A89" s="2" t="str">
        <x:v>不加形态</x:v>
      </x:c>
      <x:c r="B89" s="6" t="d">
        <x:v>2025-06-12T00:00:00.000Z</x:v>
      </x:c>
      <x:c r="C89" s="6" t="d">
        <x:v>2025-06-13T00:00:00.000Z</x:v>
      </x:c>
      <x:c r="D89" s="7" t="str">
        <x:v>600281</x:v>
      </x:c>
      <x:c r="E89" s="2" t="n">
        <x:v>2</x:v>
      </x:c>
      <x:c r="F89" s="11" t="n">
        <x:v>0.7503697258896685</x:v>
      </x:c>
      <x:c r="G89" s="2" t="str">
        <x:v>高点回落&lt;5%</x:v>
      </x:c>
      <x:c r="H89" s="2" t="str">
        <x:v>09:36</x:v>
      </x:c>
      <x:c r="I89" s="2" t="str">
        <x:v>余款全买</x:v>
      </x:c>
      <x:c r="J89" s="8" t="n">
        <x:v>605369.7393181607</x:v>
      </x:c>
      <x:c r="K89" s="12" t="n">
        <x:v>6.9</x:v>
      </x:c>
      <x:c r="L89" s="8" t="n">
        <x:v>87647.09773098797</x:v>
      </x:c>
      <x:c r="M89" s="6" t="d">
        <x:v>2025-06-16T00:00:00.000Z</x:v>
      </x:c>
      <x:c r="N89" s="12" t="n">
        <x:v>7.68</x:v>
      </x:c>
      <x:c r="O89" s="8" t="n">
        <x:v>672456.5808634136</x:v>
      </x:c>
      <x:c r="P89" s="8" t="n">
        <x:v>604.7649743437069</x:v>
      </x:c>
      <x:c r="Q89" s="8" t="n">
        <x:v>673.1297105739876</x:v>
      </x:c>
      <x:c r="R89" s="8" t="n">
        <x:f>O89-J89</x:f>
        <x:v>67086.84154525294</x:v>
      </x:c>
      <x:c r="S89" s="9" t="n">
        <x:f>R89/J89</x:f>
        <x:v>0.1108196151674415</x:v>
      </x:c>
      <x:c r="T89" s="2" t="n">
        <x:v>1</x:v>
      </x:c>
      <x:c r="U89" s="9" t="n">
        <x:v>0.090909090909091</x:v>
      </x:c>
      <x:c r="V89" s="9" t="n">
        <x:v>0.016666666666667</x:v>
      </x:c>
      <x:c r="W89" s="9" t="n">
        <x:v>0.043939393939394</x:v>
      </x:c>
      <x:c r="X89" s="9" t="n">
        <x:v>0.029806259314456</x:v>
      </x:c>
    </x:row>
    <x:row r="90">
      <x:c r="A90" s="2" t="str">
        <x:v>不加形态</x:v>
      </x:c>
      <x:c r="B90" s="6" t="d">
        <x:v>2025-06-13T00:00:00.000Z</x:v>
      </x:c>
      <x:c r="C90" s="6" t="d">
        <x:v>2025-06-16T00:00:00.000Z</x:v>
      </x:c>
      <x:c r="D90" s="7" t="str">
        <x:v>601279</x:v>
      </x:c>
      <x:c r="E90" s="2" t="n">
        <x:v>1</x:v>
      </x:c>
      <x:c r="F90" s="11" t="n">
        <x:v>0.766366734727524</x:v>
      </x:c>
      <x:c r="G90" s="2" t="str">
        <x:v>高点回落&lt;5%</x:v>
      </x:c>
      <x:c r="H90" s="2" t="str">
        <x:v>09:36</x:v>
      </x:c>
      <x:c r="I90" s="2" t="str">
        <x:v>余款全买</x:v>
      </x:c>
      <x:c r="J90" s="8" t="n">
        <x:v>568729.3270968747</x:v>
      </x:c>
      <x:c r="K90" s="12" t="n">
        <x:v>4.44</x:v>
      </x:c>
      <x:c r="L90" s="8" t="n">
        <x:v>127964.22656102337</x:v>
      </x:c>
      <x:c r="M90" s="6" t="d">
        <x:v>2025-06-17T00:00:00.000Z</x:v>
      </x:c>
      <x:c r="N90" s="12" t="n">
        <x:v>3.94</x:v>
      </x:c>
      <x:c r="O90" s="8" t="n">
        <x:v>503674.8735977817</x:v>
      </x:c>
      <x:c r="P90" s="8" t="n">
        <x:v>568.1611659309128</x:v>
      </x:c>
      <x:c r="Q90" s="8" t="n">
        <x:v>504.17905265043214</x:v>
      </x:c>
      <x:c r="R90" s="8" t="n">
        <x:f>O90-J90</x:f>
        <x:v>-65054.45349909301</x:v>
      </x:c>
      <x:c r="S90" s="9" t="n">
        <x:f>R90/J90</x:f>
        <x:v>-0.1143856143856143</x:v>
      </x:c>
      <x:c r="T90" s="2" t="n">
        <x:v>0</x:v>
      </x:c>
      <x:c r="U90" s="9" t="n">
        <x:v>-0.022916666666667</x:v>
      </x:c>
      <x:c r="V90" s="9" t="n">
        <x:v>-0.09375</x:v>
      </x:c>
      <x:c r="W90" s="9" t="n">
        <x:v>0.052083333333333</x:v>
      </x:c>
      <x:c r="X90" s="9" t="n">
        <x:v>-0.013333333333333</x:v>
      </x:c>
    </x:row>
    <x:row r="91">
      <x:c r="A91" s="2" t="str">
        <x:v>不加形态</x:v>
      </x:c>
      <x:c r="B91" s="6" t="d">
        <x:v>2025-06-16T00:00:00.000Z</x:v>
      </x:c>
      <x:c r="C91" s="6" t="d">
        <x:v>2025-06-17T00:00:00.000Z</x:v>
      </x:c>
      <x:c r="D91" s="7" t="str">
        <x:v>002828</x:v>
      </x:c>
      <x:c r="E91" s="2" t="n">
        <x:v>1</x:v>
      </x:c>
      <x:c r="F91" s="11" t="n">
        <x:v>0.7315191560702615</x:v>
      </x:c>
      <x:c r="G91" s="2" t="str">
        <x:v>高点回落&lt;5%</x:v>
      </x:c>
      <x:c r="H91" s="2" t="str">
        <x:v>09:36</x:v>
      </x:c>
      <x:c r="I91" s="2" t="str">
        <x:v>余款全买</x:v>
      </x:c>
      <x:c r="J91" s="8" t="n">
        <x:v>672456.5808634136</x:v>
      </x:c>
      <x:c r="K91" s="12" t="n">
        <x:v>10.95</x:v>
      </x:c>
      <x:c r="L91" s="8" t="n">
        <x:v>61350.20968651565</x:v>
      </x:c>
      <x:c r="M91" s="6" t="d">
        <x:v>2025-06-18T00:00:00.000Z</x:v>
      </x:c>
      <x:c r="N91" s="12" t="n">
        <x:v>13.43</x:v>
      </x:c>
      <x:c r="O91" s="8" t="n">
        <x:v>823109.3827738152</x:v>
      </x:c>
      <x:c r="P91" s="8" t="n">
        <x:v>671.7847960672807</x:v>
      </x:c>
      <x:c r="Q91" s="8" t="n">
        <x:v>823.9333160899051</x:v>
      </x:c>
      <x:c r="R91" s="8" t="n">
        <x:f>O91-J91</x:f>
        <x:v>150652.80191040155</x:v>
      </x:c>
      <x:c r="S91" s="9" t="n">
        <x:f>R91/J91</x:f>
        <x:v>0.22403350074582953</x:v>
      </x:c>
      <x:c r="T91" s="2" t="n">
        <x:v>1</x:v>
      </x:c>
      <x:c r="U91" s="9" t="n">
        <x:v>0.007207207207207</x:v>
      </x:c>
      <x:c r="V91" s="9" t="n">
        <x:v>-0.051351351351351</x:v>
      </x:c>
      <x:c r="W91" s="9" t="n">
        <x:v>0.01981981981982</x:v>
      </x:c>
      <x:c r="X91" s="9" t="n">
        <x:v>0.01953488372093</x:v>
      </x:c>
    </x:row>
    <x:row r="92">
      <x:c r="A92" s="2" t="str">
        <x:v>不加形态</x:v>
      </x:c>
      <x:c r="B92" s="6" t="d">
        <x:v>2025-06-18T00:00:00.000Z</x:v>
      </x:c>
      <x:c r="C92" s="6" t="d">
        <x:v>2025-06-19T00:00:00.000Z</x:v>
      </x:c>
      <x:c r="D92" s="7" t="str">
        <x:v>600722</x:v>
      </x:c>
      <x:c r="E92" s="2" t="n">
        <x:v>2</x:v>
      </x:c>
      <x:c r="F92" s="11" t="n">
        <x:v>0.7764982191345828</x:v>
      </x:c>
      <x:c r="G92" s="2" t="str">
        <x:v>高点回落&lt;5%</x:v>
      </x:c>
      <x:c r="H92" s="2" t="str">
        <x:v>09:36</x:v>
      </x:c>
      <x:c r="I92" s="2" t="str">
        <x:v>空仓半买</x:v>
      </x:c>
      <x:c r="J92" s="8" t="n">
        <x:v>663392.1281857984</x:v>
      </x:c>
      <x:c r="K92" s="12" t="n">
        <x:v>7.35</x:v>
      </x:c>
      <x:c r="L92" s="8" t="n">
        <x:v>90167.26514109</x:v>
      </x:c>
      <x:c r="M92" s="6" t="d">
        <x:v>2025-06-20T00:00:00.000Z</x:v>
      </x:c>
      <x:c r="N92" s="12" t="n">
        <x:v>7.34</x:v>
      </x:c>
      <x:c r="O92" s="8" t="n">
        <x:v>661165.898409465</x:v>
      </x:c>
      <x:c r="P92" s="8" t="n">
        <x:v>662.7293987869052</x:v>
      </x:c>
      <x:c r="Q92" s="8" t="n">
        <x:v>661.8277261356006</x:v>
      </x:c>
      <x:c r="R92" s="8" t="n">
        <x:f>O92-J92</x:f>
        <x:v>-2226.2297763334354</x:v>
      </x:c>
      <x:c r="S92" s="9" t="n">
        <x:f>R92/J92</x:f>
        <x:v>-0.003355827845623649</x:v>
      </x:c>
      <x:c r="T92" s="2" t="n">
        <x:v>0</x:v>
      </x:c>
      <x:c r="U92" s="9" t="n">
        <x:v>-0.018252933507171</x:v>
      </x:c>
      <x:c r="V92" s="9" t="n">
        <x:v>-0.083441981747066</x:v>
      </x:c>
      <x:c r="W92" s="9" t="n">
        <x:v>0.02477183833116</x:v>
      </x:c>
      <x:c r="X92" s="9" t="n">
        <x:v>0.044096728307255</x:v>
      </x:c>
    </x:row>
    <x:row r="93">
      <x:c r="A93" s="2" t="str">
        <x:v>不加形态</x:v>
      </x:c>
      <x:c r="B93" s="6" t="d">
        <x:v>2025-06-19T00:00:00.000Z</x:v>
      </x:c>
      <x:c r="C93" s="6" t="d">
        <x:v>2025-06-20T00:00:00.000Z</x:v>
      </x:c>
      <x:c r="D93" s="7" t="str">
        <x:v>002490</x:v>
      </x:c>
      <x:c r="E93" s="2" t="n">
        <x:v>2</x:v>
      </x:c>
      <x:c r="F93" s="11" t="n">
        <x:v>0.7434461376785325</x:v>
      </x:c>
      <x:c r="G93" s="2" t="str">
        <x:v>高点回落&lt;5%</x:v>
      </x:c>
      <x:c r="H93" s="2" t="str">
        <x:v>09:36</x:v>
      </x:c>
      <x:c r="I93" s="2" t="str">
        <x:v>余款全买</x:v>
      </x:c>
      <x:c r="J93" s="8" t="n">
        <x:v>663392.1281857984</x:v>
      </x:c>
      <x:c r="K93" s="12" t="n">
        <x:v>6.77</x:v>
      </x:c>
      <x:c r="L93" s="8" t="n">
        <x:v>97892.08253870186</x:v>
      </x:c>
      <x:c r="M93" s="6" t="d">
        <x:v>2025-06-23T00:00:00.000Z</x:v>
      </x:c>
      <x:c r="N93" s="12" t="n">
        <x:v>7.72</x:v>
      </x:c>
      <x:c r="O93" s="8" t="n">
        <x:v>754971.1503215795</x:v>
      </x:c>
      <x:c r="P93" s="8" t="n">
        <x:v>662.7293987869052</x:v>
      </x:c>
      <x:c r="Q93" s="8" t="n">
        <x:v>755.7268771987783</x:v>
      </x:c>
      <x:c r="R93" s="8" t="n">
        <x:f>O93-J93</x:f>
        <x:v>91579.02213578112</x:v>
      </x:c>
      <x:c r="S93" s="9" t="n">
        <x:f>R93/J93</x:f>
        <x:v>0.13804659151778823</x:v>
      </x:c>
      <x:c r="T93" s="2" t="n">
        <x:v>1</x:v>
      </x:c>
      <x:c r="U93" s="9" t="n">
        <x:v>0.070532915360502</x:v>
      </x:c>
      <x:c r="V93" s="9" t="n">
        <x:v>-0.050156739811912</x:v>
      </x:c>
      <x:c r="W93" s="9" t="n">
        <x:v>0.015673981191223</x:v>
      </x:c>
      <x:c r="X93" s="9" t="n">
        <x:v>0.027480916030534</x:v>
      </x:c>
    </x:row>
    <x:row r="94">
      <x:c r="A94" s="2" t="str">
        <x:v>不加形态</x:v>
      </x:c>
      <x:c r="B94" s="6" t="d">
        <x:v>2025-06-20T00:00:00.000Z</x:v>
      </x:c>
      <x:c r="C94" s="6" t="d">
        <x:v>2025-06-23T00:00:00.000Z</x:v>
      </x:c>
      <x:c r="D94" s="7" t="str">
        <x:v>002579</x:v>
      </x:c>
      <x:c r="E94" s="2" t="n">
        <x:v>1</x:v>
      </x:c>
      <x:c r="F94" s="11" t="n">
        <x:v>0.7688412725974163</x:v>
      </x:c>
      <x:c r="G94" s="2" t="str">
        <x:v>高点回落&lt;5%</x:v>
      </x:c>
      <x:c r="H94" s="2" t="str">
        <x:v>09:36</x:v>
      </x:c>
      <x:c r="I94" s="2" t="str">
        <x:v>余款全买</x:v>
      </x:c>
      <x:c r="J94" s="8" t="n">
        <x:v>661165.898409465</x:v>
      </x:c>
      <x:c r="K94" s="12" t="n">
        <x:v>10.59</x:v>
      </x:c>
      <x:c r="L94" s="8" t="n">
        <x:v>62370.669784367194</x:v>
      </x:c>
      <x:c r="M94" s="6" t="d">
        <x:v>2025-06-24T00:00:00.000Z</x:v>
      </x:c>
      <x:c r="N94" s="12" t="n">
        <x:v>12.65</x:v>
      </x:c>
      <x:c r="O94" s="8" t="n">
        <x:v>788199.9837994728</x:v>
      </x:c>
      <x:c r="P94" s="8" t="n">
        <x:v>660.5053930163849</x:v>
      </x:c>
      <x:c r="Q94" s="8" t="n">
        <x:v>788.9889727722451</x:v>
      </x:c>
      <x:c r="R94" s="8" t="n">
        <x:f>O94-J94</x:f>
        <x:v>127034.08539000782</x:v>
      </x:c>
      <x:c r="S94" s="9" t="n">
        <x:f>R94/J94</x:f>
        <x:v>0.19213647542259457</x:v>
      </x:c>
      <x:c r="T94" s="2" t="n">
        <x:v>1</x:v>
      </x:c>
      <x:c r="U94" s="9" t="n">
        <x:v>-0.015596330275229</x:v>
      </x:c>
      <x:c r="V94" s="9" t="n">
        <x:v>-0.06605504587156</x:v>
      </x:c>
      <x:c r="W94" s="9" t="n">
        <x:v>0.011009174311927</x:v>
      </x:c>
      <x:c r="X94" s="9" t="n">
        <x:v>0.030097087378641</x:v>
      </x:c>
    </x:row>
    <x:row r="95">
      <x:c r="A95" s="2" t="str">
        <x:v>不加形态</x:v>
      </x:c>
      <x:c r="B95" s="6" t="d">
        <x:v>2025-06-23T00:00:00.000Z</x:v>
      </x:c>
      <x:c r="C95" s="6" t="d">
        <x:v>2025-06-24T00:00:00.000Z</x:v>
      </x:c>
      <x:c r="D95" s="7" t="str">
        <x:v>600798</x:v>
      </x:c>
      <x:c r="E95" s="2" t="n">
        <x:v>1</x:v>
      </x:c>
      <x:c r="F95" s="11" t="n">
        <x:v>0.7481941398163994</x:v>
      </x:c>
      <x:c r="G95" s="2" t="str">
        <x:v>高点回落&lt;5%</x:v>
      </x:c>
      <x:c r="H95" s="2" t="str">
        <x:v>09:36</x:v>
      </x:c>
      <x:c r="I95" s="2" t="str">
        <x:v>余款全买</x:v>
      </x:c>
      <x:c r="J95" s="8" t="n">
        <x:v>754971.1503215795</x:v>
      </x:c>
      <x:c r="K95" s="12" t="n">
        <x:v>4.96</x:v>
      </x:c>
      <x:c r="L95" s="8" t="n">
        <x:v>152059.86560245795</x:v>
      </x:c>
      <x:c r="M95" s="6" t="d">
        <x:v>2025-06-25T00:00:00.000Z</x:v>
      </x:c>
      <x:c r="N95" s="12" t="n">
        <x:v>4.43</x:v>
      </x:c>
      <x:c r="O95" s="8" t="n">
        <x:v>672951.5794142698</x:v>
      </x:c>
      <x:c r="P95" s="8" t="n">
        <x:v>754.2169333881466</x:v>
      </x:c>
      <x:c r="Q95" s="8" t="n">
        <x:v>673.6252046188887</x:v>
      </x:c>
      <x:c r="R95" s="8" t="n">
        <x:f>O95-J95</x:f>
        <x:v>-82019.57090730977</x:v>
      </x:c>
      <x:c r="S95" s="9" t="n">
        <x:f>R95/J95</x:f>
        <x:v>-0.10863934452644128</x:v>
      </x:c>
      <x:c r="T95" s="2" t="n">
        <x:v>0</x:v>
      </x:c>
      <x:c r="U95" s="9" t="n">
        <x:v>0.047916666666667</x:v>
      </x:c>
      <x:c r="V95" s="9" t="n">
        <x:v>-0.047916666666667</x:v>
      </x:c>
      <x:c r="W95" s="9" t="n">
        <x:v>0.016666666666667</x:v>
      </x:c>
      <x:c r="X95" s="9" t="n">
        <x:v>0.039915966386555</x:v>
      </x:c>
    </x:row>
    <x:row r="96">
      <x:c r="A96" s="2" t="str">
        <x:v>不加形态</x:v>
      </x:c>
      <x:c r="B96" s="6" t="d">
        <x:v>2025-06-24T00:00:00.000Z</x:v>
      </x:c>
      <x:c r="C96" s="6" t="d">
        <x:v>2025-06-25T00:00:00.000Z</x:v>
      </x:c>
      <x:c r="D96" s="7" t="str">
        <x:v>603928</x:v>
      </x:c>
      <x:c r="E96" s="2" t="n">
        <x:v>1</x:v>
      </x:c>
      <x:c r="F96" s="11" t="n">
        <x:v>0.7871466516409099</x:v>
      </x:c>
      <x:c r="G96" s="2" t="str">
        <x:v>高点回落&lt;5%</x:v>
      </x:c>
      <x:c r="H96" s="2" t="str">
        <x:v>09:36</x:v>
      </x:c>
      <x:c r="I96" s="2" t="str">
        <x:v>余款全买</x:v>
      </x:c>
      <x:c r="J96" s="8" t="n">
        <x:v>788199.9837994728</x:v>
      </x:c>
      <x:c r="K96" s="12" t="n">
        <x:v>17.71</x:v>
      </x:c>
      <x:c r="L96" s="8" t="n">
        <x:v>44461.466472515225</x:v>
      </x:c>
      <x:c r="M96" s="6" t="d">
        <x:v>2025-06-26T00:00:00.000Z</x:v>
      </x:c>
      <x:c r="N96" s="12" t="n">
        <x:v>17.06</x:v>
      </x:c>
      <x:c r="O96" s="8" t="n">
        <x:v>757754.1054030886</x:v>
      </x:c>
      <x:c r="P96" s="8" t="n">
        <x:v>787.4125712281093</x:v>
      </x:c>
      <x:c r="Q96" s="8" t="n">
        <x:v>758.5126180211097</x:v>
      </x:c>
      <x:c r="R96" s="8" t="n">
        <x:f>O96-J96</x:f>
        <x:v>-30445.878396384185</x:v>
      </x:c>
      <x:c r="S96" s="9" t="n">
        <x:f>R96/J96</x:f>
        <x:v>-0.03862709848028869</x:v>
      </x:c>
      <x:c r="T96" s="2" t="n">
        <x:v>1</x:v>
      </x:c>
      <x:c r="U96" s="9" t="n">
        <x:v>0.099879663056558</x:v>
      </x:c>
      <x:c r="V96" s="9" t="n">
        <x:v>0.028880866425993</x:v>
      </x:c>
      <x:c r="W96" s="9" t="n">
        <x:v>0.030084235860409</x:v>
      </x:c>
      <x:c r="X96" s="9" t="n">
        <x:v>-0.027352297592998</x:v>
      </x:c>
    </x:row>
    <x:row r="97">
      <x:c r="A97" s="2" t="str">
        <x:v>不加形态</x:v>
      </x:c>
      <x:c r="B97" s="6" t="d">
        <x:v>2025-06-25T00:00:00.000Z</x:v>
      </x:c>
      <x:c r="C97" s="6" t="d">
        <x:v>2025-06-26T00:00:00.000Z</x:v>
      </x:c>
      <x:c r="D97" s="7" t="str">
        <x:v>002125</x:v>
      </x:c>
      <x:c r="E97" s="2" t="n">
        <x:v>1</x:v>
      </x:c>
      <x:c r="F97" s="11" t="n">
        <x:v>0.7821652631350957</x:v>
      </x:c>
      <x:c r="G97" s="2" t="str">
        <x:v>高点回落&lt;5%</x:v>
      </x:c>
      <x:c r="H97" s="2" t="str">
        <x:v>09:36</x:v>
      </x:c>
      <x:c r="I97" s="2" t="str">
        <x:v>余款全买</x:v>
      </x:c>
      <x:c r="J97" s="8" t="n">
        <x:v>672951.5794142698</x:v>
      </x:c>
      <x:c r="K97" s="12" t="n">
        <x:v>17.63</x:v>
      </x:c>
      <x:c r="L97" s="8" t="n">
        <x:v>38132.6886054541</x:v>
      </x:c>
      <x:c r="M97" s="6" t="d">
        <x:v>2025-06-27T00:00:00.000Z</x:v>
      </x:c>
      <x:c r="N97" s="12" t="n">
        <x:v>14.81</x:v>
      </x:c>
      <x:c r="O97" s="8" t="n">
        <x:v>564180.3731285285</x:v>
      </x:c>
      <x:c r="P97" s="8" t="n">
        <x:v>672.2793001140235</x:v>
      </x:c>
      <x:c r="Q97" s="8" t="n">
        <x:v>564.7451182467753</x:v>
      </x:c>
      <x:c r="R97" s="8" t="n">
        <x:f>O97-J97</x:f>
        <x:v>-108771.2062857413</x:v>
      </x:c>
      <x:c r="S97" s="9" t="n">
        <x:f>R97/J97</x:f>
        <x:v>-0.16163303514409558</x:v>
      </x:c>
      <x:c r="T97" s="2" t="n">
        <x:v>0</x:v>
      </x:c>
      <x:c r="U97" s="9" t="n">
        <x:v>0.09718826405868</x:v>
      </x:c>
      <x:c r="V97" s="9" t="n">
        <x:v>0.02078239608802</x:v>
      </x:c>
      <x:c r="W97" s="9" t="n">
        <x:v>0.018337408312958</x:v>
      </x:c>
      <x:c r="X97" s="9" t="n">
        <x:v>0.045616113744076</x:v>
      </x:c>
    </x:row>
    <x:row r="98">
      <x:c r="A98" s="2" t="str">
        <x:v>不加形态</x:v>
      </x:c>
      <x:c r="B98" s="6" t="d">
        <x:v>2025-06-26T00:00:00.000Z</x:v>
      </x:c>
      <x:c r="C98" s="6" t="d">
        <x:v>2025-06-27T00:00:00.000Z</x:v>
      </x:c>
      <x:c r="D98" s="7" t="str">
        <x:v>002759</x:v>
      </x:c>
      <x:c r="E98" s="2" t="n">
        <x:v>1</x:v>
      </x:c>
      <x:c r="F98" s="11" t="n">
        <x:v>0.7930832328823892</x:v>
      </x:c>
      <x:c r="G98" s="2" t="str">
        <x:v>高点回落&lt;5%</x:v>
      </x:c>
      <x:c r="H98" s="2" t="str">
        <x:v>09:36</x:v>
      </x:c>
      <x:c r="I98" s="2" t="str">
        <x:v>余款全买</x:v>
      </x:c>
      <x:c r="J98" s="8" t="n">
        <x:v>757754.1054030886</x:v>
      </x:c>
      <x:c r="K98" s="12" t="n">
        <x:v>11.42</x:v>
      </x:c>
      <x:c r="L98" s="8" t="n">
        <x:v>66286.96219744254</x:v>
      </x:c>
      <x:c r="M98" s="6" t="d">
        <x:v>2025-06-30T00:00:00.000Z</x:v>
      </x:c>
      <x:c r="N98" s="12" t="n">
        <x:v>10.05</x:v>
      </x:c>
      <x:c r="O98" s="8" t="n">
        <x:v>665517.7861142133</x:v>
      </x:c>
      <x:c r="P98" s="8" t="n">
        <x:v>756.997108294745</x:v>
      </x:c>
      <x:c r="Q98" s="8" t="n">
        <x:v>666.1839700842976</x:v>
      </x:c>
      <x:c r="R98" s="8" t="n">
        <x:f>O98-J98</x:f>
        <x:v>-92236.31928887533</x:v>
      </x:c>
      <x:c r="S98" s="9" t="n">
        <x:f>R98/J98</x:f>
        <x:v>-0.12172328547109627</x:v>
      </x:c>
      <x:c r="T98" s="2" t="n">
        <x:v>0</x:v>
      </x:c>
      <x:c r="U98" s="9" t="n">
        <x:v>0.048076923076923</x:v>
      </x:c>
      <x:c r="V98" s="9" t="n">
        <x:v>-0.018356643356643</x:v>
      </x:c>
      <x:c r="W98" s="9" t="n">
        <x:v>0.049825174825175</x:v>
      </x:c>
      <x:c r="X98" s="9" t="n">
        <x:v>0.016918967052538</x:v>
      </x:c>
    </x:row>
    <x:row r="99">
      <x:c r="A99" s="2" t="str">
        <x:v>不加形态</x:v>
      </x:c>
      <x:c r="B99" s="6" t="d">
        <x:v>2025-06-27T00:00:00.000Z</x:v>
      </x:c>
      <x:c r="C99" s="6" t="d">
        <x:v>2025-06-30T00:00:00.000Z</x:v>
      </x:c>
      <x:c r="D99" s="7" t="str">
        <x:v>002263</x:v>
      </x:c>
      <x:c r="E99" s="2" t="n">
        <x:v>2</x:v>
      </x:c>
      <x:c r="F99" s="11" t="n">
        <x:v>0.7431774377906054</x:v>
      </x:c>
      <x:c r="G99" s="2" t="str">
        <x:v>高点回落&lt;5%</x:v>
      </x:c>
      <x:c r="H99" s="2" t="str">
        <x:v>09:36</x:v>
      </x:c>
      <x:c r="I99" s="2" t="str">
        <x:v>余款全买</x:v>
      </x:c>
      <x:c r="J99" s="8" t="n">
        <x:v>564180.3731285285</x:v>
      </x:c>
      <x:c r="K99" s="12" t="n">
        <x:v>3.81</x:v>
      </x:c>
      <x:c r="L99" s="8" t="n">
        <x:v>147930.90718429303</x:v>
      </x:c>
      <x:c r="M99" s="6" t="d">
        <x:v>2025-07-01T00:00:00.000Z</x:v>
      </x:c>
      <x:c r="N99" s="12" t="n">
        <x:v>4.21</x:v>
      </x:c>
      <x:c r="O99" s="8" t="n">
        <x:v>622166.3301266278</x:v>
      </x:c>
      <x:c r="P99" s="8" t="n">
        <x:v>563.6167563720373</x:v>
      </x:c>
      <x:c r="Q99" s="8" t="n">
        <x:v>622.7891192458736</x:v>
      </x:c>
      <x:c r="R99" s="8" t="n">
        <x:f>O99-J99</x:f>
        <x:v>57985.95699809934</x:v>
      </x:c>
      <x:c r="S99" s="9" t="n">
        <x:f>R99/J99</x:f>
        <x:v>0.1027791106531267</x:v>
      </x:c>
      <x:c r="T99" s="2" t="n">
        <x:v>1</x:v>
      </x:c>
      <x:c r="U99" s="9" t="n">
        <x:v>0.061333333333333</x:v>
      </x:c>
      <x:c r="V99" s="9" t="n">
        <x:v>-0.010666666666667</x:v>
      </x:c>
      <x:c r="W99" s="9" t="n">
        <x:v>0.042666666666667</x:v>
      </x:c>
      <x:c r="X99" s="9" t="n">
        <x:v>0.005263157894737</x:v>
      </x:c>
    </x:row>
    <x:row r="100">
      <x:c r="A100" s="2" t="str">
        <x:v>不加形态</x:v>
      </x:c>
      <x:c r="B100" s="6" t="d">
        <x:v>2025-06-30T00:00:00.000Z</x:v>
      </x:c>
      <x:c r="C100" s="6" t="d">
        <x:v>2025-07-01T00:00:00.000Z</x:v>
      </x:c>
      <x:c r="D100" s="7" t="str">
        <x:v>600241</x:v>
      </x:c>
      <x:c r="E100" s="2" t="n">
        <x:v>3</x:v>
      </x:c>
      <x:c r="F100" s="11" t="n">
        <x:v>0.753684515644546</x:v>
      </x:c>
      <x:c r="G100" s="2" t="str">
        <x:v>高点回落&lt;5%</x:v>
      </x:c>
      <x:c r="H100" s="2" t="str">
        <x:v>09:36</x:v>
      </x:c>
      <x:c r="I100" s="2" t="str">
        <x:v>余款全买</x:v>
      </x:c>
      <x:c r="J100" s="8" t="n">
        <x:v>665517.7861142133</x:v>
      </x:c>
      <x:c r="K100" s="12" t="n">
        <x:v>10.63</x:v>
      </x:c>
      <x:c r="L100" s="8" t="n">
        <x:v>62544.96078843201</x:v>
      </x:c>
      <x:c r="M100" s="6" t="d">
        <x:v>2025-07-02T00:00:00.000Z</x:v>
      </x:c>
      <x:c r="N100" s="12" t="n">
        <x:v>9.41</x:v>
      </x:c>
      <x:c r="O100" s="8" t="n">
        <x:v>587959.532938126</x:v>
      </x:c>
      <x:c r="P100" s="8" t="n">
        <x:v>664.8529331809841</x:v>
      </x:c>
      <x:c r="Q100" s="8" t="n">
        <x:v>588.5480810191452</x:v>
      </x:c>
      <x:c r="R100" s="8" t="n">
        <x:f>O100-J100</x:f>
        <x:v>-77558.25317608728</x:v>
      </x:c>
      <x:c r="S100" s="9" t="n">
        <x:f>R100/J100</x:f>
        <x:v>-0.11653821249305735</x:v>
      </x:c>
      <x:c r="T100" s="2" t="n">
        <x:v>0</x:v>
      </x:c>
      <x:c r="U100" s="9" t="n">
        <x:v>0.030046948356808</x:v>
      </x:c>
      <x:c r="V100" s="9" t="n">
        <x:v>-0.035680751173709</x:v>
      </x:c>
      <x:c r="W100" s="9" t="n">
        <x:v>0.032863849765258</x:v>
      </x:c>
      <x:c r="X100" s="9" t="n">
        <x:v>-0.007476635514019</x:v>
      </x:c>
    </x:row>
    <x:row r="101">
      <x:c r="A101" s="2" t="str">
        <x:v>不加形态</x:v>
      </x:c>
      <x:c r="B101" s="6" t="d">
        <x:v>2025-07-01T00:00:00.000Z</x:v>
      </x:c>
      <x:c r="C101" s="6" t="d">
        <x:v>2025-07-02T00:00:00.000Z</x:v>
      </x:c>
      <x:c r="D101" s="7" t="str">
        <x:v>002173</x:v>
      </x:c>
      <x:c r="E101" s="2" t="n">
        <x:v>2</x:v>
      </x:c>
      <x:c r="F101" s="11" t="n">
        <x:v>0.7156066677046832</x:v>
      </x:c>
      <x:c r="G101" s="2" t="str">
        <x:v>五分最高涨幅&gt;=6% 且 五分最低涨幅&gt;=-3%</x:v>
      </x:c>
      <x:c r="H101" s="2" t="str">
        <x:v>09:36</x:v>
      </x:c>
      <x:c r="I101" s="2" t="str">
        <x:v>余款全买</x:v>
      </x:c>
      <x:c r="J101" s="8" t="n">
        <x:v>622166.3301266278</x:v>
      </x:c>
      <x:c r="K101" s="12" t="n">
        <x:v>16.11</x:v>
      </x:c>
      <x:c r="L101" s="8" t="n">
        <x:v>38581.30262826112</x:v>
      </x:c>
      <x:c r="M101" s="6" t="d">
        <x:v>2025-07-03T00:00:00.000Z</x:v>
      </x:c>
      <x:c r="N101" s="12" t="n">
        <x:v>15.32</x:v>
      </x:c>
      <x:c r="O101" s="8" t="n">
        <x:v>590474.4907086954</x:v>
      </x:c>
      <x:c r="P101" s="8" t="n">
        <x:v>621.5447853412479</x:v>
      </x:c>
      <x:c r="Q101" s="8" t="n">
        <x:v>591.0655562649604</x:v>
      </x:c>
      <x:c r="R101" s="8" t="n">
        <x:f>O101-J101</x:f>
        <x:v>-31691.83941793244</x:v>
      </x:c>
      <x:c r="S101" s="9" t="n">
        <x:f>R101/J101</x:f>
        <x:v>-0.0509378889267156</x:v>
      </x:c>
      <x:c r="T101" s="2" t="n">
        <x:v>0</x:v>
      </x:c>
      <x:c r="U101" s="9" t="n">
        <x:v>0.059311224489796</x:v>
      </x:c>
      <x:c r="V101" s="9" t="n">
        <x:v>0.001913265306122</x:v>
      </x:c>
      <x:c r="W101" s="9" t="n">
        <x:v>0.032525510204082</x:v>
      </x:c>
      <x:c r="X101" s="9" t="n">
        <x:v>0.024824952259707</x:v>
      </x:c>
    </x:row>
    <x:row r="102">
      <x:c r="A102" s="2" t="str">
        <x:v>不加形态</x:v>
      </x:c>
      <x:c r="B102" s="6" t="d">
        <x:v>2025-07-02T00:00:00.000Z</x:v>
      </x:c>
      <x:c r="C102" s="6" t="d">
        <x:v>2025-07-03T00:00:00.000Z</x:v>
      </x:c>
      <x:c r="D102" s="7" t="str">
        <x:v>603316</x:v>
      </x:c>
      <x:c r="E102" s="2" t="n">
        <x:v>2</x:v>
      </x:c>
      <x:c r="F102" s="11" t="n">
        <x:v>0.754023531945604</x:v>
      </x:c>
      <x:c r="G102" s="2" t="str">
        <x:v>五分最高涨幅&gt;=6% 且 五分最低涨幅&gt;=-3%</x:v>
      </x:c>
      <x:c r="H102" s="2" t="str">
        <x:v>09:36</x:v>
      </x:c>
      <x:c r="I102" s="2" t="str">
        <x:v>余款全买</x:v>
      </x:c>
      <x:c r="J102" s="8" t="n">
        <x:v>587959.532938126</x:v>
      </x:c>
      <x:c r="K102" s="12" t="n">
        <x:v>11.56</x:v>
      </x:c>
      <x:c r="L102" s="8" t="n">
        <x:v>50810.740551673756</x:v>
      </x:c>
      <x:c r="M102" s="6" t="d">
        <x:v>2025-07-04T00:00:00.000Z</x:v>
      </x:c>
      <x:c r="N102" s="12" t="n">
        <x:v>11.62</x:v>
      </x:c>
      <x:c r="O102" s="8" t="n">
        <x:v>589830.3844052386</x:v>
      </x:c>
      <x:c r="P102" s="8" t="n">
        <x:v>587.3721607773332</x:v>
      </x:c>
      <x:c r="Q102" s="8" t="n">
        <x:v>590.4208052104491</x:v>
      </x:c>
      <x:c r="R102" s="8" t="n">
        <x:f>O102-J102</x:f>
        <x:v>1870.851467112545</x:v>
      </x:c>
      <x:c r="S102" s="9" t="n">
        <x:f>R102/J102</x:f>
        <x:v>0.0031819391680981968</x:v>
      </x:c>
      <x:c r="T102" s="2" t="n">
        <x:v>1</x:v>
      </x:c>
      <x:c r="U102" s="9" t="n">
        <x:v>0.100183823529412</x:v>
      </x:c>
      <x:c r="V102" s="9" t="n">
        <x:v>0.020220588235294</x:v>
      </x:c>
      <x:c r="W102" s="9" t="n">
        <x:v>0.035845588235294</x:v>
      </x:c>
      <x:c r="X102" s="9" t="n">
        <x:v>0.043243243243243</x:v>
      </x:c>
    </x:row>
    <x:row r="103">
      <x:c r="A103" s="2" t="str">
        <x:v>不加形态</x:v>
      </x:c>
      <x:c r="B103" s="6" t="d">
        <x:v>2025-07-03T00:00:00.000Z</x:v>
      </x:c>
      <x:c r="C103" s="6" t="d">
        <x:v>2025-07-04T00:00:00.000Z</x:v>
      </x:c>
      <x:c r="D103" s="7" t="str">
        <x:v>601218</x:v>
      </x:c>
      <x:c r="E103" s="2" t="n">
        <x:v>1</x:v>
      </x:c>
      <x:c r="F103" s="11" t="n">
        <x:v>0.805412097516874</x:v>
      </x:c>
      <x:c r="G103" s="2" t="str">
        <x:v>五分最高涨幅&gt;=6% 且 五分最低涨幅&gt;=-3%</x:v>
      </x:c>
      <x:c r="H103" s="2" t="str">
        <x:v>09:36</x:v>
      </x:c>
      <x:c r="I103" s="2" t="str">
        <x:v>余款全买</x:v>
      </x:c>
      <x:c r="J103" s="8" t="n">
        <x:v>590474.4907086954</x:v>
      </x:c>
      <x:c r="K103" s="12" t="n">
        <x:v>5</x:v>
      </x:c>
      <x:c r="L103" s="8" t="n">
        <x:v>117976.92122051858</x:v>
      </x:c>
      <x:c r="M103" s="6" t="d">
        <x:v>2025-07-07T00:00:00.000Z</x:v>
      </x:c>
      <x:c r="N103" s="12" t="n">
        <x:v>4.49</x:v>
      </x:c>
      <x:c r="O103" s="8" t="n">
        <x:v>529186.6599038482</x:v>
      </x:c>
      <x:c r="P103" s="8" t="n">
        <x:v>589.8846061024815</x:v>
      </x:c>
      <x:c r="Q103" s="8" t="n">
        <x:v>529.7163762801284</x:v>
      </x:c>
      <x:c r="R103" s="8" t="n">
        <x:f>O103-J103</x:f>
        <x:v>-61287.83080484718</x:v>
      </x:c>
      <x:c r="S103" s="9" t="n">
        <x:f>R103/J103</x:f>
        <x:v>-0.10379420579420578</x:v>
      </x:c>
      <x:c r="T103" s="2" t="n">
        <x:v>0</x:v>
      </x:c>
      <x:c r="U103" s="9" t="n">
        <x:v>-0.012797074954296</x:v>
      </x:c>
      <x:c r="V103" s="9" t="n">
        <x:v>-0.095063985374771</x:v>
      </x:c>
      <x:c r="W103" s="9" t="n">
        <x:v>0.073126142595978</x:v>
      </x:c>
      <x:c r="X103" s="9" t="n">
        <x:v>-0.072356215213358</x:v>
      </x:c>
    </x:row>
    <x:row r="104">
      <x:c r="A104" s="2" t="str">
        <x:v>不加形态</x:v>
      </x:c>
      <x:c r="B104" s="6" t="d">
        <x:v>2025-07-04T00:00:00.000Z</x:v>
      </x:c>
      <x:c r="C104" s="6" t="d">
        <x:v>2025-07-07T00:00:00.000Z</x:v>
      </x:c>
      <x:c r="D104" s="7" t="str">
        <x:v>603716</x:v>
      </x:c>
      <x:c r="E104" s="2" t="n">
        <x:v>1</x:v>
      </x:c>
      <x:c r="F104" s="11" t="n">
        <x:v>0.800455264259689</x:v>
      </x:c>
      <x:c r="G104" s="2" t="str">
        <x:v>五分最高涨幅&gt;=6% 且 五分最低涨幅&gt;=-3%</x:v>
      </x:c>
      <x:c r="H104" s="2" t="str">
        <x:v>09:36</x:v>
      </x:c>
      <x:c r="I104" s="2" t="str">
        <x:v>余款全买</x:v>
      </x:c>
      <x:c r="J104" s="8" t="n">
        <x:v>589830.3844052386</x:v>
      </x:c>
      <x:c r="K104" s="12" t="n">
        <x:v>22.83</x:v>
      </x:c>
      <x:c r="L104" s="8" t="n">
        <x:v>25809.949332543878</x:v>
      </x:c>
      <x:c r="M104" s="6" t="d">
        <x:v>2025-07-08T00:00:00.000Z</x:v>
      </x:c>
      <x:c r="N104" s="12" t="n">
        <x:v>21.19</x:v>
      </x:c>
      <x:c r="O104" s="8" t="n">
        <x:v>546365.9135302482</x:v>
      </x:c>
      <x:c r="P104" s="8" t="n">
        <x:v>589.2411432618974</x:v>
      </x:c>
      <x:c r="Q104" s="8" t="n">
        <x:v>546.9128263566048</x:v>
      </x:c>
      <x:c r="R104" s="8" t="n">
        <x:f>O104-J104</x:f>
        <x:v>-43464.47087499034</x:v>
      </x:c>
      <x:c r="S104" s="9" t="n">
        <x:f>R104/J104</x:f>
        <x:v>-0.07368977934023893</x:v>
      </x:c>
      <x:c r="T104" s="2" t="n">
        <x:v>0</x:v>
      </x:c>
      <x:c r="U104" s="9" t="n">
        <x:v>0.100094876660342</x:v>
      </x:c>
      <x:c r="V104" s="9" t="n">
        <x:v>0.019924098671727</x:v>
      </x:c>
      <x:c r="W104" s="9" t="n">
        <x:v>0.01707779886148</x:v>
      </x:c>
      <x:c r="X104" s="9" t="n">
        <x:v>0.042465753424658</x:v>
      </x:c>
    </x:row>
    <x:row r="105">
      <x:c r="A105" s="2" t="str">
        <x:v>不加形态</x:v>
      </x:c>
      <x:c r="B105" s="6" t="d">
        <x:v>2025-07-07T00:00:00.000Z</x:v>
      </x:c>
      <x:c r="C105" s="6" t="d">
        <x:v>2025-07-08T00:00:00.000Z</x:v>
      </x:c>
      <x:c r="D105" s="7" t="str">
        <x:v>002721</x:v>
      </x:c>
      <x:c r="E105" s="2" t="n">
        <x:v>2</x:v>
      </x:c>
      <x:c r="F105" s="11" t="n">
        <x:v>0.7660313775036866</x:v>
      </x:c>
      <x:c r="G105" s="2" t="str">
        <x:v>五分最高涨幅&gt;=6% 且 五分最低涨幅&gt;=-3%</x:v>
      </x:c>
      <x:c r="H105" s="2" t="str">
        <x:v>09:36</x:v>
      </x:c>
      <x:c r="I105" s="2" t="str">
        <x:v>余款全买</x:v>
      </x:c>
      <x:c r="J105" s="8" t="n">
        <x:v>529186.6599038482</x:v>
      </x:c>
      <x:c r="K105" s="12" t="n">
        <x:v>4.5</x:v>
      </x:c>
      <x:c r="L105" s="8" t="n">
        <x:v>117479.55597821028</x:v>
      </x:c>
      <x:c r="M105" s="6" t="d">
        <x:v>2025-07-09T00:00:00.000Z</x:v>
      </x:c>
      <x:c r="N105" s="12" t="n">
        <x:v>4.9</x:v>
      </x:c>
      <x:c r="O105" s="8" t="n">
        <x:v>575074.1744689372</x:v>
      </x:c>
      <x:c r="P105" s="8" t="n">
        <x:v>528.6580019019311</x:v>
      </x:c>
      <x:c r="Q105" s="8" t="n">
        <x:v>575.6498242932305</x:v>
      </x:c>
      <x:c r="R105" s="8" t="n">
        <x:f>O105-J105</x:f>
        <x:v>45887.51456508902</x:v>
      </x:c>
      <x:c r="S105" s="9" t="n">
        <x:f>R105/J105</x:f>
        <x:v>0.08671328671328687</x:v>
      </x:c>
      <x:c r="T105" s="2" t="n">
        <x:v>0</x:v>
      </x:c>
      <x:c r="U105" s="9" t="n">
        <x:v>0.042986425339367</x:v>
      </x:c>
      <x:c r="V105" s="9" t="n">
        <x:v>-0.033936651583711</x:v>
      </x:c>
      <x:c r="W105" s="9" t="n">
        <x:v>0.02262443438914</x:v>
      </x:c>
      <x:c r="X105" s="9" t="n">
        <x:v>0.011210762331838</x:v>
      </x:c>
    </x:row>
    <x:row r="106">
      <x:c r="A106" s="2" t="str">
        <x:v>不加形态</x:v>
      </x:c>
      <x:c r="B106" s="6" t="d">
        <x:v>2025-07-08T00:00:00.000Z</x:v>
      </x:c>
      <x:c r="C106" s="6" t="d">
        <x:v>2025-07-09T00:00:00.000Z</x:v>
      </x:c>
      <x:c r="D106" s="7" t="str">
        <x:v>600744</x:v>
      </x:c>
      <x:c r="E106" s="2" t="n">
        <x:v>2</x:v>
      </x:c>
      <x:c r="F106" s="11" t="n">
        <x:v>0.7495332291809412</x:v>
      </x:c>
      <x:c r="G106" s="2" t="str">
        <x:v>五分最高涨幅&gt;=6% 且 五分最低涨幅&gt;=-3%</x:v>
      </x:c>
      <x:c r="H106" s="2" t="str">
        <x:v>09:36</x:v>
      </x:c>
      <x:c r="I106" s="2" t="str">
        <x:v>余款全买</x:v>
      </x:c>
      <x:c r="J106" s="8" t="n">
        <x:v>546365.9135302482</x:v>
      </x:c>
      <x:c r="K106" s="12" t="n">
        <x:v>8.09</x:v>
      </x:c>
      <x:c r="L106" s="8" t="n">
        <x:v>67468.49115411761</x:v>
      </x:c>
      <x:c r="M106" s="6" t="d">
        <x:v>2025-07-10T00:00:00.000Z</x:v>
      </x:c>
      <x:c r="N106" s="12" t="n">
        <x:v>7.97</x:v>
      </x:c>
      <x:c r="O106" s="8" t="n">
        <x:v>537186.1506238191</x:v>
      </x:c>
      <x:c r="P106" s="8" t="n">
        <x:v>545.8200934367487</x:v>
      </x:c>
      <x:c r="Q106" s="8" t="n">
        <x:v>537.7238744983174</x:v>
      </x:c>
      <x:c r="R106" s="8" t="n">
        <x:f>O106-J106</x:f>
        <x:v>-9179.762906429125</x:v>
      </x:c>
      <x:c r="S106" s="9" t="n">
        <x:f>R106/J106</x:f>
        <x:v>-0.016801492697660594</x:v>
      </x:c>
      <x:c r="T106" s="2" t="n">
        <x:v>1</x:v>
      </x:c>
      <x:c r="U106" s="9" t="n">
        <x:v>0.100407055630936</x:v>
      </x:c>
      <x:c r="V106" s="9" t="n">
        <x:v>0.029850746268657</x:v>
      </x:c>
      <x:c r="W106" s="9" t="n">
        <x:v>0.002713704206241</x:v>
      </x:c>
      <x:c r="X106" s="9" t="n">
        <x:v>0.065876152832675</x:v>
      </x:c>
    </x:row>
    <x:row r="107">
      <x:c r="A107" s="2" t="str">
        <x:v>不加形态</x:v>
      </x:c>
      <x:c r="B107" s="6" t="d">
        <x:v>2025-07-09T00:00:00.000Z</x:v>
      </x:c>
      <x:c r="C107" s="6" t="d">
        <x:v>2025-07-10T00:00:00.000Z</x:v>
      </x:c>
      <x:c r="D107" s="7" t="str">
        <x:v>600744</x:v>
      </x:c>
      <x:c r="E107" s="2" t="n">
        <x:v>2</x:v>
      </x:c>
      <x:c r="F107" s="11" t="n">
        <x:v>0.7643871763139907</x:v>
      </x:c>
      <x:c r="G107" s="2" t="str">
        <x:v>五分最高涨幅&gt;=6% 且 五分最低涨幅&gt;=-3%</x:v>
      </x:c>
      <x:c r="H107" s="2" t="str">
        <x:v>09:36</x:v>
      </x:c>
      <x:c r="I107" s="2" t="str">
        <x:v>余款全买</x:v>
      </x:c>
      <x:c r="J107" s="8" t="n">
        <x:v>575074.1744689372</x:v>
      </x:c>
      <x:c r="K107" s="12" t="n">
        <x:v>8.27</x:v>
      </x:c>
      <x:c r="L107" s="8" t="n">
        <x:v>69467.91714560377</x:v>
      </x:c>
      <x:c r="M107" s="6" t="d">
        <x:v>2025-07-11T00:00:00.000Z</x:v>
      </x:c>
      <x:c r="N107" s="12" t="n">
        <x:v>8.58</x:v>
      </x:c>
      <x:c r="O107" s="8" t="n">
        <x:v>595438.6943801711</x:v>
      </x:c>
      <x:c r="P107" s="8" t="n">
        <x:v>574.4996747940313</x:v>
      </x:c>
      <x:c r="Q107" s="8" t="n">
        <x:v>596.0347291092804</x:v>
      </x:c>
      <x:c r="R107" s="8" t="n">
        <x:f>O107-J107</x:f>
        <x:v>20364.519911233918</x:v>
      </x:c>
      <x:c r="S107" s="9" t="n">
        <x:f>R107/J107</x:f>
        <x:v>0.03541198825358469</x:v>
      </x:c>
      <x:c r="T107" s="2" t="n">
        <x:v>0</x:v>
      </x:c>
      <x:c r="U107" s="9" t="n">
        <x:v>0.055487053020962</x:v>
      </x:c>
      <x:c r="V107" s="9" t="n">
        <x:v>-0.044389642416769</x:v>
      </x:c>
      <x:c r="W107" s="9" t="n">
        <x:v>0.035758323057953</x:v>
      </x:c>
      <x:c r="X107" s="9" t="n">
        <x:v>0.019728729963009</x:v>
      </x:c>
    </x:row>
    <x:row r="108">
      <x:c r="A108" s="2" t="str">
        <x:v>不加形态</x:v>
      </x:c>
      <x:c r="B108" s="6" t="d">
        <x:v>2025-07-10T00:00:00.000Z</x:v>
      </x:c>
      <x:c r="C108" s="6" t="d">
        <x:v>2025-07-11T00:00:00.000Z</x:v>
      </x:c>
      <x:c r="D108" s="7" t="str">
        <x:v>605500</x:v>
      </x:c>
      <x:c r="E108" s="2" t="n">
        <x:v>1</x:v>
      </x:c>
      <x:c r="F108" s="11" t="n">
        <x:v>0.7693516966102247</x:v>
      </x:c>
      <x:c r="G108" s="2" t="str">
        <x:v>五分最高涨幅&gt;=6% 且 五分最低涨幅&gt;=-3%</x:v>
      </x:c>
      <x:c r="H108" s="2" t="str">
        <x:v>09:36</x:v>
      </x:c>
      <x:c r="I108" s="2" t="str">
        <x:v>余款全买</x:v>
      </x:c>
      <x:c r="J108" s="8" t="n">
        <x:v>537186.1506238191</x:v>
      </x:c>
      <x:c r="K108" s="12" t="n">
        <x:v>14.19</x:v>
      </x:c>
      <x:c r="L108" s="8" t="n">
        <x:v>37818.85138285387</x:v>
      </x:c>
      <x:c r="M108" s="6" t="d">
        <x:v>2025-07-14T00:00:00.000Z</x:v>
      </x:c>
      <x:c r="N108" s="12" t="n">
        <x:v>13.2</x:v>
      </x:c>
      <x:c r="O108" s="8" t="n">
        <x:v>498709.6294154174</x:v>
      </x:c>
      <x:c r="P108" s="8" t="n">
        <x:v>536.6495011226507</x:v>
      </x:c>
      <x:c r="Q108" s="8" t="n">
        <x:v>499.2088382536711</x:v>
      </x:c>
      <x:c r="R108" s="8" t="n">
        <x:f>O108-J108</x:f>
        <x:v>-38476.52120840171</x:v>
      </x:c>
      <x:c r="S108" s="9" t="n">
        <x:f>R108/J108</x:f>
        <x:v>-0.07162604837023444</x:v>
      </x:c>
      <x:c r="T108" s="2" t="n">
        <x:v>1</x:v>
      </x:c>
      <x:c r="U108" s="9" t="n">
        <x:v>0.082078313253012</x:v>
      </x:c>
      <x:c r="V108" s="9" t="n">
        <x:v>-0.009789156626506</x:v>
      </x:c>
      <x:c r="W108" s="9" t="n">
        <x:v>0.011295180722891</x:v>
      </x:c>
      <x:c r="X108" s="9" t="n">
        <x:v>0.028943560057887</x:v>
      </x:c>
    </x:row>
    <x:row r="109">
      <x:c r="A109" s="2" t="str">
        <x:v>不加形态</x:v>
      </x:c>
      <x:c r="B109" s="6" t="d">
        <x:v>2025-07-11T00:00:00.000Z</x:v>
      </x:c>
      <x:c r="C109" s="6" t="d">
        <x:v>2025-07-14T00:00:00.000Z</x:v>
      </x:c>
      <x:c r="D109" s="7" t="str">
        <x:v>000010</x:v>
      </x:c>
      <x:c r="E109" s="2" t="n">
        <x:v>1</x:v>
      </x:c>
      <x:c r="F109" s="11" t="n">
        <x:v>0.7768520764993451</x:v>
      </x:c>
      <x:c r="G109" s="2" t="str">
        <x:v>五分最高涨幅&gt;=6% 且 五分最低涨幅&gt;=-3%</x:v>
      </x:c>
      <x:c r="H109" s="2" t="str">
        <x:v>09:36</x:v>
      </x:c>
      <x:c r="I109" s="2" t="str">
        <x:v>余款全买</x:v>
      </x:c>
      <x:c r="J109" s="8" t="n">
        <x:v>595438.6943801711</x:v>
      </x:c>
      <x:c r="K109" s="12" t="n">
        <x:v>3.84</x:v>
      </x:c>
      <x:c r="L109" s="8" t="n">
        <x:v>154907.25274209416</x:v>
      </x:c>
      <x:c r="M109" s="6" t="d">
        <x:v>2025-07-15T00:00:00.000Z</x:v>
      </x:c>
      <x:c r="N109" s="12" t="n">
        <x:v>3.73</x:v>
      </x:c>
      <x:c r="O109" s="8" t="n">
        <x:v>577226.2486752833</x:v>
      </x:c>
      <x:c r="P109" s="8" t="n">
        <x:v>594.8438505295198</x:v>
      </x:c>
      <x:c r="Q109" s="8" t="n">
        <x:v>577.8040527280112</x:v>
      </x:c>
      <x:c r="R109" s="8" t="n">
        <x:f>O109-J109</x:f>
        <x:v>-18212.445704887854</x:v>
      </x:c>
      <x:c r="S109" s="9" t="n">
        <x:f>R109/J109</x:f>
        <x:v>-0.03058660089910064</x:v>
      </x:c>
      <x:c r="T109" s="2" t="n">
        <x:v>0</x:v>
      </x:c>
      <x:c r="U109" s="9" t="n">
        <x:v>0.00251256281407</x:v>
      </x:c>
      <x:c r="V109" s="9" t="n">
        <x:v>-0.07035175879397</x:v>
      </x:c>
      <x:c r="W109" s="9" t="n">
        <x:v>0.040201005025126</x:v>
      </x:c>
      <x:c r="X109" s="9" t="n">
        <x:v>-0.037688442211055</x:v>
      </x:c>
    </x:row>
    <x:row r="110">
      <x:c r="A110" s="2" t="str">
        <x:v>不加形态</x:v>
      </x:c>
      <x:c r="B110" s="6" t="d">
        <x:v>2025-07-14T00:00:00.000Z</x:v>
      </x:c>
      <x:c r="C110" s="6" t="d">
        <x:v>2025-07-15T00:00:00.000Z</x:v>
      </x:c>
      <x:c r="D110" s="7" t="str">
        <x:v>600513</x:v>
      </x:c>
      <x:c r="E110" s="2" t="n">
        <x:v>1</x:v>
      </x:c>
      <x:c r="F110" s="11" t="n">
        <x:v>0.7742293756751497</x:v>
      </x:c>
      <x:c r="G110" s="2" t="str">
        <x:v>五分最高涨幅&gt;=6% 且 五分最低涨幅&gt;=-3%</x:v>
      </x:c>
      <x:c r="H110" s="2" t="str">
        <x:v>09:36</x:v>
      </x:c>
      <x:c r="I110" s="2" t="str">
        <x:v>余款全买</x:v>
      </x:c>
      <x:c r="J110" s="8" t="n">
        <x:v>498709.6294154174</x:v>
      </x:c>
      <x:c r="K110" s="12" t="n">
        <x:v>14.98</x:v>
      </x:c>
      <x:c r="L110" s="8" t="n">
        <x:v>33258.439118652874</x:v>
      </x:c>
      <x:c r="M110" s="6" t="d">
        <x:v>2025-07-16T00:00:00.000Z</x:v>
      </x:c>
      <x:c r="N110" s="12" t="n">
        <x:v>16.31</x:v>
      </x:c>
      <x:c r="O110" s="8" t="n">
        <x:v>541902.6968832031</x:v>
      </x:c>
      <x:c r="P110" s="8" t="n">
        <x:v>498.21141799737234</x:v>
      </x:c>
      <x:c r="Q110" s="8" t="n">
        <x:v>542.4451420252284</x:v>
      </x:c>
      <x:c r="R110" s="8" t="n">
        <x:f>O110-J110</x:f>
        <x:v>43193.06746778573</x:v>
      </x:c>
      <x:c r="S110" s="9" t="n">
        <x:f>R110/J110</x:f>
        <x:v>0.08660965203021291</x:v>
      </x:c>
      <x:c r="T110" s="2" t="n">
        <x:v>1</x:v>
      </x:c>
      <x:c r="U110" s="9" t="n">
        <x:v>-0.029126213592233</x:v>
      </x:c>
      <x:c r="V110" s="9" t="n">
        <x:v>-0.100121359223301</x:v>
      </x:c>
      <x:c r="W110" s="9" t="n">
        <x:v>0.059466019417476</x:v>
      </x:c>
      <x:c r="X110" s="9" t="n">
        <x:v>-0.06125</x:v>
      </x:c>
    </x:row>
    <x:row r="111">
      <x:c r="A111" s="2" t="str">
        <x:v>不加形态</x:v>
      </x:c>
      <x:c r="B111" s="6" t="d">
        <x:v>2025-07-15T00:00:00.000Z</x:v>
      </x:c>
      <x:c r="C111" s="6" t="d">
        <x:v>2025-07-16T00:00:00.000Z</x:v>
      </x:c>
      <x:c r="D111" s="7" t="str">
        <x:v>002645</x:v>
      </x:c>
      <x:c r="E111" s="2" t="n">
        <x:v>1</x:v>
      </x:c>
      <x:c r="F111" s="11" t="n">
        <x:v>0.7814565871260017</x:v>
      </x:c>
      <x:c r="G111" s="2" t="str">
        <x:v>五分最高涨幅&gt;=6% 且 五分最低涨幅&gt;=-3%</x:v>
      </x:c>
      <x:c r="H111" s="2" t="str">
        <x:v>09:36</x:v>
      </x:c>
      <x:c r="I111" s="2" t="str">
        <x:v>余款全买</x:v>
      </x:c>
      <x:c r="J111" s="8" t="n">
        <x:v>577226.2486752833</x:v>
      </x:c>
      <x:c r="K111" s="12" t="n">
        <x:v>13.33</x:v>
      </x:c>
      <x:c r="L111" s="8" t="n">
        <x:v>43259.53481441914</x:v>
      </x:c>
      <x:c r="M111" s="6" t="d">
        <x:v>2025-07-17T00:00:00.000Z</x:v>
      </x:c>
      <x:c r="N111" s="12" t="n">
        <x:v>13.03</x:v>
      </x:c>
      <x:c r="O111" s="8" t="n">
        <x:v>563108.0668932494</x:v>
      </x:c>
      <x:c r="P111" s="8" t="n">
        <x:v>576.6495990761323</x:v>
      </x:c>
      <x:c r="Q111" s="8" t="n">
        <x:v>563.6717386318813</x:v>
      </x:c>
      <x:c r="R111" s="8" t="n">
        <x:f>O111-J111</x:f>
        <x:v>-14118.181782033877</x:v>
      </x:c>
      <x:c r="S111" s="9" t="n">
        <x:f>R111/J111</x:f>
        <x:v>-0.024458662118077054</x:v>
      </x:c>
      <x:c r="T111" s="2" t="n">
        <x:v>1</x:v>
      </x:c>
      <x:c r="U111" s="9" t="n">
        <x:v>0.078260869565217</x:v>
      </x:c>
      <x:c r="V111" s="9" t="n">
        <x:v>0.017391304347826</x:v>
      </x:c>
      <x:c r="W111" s="9" t="n">
        <x:v>0.024505928853755</x:v>
      </x:c>
      <x:c r="X111" s="9" t="n">
        <x:v>0.034937888198758</x:v>
      </x:c>
    </x:row>
    <x:row r="112">
      <x:c r="A112" s="2" t="str">
        <x:v>不加形态</x:v>
      </x:c>
      <x:c r="B112" s="6" t="d">
        <x:v>2025-07-16T00:00:00.000Z</x:v>
      </x:c>
      <x:c r="C112" s="6" t="d">
        <x:v>2025-07-17T00:00:00.000Z</x:v>
      </x:c>
      <x:c r="D112" s="7" t="str">
        <x:v>600822</x:v>
      </x:c>
      <x:c r="E112" s="2" t="n">
        <x:v>2</x:v>
      </x:c>
      <x:c r="F112" s="11" t="n">
        <x:v>0.7465305481507912</x:v>
      </x:c>
      <x:c r="G112" s="2" t="str">
        <x:v>五分最高涨幅&gt;=6% 且 五分最低涨幅&gt;=-3%</x:v>
      </x:c>
      <x:c r="H112" s="2" t="str">
        <x:v>09:36</x:v>
      </x:c>
      <x:c r="I112" s="2" t="str">
        <x:v>余款全买</x:v>
      </x:c>
      <x:c r="J112" s="8" t="n">
        <x:v>541902.6968832031</x:v>
      </x:c>
      <x:c r="K112" s="12" t="n">
        <x:v>15.8</x:v>
      </x:c>
      <x:c r="L112" s="8" t="n">
        <x:v>34263.37566757313</x:v>
      </x:c>
      <x:c r="M112" s="6" t="d">
        <x:v>2025-07-18T00:00:00.000Z</x:v>
      </x:c>
      <x:c r="N112" s="12" t="n">
        <x:v>15.4</x:v>
      </x:c>
      <x:c r="O112" s="8" t="n">
        <x:v>527128.3292953456</x:v>
      </x:c>
      <x:c r="P112" s="8" t="n">
        <x:v>541.3613355476409</x:v>
      </x:c>
      <x:c r="Q112" s="8" t="n">
        <x:v>527.6559852806263</x:v>
      </x:c>
      <x:c r="R112" s="8" t="n">
        <x:f>O112-J112</x:f>
        <x:v>-14774.36758785753</x:v>
      </x:c>
      <x:c r="S112" s="9" t="n">
        <x:f>R112/J112</x:f>
        <x:v>-0.02726387536514118</x:v>
      </x:c>
      <x:c r="T112" s="2" t="n">
        <x:v>1</x:v>
      </x:c>
      <x:c r="U112" s="9" t="n">
        <x:v>0.091592617908407</x:v>
      </x:c>
      <x:c r="V112" s="9" t="n">
        <x:v>0.020505809979494</x:v>
      </x:c>
      <x:c r="W112" s="9" t="n">
        <x:v>0.007518796992481</x:v>
      </x:c>
      <x:c r="X112" s="9" t="n">
        <x:v>0.062290689886135</x:v>
      </x:c>
    </x:row>
    <x:row r="113">
      <x:c r="A113" s="2" t="str">
        <x:v>不加形态</x:v>
      </x:c>
      <x:c r="B113" s="6" t="d">
        <x:v>2025-07-17T00:00:00.000Z</x:v>
      </x:c>
      <x:c r="C113" s="6" t="d">
        <x:v>2025-07-18T00:00:00.000Z</x:v>
      </x:c>
      <x:c r="D113" s="7" t="str">
        <x:v>002394</x:v>
      </x:c>
      <x:c r="E113" s="2" t="n">
        <x:v>1</x:v>
      </x:c>
      <x:c r="F113" s="11" t="n">
        <x:v>0.7444790341773349</x:v>
      </x:c>
      <x:c r="G113" s="2" t="str">
        <x:v>五分最高涨幅&gt;=6% 且 五分最低涨幅&gt;=-3%</x:v>
      </x:c>
      <x:c r="H113" s="2" t="str">
        <x:v>09:36</x:v>
      </x:c>
      <x:c r="I113" s="2" t="str">
        <x:v>余款全买</x:v>
      </x:c>
      <x:c r="J113" s="8" t="n">
        <x:v>563108.0668932494</x:v>
      </x:c>
      <x:c r="K113" s="12" t="n">
        <x:v>11.5</x:v>
      </x:c>
      <x:c r="L113" s="8" t="n">
        <x:v>48917.00185842414</x:v>
      </x:c>
      <x:c r="M113" s="6" t="d">
        <x:v>2025-07-21T00:00:00.000Z</x:v>
      </x:c>
      <x:c r="N113" s="12" t="n">
        <x:v>11.2</x:v>
      </x:c>
      <x:c r="O113" s="8" t="n">
        <x:v>547322.550393536</x:v>
      </x:c>
      <x:c r="P113" s="8" t="n">
        <x:v>562.5455213717651</x:v>
      </x:c>
      <x:c r="Q113" s="8" t="n">
        <x:v>547.8704208143504</x:v>
      </x:c>
      <x:c r="R113" s="8" t="n">
        <x:f>O113-J113</x:f>
        <x:v>-15785.516499713412</x:v>
      </x:c>
      <x:c r="S113" s="9" t="n">
        <x:f>R113/J113</x:f>
        <x:v>-0.028032836728488806</x:v>
      </x:c>
      <x:c r="T113" s="2" t="n">
        <x:v>0</x:v>
      </x:c>
      <x:c r="U113" s="9" t="n">
        <x:v>0.06473594548552</x:v>
      </x:c>
      <x:c r="V113" s="9" t="n">
        <x:v>-0.039182282793867</x:v>
      </x:c>
      <x:c r="W113" s="9" t="n">
        <x:v>0.085178875638842</x:v>
      </x:c>
      <x:c r="X113" s="9" t="n">
        <x:v>-0.055829228243021</x:v>
      </x:c>
    </x:row>
    <x:row r="114">
      <x:c r="A114" s="2" t="str">
        <x:v>不加形态</x:v>
      </x:c>
      <x:c r="B114" s="6" t="d">
        <x:v>2025-07-18T00:00:00.000Z</x:v>
      </x:c>
      <x:c r="C114" s="6" t="d">
        <x:v>2025-07-21T00:00:00.000Z</x:v>
      </x:c>
      <x:c r="D114" s="7" t="str">
        <x:v>600620</x:v>
      </x:c>
      <x:c r="E114" s="2" t="n">
        <x:v>1</x:v>
      </x:c>
      <x:c r="F114" s="11" t="n">
        <x:v>0.7575600911978493</x:v>
      </x:c>
      <x:c r="G114" s="2" t="str">
        <x:v>五分最高涨幅&gt;=6% 且 五分最低涨幅&gt;=-3%</x:v>
      </x:c>
      <x:c r="H114" s="2" t="str">
        <x:v>09:36</x:v>
      </x:c>
      <x:c r="I114" s="2" t="str">
        <x:v>余款全买</x:v>
      </x:c>
      <x:c r="J114" s="8" t="n">
        <x:v>527128.3292953456</x:v>
      </x:c>
      <x:c r="K114" s="12" t="n">
        <x:v>8.07</x:v>
      </x:c>
      <x:c r="L114" s="8" t="n">
        <x:v>65254.24133429713</x:v>
      </x:c>
      <x:c r="M114" s="6" t="d">
        <x:v>2025-07-22T00:00:00.000Z</x:v>
      </x:c>
      <x:c r="N114" s="12" t="n">
        <x:v>6.84</x:v>
      </x:c>
      <x:c r="O114" s="8" t="n">
        <x:v>445892.6717158657</x:v>
      </x:c>
      <x:c r="P114" s="8" t="n">
        <x:v>526.6017275677295</x:v>
      </x:c>
      <x:c r="Q114" s="8" t="n">
        <x:v>446.33901072659233</x:v>
      </x:c>
      <x:c r="R114" s="8" t="n">
        <x:f>O114-J114</x:f>
        <x:v>-81235.65757947986</x:v>
      </x:c>
      <x:c r="S114" s="9" t="n">
        <x:f>R114/J114</x:f>
        <x:v>-0.15410983068975637</x:v>
      </x:c>
      <x:c r="T114" s="2" t="n">
        <x:v>0</x:v>
      </x:c>
      <x:c r="U114" s="9" t="n">
        <x:v>0.042635658914729</x:v>
      </x:c>
      <x:c r="V114" s="9" t="n">
        <x:v>-0.054263565891473</x:v>
      </x:c>
      <x:c r="W114" s="9" t="n">
        <x:v>0.007751937984496</x:v>
      </x:c>
      <x:c r="X114" s="9" t="n">
        <x:v>0.053947368421053</x:v>
      </x:c>
    </x:row>
    <x:row r="115">
      <x:c r="A115" s="2" t="str">
        <x:v>不加形态</x:v>
      </x:c>
      <x:c r="B115" s="6" t="d">
        <x:v>2025-07-21T00:00:00.000Z</x:v>
      </x:c>
      <x:c r="C115" s="6" t="d">
        <x:v>2025-07-22T00:00:00.000Z</x:v>
      </x:c>
      <x:c r="D115" s="7" t="str">
        <x:v>601003</x:v>
      </x:c>
      <x:c r="E115" s="2" t="n">
        <x:v>1</x:v>
      </x:c>
      <x:c r="F115" s="11" t="n">
        <x:v>0.73951805255151</x:v>
      </x:c>
      <x:c r="G115" s="2" t="str">
        <x:v>五分最高涨幅&gt;=6% 且 五分最低涨幅&gt;=-3%</x:v>
      </x:c>
      <x:c r="H115" s="2" t="str">
        <x:v>09:36</x:v>
      </x:c>
      <x:c r="I115" s="2" t="str">
        <x:v>余款全买</x:v>
      </x:c>
      <x:c r="J115" s="8" t="n">
        <x:v>547322.550393536</x:v>
      </x:c>
      <x:c r="K115" s="12" t="n">
        <x:v>6.9</x:v>
      </x:c>
      <x:c r="L115" s="8" t="n">
        <x:v>79242.86588679958</x:v>
      </x:c>
      <x:c r="M115" s="6" t="d">
        <x:v>2025-07-23T00:00:00.000Z</x:v>
      </x:c>
      <x:c r="N115" s="12" t="n">
        <x:v>7.79</x:v>
      </x:c>
      <x:c r="O115" s="8" t="n">
        <x:v>616684.6233329106</x:v>
      </x:c>
      <x:c r="P115" s="8" t="n">
        <x:v>546.7757746188436</x:v>
      </x:c>
      <x:c r="Q115" s="8" t="n">
        <x:v>617.3019252581687</x:v>
      </x:c>
      <x:c r="R115" s="8" t="n">
        <x:f>O115-J115</x:f>
        <x:v>69362.0729393746</x:v>
      </x:c>
      <x:c r="S115" s="9" t="n">
        <x:f>R115/J115</x:f>
        <x:v>0.12672979194718337</x:v>
      </x:c>
      <x:c r="T115" s="2" t="n">
        <x:v>1</x:v>
      </x:c>
      <x:c r="U115" s="9" t="n">
        <x:v>0.08160237388724</x:v>
      </x:c>
      <x:c r="V115" s="9" t="n">
        <x:v>0.017804154302671</x:v>
      </x:c>
      <x:c r="W115" s="9" t="n">
        <x:v>0.062314540059347</x:v>
      </x:c>
      <x:c r="X115" s="9" t="n">
        <x:v>-0.018571428571429</x:v>
      </x:c>
    </x:row>
    <x:row r="116">
      <x:c r="A116" s="2" t="str">
        <x:v>不加形态</x:v>
      </x:c>
      <x:c r="B116" s="6" t="d">
        <x:v>2025-07-22T00:00:00.000Z</x:v>
      </x:c>
      <x:c r="C116" s="6" t="d">
        <x:v>2025-07-23T00:00:00.000Z</x:v>
      </x:c>
      <x:c r="D116" s="7" t="str">
        <x:v>002246</x:v>
      </x:c>
      <x:c r="E116" s="2" t="n">
        <x:v>1</x:v>
      </x:c>
      <x:c r="F116" s="11" t="n">
        <x:v>0.7104782594171196</x:v>
      </x:c>
      <x:c r="G116" s="2" t="str">
        <x:v>五分最高涨幅&gt;=6% 且 五分最低涨幅&gt;=-3%</x:v>
      </x:c>
      <x:c r="H116" s="2" t="str">
        <x:v>09:36</x:v>
      </x:c>
      <x:c r="I116" s="2" t="str">
        <x:v>余款全买</x:v>
      </x:c>
      <x:c r="J116" s="8" t="n">
        <x:v>445892.6717158657</x:v>
      </x:c>
      <x:c r="K116" s="12" t="n">
        <x:v>23.62</x:v>
      </x:c>
      <x:c r="L116" s="8" t="n">
        <x:v>18858.900274825333</x:v>
      </x:c>
      <x:c r="M116" s="6" t="d">
        <x:v>2025-07-24T00:00:00.000Z</x:v>
      </x:c>
      <x:c r="N116" s="12" t="n">
        <x:v>18</x:v>
      </x:c>
      <x:c r="O116" s="8" t="n">
        <x:v>339120.74474190915</x:v>
      </x:c>
      <x:c r="P116" s="8" t="n">
        <x:v>445.44722449133405</x:v>
      </x:c>
      <x:c r="Q116" s="8" t="n">
        <x:v>339.46020494685604</x:v>
      </x:c>
      <x:c r="R116" s="8" t="n">
        <x:f>O116-J116</x:f>
        <x:v>-106771.92697395658</x:v>
      </x:c>
      <x:c r="S116" s="9" t="n">
        <x:f>R116/J116</x:f>
        <x:v>-0.23945656375800317</x:v>
      </x:c>
      <x:c r="T116" s="2" t="n">
        <x:v>0</x:v>
      </x:c>
      <x:c r="U116" s="9" t="n">
        <x:v>0.099860659544821</x:v>
      </x:c>
      <x:c r="V116" s="9" t="n">
        <x:v>0.049233627496516</x:v>
      </x:c>
      <x:c r="W116" s="9" t="n">
        <x:v>0.013469577333953</x:v>
      </x:c>
      <x:c r="X116" s="9" t="n">
        <x:v>-0.012246621621622</x:v>
      </x:c>
    </x:row>
    <x:row r="117">
      <x:c r="A117" s="2" t="str">
        <x:v>不加形态</x:v>
      </x:c>
      <x:c r="B117" s="6" t="d">
        <x:v>2025-07-23T00:00:00.000Z</x:v>
      </x:c>
      <x:c r="C117" s="6" t="d">
        <x:v>2025-07-24T00:00:00.000Z</x:v>
      </x:c>
      <x:c r="D117" s="7" t="str">
        <x:v>002297</x:v>
      </x:c>
      <x:c r="E117" s="2" t="n">
        <x:v>1</x:v>
      </x:c>
      <x:c r="F117" s="11" t="n">
        <x:v>0.8123923246205613</x:v>
      </x:c>
      <x:c r="G117" s="2" t="str">
        <x:v>五分最高涨幅&gt;=6% 且 五分最低涨幅&gt;=-3%</x:v>
      </x:c>
      <x:c r="H117" s="2" t="str">
        <x:v>09:36</x:v>
      </x:c>
      <x:c r="I117" s="2" t="str">
        <x:v>余款全买</x:v>
      </x:c>
      <x:c r="J117" s="8" t="n">
        <x:v>616684.6233329106</x:v>
      </x:c>
      <x:c r="K117" s="12" t="n">
        <x:v>9.86</x:v>
      </x:c>
      <x:c r="L117" s="8" t="n">
        <x:v>62481.59784768078</x:v>
      </x:c>
      <x:c r="M117" s="6" t="d">
        <x:v>2025-07-25T00:00:00.000Z</x:v>
      </x:c>
      <x:c r="N117" s="12" t="n">
        <x:v>9.9</x:v>
      </x:c>
      <x:c r="O117" s="8" t="n">
        <x:v>617949.2508733476</x:v>
      </x:c>
      <x:c r="P117" s="8" t="n">
        <x:v>616.0685547781177</x:v>
      </x:c>
      <x:c r="Q117" s="8" t="n">
        <x:v>618.5678186920397</x:v>
      </x:c>
      <x:c r="R117" s="8" t="n">
        <x:f>O117-J117</x:f>
        <x:v>1264.627540437039</x:v>
      </x:c>
      <x:c r="S117" s="9" t="n">
        <x:f>R117/J117</x:f>
        <x:v>0.002050687649064899</x:v>
      </x:c>
      <x:c r="T117" s="2" t="n">
        <x:v>1</x:v>
      </x:c>
      <x:c r="U117" s="9" t="n">
        <x:v>-0.002849002849003</x:v>
      </x:c>
      <x:c r="V117" s="9" t="n">
        <x:v>-0.070275403608737</x:v>
      </x:c>
      <x:c r="W117" s="9" t="n">
        <x:v>0.062678062678063</x:v>
      </x:c>
      <x:c r="X117" s="9" t="n">
        <x:v>-0.062857142857143</x:v>
      </x:c>
    </x:row>
    <x:row r="118">
      <x:c r="A118" s="2" t="str">
        <x:v>不加形态</x:v>
      </x:c>
      <x:c r="B118" s="6" t="d">
        <x:v>2025-07-25T00:00:00.000Z</x:v>
      </x:c>
      <x:c r="C118" s="6" t="d">
        <x:v>2025-07-28T00:00:00.000Z</x:v>
      </x:c>
      <x:c r="D118" s="7" t="str">
        <x:v>600117</x:v>
      </x:c>
      <x:c r="E118" s="2" t="n">
        <x:v>2</x:v>
      </x:c>
      <x:c r="F118" s="11" t="n">
        <x:v>0.7775552556236865</x:v>
      </x:c>
      <x:c r="G118" s="2" t="str">
        <x:v>五分最高涨幅&gt;=6% 且 五分最低涨幅&gt;=-3%</x:v>
      </x:c>
      <x:c r="H118" s="2" t="str">
        <x:v>09:36</x:v>
      </x:c>
      <x:c r="I118" s="2" t="str">
        <x:v>空仓半买</x:v>
      </x:c>
      <x:c r="J118" s="8" t="n">
        <x:v>478534.99780762836</x:v>
      </x:c>
      <x:c r="K118" s="12" t="n">
        <x:v>3.75</x:v>
      </x:c>
      <x:c r="L118" s="8" t="n">
        <x:v>127481.85089780312</x:v>
      </x:c>
      <x:c r="M118" s="6" t="d">
        <x:v>2025-07-29T00:00:00.000Z</x:v>
      </x:c>
      <x:c r="N118" s="12" t="n">
        <x:v>3.82</x:v>
      </x:c>
      <x:c r="O118" s="8" t="n">
        <x:v>486493.6897591783</x:v>
      </x:c>
      <x:c r="P118" s="8" t="n">
        <x:v>478.05694086669246</x:v>
      </x:c>
      <x:c r="Q118" s="8" t="n">
        <x:v>486.9806704296079</x:v>
      </x:c>
      <x:c r="R118" s="8" t="n">
        <x:f>O118-J118</x:f>
        <x:v>7958.691951549961</x:v>
      </x:c>
      <x:c r="S118" s="9" t="n">
        <x:f>R118/J118</x:f>
        <x:v>0.01663136863136887</x:v>
      </x:c>
      <x:c r="T118" s="2" t="n">
        <x:v>1</x:v>
      </x:c>
      <x:c r="U118" s="9" t="n">
        <x:v>0.047368421052632</x:v>
      </x:c>
      <x:c r="V118" s="9" t="n">
        <x:v>-0.039473684210526</x:v>
      </x:c>
      <x:c r="W118" s="9" t="n">
        <x:v>0.060526315789474</x:v>
      </x:c>
      <x:c r="X118" s="9" t="n">
        <x:v>-0.031007751937985</x:v>
      </x:c>
    </x:row>
    <x:row r="119">
      <x:c r="A119" s="2" t="str">
        <x:v>不加形态</x:v>
      </x:c>
      <x:c r="B119" s="6" t="d">
        <x:v>2025-07-28T00:00:00.000Z</x:v>
      </x:c>
      <x:c r="C119" s="6" t="d">
        <x:v>2025-07-29T00:00:00.000Z</x:v>
      </x:c>
      <x:c r="D119" s="7" t="str">
        <x:v>603616</x:v>
      </x:c>
      <x:c r="E119" s="2" t="n">
        <x:v>2</x:v>
      </x:c>
      <x:c r="F119" s="11" t="n">
        <x:v>0.6759080976903181</x:v>
      </x:c>
      <x:c r="G119" s="2" t="str">
        <x:v>五分最高涨幅&gt;=6% 且 五分最低涨幅&gt;=-3%</x:v>
      </x:c>
      <x:c r="H119" s="2" t="str">
        <x:v>09:36</x:v>
      </x:c>
      <x:c r="I119" s="2" t="str">
        <x:v>余款全买</x:v>
      </x:c>
      <x:c r="J119" s="8" t="n">
        <x:v>478534.99780762836</x:v>
      </x:c>
      <x:c r="K119" s="12" t="n">
        <x:v>7.05</x:v>
      </x:c>
      <x:c r="L119" s="8" t="n">
        <x:v>67809.49515840592</x:v>
      </x:c>
      <x:c r="M119" s="6" t="d">
        <x:v>2025-07-30T00:00:00.000Z</x:v>
      </x:c>
      <x:c r="N119" s="12" t="n">
        <x:v>7.37</x:v>
      </x:c>
      <x:c r="O119" s="8" t="n">
        <x:v>499256.2233381341</x:v>
      </x:c>
      <x:c r="P119" s="8" t="n">
        <x:v>478.05694086669246</x:v>
      </x:c>
      <x:c r="Q119" s="8" t="n">
        <x:v>499.7559793174516</x:v>
      </x:c>
      <x:c r="R119" s="8" t="n">
        <x:f>O119-J119</x:f>
        <x:v>20721.225530505762</x:v>
      </x:c>
      <x:c r="S119" s="9" t="n">
        <x:f>R119/J119</x:f>
        <x:v>0.04330137947159242</x:v>
      </x:c>
      <x:c r="T119" s="2" t="n">
        <x:v>1</x:v>
      </x:c>
      <x:c r="U119" s="9" t="n">
        <x:v>0.100763358778626</x:v>
      </x:c>
      <x:c r="V119" s="9" t="n">
        <x:v>0.047328244274809</x:v>
      </x:c>
      <x:c r="W119" s="9" t="n">
        <x:v>0.022900763358779</x:v>
      </x:c>
      <x:c r="X119" s="9" t="n">
        <x:v>0.010014306151645</x:v>
      </x:c>
    </x:row>
    <x:row r="120">
      <x:c r="A120" s="2" t="str">
        <x:v>不加形态</x:v>
      </x:c>
      <x:c r="B120" s="6" t="d">
        <x:v>2025-07-29T00:00:00.000Z</x:v>
      </x:c>
      <x:c r="C120" s="6" t="d">
        <x:v>2025-07-30T00:00:00.000Z</x:v>
      </x:c>
      <x:c r="D120" s="7" t="str">
        <x:v>002097</x:v>
      </x:c>
      <x:c r="E120" s="2" t="n">
        <x:v>2</x:v>
      </x:c>
      <x:c r="F120" s="11" t="n">
        <x:v>0.6957314308823442</x:v>
      </x:c>
      <x:c r="G120" s="2" t="str">
        <x:v>五分最高涨幅&gt;=6% 且 五分最低涨幅&gt;=-3%</x:v>
      </x:c>
      <x:c r="H120" s="2" t="str">
        <x:v>09:36</x:v>
      </x:c>
      <x:c r="I120" s="2" t="str">
        <x:v>余款全买</x:v>
      </x:c>
      <x:c r="J120" s="8" t="n">
        <x:v>486493.6897591783</x:v>
      </x:c>
      <x:c r="K120" s="12" t="n">
        <x:v>13.88</x:v>
      </x:c>
      <x:c r="L120" s="8" t="n">
        <x:v>35014.962685670114</x:v>
      </x:c>
      <x:c r="M120" s="6" t="d">
        <x:v>2025-07-31T00:00:00.000Z</x:v>
      </x:c>
      <x:c r="N120" s="12" t="n">
        <x:v>13.25</x:v>
      </x:c>
      <x:c r="O120" s="8" t="n">
        <x:v>463484.30732954387</x:v>
      </x:c>
      <x:c r="P120" s="8" t="n">
        <x:v>486.0076820770628</x:v>
      </x:c>
      <x:c r="Q120" s="8" t="n">
        <x:v>463.94825558512906</x:v>
      </x:c>
      <x:c r="R120" s="8" t="n">
        <x:f>O120-J120</x:f>
        <x:v>-23009.382429634454</x:v>
      </x:c>
      <x:c r="S120" s="9" t="n">
        <x:f>R120/J120</x:f>
        <x:v>-0.04729636357878443</x:v>
      </x:c>
      <x:c r="T120" s="2" t="n">
        <x:v>0</x:v>
      </x:c>
      <x:c r="U120" s="9" t="n">
        <x:v>0.058558558558558</x:v>
      </x:c>
      <x:c r="V120" s="9" t="n">
        <x:v>0.019519519519519</x:v>
      </x:c>
      <x:c r="W120" s="9" t="n">
        <x:v>0.016516516516516</x:v>
      </x:c>
      <x:c r="X120" s="9" t="n">
        <x:v>0.001443001443002</x:v>
      </x:c>
    </x:row>
    <x:row r="121">
      <x:c r="A121" s="2" t="str">
        <x:v>不加形态</x:v>
      </x:c>
      <x:c r="B121" s="6" t="d">
        <x:v>2025-07-30T00:00:00.000Z</x:v>
      </x:c>
      <x:c r="C121" s="6" t="d">
        <x:v>2025-07-31T00:00:00.000Z</x:v>
      </x:c>
      <x:c r="D121" s="7" t="str">
        <x:v>002644</x:v>
      </x:c>
      <x:c r="E121" s="2" t="n">
        <x:v>1</x:v>
      </x:c>
      <x:c r="F121" s="11" t="n">
        <x:v>0.7520327672711165</x:v>
      </x:c>
      <x:c r="G121" s="2" t="str">
        <x:v>五分最高涨幅&gt;=6% 且 五分最低涨幅&gt;=-3%</x:v>
      </x:c>
      <x:c r="H121" s="2" t="str">
        <x:v>09:36</x:v>
      </x:c>
      <x:c r="I121" s="2" t="str">
        <x:v>余款全买</x:v>
      </x:c>
      <x:c r="J121" s="8" t="n">
        <x:v>499256.2233381341</x:v>
      </x:c>
      <x:c r="K121" s="12" t="n">
        <x:v>10.95</x:v>
      </x:c>
      <x:c r="L121" s="8" t="n">
        <x:v>45548.62702029789</x:v>
      </x:c>
      <x:c r="M121" s="6" t="d">
        <x:v>2025-08-01T00:00:00.000Z</x:v>
      </x:c>
      <x:c r="N121" s="12" t="n">
        <x:v>10.43</x:v>
      </x:c>
      <x:c r="O121" s="8" t="n">
        <x:v>474597.1076418853</x:v>
      </x:c>
      <x:c r="P121" s="8" t="n">
        <x:v>498.7574658722151</x:v>
      </x:c>
      <x:c r="Q121" s="8" t="n">
        <x:v>475.07217982170704</x:v>
      </x:c>
      <x:c r="R121" s="8" t="n">
        <x:f>O121-J121</x:f>
        <x:v>-24659.11569624883</x:v>
      </x:c>
      <x:c r="S121" s="9" t="n">
        <x:f>R121/J121</x:f>
        <x:v>-0.049391704186224655</x:v>
      </x:c>
      <x:c r="T121" s="2" t="n">
        <x:v>0</x:v>
      </x:c>
      <x:c r="U121" s="9" t="n">
        <x:v>-0.030612244897959</x:v>
      </x:c>
      <x:c r="V121" s="9" t="n">
        <x:v>-0.085884353741497</x:v>
      </x:c>
      <x:c r="W121" s="9" t="n">
        <x:v>0.035714285714286</x:v>
      </x:c>
      <x:c r="X121" s="9" t="n">
        <x:v>-0.028318584070796</x:v>
      </x:c>
    </x:row>
    <x:row r="122">
      <x:c r="A122" s="2" t="str">
        <x:v>不加形态</x:v>
      </x:c>
      <x:c r="B122" s="6" t="d">
        <x:v>2025-07-31T00:00:00.000Z</x:v>
      </x:c>
      <x:c r="C122" s="6" t="d">
        <x:v>2025-08-01T00:00:00.000Z</x:v>
      </x:c>
      <x:c r="D122" s="7" t="str">
        <x:v>603839</x:v>
      </x:c>
      <x:c r="E122" s="2" t="n">
        <x:v>1</x:v>
      </x:c>
      <x:c r="F122" s="11" t="n">
        <x:v>0.7534766624328735</x:v>
      </x:c>
      <x:c r="G122" s="2" t="str">
        <x:v>五分最高涨幅&gt;=6% 且 五分最低涨幅&gt;=-3%</x:v>
      </x:c>
      <x:c r="H122" s="2" t="str">
        <x:v>09:36</x:v>
      </x:c>
      <x:c r="I122" s="2" t="str">
        <x:v>余款全买</x:v>
      </x:c>
      <x:c r="J122" s="8" t="n">
        <x:v>463484.30732954387</x:v>
      </x:c>
      <x:c r="K122" s="12" t="n">
        <x:v>10</x:v>
      </x:c>
      <x:c r="L122" s="8" t="n">
        <x:v>46302.128604350044</x:v>
      </x:c>
      <x:c r="M122" s="6" t="d">
        <x:v>2025-08-04T00:00:00.000Z</x:v>
      </x:c>
      <x:c r="N122" s="12" t="n">
        <x:v>8.35</x:v>
      </x:c>
      <x:c r="O122" s="8" t="n">
        <x:v>386236.1510724765</x:v>
      </x:c>
      <x:c r="P122" s="8" t="n">
        <x:v>463.0212860434549</x:v>
      </x:c>
      <x:c r="Q122" s="8" t="n">
        <x:v>386.62277384632284</x:v>
      </x:c>
      <x:c r="R122" s="8" t="n">
        <x:f>O122-J122</x:f>
        <x:v>-77248.15625706734</x:v>
      </x:c>
      <x:c r="S122" s="9" t="n">
        <x:f>R122/J122</x:f>
        <x:v>-0.1666683316683316</x:v>
      </x:c>
      <x:c r="T122" s="2" t="n">
        <x:v>0</x:v>
      </x:c>
      <x:c r="U122" s="9" t="n">
        <x:v>0.099576271186441</x:v>
      </x:c>
      <x:c r="V122" s="9" t="n">
        <x:v>0.028601694915254</x:v>
      </x:c>
      <x:c r="W122" s="9" t="n">
        <x:v>0.031779661016949</x:v>
      </x:c>
      <x:c r="X122" s="9" t="n">
        <x:v>0.006993006993007</x:v>
      </x:c>
    </x:row>
    <x:row r="123">
      <x:c r="A123" s="2" t="str">
        <x:v>不加形态</x:v>
      </x:c>
      <x:c r="B123" s="6" t="d">
        <x:v>2025-08-05T00:00:00.000Z</x:v>
      </x:c>
      <x:c r="C123" s="6" t="d">
        <x:v>2025-08-06T00:00:00.000Z</x:v>
      </x:c>
      <x:c r="D123" s="7" t="str">
        <x:v>002775</x:v>
      </x:c>
      <x:c r="E123" s="2" t="n">
        <x:v>1</x:v>
      </x:c>
      <x:c r="F123" s="11" t="n">
        <x:v>0.7395430071469048</x:v>
      </x:c>
      <x:c r="G123" s="2" t="str">
        <x:v>五分最高涨幅&gt;=6% 且 五分最低涨幅&gt;=-3%</x:v>
      </x:c>
      <x:c r="H123" s="2" t="str">
        <x:v>09:36</x:v>
      </x:c>
      <x:c r="I123" s="2" t="str">
        <x:v>空仓半买</x:v>
      </x:c>
      <x:c r="J123" s="8" t="n">
        <x:v>430416.6293571809</x:v>
      </x:c>
      <x:c r="K123" s="12" t="n">
        <x:v>5.76</x:v>
      </x:c>
      <x:c r="L123" s="8" t="n">
        <x:v>74650.45880459488</x:v>
      </x:c>
      <x:c r="M123" s="6" t="d">
        <x:v>2025-08-07T00:00:00.000Z</x:v>
      </x:c>
      <x:c r="N123" s="12" t="n">
        <x:v>5.18</x:v>
      </x:c>
      <x:c r="O123" s="8" t="n">
        <x:v>386302.6872311936</x:v>
      </x:c>
      <x:c r="P123" s="8" t="n">
        <x:v>429.9866427144152</x:v>
      </x:c>
      <x:c r="Q123" s="8" t="n">
        <x:v>386.6893766078014</x:v>
      </x:c>
      <x:c r="R123" s="8" t="n">
        <x:f>O123-J123</x:f>
        <x:v>-44113.94212598732</x:v>
      </x:c>
      <x:c r="S123" s="9" t="n">
        <x:f>R123/J123</x:f>
        <x:v>-0.1024912587412588</x:v>
      </x:c>
      <x:c r="T123" s="2" t="n">
        <x:v>0</x:v>
      </x:c>
      <x:c r="U123" s="9" t="n">
        <x:v>0.068376068376068</x:v>
      </x:c>
      <x:c r="V123" s="9" t="n">
        <x:v>-0.025641025641026</x:v>
      </x:c>
      <x:c r="W123" s="9" t="n">
        <x:v>0.082051282051282</x:v>
      </x:c>
      <x:c r="X123" s="9" t="n">
        <x:v>-0.023688663282572</x:v>
      </x:c>
    </x:row>
    <x:row r="124">
      <x:c r="A124" s="2" t="str">
        <x:v>不加形态</x:v>
      </x:c>
      <x:c r="B124" s="6" t="d">
        <x:v>2025-08-06T00:00:00.000Z</x:v>
      </x:c>
      <x:c r="C124" s="6" t="d">
        <x:v>2025-08-07T00:00:00.000Z</x:v>
      </x:c>
      <x:c r="D124" s="7" t="str">
        <x:v>600203</x:v>
      </x:c>
      <x:c r="E124" s="2" t="n">
        <x:v>3</x:v>
      </x:c>
      <x:c r="F124" s="11" t="n">
        <x:v>0.6973706943330404</x:v>
      </x:c>
      <x:c r="G124" s="2" t="str">
        <x:v>五分最高涨幅&gt;=6% 且 五分最低涨幅&gt;=-3%</x:v>
      </x:c>
      <x:c r="H124" s="2" t="str">
        <x:v>09:36</x:v>
      </x:c>
      <x:c r="I124" s="2" t="str">
        <x:v>余款全买</x:v>
      </x:c>
      <x:c r="J124" s="8" t="n">
        <x:v>430416.6293571809</x:v>
      </x:c>
      <x:c r="K124" s="12" t="n">
        <x:v>15.54</x:v>
      </x:c>
      <x:c r="L124" s="8" t="n">
        <x:v>27669.66812834405</x:v>
      </x:c>
      <x:c r="M124" s="6" t="d">
        <x:v>2025-08-08T00:00:00.000Z</x:v>
      </x:c>
      <x:c r="N124" s="12" t="n">
        <x:v>15.31</x:v>
      </x:c>
      <x:c r="O124" s="8" t="n">
        <x:v>423198.9964259024</x:v>
      </x:c>
      <x:c r="P124" s="8" t="n">
        <x:v>429.9866427144152</x:v>
      </x:c>
      <x:c r="Q124" s="8" t="n">
        <x:v>423.6226190449474</x:v>
      </x:c>
      <x:c r="R124" s="8" t="n">
        <x:f>O124-J124</x:f>
        <x:v>-7217.632931278495</x:v>
      </x:c>
      <x:c r="S124" s="9" t="n">
        <x:f>R124/J124</x:f>
        <x:v>-0.0167689453403738</x:v>
      </x:c>
      <x:c r="T124" s="2" t="n">
        <x:v>1</x:v>
      </x:c>
      <x:c r="U124" s="9" t="n">
        <x:v>0.100070472163496</x:v>
      </x:c>
      <x:c r="V124" s="9" t="n">
        <x:v>0.071176885130374</x:v>
      </x:c>
      <x:c r="W124" s="9" t="n">
        <x:v>0.004228329809725</x:v>
      </x:c>
      <x:c r="X124" s="9" t="n">
        <x:v>0.023026315789474</x:v>
      </x:c>
    </x:row>
    <x:row r="125">
      <x:c r="A125" s="2" t="str">
        <x:v>不加形态</x:v>
      </x:c>
      <x:c r="B125" s="6" t="d">
        <x:v>2025-08-08T00:00:00.000Z</x:v>
      </x:c>
      <x:c r="C125" s="6" t="d">
        <x:v>2025-08-11T00:00:00.000Z</x:v>
      </x:c>
      <x:c r="D125" s="7" t="str">
        <x:v>605169</x:v>
      </x:c>
      <x:c r="E125" s="2" t="n">
        <x:v>1</x:v>
      </x:c>
      <x:c r="F125" s="11" t="n">
        <x:v>0.7761516825100273</x:v>
      </x:c>
      <x:c r="G125" s="2" t="str">
        <x:v>五分最高涨幅&gt;=6% 且 五分最低涨幅&gt;=-3%</x:v>
      </x:c>
      <x:c r="H125" s="2" t="str">
        <x:v>09:36</x:v>
      </x:c>
      <x:c r="I125" s="2" t="str">
        <x:v>空仓半买</x:v>
      </x:c>
      <x:c r="J125" s="8" t="n">
        <x:v>404750.841828548</x:v>
      </x:c>
      <x:c r="K125" s="12" t="n">
        <x:v>16.68</x:v>
      </x:c>
      <x:c r="L125" s="8" t="n">
        <x:v>24241.39660271072</x:v>
      </x:c>
      <x:c r="M125" s="6" t="d">
        <x:v>2025-08-12T00:00:00.000Z</x:v>
      </x:c>
      <x:c r="N125" s="12" t="n">
        <x:v>17.97</x:v>
      </x:c>
      <x:c r="O125" s="8" t="n">
        <x:v>435182.2790537609</x:v>
      </x:c>
      <x:c r="P125" s="8" t="n">
        <x:v>404.3464953331859</x:v>
      </x:c>
      <x:c r="Q125" s="8" t="n">
        <x:v>435.6178969507116</x:v>
      </x:c>
      <x:c r="R125" s="8" t="n">
        <x:f>O125-J125</x:f>
        <x:v>30431.437225212925</x:v>
      </x:c>
      <x:c r="S125" s="9" t="n">
        <x:f>R125/J125</x:f>
        <x:v>0.07518560576114539</x:v>
      </x:c>
      <x:c r="T125" s="2" t="n">
        <x:v>1</x:v>
      </x:c>
      <x:c r="U125" s="9" t="n">
        <x:v>0.057988165680473</x:v>
      </x:c>
      <x:c r="V125" s="9" t="n">
        <x:v>-0.038461538461538</x:v>
      </x:c>
      <x:c r="W125" s="9" t="n">
        <x:v>0.071005917159763</x:v>
      </x:c>
      <x:c r="X125" s="9" t="n">
        <x:v>-0.046857142857143</x:v>
      </x:c>
    </x:row>
    <x:row r="126">
      <x:c r="A126" s="2" t="str">
        <x:v>不加形态</x:v>
      </x:c>
      <x:c r="B126" s="6" t="d">
        <x:v>2025-08-11T00:00:00.000Z</x:v>
      </x:c>
      <x:c r="C126" s="6" t="d">
        <x:v>2025-08-12T00:00:00.000Z</x:v>
      </x:c>
      <x:c r="D126" s="7" t="str">
        <x:v>601929</x:v>
      </x:c>
      <x:c r="E126" s="2" t="n">
        <x:v>1</x:v>
      </x:c>
      <x:c r="F126" s="11" t="n">
        <x:v>0.753328078384913</x:v>
      </x:c>
      <x:c r="G126" s="2" t="str">
        <x:v>五分最高涨幅&gt;=6% 且 五分最低涨幅&gt;=-3%</x:v>
      </x:c>
      <x:c r="H126" s="2" t="str">
        <x:v>09:36</x:v>
      </x:c>
      <x:c r="I126" s="2" t="str">
        <x:v>余款全买</x:v>
      </x:c>
      <x:c r="J126" s="8" t="n">
        <x:v>404750.841828548</x:v>
      </x:c>
      <x:c r="K126" s="12" t="n">
        <x:v>3.2</x:v>
      </x:c>
      <x:c r="L126" s="8" t="n">
        <x:v>126358.27979162963</x:v>
      </x:c>
      <x:c r="M126" s="6" t="d">
        <x:v>2025-08-13T00:00:00.000Z</x:v>
      </x:c>
      <x:c r="N126" s="12" t="n">
        <x:v>3.6</x:v>
      </x:c>
      <x:c r="O126" s="8" t="n">
        <x:v>454434.9174426168</x:v>
      </x:c>
      <x:c r="P126" s="8" t="n">
        <x:v>404.3464953331859</x:v>
      </x:c>
      <x:c r="Q126" s="8" t="n">
        <x:v>454.8898072498667</x:v>
      </x:c>
      <x:c r="R126" s="8" t="n">
        <x:f>O126-J126</x:f>
        <x:v>49684.07561406877</x:v>
      </x:c>
      <x:c r="S126" s="9" t="n">
        <x:f>R126/J126</x:f>
        <x:v>0.12275224775224777</x:v>
      </x:c>
      <x:c r="T126" s="2" t="n">
        <x:v>1</x:v>
      </x:c>
      <x:c r="U126" s="9" t="n">
        <x:v>0.097643097643098</x:v>
      </x:c>
      <x:c r="V126" s="9" t="n">
        <x:v>0.02020202020202</x:v>
      </x:c>
      <x:c r="W126" s="9" t="n">
        <x:v>0.013468013468013</x:v>
      </x:c>
      <x:c r="X126" s="9" t="n">
        <x:v>0.05921052631579</x:v>
      </x:c>
    </x:row>
    <x:row r="127">
      <x:c r="A127" s="2" t="str">
        <x:v>不加形态</x:v>
      </x:c>
      <x:c r="B127" s="6" t="d">
        <x:v>2025-08-12T00:00:00.000Z</x:v>
      </x:c>
      <x:c r="C127" s="6" t="d">
        <x:v>2025-08-13T00:00:00.000Z</x:v>
      </x:c>
      <x:c r="D127" s="7" t="str">
        <x:v>002307</x:v>
      </x:c>
      <x:c r="E127" s="2" t="n">
        <x:v>2</x:v>
      </x:c>
      <x:c r="F127" s="11" t="n">
        <x:v>0.7537930308672157</x:v>
      </x:c>
      <x:c r="G127" s="2" t="str">
        <x:v>五分最高涨幅&gt;=6% 且 五分最低涨幅&gt;=-3%</x:v>
      </x:c>
      <x:c r="H127" s="2" t="str">
        <x:v>09:36</x:v>
      </x:c>
      <x:c r="I127" s="2" t="str">
        <x:v>余款全买</x:v>
      </x:c>
      <x:c r="J127" s="8" t="n">
        <x:v>435182.2790537609</x:v>
      </x:c>
      <x:c r="K127" s="12" t="n">
        <x:v>5.6</x:v>
      </x:c>
      <x:c r="L127" s="8" t="n">
        <x:v>77633.48777182835</x:v>
      </x:c>
      <x:c r="M127" s="6" t="d">
        <x:v>2025-08-14T00:00:00.000Z</x:v>
      </x:c>
      <x:c r="N127" s="12" t="n">
        <x:v>5.11</x:v>
      </x:c>
      <x:c r="O127" s="8" t="n">
        <x:v>396310.41539152886</x:v>
      </x:c>
      <x:c r="P127" s="8" t="n">
        <x:v>434.7475315221818</x:v>
      </x:c>
      <x:c r="Q127" s="8" t="n">
        <x:v>396.7071225140429</x:v>
      </x:c>
      <x:c r="R127" s="8" t="n">
        <x:f>O127-J127</x:f>
        <x:v>-38871.86366223206</x:v>
      </x:c>
      <x:c r="S127" s="9" t="n">
        <x:f>R127/J127</x:f>
        <x:v>-0.08932317682317659</x:v>
      </x:c>
      <x:c r="T127" s="2" t="n">
        <x:v>0</x:v>
      </x:c>
      <x:c r="U127" s="9" t="n">
        <x:v>0.030465949820788</x:v>
      </x:c>
      <x:c r="V127" s="9" t="n">
        <x:v>-0.032258064516129</x:v>
      </x:c>
      <x:c r="W127" s="9" t="n">
        <x:v>0.026881720430108</x:v>
      </x:c>
      <x:c r="X127" s="9" t="n">
        <x:v>-0.001782531194296</x:v>
      </x:c>
    </x:row>
    <x:row r="128">
      <x:c r="A128" s="2" t="str">
        <x:v>不加形态</x:v>
      </x:c>
      <x:c r="B128" s="6" t="d">
        <x:v>2025-08-13T00:00:00.000Z</x:v>
      </x:c>
      <x:c r="C128" s="6" t="d">
        <x:v>2025-08-14T00:00:00.000Z</x:v>
      </x:c>
      <x:c r="D128" s="7" t="str">
        <x:v>601929</x:v>
      </x:c>
      <x:c r="E128" s="2" t="n">
        <x:v>1</x:v>
      </x:c>
      <x:c r="F128" s="11" t="n">
        <x:v>0.7626078334153757</x:v>
      </x:c>
      <x:c r="G128" s="2" t="str">
        <x:v>五分最高涨幅&gt;=6% 且 五分最低涨幅&gt;=-3%</x:v>
      </x:c>
      <x:c r="H128" s="2" t="str">
        <x:v>09:36</x:v>
      </x:c>
      <x:c r="I128" s="2" t="str">
        <x:v>余款全买</x:v>
      </x:c>
      <x:c r="J128" s="8" t="n">
        <x:v>454434.9174426168</x:v>
      </x:c>
      <x:c r="K128" s="12" t="n">
        <x:v>3.91</x:v>
      </x:c>
      <x:c r="L128" s="8" t="n">
        <x:v>116107.65639542472</x:v>
      </x:c>
      <x:c r="M128" s="6" t="d">
        <x:v>2025-08-15T00:00:00.000Z</x:v>
      </x:c>
      <x:c r="N128" s="12" t="n">
        <x:v>3.92</x:v>
      </x:c>
      <x:c r="O128" s="8" t="n">
        <x:v>454686.87105699483</x:v>
      </x:c>
      <x:c r="P128" s="8" t="n">
        <x:v>453.9809365060646</x:v>
      </x:c>
      <x:c r="Q128" s="8" t="n">
        <x:v>455.1420130700649</x:v>
      </x:c>
      <x:c r="R128" s="8" t="n">
        <x:f>O128-J128</x:f>
        <x:v>251.95361437805695</x:v>
      </x:c>
      <x:c r="S128" s="9" t="n">
        <x:f>R128/J128</x:f>
        <x:v>0.0005544327794966858</x:v>
      </x:c>
      <x:c r="T128" s="2" t="n">
        <x:v>1</x:v>
      </x:c>
      <x:c r="U128" s="9" t="n">
        <x:v>0.1</x:v>
      </x:c>
      <x:c r="V128" s="9" t="n">
        <x:v>0.030555555555555</x:v>
      </x:c>
      <x:c r="W128" s="9" t="n">
        <x:v>0.013888888888889</x:v>
      </x:c>
      <x:c r="X128" s="9" t="n">
        <x:v>0.042666666666667</x:v>
      </x:c>
    </x:row>
    <x:row r="129">
      <x:c r="A129" s="2" t="str">
        <x:v>不加形态</x:v>
      </x:c>
      <x:c r="B129" s="6" t="d">
        <x:v>2025-08-14T00:00:00.000Z</x:v>
      </x:c>
      <x:c r="C129" s="6" t="d">
        <x:v>2025-08-15T00:00:00.000Z</x:v>
      </x:c>
      <x:c r="D129" s="7" t="str">
        <x:v>600658</x:v>
      </x:c>
      <x:c r="E129" s="2" t="n">
        <x:v>1</x:v>
      </x:c>
      <x:c r="F129" s="11" t="n">
        <x:v>0.7972757568672943</x:v>
      </x:c>
      <x:c r="G129" s="2" t="str">
        <x:v>五分最高涨幅&gt;=6% 且 五分最低涨幅&gt;=-3%</x:v>
      </x:c>
      <x:c r="H129" s="2" t="str">
        <x:v>09:36</x:v>
      </x:c>
      <x:c r="I129" s="2" t="str">
        <x:v>余款全买</x:v>
      </x:c>
      <x:c r="J129" s="8" t="n">
        <x:v>396310.41539152886</x:v>
      </x:c>
      <x:c r="K129" s="12" t="n">
        <x:v>6.85</x:v>
      </x:c>
      <x:c r="L129" s="8" t="n">
        <x:v>57797.73735629756</x:v>
      </x:c>
      <x:c r="M129" s="6" t="d">
        <x:v>2025-08-18T00:00:00.000Z</x:v>
      </x:c>
      <x:c r="N129" s="12" t="n">
        <x:v>7.01</x:v>
      </x:c>
      <x:c r="O129" s="8" t="n">
        <x:v>404756.9767287782</x:v>
      </x:c>
      <x:c r="P129" s="8" t="n">
        <x:v>395.9145008905907</x:v>
      </x:c>
      <x:c r="Q129" s="8" t="n">
        <x:v>405.16213886764587</x:v>
      </x:c>
      <x:c r="R129" s="8" t="n">
        <x:f>O129-J129</x:f>
        <x:v>8446.561337249354</x:v>
      </x:c>
      <x:c r="S129" s="9" t="n">
        <x:f>R129/J129</x:f>
        <x:v>0.021312993575767374</x:v>
      </x:c>
      <x:c r="T129" s="2" t="n">
        <x:v>1</x:v>
      </x:c>
      <x:c r="U129" s="9" t="n">
        <x:v>0.004322766570605</x:v>
      </x:c>
      <x:c r="V129" s="9" t="n">
        <x:v>-0.066282420749279</x:v>
      </x:c>
      <x:c r="W129" s="9" t="n">
        <x:v>0.017291066282421</x:v>
      </x:c>
      <x:c r="X129" s="9" t="n">
        <x:v>0.007352941176471</x:v>
      </x:c>
    </x:row>
    <x:row r="130">
      <x:c r="A130" s="2" t="str">
        <x:v>不加形态</x:v>
      </x:c>
      <x:c r="B130" s="6" t="d">
        <x:v>2025-08-15T00:00:00.000Z</x:v>
      </x:c>
      <x:c r="C130" s="6" t="d">
        <x:v>2025-08-18T00:00:00.000Z</x:v>
      </x:c>
      <x:c r="D130" s="7" t="str">
        <x:v>002939</x:v>
      </x:c>
      <x:c r="E130" s="2" t="n">
        <x:v>1</x:v>
      </x:c>
      <x:c r="F130" s="11" t="n">
        <x:v>0.7388003310024593</x:v>
      </x:c>
      <x:c r="G130" s="2" t="str">
        <x:v>五分最高涨幅&gt;=6% 且 五分最低涨幅&gt;=-3%</x:v>
      </x:c>
      <x:c r="H130" s="2" t="str">
        <x:v>09:36</x:v>
      </x:c>
      <x:c r="I130" s="2" t="str">
        <x:v>余款全买</x:v>
      </x:c>
      <x:c r="J130" s="8" t="n">
        <x:v>454686.87105699483</x:v>
      </x:c>
      <x:c r="K130" s="12" t="n">
        <x:v>13.12</x:v>
      </x:c>
      <x:c r="L130" s="8" t="n">
        <x:v>34621.3901233671</x:v>
      </x:c>
      <x:c r="M130" s="6" t="d">
        <x:v>2025-08-19T00:00:00.000Z</x:v>
      </x:c>
      <x:c r="N130" s="12" t="n">
        <x:v>13.78</x:v>
      </x:c>
      <x:c r="O130" s="8" t="n">
        <x:v>476605.6731440986</x:v>
      </x:c>
      <x:c r="P130" s="8" t="n">
        <x:v>454.23263841849985</x:v>
      </x:c>
      <x:c r="Q130" s="8" t="n">
        <x:v>477.0827558999986</x:v>
      </x:c>
      <x:c r="R130" s="8" t="n">
        <x:f>O130-J130</x:f>
        <x:v>21918.802087103773</x:v>
      </x:c>
      <x:c r="S130" s="9" t="n">
        <x:f>R130/J130</x:f>
        <x:v>0.048206366803927925</x:v>
      </x:c>
      <x:c r="T130" s="2" t="n">
        <x:v>1</x:v>
      </x:c>
      <x:c r="U130" s="9" t="n">
        <x:v>0.100331674958541</x:v>
      </x:c>
      <x:c r="V130" s="9" t="n">
        <x:v>0.062189054726368</x:v>
      </x:c>
      <x:c r="W130" s="9" t="n">
        <x:v>0.009950248756219</x:v>
      </x:c>
      <x:c r="X130" s="9" t="n">
        <x:v>0.008435582822086</x:v>
      </x:c>
    </x:row>
    <x:row r="131">
      <x:c r="A131" s="2" t="str">
        <x:v>不加形态</x:v>
      </x:c>
      <x:c r="B131" s="6" t="d">
        <x:v>2025-08-18T00:00:00.000Z</x:v>
      </x:c>
      <x:c r="C131" s="6" t="d">
        <x:v>2025-08-19T00:00:00.000Z</x:v>
      </x:c>
      <x:c r="D131" s="7" t="str">
        <x:v>601609</x:v>
      </x:c>
      <x:c r="E131" s="2" t="n">
        <x:v>1</x:v>
      </x:c>
      <x:c r="F131" s="11" t="n">
        <x:v>0.7720480572246814</x:v>
      </x:c>
      <x:c r="G131" s="2" t="str">
        <x:v>五分最高涨幅&gt;=6% 且 五分最低涨幅&gt;=-3%</x:v>
      </x:c>
      <x:c r="H131" s="2" t="str">
        <x:v>09:36</x:v>
      </x:c>
      <x:c r="I131" s="2" t="str">
        <x:v>余款全买</x:v>
      </x:c>
      <x:c r="J131" s="8" t="n">
        <x:v>404756.9767287782</x:v>
      </x:c>
      <x:c r="K131" s="12" t="n">
        <x:v>13.34</x:v>
      </x:c>
      <x:c r="L131" s="8" t="n">
        <x:v>30311.291162269383</x:v>
      </x:c>
      <x:c r="M131" s="6" t="d">
        <x:v>2025-08-20T00:00:00.000Z</x:v>
      </x:c>
      <x:c r="N131" s="12" t="n">
        <x:v>14.75</x:v>
      </x:c>
      <x:c r="O131" s="8" t="n">
        <x:v>446644.45309882995</x:v>
      </x:c>
      <x:c r="P131" s="8" t="n">
        <x:v>404.3526241046493</x:v>
      </x:c>
      <x:c r="Q131" s="8" t="n">
        <x:v>447.0915446434734</x:v>
      </x:c>
      <x:c r="R131" s="8" t="n">
        <x:f>O131-J131</x:f>
        <x:v>41887.476370051736</x:v>
      </x:c>
      <x:c r="S131" s="9" t="n">
        <x:f>R131/J131</x:f>
        <x:v>0.10348796630655716</x:v>
      </x:c>
      <x:c r="T131" s="2" t="n">
        <x:v>1</x:v>
      </x:c>
      <x:c r="U131" s="9" t="n">
        <x:v>0.09976057462091</x:v>
      </x:c>
      <x:c r="V131" s="9" t="n">
        <x:v>0.045490822027135</x:v>
      </x:c>
      <x:c r="W131" s="9" t="n">
        <x:v>0.034317637669593</x:v>
      </x:c>
      <x:c r="X131" s="9" t="n">
        <x:v>-0.031204644412192</x:v>
      </x:c>
    </x:row>
    <x:row r="132">
      <x:c r="A132" s="2" t="str">
        <x:v>不加形态</x:v>
      </x:c>
      <x:c r="B132" s="6" t="d">
        <x:v>2025-08-19T00:00:00.000Z</x:v>
      </x:c>
      <x:c r="C132" s="6" t="d">
        <x:v>2025-08-20T00:00:00.000Z</x:v>
      </x:c>
      <x:c r="D132" s="7" t="str">
        <x:v>002052</x:v>
      </x:c>
      <x:c r="E132" s="2" t="n">
        <x:v>1</x:v>
      </x:c>
      <x:c r="F132" s="11" t="n">
        <x:v>0.7500672554231794</x:v>
      </x:c>
      <x:c r="G132" s="2" t="str">
        <x:v>五分最高涨幅&gt;=6% 且 五分最低涨幅&gt;=-3%</x:v>
      </x:c>
      <x:c r="H132" s="2" t="str">
        <x:v>09:36</x:v>
      </x:c>
      <x:c r="I132" s="2" t="str">
        <x:v>余款全买</x:v>
      </x:c>
      <x:c r="J132" s="8" t="n">
        <x:v>476605.6731440986</x:v>
      </x:c>
      <x:c r="K132" s="12" t="n">
        <x:v>18.25</x:v>
      </x:c>
      <x:c r="L132" s="8" t="n">
        <x:v>26089.29006030127</x:v>
      </x:c>
      <x:c r="M132" s="6" t="d">
        <x:v>2025-08-21T00:00:00.000Z</x:v>
      </x:c>
      <x:c r="N132" s="12" t="n">
        <x:v>19.19</x:v>
      </x:c>
      <x:c r="O132" s="8" t="n">
        <x:v>500152.82278092427</x:v>
      </x:c>
      <x:c r="P132" s="8" t="n">
        <x:v>476.1295436004293</x:v>
      </x:c>
      <x:c r="Q132" s="8" t="n">
        <x:v>500.65347625718147</x:v>
      </x:c>
      <x:c r="R132" s="8" t="n">
        <x:f>O132-J132</x:f>
        <x:v>23547.149636825663</x:v>
      </x:c>
      <x:c r="S132" s="9" t="n">
        <x:f>R132/J132</x:f>
        <x:v>0.04940593652922452</x:v>
      </x:c>
      <x:c r="T132" s="2" t="n">
        <x:v>0</x:v>
      </x:c>
      <x:c r="U132" s="9" t="n">
        <x:v>0.030684931506849</x:v>
      </x:c>
      <x:c r="V132" s="9" t="n">
        <x:v>-0.02027397260274</x:v>
      </x:c>
      <x:c r="W132" s="9" t="n">
        <x:v>0.032328767123288</x:v>
      </x:c>
      <x:c r="X132" s="9" t="n">
        <x:v>0.011098779134295</x:v>
      </x:c>
    </x:row>
    <x:row r="133">
      <x:c r="A133" s="2" t="str">
        <x:v>不加形态</x:v>
      </x:c>
      <x:c r="B133" s="6" t="d">
        <x:v>2025-08-20T00:00:00.000Z</x:v>
      </x:c>
      <x:c r="C133" s="6" t="d">
        <x:v>2025-08-21T00:00:00.000Z</x:v>
      </x:c>
      <x:c r="D133" s="7" t="str">
        <x:v>603222</x:v>
      </x:c>
      <x:c r="E133" s="2" t="n">
        <x:v>2</x:v>
      </x:c>
      <x:c r="F133" s="11" t="n">
        <x:v>0.7240070184136964</x:v>
      </x:c>
      <x:c r="G133" s="2" t="str">
        <x:v>五分最高涨幅&gt;=6% 且 五分最低涨幅&gt;=-3%</x:v>
      </x:c>
      <x:c r="H133" s="2" t="str">
        <x:v>09:36</x:v>
      </x:c>
      <x:c r="I133" s="2" t="str">
        <x:v>余款全买</x:v>
      </x:c>
      <x:c r="J133" s="8" t="n">
        <x:v>446644.45309882995</x:v>
      </x:c>
      <x:c r="K133" s="12" t="n">
        <x:v>11.09</x:v>
      </x:c>
      <x:c r="L133" s="8" t="n">
        <x:v>40234.28808331704</x:v>
      </x:c>
      <x:c r="M133" s="6" t="d">
        <x:v>2025-08-22T00:00:00.000Z</x:v>
      </x:c>
      <x:c r="N133" s="12" t="n">
        <x:v>10.26</x:v>
      </x:c>
      <x:c r="O133" s="8" t="n">
        <x:v>412390.991939098</x:v>
      </x:c>
      <x:c r="P133" s="8" t="n">
        <x:v>446.19825484394096</x:v>
      </x:c>
      <x:c r="Q133" s="8" t="n">
        <x:v>412.8037957348328</x:v>
      </x:c>
      <x:c r="R133" s="8" t="n">
        <x:f>O133-J133</x:f>
        <x:v>-34253.46115973196</x:v>
      </x:c>
      <x:c r="S133" s="9" t="n">
        <x:f>R133/J133</x:f>
        <x:v>-0.07669066731284946</x:v>
      </x:c>
      <x:c r="T133" s="2" t="n">
        <x:v>0</x:v>
      </x:c>
      <x:c r="U133" s="9" t="n">
        <x:v>0.033726812816189</x:v>
      </x:c>
      <x:c r="V133" s="9" t="n">
        <x:v>-0.09106239460371</x:v>
      </x:c>
      <x:c r="W133" s="9" t="n">
        <x:v>0.097807757166948</x:v>
      </x:c>
      <x:c r="X133" s="9" t="n">
        <x:v>-0.07190635451505</x:v>
      </x:c>
    </x:row>
    <x:row r="134">
      <x:c r="A134" s="2" t="str">
        <x:v>不加形态</x:v>
      </x:c>
      <x:c r="B134" s="6" t="d">
        <x:v>2025-08-21T00:00:00.000Z</x:v>
      </x:c>
      <x:c r="C134" s="6" t="d">
        <x:v>2025-08-22T00:00:00.000Z</x:v>
      </x:c>
      <x:c r="D134" s="7" t="str">
        <x:v>601929</x:v>
      </x:c>
      <x:c r="E134" s="2" t="n">
        <x:v>3</x:v>
      </x:c>
      <x:c r="F134" s="11" t="n">
        <x:v>0.7357752343254638</x:v>
      </x:c>
      <x:c r="G134" s="2" t="str">
        <x:v>五分最高涨幅&gt;=6% 且 五分最低涨幅&gt;=-3%</x:v>
      </x:c>
      <x:c r="H134" s="2" t="str">
        <x:v>09:36</x:v>
      </x:c>
      <x:c r="I134" s="2" t="str">
        <x:v>余款全买</x:v>
      </x:c>
      <x:c r="J134" s="8" t="n">
        <x:v>500152.82278092427</x:v>
      </x:c>
      <x:c r="K134" s="12" t="n">
        <x:v>3.8</x:v>
      </x:c>
      <x:c r="L134" s="8" t="n">
        <x:v>131487.67621350344</x:v>
      </x:c>
      <x:c r="M134" s="6" t="d">
        <x:v>2025-08-25T00:00:00.000Z</x:v>
      </x:c>
      <x:c r="N134" s="12" t="n">
        <x:v>3.52</x:v>
      </x:c>
      <x:c r="O134" s="8" t="n">
        <x:v>462373.78365126054</x:v>
      </x:c>
      <x:c r="P134" s="8" t="n">
        <x:v>499.6531696112361</x:v>
      </x:c>
      <x:c r="Q134" s="8" t="n">
        <x:v>462.8366202715321</x:v>
      </x:c>
      <x:c r="R134" s="8" t="n">
        <x:f>O134-J134</x:f>
        <x:v>-37779.039129663724</x:v>
      </x:c>
      <x:c r="S134" s="9" t="n">
        <x:f>R134/J134</x:f>
        <x:v>-0.07553499132446485</x:v>
      </x:c>
      <x:c r="T134" s="2" t="n">
        <x:v>0</x:v>
      </x:c>
      <x:c r="U134" s="9" t="n">
        <x:v>0</x:v>
      </x:c>
      <x:c r="V134" s="9" t="n">
        <x:v>-0.070707070707071</x:v>
      </x:c>
      <x:c r="W134" s="9" t="n">
        <x:v>0.04040404040404</x:v>
      </x:c>
      <x:c r="X134" s="9" t="n">
        <x:v>-0.04040404040404</x:v>
      </x:c>
    </x:row>
    <x:row r="135">
      <x:c r="A135" s="2" t="str">
        <x:v>不加形态</x:v>
      </x:c>
      <x:c r="B135" s="6" t="d">
        <x:v>2025-08-26T00:00:00.000Z</x:v>
      </x:c>
      <x:c r="C135" s="6" t="d">
        <x:v>2025-08-27T00:00:00.000Z</x:v>
      </x:c>
      <x:c r="D135" s="7" t="str">
        <x:v>002217</x:v>
      </x:c>
      <x:c r="E135" s="2" t="n">
        <x:v>1</x:v>
      </x:c>
      <x:c r="F135" s="11" t="n">
        <x:v>0.766070378575499</x:v>
      </x:c>
      <x:c r="G135" s="2" t="str">
        <x:v>五分最高涨幅&gt;=6% 且 五分最低涨幅&gt;=-3%</x:v>
      </x:c>
      <x:c r="H135" s="2" t="str">
        <x:v>09:36</x:v>
      </x:c>
      <x:c r="I135" s="2" t="str">
        <x:v>空仓半买</x:v>
      </x:c>
      <x:c r="J135" s="8" t="n">
        <x:v>437382.38779517927</x:v>
      </x:c>
      <x:c r="K135" s="12" t="n">
        <x:v>3.9</x:v>
      </x:c>
      <x:c r="L135" s="8" t="n">
        <x:v>112037.29291098115</x:v>
      </x:c>
      <x:c r="M135" s="6" t="d">
        <x:v>2025-08-28T00:00:00.000Z</x:v>
      </x:c>
      <x:c r="N135" s="12" t="n">
        <x:v>3.9</x:v>
      </x:c>
      <x:c r="O135" s="8" t="n">
        <x:v>436508.4969104736</x:v>
      </x:c>
      <x:c r="P135" s="8" t="n">
        <x:v>436.9454423527932</x:v>
      </x:c>
      <x:c r="Q135" s="8" t="n">
        <x:v>436.9454423528265</x:v>
      </x:c>
      <x:c r="R135" s="8" t="n">
        <x:f>O135-J135</x:f>
        <x:v>-873.8908847056446</x:v>
      </x:c>
      <x:c r="S135" s="9" t="n">
        <x:f>R135/J135</x:f>
        <x:v>-0.001998001998001979</x:v>
      </x:c>
      <x:c r="T135" s="2" t="n">
        <x:v>0</x:v>
      </x:c>
      <x:c r="U135" s="9" t="n">
        <x:v>0.07258064516129</x:v>
      </x:c>
      <x:c r="V135" s="9" t="n">
        <x:v>-0.005376344086022</x:v>
      </x:c>
      <x:c r="W135" s="9" t="n">
        <x:v>0.024193548387097</x:v>
      </x:c>
      <x:c r="X135" s="9" t="n">
        <x:v>-0.002557544757033</x:v>
      </x:c>
    </x:row>
    <x:row r="136">
      <x:c r="A136" s="2" t="str">
        <x:v>不加形态</x:v>
      </x:c>
      <x:c r="B136" s="6" t="d">
        <x:v>2025-08-27T00:00:00.000Z</x:v>
      </x:c>
      <x:c r="C136" s="6" t="d">
        <x:v>2025-08-28T00:00:00.000Z</x:v>
      </x:c>
      <x:c r="D136" s="7" t="str">
        <x:v>603083</x:v>
      </x:c>
      <x:c r="E136" s="2" t="n">
        <x:v>1</x:v>
      </x:c>
      <x:c r="F136" s="11" t="n">
        <x:v>0.7317561612872377</x:v>
      </x:c>
      <x:c r="G136" s="2" t="str">
        <x:v>五分最高涨幅&gt;=6% 且 五分最低涨幅&gt;=-3%</x:v>
      </x:c>
      <x:c r="H136" s="2" t="str">
        <x:v>09:36</x:v>
      </x:c>
      <x:c r="I136" s="2" t="str">
        <x:v>余款全买</x:v>
      </x:c>
      <x:c r="J136" s="8" t="n">
        <x:v>437382.38779517927</x:v>
      </x:c>
      <x:c r="K136" s="12" t="n">
        <x:v>91.9</x:v>
      </x:c>
      <x:c r="L136" s="8" t="n">
        <x:v>4754.574998398547</x:v>
      </x:c>
      <x:c r="M136" s="6" t="d">
        <x:v>2025-08-29T00:00:00.000Z</x:v>
      </x:c>
      <x:c r="N136" s="12" t="n">
        <x:v>93.65</x:v>
      </x:c>
      <x:c r="O136" s="8" t="n">
        <x:v>444820.6826514239</x:v>
      </x:c>
      <x:c r="P136" s="8" t="n">
        <x:v>436.9454423527932</x:v>
      </x:c>
      <x:c r="Q136" s="8" t="n">
        <x:v>445.26594860002393</x:v>
      </x:c>
      <x:c r="R136" s="8" t="n">
        <x:f>O136-J136</x:f>
        <x:v>7438.29485624464</x:v>
      </x:c>
      <x:c r="S136" s="9" t="n">
        <x:f>R136/J136</x:f>
        <x:v>0.017006388605953427</x:v>
      </x:c>
      <x:c r="T136" s="2" t="n">
        <x:v>0</x:v>
      </x:c>
      <x:c r="U136" s="9" t="n">
        <x:v>0.077899988660846</x:v>
      </x:c>
      <x:c r="V136" s="9" t="n">
        <x:v>-0.070302755414446</x:v>
      </x:c>
      <x:c r="W136" s="9" t="n">
        <x:v>0.036398684658125</x:v>
      </x:c>
      <x:c r="X136" s="9" t="n">
        <x:v>-0.033056111169597</x:v>
      </x:c>
    </x:row>
    <x:row r="137">
      <x:c r="A137" s="2" t="str">
        <x:v>不加形态</x:v>
      </x:c>
      <x:c r="B137" s="6" t="d">
        <x:v>2025-08-28T00:00:00.000Z</x:v>
      </x:c>
      <x:c r="C137" s="6" t="d">
        <x:v>2025-08-29T00:00:00.000Z</x:v>
      </x:c>
      <x:c r="D137" s="7" t="str">
        <x:v>605188</x:v>
      </x:c>
      <x:c r="E137" s="2" t="n">
        <x:v>1</x:v>
      </x:c>
      <x:c r="F137" s="11" t="n">
        <x:v>0.7412736143819656</x:v>
      </x:c>
      <x:c r="G137" s="2" t="str">
        <x:v>五分最高涨幅&gt;=6% 且 五分最低涨幅&gt;=-3%</x:v>
      </x:c>
      <x:c r="H137" s="2" t="str">
        <x:v>09:36</x:v>
      </x:c>
      <x:c r="I137" s="2" t="str">
        <x:v>余款全买</x:v>
      </x:c>
      <x:c r="J137" s="8" t="n">
        <x:v>436508.4969104736</x:v>
      </x:c>
      <x:c r="K137" s="12" t="n">
        <x:v>19.55</x:v>
      </x:c>
      <x:c r="L137" s="8" t="n">
        <x:v>22305.494858618295</x:v>
      </x:c>
      <x:c r="M137" s="6" t="d">
        <x:v>2025-09-01T00:00:00.000Z</x:v>
      </x:c>
      <x:c r="N137" s="12" t="n">
        <x:v>19.86</x:v>
      </x:c>
      <x:c r="O137" s="8" t="n">
        <x:v>442544.1407642672</x:v>
      </x:c>
      <x:c r="P137" s="8" t="n">
        <x:v>436.07242448593024</x:v>
      </x:c>
      <x:c r="Q137" s="8" t="n">
        <x:v>442.9871278921593</x:v>
      </x:c>
      <x:c r="R137" s="8" t="n">
        <x:f>O137-J137</x:f>
        <x:v>6035.643853793561</x:v>
      </x:c>
      <x:c r="S137" s="9" t="n">
        <x:f>R137/J137</x:f>
        <x:v>0.013827093622490128</x:v>
      </x:c>
      <x:c r="T137" s="2" t="n">
        <x:v>1</x:v>
      </x:c>
      <x:c r="U137" s="9" t="n">
        <x:v>0.100054083288264</x:v>
      </x:c>
      <x:c r="V137" s="9" t="n">
        <x:v>0.017306652244456</x:v>
      </x:c>
      <x:c r="W137" s="9" t="n">
        <x:v>0.045429962141698</x:v>
      </x:c>
      <x:c r="X137" s="9" t="n">
        <x:v>0.036682615629984</x:v>
      </x:c>
    </x:row>
    <x:row r="138">
      <x:c r="A138" s="2" t="str">
        <x:v>不加形态</x:v>
      </x:c>
      <x:c r="B138" s="6" t="d">
        <x:v>2025-08-29T00:00:00.000Z</x:v>
      </x:c>
      <x:c r="C138" s="6" t="d">
        <x:v>2025-09-01T00:00:00.000Z</x:v>
      </x:c>
      <x:c r="D138" s="7" t="str">
        <x:v>002053</x:v>
      </x:c>
      <x:c r="E138" s="2" t="n">
        <x:v>2</x:v>
      </x:c>
      <x:c r="F138" s="11" t="n">
        <x:v>0.7153113252179726</x:v>
      </x:c>
      <x:c r="G138" s="2" t="str">
        <x:v>五分最高涨幅&gt;=6% 且 五分最低涨幅&gt;=-3%</x:v>
      </x:c>
      <x:c r="H138" s="2" t="str">
        <x:v>09:36</x:v>
      </x:c>
      <x:c r="I138" s="2" t="str">
        <x:v>余款全买</x:v>
      </x:c>
      <x:c r="J138" s="8" t="n">
        <x:v>444820.6826514239</x:v>
      </x:c>
      <x:c r="K138" s="12" t="n">
        <x:v>14.55</x:v>
      </x:c>
      <x:c r="L138" s="8" t="n">
        <x:v>30541.326896568993</x:v>
      </x:c>
      <x:c r="M138" s="6" t="d">
        <x:v>2025-09-02T00:00:00.000Z</x:v>
      </x:c>
      <x:c r="N138" s="12" t="n">
        <x:v>13.91</x:v>
      </x:c>
      <x:c r="O138" s="8" t="n">
        <x:v>424405.0272741434</x:v>
      </x:c>
      <x:c r="P138" s="8" t="n">
        <x:v>444.37630634504603</x:v>
      </x:c>
      <x:c r="Q138" s="8" t="n">
        <x:v>424.8298571312747</x:v>
      </x:c>
      <x:c r="R138" s="8" t="n">
        <x:f>O138-J138</x:f>
        <x:v>-20415.65537728049</x:v>
      </x:c>
      <x:c r="S138" s="9" t="n">
        <x:f>R138/J138</x:f>
        <x:v>-0.045896371669567504</x:v>
      </x:c>
      <x:c r="T138" s="2" t="n">
        <x:v>0</x:v>
      </x:c>
      <x:c r="U138" s="9" t="n">
        <x:v>0.014009339559707</x:v>
      </x:c>
      <x:c r="V138" s="9" t="n">
        <x:v>-0.064709806537692</x:v>
      </x:c>
      <x:c r="W138" s="9" t="n">
        <x:v>0.042695130086724</x:v>
      </x:c>
      <x:c r="X138" s="9" t="n">
        <x:v>-0.038309114927345</x:v>
      </x:c>
    </x:row>
  </x:sheetData>
  <x:pageMargins left="0.7" right="0.7" top="0.75" bottom="0.75" header="0.3" footer="0.3"/>
  <x:tableParts count="1">
    <x:tablePart xmlns:r="http://schemas.openxmlformats.org/officeDocument/2006/relationships" r:id="R1860a1629dee45f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2" hidden="0" customWidth="1"/>
    <x:col min="5" max="5" width="13" hidden="0" customWidth="1"/>
    <x:col min="6" max="6" width="3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7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3" hidden="0" customWidth="1"/>
    <x:col min="20" max="20" width="13" hidden="0" customWidth="1"/>
    <x:col min="21" max="21" width="12" hidden="0" customWidth="1"/>
    <x:col min="22" max="22" width="15" hidden="0" customWidth="1"/>
    <x:col min="23" max="23" width="15" hidden="0" customWidth="1"/>
    <x:col min="24" max="24" width="13" hidden="0" customWidth="1"/>
  </x:cols>
  <x:sheetData>
    <x:row r="1" ht="28" customHeight="1">
      <x:c r="A1" s="5" t="str">
        <x:v>D0日期</x:v>
      </x:c>
      <x:c r="B1" s="5" t="str">
        <x:v>D1日期</x:v>
      </x:c>
      <x:c r="C1" s="5" t="str">
        <x:v>股票代码</x:v>
      </x:c>
      <x:c r="D1" s="5" t="str">
        <x:v>D0排名</x:v>
      </x:c>
      <x:c r="E1" s="5" t="str">
        <x:v>模型分数</x:v>
      </x:c>
      <x:c r="F1" s="5" t="str">
        <x:v>冻结形态规则</x:v>
      </x:c>
      <x:c r="G1" s="5" t="str">
        <x:v>五分最高</x:v>
      </x:c>
      <x:c r="H1" s="5" t="str">
        <x:v>五分最低</x:v>
      </x:c>
      <x:c r="I1" s="5" t="str">
        <x:v>高点回落</x:v>
      </x:c>
      <x:c r="J1" s="5" t="str">
        <x:v>五分实体</x:v>
      </x:c>
      <x:c r="K1" s="5" t="str">
        <x:v>收价位置</x:v>
      </x:c>
      <x:c r="L1" s="5" t="str">
        <x:v>形态描述</x:v>
      </x:c>
      <x:c r="M1" s="5" t="str">
        <x:v>触板根数</x:v>
      </x:c>
      <x:c r="N1" s="5" t="str">
        <x:v>板下根数</x:v>
      </x:c>
      <x:c r="O1" s="5" t="str">
        <x:v>分钟核验</x:v>
      </x:c>
      <x:c r="P1" s="5" t="str">
        <x:v>可参与</x:v>
      </x:c>
      <x:c r="Q1" s="5" t="str">
        <x:v>形态通过</x:v>
      </x:c>
      <x:c r="R1" s="5" t="str">
        <x:v>可买代理</x:v>
      </x:c>
      <x:c r="S1" s="5" t="str">
        <x:v>买点分钟</x:v>
      </x:c>
      <x:c r="T1" s="5" t="str">
        <x:v>买价</x:v>
      </x:c>
      <x:c r="U1" s="5" t="str">
        <x:v>实体通过</x:v>
      </x:c>
      <x:c r="V1" s="5" t="str">
        <x:v>形态版成交</x:v>
      </x:c>
      <x:c r="W1" s="5" t="str">
        <x:v>无形态成交</x:v>
      </x:c>
      <x:c r="X1" s="5" t="str">
        <x:v>三日再板</x:v>
      </x:c>
    </x:row>
    <x:row r="2">
      <x:c r="A2" s="6" t="d">
        <x:v>2025-05-06T00:00:00.000Z</x:v>
      </x:c>
      <x:c r="B2" s="6" t="d">
        <x:v>2025-05-07T00:00:00.000Z</x:v>
      </x:c>
      <x:c r="C2" s="7" t="str">
        <x:v>002471</x:v>
      </x:c>
      <x:c r="D2" s="2" t="n">
        <x:v>1</x:v>
      </x:c>
      <x:c r="E2" s="11" t="n">
        <x:v>0.7342873461997842</x:v>
      </x:c>
      <x:c r="F2" s="2" t="str">
        <x:v>全部保留</x:v>
      </x:c>
      <x:c r="G2" s="9" t="n">
        <x:v>0.100917431192661</x:v>
      </x:c>
      <x:c r="H2" s="9" t="n">
        <x:v>0.100917431192661</x:v>
      </x:c>
      <x:c r="I2" s="9" t="n">
        <x:v>0</x:v>
      </x:c>
      <x:c r="J2" s="9" t="n">
        <x:v>0</x:v>
      </x:c>
      <x:c r="K2" s="9" t="n">
        <x:v>0.5</x:v>
      </x:c>
      <x:c r="L2" s="2" t="str">
        <x:v>平走</x:v>
      </x:c>
      <x:c r="M2" s="2" t="n">
        <x:v>5</x:v>
      </x:c>
      <x:c r="N2" s="2" t="n">
        <x:v>0</x:v>
      </x:c>
      <x:c r="O2" s="2" t="n">
        <x:v>1</x:v>
      </x:c>
      <x:c r="P2" s="2" t="n">
        <x:v>1</x:v>
      </x:c>
      <x:c r="Q2" s="2" t="n">
        <x:v>1</x:v>
      </x:c>
      <x:c r="R2" s="2" t="n">
        <x:v>0</x:v>
      </x:c>
      <x:c r="S2" s="2"/>
      <x:c r="T2" s="12"/>
      <x:c r="U2" s="2" t="n">
        <x:v>1</x:v>
      </x:c>
      <x:c r="V2" s="2" t="n">
        <x:v>0</x:v>
      </x:c>
      <x:c r="W2" s="2" t="n">
        <x:v>0</x:v>
      </x:c>
      <x:c r="X2" s="2" t="n">
        <x:v>1</x:v>
      </x:c>
    </x:row>
    <x:row r="3">
      <x:c r="A3" s="6" t="d">
        <x:v>2025-05-06T00:00:00.000Z</x:v>
      </x:c>
      <x:c r="B3" s="6" t="d">
        <x:v>2025-05-07T00:00:00.000Z</x:v>
      </x:c>
      <x:c r="C3" s="7" t="str">
        <x:v>603586</x:v>
      </x:c>
      <x:c r="D3" s="2" t="n">
        <x:v>2</x:v>
      </x:c>
      <x:c r="E3" s="11" t="n">
        <x:v>0.71826675987459</x:v>
      </x:c>
      <x:c r="F3" s="2" t="str">
        <x:v>全部保留</x:v>
      </x:c>
      <x:c r="G3" s="9" t="n">
        <x:v>0.100053792361485</x:v>
      </x:c>
      <x:c r="H3" s="9" t="n">
        <x:v>0.015599784830554</x:v>
      </x:c>
      <x:c r="I3" s="9" t="n">
        <x:v>0.066164604626143</x:v>
      </x:c>
      <x:c r="J3" s="9" t="n">
        <x:v>-0.060146699266504</x:v>
      </x:c>
      <x:c r="K3" s="9" t="n">
        <x:v>0.21656050955414</x:v>
      </x:c>
      <x:c r="L3" s="2" t="str">
        <x:v>两段走弱</x:v>
      </x:c>
      <x:c r="M3" s="2" t="n">
        <x:v>2</x:v>
      </x:c>
      <x:c r="N3" s="2" t="n">
        <x:v>4</x:v>
      </x:c>
      <x:c r="O3" s="2" t="n">
        <x:v>1</x:v>
      </x:c>
      <x:c r="P3" s="2" t="n">
        <x:v>1</x:v>
      </x:c>
      <x:c r="Q3" s="2" t="n">
        <x:v>1</x:v>
      </x:c>
      <x:c r="R3" s="2" t="n">
        <x:v>1</x:v>
      </x:c>
      <x:c r="S3" s="2" t="str">
        <x:v>09:36</x:v>
      </x:c>
      <x:c r="T3" s="12" t="n">
        <x:v>19.23</x:v>
      </x:c>
      <x:c r="U3" s="2" t="n">
        <x:v>1</x:v>
      </x:c>
      <x:c r="V3" s="2" t="n">
        <x:v>1</x:v>
      </x:c>
      <x:c r="W3" s="2" t="n">
        <x:v>1</x:v>
      </x:c>
      <x:c r="X3" s="2" t="n">
        <x:v>0</x:v>
      </x:c>
    </x:row>
    <x:row r="4">
      <x:c r="A4" s="6" t="d">
        <x:v>2025-05-06T00:00:00.000Z</x:v>
      </x:c>
      <x:c r="B4" s="6" t="d">
        <x:v>2025-05-07T00:00:00.000Z</x:v>
      </x:c>
      <x:c r="C4" s="7" t="str">
        <x:v>002730</x:v>
      </x:c>
      <x:c r="D4" s="2" t="n">
        <x:v>3</x:v>
      </x:c>
      <x:c r="E4" s="11" t="n">
        <x:v>0.7133997350576772</x:v>
      </x:c>
      <x:c r="F4" s="2" t="str">
        <x:v>全部保留</x:v>
      </x:c>
      <x:c r="G4" s="9" t="n">
        <x:v>0.100115074798619</x:v>
      </x:c>
      <x:c r="H4" s="9" t="n">
        <x:v>0.100115074798619</x:v>
      </x:c>
      <x:c r="I4" s="9" t="n">
        <x:v>0</x:v>
      </x:c>
      <x:c r="J4" s="9" t="n">
        <x:v>0</x:v>
      </x:c>
      <x:c r="K4" s="9" t="n">
        <x:v>0.5</x:v>
      </x:c>
      <x:c r="L4" s="2" t="str">
        <x:v>平走</x:v>
      </x:c>
      <x:c r="M4" s="2" t="n">
        <x:v>5</x:v>
      </x:c>
      <x:c r="N4" s="2" t="n">
        <x:v>0</x:v>
      </x:c>
      <x:c r="O4" s="2" t="n">
        <x:v>1</x:v>
      </x:c>
      <x:c r="P4" s="2" t="n">
        <x:v>1</x:v>
      </x:c>
      <x:c r="Q4" s="2" t="n">
        <x:v>1</x:v>
      </x:c>
      <x:c r="R4" s="2" t="n">
        <x:v>0</x:v>
      </x:c>
      <x:c r="S4" s="2"/>
      <x:c r="T4" s="12"/>
      <x:c r="U4" s="2" t="n">
        <x:v>1</x:v>
      </x:c>
      <x:c r="V4" s="2" t="n">
        <x:v>0</x:v>
      </x:c>
      <x:c r="W4" s="2" t="n">
        <x:v>0</x:v>
      </x:c>
      <x:c r="X4" s="2" t="n">
        <x:v>1</x:v>
      </x:c>
    </x:row>
    <x:row r="5">
      <x:c r="A5" s="6" t="d">
        <x:v>2025-05-07T00:00:00.000Z</x:v>
      </x:c>
      <x:c r="B5" s="6" t="d">
        <x:v>2025-05-08T00:00:00.000Z</x:v>
      </x:c>
      <x:c r="C5" s="7" t="str">
        <x:v>002471</x:v>
      </x:c>
      <x:c r="D5" s="2" t="n">
        <x:v>1</x:v>
      </x:c>
      <x:c r="E5" s="11" t="n">
        <x:v>0.7934716400073767</x:v>
      </x:c>
      <x:c r="F5" s="2" t="str">
        <x:v>全部保留</x:v>
      </x:c>
      <x:c r="G5" s="9" t="n">
        <x:v>0.1</x:v>
      </x:c>
      <x:c r="H5" s="9" t="n">
        <x:v>0.055555555555556</x:v>
      </x:c>
      <x:c r="I5" s="9" t="n">
        <x:v>0</x:v>
      </x:c>
      <x:c r="J5" s="9" t="n">
        <x:v>0.012787723785166</x:v>
      </x:c>
      <x:c r="K5" s="9" t="n">
        <x:v>1</x:v>
      </x:c>
      <x:c r="L5" s="2" t="str">
        <x:v>两段走强</x:v>
      </x:c>
      <x:c r="M5" s="2" t="n">
        <x:v>4</x:v>
      </x:c>
      <x:c r="N5" s="2" t="n">
        <x:v>2</x:v>
      </x:c>
      <x:c r="O5" s="2" t="n">
        <x:v>1</x:v>
      </x:c>
      <x:c r="P5" s="2" t="n">
        <x:v>1</x:v>
      </x:c>
      <x:c r="Q5" s="2" t="n">
        <x:v>1</x:v>
      </x:c>
      <x:c r="R5" s="2" t="n">
        <x:v>0</x:v>
      </x:c>
      <x:c r="S5" s="2"/>
      <x:c r="T5" s="12"/>
      <x:c r="U5" s="2" t="n">
        <x:v>1</x:v>
      </x:c>
      <x:c r="V5" s="2" t="n">
        <x:v>0</x:v>
      </x:c>
      <x:c r="W5" s="2" t="n">
        <x:v>0</x:v>
      </x:c>
      <x:c r="X5" s="2" t="n">
        <x:v>1</x:v>
      </x:c>
    </x:row>
    <x:row r="6">
      <x:c r="A6" s="6" t="d">
        <x:v>2025-05-07T00:00:00.000Z</x:v>
      </x:c>
      <x:c r="B6" s="6" t="d">
        <x:v>2025-05-08T00:00:00.000Z</x:v>
      </x:c>
      <x:c r="C6" s="7" t="str">
        <x:v>600410</x:v>
      </x:c>
      <x:c r="D6" s="2" t="n">
        <x:v>2</x:v>
      </x:c>
      <x:c r="E6" s="11" t="n">
        <x:v>0.7736169874332208</x:v>
      </x:c>
      <x:c r="F6" s="2" t="str">
        <x:v>全部保留</x:v>
      </x:c>
      <x:c r="G6" s="9" t="n">
        <x:v>0.027272727272727</x:v>
      </x:c>
      <x:c r="H6" s="9" t="n">
        <x:v>-0.015454545454545</x:v>
      </x:c>
      <x:c r="I6" s="9" t="n">
        <x:v>0.009090909090909</x:v>
      </x:c>
      <x:c r="J6" s="9" t="n">
        <x:v>-0.00709219858156</x:v>
      </x:c>
      <x:c r="K6" s="9" t="n">
        <x:v>0.787234042553189</x:v>
      </x:c>
      <x:c r="L6" s="2" t="str">
        <x:v>前弱后强</x:v>
      </x:c>
      <x:c r="M6" s="2" t="n">
        <x:v>0</x:v>
      </x:c>
      <x:c r="N6" s="2" t="n">
        <x:v>5</x:v>
      </x:c>
      <x:c r="O6" s="2" t="n">
        <x:v>1</x:v>
      </x:c>
      <x:c r="P6" s="2" t="n">
        <x:v>1</x:v>
      </x:c>
      <x:c r="Q6" s="2" t="n">
        <x:v>1</x:v>
      </x:c>
      <x:c r="R6" s="2" t="n">
        <x:v>1</x:v>
      </x:c>
      <x:c r="S6" s="2" t="str">
        <x:v>09:36</x:v>
      </x:c>
      <x:c r="T6" s="12" t="n">
        <x:v>11.2</x:v>
      </x:c>
      <x:c r="U6" s="2" t="n">
        <x:v>1</x:v>
      </x:c>
      <x:c r="V6" s="2" t="n">
        <x:v>1</x:v>
      </x:c>
      <x:c r="W6" s="2" t="n">
        <x:v>1</x:v>
      </x:c>
      <x:c r="X6" s="2" t="n">
        <x:v>0</x:v>
      </x:c>
    </x:row>
    <x:row r="7">
      <x:c r="A7" s="6" t="d">
        <x:v>2025-05-07T00:00:00.000Z</x:v>
      </x:c>
      <x:c r="B7" s="6" t="d">
        <x:v>2025-05-08T00:00:00.000Z</x:v>
      </x:c>
      <x:c r="C7" s="7" t="str">
        <x:v>002490</x:v>
      </x:c>
      <x:c r="D7" s="2" t="n">
        <x:v>3</x:v>
      </x:c>
      <x:c r="E7" s="11" t="n">
        <x:v>0.7693292202946235</x:v>
      </x:c>
      <x:c r="F7" s="2" t="str">
        <x:v>全部保留</x:v>
      </x:c>
      <x:c r="G7" s="9" t="n">
        <x:v>0.100208768267223</x:v>
      </x:c>
      <x:c r="H7" s="9" t="n">
        <x:v>0.100208768267223</x:v>
      </x:c>
      <x:c r="I7" s="9" t="n">
        <x:v>0</x:v>
      </x:c>
      <x:c r="J7" s="9" t="n">
        <x:v>0</x:v>
      </x:c>
      <x:c r="K7" s="9" t="n">
        <x:v>0.5</x:v>
      </x:c>
      <x:c r="L7" s="2" t="str">
        <x:v>平走</x:v>
      </x:c>
      <x:c r="M7" s="2" t="n">
        <x:v>5</x:v>
      </x:c>
      <x:c r="N7" s="2" t="n">
        <x:v>0</x:v>
      </x:c>
      <x:c r="O7" s="2" t="n">
        <x:v>1</x:v>
      </x:c>
      <x:c r="P7" s="2" t="n">
        <x:v>1</x:v>
      </x:c>
      <x:c r="Q7" s="2" t="n">
        <x:v>1</x:v>
      </x:c>
      <x:c r="R7" s="2" t="n">
        <x:v>0</x:v>
      </x:c>
      <x:c r="S7" s="2"/>
      <x:c r="T7" s="12"/>
      <x:c r="U7" s="2" t="n">
        <x:v>1</x:v>
      </x:c>
      <x:c r="V7" s="2" t="n">
        <x:v>0</x:v>
      </x:c>
      <x:c r="W7" s="2" t="n">
        <x:v>0</x:v>
      </x:c>
      <x:c r="X7" s="2" t="n">
        <x:v>1</x:v>
      </x:c>
    </x:row>
    <x:row r="8">
      <x:c r="A8" s="6" t="d">
        <x:v>2025-05-08T00:00:00.000Z</x:v>
      </x:c>
      <x:c r="B8" s="6" t="d">
        <x:v>2025-05-09T00:00:00.000Z</x:v>
      </x:c>
      <x:c r="C8" s="7" t="str">
        <x:v>002490</x:v>
      </x:c>
      <x:c r="D8" s="2" t="n">
        <x:v>1</x:v>
      </x:c>
      <x:c r="E8" s="11" t="n">
        <x:v>0.7421351214028248</x:v>
      </x:c>
      <x:c r="F8" s="2" t="str">
        <x:v>全部保留</x:v>
      </x:c>
      <x:c r="G8" s="9" t="n">
        <x:v>0.053130929791271</x:v>
      </x:c>
      <x:c r="H8" s="9" t="n">
        <x:v>-0.003795066413662</x:v>
      </x:c>
      <x:c r="I8" s="9" t="n">
        <x:v>0.032258064516129</x:v>
      </x:c>
      <x:c r="J8" s="9" t="n">
        <x:v>0.020872865275142</x:v>
      </x:c>
      <x:c r="K8" s="9" t="n">
        <x:v>0.433333333333333</x:v>
      </x:c>
      <x:c r="L8" s="2" t="str">
        <x:v>前强后弱</x:v>
      </x:c>
      <x:c r="M8" s="2" t="n">
        <x:v>0</x:v>
      </x:c>
      <x:c r="N8" s="2" t="n">
        <x:v>5</x:v>
      </x:c>
      <x:c r="O8" s="2" t="n">
        <x:v>1</x:v>
      </x:c>
      <x:c r="P8" s="2" t="n">
        <x:v>1</x:v>
      </x:c>
      <x:c r="Q8" s="2" t="n">
        <x:v>1</x:v>
      </x:c>
      <x:c r="R8" s="2" t="n">
        <x:v>1</x:v>
      </x:c>
      <x:c r="S8" s="2" t="str">
        <x:v>09:36</x:v>
      </x:c>
      <x:c r="T8" s="12" t="n">
        <x:v>5.38</x:v>
      </x:c>
      <x:c r="U8" s="2" t="n">
        <x:v>1</x:v>
      </x:c>
      <x:c r="V8" s="2" t="n">
        <x:v>1</x:v>
      </x:c>
      <x:c r="W8" s="2" t="n">
        <x:v>1</x:v>
      </x:c>
      <x:c r="X8" s="2" t="n">
        <x:v>0</x:v>
      </x:c>
    </x:row>
    <x:row r="9">
      <x:c r="A9" s="6" t="d">
        <x:v>2025-05-08T00:00:00.000Z</x:v>
      </x:c>
      <x:c r="B9" s="6" t="d">
        <x:v>2025-05-09T00:00:00.000Z</x:v>
      </x:c>
      <x:c r="C9" s="7" t="str">
        <x:v>600448</x:v>
      </x:c>
      <x:c r="D9" s="2" t="n">
        <x:v>2</x:v>
      </x:c>
      <x:c r="E9" s="11" t="n">
        <x:v>0.7358376342309988</x:v>
      </x:c>
      <x:c r="F9" s="2" t="str">
        <x:v>全部保留</x:v>
      </x:c>
      <x:c r="G9" s="9" t="n">
        <x:v>0.100558659217877</x:v>
      </x:c>
      <x:c r="H9" s="9" t="n">
        <x:v>0.067039106145251</x:v>
      </x:c>
      <x:c r="I9" s="9" t="n">
        <x:v>0</x:v>
      </x:c>
      <x:c r="J9" s="9" t="n">
        <x:v>0</x:v>
      </x:c>
      <x:c r="K9" s="9" t="n">
        <x:v>1</x:v>
      </x:c>
      <x:c r="L9" s="2" t="str">
        <x:v>平走</x:v>
      </x:c>
      <x:c r="M9" s="2" t="n">
        <x:v>5</x:v>
      </x:c>
      <x:c r="N9" s="2" t="n">
        <x:v>1</x:v>
      </x:c>
      <x:c r="O9" s="2" t="n">
        <x:v>1</x:v>
      </x:c>
      <x:c r="P9" s="2" t="n">
        <x:v>1</x:v>
      </x:c>
      <x:c r="Q9" s="2" t="n">
        <x:v>1</x:v>
      </x:c>
      <x:c r="R9" s="2" t="n">
        <x:v>0</x:v>
      </x:c>
      <x:c r="S9" s="2"/>
      <x:c r="T9" s="12"/>
      <x:c r="U9" s="2" t="n">
        <x:v>1</x:v>
      </x:c>
      <x:c r="V9" s="2" t="n">
        <x:v>0</x:v>
      </x:c>
      <x:c r="W9" s="2" t="n">
        <x:v>0</x:v>
      </x:c>
      <x:c r="X9" s="2" t="n">
        <x:v>1</x:v>
      </x:c>
    </x:row>
    <x:row r="10">
      <x:c r="A10" s="6" t="d">
        <x:v>2025-05-08T00:00:00.000Z</x:v>
      </x:c>
      <x:c r="B10" s="6" t="d">
        <x:v>2025-05-09T00:00:00.000Z</x:v>
      </x:c>
      <x:c r="C10" s="7" t="str">
        <x:v>002471</x:v>
      </x:c>
      <x:c r="D10" s="2" t="n">
        <x:v>3</x:v>
      </x:c>
      <x:c r="E10" s="11" t="n">
        <x:v>0.7354077903990388</x:v>
      </x:c>
      <x:c r="F10" s="2" t="str">
        <x:v>全部保留</x:v>
      </x:c>
      <x:c r="G10" s="9" t="n">
        <x:v>0.101010101010101</x:v>
      </x:c>
      <x:c r="H10" s="9" t="n">
        <x:v>0.050505050505051</x:v>
      </x:c>
      <x:c r="I10" s="9" t="n">
        <x:v>0.02020202020202</x:v>
      </x:c>
      <x:c r="J10" s="9" t="n">
        <x:v>0.019047619047619</x:v>
      </x:c>
      <x:c r="K10" s="9" t="n">
        <x:v>0.6</x:v>
      </x:c>
      <x:c r="L10" s="2" t="str">
        <x:v>前强后弱</x:v>
      </x:c>
      <x:c r="M10" s="2" t="n">
        <x:v>5</x:v>
      </x:c>
      <x:c r="N10" s="2" t="n">
        <x:v>2</x:v>
      </x:c>
      <x:c r="O10" s="2" t="n">
        <x:v>1</x:v>
      </x:c>
      <x:c r="P10" s="2" t="n">
        <x:v>1</x:v>
      </x:c>
      <x:c r="Q10" s="2" t="n">
        <x:v>1</x:v>
      </x:c>
      <x:c r="R10" s="2" t="n">
        <x:v>1</x:v>
      </x:c>
      <x:c r="S10" s="2" t="str">
        <x:v>09:36</x:v>
      </x:c>
      <x:c r="T10" s="12" t="n">
        <x:v>4.32</x:v>
      </x:c>
      <x:c r="U10" s="2" t="n">
        <x:v>1</x:v>
      </x:c>
      <x:c r="V10" s="2" t="n">
        <x:v>0</x:v>
      </x:c>
      <x:c r="W10" s="2" t="n">
        <x:v>0</x:v>
      </x:c>
      <x:c r="X10" s="2" t="n">
        <x:v>1</x:v>
      </x:c>
    </x:row>
    <x:row r="11">
      <x:c r="A11" s="6" t="d">
        <x:v>2025-05-09T00:00:00.000Z</x:v>
      </x:c>
      <x:c r="B11" s="6" t="d">
        <x:v>2025-05-12T00:00:00.000Z</x:v>
      </x:c>
      <x:c r="C11" s="7" t="str">
        <x:v>002190</x:v>
      </x:c>
      <x:c r="D11" s="2" t="n">
        <x:v>1</x:v>
      </x:c>
      <x:c r="E11" s="11" t="n">
        <x:v>0.7716193298371594</x:v>
      </x:c>
      <x:c r="F11" s="2" t="str">
        <x:v>全部保留</x:v>
      </x:c>
      <x:c r="G11" s="9" t="n">
        <x:v>0.100089766606822</x:v>
      </x:c>
      <x:c r="H11" s="9" t="n">
        <x:v>0.055206463195691</x:v>
      </x:c>
      <x:c r="I11" s="9" t="n">
        <x:v>0</x:v>
      </x:c>
      <x:c r="J11" s="9" t="n">
        <x:v>0.009057225195554</x:v>
      </x:c>
      <x:c r="K11" s="9" t="n">
        <x:v>1</x:v>
      </x:c>
      <x:c r="L11" s="2" t="str">
        <x:v>两段走强</x:v>
      </x:c>
      <x:c r="M11" s="2" t="n">
        <x:v>5</x:v>
      </x:c>
      <x:c r="N11" s="2" t="n">
        <x:v>1</x:v>
      </x:c>
      <x:c r="O11" s="2" t="n">
        <x:v>1</x:v>
      </x:c>
      <x:c r="P11" s="2" t="n">
        <x:v>1</x:v>
      </x:c>
      <x:c r="Q11" s="2" t="n">
        <x:v>1</x:v>
      </x:c>
      <x:c r="R11" s="2" t="n">
        <x:v>0</x:v>
      </x:c>
      <x:c r="S11" s="2"/>
      <x:c r="T11" s="12"/>
      <x:c r="U11" s="2" t="n">
        <x:v>1</x:v>
      </x:c>
      <x:c r="V11" s="2" t="n">
        <x:v>0</x:v>
      </x:c>
      <x:c r="W11" s="2" t="n">
        <x:v>0</x:v>
      </x:c>
      <x:c r="X11" s="2" t="n">
        <x:v>1</x:v>
      </x:c>
    </x:row>
    <x:row r="12">
      <x:c r="A12" s="6" t="d">
        <x:v>2025-05-09T00:00:00.000Z</x:v>
      </x:c>
      <x:c r="B12" s="6" t="d">
        <x:v>2025-05-12T00:00:00.000Z</x:v>
      </x:c>
      <x:c r="C12" s="7" t="str">
        <x:v>603912</x:v>
      </x:c>
      <x:c r="D12" s="2" t="n">
        <x:v>2</x:v>
      </x:c>
      <x:c r="E12" s="11" t="n">
        <x:v>0.766814819855272</x:v>
      </x:c>
      <x:c r="F12" s="2" t="str">
        <x:v>全部保留</x:v>
      </x:c>
      <x:c r="G12" s="9" t="n">
        <x:v>-0.034146341463415</x:v>
      </x:c>
      <x:c r="H12" s="9" t="n">
        <x:v>-0.070243902439024</x:v>
      </x:c>
      <x:c r="I12" s="9" t="n">
        <x:v>0.014634146341463</x:v>
      </x:c>
      <x:c r="J12" s="9" t="n">
        <x:v>-0.015151515151515</x:v>
      </x:c>
      <x:c r="K12" s="9" t="n">
        <x:v>0.594594594594595</x:v>
      </x:c>
      <x:c r="L12" s="2" t="str">
        <x:v>前弱后强</x:v>
      </x:c>
      <x:c r="M12" s="2" t="n">
        <x:v>0</x:v>
      </x:c>
      <x:c r="N12" s="2" t="n">
        <x:v>5</x:v>
      </x:c>
      <x:c r="O12" s="2" t="n">
        <x:v>1</x:v>
      </x:c>
      <x:c r="P12" s="2" t="n">
        <x:v>1</x:v>
      </x:c>
      <x:c r="Q12" s="2" t="n">
        <x:v>1</x:v>
      </x:c>
      <x:c r="R12" s="2" t="n">
        <x:v>1</x:v>
      </x:c>
      <x:c r="S12" s="2" t="str">
        <x:v>09:36</x:v>
      </x:c>
      <x:c r="T12" s="12" t="n">
        <x:v>9.76</x:v>
      </x:c>
      <x:c r="U12" s="2" t="n">
        <x:v>1</x:v>
      </x:c>
      <x:c r="V12" s="2" t="n">
        <x:v>1</x:v>
      </x:c>
      <x:c r="W12" s="2" t="n">
        <x:v>1</x:v>
      </x:c>
      <x:c r="X12" s="2" t="n">
        <x:v>0</x:v>
      </x:c>
    </x:row>
    <x:row r="13">
      <x:c r="A13" s="6" t="d">
        <x:v>2025-05-09T00:00:00.000Z</x:v>
      </x:c>
      <x:c r="B13" s="6" t="d">
        <x:v>2025-05-12T00:00:00.000Z</x:v>
      </x:c>
      <x:c r="C13" s="7" t="str">
        <x:v>600448</x:v>
      </x:c>
      <x:c r="D13" s="2" t="n">
        <x:v>3</x:v>
      </x:c>
      <x:c r="E13" s="11" t="n">
        <x:v>0.7547208555324791</x:v>
      </x:c>
      <x:c r="F13" s="2" t="str">
        <x:v>全部保留</x:v>
      </x:c>
      <x:c r="G13" s="9" t="n">
        <x:v>0.098984771573604</x:v>
      </x:c>
      <x:c r="H13" s="9" t="n">
        <x:v>0.098984771573604</x:v>
      </x:c>
      <x:c r="I13" s="9" t="n">
        <x:v>0</x:v>
      </x:c>
      <x:c r="J13" s="9" t="n">
        <x:v>0</x:v>
      </x:c>
      <x:c r="K13" s="9" t="n">
        <x:v>0.5</x:v>
      </x:c>
      <x:c r="L13" s="2" t="str">
        <x:v>平走</x:v>
      </x:c>
      <x:c r="M13" s="2" t="n">
        <x:v>5</x:v>
      </x:c>
      <x:c r="N13" s="2" t="n">
        <x:v>0</x:v>
      </x:c>
      <x:c r="O13" s="2" t="n">
        <x:v>1</x:v>
      </x:c>
      <x:c r="P13" s="2" t="n">
        <x:v>1</x:v>
      </x:c>
      <x:c r="Q13" s="2" t="n">
        <x:v>1</x:v>
      </x:c>
      <x:c r="R13" s="2" t="n">
        <x:v>0</x:v>
      </x:c>
      <x:c r="S13" s="2"/>
      <x:c r="T13" s="12"/>
      <x:c r="U13" s="2" t="n">
        <x:v>1</x:v>
      </x:c>
      <x:c r="V13" s="2" t="n">
        <x:v>0</x:v>
      </x:c>
      <x:c r="W13" s="2" t="n">
        <x:v>0</x:v>
      </x:c>
      <x:c r="X13" s="2" t="n">
        <x:v>1</x:v>
      </x:c>
    </x:row>
    <x:row r="14">
      <x:c r="A14" s="6" t="d">
        <x:v>2025-05-12T00:00:00.000Z</x:v>
      </x:c>
      <x:c r="B14" s="6" t="d">
        <x:v>2025-05-13T00:00:00.000Z</x:v>
      </x:c>
      <x:c r="C14" s="7" t="str">
        <x:v>603332</x:v>
      </x:c>
      <x:c r="D14" s="2" t="n">
        <x:v>1</x:v>
      </x:c>
      <x:c r="E14" s="11" t="n">
        <x:v>0.7264070358882811</x:v>
      </x:c>
      <x:c r="F14" s="2" t="str">
        <x:v>全部保留</x:v>
      </x:c>
      <x:c r="G14" s="9" t="n">
        <x:v>0.100337268128162</x:v>
      </x:c>
      <x:c r="H14" s="9" t="n">
        <x:v>0.100337268128162</x:v>
      </x:c>
      <x:c r="I14" s="9" t="n">
        <x:v>0</x:v>
      </x:c>
      <x:c r="J14" s="9" t="n">
        <x:v>0</x:v>
      </x:c>
      <x:c r="K14" s="9" t="n">
        <x:v>0.5</x:v>
      </x:c>
      <x:c r="L14" s="2" t="str">
        <x:v>平走</x:v>
      </x:c>
      <x:c r="M14" s="2" t="n">
        <x:v>5</x:v>
      </x:c>
      <x:c r="N14" s="2" t="n">
        <x:v>0</x:v>
      </x:c>
      <x:c r="O14" s="2" t="n">
        <x:v>1</x:v>
      </x:c>
      <x:c r="P14" s="2" t="n">
        <x:v>1</x:v>
      </x:c>
      <x:c r="Q14" s="2" t="n">
        <x:v>1</x:v>
      </x:c>
      <x:c r="R14" s="2" t="n">
        <x:v>0</x:v>
      </x:c>
      <x:c r="S14" s="2"/>
      <x:c r="T14" s="12"/>
      <x:c r="U14" s="2" t="n">
        <x:v>1</x:v>
      </x:c>
      <x:c r="V14" s="2" t="n">
        <x:v>0</x:v>
      </x:c>
      <x:c r="W14" s="2" t="n">
        <x:v>0</x:v>
      </x:c>
      <x:c r="X14" s="2" t="n">
        <x:v>1</x:v>
      </x:c>
    </x:row>
    <x:row r="15">
      <x:c r="A15" s="6" t="d">
        <x:v>2025-05-12T00:00:00.000Z</x:v>
      </x:c>
      <x:c r="B15" s="6" t="d">
        <x:v>2025-05-13T00:00:00.000Z</x:v>
      </x:c>
      <x:c r="C15" s="7" t="str">
        <x:v>000559</x:v>
      </x:c>
      <x:c r="D15" s="2" t="n">
        <x:v>2</x:v>
      </x:c>
      <x:c r="E15" s="11" t="n">
        <x:v>0.6856934366188223</x:v>
      </x:c>
      <x:c r="F15" s="2" t="str">
        <x:v>全部保留</x:v>
      </x:c>
      <x:c r="G15" s="9" t="n">
        <x:v>0.049568965517242</x:v>
      </x:c>
      <x:c r="H15" s="9" t="n">
        <x:v>0</x:v>
      </x:c>
      <x:c r="I15" s="9" t="n">
        <x:v>0.025862068965517</x:v>
      </x:c>
      <x:c r="J15" s="9" t="n">
        <x:v>-0.005235602094241</x:v>
      </x:c>
      <x:c r="K15" s="9" t="n">
        <x:v>0.478260869565218</x:v>
      </x:c>
      <x:c r="L15" s="2" t="str">
        <x:v>前弱后强</x:v>
      </x:c>
      <x:c r="M15" s="2" t="n">
        <x:v>0</x:v>
      </x:c>
      <x:c r="N15" s="2" t="n">
        <x:v>5</x:v>
      </x:c>
      <x:c r="O15" s="2" t="n">
        <x:v>1</x:v>
      </x:c>
      <x:c r="P15" s="2" t="n">
        <x:v>1</x:v>
      </x:c>
      <x:c r="Q15" s="2" t="n">
        <x:v>1</x:v>
      </x:c>
      <x:c r="R15" s="2" t="n">
        <x:v>1</x:v>
      </x:c>
      <x:c r="S15" s="2" t="str">
        <x:v>09:36</x:v>
      </x:c>
      <x:c r="T15" s="12" t="n">
        <x:v>9.5</x:v>
      </x:c>
      <x:c r="U15" s="2" t="n">
        <x:v>1</x:v>
      </x:c>
      <x:c r="V15" s="2" t="n">
        <x:v>1</x:v>
      </x:c>
      <x:c r="W15" s="2" t="n">
        <x:v>1</x:v>
      </x:c>
      <x:c r="X15" s="2" t="n">
        <x:v>0</x:v>
      </x:c>
    </x:row>
    <x:row r="16">
      <x:c r="A16" s="6" t="d">
        <x:v>2025-05-12T00:00:00.000Z</x:v>
      </x:c>
      <x:c r="B16" s="6" t="d">
        <x:v>2025-05-13T00:00:00.000Z</x:v>
      </x:c>
      <x:c r="C16" s="7" t="str">
        <x:v>605055</x:v>
      </x:c>
      <x:c r="D16" s="2" t="n">
        <x:v>3</x:v>
      </x:c>
      <x:c r="E16" s="11" t="n">
        <x:v>0.6831512982026635</x:v>
      </x:c>
      <x:c r="F16" s="2" t="str">
        <x:v>全部保留</x:v>
      </x:c>
      <x:c r="G16" s="9" t="n">
        <x:v>0.100143061516452</x:v>
      </x:c>
      <x:c r="H16" s="9" t="n">
        <x:v>0.100143061516452</x:v>
      </x:c>
      <x:c r="I16" s="9" t="n">
        <x:v>0</x:v>
      </x:c>
      <x:c r="J16" s="9" t="n">
        <x:v>0</x:v>
      </x:c>
      <x:c r="K16" s="9" t="n">
        <x:v>0.5</x:v>
      </x:c>
      <x:c r="L16" s="2" t="str">
        <x:v>平走</x:v>
      </x:c>
      <x:c r="M16" s="2" t="n">
        <x:v>5</x:v>
      </x:c>
      <x:c r="N16" s="2" t="n">
        <x:v>0</x:v>
      </x:c>
      <x:c r="O16" s="2" t="n">
        <x:v>1</x:v>
      </x:c>
      <x:c r="P16" s="2" t="n">
        <x:v>1</x:v>
      </x:c>
      <x:c r="Q16" s="2" t="n">
        <x:v>1</x:v>
      </x:c>
      <x:c r="R16" s="2" t="n">
        <x:v>0</x:v>
      </x:c>
      <x:c r="S16" s="2"/>
      <x:c r="T16" s="12"/>
      <x:c r="U16" s="2" t="n">
        <x:v>1</x:v>
      </x:c>
      <x:c r="V16" s="2" t="n">
        <x:v>0</x:v>
      </x:c>
      <x:c r="W16" s="2" t="n">
        <x:v>0</x:v>
      </x:c>
      <x:c r="X16" s="2" t="n">
        <x:v>1</x:v>
      </x:c>
    </x:row>
    <x:row r="17">
      <x:c r="A17" s="6" t="d">
        <x:v>2025-05-13T00:00:00.000Z</x:v>
      </x:c>
      <x:c r="B17" s="6" t="d">
        <x:v>2025-05-14T00:00:00.000Z</x:v>
      </x:c>
      <x:c r="C17" s="7" t="str">
        <x:v>605055</x:v>
      </x:c>
      <x:c r="D17" s="2" t="n">
        <x:v>1</x:v>
      </x:c>
      <x:c r="E17" s="11" t="n">
        <x:v>0.8081499654829787</x:v>
      </x:c>
      <x:c r="F17" s="2" t="str">
        <x:v>全部保留</x:v>
      </x:c>
      <x:c r="G17" s="9" t="n">
        <x:v>0.001300390117035</x:v>
      </x:c>
      <x:c r="H17" s="9" t="n">
        <x:v>-0.081924577373212</x:v>
      </x:c>
      <x:c r="I17" s="9" t="n">
        <x:v>0.026007802340702</x:v>
      </x:c>
      <x:c r="J17" s="9" t="n">
        <x:v>-0.024707412223667</x:v>
      </x:c>
      <x:c r="K17" s="9" t="n">
        <x:v>0.6875</x:v>
      </x:c>
      <x:c r="L17" s="2" t="str">
        <x:v>前弱后强</x:v>
      </x:c>
      <x:c r="M17" s="2" t="n">
        <x:v>0</x:v>
      </x:c>
      <x:c r="N17" s="2" t="n">
        <x:v>5</x:v>
      </x:c>
      <x:c r="O17" s="2" t="n">
        <x:v>1</x:v>
      </x:c>
      <x:c r="P17" s="2" t="n">
        <x:v>1</x:v>
      </x:c>
      <x:c r="Q17" s="2" t="n">
        <x:v>1</x:v>
      </x:c>
      <x:c r="R17" s="2" t="n">
        <x:v>1</x:v>
      </x:c>
      <x:c r="S17" s="2" t="str">
        <x:v>09:36</x:v>
      </x:c>
      <x:c r="T17" s="12" t="n">
        <x:v>7.49</x:v>
      </x:c>
      <x:c r="U17" s="2" t="n">
        <x:v>1</x:v>
      </x:c>
      <x:c r="V17" s="2" t="n">
        <x:v>1</x:v>
      </x:c>
      <x:c r="W17" s="2" t="n">
        <x:v>1</x:v>
      </x:c>
      <x:c r="X17" s="2" t="n">
        <x:v>1</x:v>
      </x:c>
    </x:row>
    <x:row r="18">
      <x:c r="A18" s="6" t="d">
        <x:v>2025-05-13T00:00:00.000Z</x:v>
      </x:c>
      <x:c r="B18" s="6" t="d">
        <x:v>2025-05-14T00:00:00.000Z</x:v>
      </x:c>
      <x:c r="C18" s="7" t="str">
        <x:v>603332</x:v>
      </x:c>
      <x:c r="D18" s="2" t="n">
        <x:v>2</x:v>
      </x:c>
      <x:c r="E18" s="11" t="n">
        <x:v>0.786482539483059</x:v>
      </x:c>
      <x:c r="F18" s="2" t="str">
        <x:v>全部保留</x:v>
      </x:c>
      <x:c r="G18" s="9" t="n">
        <x:v>0.100383141762452</x:v>
      </x:c>
      <x:c r="H18" s="9" t="n">
        <x:v>0.062068965517241</x:v>
      </x:c>
      <x:c r="I18" s="9" t="n">
        <x:v>0.019157088122605</x:v>
      </x:c>
      <x:c r="J18" s="9" t="n">
        <x:v>-0.017409470752089</x:v>
      </x:c>
      <x:c r="K18" s="9" t="n">
        <x:v>0.5</x:v>
      </x:c>
      <x:c r="L18" s="2" t="str">
        <x:v>两段走弱</x:v>
      </x:c>
      <x:c r="M18" s="2" t="n">
        <x:v>4</x:v>
      </x:c>
      <x:c r="N18" s="2" t="n">
        <x:v>2</x:v>
      </x:c>
      <x:c r="O18" s="2" t="n">
        <x:v>1</x:v>
      </x:c>
      <x:c r="P18" s="2" t="n">
        <x:v>1</x:v>
      </x:c>
      <x:c r="Q18" s="2" t="n">
        <x:v>1</x:v>
      </x:c>
      <x:c r="R18" s="2" t="n">
        <x:v>1</x:v>
      </x:c>
      <x:c r="S18" s="2" t="str">
        <x:v>09:36</x:v>
      </x:c>
      <x:c r="T18" s="12" t="n">
        <x:v>14.15</x:v>
      </x:c>
      <x:c r="U18" s="2" t="n">
        <x:v>1</x:v>
      </x:c>
      <x:c r="V18" s="2" t="n">
        <x:v>0</x:v>
      </x:c>
      <x:c r="W18" s="2" t="n">
        <x:v>0</x:v>
      </x:c>
      <x:c r="X18" s="2" t="n">
        <x:v>1</x:v>
      </x:c>
    </x:row>
    <x:row r="19">
      <x:c r="A19" s="6" t="d">
        <x:v>2025-05-13T00:00:00.000Z</x:v>
      </x:c>
      <x:c r="B19" s="6" t="d">
        <x:v>2025-05-14T00:00:00.000Z</x:v>
      </x:c>
      <x:c r="C19" s="7" t="str">
        <x:v>002190</x:v>
      </x:c>
      <x:c r="D19" s="2" t="n">
        <x:v>3</x:v>
      </x:c>
      <x:c r="E19" s="11" t="n">
        <x:v>0.7836459945313908</x:v>
      </x:c>
      <x:c r="F19" s="2" t="str">
        <x:v>全部保留</x:v>
      </x:c>
      <x:c r="G19" s="9" t="n">
        <x:v>0.100148367952522</x:v>
      </x:c>
      <x:c r="H19" s="9" t="n">
        <x:v>0.100148367952522</x:v>
      </x:c>
      <x:c r="I19" s="9" t="n">
        <x:v>0</x:v>
      </x:c>
      <x:c r="J19" s="9" t="n">
        <x:v>0</x:v>
      </x:c>
      <x:c r="K19" s="9" t="n">
        <x:v>0.5</x:v>
      </x:c>
      <x:c r="L19" s="2" t="str">
        <x:v>平走</x:v>
      </x:c>
      <x:c r="M19" s="2" t="n">
        <x:v>5</x:v>
      </x:c>
      <x:c r="N19" s="2" t="n">
        <x:v>0</x:v>
      </x:c>
      <x:c r="O19" s="2" t="n">
        <x:v>1</x:v>
      </x:c>
      <x:c r="P19" s="2" t="n">
        <x:v>1</x:v>
      </x:c>
      <x:c r="Q19" s="2" t="n">
        <x:v>1</x:v>
      </x:c>
      <x:c r="R19" s="2" t="n">
        <x:v>0</x:v>
      </x:c>
      <x:c r="S19" s="2"/>
      <x:c r="T19" s="12"/>
      <x:c r="U19" s="2" t="n">
        <x:v>1</x:v>
      </x:c>
      <x:c r="V19" s="2" t="n">
        <x:v>0</x:v>
      </x:c>
      <x:c r="W19" s="2" t="n">
        <x:v>0</x:v>
      </x:c>
      <x:c r="X19" s="2" t="n">
        <x:v>1</x:v>
      </x:c>
    </x:row>
    <x:row r="20">
      <x:c r="A20" s="6" t="d">
        <x:v>2025-05-14T00:00:00.000Z</x:v>
      </x:c>
      <x:c r="B20" s="6" t="d">
        <x:v>2025-05-15T00:00:00.000Z</x:v>
      </x:c>
      <x:c r="C20" s="7" t="str">
        <x:v>600798</x:v>
      </x:c>
      <x:c r="D20" s="2" t="n">
        <x:v>1</x:v>
      </x:c>
      <x:c r="E20" s="11" t="n">
        <x:v>0.77564171570461</x:v>
      </x:c>
      <x:c r="F20" s="2" t="str">
        <x:v>全部保留</x:v>
      </x:c>
      <x:c r="G20" s="9" t="n">
        <x:v>0.1</x:v>
      </x:c>
      <x:c r="H20" s="9" t="n">
        <x:v>0.1</x:v>
      </x:c>
      <x:c r="I20" s="9" t="n">
        <x:v>0</x:v>
      </x:c>
      <x:c r="J20" s="9" t="n">
        <x:v>0</x:v>
      </x:c>
      <x:c r="K20" s="9" t="n">
        <x:v>0.5</x:v>
      </x:c>
      <x:c r="L20" s="2" t="str">
        <x:v>平走</x:v>
      </x:c>
      <x:c r="M20" s="2" t="n">
        <x:v>5</x:v>
      </x:c>
      <x:c r="N20" s="2" t="n">
        <x:v>0</x:v>
      </x:c>
      <x:c r="O20" s="2" t="n">
        <x:v>1</x:v>
      </x:c>
      <x:c r="P20" s="2" t="n">
        <x:v>1</x:v>
      </x:c>
      <x:c r="Q20" s="2" t="n">
        <x:v>1</x:v>
      </x:c>
      <x:c r="R20" s="2" t="n">
        <x:v>0</x:v>
      </x:c>
      <x:c r="S20" s="2"/>
      <x:c r="T20" s="12"/>
      <x:c r="U20" s="2" t="n">
        <x:v>1</x:v>
      </x:c>
      <x:c r="V20" s="2" t="n">
        <x:v>0</x:v>
      </x:c>
      <x:c r="W20" s="2" t="n">
        <x:v>0</x:v>
      </x:c>
      <x:c r="X20" s="2" t="n">
        <x:v>1</x:v>
      </x:c>
    </x:row>
    <x:row r="21">
      <x:c r="A21" s="6" t="d">
        <x:v>2025-05-14T00:00:00.000Z</x:v>
      </x:c>
      <x:c r="B21" s="6" t="d">
        <x:v>2025-05-15T00:00:00.000Z</x:v>
      </x:c>
      <x:c r="C21" s="7" t="str">
        <x:v>002190</x:v>
      </x:c>
      <x:c r="D21" s="2" t="n">
        <x:v>2</x:v>
      </x:c>
      <x:c r="E21" s="11" t="n">
        <x:v>0.7380910890153921</x:v>
      </x:c>
      <x:c r="F21" s="2" t="str">
        <x:v>全部保留</x:v>
      </x:c>
      <x:c r="G21" s="9" t="n">
        <x:v>0.100134861766689</x:v>
      </x:c>
      <x:c r="H21" s="9" t="n">
        <x:v>0.072151045178692</x:v>
      </x:c>
      <x:c r="I21" s="9" t="n">
        <x:v>0</x:v>
      </x:c>
      <x:c r="J21" s="9" t="n">
        <x:v>0.000306560392398</x:v>
      </x:c>
      <x:c r="K21" s="9" t="n">
        <x:v>1</x:v>
      </x:c>
      <x:c r="L21" s="2" t="str">
        <x:v>两段走强</x:v>
      </x:c>
      <x:c r="M21" s="2" t="n">
        <x:v>5</x:v>
      </x:c>
      <x:c r="N21" s="2" t="n">
        <x:v>3</x:v>
      </x:c>
      <x:c r="O21" s="2" t="n">
        <x:v>1</x:v>
      </x:c>
      <x:c r="P21" s="2" t="n">
        <x:v>1</x:v>
      </x:c>
      <x:c r="Q21" s="2" t="n">
        <x:v>1</x:v>
      </x:c>
      <x:c r="R21" s="2" t="n">
        <x:v>0</x:v>
      </x:c>
      <x:c r="S21" s="2"/>
      <x:c r="T21" s="12"/>
      <x:c r="U21" s="2" t="n">
        <x:v>1</x:v>
      </x:c>
      <x:c r="V21" s="2" t="n">
        <x:v>0</x:v>
      </x:c>
      <x:c r="W21" s="2" t="n">
        <x:v>0</x:v>
      </x:c>
      <x:c r="X21" s="2" t="n">
        <x:v>1</x:v>
      </x:c>
    </x:row>
    <x:row r="22">
      <x:c r="A22" s="6" t="d">
        <x:v>2025-05-14T00:00:00.000Z</x:v>
      </x:c>
      <x:c r="B22" s="6" t="d">
        <x:v>2025-05-15T00:00:00.000Z</x:v>
      </x:c>
      <x:c r="C22" s="7" t="str">
        <x:v>603332</x:v>
      </x:c>
      <x:c r="D22" s="2" t="n">
        <x:v>3</x:v>
      </x:c>
      <x:c r="E22" s="11" t="n">
        <x:v>0.7329461428838403</x:v>
      </x:c>
      <x:c r="F22" s="2" t="str">
        <x:v>全部保留</x:v>
      </x:c>
      <x:c r="G22" s="9" t="n">
        <x:v>-0.030640668523677</x:v>
      </x:c>
      <x:c r="H22" s="9" t="n">
        <x:v>-0.08008356545961</x:v>
      </x:c>
      <x:c r="I22" s="9" t="n">
        <x:v>0.013231197771588</x:v>
      </x:c>
      <x:c r="J22" s="9" t="n">
        <x:v>0.005860805860806</x:v>
      </x:c>
      <x:c r="K22" s="9" t="n">
        <x:v>0.732394366197184</x:v>
      </x:c>
      <x:c r="L22" s="2" t="str">
        <x:v>前弱后强</x:v>
      </x:c>
      <x:c r="M22" s="2" t="n">
        <x:v>0</x:v>
      </x:c>
      <x:c r="N22" s="2" t="n">
        <x:v>5</x:v>
      </x:c>
      <x:c r="O22" s="2" t="n">
        <x:v>1</x:v>
      </x:c>
      <x:c r="P22" s="2" t="n">
        <x:v>1</x:v>
      </x:c>
      <x:c r="Q22" s="2" t="n">
        <x:v>1</x:v>
      </x:c>
      <x:c r="R22" s="2" t="n">
        <x:v>1</x:v>
      </x:c>
      <x:c r="S22" s="2" t="str">
        <x:v>09:36</x:v>
      </x:c>
      <x:c r="T22" s="12" t="n">
        <x:v>13.73</x:v>
      </x:c>
      <x:c r="U22" s="2" t="n">
        <x:v>1</x:v>
      </x:c>
      <x:c r="V22" s="2" t="n">
        <x:v>1</x:v>
      </x:c>
      <x:c r="W22" s="2" t="n">
        <x:v>1</x:v>
      </x:c>
      <x:c r="X22" s="2" t="n">
        <x:v>1</x:v>
      </x:c>
    </x:row>
    <x:row r="23">
      <x:c r="A23" s="6" t="d">
        <x:v>2025-05-15T00:00:00.000Z</x:v>
      </x:c>
      <x:c r="B23" s="6" t="d">
        <x:v>2025-05-16T00:00:00.000Z</x:v>
      </x:c>
      <x:c r="C23" s="7" t="str">
        <x:v>600798</x:v>
      </x:c>
      <x:c r="D23" s="2" t="n">
        <x:v>1</x:v>
      </x:c>
      <x:c r="E23" s="11" t="n">
        <x:v>0.8105034482691335</x:v>
      </x:c>
      <x:c r="F23" s="2" t="str">
        <x:v>全部保留</x:v>
      </x:c>
      <x:c r="G23" s="9" t="n">
        <x:v>0.100737100737101</x:v>
      </x:c>
      <x:c r="H23" s="9" t="n">
        <x:v>0.100737100737101</x:v>
      </x:c>
      <x:c r="I23" s="9" t="n">
        <x:v>0</x:v>
      </x:c>
      <x:c r="J23" s="9" t="n">
        <x:v>0</x:v>
      </x:c>
      <x:c r="K23" s="9" t="n">
        <x:v>0.5</x:v>
      </x:c>
      <x:c r="L23" s="2" t="str">
        <x:v>平走</x:v>
      </x:c>
      <x:c r="M23" s="2" t="n">
        <x:v>5</x:v>
      </x:c>
      <x:c r="N23" s="2" t="n">
        <x:v>0</x:v>
      </x:c>
      <x:c r="O23" s="2" t="n">
        <x:v>1</x:v>
      </x:c>
      <x:c r="P23" s="2" t="n">
        <x:v>1</x:v>
      </x:c>
      <x:c r="Q23" s="2" t="n">
        <x:v>1</x:v>
      </x:c>
      <x:c r="R23" s="2" t="n">
        <x:v>0</x:v>
      </x:c>
      <x:c r="S23" s="2"/>
      <x:c r="T23" s="12"/>
      <x:c r="U23" s="2" t="n">
        <x:v>1</x:v>
      </x:c>
      <x:c r="V23" s="2" t="n">
        <x:v>0</x:v>
      </x:c>
      <x:c r="W23" s="2" t="n">
        <x:v>0</x:v>
      </x:c>
      <x:c r="X23" s="2" t="n">
        <x:v>1</x:v>
      </x:c>
    </x:row>
    <x:row r="24">
      <x:c r="A24" s="6" t="d">
        <x:v>2025-05-15T00:00:00.000Z</x:v>
      </x:c>
      <x:c r="B24" s="6" t="d">
        <x:v>2025-05-16T00:00:00.000Z</x:v>
      </x:c>
      <x:c r="C24" s="7" t="str">
        <x:v>002040</x:v>
      </x:c>
      <x:c r="D24" s="2" t="n">
        <x:v>2</x:v>
      </x:c>
      <x:c r="E24" s="11" t="n">
        <x:v>0.7963617795803033</x:v>
      </x:c>
      <x:c r="F24" s="2" t="str">
        <x:v>全部保留</x:v>
      </x:c>
      <x:c r="G24" s="9" t="n">
        <x:v>0.1</x:v>
      </x:c>
      <x:c r="H24" s="9" t="n">
        <x:v>0.035483870967742</x:v>
      </x:c>
      <x:c r="I24" s="9" t="n">
        <x:v>0</x:v>
      </x:c>
      <x:c r="J24" s="9" t="n">
        <x:v>0.062305295950156</x:v>
      </x:c>
      <x:c r="K24" s="9" t="n">
        <x:v>1</x:v>
      </x:c>
      <x:c r="L24" s="2" t="str">
        <x:v>两段走强</x:v>
      </x:c>
      <x:c r="M24" s="2" t="n">
        <x:v>4</x:v>
      </x:c>
      <x:c r="N24" s="2" t="n">
        <x:v>5</x:v>
      </x:c>
      <x:c r="O24" s="2" t="n">
        <x:v>1</x:v>
      </x:c>
      <x:c r="P24" s="2" t="n">
        <x:v>1</x:v>
      </x:c>
      <x:c r="Q24" s="2" t="n">
        <x:v>1</x:v>
      </x:c>
      <x:c r="R24" s="2" t="n">
        <x:v>1</x:v>
      </x:c>
      <x:c r="S24" s="2" t="str">
        <x:v>09:37</x:v>
      </x:c>
      <x:c r="T24" s="12" t="n">
        <x:v>10.21</x:v>
      </x:c>
      <x:c r="U24" s="2" t="n">
        <x:v>1</x:v>
      </x:c>
      <x:c r="V24" s="2" t="n">
        <x:v>1</x:v>
      </x:c>
      <x:c r="W24" s="2" t="n">
        <x:v>1</x:v>
      </x:c>
      <x:c r="X24" s="2" t="n">
        <x:v>1</x:v>
      </x:c>
    </x:row>
    <x:row r="25">
      <x:c r="A25" s="6" t="d">
        <x:v>2025-05-15T00:00:00.000Z</x:v>
      </x:c>
      <x:c r="B25" s="6" t="d">
        <x:v>2025-05-16T00:00:00.000Z</x:v>
      </x:c>
      <x:c r="C25" s="7" t="str">
        <x:v>601022</x:v>
      </x:c>
      <x:c r="D25" s="2" t="n">
        <x:v>3</x:v>
      </x:c>
      <x:c r="E25" s="11" t="n">
        <x:v>0.782923828310664</x:v>
      </x:c>
      <x:c r="F25" s="2" t="str">
        <x:v>全部保留</x:v>
      </x:c>
      <x:c r="G25" s="9" t="n">
        <x:v>0.099820143884892</x:v>
      </x:c>
      <x:c r="H25" s="9" t="n">
        <x:v>0.081834532374101</x:v>
      </x:c>
      <x:c r="I25" s="9" t="n">
        <x:v>0</x:v>
      </x:c>
      <x:c r="J25" s="9" t="n">
        <x:v>0</x:v>
      </x:c>
      <x:c r="K25" s="9" t="n">
        <x:v>1</x:v>
      </x:c>
      <x:c r="L25" s="2" t="str">
        <x:v>平走</x:v>
      </x:c>
      <x:c r="M25" s="2" t="n">
        <x:v>5</x:v>
      </x:c>
      <x:c r="N25" s="2" t="n">
        <x:v>1</x:v>
      </x:c>
      <x:c r="O25" s="2" t="n">
        <x:v>1</x:v>
      </x:c>
      <x:c r="P25" s="2" t="n">
        <x:v>1</x:v>
      </x:c>
      <x:c r="Q25" s="2" t="n">
        <x:v>1</x:v>
      </x:c>
      <x:c r="R25" s="2" t="n">
        <x:v>1</x:v>
      </x:c>
      <x:c r="S25" s="2" t="str">
        <x:v>09:38</x:v>
      </x:c>
      <x:c r="T25" s="12" t="n">
        <x:v>12.22</x:v>
      </x:c>
      <x:c r="U25" s="2" t="n">
        <x:v>1</x:v>
      </x:c>
      <x:c r="V25" s="2" t="n">
        <x:v>0</x:v>
      </x:c>
      <x:c r="W25" s="2" t="n">
        <x:v>0</x:v>
      </x:c>
      <x:c r="X25" s="2" t="n">
        <x:v>1</x:v>
      </x:c>
    </x:row>
    <x:row r="26">
      <x:c r="A26" s="6" t="d">
        <x:v>2025-05-16T00:00:00.000Z</x:v>
      </x:c>
      <x:c r="B26" s="6" t="d">
        <x:v>2025-05-19T00:00:00.000Z</x:v>
      </x:c>
      <x:c r="C26" s="7" t="str">
        <x:v>600798</x:v>
      </x:c>
      <x:c r="D26" s="2" t="n">
        <x:v>1</x:v>
      </x:c>
      <x:c r="E26" s="11" t="n">
        <x:v>0.7872205461639528</x:v>
      </x:c>
      <x:c r="F26" s="2" t="str">
        <x:v>全部保留</x:v>
      </x:c>
      <x:c r="G26" s="9" t="n">
        <x:v>0.100446428571428</x:v>
      </x:c>
      <x:c r="H26" s="9" t="n">
        <x:v>0</x:v>
      </x:c>
      <x:c r="I26" s="9" t="n">
        <x:v>0</x:v>
      </x:c>
      <x:c r="J26" s="9" t="n">
        <x:v>0.071739130434783</x:v>
      </x:c>
      <x:c r="K26" s="9" t="n">
        <x:v>1</x:v>
      </x:c>
      <x:c r="L26" s="2" t="str">
        <x:v>两段走强</x:v>
      </x:c>
      <x:c r="M26" s="2" t="n">
        <x:v>2</x:v>
      </x:c>
      <x:c r="N26" s="2" t="n">
        <x:v>4</x:v>
      </x:c>
      <x:c r="O26" s="2" t="n">
        <x:v>1</x:v>
      </x:c>
      <x:c r="P26" s="2" t="n">
        <x:v>1</x:v>
      </x:c>
      <x:c r="Q26" s="2" t="n">
        <x:v>1</x:v>
      </x:c>
      <x:c r="R26" s="2" t="n">
        <x:v>0</x:v>
      </x:c>
      <x:c r="S26" s="2"/>
      <x:c r="T26" s="12"/>
      <x:c r="U26" s="2" t="n">
        <x:v>1</x:v>
      </x:c>
      <x:c r="V26" s="2" t="n">
        <x:v>0</x:v>
      </x:c>
      <x:c r="W26" s="2" t="n">
        <x:v>0</x:v>
      </x:c>
      <x:c r="X26" s="2" t="n">
        <x:v>1</x:v>
      </x:c>
    </x:row>
    <x:row r="27">
      <x:c r="A27" s="6" t="d">
        <x:v>2025-05-16T00:00:00.000Z</x:v>
      </x:c>
      <x:c r="B27" s="6" t="d">
        <x:v>2025-05-19T00:00:00.000Z</x:v>
      </x:c>
      <x:c r="C27" s="7" t="str">
        <x:v>601022</x:v>
      </x:c>
      <x:c r="D27" s="2" t="n">
        <x:v>2</x:v>
      </x:c>
      <x:c r="E27" s="11" t="n">
        <x:v>0.7583809301266186</x:v>
      </x:c>
      <x:c r="F27" s="2" t="str">
        <x:v>全部保留</x:v>
      </x:c>
      <x:c r="G27" s="9" t="n">
        <x:v>0.035159443990188</x:v>
      </x:c>
      <x:c r="H27" s="9" t="n">
        <x:v>-0.051512673753066</x:v>
      </x:c>
      <x:c r="I27" s="9" t="n">
        <x:v>0.021259198691742</x:v>
      </x:c>
      <x:c r="J27" s="9" t="n">
        <x:v>0.013900245298446</x:v>
      </x:c>
      <x:c r="K27" s="9" t="n">
        <x:v>0.754716981132076</x:v>
      </x:c>
      <x:c r="L27" s="2" t="str">
        <x:v>前弱后强</x:v>
      </x:c>
      <x:c r="M27" s="2" t="n">
        <x:v>0</x:v>
      </x:c>
      <x:c r="N27" s="2" t="n">
        <x:v>5</x:v>
      </x:c>
      <x:c r="O27" s="2" t="n">
        <x:v>1</x:v>
      </x:c>
      <x:c r="P27" s="2" t="n">
        <x:v>1</x:v>
      </x:c>
      <x:c r="Q27" s="2" t="n">
        <x:v>1</x:v>
      </x:c>
      <x:c r="R27" s="2" t="n">
        <x:v>1</x:v>
      </x:c>
      <x:c r="S27" s="2" t="str">
        <x:v>09:36</x:v>
      </x:c>
      <x:c r="T27" s="12" t="n">
        <x:v>12.38</x:v>
      </x:c>
      <x:c r="U27" s="2" t="n">
        <x:v>1</x:v>
      </x:c>
      <x:c r="V27" s="2" t="n">
        <x:v>1</x:v>
      </x:c>
      <x:c r="W27" s="2" t="n">
        <x:v>1</x:v>
      </x:c>
      <x:c r="X27" s="2" t="n">
        <x:v>0</x:v>
      </x:c>
    </x:row>
    <x:row r="28">
      <x:c r="A28" s="6" t="d">
        <x:v>2025-05-16T00:00:00.000Z</x:v>
      </x:c>
      <x:c r="B28" s="6" t="d">
        <x:v>2025-05-19T00:00:00.000Z</x:v>
      </x:c>
      <x:c r="C28" s="7" t="str">
        <x:v>601008</x:v>
      </x:c>
      <x:c r="D28" s="2" t="n">
        <x:v>3</x:v>
      </x:c>
      <x:c r="E28" s="11" t="n">
        <x:v>0.7548147909532107</x:v>
      </x:c>
      <x:c r="F28" s="2" t="str">
        <x:v>全部保留</x:v>
      </x:c>
      <x:c r="G28" s="9" t="n">
        <x:v>0.100671140939597</x:v>
      </x:c>
      <x:c r="H28" s="9" t="n">
        <x:v>-0.006711409395973</x:v>
      </x:c>
      <x:c r="I28" s="9" t="n">
        <x:v>0.001342281879195</x:v>
      </x:c>
      <x:c r="J28" s="9" t="n">
        <x:v>0.106756756756757</x:v>
      </x:c>
      <x:c r="K28" s="9" t="n">
        <x:v>0.9875</x:v>
      </x:c>
      <x:c r="L28" s="2" t="str">
        <x:v>两段走强</x:v>
      </x:c>
      <x:c r="M28" s="2" t="n">
        <x:v>2</x:v>
      </x:c>
      <x:c r="N28" s="2" t="n">
        <x:v>5</x:v>
      </x:c>
      <x:c r="O28" s="2" t="n">
        <x:v>1</x:v>
      </x:c>
      <x:c r="P28" s="2" t="n">
        <x:v>1</x:v>
      </x:c>
      <x:c r="Q28" s="2" t="n">
        <x:v>1</x:v>
      </x:c>
      <x:c r="R28" s="2" t="n">
        <x:v>1</x:v>
      </x:c>
      <x:c r="S28" s="2" t="str">
        <x:v>09:36</x:v>
      </x:c>
      <x:c r="T28" s="12" t="n">
        <x:v>8.18</x:v>
      </x:c>
      <x:c r="U28" s="2" t="n">
        <x:v>1</x:v>
      </x:c>
      <x:c r="V28" s="2" t="n">
        <x:v>0</x:v>
      </x:c>
      <x:c r="W28" s="2" t="n">
        <x:v>0</x:v>
      </x:c>
      <x:c r="X28" s="2" t="n">
        <x:v>1</x:v>
      </x:c>
    </x:row>
    <x:row r="29">
      <x:c r="A29" s="6" t="d">
        <x:v>2025-05-19T00:00:00.000Z</x:v>
      </x:c>
      <x:c r="B29" s="6" t="d">
        <x:v>2025-05-20T00:00:00.000Z</x:v>
      </x:c>
      <x:c r="C29" s="7" t="str">
        <x:v>002510</x:v>
      </x:c>
      <x:c r="D29" s="2" t="n">
        <x:v>1</x:v>
      </x:c>
      <x:c r="E29" s="11" t="n">
        <x:v>0.7440324283120842</x:v>
      </x:c>
      <x:c r="F29" s="2" t="str">
        <x:v>全部保留</x:v>
      </x:c>
      <x:c r="G29" s="9" t="n">
        <x:v>0.1</x:v>
      </x:c>
      <x:c r="H29" s="9" t="n">
        <x:v>0.1</x:v>
      </x:c>
      <x:c r="I29" s="9" t="n">
        <x:v>0</x:v>
      </x:c>
      <x:c r="J29" s="9" t="n">
        <x:v>0</x:v>
      </x:c>
      <x:c r="K29" s="9" t="n">
        <x:v>0.5</x:v>
      </x:c>
      <x:c r="L29" s="2" t="str">
        <x:v>平走</x:v>
      </x:c>
      <x:c r="M29" s="2" t="n">
        <x:v>5</x:v>
      </x:c>
      <x:c r="N29" s="2" t="n">
        <x:v>0</x:v>
      </x:c>
      <x:c r="O29" s="2" t="n">
        <x:v>1</x:v>
      </x:c>
      <x:c r="P29" s="2" t="n">
        <x:v>1</x:v>
      </x:c>
      <x:c r="Q29" s="2" t="n">
        <x:v>1</x:v>
      </x:c>
      <x:c r="R29" s="2" t="n">
        <x:v>0</x:v>
      </x:c>
      <x:c r="S29" s="2"/>
      <x:c r="T29" s="12"/>
      <x:c r="U29" s="2" t="n">
        <x:v>1</x:v>
      </x:c>
      <x:c r="V29" s="2" t="n">
        <x:v>0</x:v>
      </x:c>
      <x:c r="W29" s="2" t="n">
        <x:v>0</x:v>
      </x:c>
      <x:c r="X29" s="2" t="n">
        <x:v>1</x:v>
      </x:c>
    </x:row>
    <x:row r="30">
      <x:c r="A30" s="6" t="d">
        <x:v>2025-05-19T00:00:00.000Z</x:v>
      </x:c>
      <x:c r="B30" s="6" t="d">
        <x:v>2025-05-20T00:00:00.000Z</x:v>
      </x:c>
      <x:c r="C30" s="7" t="str">
        <x:v>002040</x:v>
      </x:c>
      <x:c r="D30" s="2" t="n">
        <x:v>2</x:v>
      </x:c>
      <x:c r="E30" s="11" t="n">
        <x:v>0.7296505166218861</x:v>
      </x:c>
      <x:c r="F30" s="2" t="str">
        <x:v>全部保留</x:v>
      </x:c>
      <x:c r="G30" s="9" t="n">
        <x:v>0.100444444444445</x:v>
      </x:c>
      <x:c r="H30" s="9" t="n">
        <x:v>0.100444444444445</x:v>
      </x:c>
      <x:c r="I30" s="9" t="n">
        <x:v>0</x:v>
      </x:c>
      <x:c r="J30" s="9" t="n">
        <x:v>0</x:v>
      </x:c>
      <x:c r="K30" s="9" t="n">
        <x:v>0.5</x:v>
      </x:c>
      <x:c r="L30" s="2" t="str">
        <x:v>平走</x:v>
      </x:c>
      <x:c r="M30" s="2" t="n">
        <x:v>5</x:v>
      </x:c>
      <x:c r="N30" s="2" t="n">
        <x:v>0</x:v>
      </x:c>
      <x:c r="O30" s="2" t="n">
        <x:v>1</x:v>
      </x:c>
      <x:c r="P30" s="2" t="n">
        <x:v>1</x:v>
      </x:c>
      <x:c r="Q30" s="2" t="n">
        <x:v>1</x:v>
      </x:c>
      <x:c r="R30" s="2" t="n">
        <x:v>0</x:v>
      </x:c>
      <x:c r="S30" s="2"/>
      <x:c r="T30" s="12"/>
      <x:c r="U30" s="2" t="n">
        <x:v>1</x:v>
      </x:c>
      <x:c r="V30" s="2" t="n">
        <x:v>0</x:v>
      </x:c>
      <x:c r="W30" s="2" t="n">
        <x:v>0</x:v>
      </x:c>
      <x:c r="X30" s="2" t="n">
        <x:v>1</x:v>
      </x:c>
    </x:row>
    <x:row r="31">
      <x:c r="A31" s="6" t="d">
        <x:v>2025-05-19T00:00:00.000Z</x:v>
      </x:c>
      <x:c r="B31" s="6" t="d">
        <x:v>2025-05-20T00:00:00.000Z</x:v>
      </x:c>
      <x:c r="C31" s="7" t="str">
        <x:v>600281</x:v>
      </x:c>
      <x:c r="D31" s="2" t="n">
        <x:v>3</x:v>
      </x:c>
      <x:c r="E31" s="11" t="n">
        <x:v>0.7112793947588365</x:v>
      </x:c>
      <x:c r="F31" s="2" t="str">
        <x:v>全部保留</x:v>
      </x:c>
      <x:c r="G31" s="9" t="n">
        <x:v>0.098920863309353</x:v>
      </x:c>
      <x:c r="H31" s="9" t="n">
        <x:v>0.005395683453237</x:v>
      </x:c>
      <x:c r="I31" s="9" t="n">
        <x:v>0</x:v>
      </x:c>
      <x:c r="J31" s="9" t="n">
        <x:v>0.071929824561404</x:v>
      </x:c>
      <x:c r="K31" s="9" t="n">
        <x:v>1</x:v>
      </x:c>
      <x:c r="L31" s="2" t="str">
        <x:v>两段走强</x:v>
      </x:c>
      <x:c r="M31" s="2" t="n">
        <x:v>0</x:v>
      </x:c>
      <x:c r="N31" s="2" t="n">
        <x:v>5</x:v>
      </x:c>
      <x:c r="O31" s="2" t="n">
        <x:v>1</x:v>
      </x:c>
      <x:c r="P31" s="2" t="n">
        <x:v>1</x:v>
      </x:c>
      <x:c r="Q31" s="2" t="n">
        <x:v>1</x:v>
      </x:c>
      <x:c r="R31" s="2" t="n">
        <x:v>1</x:v>
      </x:c>
      <x:c r="S31" s="2" t="str">
        <x:v>09:36</x:v>
      </x:c>
      <x:c r="T31" s="12" t="n">
        <x:v>6.1</x:v>
      </x:c>
      <x:c r="U31" s="2" t="n">
        <x:v>1</x:v>
      </x:c>
      <x:c r="V31" s="2" t="n">
        <x:v>1</x:v>
      </x:c>
      <x:c r="W31" s="2" t="n">
        <x:v>1</x:v>
      </x:c>
      <x:c r="X31" s="2" t="n">
        <x:v>0</x:v>
      </x:c>
    </x:row>
    <x:row r="32">
      <x:c r="A32" s="6" t="d">
        <x:v>2025-05-20T00:00:00.000Z</x:v>
      </x:c>
      <x:c r="B32" s="6" t="d">
        <x:v>2025-05-21T00:00:00.000Z</x:v>
      </x:c>
      <x:c r="C32" s="7" t="str">
        <x:v>600770</x:v>
      </x:c>
      <x:c r="D32" s="2" t="n">
        <x:v>1</x:v>
      </x:c>
      <x:c r="E32" s="11" t="n">
        <x:v>0.80849859174716</x:v>
      </x:c>
      <x:c r="F32" s="2" t="str">
        <x:v>全部保留</x:v>
      </x:c>
      <x:c r="G32" s="9" t="n">
        <x:v>0.099358974358974</x:v>
      </x:c>
      <x:c r="H32" s="9" t="n">
        <x:v>0.099358974358974</x:v>
      </x:c>
      <x:c r="I32" s="9" t="n">
        <x:v>0</x:v>
      </x:c>
      <x:c r="J32" s="9" t="n">
        <x:v>0</x:v>
      </x:c>
      <x:c r="K32" s="9" t="n">
        <x:v>0.5</x:v>
      </x:c>
      <x:c r="L32" s="2" t="str">
        <x:v>平走</x:v>
      </x:c>
      <x:c r="M32" s="2" t="n">
        <x:v>5</x:v>
      </x:c>
      <x:c r="N32" s="2" t="n">
        <x:v>0</x:v>
      </x:c>
      <x:c r="O32" s="2" t="n">
        <x:v>1</x:v>
      </x:c>
      <x:c r="P32" s="2" t="n">
        <x:v>1</x:v>
      </x:c>
      <x:c r="Q32" s="2" t="n">
        <x:v>1</x:v>
      </x:c>
      <x:c r="R32" s="2" t="n">
        <x:v>0</x:v>
      </x:c>
      <x:c r="S32" s="2"/>
      <x:c r="T32" s="12"/>
      <x:c r="U32" s="2" t="n">
        <x:v>1</x:v>
      </x:c>
      <x:c r="V32" s="2" t="n">
        <x:v>0</x:v>
      </x:c>
      <x:c r="W32" s="2" t="n">
        <x:v>0</x:v>
      </x:c>
      <x:c r="X32" s="2" t="n">
        <x:v>1</x:v>
      </x:c>
    </x:row>
    <x:row r="33">
      <x:c r="A33" s="6" t="d">
        <x:v>2025-05-20T00:00:00.000Z</x:v>
      </x:c>
      <x:c r="B33" s="6" t="d">
        <x:v>2025-05-21T00:00:00.000Z</x:v>
      </x:c>
      <x:c r="C33" s="7" t="str">
        <x:v>002735</x:v>
      </x:c>
      <x:c r="D33" s="2" t="n">
        <x:v>2</x:v>
      </x:c>
      <x:c r="E33" s="11" t="n">
        <x:v>0.8056469612076429</x:v>
      </x:c>
      <x:c r="F33" s="2" t="str">
        <x:v>全部保留</x:v>
      </x:c>
      <x:c r="G33" s="9" t="n">
        <x:v>0.035386631716907</x:v>
      </x:c>
      <x:c r="H33" s="9" t="n">
        <x:v>-0.043250327653997</x:v>
      </x:c>
      <x:c r="I33" s="9" t="n">
        <x:v>0.055701179554391</x:v>
      </x:c>
      <x:c r="J33" s="9" t="n">
        <x:v>-0.033613445378151</x:v>
      </x:c>
      <x:c r="K33" s="9" t="n">
        <x:v>0.291666666666666</x:v>
      </x:c>
      <x:c r="L33" s="2" t="str">
        <x:v>两段走弱</x:v>
      </x:c>
      <x:c r="M33" s="2" t="n">
        <x:v>0</x:v>
      </x:c>
      <x:c r="N33" s="2" t="n">
        <x:v>5</x:v>
      </x:c>
      <x:c r="O33" s="2" t="n">
        <x:v>1</x:v>
      </x:c>
      <x:c r="P33" s="2" t="n">
        <x:v>1</x:v>
      </x:c>
      <x:c r="Q33" s="2" t="n">
        <x:v>1</x:v>
      </x:c>
      <x:c r="R33" s="2" t="n">
        <x:v>1</x:v>
      </x:c>
      <x:c r="S33" s="2" t="str">
        <x:v>09:36</x:v>
      </x:c>
      <x:c r="T33" s="12" t="n">
        <x:v>14.93</x:v>
      </x:c>
      <x:c r="U33" s="2" t="n">
        <x:v>1</x:v>
      </x:c>
      <x:c r="V33" s="2" t="n">
        <x:v>1</x:v>
      </x:c>
      <x:c r="W33" s="2" t="n">
        <x:v>1</x:v>
      </x:c>
      <x:c r="X33" s="2" t="n">
        <x:v>1</x:v>
      </x:c>
    </x:row>
    <x:row r="34">
      <x:c r="A34" s="6" t="d">
        <x:v>2025-05-20T00:00:00.000Z</x:v>
      </x:c>
      <x:c r="B34" s="6" t="d">
        <x:v>2025-05-21T00:00:00.000Z</x:v>
      </x:c>
      <x:c r="C34" s="7" t="str">
        <x:v>002510</x:v>
      </x:c>
      <x:c r="D34" s="2" t="n">
        <x:v>3</x:v>
      </x:c>
      <x:c r="E34" s="11" t="n">
        <x:v>0.8038400799167317</x:v>
      </x:c>
      <x:c r="F34" s="2" t="str">
        <x:v>全部保留</x:v>
      </x:c>
      <x:c r="G34" s="9" t="n">
        <x:v>0.1</x:v>
      </x:c>
      <x:c r="H34" s="9" t="n">
        <x:v>0.1</x:v>
      </x:c>
      <x:c r="I34" s="9" t="n">
        <x:v>0</x:v>
      </x:c>
      <x:c r="J34" s="9" t="n">
        <x:v>0</x:v>
      </x:c>
      <x:c r="K34" s="9" t="n">
        <x:v>0.5</x:v>
      </x:c>
      <x:c r="L34" s="2" t="str">
        <x:v>平走</x:v>
      </x:c>
      <x:c r="M34" s="2" t="n">
        <x:v>5</x:v>
      </x:c>
      <x:c r="N34" s="2" t="n">
        <x:v>0</x:v>
      </x:c>
      <x:c r="O34" s="2" t="n">
        <x:v>1</x:v>
      </x:c>
      <x:c r="P34" s="2" t="n">
        <x:v>1</x:v>
      </x:c>
      <x:c r="Q34" s="2" t="n">
        <x:v>1</x:v>
      </x:c>
      <x:c r="R34" s="2" t="n">
        <x:v>0</x:v>
      </x:c>
      <x:c r="S34" s="2"/>
      <x:c r="T34" s="12"/>
      <x:c r="U34" s="2" t="n">
        <x:v>1</x:v>
      </x:c>
      <x:c r="V34" s="2" t="n">
        <x:v>0</x:v>
      </x:c>
      <x:c r="W34" s="2" t="n">
        <x:v>0</x:v>
      </x:c>
      <x:c r="X34" s="2" t="n">
        <x:v>1</x:v>
      </x:c>
    </x:row>
    <x:row r="35">
      <x:c r="A35" s="6" t="d">
        <x:v>2025-05-21T00:00:00.000Z</x:v>
      </x:c>
      <x:c r="B35" s="6" t="d">
        <x:v>2025-05-22T00:00:00.000Z</x:v>
      </x:c>
      <x:c r="C35" s="7" t="str">
        <x:v>600770</x:v>
      </x:c>
      <x:c r="D35" s="2" t="n">
        <x:v>1</x:v>
      </x:c>
      <x:c r="E35" s="11" t="n">
        <x:v>0.8331533303229011</x:v>
      </x:c>
      <x:c r="F35" s="2" t="str">
        <x:v>全部保留</x:v>
      </x:c>
      <x:c r="G35" s="9" t="n">
        <x:v>0.100583090379009</x:v>
      </x:c>
      <x:c r="H35" s="9" t="n">
        <x:v>0.083090379008746</x:v>
      </x:c>
      <x:c r="I35" s="9" t="n">
        <x:v>0</x:v>
      </x:c>
      <x:c r="J35" s="9" t="n">
        <x:v>0</x:v>
      </x:c>
      <x:c r="K35" s="9" t="n">
        <x:v>1</x:v>
      </x:c>
      <x:c r="L35" s="2" t="str">
        <x:v>前弱后强</x:v>
      </x:c>
      <x:c r="M35" s="2" t="n">
        <x:v>5</x:v>
      </x:c>
      <x:c r="N35" s="2" t="n">
        <x:v>5</x:v>
      </x:c>
      <x:c r="O35" s="2" t="n">
        <x:v>1</x:v>
      </x:c>
      <x:c r="P35" s="2" t="n">
        <x:v>1</x:v>
      </x:c>
      <x:c r="Q35" s="2" t="n">
        <x:v>1</x:v>
      </x:c>
      <x:c r="R35" s="2" t="n">
        <x:v>1</x:v>
      </x:c>
      <x:c r="S35" s="2" t="str">
        <x:v>09:38</x:v>
      </x:c>
      <x:c r="T35" s="12" t="n">
        <x:v>7.54</x:v>
      </x:c>
      <x:c r="U35" s="2" t="n">
        <x:v>1</x:v>
      </x:c>
      <x:c r="V35" s="2" t="n">
        <x:v>0</x:v>
      </x:c>
      <x:c r="W35" s="2" t="n">
        <x:v>0</x:v>
      </x:c>
      <x:c r="X35" s="2" t="n">
        <x:v>0</x:v>
      </x:c>
    </x:row>
    <x:row r="36">
      <x:c r="A36" s="6" t="d">
        <x:v>2025-05-21T00:00:00.000Z</x:v>
      </x:c>
      <x:c r="B36" s="6" t="d">
        <x:v>2025-05-22T00:00:00.000Z</x:v>
      </x:c>
      <x:c r="C36" s="7" t="str">
        <x:v>002510</x:v>
      </x:c>
      <x:c r="D36" s="2" t="n">
        <x:v>2</x:v>
      </x:c>
      <x:c r="E36" s="11" t="n">
        <x:v>0.8157358755293997</x:v>
      </x:c>
      <x:c r="F36" s="2" t="str">
        <x:v>全部保留</x:v>
      </x:c>
      <x:c r="G36" s="9" t="n">
        <x:v>0.069657615112161</x:v>
      </x:c>
      <x:c r="H36" s="9" t="n">
        <x:v>0</x:v>
      </x:c>
      <x:c r="I36" s="9" t="n">
        <x:v>0.043683589138135</x:v>
      </x:c>
      <x:c r="J36" s="9" t="n">
        <x:v>0.011641443538999</x:v>
      </x:c>
      <x:c r="K36" s="9" t="n">
        <x:v>0.372881355932202</x:v>
      </x:c>
      <x:c r="L36" s="2" t="str">
        <x:v>前强后弱</x:v>
      </x:c>
      <x:c r="M36" s="2" t="n">
        <x:v>0</x:v>
      </x:c>
      <x:c r="N36" s="2" t="n">
        <x:v>5</x:v>
      </x:c>
      <x:c r="O36" s="2" t="n">
        <x:v>1</x:v>
      </x:c>
      <x:c r="P36" s="2" t="n">
        <x:v>1</x:v>
      </x:c>
      <x:c r="Q36" s="2" t="n">
        <x:v>1</x:v>
      </x:c>
      <x:c r="R36" s="2" t="n">
        <x:v>1</x:v>
      </x:c>
      <x:c r="S36" s="2" t="str">
        <x:v>09:36</x:v>
      </x:c>
      <x:c r="T36" s="12" t="n">
        <x:v>8.68</x:v>
      </x:c>
      <x:c r="U36" s="2" t="n">
        <x:v>1</x:v>
      </x:c>
      <x:c r="V36" s="2" t="n">
        <x:v>1</x:v>
      </x:c>
      <x:c r="W36" s="2" t="n">
        <x:v>1</x:v>
      </x:c>
      <x:c r="X36" s="2" t="n">
        <x:v>0</x:v>
      </x:c>
    </x:row>
    <x:row r="37">
      <x:c r="A37" s="6" t="d">
        <x:v>2025-05-21T00:00:00.000Z</x:v>
      </x:c>
      <x:c r="B37" s="6" t="d">
        <x:v>2025-05-22T00:00:00.000Z</x:v>
      </x:c>
      <x:c r="C37" s="7" t="str">
        <x:v>600698</x:v>
      </x:c>
      <x:c r="D37" s="2" t="n">
        <x:v>3</x:v>
      </x:c>
      <x:c r="E37" s="11" t="n">
        <x:v>0.8028382734572136</x:v>
      </x:c>
      <x:c r="F37" s="2" t="str">
        <x:v>全部保留</x:v>
      </x:c>
      <x:c r="G37" s="9" t="n">
        <x:v>-0.010192525481314</x:v>
      </x:c>
      <x:c r="H37" s="9" t="n">
        <x:v>-0.099660249150623</x:v>
      </x:c>
      <x:c r="I37" s="9" t="n">
        <x:v>0.066817667044168</x:v>
      </x:c>
      <x:c r="J37" s="9" t="n">
        <x:v>-0.067505720823799</x:v>
      </x:c>
      <x:c r="K37" s="9" t="n">
        <x:v>0.253164556962026</x:v>
      </x:c>
      <x:c r="L37" s="2" t="str">
        <x:v>前弱后强</x:v>
      </x:c>
      <x:c r="M37" s="2" t="n">
        <x:v>0</x:v>
      </x:c>
      <x:c r="N37" s="2" t="n">
        <x:v>5</x:v>
      </x:c>
      <x:c r="O37" s="2" t="n">
        <x:v>1</x:v>
      </x:c>
      <x:c r="P37" s="2" t="n">
        <x:v>1</x:v>
      </x:c>
      <x:c r="Q37" s="2" t="n">
        <x:v>1</x:v>
      </x:c>
      <x:c r="R37" s="2" t="n">
        <x:v>1</x:v>
      </x:c>
      <x:c r="S37" s="2" t="str">
        <x:v>09:36</x:v>
      </x:c>
      <x:c r="T37" s="12" t="n">
        <x:v>8.18</x:v>
      </x:c>
      <x:c r="U37" s="2" t="n">
        <x:v>1</x:v>
      </x:c>
      <x:c r="V37" s="2" t="n">
        <x:v>0</x:v>
      </x:c>
      <x:c r="W37" s="2" t="n">
        <x:v>0</x:v>
      </x:c>
      <x:c r="X37" s="2" t="n">
        <x:v>0</x:v>
      </x:c>
    </x:row>
    <x:row r="38">
      <x:c r="A38" s="6" t="d">
        <x:v>2025-05-22T00:00:00.000Z</x:v>
      </x:c>
      <x:c r="B38" s="6" t="d">
        <x:v>2025-05-23T00:00:00.000Z</x:v>
      </x:c>
      <x:c r="C38" s="7" t="str">
        <x:v>002431</x:v>
      </x:c>
      <x:c r="D38" s="2" t="n">
        <x:v>1</x:v>
      </x:c>
      <x:c r="E38" s="11" t="n">
        <x:v>0.7793582058784181</x:v>
      </x:c>
      <x:c r="F38" s="2" t="str">
        <x:v>全部保留</x:v>
      </x:c>
      <x:c r="G38" s="9" t="n">
        <x:v>-0.010344827586207</x:v>
      </x:c>
      <x:c r="H38" s="9" t="n">
        <x:v>-0.096551724137931</x:v>
      </x:c>
      <x:c r="I38" s="9" t="n">
        <x:v>0.058620689655172</x:v>
      </x:c>
      <x:c r="J38" s="9" t="n">
        <x:v>-0.059233449477352</x:v>
      </x:c>
      <x:c r="K38" s="9" t="n">
        <x:v>0.32</x:v>
      </x:c>
      <x:c r="L38" s="2" t="str">
        <x:v>两段走弱</x:v>
      </x:c>
      <x:c r="M38" s="2" t="n">
        <x:v>0</x:v>
      </x:c>
      <x:c r="N38" s="2" t="n">
        <x:v>5</x:v>
      </x:c>
      <x:c r="O38" s="2" t="n">
        <x:v>1</x:v>
      </x:c>
      <x:c r="P38" s="2" t="n">
        <x:v>1</x:v>
      </x:c>
      <x:c r="Q38" s="2" t="n">
        <x:v>1</x:v>
      </x:c>
      <x:c r="R38" s="2" t="n">
        <x:v>1</x:v>
      </x:c>
      <x:c r="S38" s="2" t="str">
        <x:v>09:36</x:v>
      </x:c>
      <x:c r="T38" s="12" t="n">
        <x:v>2.7</x:v>
      </x:c>
      <x:c r="U38" s="2" t="n">
        <x:v>1</x:v>
      </x:c>
      <x:c r="V38" s="2" t="n">
        <x:v>1</x:v>
      </x:c>
      <x:c r="W38" s="2" t="n">
        <x:v>1</x:v>
      </x:c>
      <x:c r="X38" s="2" t="n">
        <x:v>1</x:v>
      </x:c>
    </x:row>
    <x:row r="39">
      <x:c r="A39" s="6" t="d">
        <x:v>2025-05-22T00:00:00.000Z</x:v>
      </x:c>
      <x:c r="B39" s="6" t="d">
        <x:v>2025-05-23T00:00:00.000Z</x:v>
      </x:c>
      <x:c r="C39" s="7" t="str">
        <x:v>603192</x:v>
      </x:c>
      <x:c r="D39" s="2" t="n">
        <x:v>2</x:v>
      </x:c>
      <x:c r="E39" s="11" t="n">
        <x:v>0.7666163881944605</x:v>
      </x:c>
      <x:c r="F39" s="2" t="str">
        <x:v>全部保留</x:v>
      </x:c>
      <x:c r="G39" s="9" t="n">
        <x:v>0.099953292853807</x:v>
      </x:c>
      <x:c r="H39" s="9" t="n">
        <x:v>0.046240074731434</x:v>
      </x:c>
      <x:c r="I39" s="9" t="n">
        <x:v>0.052779075198505</x:v>
      </x:c>
      <x:c r="J39" s="9" t="n">
        <x:v>-0.047983014861996</x:v>
      </x:c>
      <x:c r="K39" s="9" t="n">
        <x:v>0.017391304347829</x:v>
      </x:c>
      <x:c r="L39" s="2" t="str">
        <x:v>两段走弱</x:v>
      </x:c>
      <x:c r="M39" s="2" t="n">
        <x:v>3</x:v>
      </x:c>
      <x:c r="N39" s="2" t="n">
        <x:v>3</x:v>
      </x:c>
      <x:c r="O39" s="2" t="n">
        <x:v>1</x:v>
      </x:c>
      <x:c r="P39" s="2" t="n">
        <x:v>1</x:v>
      </x:c>
      <x:c r="Q39" s="2" t="n">
        <x:v>1</x:v>
      </x:c>
      <x:c r="R39" s="2" t="n">
        <x:v>1</x:v>
      </x:c>
      <x:c r="S39" s="2" t="str">
        <x:v>09:36</x:v>
      </x:c>
      <x:c r="T39" s="12" t="n">
        <x:v>22.39</x:v>
      </x:c>
      <x:c r="U39" s="2" t="n">
        <x:v>1</x:v>
      </x:c>
      <x:c r="V39" s="2" t="n">
        <x:v>0</x:v>
      </x:c>
      <x:c r="W39" s="2" t="n">
        <x:v>0</x:v>
      </x:c>
      <x:c r="X39" s="2" t="n">
        <x:v>1</x:v>
      </x:c>
    </x:row>
    <x:row r="40">
      <x:c r="A40" s="6" t="d">
        <x:v>2025-05-22T00:00:00.000Z</x:v>
      </x:c>
      <x:c r="B40" s="6" t="d">
        <x:v>2025-05-23T00:00:00.000Z</x:v>
      </x:c>
      <x:c r="C40" s="7" t="str">
        <x:v>600137</x:v>
      </x:c>
      <x:c r="D40" s="2" t="n">
        <x:v>3</x:v>
      </x:c>
      <x:c r="E40" s="11" t="n">
        <x:v>0.7636189196946422</x:v>
      </x:c>
      <x:c r="F40" s="2" t="str">
        <x:v>全部保留</x:v>
      </x:c>
      <x:c r="G40" s="9" t="n">
        <x:v>0.099878689850384</x:v>
      </x:c>
      <x:c r="H40" s="9" t="n">
        <x:v>-0.089365143550344</x:v>
      </x:c>
      <x:c r="I40" s="9" t="n">
        <x:v>0.167812373635261</x:v>
      </x:c>
      <x:c r="J40" s="9" t="n">
        <x:v>-0.152573529411765</x:v>
      </x:c>
      <x:c r="K40" s="9" t="n">
        <x:v>0.113247863247864</x:v>
      </x:c>
      <x:c r="L40" s="2" t="str">
        <x:v>两段走弱</x:v>
      </x:c>
      <x:c r="M40" s="2" t="n">
        <x:v>2</x:v>
      </x:c>
      <x:c r="N40" s="2" t="n">
        <x:v>4</x:v>
      </x:c>
      <x:c r="O40" s="2" t="n">
        <x:v>1</x:v>
      </x:c>
      <x:c r="P40" s="2" t="n">
        <x:v>1</x:v>
      </x:c>
      <x:c r="Q40" s="2" t="n">
        <x:v>1</x:v>
      </x:c>
      <x:c r="R40" s="2" t="n">
        <x:v>1</x:v>
      </x:c>
      <x:c r="S40" s="2" t="str">
        <x:v>09:36</x:v>
      </x:c>
      <x:c r="T40" s="12" t="n">
        <x:v>23.05</x:v>
      </x:c>
      <x:c r="U40" s="2" t="n">
        <x:v>0</x:v>
      </x:c>
      <x:c r="V40" s="2" t="n">
        <x:v>0</x:v>
      </x:c>
      <x:c r="W40" s="2" t="n">
        <x:v>0</x:v>
      </x:c>
      <x:c r="X40" s="2" t="n">
        <x:v>0</x:v>
      </x:c>
    </x:row>
    <x:row r="41">
      <x:c r="A41" s="6" t="d">
        <x:v>2025-05-23T00:00:00.000Z</x:v>
      </x:c>
      <x:c r="B41" s="6" t="d">
        <x:v>2025-05-26T00:00:00.000Z</x:v>
      </x:c>
      <x:c r="C41" s="7" t="str">
        <x:v>603333</x:v>
      </x:c>
      <x:c r="D41" s="2" t="n">
        <x:v>1</x:v>
      </x:c>
      <x:c r="E41" s="11" t="n">
        <x:v>0.7737832413128655</x:v>
      </x:c>
      <x:c r="F41" s="2" t="str">
        <x:v>全部保留</x:v>
      </x:c>
      <x:c r="G41" s="9" t="n">
        <x:v>0.1</x:v>
      </x:c>
      <x:c r="H41" s="9" t="n">
        <x:v>0.1</x:v>
      </x:c>
      <x:c r="I41" s="9" t="n">
        <x:v>0</x:v>
      </x:c>
      <x:c r="J41" s="9" t="n">
        <x:v>0</x:v>
      </x:c>
      <x:c r="K41" s="9" t="n">
        <x:v>0.5</x:v>
      </x:c>
      <x:c r="L41" s="2" t="str">
        <x:v>平走</x:v>
      </x:c>
      <x:c r="M41" s="2" t="n">
        <x:v>5</x:v>
      </x:c>
      <x:c r="N41" s="2" t="n">
        <x:v>0</x:v>
      </x:c>
      <x:c r="O41" s="2" t="n">
        <x:v>1</x:v>
      </x:c>
      <x:c r="P41" s="2" t="n">
        <x:v>1</x:v>
      </x:c>
      <x:c r="Q41" s="2" t="n">
        <x:v>1</x:v>
      </x:c>
      <x:c r="R41" s="2" t="n">
        <x:v>0</x:v>
      </x:c>
      <x:c r="S41" s="2"/>
      <x:c r="T41" s="12"/>
      <x:c r="U41" s="2" t="n">
        <x:v>1</x:v>
      </x:c>
      <x:c r="V41" s="2" t="n">
        <x:v>0</x:v>
      </x:c>
      <x:c r="W41" s="2" t="n">
        <x:v>0</x:v>
      </x:c>
      <x:c r="X41" s="2" t="n">
        <x:v>1</x:v>
      </x:c>
    </x:row>
    <x:row r="42">
      <x:c r="A42" s="6" t="d">
        <x:v>2025-05-23T00:00:00.000Z</x:v>
      </x:c>
      <x:c r="B42" s="6" t="d">
        <x:v>2025-05-26T00:00:00.000Z</x:v>
      </x:c>
      <x:c r="C42" s="7" t="str">
        <x:v>002471</x:v>
      </x:c>
      <x:c r="D42" s="2" t="n">
        <x:v>2</x:v>
      </x:c>
      <x:c r="E42" s="11" t="n">
        <x:v>0.7572941553827948</x:v>
      </x:c>
      <x:c r="F42" s="2" t="str">
        <x:v>全部保留</x:v>
      </x:c>
      <x:c r="G42" s="9" t="n">
        <x:v>0.099787685774947</x:v>
      </x:c>
      <x:c r="H42" s="9" t="n">
        <x:v>0.044585987261146</x:v>
      </x:c>
      <x:c r="I42" s="9" t="n">
        <x:v>0.021231422505308</x:v>
      </x:c>
      <x:c r="J42" s="9" t="n">
        <x:v>0.018036072144288</x:v>
      </x:c>
      <x:c r="K42" s="9" t="n">
        <x:v>0.615384615384616</x:v>
      </x:c>
      <x:c r="L42" s="2" t="str">
        <x:v>两段走强</x:v>
      </x:c>
      <x:c r="M42" s="2" t="n">
        <x:v>2</x:v>
      </x:c>
      <x:c r="N42" s="2" t="n">
        <x:v>5</x:v>
      </x:c>
      <x:c r="O42" s="2" t="n">
        <x:v>1</x:v>
      </x:c>
      <x:c r="P42" s="2" t="n">
        <x:v>1</x:v>
      </x:c>
      <x:c r="Q42" s="2" t="n">
        <x:v>1</x:v>
      </x:c>
      <x:c r="R42" s="2" t="n">
        <x:v>1</x:v>
      </x:c>
      <x:c r="S42" s="2" t="str">
        <x:v>09:36</x:v>
      </x:c>
      <x:c r="T42" s="12" t="n">
        <x:v>5.06</x:v>
      </x:c>
      <x:c r="U42" s="2" t="n">
        <x:v>1</x:v>
      </x:c>
      <x:c r="V42" s="2" t="n">
        <x:v>1</x:v>
      </x:c>
      <x:c r="W42" s="2" t="n">
        <x:v>1</x:v>
      </x:c>
      <x:c r="X42" s="2" t="n">
        <x:v>1</x:v>
      </x:c>
    </x:row>
    <x:row r="43">
      <x:c r="A43" s="6" t="d">
        <x:v>2025-05-23T00:00:00.000Z</x:v>
      </x:c>
      <x:c r="B43" s="6" t="d">
        <x:v>2025-05-26T00:00:00.000Z</x:v>
      </x:c>
      <x:c r="C43" s="7" t="str">
        <x:v>001367</x:v>
      </x:c>
      <x:c r="D43" s="2" t="n">
        <x:v>3</x:v>
      </x:c>
      <x:c r="E43" s="11" t="n">
        <x:v>0.7479113297923852</x:v>
      </x:c>
      <x:c r="F43" s="2" t="str">
        <x:v>全部保留</x:v>
      </x:c>
      <x:c r="G43" s="9" t="n">
        <x:v>0.100199600798403</x:v>
      </x:c>
      <x:c r="H43" s="9" t="n">
        <x:v>0.041516966067864</x:v>
      </x:c>
      <x:c r="I43" s="9" t="n">
        <x:v>0.045508982035928</x:v>
      </x:c>
      <x:c r="J43" s="9" t="n">
        <x:v>-0.00639338097029</x:v>
      </x:c>
      <x:c r="K43" s="9" t="n">
        <x:v>0.224489795918369</x:v>
      </x:c>
      <x:c r="L43" s="2" t="str">
        <x:v>前强后弱</x:v>
      </x:c>
      <x:c r="M43" s="2" t="n">
        <x:v>3</x:v>
      </x:c>
      <x:c r="N43" s="2" t="n">
        <x:v>5</x:v>
      </x:c>
      <x:c r="O43" s="2" t="n">
        <x:v>1</x:v>
      </x:c>
      <x:c r="P43" s="2" t="n">
        <x:v>1</x:v>
      </x:c>
      <x:c r="Q43" s="2" t="n">
        <x:v>1</x:v>
      </x:c>
      <x:c r="R43" s="2" t="n">
        <x:v>1</x:v>
      </x:c>
      <x:c r="S43" s="2" t="str">
        <x:v>09:36</x:v>
      </x:c>
      <x:c r="T43" s="12" t="n">
        <x:v>26.39</x:v>
      </x:c>
      <x:c r="U43" s="2" t="n">
        <x:v>1</x:v>
      </x:c>
      <x:c r="V43" s="2" t="n">
        <x:v>0</x:v>
      </x:c>
      <x:c r="W43" s="2" t="n">
        <x:v>0</x:v>
      </x:c>
      <x:c r="X43" s="2" t="n">
        <x:v>0</x:v>
      </x:c>
    </x:row>
    <x:row r="44">
      <x:c r="A44" s="6" t="d">
        <x:v>2025-05-26T00:00:00.000Z</x:v>
      </x:c>
      <x:c r="B44" s="6" t="d">
        <x:v>2025-05-27T00:00:00.000Z</x:v>
      </x:c>
      <x:c r="C44" s="7" t="str">
        <x:v>603333</x:v>
      </x:c>
      <x:c r="D44" s="2" t="n">
        <x:v>1</x:v>
      </x:c>
      <x:c r="E44" s="11" t="n">
        <x:v>0.778136435520488</x:v>
      </x:c>
      <x:c r="F44" s="2" t="str">
        <x:v>全部保留</x:v>
      </x:c>
      <x:c r="G44" s="9" t="n">
        <x:v>0.100267379679144</x:v>
      </x:c>
      <x:c r="H44" s="9" t="n">
        <x:v>0.100267379679144</x:v>
      </x:c>
      <x:c r="I44" s="9" t="n">
        <x:v>0</x:v>
      </x:c>
      <x:c r="J44" s="9" t="n">
        <x:v>0</x:v>
      </x:c>
      <x:c r="K44" s="9" t="n">
        <x:v>0.5</x:v>
      </x:c>
      <x:c r="L44" s="2" t="str">
        <x:v>平走</x:v>
      </x:c>
      <x:c r="M44" s="2" t="n">
        <x:v>5</x:v>
      </x:c>
      <x:c r="N44" s="2" t="n">
        <x:v>0</x:v>
      </x:c>
      <x:c r="O44" s="2" t="n">
        <x:v>1</x:v>
      </x:c>
      <x:c r="P44" s="2" t="n">
        <x:v>1</x:v>
      </x:c>
      <x:c r="Q44" s="2" t="n">
        <x:v>1</x:v>
      </x:c>
      <x:c r="R44" s="2" t="n">
        <x:v>0</x:v>
      </x:c>
      <x:c r="S44" s="2"/>
      <x:c r="T44" s="12"/>
      <x:c r="U44" s="2" t="n">
        <x:v>1</x:v>
      </x:c>
      <x:c r="V44" s="2" t="n">
        <x:v>0</x:v>
      </x:c>
      <x:c r="W44" s="2" t="n">
        <x:v>0</x:v>
      </x:c>
      <x:c r="X44" s="2" t="n">
        <x:v>1</x:v>
      </x:c>
    </x:row>
    <x:row r="45">
      <x:c r="A45" s="6" t="d">
        <x:v>2025-05-26T00:00:00.000Z</x:v>
      </x:c>
      <x:c r="B45" s="6" t="d">
        <x:v>2025-05-27T00:00:00.000Z</x:v>
      </x:c>
      <x:c r="C45" s="7" t="str">
        <x:v>603332</x:v>
      </x:c>
      <x:c r="D45" s="2" t="n">
        <x:v>2</x:v>
      </x:c>
      <x:c r="E45" s="11" t="n">
        <x:v>0.7468780857572436</x:v>
      </x:c>
      <x:c r="F45" s="2" t="str">
        <x:v>全部保留</x:v>
      </x:c>
      <x:c r="G45" s="9" t="n">
        <x:v>0.099610461880913</x:v>
      </x:c>
      <x:c r="H45" s="9" t="n">
        <x:v>0.030606566499722</x:v>
      </x:c>
      <x:c r="I45" s="9" t="n">
        <x:v>0.011686143572621</x:v>
      </x:c>
      <x:c r="J45" s="9" t="n">
        <x:v>0.041555673947789</x:v>
      </x:c>
      <x:c r="K45" s="9" t="n">
        <x:v>0.830645161290322</x:v>
      </x:c>
      <x:c r="L45" s="2" t="str">
        <x:v>两段走强</x:v>
      </x:c>
      <x:c r="M45" s="2" t="n">
        <x:v>0</x:v>
      </x:c>
      <x:c r="N45" s="2" t="n">
        <x:v>5</x:v>
      </x:c>
      <x:c r="O45" s="2" t="n">
        <x:v>1</x:v>
      </x:c>
      <x:c r="P45" s="2" t="n">
        <x:v>1</x:v>
      </x:c>
      <x:c r="Q45" s="2" t="n">
        <x:v>1</x:v>
      </x:c>
      <x:c r="R45" s="2" t="n">
        <x:v>1</x:v>
      </x:c>
      <x:c r="S45" s="2" t="str">
        <x:v>09:36</x:v>
      </x:c>
      <x:c r="T45" s="12" t="n">
        <x:v>19.49</x:v>
      </x:c>
      <x:c r="U45" s="2" t="n">
        <x:v>1</x:v>
      </x:c>
      <x:c r="V45" s="2" t="n">
        <x:v>1</x:v>
      </x:c>
      <x:c r="W45" s="2" t="n">
        <x:v>1</x:v>
      </x:c>
      <x:c r="X45" s="2" t="n">
        <x:v>1</x:v>
      </x:c>
    </x:row>
    <x:row r="46">
      <x:c r="A46" s="6" t="d">
        <x:v>2025-05-26T00:00:00.000Z</x:v>
      </x:c>
      <x:c r="B46" s="6" t="d">
        <x:v>2025-05-27T00:00:00.000Z</x:v>
      </x:c>
      <x:c r="C46" s="7" t="str">
        <x:v>603192</x:v>
      </x:c>
      <x:c r="D46" s="2" t="n">
        <x:v>3</x:v>
      </x:c>
      <x:c r="E46" s="11" t="n">
        <x:v>0.7454916665521817</x:v>
      </x:c>
      <x:c r="F46" s="2" t="str">
        <x:v>全部保留</x:v>
      </x:c>
      <x:c r="G46" s="9" t="n">
        <x:v>0.099961404862987</x:v>
      </x:c>
      <x:c r="H46" s="9" t="n">
        <x:v>0.081049787726746</x:v>
      </x:c>
      <x:c r="I46" s="9" t="n">
        <x:v>0</x:v>
      </x:c>
      <x:c r="J46" s="9" t="n">
        <x:v>0.000351000351</x:v>
      </x:c>
      <x:c r="K46" s="9" t="n">
        <x:v>1</x:v>
      </x:c>
      <x:c r="L46" s="2" t="str">
        <x:v>两段走强</x:v>
      </x:c>
      <x:c r="M46" s="2" t="n">
        <x:v>5</x:v>
      </x:c>
      <x:c r="N46" s="2" t="n">
        <x:v>1</x:v>
      </x:c>
      <x:c r="O46" s="2" t="n">
        <x:v>1</x:v>
      </x:c>
      <x:c r="P46" s="2" t="n">
        <x:v>1</x:v>
      </x:c>
      <x:c r="Q46" s="2" t="n">
        <x:v>1</x:v>
      </x:c>
      <x:c r="R46" s="2" t="n">
        <x:v>0</x:v>
      </x:c>
      <x:c r="S46" s="2"/>
      <x:c r="T46" s="12"/>
      <x:c r="U46" s="2" t="n">
        <x:v>1</x:v>
      </x:c>
      <x:c r="V46" s="2" t="n">
        <x:v>0</x:v>
      </x:c>
      <x:c r="W46" s="2" t="n">
        <x:v>0</x:v>
      </x:c>
      <x:c r="X46" s="2" t="n">
        <x:v>1</x:v>
      </x:c>
    </x:row>
    <x:row r="47">
      <x:c r="A47" s="6" t="d">
        <x:v>2025-05-27T00:00:00.000Z</x:v>
      </x:c>
      <x:c r="B47" s="6" t="d">
        <x:v>2025-05-28T00:00:00.000Z</x:v>
      </x:c>
      <x:c r="C47" s="7" t="str">
        <x:v>603333</x:v>
      </x:c>
      <x:c r="D47" s="2" t="n">
        <x:v>1</x:v>
      </x:c>
      <x:c r="E47" s="11" t="n">
        <x:v>0.7584203844164195</x:v>
      </x:c>
      <x:c r="F47" s="2" t="str">
        <x:v>全部保留</x:v>
      </x:c>
      <x:c r="G47" s="9" t="n">
        <x:v>0.099635479951397</x:v>
      </x:c>
      <x:c r="H47" s="9" t="n">
        <x:v>0.004860267314702</x:v>
      </x:c>
      <x:c r="I47" s="9" t="n">
        <x:v>0.051032806804374</x:v>
      </x:c>
      <x:c r="J47" s="9" t="n">
        <x:v>-0.046408839779006</x:v>
      </x:c>
      <x:c r="K47" s="9" t="n">
        <x:v>0.461538461538462</x:v>
      </x:c>
      <x:c r="L47" s="2" t="str">
        <x:v>两段走弱</x:v>
      </x:c>
      <x:c r="M47" s="2" t="n">
        <x:v>1</x:v>
      </x:c>
      <x:c r="N47" s="2" t="n">
        <x:v>5</x:v>
      </x:c>
      <x:c r="O47" s="2" t="n">
        <x:v>1</x:v>
      </x:c>
      <x:c r="P47" s="2" t="n">
        <x:v>1</x:v>
      </x:c>
      <x:c r="Q47" s="2" t="n">
        <x:v>1</x:v>
      </x:c>
      <x:c r="R47" s="2" t="n">
        <x:v>1</x:v>
      </x:c>
      <x:c r="S47" s="2" t="str">
        <x:v>09:36</x:v>
      </x:c>
      <x:c r="T47" s="12" t="n">
        <x:v>8.64</x:v>
      </x:c>
      <x:c r="U47" s="2" t="n">
        <x:v>1</x:v>
      </x:c>
      <x:c r="V47" s="2" t="n">
        <x:v>1</x:v>
      </x:c>
      <x:c r="W47" s="2" t="n">
        <x:v>1</x:v>
      </x:c>
      <x:c r="X47" s="2" t="n">
        <x:v>1</x:v>
      </x:c>
    </x:row>
    <x:row r="48">
      <x:c r="A48" s="6" t="d">
        <x:v>2025-05-27T00:00:00.000Z</x:v>
      </x:c>
      <x:c r="B48" s="6" t="d">
        <x:v>2025-05-28T00:00:00.000Z</x:v>
      </x:c>
      <x:c r="C48" s="7" t="str">
        <x:v>605388</x:v>
      </x:c>
      <x:c r="D48" s="2" t="n">
        <x:v>2</x:v>
      </x:c>
      <x:c r="E48" s="11" t="n">
        <x:v>0.7362567021805131</x:v>
      </x:c>
      <x:c r="F48" s="2" t="str">
        <x:v>全部保留</x:v>
      </x:c>
      <x:c r="G48" s="9" t="n">
        <x:v>0.100130039011703</x:v>
      </x:c>
      <x:c r="H48" s="9" t="n">
        <x:v>0.100130039011703</x:v>
      </x:c>
      <x:c r="I48" s="9" t="n">
        <x:v>0</x:v>
      </x:c>
      <x:c r="J48" s="9" t="n">
        <x:v>0</x:v>
      </x:c>
      <x:c r="K48" s="9" t="n">
        <x:v>0.5</x:v>
      </x:c>
      <x:c r="L48" s="2" t="str">
        <x:v>平走</x:v>
      </x:c>
      <x:c r="M48" s="2" t="n">
        <x:v>5</x:v>
      </x:c>
      <x:c r="N48" s="2" t="n">
        <x:v>0</x:v>
      </x:c>
      <x:c r="O48" s="2" t="n">
        <x:v>1</x:v>
      </x:c>
      <x:c r="P48" s="2" t="n">
        <x:v>1</x:v>
      </x:c>
      <x:c r="Q48" s="2" t="n">
        <x:v>1</x:v>
      </x:c>
      <x:c r="R48" s="2" t="n">
        <x:v>0</x:v>
      </x:c>
      <x:c r="S48" s="2"/>
      <x:c r="T48" s="12"/>
      <x:c r="U48" s="2" t="n">
        <x:v>1</x:v>
      </x:c>
      <x:c r="V48" s="2" t="n">
        <x:v>0</x:v>
      </x:c>
      <x:c r="W48" s="2" t="n">
        <x:v>0</x:v>
      </x:c>
      <x:c r="X48" s="2" t="n">
        <x:v>1</x:v>
      </x:c>
    </x:row>
    <x:row r="49">
      <x:c r="A49" s="6" t="d">
        <x:v>2025-05-27T00:00:00.000Z</x:v>
      </x:c>
      <x:c r="B49" s="6" t="d">
        <x:v>2025-05-28T00:00:00.000Z</x:v>
      </x:c>
      <x:c r="C49" s="7" t="str">
        <x:v>002366</x:v>
      </x:c>
      <x:c r="D49" s="2" t="n">
        <x:v>3</x:v>
      </x:c>
      <x:c r="E49" s="11" t="n">
        <x:v>0.7344752601132308</x:v>
      </x:c>
      <x:c r="F49" s="2" t="str">
        <x:v>全部保留</x:v>
      </x:c>
      <x:c r="G49" s="9" t="n">
        <x:v>0.09985315712188</x:v>
      </x:c>
      <x:c r="H49" s="9" t="n">
        <x:v>0.054331864904552</x:v>
      </x:c>
      <x:c r="I49" s="9" t="n">
        <x:v>0.007342143906021</x:v>
      </x:c>
      <x:c r="J49" s="9" t="n">
        <x:v>0.013623978201635</x:v>
      </x:c>
      <x:c r="K49" s="9" t="n">
        <x:v>0.838709677419356</x:v>
      </x:c>
      <x:c r="L49" s="2" t="str">
        <x:v>前强后弱</x:v>
      </x:c>
      <x:c r="M49" s="2" t="n">
        <x:v>2</x:v>
      </x:c>
      <x:c r="N49" s="2" t="n">
        <x:v>5</x:v>
      </x:c>
      <x:c r="O49" s="2" t="n">
        <x:v>1</x:v>
      </x:c>
      <x:c r="P49" s="2" t="n">
        <x:v>1</x:v>
      </x:c>
      <x:c r="Q49" s="2" t="n">
        <x:v>1</x:v>
      </x:c>
      <x:c r="R49" s="2" t="n">
        <x:v>1</x:v>
      </x:c>
      <x:c r="S49" s="2" t="str">
        <x:v>09:36</x:v>
      </x:c>
      <x:c r="T49" s="12" t="n">
        <x:v>7.4</x:v>
      </x:c>
      <x:c r="U49" s="2" t="n">
        <x:v>1</x:v>
      </x:c>
      <x:c r="V49" s="2" t="n">
        <x:v>0</x:v>
      </x:c>
      <x:c r="W49" s="2" t="n">
        <x:v>0</x:v>
      </x:c>
      <x:c r="X49" s="2" t="n">
        <x:v>1</x:v>
      </x:c>
    </x:row>
    <x:row r="50">
      <x:c r="A50" s="6" t="d">
        <x:v>2025-05-28T00:00:00.000Z</x:v>
      </x:c>
      <x:c r="B50" s="6" t="d">
        <x:v>2025-05-29T00:00:00.000Z</x:v>
      </x:c>
      <x:c r="C50" s="7" t="str">
        <x:v>000903</x:v>
      </x:c>
      <x:c r="D50" s="2" t="n">
        <x:v>1</x:v>
      </x:c>
      <x:c r="E50" s="11" t="n">
        <x:v>0.8190983516597661</x:v>
      </x:c>
      <x:c r="F50" s="2" t="str">
        <x:v>全部保留</x:v>
      </x:c>
      <x:c r="G50" s="9" t="n">
        <x:v>0.100990099009901</x:v>
      </x:c>
      <x:c r="H50" s="9" t="n">
        <x:v>0.100990099009901</x:v>
      </x:c>
      <x:c r="I50" s="9" t="n">
        <x:v>0</x:v>
      </x:c>
      <x:c r="J50" s="9" t="n">
        <x:v>0</x:v>
      </x:c>
      <x:c r="K50" s="9" t="n">
        <x:v>0.5</x:v>
      </x:c>
      <x:c r="L50" s="2" t="str">
        <x:v>平走</x:v>
      </x:c>
      <x:c r="M50" s="2" t="n">
        <x:v>5</x:v>
      </x:c>
      <x:c r="N50" s="2" t="n">
        <x:v>0</x:v>
      </x:c>
      <x:c r="O50" s="2" t="n">
        <x:v>1</x:v>
      </x:c>
      <x:c r="P50" s="2" t="n">
        <x:v>1</x:v>
      </x:c>
      <x:c r="Q50" s="2" t="n">
        <x:v>1</x:v>
      </x:c>
      <x:c r="R50" s="2" t="n">
        <x:v>0</x:v>
      </x:c>
      <x:c r="S50" s="2"/>
      <x:c r="T50" s="12"/>
      <x:c r="U50" s="2" t="n">
        <x:v>1</x:v>
      </x:c>
      <x:c r="V50" s="2" t="n">
        <x:v>0</x:v>
      </x:c>
      <x:c r="W50" s="2" t="n">
        <x:v>0</x:v>
      </x:c>
      <x:c r="X50" s="2" t="n">
        <x:v>1</x:v>
      </x:c>
    </x:row>
    <x:row r="51">
      <x:c r="A51" s="6" t="d">
        <x:v>2025-05-28T00:00:00.000Z</x:v>
      </x:c>
      <x:c r="B51" s="6" t="d">
        <x:v>2025-05-29T00:00:00.000Z</x:v>
      </x:c>
      <x:c r="C51" s="7" t="str">
        <x:v>603390</x:v>
      </x:c>
      <x:c r="D51" s="2" t="n">
        <x:v>2</x:v>
      </x:c>
      <x:c r="E51" s="11" t="n">
        <x:v>0.8090578560225722</x:v>
      </x:c>
      <x:c r="F51" s="2" t="str">
        <x:v>全部保留</x:v>
      </x:c>
      <x:c r="G51" s="9" t="n">
        <x:v>0.100250626566416</x:v>
      </x:c>
      <x:c r="H51" s="9" t="n">
        <x:v>0.100250626566416</x:v>
      </x:c>
      <x:c r="I51" s="9" t="n">
        <x:v>0</x:v>
      </x:c>
      <x:c r="J51" s="9" t="n">
        <x:v>0</x:v>
      </x:c>
      <x:c r="K51" s="9" t="n">
        <x:v>0.5</x:v>
      </x:c>
      <x:c r="L51" s="2" t="str">
        <x:v>平走</x:v>
      </x:c>
      <x:c r="M51" s="2" t="n">
        <x:v>5</x:v>
      </x:c>
      <x:c r="N51" s="2" t="n">
        <x:v>0</x:v>
      </x:c>
      <x:c r="O51" s="2" t="n">
        <x:v>1</x:v>
      </x:c>
      <x:c r="P51" s="2" t="n">
        <x:v>1</x:v>
      </x:c>
      <x:c r="Q51" s="2" t="n">
        <x:v>1</x:v>
      </x:c>
      <x:c r="R51" s="2" t="n">
        <x:v>0</x:v>
      </x:c>
      <x:c r="S51" s="2"/>
      <x:c r="T51" s="12"/>
      <x:c r="U51" s="2" t="n">
        <x:v>1</x:v>
      </x:c>
      <x:c r="V51" s="2" t="n">
        <x:v>0</x:v>
      </x:c>
      <x:c r="W51" s="2" t="n">
        <x:v>0</x:v>
      </x:c>
      <x:c r="X51" s="2" t="n">
        <x:v>1</x:v>
      </x:c>
    </x:row>
    <x:row r="52">
      <x:c r="A52" s="6" t="d">
        <x:v>2025-05-28T00:00:00.000Z</x:v>
      </x:c>
      <x:c r="B52" s="6" t="d">
        <x:v>2025-05-29T00:00:00.000Z</x:v>
      </x:c>
      <x:c r="C52" s="7" t="str">
        <x:v>605388</x:v>
      </x:c>
      <x:c r="D52" s="2" t="n">
        <x:v>3</x:v>
      </x:c>
      <x:c r="E52" s="11" t="n">
        <x:v>0.7977496549907886</x:v>
      </x:c>
      <x:c r="F52" s="2" t="str">
        <x:v>全部保留</x:v>
      </x:c>
      <x:c r="G52" s="9" t="n">
        <x:v>0.100472813238771</x:v>
      </x:c>
      <x:c r="H52" s="9" t="n">
        <x:v>0.100472813238771</x:v>
      </x:c>
      <x:c r="I52" s="9" t="n">
        <x:v>0</x:v>
      </x:c>
      <x:c r="J52" s="9" t="n">
        <x:v>0</x:v>
      </x:c>
      <x:c r="K52" s="9" t="n">
        <x:v>0.5</x:v>
      </x:c>
      <x:c r="L52" s="2" t="str">
        <x:v>平走</x:v>
      </x:c>
      <x:c r="M52" s="2" t="n">
        <x:v>5</x:v>
      </x:c>
      <x:c r="N52" s="2" t="n">
        <x:v>0</x:v>
      </x:c>
      <x:c r="O52" s="2" t="n">
        <x:v>1</x:v>
      </x:c>
      <x:c r="P52" s="2" t="n">
        <x:v>1</x:v>
      </x:c>
      <x:c r="Q52" s="2" t="n">
        <x:v>1</x:v>
      </x:c>
      <x:c r="R52" s="2" t="n">
        <x:v>0</x:v>
      </x:c>
      <x:c r="S52" s="2"/>
      <x:c r="T52" s="12"/>
      <x:c r="U52" s="2" t="n">
        <x:v>1</x:v>
      </x:c>
      <x:c r="V52" s="2" t="n">
        <x:v>0</x:v>
      </x:c>
      <x:c r="W52" s="2" t="n">
        <x:v>0</x:v>
      </x:c>
      <x:c r="X52" s="2" t="n">
        <x:v>1</x:v>
      </x:c>
    </x:row>
    <x:row r="53">
      <x:c r="A53" s="6" t="d">
        <x:v>2025-05-29T00:00:00.000Z</x:v>
      </x:c>
      <x:c r="B53" s="6" t="d">
        <x:v>2025-05-30T00:00:00.000Z</x:v>
      </x:c>
      <x:c r="C53" s="7" t="str">
        <x:v>603390</x:v>
      </x:c>
      <x:c r="D53" s="2" t="n">
        <x:v>1</x:v>
      </x:c>
      <x:c r="E53" s="11" t="n">
        <x:v>0.7812409948089033</x:v>
      </x:c>
      <x:c r="F53" s="2" t="str">
        <x:v>全部保留</x:v>
      </x:c>
      <x:c r="G53" s="9" t="n">
        <x:v>0.100227790432802</x:v>
      </x:c>
      <x:c r="H53" s="9" t="n">
        <x:v>0.053530751708428</x:v>
      </x:c>
      <x:c r="I53" s="9" t="n">
        <x:v>0.005125284738041</x:v>
      </x:c>
      <x:c r="J53" s="9" t="n">
        <x:v>0.022872340425532</x:v>
      </x:c>
      <x:c r="K53" s="9" t="n">
        <x:v>0.890243902439025</x:v>
      </x:c>
      <x:c r="L53" s="2" t="str">
        <x:v>前强后弱</x:v>
      </x:c>
      <x:c r="M53" s="2" t="n">
        <x:v>4</x:v>
      </x:c>
      <x:c r="N53" s="2" t="n">
        <x:v>5</x:v>
      </x:c>
      <x:c r="O53" s="2" t="n">
        <x:v>1</x:v>
      </x:c>
      <x:c r="P53" s="2" t="n">
        <x:v>1</x:v>
      </x:c>
      <x:c r="Q53" s="2" t="n">
        <x:v>1</x:v>
      </x:c>
      <x:c r="R53" s="2" t="n">
        <x:v>1</x:v>
      </x:c>
      <x:c r="S53" s="2" t="str">
        <x:v>09:36</x:v>
      </x:c>
      <x:c r="T53" s="12" t="n">
        <x:v>19.23</x:v>
      </x:c>
      <x:c r="U53" s="2" t="n">
        <x:v>1</x:v>
      </x:c>
      <x:c r="V53" s="2" t="n">
        <x:v>1</x:v>
      </x:c>
      <x:c r="W53" s="2" t="n">
        <x:v>1</x:v>
      </x:c>
      <x:c r="X53" s="2" t="n">
        <x:v>0</x:v>
      </x:c>
    </x:row>
    <x:row r="54">
      <x:c r="A54" s="6" t="d">
        <x:v>2025-05-29T00:00:00.000Z</x:v>
      </x:c>
      <x:c r="B54" s="6" t="d">
        <x:v>2025-05-30T00:00:00.000Z</x:v>
      </x:c>
      <x:c r="C54" s="7" t="str">
        <x:v>000903</x:v>
      </x:c>
      <x:c r="D54" s="2" t="n">
        <x:v>2</x:v>
      </x:c>
      <x:c r="E54" s="11" t="n">
        <x:v>0.7744180328939569</x:v>
      </x:c>
      <x:c r="F54" s="2" t="str">
        <x:v>全部保留</x:v>
      </x:c>
      <x:c r="G54" s="9" t="n">
        <x:v>0.100719424460432</x:v>
      </x:c>
      <x:c r="H54" s="9" t="n">
        <x:v>0.100719424460432</x:v>
      </x:c>
      <x:c r="I54" s="9" t="n">
        <x:v>0</x:v>
      </x:c>
      <x:c r="J54" s="9" t="n">
        <x:v>0</x:v>
      </x:c>
      <x:c r="K54" s="9" t="n">
        <x:v>0.5</x:v>
      </x:c>
      <x:c r="L54" s="2" t="str">
        <x:v>平走</x:v>
      </x:c>
      <x:c r="M54" s="2" t="n">
        <x:v>5</x:v>
      </x:c>
      <x:c r="N54" s="2" t="n">
        <x:v>0</x:v>
      </x:c>
      <x:c r="O54" s="2" t="n">
        <x:v>1</x:v>
      </x:c>
      <x:c r="P54" s="2" t="n">
        <x:v>1</x:v>
      </x:c>
      <x:c r="Q54" s="2" t="n">
        <x:v>1</x:v>
      </x:c>
      <x:c r="R54" s="2" t="n">
        <x:v>1</x:v>
      </x:c>
      <x:c r="S54" s="2" t="str">
        <x:v>09:40</x:v>
      </x:c>
      <x:c r="T54" s="12" t="n">
        <x:v>5.99</x:v>
      </x:c>
      <x:c r="U54" s="2" t="n">
        <x:v>1</x:v>
      </x:c>
      <x:c r="V54" s="2" t="n">
        <x:v>0</x:v>
      </x:c>
      <x:c r="W54" s="2" t="n">
        <x:v>0</x:v>
      </x:c>
      <x:c r="X54" s="2" t="n">
        <x:v>0</x:v>
      </x:c>
    </x:row>
    <x:row r="55">
      <x:c r="A55" s="6" t="d">
        <x:v>2025-05-29T00:00:00.000Z</x:v>
      </x:c>
      <x:c r="B55" s="6" t="d">
        <x:v>2025-05-30T00:00:00.000Z</x:v>
      </x:c>
      <x:c r="C55" s="7" t="str">
        <x:v>605388</x:v>
      </x:c>
      <x:c r="D55" s="2" t="n">
        <x:v>3</x:v>
      </x:c>
      <x:c r="E55" s="11" t="n">
        <x:v>0.7543942343410556</x:v>
      </x:c>
      <x:c r="F55" s="2" t="str">
        <x:v>全部保留</x:v>
      </x:c>
      <x:c r="G55" s="9" t="n">
        <x:v>0.095596133190118</x:v>
      </x:c>
      <x:c r="H55" s="9" t="n">
        <x:v>0</x:v>
      </x:c>
      <x:c r="I55" s="9" t="n">
        <x:v>0</x:v>
      </x:c>
      <x:c r="J55" s="9" t="n">
        <x:v>0.095596133190118</x:v>
      </x:c>
      <x:c r="K55" s="9" t="n">
        <x:v>1</x:v>
      </x:c>
      <x:c r="L55" s="2" t="str">
        <x:v>两段走强</x:v>
      </x:c>
      <x:c r="M55" s="2" t="n">
        <x:v>0</x:v>
      </x:c>
      <x:c r="N55" s="2" t="n">
        <x:v>5</x:v>
      </x:c>
      <x:c r="O55" s="2" t="n">
        <x:v>1</x:v>
      </x:c>
      <x:c r="P55" s="2" t="n">
        <x:v>1</x:v>
      </x:c>
      <x:c r="Q55" s="2" t="n">
        <x:v>1</x:v>
      </x:c>
      <x:c r="R55" s="2" t="n">
        <x:v>1</x:v>
      </x:c>
      <x:c r="S55" s="2" t="str">
        <x:v>09:36</x:v>
      </x:c>
      <x:c r="T55" s="12" t="n">
        <x:v>10.2</x:v>
      </x:c>
      <x:c r="U55" s="2" t="n">
        <x:v>1</x:v>
      </x:c>
      <x:c r="V55" s="2" t="n">
        <x:v>0</x:v>
      </x:c>
      <x:c r="W55" s="2" t="n">
        <x:v>0</x:v>
      </x:c>
      <x:c r="X55" s="2" t="n">
        <x:v>1</x:v>
      </x:c>
    </x:row>
    <x:row r="56">
      <x:c r="A56" s="6" t="d">
        <x:v>2025-05-30T00:00:00.000Z</x:v>
      </x:c>
      <x:c r="B56" s="6" t="d">
        <x:v>2025-06-03T00:00:00.000Z</x:v>
      </x:c>
      <x:c r="C56" s="7" t="str">
        <x:v>603056</x:v>
      </x:c>
      <x:c r="D56" s="2" t="n">
        <x:v>1</x:v>
      </x:c>
      <x:c r="E56" s="11" t="n">
        <x:v>0.8319519698350063</x:v>
      </x:c>
      <x:c r="F56" s="2" t="str">
        <x:v>全部保留</x:v>
      </x:c>
      <x:c r="G56" s="9" t="n">
        <x:v>0.1</x:v>
      </x:c>
      <x:c r="H56" s="9" t="n">
        <x:v>0.1</x:v>
      </x:c>
      <x:c r="I56" s="9" t="n">
        <x:v>0</x:v>
      </x:c>
      <x:c r="J56" s="9" t="n">
        <x:v>0</x:v>
      </x:c>
      <x:c r="K56" s="9" t="n">
        <x:v>0.5</x:v>
      </x:c>
      <x:c r="L56" s="2" t="str">
        <x:v>平走</x:v>
      </x:c>
      <x:c r="M56" s="2" t="n">
        <x:v>5</x:v>
      </x:c>
      <x:c r="N56" s="2" t="n">
        <x:v>0</x:v>
      </x:c>
      <x:c r="O56" s="2" t="n">
        <x:v>1</x:v>
      </x:c>
      <x:c r="P56" s="2" t="n">
        <x:v>1</x:v>
      </x:c>
      <x:c r="Q56" s="2" t="n">
        <x:v>1</x:v>
      </x:c>
      <x:c r="R56" s="2" t="n">
        <x:v>0</x:v>
      </x:c>
      <x:c r="S56" s="2"/>
      <x:c r="T56" s="12"/>
      <x:c r="U56" s="2" t="n">
        <x:v>1</x:v>
      </x:c>
      <x:c r="V56" s="2" t="n">
        <x:v>0</x:v>
      </x:c>
      <x:c r="W56" s="2" t="n">
        <x:v>0</x:v>
      </x:c>
      <x:c r="X56" s="2" t="n">
        <x:v>1</x:v>
      </x:c>
    </x:row>
    <x:row r="57">
      <x:c r="A57" s="6" t="d">
        <x:v>2025-05-30T00:00:00.000Z</x:v>
      </x:c>
      <x:c r="B57" s="6" t="d">
        <x:v>2025-06-03T00:00:00.000Z</x:v>
      </x:c>
      <x:c r="C57" s="7" t="str">
        <x:v>002177</x:v>
      </x:c>
      <x:c r="D57" s="2" t="n">
        <x:v>2</x:v>
      </x:c>
      <x:c r="E57" s="11" t="n">
        <x:v>0.8042809363467256</x:v>
      </x:c>
      <x:c r="F57" s="2" t="str">
        <x:v>全部保留</x:v>
      </x:c>
      <x:c r="G57" s="9" t="n">
        <x:v>0.099369085173502</x:v>
      </x:c>
      <x:c r="H57" s="9" t="n">
        <x:v>0.099369085173502</x:v>
      </x:c>
      <x:c r="I57" s="9" t="n">
        <x:v>0</x:v>
      </x:c>
      <x:c r="J57" s="9" t="n">
        <x:v>0</x:v>
      </x:c>
      <x:c r="K57" s="9" t="n">
        <x:v>0.5</x:v>
      </x:c>
      <x:c r="L57" s="2" t="str">
        <x:v>平走</x:v>
      </x:c>
      <x:c r="M57" s="2" t="n">
        <x:v>5</x:v>
      </x:c>
      <x:c r="N57" s="2" t="n">
        <x:v>0</x:v>
      </x:c>
      <x:c r="O57" s="2" t="n">
        <x:v>1</x:v>
      </x:c>
      <x:c r="P57" s="2" t="n">
        <x:v>1</x:v>
      </x:c>
      <x:c r="Q57" s="2" t="n">
        <x:v>1</x:v>
      </x:c>
      <x:c r="R57" s="2" t="n">
        <x:v>0</x:v>
      </x:c>
      <x:c r="S57" s="2"/>
      <x:c r="T57" s="12"/>
      <x:c r="U57" s="2" t="n">
        <x:v>1</x:v>
      </x:c>
      <x:c r="V57" s="2" t="n">
        <x:v>0</x:v>
      </x:c>
      <x:c r="W57" s="2" t="n">
        <x:v>0</x:v>
      </x:c>
      <x:c r="X57" s="2" t="n">
        <x:v>1</x:v>
      </x:c>
    </x:row>
    <x:row r="58">
      <x:c r="A58" s="6" t="d">
        <x:v>2025-05-30T00:00:00.000Z</x:v>
      </x:c>
      <x:c r="B58" s="6" t="d">
        <x:v>2025-06-03T00:00:00.000Z</x:v>
      </x:c>
      <x:c r="C58" s="7" t="str">
        <x:v>002537</x:v>
      </x:c>
      <x:c r="D58" s="2" t="n">
        <x:v>3</x:v>
      </x:c>
      <x:c r="E58" s="11" t="n">
        <x:v>0.7909671563253974</x:v>
      </x:c>
      <x:c r="F58" s="2" t="str">
        <x:v>全部保留</x:v>
      </x:c>
      <x:c r="G58" s="9" t="n">
        <x:v>0.099639855942377</x:v>
      </x:c>
      <x:c r="H58" s="9" t="n">
        <x:v>0.050420168067227</x:v>
      </x:c>
      <x:c r="I58" s="9" t="n">
        <x:v>0.001200480192077</x:v>
      </x:c>
      <x:c r="J58" s="9" t="n">
        <x:v>0.030405405405405</x:v>
      </x:c>
      <x:c r="K58" s="9" t="n">
        <x:v>0.975609756097562</x:v>
      </x:c>
      <x:c r="L58" s="2" t="str">
        <x:v>两段走强</x:v>
      </x:c>
      <x:c r="M58" s="2" t="n">
        <x:v>2</x:v>
      </x:c>
      <x:c r="N58" s="2" t="n">
        <x:v>5</x:v>
      </x:c>
      <x:c r="O58" s="2" t="n">
        <x:v>1</x:v>
      </x:c>
      <x:c r="P58" s="2" t="n">
        <x:v>1</x:v>
      </x:c>
      <x:c r="Q58" s="2" t="n">
        <x:v>1</x:v>
      </x:c>
      <x:c r="R58" s="2" t="n">
        <x:v>1</x:v>
      </x:c>
      <x:c r="S58" s="2" t="str">
        <x:v>09:36</x:v>
      </x:c>
      <x:c r="T58" s="12" t="n">
        <x:v>9.15</x:v>
      </x:c>
      <x:c r="U58" s="2" t="n">
        <x:v>1</x:v>
      </x:c>
      <x:c r="V58" s="2" t="n">
        <x:v>1</x:v>
      </x:c>
      <x:c r="W58" s="2" t="n">
        <x:v>1</x:v>
      </x:c>
      <x:c r="X58" s="2" t="n">
        <x:v>1</x:v>
      </x:c>
    </x:row>
    <x:row r="59">
      <x:c r="A59" s="6" t="d">
        <x:v>2025-06-03T00:00:00.000Z</x:v>
      </x:c>
      <x:c r="B59" s="6" t="d">
        <x:v>2025-06-04T00:00:00.000Z</x:v>
      </x:c>
      <x:c r="C59" s="7" t="str">
        <x:v>603123</x:v>
      </x:c>
      <x:c r="D59" s="2" t="n">
        <x:v>1</x:v>
      </x:c>
      <x:c r="E59" s="11" t="n">
        <x:v>0.7824358829718444</x:v>
      </x:c>
      <x:c r="F59" s="2" t="str">
        <x:v>高点回落&lt;5%</x:v>
      </x:c>
      <x:c r="G59" s="9" t="n">
        <x:v>0.10016155088853</x:v>
      </x:c>
      <x:c r="H59" s="9" t="n">
        <x:v>-0.02907915993538</x:v>
      </x:c>
      <x:c r="I59" s="9" t="n">
        <x:v>0.018578352180937</x:v>
      </x:c>
      <x:c r="J59" s="9" t="n">
        <x:v>0.08421052631579</x:v>
      </x:c>
      <x:c r="K59" s="9" t="n">
        <x:v>0.856250000000001</x:v>
      </x:c>
      <x:c r="L59" s="2" t="str">
        <x:v>两段走强</x:v>
      </x:c>
      <x:c r="M59" s="2" t="n">
        <x:v>1</x:v>
      </x:c>
      <x:c r="N59" s="2" t="n">
        <x:v>5</x:v>
      </x:c>
      <x:c r="O59" s="2" t="n">
        <x:v>1</x:v>
      </x:c>
      <x:c r="P59" s="2" t="n">
        <x:v>1</x:v>
      </x:c>
      <x:c r="Q59" s="2" t="n">
        <x:v>1</x:v>
      </x:c>
      <x:c r="R59" s="2" t="n">
        <x:v>1</x:v>
      </x:c>
      <x:c r="S59" s="2" t="str">
        <x:v>09:36</x:v>
      </x:c>
      <x:c r="T59" s="12" t="n">
        <x:v>13.39</x:v>
      </x:c>
      <x:c r="U59" s="2" t="n">
        <x:v>1</x:v>
      </x:c>
      <x:c r="V59" s="2" t="n">
        <x:v>1</x:v>
      </x:c>
      <x:c r="W59" s="2" t="n">
        <x:v>1</x:v>
      </x:c>
      <x:c r="X59" s="2" t="n">
        <x:v>1</x:v>
      </x:c>
    </x:row>
    <x:row r="60">
      <x:c r="A60" s="6" t="d">
        <x:v>2025-06-03T00:00:00.000Z</x:v>
      </x:c>
      <x:c r="B60" s="6" t="d">
        <x:v>2025-06-04T00:00:00.000Z</x:v>
      </x:c>
      <x:c r="C60" s="7" t="str">
        <x:v>603056</x:v>
      </x:c>
      <x:c r="D60" s="2" t="n">
        <x:v>2</x:v>
      </x:c>
      <x:c r="E60" s="11" t="n">
        <x:v>0.7766955153892804</x:v>
      </x:c>
      <x:c r="F60" s="2" t="str">
        <x:v>高点回落&lt;5%</x:v>
      </x:c>
      <x:c r="G60" s="9" t="n">
        <x:v>0.009615384615385</x:v>
      </x:c>
      <x:c r="H60" s="9" t="n">
        <x:v>-0.064685314685315</x:v>
      </x:c>
      <x:c r="I60" s="9" t="n">
        <x:v>0.068618881118881</x:v>
      </x:c>
      <x:c r="J60" s="9" t="n">
        <x:v>-0.063913043478261</x:v>
      </x:c>
      <x:c r="K60" s="9" t="n">
        <x:v>0.076470588235296</x:v>
      </x:c>
      <x:c r="L60" s="2" t="str">
        <x:v>两段走弱</x:v>
      </x:c>
      <x:c r="M60" s="2" t="n">
        <x:v>0</x:v>
      </x:c>
      <x:c r="N60" s="2" t="n">
        <x:v>5</x:v>
      </x:c>
      <x:c r="O60" s="2" t="n">
        <x:v>1</x:v>
      </x:c>
      <x:c r="P60" s="2" t="n">
        <x:v>1</x:v>
      </x:c>
      <x:c r="Q60" s="2" t="n">
        <x:v>0</x:v>
      </x:c>
      <x:c r="R60" s="2" t="n">
        <x:v>1</x:v>
      </x:c>
      <x:c r="S60" s="2" t="str">
        <x:v>09:36</x:v>
      </x:c>
      <x:c r="T60" s="12" t="n">
        <x:v>21.5</x:v>
      </x:c>
      <x:c r="U60" s="2" t="n">
        <x:v>1</x:v>
      </x:c>
      <x:c r="V60" s="2" t="n">
        <x:v>0</x:v>
      </x:c>
      <x:c r="W60" s="2" t="n">
        <x:v>0</x:v>
      </x:c>
      <x:c r="X60" s="2" t="n">
        <x:v>0</x:v>
      </x:c>
    </x:row>
    <x:row r="61">
      <x:c r="A61" s="6" t="d">
        <x:v>2025-06-03T00:00:00.000Z</x:v>
      </x:c>
      <x:c r="B61" s="6" t="d">
        <x:v>2025-06-04T00:00:00.000Z</x:v>
      </x:c>
      <x:c r="C61" s="7" t="str">
        <x:v>002177</x:v>
      </x:c>
      <x:c r="D61" s="2" t="n">
        <x:v>3</x:v>
      </x:c>
      <x:c r="E61" s="11" t="n">
        <x:v>0.7695486797773877</x:v>
      </x:c>
      <x:c r="F61" s="2" t="str">
        <x:v>高点回落&lt;5%</x:v>
      </x:c>
      <x:c r="G61" s="9" t="n">
        <x:v>0.100430416068866</x:v>
      </x:c>
      <x:c r="H61" s="9" t="n">
        <x:v>0.037302725968436</x:v>
      </x:c>
      <x:c r="I61" s="9" t="n">
        <x:v>0</x:v>
      </x:c>
      <x:c r="J61" s="9" t="n">
        <x:v>0.047814207650273</x:v>
      </x:c>
      <x:c r="K61" s="9" t="n">
        <x:v>1</x:v>
      </x:c>
      <x:c r="L61" s="2" t="str">
        <x:v>两段走强</x:v>
      </x:c>
      <x:c r="M61" s="2" t="n">
        <x:v>5</x:v>
      </x:c>
      <x:c r="N61" s="2" t="n">
        <x:v>2</x:v>
      </x:c>
      <x:c r="O61" s="2" t="n">
        <x:v>1</x:v>
      </x:c>
      <x:c r="P61" s="2" t="n">
        <x:v>1</x:v>
      </x:c>
      <x:c r="Q61" s="2" t="n">
        <x:v>1</x:v>
      </x:c>
      <x:c r="R61" s="2" t="n">
        <x:v>0</x:v>
      </x:c>
      <x:c r="S61" s="2"/>
      <x:c r="T61" s="12"/>
      <x:c r="U61" s="2" t="n">
        <x:v>1</x:v>
      </x:c>
      <x:c r="V61" s="2" t="n">
        <x:v>0</x:v>
      </x:c>
      <x:c r="W61" s="2" t="n">
        <x:v>0</x:v>
      </x:c>
      <x:c r="X61" s="2" t="n">
        <x:v>1</x:v>
      </x:c>
    </x:row>
    <x:row r="62">
      <x:c r="A62" s="6" t="d">
        <x:v>2025-06-04T00:00:00.000Z</x:v>
      </x:c>
      <x:c r="B62" s="6" t="d">
        <x:v>2025-06-05T00:00:00.000Z</x:v>
      </x:c>
      <x:c r="C62" s="7" t="str">
        <x:v>002177</x:v>
      </x:c>
      <x:c r="D62" s="2" t="n">
        <x:v>1</x:v>
      </x:c>
      <x:c r="E62" s="11" t="n">
        <x:v>0.7455323686855856</x:v>
      </x:c>
      <x:c r="F62" s="2" t="str">
        <x:v>高点回落&lt;5%</x:v>
      </x:c>
      <x:c r="G62" s="9" t="n">
        <x:v>-0.010430247718383</x:v>
      </x:c>
      <x:c r="H62" s="9" t="n">
        <x:v>-0.061277705345502</x:v>
      </x:c>
      <x:c r="I62" s="9" t="n">
        <x:v>0.009126466753585</x:v>
      </x:c>
      <x:c r="J62" s="9" t="n">
        <x:v>0.021739130434782</x:v>
      </x:c>
      <x:c r="K62" s="9" t="n">
        <x:v>0.82051282051282</x:v>
      </x:c>
      <x:c r="L62" s="2" t="str">
        <x:v>前弱后强</x:v>
      </x:c>
      <x:c r="M62" s="2" t="n">
        <x:v>0</x:v>
      </x:c>
      <x:c r="N62" s="2" t="n">
        <x:v>5</x:v>
      </x:c>
      <x:c r="O62" s="2" t="n">
        <x:v>1</x:v>
      </x:c>
      <x:c r="P62" s="2" t="n">
        <x:v>1</x:v>
      </x:c>
      <x:c r="Q62" s="2" t="n">
        <x:v>1</x:v>
      </x:c>
      <x:c r="R62" s="2" t="n">
        <x:v>1</x:v>
      </x:c>
      <x:c r="S62" s="2" t="str">
        <x:v>09:36</x:v>
      </x:c>
      <x:c r="T62" s="12" t="n">
        <x:v>7.55</x:v>
      </x:c>
      <x:c r="U62" s="2" t="n">
        <x:v>1</x:v>
      </x:c>
      <x:c r="V62" s="2" t="n">
        <x:v>1</x:v>
      </x:c>
      <x:c r="W62" s="2" t="n">
        <x:v>1</x:v>
      </x:c>
      <x:c r="X62" s="2" t="n">
        <x:v>0</x:v>
      </x:c>
    </x:row>
    <x:row r="63">
      <x:c r="A63" s="6" t="d">
        <x:v>2025-06-04T00:00:00.000Z</x:v>
      </x:c>
      <x:c r="B63" s="6" t="d">
        <x:v>2025-06-05T00:00:00.000Z</x:v>
      </x:c>
      <x:c r="C63" s="7" t="str">
        <x:v>605005</x:v>
      </x:c>
      <x:c r="D63" s="2" t="n">
        <x:v>2</x:v>
      </x:c>
      <x:c r="E63" s="11" t="n">
        <x:v>0.7436587628695596</x:v>
      </x:c>
      <x:c r="F63" s="2" t="str">
        <x:v>高点回落&lt;5%</x:v>
      </x:c>
      <x:c r="G63" s="9" t="n">
        <x:v>0.100041339396445</x:v>
      </x:c>
      <x:c r="H63" s="9" t="n">
        <x:v>-0.089293096320794</x:v>
      </x:c>
      <x:c r="I63" s="9" t="n">
        <x:v>0.159570070276974</x:v>
      </x:c>
      <x:c r="J63" s="9" t="n">
        <x:v>-0.145058248778655</x:v>
      </x:c>
      <x:c r="K63" s="9" t="n">
        <x:v>0.157205240174672</x:v>
      </x:c>
      <x:c r="L63" s="2" t="str">
        <x:v>两段走弱</x:v>
      </x:c>
      <x:c r="M63" s="2" t="n">
        <x:v>1</x:v>
      </x:c>
      <x:c r="N63" s="2" t="n">
        <x:v>5</x:v>
      </x:c>
      <x:c r="O63" s="2" t="n">
        <x:v>1</x:v>
      </x:c>
      <x:c r="P63" s="2" t="n">
        <x:v>1</x:v>
      </x:c>
      <x:c r="Q63" s="2" t="n">
        <x:v>0</x:v>
      </x:c>
      <x:c r="R63" s="2" t="n">
        <x:v>1</x:v>
      </x:c>
      <x:c r="S63" s="2" t="str">
        <x:v>09:36</x:v>
      </x:c>
      <x:c r="T63" s="12" t="n">
        <x:v>22.6</x:v>
      </x:c>
      <x:c r="U63" s="2" t="n">
        <x:v>0</x:v>
      </x:c>
      <x:c r="V63" s="2" t="n">
        <x:v>0</x:v>
      </x:c>
      <x:c r="W63" s="2" t="n">
        <x:v>0</x:v>
      </x:c>
      <x:c r="X63" s="2" t="n">
        <x:v>0</x:v>
      </x:c>
    </x:row>
    <x:row r="64">
      <x:c r="A64" s="6" t="d">
        <x:v>2025-06-04T00:00:00.000Z</x:v>
      </x:c>
      <x:c r="B64" s="6" t="d">
        <x:v>2025-06-05T00:00:00.000Z</x:v>
      </x:c>
      <x:c r="C64" s="7" t="str">
        <x:v>002082</x:v>
      </x:c>
      <x:c r="D64" s="2" t="n">
        <x:v>3</x:v>
      </x:c>
      <x:c r="E64" s="11" t="n">
        <x:v>0.7262658906966082</x:v>
      </x:c>
      <x:c r="F64" s="2" t="str">
        <x:v>高点回落&lt;5%</x:v>
      </x:c>
      <x:c r="G64" s="9" t="n">
        <x:v>0.04221635883905</x:v>
      </x:c>
      <x:c r="H64" s="9" t="n">
        <x:v>-0.04221635883905</x:v>
      </x:c>
      <x:c r="I64" s="9" t="n">
        <x:v>0.079155672823219</x:v>
      </x:c>
      <x:c r="J64" s="9" t="n">
        <x:v>-0.036939313984169</x:v>
      </x:c>
      <x:c r="K64" s="9" t="n">
        <x:v>0.0625</x:v>
      </x:c>
      <x:c r="L64" s="2" t="str">
        <x:v>两段走弱</x:v>
      </x:c>
      <x:c r="M64" s="2" t="n">
        <x:v>0</x:v>
      </x:c>
      <x:c r="N64" s="2" t="n">
        <x:v>5</x:v>
      </x:c>
      <x:c r="O64" s="2" t="n">
        <x:v>1</x:v>
      </x:c>
      <x:c r="P64" s="2" t="n">
        <x:v>1</x:v>
      </x:c>
      <x:c r="Q64" s="2" t="n">
        <x:v>0</x:v>
      </x:c>
      <x:c r="R64" s="2" t="n">
        <x:v>1</x:v>
      </x:c>
      <x:c r="S64" s="2" t="str">
        <x:v>09:36</x:v>
      </x:c>
      <x:c r="T64" s="12" t="n">
        <x:v>7.28</x:v>
      </x:c>
      <x:c r="U64" s="2" t="n">
        <x:v>1</x:v>
      </x:c>
      <x:c r="V64" s="2" t="n">
        <x:v>0</x:v>
      </x:c>
      <x:c r="W64" s="2" t="n">
        <x:v>0</x:v>
      </x:c>
      <x:c r="X64" s="2" t="n">
        <x:v>0</x:v>
      </x:c>
    </x:row>
    <x:row r="65">
      <x:c r="A65" s="6" t="d">
        <x:v>2025-06-05T00:00:00.000Z</x:v>
      </x:c>
      <x:c r="B65" s="6" t="d">
        <x:v>2025-06-06T00:00:00.000Z</x:v>
      </x:c>
      <x:c r="C65" s="7" t="str">
        <x:v>603093</x:v>
      </x:c>
      <x:c r="D65" s="2" t="n">
        <x:v>1</x:v>
      </x:c>
      <x:c r="E65" s="11" t="n">
        <x:v>0.7303612416528862</x:v>
      </x:c>
      <x:c r="F65" s="2" t="str">
        <x:v>高点回落&lt;5%</x:v>
      </x:c>
      <x:c r="G65" s="9" t="n">
        <x:v>0.099942229924899</x:v>
      </x:c>
      <x:c r="H65" s="9" t="n">
        <x:v>0.032928942807626</x:v>
      </x:c>
      <x:c r="I65" s="9" t="n">
        <x:v>0</x:v>
      </x:c>
      <x:c r="J65" s="9" t="n">
        <x:v>0.063687150837989</x:v>
      </x:c>
      <x:c r="K65" s="9" t="n">
        <x:v>1</x:v>
      </x:c>
      <x:c r="L65" s="2" t="str">
        <x:v>两段走强</x:v>
      </x:c>
      <x:c r="M65" s="2" t="n">
        <x:v>4</x:v>
      </x:c>
      <x:c r="N65" s="2" t="n">
        <x:v>2</x:v>
      </x:c>
      <x:c r="O65" s="2" t="n">
        <x:v>1</x:v>
      </x:c>
      <x:c r="P65" s="2" t="n">
        <x:v>1</x:v>
      </x:c>
      <x:c r="Q65" s="2" t="n">
        <x:v>1</x:v>
      </x:c>
      <x:c r="R65" s="2" t="n">
        <x:v>1</x:v>
      </x:c>
      <x:c r="S65" s="2" t="str">
        <x:v>09:39</x:v>
      </x:c>
      <x:c r="T65" s="12" t="n">
        <x:v>18.52</x:v>
      </x:c>
      <x:c r="U65" s="2" t="n">
        <x:v>1</x:v>
      </x:c>
      <x:c r="V65" s="2" t="n">
        <x:v>1</x:v>
      </x:c>
      <x:c r="W65" s="2" t="n">
        <x:v>1</x:v>
      </x:c>
      <x:c r="X65" s="2" t="n">
        <x:v>1</x:v>
      </x:c>
    </x:row>
    <x:row r="66">
      <x:c r="A66" s="6" t="d">
        <x:v>2025-06-05T00:00:00.000Z</x:v>
      </x:c>
      <x:c r="B66" s="6" t="d">
        <x:v>2025-06-06T00:00:00.000Z</x:v>
      </x:c>
      <x:c r="C66" s="7" t="str">
        <x:v>002298</x:v>
      </x:c>
      <x:c r="D66" s="2" t="n">
        <x:v>2</x:v>
      </x:c>
      <x:c r="E66" s="11" t="n">
        <x:v>0.7189493304009488</x:v>
      </x:c>
      <x:c r="F66" s="2" t="str">
        <x:v>高点回落&lt;5%</x:v>
      </x:c>
      <x:c r="G66" s="9" t="n">
        <x:v>0.099585062240664</x:v>
      </x:c>
      <x:c r="H66" s="9" t="n">
        <x:v>0.053941908713693</x:v>
      </x:c>
      <x:c r="I66" s="9" t="n">
        <x:v>0</x:v>
      </x:c>
      <x:c r="J66" s="9" t="n">
        <x:v>0</x:v>
      </x:c>
      <x:c r="K66" s="9" t="n">
        <x:v>1</x:v>
      </x:c>
      <x:c r="L66" s="2" t="str">
        <x:v>平走</x:v>
      </x:c>
      <x:c r="M66" s="2" t="n">
        <x:v>5</x:v>
      </x:c>
      <x:c r="N66" s="2" t="n">
        <x:v>1</x:v>
      </x:c>
      <x:c r="O66" s="2" t="n">
        <x:v>1</x:v>
      </x:c>
      <x:c r="P66" s="2" t="n">
        <x:v>1</x:v>
      </x:c>
      <x:c r="Q66" s="2" t="n">
        <x:v>1</x:v>
      </x:c>
      <x:c r="R66" s="2" t="n">
        <x:v>0</x:v>
      </x:c>
      <x:c r="S66" s="2"/>
      <x:c r="T66" s="12"/>
      <x:c r="U66" s="2" t="n">
        <x:v>1</x:v>
      </x:c>
      <x:c r="V66" s="2" t="n">
        <x:v>0</x:v>
      </x:c>
      <x:c r="W66" s="2" t="n">
        <x:v>0</x:v>
      </x:c>
      <x:c r="X66" s="2" t="n">
        <x:v>1</x:v>
      </x:c>
    </x:row>
    <x:row r="67">
      <x:c r="A67" s="6" t="d">
        <x:v>2025-06-05T00:00:00.000Z</x:v>
      </x:c>
      <x:c r="B67" s="6" t="d">
        <x:v>2025-06-06T00:00:00.000Z</x:v>
      </x:c>
      <x:c r="C67" s="7" t="str">
        <x:v>000889</x:v>
      </x:c>
      <x:c r="D67" s="2" t="n">
        <x:v>3</x:v>
      </x:c>
      <x:c r="E67" s="11" t="n">
        <x:v>0.7183078118832618</x:v>
      </x:c>
      <x:c r="F67" s="2" t="str">
        <x:v>高点回落&lt;5%</x:v>
      </x:c>
      <x:c r="G67" s="9" t="n">
        <x:v>0.100917431192661</x:v>
      </x:c>
      <x:c r="H67" s="9" t="n">
        <x:v>0.100917431192661</x:v>
      </x:c>
      <x:c r="I67" s="9" t="n">
        <x:v>0</x:v>
      </x:c>
      <x:c r="J67" s="9" t="n">
        <x:v>0</x:v>
      </x:c>
      <x:c r="K67" s="9" t="n">
        <x:v>0.5</x:v>
      </x:c>
      <x:c r="L67" s="2" t="str">
        <x:v>平走</x:v>
      </x:c>
      <x:c r="M67" s="2" t="n">
        <x:v>5</x:v>
      </x:c>
      <x:c r="N67" s="2" t="n">
        <x:v>0</x:v>
      </x:c>
      <x:c r="O67" s="2" t="n">
        <x:v>1</x:v>
      </x:c>
      <x:c r="P67" s="2" t="n">
        <x:v>1</x:v>
      </x:c>
      <x:c r="Q67" s="2" t="n">
        <x:v>1</x:v>
      </x:c>
      <x:c r="R67" s="2" t="n">
        <x:v>0</x:v>
      </x:c>
      <x:c r="S67" s="2"/>
      <x:c r="T67" s="12"/>
      <x:c r="U67" s="2" t="n">
        <x:v>1</x:v>
      </x:c>
      <x:c r="V67" s="2" t="n">
        <x:v>0</x:v>
      </x:c>
      <x:c r="W67" s="2" t="n">
        <x:v>0</x:v>
      </x:c>
      <x:c r="X67" s="2" t="n">
        <x:v>1</x:v>
      </x:c>
    </x:row>
    <x:row r="68">
      <x:c r="A68" s="6" t="d">
        <x:v>2025-06-06T00:00:00.000Z</x:v>
      </x:c>
      <x:c r="B68" s="6" t="d">
        <x:v>2025-06-09T00:00:00.000Z</x:v>
      </x:c>
      <x:c r="C68" s="7" t="str">
        <x:v>002951</x:v>
      </x:c>
      <x:c r="D68" s="2" t="n">
        <x:v>1</x:v>
      </x:c>
      <x:c r="E68" s="11" t="n">
        <x:v>0.7387365320298623</x:v>
      </x:c>
      <x:c r="F68" s="2" t="str">
        <x:v>高点回落&lt;5%</x:v>
      </x:c>
      <x:c r="G68" s="9" t="n">
        <x:v>0.09967585089141</x:v>
      </x:c>
      <x:c r="H68" s="9" t="n">
        <x:v>0.06482982171799</x:v>
      </x:c>
      <x:c r="I68" s="9" t="n">
        <x:v>0</x:v>
      </x:c>
      <x:c r="J68" s="9" t="n">
        <x:v>0.009672619047619</x:v>
      </x:c>
      <x:c r="K68" s="9" t="n">
        <x:v>1</x:v>
      </x:c>
      <x:c r="L68" s="2" t="str">
        <x:v>两段走强</x:v>
      </x:c>
      <x:c r="M68" s="2" t="n">
        <x:v>5</x:v>
      </x:c>
      <x:c r="N68" s="2" t="n">
        <x:v>1</x:v>
      </x:c>
      <x:c r="O68" s="2" t="n">
        <x:v>1</x:v>
      </x:c>
      <x:c r="P68" s="2" t="n">
        <x:v>1</x:v>
      </x:c>
      <x:c r="Q68" s="2" t="n">
        <x:v>1</x:v>
      </x:c>
      <x:c r="R68" s="2" t="n">
        <x:v>0</x:v>
      </x:c>
      <x:c r="S68" s="2"/>
      <x:c r="T68" s="12"/>
      <x:c r="U68" s="2" t="n">
        <x:v>1</x:v>
      </x:c>
      <x:c r="V68" s="2" t="n">
        <x:v>0</x:v>
      </x:c>
      <x:c r="W68" s="2" t="n">
        <x:v>0</x:v>
      </x:c>
      <x:c r="X68" s="2" t="n">
        <x:v>1</x:v>
      </x:c>
    </x:row>
    <x:row r="69">
      <x:c r="A69" s="6" t="d">
        <x:v>2025-06-06T00:00:00.000Z</x:v>
      </x:c>
      <x:c r="B69" s="6" t="d">
        <x:v>2025-06-09T00:00:00.000Z</x:v>
      </x:c>
      <x:c r="C69" s="7" t="str">
        <x:v>002298</x:v>
      </x:c>
      <x:c r="D69" s="2" t="n">
        <x:v>2</x:v>
      </x:c>
      <x:c r="E69" s="11" t="n">
        <x:v>0.7330994298673611</x:v>
      </x:c>
      <x:c r="F69" s="2" t="str">
        <x:v>高点回落&lt;5%</x:v>
      </x:c>
      <x:c r="G69" s="9" t="n">
        <x:v>-0.012578616352201</x:v>
      </x:c>
      <x:c r="H69" s="9" t="n">
        <x:v>-0.045283018867925</x:v>
      </x:c>
      <x:c r="I69" s="9" t="n">
        <x:v>0.00125786163522</x:v>
      </x:c>
      <x:c r="J69" s="9" t="n">
        <x:v>-0.001273885350318</x:v>
      </x:c>
      <x:c r="K69" s="9" t="n">
        <x:v>0.961538461538462</x:v>
      </x:c>
      <x:c r="L69" s="2" t="str">
        <x:v>前弱后强</x:v>
      </x:c>
      <x:c r="M69" s="2" t="n">
        <x:v>0</x:v>
      </x:c>
      <x:c r="N69" s="2" t="n">
        <x:v>5</x:v>
      </x:c>
      <x:c r="O69" s="2" t="n">
        <x:v>1</x:v>
      </x:c>
      <x:c r="P69" s="2" t="n">
        <x:v>1</x:v>
      </x:c>
      <x:c r="Q69" s="2" t="n">
        <x:v>1</x:v>
      </x:c>
      <x:c r="R69" s="2" t="n">
        <x:v>1</x:v>
      </x:c>
      <x:c r="S69" s="2" t="str">
        <x:v>09:36</x:v>
      </x:c>
      <x:c r="T69" s="12" t="n">
        <x:v>7.83</x:v>
      </x:c>
      <x:c r="U69" s="2" t="n">
        <x:v>1</x:v>
      </x:c>
      <x:c r="V69" s="2" t="n">
        <x:v>1</x:v>
      </x:c>
      <x:c r="W69" s="2" t="n">
        <x:v>1</x:v>
      </x:c>
      <x:c r="X69" s="2" t="n">
        <x:v>1</x:v>
      </x:c>
    </x:row>
    <x:row r="70">
      <x:c r="A70" s="6" t="d">
        <x:v>2025-06-06T00:00:00.000Z</x:v>
      </x:c>
      <x:c r="B70" s="6" t="d">
        <x:v>2025-06-09T00:00:00.000Z</x:v>
      </x:c>
      <x:c r="C70" s="7" t="str">
        <x:v>000701</x:v>
      </x:c>
      <x:c r="D70" s="2" t="n">
        <x:v>3</x:v>
      </x:c>
      <x:c r="E70" s="11" t="n">
        <x:v>0.7325569235725384</x:v>
      </x:c>
      <x:c r="F70" s="2" t="str">
        <x:v>高点回落&lt;5%</x:v>
      </x:c>
      <x:c r="G70" s="9" t="n">
        <x:v>0</x:v>
      </x:c>
      <x:c r="H70" s="9" t="n">
        <x:v>-0.039039039039039</x:v>
      </x:c>
      <x:c r="I70" s="9" t="n">
        <x:v>0.036036036036036</x:v>
      </x:c>
      <x:c r="J70" s="9" t="n">
        <x:v>-0.004651162790698</x:v>
      </x:c>
      <x:c r="K70" s="9" t="n">
        <x:v>0.076923076923075</x:v>
      </x:c>
      <x:c r="L70" s="2" t="str">
        <x:v>前强后弱</x:v>
      </x:c>
      <x:c r="M70" s="2" t="n">
        <x:v>0</x:v>
      </x:c>
      <x:c r="N70" s="2" t="n">
        <x:v>5</x:v>
      </x:c>
      <x:c r="O70" s="2" t="n">
        <x:v>1</x:v>
      </x:c>
      <x:c r="P70" s="2" t="n">
        <x:v>1</x:v>
      </x:c>
      <x:c r="Q70" s="2" t="n">
        <x:v>1</x:v>
      </x:c>
      <x:c r="R70" s="2" t="n">
        <x:v>1</x:v>
      </x:c>
      <x:c r="S70" s="2" t="str">
        <x:v>09:36</x:v>
      </x:c>
      <x:c r="T70" s="12" t="n">
        <x:v>6.42</x:v>
      </x:c>
      <x:c r="U70" s="2" t="n">
        <x:v>1</x:v>
      </x:c>
      <x:c r="V70" s="2" t="n">
        <x:v>0</x:v>
      </x:c>
      <x:c r="W70" s="2" t="n">
        <x:v>0</x:v>
      </x:c>
      <x:c r="X70" s="2" t="n">
        <x:v>0</x:v>
      </x:c>
    </x:row>
    <x:row r="71">
      <x:c r="A71" s="6" t="d">
        <x:v>2025-06-09T00:00:00.000Z</x:v>
      </x:c>
      <x:c r="B71" s="6" t="d">
        <x:v>2025-06-10T00:00:00.000Z</x:v>
      </x:c>
      <x:c r="C71" s="7" t="str">
        <x:v>003040</x:v>
      </x:c>
      <x:c r="D71" s="2" t="n">
        <x:v>1</x:v>
      </x:c>
      <x:c r="E71" s="11" t="n">
        <x:v>0.7510955603233002</x:v>
      </x:c>
      <x:c r="F71" s="2" t="str">
        <x:v>高点回落&lt;5%</x:v>
      </x:c>
      <x:c r="G71" s="9" t="n">
        <x:v>0.046674445740957</x:v>
      </x:c>
      <x:c r="H71" s="9" t="n">
        <x:v>0.013418903150525</x:v>
      </x:c>
      <x:c r="I71" s="9" t="n">
        <x:v>0.025087514585764</x:v>
      </x:c>
      <x:c r="J71" s="9" t="n">
        <x:v>-0.02396878483835</x:v>
      </x:c>
      <x:c r="K71" s="9" t="n">
        <x:v>0.24561403508772</x:v>
      </x:c>
      <x:c r="L71" s="2" t="str">
        <x:v>两段走弱</x:v>
      </x:c>
      <x:c r="M71" s="2" t="n">
        <x:v>0</x:v>
      </x:c>
      <x:c r="N71" s="2" t="n">
        <x:v>5</x:v>
      </x:c>
      <x:c r="O71" s="2" t="n">
        <x:v>1</x:v>
      </x:c>
      <x:c r="P71" s="2" t="n">
        <x:v>1</x:v>
      </x:c>
      <x:c r="Q71" s="2" t="n">
        <x:v>1</x:v>
      </x:c>
      <x:c r="R71" s="2" t="n">
        <x:v>1</x:v>
      </x:c>
      <x:c r="S71" s="2" t="str">
        <x:v>09:36</x:v>
      </x:c>
      <x:c r="T71" s="12" t="n">
        <x:v>17.5</x:v>
      </x:c>
      <x:c r="U71" s="2" t="n">
        <x:v>1</x:v>
      </x:c>
      <x:c r="V71" s="2" t="n">
        <x:v>1</x:v>
      </x:c>
      <x:c r="W71" s="2" t="n">
        <x:v>1</x:v>
      </x:c>
      <x:c r="X71" s="2" t="n">
        <x:v>1</x:v>
      </x:c>
    </x:row>
    <x:row r="72">
      <x:c r="A72" s="6" t="d">
        <x:v>2025-06-09T00:00:00.000Z</x:v>
      </x:c>
      <x:c r="B72" s="6" t="d">
        <x:v>2025-06-10T00:00:00.000Z</x:v>
      </x:c>
      <x:c r="C72" s="7" t="str">
        <x:v>603226</x:v>
      </x:c>
      <x:c r="D72" s="2" t="n">
        <x:v>2</x:v>
      </x:c>
      <x:c r="E72" s="11" t="n">
        <x:v>0.7328630094112145</x:v>
      </x:c>
      <x:c r="F72" s="2" t="str">
        <x:v>高点回落&lt;5%</x:v>
      </x:c>
      <x:c r="G72" s="9"/>
      <x:c r="H72" s="9"/>
      <x:c r="I72" s="9"/>
      <x:c r="J72" s="9"/>
      <x:c r="K72" s="9"/>
      <x:c r="L72" s="2"/>
      <x:c r="M72" s="2"/>
      <x:c r="N72" s="2"/>
      <x:c r="O72" s="2" t="n">
        <x:v>0</x:v>
      </x:c>
      <x:c r="P72" s="2" t="n">
        <x:v>0</x:v>
      </x:c>
      <x:c r="Q72" s="2" t="n">
        <x:v>0</x:v>
      </x:c>
      <x:c r="R72" s="2" t="n">
        <x:v>0</x:v>
      </x:c>
      <x:c r="S72" s="2"/>
      <x:c r="T72" s="12"/>
      <x:c r="U72" s="2" t="n">
        <x:v>0</x:v>
      </x:c>
      <x:c r="V72" s="2" t="n">
        <x:v>0</x:v>
      </x:c>
      <x:c r="W72" s="2" t="n">
        <x:v>0</x:v>
      </x:c>
      <x:c r="X72" s="2" t="n">
        <x:v>0</x:v>
      </x:c>
    </x:row>
    <x:row r="73">
      <x:c r="A73" s="6" t="d">
        <x:v>2025-06-09T00:00:00.000Z</x:v>
      </x:c>
      <x:c r="B73" s="6" t="d">
        <x:v>2025-06-10T00:00:00.000Z</x:v>
      </x:c>
      <x:c r="C73" s="7" t="str">
        <x:v>600232</x:v>
      </x:c>
      <x:c r="D73" s="2" t="n">
        <x:v>3</x:v>
      </x:c>
      <x:c r="E73" s="11" t="n">
        <x:v>0.7307006740768506</x:v>
      </x:c>
      <x:c r="F73" s="2" t="str">
        <x:v>高点回落&lt;5%</x:v>
      </x:c>
      <x:c r="G73" s="9" t="n">
        <x:v>0.1</x:v>
      </x:c>
      <x:c r="H73" s="9" t="n">
        <x:v>0.1</x:v>
      </x:c>
      <x:c r="I73" s="9" t="n">
        <x:v>0</x:v>
      </x:c>
      <x:c r="J73" s="9" t="n">
        <x:v>0</x:v>
      </x:c>
      <x:c r="K73" s="9" t="n">
        <x:v>0.5</x:v>
      </x:c>
      <x:c r="L73" s="2" t="str">
        <x:v>平走</x:v>
      </x:c>
      <x:c r="M73" s="2" t="n">
        <x:v>5</x:v>
      </x:c>
      <x:c r="N73" s="2" t="n">
        <x:v>0</x:v>
      </x:c>
      <x:c r="O73" s="2" t="n">
        <x:v>1</x:v>
      </x:c>
      <x:c r="P73" s="2" t="n">
        <x:v>1</x:v>
      </x:c>
      <x:c r="Q73" s="2" t="n">
        <x:v>1</x:v>
      </x:c>
      <x:c r="R73" s="2" t="n">
        <x:v>0</x:v>
      </x:c>
      <x:c r="S73" s="2"/>
      <x:c r="T73" s="12"/>
      <x:c r="U73" s="2" t="n">
        <x:v>1</x:v>
      </x:c>
      <x:c r="V73" s="2" t="n">
        <x:v>0</x:v>
      </x:c>
      <x:c r="W73" s="2" t="n">
        <x:v>0</x:v>
      </x:c>
      <x:c r="X73" s="2" t="n">
        <x:v>1</x:v>
      </x:c>
    </x:row>
    <x:row r="74">
      <x:c r="A74" s="6" t="d">
        <x:v>2025-06-10T00:00:00.000Z</x:v>
      </x:c>
      <x:c r="B74" s="6" t="d">
        <x:v>2025-06-11T00:00:00.000Z</x:v>
      </x:c>
      <x:c r="C74" s="7" t="str">
        <x:v>002940</x:v>
      </x:c>
      <x:c r="D74" s="2" t="n">
        <x:v>1</x:v>
      </x:c>
      <x:c r="E74" s="11" t="n">
        <x:v>0.8060181944708943</x:v>
      </x:c>
      <x:c r="F74" s="2" t="str">
        <x:v>高点回落&lt;5%</x:v>
      </x:c>
      <x:c r="G74" s="9" t="n">
        <x:v>0.09983150800337</x:v>
      </x:c>
      <x:c r="H74" s="9" t="n">
        <x:v>0.03117101937658</x:v>
      </x:c>
      <x:c r="I74" s="9" t="n">
        <x:v>0.036225779275484</x:v>
      </x:c>
      <x:c r="J74" s="9" t="n">
        <x:v>-0.02055857253685</x:v>
      </x:c>
      <x:c r="K74" s="9" t="n">
        <x:v>0.47239263803681</x:v>
      </x:c>
      <x:c r="L74" s="2" t="str">
        <x:v>前强后弱</x:v>
      </x:c>
      <x:c r="M74" s="2" t="n">
        <x:v>3</x:v>
      </x:c>
      <x:c r="N74" s="2" t="n">
        <x:v>5</x:v>
      </x:c>
      <x:c r="O74" s="2" t="n">
        <x:v>1</x:v>
      </x:c>
      <x:c r="P74" s="2" t="n">
        <x:v>1</x:v>
      </x:c>
      <x:c r="Q74" s="2" t="n">
        <x:v>1</x:v>
      </x:c>
      <x:c r="R74" s="2" t="n">
        <x:v>1</x:v>
      </x:c>
      <x:c r="S74" s="2" t="str">
        <x:v>09:36</x:v>
      </x:c>
      <x:c r="T74" s="12" t="n">
        <x:v>25.15</x:v>
      </x:c>
      <x:c r="U74" s="2" t="n">
        <x:v>1</x:v>
      </x:c>
      <x:c r="V74" s="2" t="n">
        <x:v>1</x:v>
      </x:c>
      <x:c r="W74" s="2" t="n">
        <x:v>1</x:v>
      </x:c>
      <x:c r="X74" s="2" t="n">
        <x:v>1</x:v>
      </x:c>
    </x:row>
    <x:row r="75">
      <x:c r="A75" s="6" t="d">
        <x:v>2025-06-10T00:00:00.000Z</x:v>
      </x:c>
      <x:c r="B75" s="6" t="d">
        <x:v>2025-06-11T00:00:00.000Z</x:v>
      </x:c>
      <x:c r="C75" s="7" t="str">
        <x:v>600232</x:v>
      </x:c>
      <x:c r="D75" s="2" t="n">
        <x:v>2</x:v>
      </x:c>
      <x:c r="E75" s="11" t="n">
        <x:v>0.7654852857366503</x:v>
      </x:c>
      <x:c r="F75" s="2" t="str">
        <x:v>高点回落&lt;5%</x:v>
      </x:c>
      <x:c r="G75" s="9" t="n">
        <x:v>-0.036363636363636</x:v>
      </x:c>
      <x:c r="H75" s="9" t="n">
        <x:v>-0.07012987012987</x:v>
      </x:c>
      <x:c r="I75" s="9" t="n">
        <x:v>0.012987012987013</x:v>
      </x:c>
      <x:c r="J75" s="9" t="n">
        <x:v>-0.013477088948787</x:v>
      </x:c>
      <x:c r="K75" s="9" t="n">
        <x:v>0.615384615384616</x:v>
      </x:c>
      <x:c r="L75" s="2" t="str">
        <x:v>前弱后强</x:v>
      </x:c>
      <x:c r="M75" s="2" t="n">
        <x:v>0</x:v>
      </x:c>
      <x:c r="N75" s="2" t="n">
        <x:v>5</x:v>
      </x:c>
      <x:c r="O75" s="2" t="n">
        <x:v>1</x:v>
      </x:c>
      <x:c r="P75" s="2" t="n">
        <x:v>1</x:v>
      </x:c>
      <x:c r="Q75" s="2" t="n">
        <x:v>1</x:v>
      </x:c>
      <x:c r="R75" s="2" t="n">
        <x:v>1</x:v>
      </x:c>
      <x:c r="S75" s="2" t="str">
        <x:v>09:36</x:v>
      </x:c>
      <x:c r="T75" s="12" t="n">
        <x:v>7.32</x:v>
      </x:c>
      <x:c r="U75" s="2" t="n">
        <x:v>1</x:v>
      </x:c>
      <x:c r="V75" s="2" t="n">
        <x:v>0</x:v>
      </x:c>
      <x:c r="W75" s="2" t="n">
        <x:v>0</x:v>
      </x:c>
      <x:c r="X75" s="2" t="n">
        <x:v>1</x:v>
      </x:c>
    </x:row>
    <x:row r="76">
      <x:c r="A76" s="6" t="d">
        <x:v>2025-06-10T00:00:00.000Z</x:v>
      </x:c>
      <x:c r="B76" s="6" t="d">
        <x:v>2025-06-11T00:00:00.000Z</x:v>
      </x:c>
      <x:c r="C76" s="7" t="str">
        <x:v>002317</x:v>
      </x:c>
      <x:c r="D76" s="2" t="n">
        <x:v>3</x:v>
      </x:c>
      <x:c r="E76" s="11" t="n">
        <x:v>0.7393239031676913</x:v>
      </x:c>
      <x:c r="F76" s="2" t="str">
        <x:v>高点回落&lt;5%</x:v>
      </x:c>
      <x:c r="G76" s="9" t="n">
        <x:v>0.095605700712589</x:v>
      </x:c>
      <x:c r="H76" s="9" t="n">
        <x:v>0.042161520190024</x:v>
      </x:c>
      <x:c r="I76" s="9" t="n">
        <x:v>0.04750593824228</x:v>
      </x:c>
      <x:c r="J76" s="9" t="n">
        <x:v>0.005125284738041</x:v>
      </x:c>
      <x:c r="K76" s="9" t="n">
        <x:v>0.111111111111109</x:v>
      </x:c>
      <x:c r="L76" s="2" t="str">
        <x:v>前强后弱</x:v>
      </x:c>
      <x:c r="M76" s="2" t="n">
        <x:v>0</x:v>
      </x:c>
      <x:c r="N76" s="2" t="n">
        <x:v>5</x:v>
      </x:c>
      <x:c r="O76" s="2" t="n">
        <x:v>1</x:v>
      </x:c>
      <x:c r="P76" s="2" t="n">
        <x:v>1</x:v>
      </x:c>
      <x:c r="Q76" s="2" t="n">
        <x:v>1</x:v>
      </x:c>
      <x:c r="R76" s="2" t="n">
        <x:v>1</x:v>
      </x:c>
      <x:c r="S76" s="2" t="str">
        <x:v>09:36</x:v>
      </x:c>
      <x:c r="T76" s="12" t="n">
        <x:v>17.6</x:v>
      </x:c>
      <x:c r="U76" s="2" t="n">
        <x:v>1</x:v>
      </x:c>
      <x:c r="V76" s="2" t="n">
        <x:v>0</x:v>
      </x:c>
      <x:c r="W76" s="2" t="n">
        <x:v>0</x:v>
      </x:c>
      <x:c r="X76" s="2" t="n">
        <x:v>0</x:v>
      </x:c>
    </x:row>
    <x:row r="77">
      <x:c r="A77" s="6" t="d">
        <x:v>2025-06-11T00:00:00.000Z</x:v>
      </x:c>
      <x:c r="B77" s="6" t="d">
        <x:v>2025-06-12T00:00:00.000Z</x:v>
      </x:c>
      <x:c r="C77" s="7" t="str">
        <x:v>603332</x:v>
      </x:c>
      <x:c r="D77" s="2" t="n">
        <x:v>1</x:v>
      </x:c>
      <x:c r="E77" s="11" t="n">
        <x:v>0.7753236078651141</x:v>
      </x:c>
      <x:c r="F77" s="2" t="str">
        <x:v>高点回落&lt;5%</x:v>
      </x:c>
      <x:c r="G77" s="9" t="n">
        <x:v>0.100102145045965</x:v>
      </x:c>
      <x:c r="H77" s="9" t="n">
        <x:v>0.057201225740552</x:v>
      </x:c>
      <x:c r="I77" s="9" t="n">
        <x:v>0</x:v>
      </x:c>
      <x:c r="J77" s="9" t="n">
        <x:v>0.026202953787518</x:v>
      </x:c>
      <x:c r="K77" s="9" t="n">
        <x:v>1</x:v>
      </x:c>
      <x:c r="L77" s="2" t="str">
        <x:v>两段走强</x:v>
      </x:c>
      <x:c r="M77" s="2" t="n">
        <x:v>5</x:v>
      </x:c>
      <x:c r="N77" s="2" t="n">
        <x:v>1</x:v>
      </x:c>
      <x:c r="O77" s="2" t="n">
        <x:v>1</x:v>
      </x:c>
      <x:c r="P77" s="2" t="n">
        <x:v>1</x:v>
      </x:c>
      <x:c r="Q77" s="2" t="n">
        <x:v>1</x:v>
      </x:c>
      <x:c r="R77" s="2" t="n">
        <x:v>0</x:v>
      </x:c>
      <x:c r="S77" s="2"/>
      <x:c r="T77" s="12"/>
      <x:c r="U77" s="2" t="n">
        <x:v>1</x:v>
      </x:c>
      <x:c r="V77" s="2" t="n">
        <x:v>0</x:v>
      </x:c>
      <x:c r="W77" s="2" t="n">
        <x:v>0</x:v>
      </x:c>
      <x:c r="X77" s="2" t="n">
        <x:v>0</x:v>
      </x:c>
    </x:row>
    <x:row r="78">
      <x:c r="A78" s="6" t="d">
        <x:v>2025-06-11T00:00:00.000Z</x:v>
      </x:c>
      <x:c r="B78" s="6" t="d">
        <x:v>2025-06-12T00:00:00.000Z</x:v>
      </x:c>
      <x:c r="C78" s="7" t="str">
        <x:v>600980</x:v>
      </x:c>
      <x:c r="D78" s="2" t="n">
        <x:v>2</x:v>
      </x:c>
      <x:c r="E78" s="11" t="n">
        <x:v>0.759255577481555</x:v>
      </x:c>
      <x:c r="F78" s="2" t="str">
        <x:v>高点回落&lt;5%</x:v>
      </x:c>
      <x:c r="G78" s="9" t="n">
        <x:v>0.10021978021978</x:v>
      </x:c>
      <x:c r="H78" s="9" t="n">
        <x:v>0.10021978021978</x:v>
      </x:c>
      <x:c r="I78" s="9" t="n">
        <x:v>0</x:v>
      </x:c>
      <x:c r="J78" s="9" t="n">
        <x:v>0</x:v>
      </x:c>
      <x:c r="K78" s="9" t="n">
        <x:v>0.5</x:v>
      </x:c>
      <x:c r="L78" s="2" t="str">
        <x:v>平走</x:v>
      </x:c>
      <x:c r="M78" s="2" t="n">
        <x:v>5</x:v>
      </x:c>
      <x:c r="N78" s="2" t="n">
        <x:v>0</x:v>
      </x:c>
      <x:c r="O78" s="2" t="n">
        <x:v>1</x:v>
      </x:c>
      <x:c r="P78" s="2" t="n">
        <x:v>1</x:v>
      </x:c>
      <x:c r="Q78" s="2" t="n">
        <x:v>1</x:v>
      </x:c>
      <x:c r="R78" s="2" t="n">
        <x:v>0</x:v>
      </x:c>
      <x:c r="S78" s="2"/>
      <x:c r="T78" s="12"/>
      <x:c r="U78" s="2" t="n">
        <x:v>1</x:v>
      </x:c>
      <x:c r="V78" s="2" t="n">
        <x:v>0</x:v>
      </x:c>
      <x:c r="W78" s="2" t="n">
        <x:v>0</x:v>
      </x:c>
      <x:c r="X78" s="2" t="n">
        <x:v>1</x:v>
      </x:c>
    </x:row>
    <x:row r="79">
      <x:c r="A79" s="6" t="d">
        <x:v>2025-06-11T00:00:00.000Z</x:v>
      </x:c>
      <x:c r="B79" s="6" t="d">
        <x:v>2025-06-12T00:00:00.000Z</x:v>
      </x:c>
      <x:c r="C79" s="7" t="str">
        <x:v>002181</x:v>
      </x:c>
      <x:c r="D79" s="2" t="n">
        <x:v>3</x:v>
      </x:c>
      <x:c r="E79" s="11" t="n">
        <x:v>0.723331713318353</x:v>
      </x:c>
      <x:c r="F79" s="2" t="str">
        <x:v>高点回落&lt;5%</x:v>
      </x:c>
      <x:c r="G79" s="9" t="n">
        <x:v>0.100371747211896</x:v>
      </x:c>
      <x:c r="H79" s="9" t="n">
        <x:v>0.034696406443618</x:v>
      </x:c>
      <x:c r="I79" s="9" t="n">
        <x:v>0.048327137546468</x:v>
      </x:c>
      <x:c r="J79" s="9" t="n">
        <x:v>-0.001176470588235</x:v>
      </x:c>
      <x:c r="K79" s="9" t="n">
        <x:v>0.264150943396227</x:v>
      </x:c>
      <x:c r="L79" s="2" t="str">
        <x:v>前强后弱</x:v>
      </x:c>
      <x:c r="M79" s="2" t="n">
        <x:v>2</x:v>
      </x:c>
      <x:c r="N79" s="2" t="n">
        <x:v>5</x:v>
      </x:c>
      <x:c r="O79" s="2" t="n">
        <x:v>1</x:v>
      </x:c>
      <x:c r="P79" s="2" t="n">
        <x:v>1</x:v>
      </x:c>
      <x:c r="Q79" s="2" t="n">
        <x:v>1</x:v>
      </x:c>
      <x:c r="R79" s="2" t="n">
        <x:v>1</x:v>
      </x:c>
      <x:c r="S79" s="2" t="str">
        <x:v>09:36</x:v>
      </x:c>
      <x:c r="T79" s="12" t="n">
        <x:v>8.48</x:v>
      </x:c>
      <x:c r="U79" s="2" t="n">
        <x:v>1</x:v>
      </x:c>
      <x:c r="V79" s="2" t="n">
        <x:v>1</x:v>
      </x:c>
      <x:c r="W79" s="2" t="n">
        <x:v>1</x:v>
      </x:c>
      <x:c r="X79" s="2" t="n">
        <x:v>1</x:v>
      </x:c>
    </x:row>
    <x:row r="80">
      <x:c r="A80" s="6" t="d">
        <x:v>2025-06-12T00:00:00.000Z</x:v>
      </x:c>
      <x:c r="B80" s="6" t="d">
        <x:v>2025-06-13T00:00:00.000Z</x:v>
      </x:c>
      <x:c r="C80" s="7" t="str">
        <x:v>600980</x:v>
      </x:c>
      <x:c r="D80" s="2" t="n">
        <x:v>1</x:v>
      </x:c>
      <x:c r="E80" s="11" t="n">
        <x:v>0.7729315346229648</x:v>
      </x:c>
      <x:c r="F80" s="2" t="str">
        <x:v>高点回落&lt;5%</x:v>
      </x:c>
      <x:c r="G80" s="9" t="n">
        <x:v>0.099880143827407</x:v>
      </x:c>
      <x:c r="H80" s="9" t="n">
        <x:v>0.099880143827407</x:v>
      </x:c>
      <x:c r="I80" s="9" t="n">
        <x:v>0</x:v>
      </x:c>
      <x:c r="J80" s="9" t="n">
        <x:v>0</x:v>
      </x:c>
      <x:c r="K80" s="9" t="n">
        <x:v>0.5</x:v>
      </x:c>
      <x:c r="L80" s="2" t="str">
        <x:v>平走</x:v>
      </x:c>
      <x:c r="M80" s="2" t="n">
        <x:v>5</x:v>
      </x:c>
      <x:c r="N80" s="2" t="n">
        <x:v>0</x:v>
      </x:c>
      <x:c r="O80" s="2" t="n">
        <x:v>1</x:v>
      </x:c>
      <x:c r="P80" s="2" t="n">
        <x:v>1</x:v>
      </x:c>
      <x:c r="Q80" s="2" t="n">
        <x:v>1</x:v>
      </x:c>
      <x:c r="R80" s="2" t="n">
        <x:v>0</x:v>
      </x:c>
      <x:c r="S80" s="2"/>
      <x:c r="T80" s="12"/>
      <x:c r="U80" s="2" t="n">
        <x:v>1</x:v>
      </x:c>
      <x:c r="V80" s="2" t="n">
        <x:v>0</x:v>
      </x:c>
      <x:c r="W80" s="2" t="n">
        <x:v>0</x:v>
      </x:c>
      <x:c r="X80" s="2" t="n">
        <x:v>1</x:v>
      </x:c>
    </x:row>
    <x:row r="81">
      <x:c r="A81" s="6" t="d">
        <x:v>2025-06-12T00:00:00.000Z</x:v>
      </x:c>
      <x:c r="B81" s="6" t="d">
        <x:v>2025-06-13T00:00:00.000Z</x:v>
      </x:c>
      <x:c r="C81" s="7" t="str">
        <x:v>600281</x:v>
      </x:c>
      <x:c r="D81" s="2" t="n">
        <x:v>2</x:v>
      </x:c>
      <x:c r="E81" s="11" t="n">
        <x:v>0.7503697258896685</x:v>
      </x:c>
      <x:c r="F81" s="2" t="str">
        <x:v>高点回落&lt;5%</x:v>
      </x:c>
      <x:c r="G81" s="9" t="n">
        <x:v>0.090909090909091</x:v>
      </x:c>
      <x:c r="H81" s="9" t="n">
        <x:v>0.016666666666667</x:v>
      </x:c>
      <x:c r="I81" s="9" t="n">
        <x:v>0.043939393939394</x:v>
      </x:c>
      <x:c r="J81" s="9" t="n">
        <x:v>0.029806259314456</x:v>
      </x:c>
      <x:c r="K81" s="9" t="n">
        <x:v>0.408163265306123</x:v>
      </x:c>
      <x:c r="L81" s="2" t="str">
        <x:v>前强后弱</x:v>
      </x:c>
      <x:c r="M81" s="2" t="n">
        <x:v>0</x:v>
      </x:c>
      <x:c r="N81" s="2" t="n">
        <x:v>5</x:v>
      </x:c>
      <x:c r="O81" s="2" t="n">
        <x:v>1</x:v>
      </x:c>
      <x:c r="P81" s="2" t="n">
        <x:v>1</x:v>
      </x:c>
      <x:c r="Q81" s="2" t="n">
        <x:v>1</x:v>
      </x:c>
      <x:c r="R81" s="2" t="n">
        <x:v>1</x:v>
      </x:c>
      <x:c r="S81" s="2" t="str">
        <x:v>09:36</x:v>
      </x:c>
      <x:c r="T81" s="12" t="n">
        <x:v>6.9</x:v>
      </x:c>
      <x:c r="U81" s="2" t="n">
        <x:v>1</x:v>
      </x:c>
      <x:c r="V81" s="2" t="n">
        <x:v>1</x:v>
      </x:c>
      <x:c r="W81" s="2" t="n">
        <x:v>1</x:v>
      </x:c>
      <x:c r="X81" s="2" t="n">
        <x:v>1</x:v>
      </x:c>
    </x:row>
    <x:row r="82">
      <x:c r="A82" s="6" t="d">
        <x:v>2025-06-12T00:00:00.000Z</x:v>
      </x:c>
      <x:c r="B82" s="6" t="d">
        <x:v>2025-06-13T00:00:00.000Z</x:v>
      </x:c>
      <x:c r="C82" s="7" t="str">
        <x:v>002181</x:v>
      </x:c>
      <x:c r="D82" s="2" t="n">
        <x:v>3</x:v>
      </x:c>
      <x:c r="E82" s="11" t="n">
        <x:v>0.7347411604739135</x:v>
      </x:c>
      <x:c r="F82" s="2" t="str">
        <x:v>高点回落&lt;5%</x:v>
      </x:c>
      <x:c r="G82" s="9" t="n">
        <x:v>-0.011261261261261</x:v>
      </x:c>
      <x:c r="H82" s="9" t="n">
        <x:v>-0.070945945945946</x:v>
      </x:c>
      <x:c r="I82" s="9" t="n">
        <x:v>0.03490990990991</x:v>
      </x:c>
      <x:c r="J82" s="9" t="n">
        <x:v>-0.029782359679267</x:v>
      </x:c>
      <x:c r="K82" s="9" t="n">
        <x:v>0.415094339622643</x:v>
      </x:c>
      <x:c r="L82" s="2" t="str">
        <x:v>两段走弱</x:v>
      </x:c>
      <x:c r="M82" s="2" t="n">
        <x:v>0</x:v>
      </x:c>
      <x:c r="N82" s="2" t="n">
        <x:v>5</x:v>
      </x:c>
      <x:c r="O82" s="2" t="n">
        <x:v>1</x:v>
      </x:c>
      <x:c r="P82" s="2" t="n">
        <x:v>1</x:v>
      </x:c>
      <x:c r="Q82" s="2" t="n">
        <x:v>1</x:v>
      </x:c>
      <x:c r="R82" s="2" t="n">
        <x:v>1</x:v>
      </x:c>
      <x:c r="S82" s="2" t="str">
        <x:v>09:36</x:v>
      </x:c>
      <x:c r="T82" s="12" t="n">
        <x:v>8.48</x:v>
      </x:c>
      <x:c r="U82" s="2" t="n">
        <x:v>1</x:v>
      </x:c>
      <x:c r="V82" s="2" t="n">
        <x:v>0</x:v>
      </x:c>
      <x:c r="W82" s="2" t="n">
        <x:v>0</x:v>
      </x:c>
      <x:c r="X82" s="2" t="n">
        <x:v>0</x:v>
      </x:c>
    </x:row>
    <x:row r="83">
      <x:c r="A83" s="6" t="d">
        <x:v>2025-06-13T00:00:00.000Z</x:v>
      </x:c>
      <x:c r="B83" s="6" t="d">
        <x:v>2025-06-16T00:00:00.000Z</x:v>
      </x:c>
      <x:c r="C83" s="7" t="str">
        <x:v>601279</x:v>
      </x:c>
      <x:c r="D83" s="2" t="n">
        <x:v>1</x:v>
      </x:c>
      <x:c r="E83" s="11" t="n">
        <x:v>0.766366734727524</x:v>
      </x:c>
      <x:c r="F83" s="2" t="str">
        <x:v>高点回落&lt;5%</x:v>
      </x:c>
      <x:c r="G83" s="9" t="n">
        <x:v>-0.022916666666667</x:v>
      </x:c>
      <x:c r="H83" s="9" t="n">
        <x:v>-0.09375</x:v>
      </x:c>
      <x:c r="I83" s="9" t="n">
        <x:v>0.052083333333333</x:v>
      </x:c>
      <x:c r="J83" s="9" t="n">
        <x:v>-0.013333333333333</x:v>
      </x:c>
      <x:c r="K83" s="9" t="n">
        <x:v>0.264705882352943</x:v>
      </x:c>
      <x:c r="L83" s="2" t="str">
        <x:v>两段走弱</x:v>
      </x:c>
      <x:c r="M83" s="2" t="n">
        <x:v>0</x:v>
      </x:c>
      <x:c r="N83" s="2" t="n">
        <x:v>5</x:v>
      </x:c>
      <x:c r="O83" s="2" t="n">
        <x:v>1</x:v>
      </x:c>
      <x:c r="P83" s="2" t="n">
        <x:v>1</x:v>
      </x:c>
      <x:c r="Q83" s="2" t="n">
        <x:v>0</x:v>
      </x:c>
      <x:c r="R83" s="2" t="n">
        <x:v>1</x:v>
      </x:c>
      <x:c r="S83" s="2" t="str">
        <x:v>09:36</x:v>
      </x:c>
      <x:c r="T83" s="12" t="n">
        <x:v>4.44</x:v>
      </x:c>
      <x:c r="U83" s="2" t="n">
        <x:v>1</x:v>
      </x:c>
      <x:c r="V83" s="2" t="n">
        <x:v>0</x:v>
      </x:c>
      <x:c r="W83" s="2" t="n">
        <x:v>1</x:v>
      </x:c>
      <x:c r="X83" s="2" t="n">
        <x:v>0</x:v>
      </x:c>
    </x:row>
    <x:row r="84">
      <x:c r="A84" s="6" t="d">
        <x:v>2025-06-13T00:00:00.000Z</x:v>
      </x:c>
      <x:c r="B84" s="6" t="d">
        <x:v>2025-06-16T00:00:00.000Z</x:v>
      </x:c>
      <x:c r="C84" s="7" t="str">
        <x:v>002235</x:v>
      </x:c>
      <x:c r="D84" s="2" t="n">
        <x:v>2</x:v>
      </x:c>
      <x:c r="E84" s="11" t="n">
        <x:v>0.7610631062700668</x:v>
      </x:c>
      <x:c r="F84" s="2" t="str">
        <x:v>高点回落&lt;5%</x:v>
      </x:c>
      <x:c r="G84" s="9" t="n">
        <x:v>0.071014492753623</x:v>
      </x:c>
      <x:c r="H84" s="9" t="n">
        <x:v>0.001449275362319</x:v>
      </x:c>
      <x:c r="I84" s="9" t="n">
        <x:v>0</x:v>
      </x:c>
      <x:c r="J84" s="9" t="n">
        <x:v>0.069464544138929</x:v>
      </x:c>
      <x:c r="K84" s="9" t="n">
        <x:v>1</x:v>
      </x:c>
      <x:c r="L84" s="2" t="str">
        <x:v>两段走强</x:v>
      </x:c>
      <x:c r="M84" s="2" t="n">
        <x:v>0</x:v>
      </x:c>
      <x:c r="N84" s="2" t="n">
        <x:v>5</x:v>
      </x:c>
      <x:c r="O84" s="2" t="n">
        <x:v>1</x:v>
      </x:c>
      <x:c r="P84" s="2" t="n">
        <x:v>1</x:v>
      </x:c>
      <x:c r="Q84" s="2" t="n">
        <x:v>1</x:v>
      </x:c>
      <x:c r="R84" s="2" t="n">
        <x:v>1</x:v>
      </x:c>
      <x:c r="S84" s="2" t="str">
        <x:v>09:36</x:v>
      </x:c>
      <x:c r="T84" s="12" t="n">
        <x:v>7.4</x:v>
      </x:c>
      <x:c r="U84" s="2" t="n">
        <x:v>1</x:v>
      </x:c>
      <x:c r="V84" s="2" t="n">
        <x:v>1</x:v>
      </x:c>
      <x:c r="W84" s="2" t="n">
        <x:v>0</x:v>
      </x:c>
      <x:c r="X84" s="2" t="n">
        <x:v>1</x:v>
      </x:c>
    </x:row>
    <x:row r="85">
      <x:c r="A85" s="6" t="d">
        <x:v>2025-06-13T00:00:00.000Z</x:v>
      </x:c>
      <x:c r="B85" s="6" t="d">
        <x:v>2025-06-16T00:00:00.000Z</x:v>
      </x:c>
      <x:c r="C85" s="7" t="str">
        <x:v>002172</x:v>
      </x:c>
      <x:c r="D85" s="2" t="n">
        <x:v>3</x:v>
      </x:c>
      <x:c r="E85" s="11" t="n">
        <x:v>0.7399060846994335</x:v>
      </x:c>
      <x:c r="F85" s="2" t="str">
        <x:v>高点回落&lt;5%</x:v>
      </x:c>
      <x:c r="G85" s="9" t="n">
        <x:v>-0.021611001964636</x:v>
      </x:c>
      <x:c r="H85" s="9" t="n">
        <x:v>-0.076620825147348</x:v>
      </x:c>
      <x:c r="I85" s="9" t="n">
        <x:v>0.053045186640472</x:v>
      </x:c>
      <x:c r="J85" s="9" t="n">
        <x:v>-0.034836065573771</x:v>
      </x:c>
      <x:c r="K85" s="9" t="n">
        <x:v>0.035714285714285</x:v>
      </x:c>
      <x:c r="L85" s="2" t="str">
        <x:v>两段走弱</x:v>
      </x:c>
      <x:c r="M85" s="2" t="n">
        <x:v>0</x:v>
      </x:c>
      <x:c r="N85" s="2" t="n">
        <x:v>5</x:v>
      </x:c>
      <x:c r="O85" s="2" t="n">
        <x:v>1</x:v>
      </x:c>
      <x:c r="P85" s="2" t="n">
        <x:v>1</x:v>
      </x:c>
      <x:c r="Q85" s="2" t="n">
        <x:v>0</x:v>
      </x:c>
      <x:c r="R85" s="2" t="n">
        <x:v>1</x:v>
      </x:c>
      <x:c r="S85" s="2" t="str">
        <x:v>09:36</x:v>
      </x:c>
      <x:c r="T85" s="12" t="n">
        <x:v>4.7</x:v>
      </x:c>
      <x:c r="U85" s="2" t="n">
        <x:v>1</x:v>
      </x:c>
      <x:c r="V85" s="2" t="n">
        <x:v>0</x:v>
      </x:c>
      <x:c r="W85" s="2" t="n">
        <x:v>0</x:v>
      </x:c>
      <x:c r="X85" s="2" t="n">
        <x:v>0</x:v>
      </x:c>
    </x:row>
    <x:row r="86">
      <x:c r="A86" s="6" t="d">
        <x:v>2025-06-16T00:00:00.000Z</x:v>
      </x:c>
      <x:c r="B86" s="6" t="d">
        <x:v>2025-06-17T00:00:00.000Z</x:v>
      </x:c>
      <x:c r="C86" s="7" t="str">
        <x:v>002828</x:v>
      </x:c>
      <x:c r="D86" s="2" t="n">
        <x:v>1</x:v>
      </x:c>
      <x:c r="E86" s="11" t="n">
        <x:v>0.7315191560702615</x:v>
      </x:c>
      <x:c r="F86" s="2" t="str">
        <x:v>高点回落&lt;5%</x:v>
      </x:c>
      <x:c r="G86" s="9" t="n">
        <x:v>0.007207207207207</x:v>
      </x:c>
      <x:c r="H86" s="9" t="n">
        <x:v>-0.051351351351351</x:v>
      </x:c>
      <x:c r="I86" s="9" t="n">
        <x:v>0.01981981981982</x:v>
      </x:c>
      <x:c r="J86" s="9" t="n">
        <x:v>0.01953488372093</x:v>
      </x:c>
      <x:c r="K86" s="9" t="n">
        <x:v>0.661538461538464</x:v>
      </x:c>
      <x:c r="L86" s="2" t="str">
        <x:v>两段走强</x:v>
      </x:c>
      <x:c r="M86" s="2" t="n">
        <x:v>0</x:v>
      </x:c>
      <x:c r="N86" s="2" t="n">
        <x:v>5</x:v>
      </x:c>
      <x:c r="O86" s="2" t="n">
        <x:v>1</x:v>
      </x:c>
      <x:c r="P86" s="2" t="n">
        <x:v>1</x:v>
      </x:c>
      <x:c r="Q86" s="2" t="n">
        <x:v>1</x:v>
      </x:c>
      <x:c r="R86" s="2" t="n">
        <x:v>1</x:v>
      </x:c>
      <x:c r="S86" s="2" t="str">
        <x:v>09:36</x:v>
      </x:c>
      <x:c r="T86" s="12" t="n">
        <x:v>10.95</x:v>
      </x:c>
      <x:c r="U86" s="2" t="n">
        <x:v>1</x:v>
      </x:c>
      <x:c r="V86" s="2" t="n">
        <x:v>1</x:v>
      </x:c>
      <x:c r="W86" s="2" t="n">
        <x:v>1</x:v>
      </x:c>
      <x:c r="X86" s="2" t="n">
        <x:v>1</x:v>
      </x:c>
    </x:row>
    <x:row r="87">
      <x:c r="A87" s="6" t="d">
        <x:v>2025-06-16T00:00:00.000Z</x:v>
      </x:c>
      <x:c r="B87" s="6" t="d">
        <x:v>2025-06-17T00:00:00.000Z</x:v>
      </x:c>
      <x:c r="C87" s="7" t="str">
        <x:v>002207</x:v>
      </x:c>
      <x:c r="D87" s="2" t="n">
        <x:v>2</x:v>
      </x:c>
      <x:c r="E87" s="11" t="n">
        <x:v>0.7276488722839894</x:v>
      </x:c>
      <x:c r="F87" s="2" t="str">
        <x:v>高点回落&lt;5%</x:v>
      </x:c>
      <x:c r="G87" s="9" t="n">
        <x:v>0.100662251655629</x:v>
      </x:c>
      <x:c r="H87" s="9" t="n">
        <x:v>0.091390728476821</x:v>
      </x:c>
      <x:c r="I87" s="9" t="n">
        <x:v>0</x:v>
      </x:c>
      <x:c r="J87" s="9" t="n">
        <x:v>0</x:v>
      </x:c>
      <x:c r="K87" s="9" t="n">
        <x:v>1</x:v>
      </x:c>
      <x:c r="L87" s="2" t="str">
        <x:v>平走</x:v>
      </x:c>
      <x:c r="M87" s="2" t="n">
        <x:v>5</x:v>
      </x:c>
      <x:c r="N87" s="2" t="n">
        <x:v>2</x:v>
      </x:c>
      <x:c r="O87" s="2" t="n">
        <x:v>1</x:v>
      </x:c>
      <x:c r="P87" s="2" t="n">
        <x:v>1</x:v>
      </x:c>
      <x:c r="Q87" s="2" t="n">
        <x:v>1</x:v>
      </x:c>
      <x:c r="R87" s="2" t="n">
        <x:v>0</x:v>
      </x:c>
      <x:c r="S87" s="2"/>
      <x:c r="T87" s="12"/>
      <x:c r="U87" s="2" t="n">
        <x:v>1</x:v>
      </x:c>
      <x:c r="V87" s="2" t="n">
        <x:v>0</x:v>
      </x:c>
      <x:c r="W87" s="2" t="n">
        <x:v>0</x:v>
      </x:c>
      <x:c r="X87" s="2" t="n">
        <x:v>1</x:v>
      </x:c>
    </x:row>
    <x:row r="88">
      <x:c r="A88" s="6" t="d">
        <x:v>2025-06-16T00:00:00.000Z</x:v>
      </x:c>
      <x:c r="B88" s="6" t="d">
        <x:v>2025-06-17T00:00:00.000Z</x:v>
      </x:c>
      <x:c r="C88" s="7" t="str">
        <x:v>002490</x:v>
      </x:c>
      <x:c r="D88" s="2" t="n">
        <x:v>3</x:v>
      </x:c>
      <x:c r="E88" s="11" t="n">
        <x:v>0.7270845930679859</x:v>
      </x:c>
      <x:c r="F88" s="2" t="str">
        <x:v>高点回落&lt;5%</x:v>
      </x:c>
      <x:c r="G88" s="9" t="n">
        <x:v>0.098121085594989</x:v>
      </x:c>
      <x:c r="H88" s="9" t="n">
        <x:v>0.012526096033403</x:v>
      </x:c>
      <x:c r="I88" s="9" t="n">
        <x:v>0.031315240083507</x:v>
      </x:c>
      <x:c r="J88" s="9" t="n">
        <x:v>0.024048096192385</x:v>
      </x:c>
      <x:c r="K88" s="9" t="n">
        <x:v>0.634146341463416</x:v>
      </x:c>
      <x:c r="L88" s="2" t="str">
        <x:v>两段走强</x:v>
      </x:c>
      <x:c r="M88" s="2" t="n">
        <x:v>0</x:v>
      </x:c>
      <x:c r="N88" s="2" t="n">
        <x:v>5</x:v>
      </x:c>
      <x:c r="O88" s="2" t="n">
        <x:v>1</x:v>
      </x:c>
      <x:c r="P88" s="2" t="n">
        <x:v>1</x:v>
      </x:c>
      <x:c r="Q88" s="2" t="n">
        <x:v>1</x:v>
      </x:c>
      <x:c r="R88" s="2" t="n">
        <x:v>1</x:v>
      </x:c>
      <x:c r="S88" s="2" t="str">
        <x:v>09:36</x:v>
      </x:c>
      <x:c r="T88" s="12" t="n">
        <x:v>5.12</x:v>
      </x:c>
      <x:c r="U88" s="2" t="n">
        <x:v>1</x:v>
      </x:c>
      <x:c r="V88" s="2" t="n">
        <x:v>0</x:v>
      </x:c>
      <x:c r="W88" s="2" t="n">
        <x:v>0</x:v>
      </x:c>
      <x:c r="X88" s="2" t="n">
        <x:v>1</x:v>
      </x:c>
    </x:row>
    <x:row r="89">
      <x:c r="A89" s="6" t="d">
        <x:v>2025-06-17T00:00:00.000Z</x:v>
      </x:c>
      <x:c r="B89" s="6" t="d">
        <x:v>2025-06-18T00:00:00.000Z</x:v>
      </x:c>
      <x:c r="C89" s="7" t="str">
        <x:v>002015</x:v>
      </x:c>
      <x:c r="D89" s="2" t="n">
        <x:v>1</x:v>
      </x:c>
      <x:c r="E89" s="11" t="n">
        <x:v>0.7586568970193699</x:v>
      </x:c>
      <x:c r="F89" s="2" t="str">
        <x:v>高点回落&lt;5%</x:v>
      </x:c>
      <x:c r="G89" s="9" t="n">
        <x:v>0.100169779286927</x:v>
      </x:c>
      <x:c r="H89" s="9" t="n">
        <x:v>0.061969439728353</x:v>
      </x:c>
      <x:c r="I89" s="9" t="n">
        <x:v>0</x:v>
      </x:c>
      <x:c r="J89" s="9" t="n">
        <x:v>0.0125</x:v>
      </x:c>
      <x:c r="K89" s="9" t="n">
        <x:v>1</x:v>
      </x:c>
      <x:c r="L89" s="2" t="str">
        <x:v>两段走强</x:v>
      </x:c>
      <x:c r="M89" s="2" t="n">
        <x:v>5</x:v>
      </x:c>
      <x:c r="N89" s="2" t="n">
        <x:v>1</x:v>
      </x:c>
      <x:c r="O89" s="2" t="n">
        <x:v>1</x:v>
      </x:c>
      <x:c r="P89" s="2" t="n">
        <x:v>1</x:v>
      </x:c>
      <x:c r="Q89" s="2" t="n">
        <x:v>1</x:v>
      </x:c>
      <x:c r="R89" s="2" t="n">
        <x:v>0</x:v>
      </x:c>
      <x:c r="S89" s="2"/>
      <x:c r="T89" s="12"/>
      <x:c r="U89" s="2" t="n">
        <x:v>1</x:v>
      </x:c>
      <x:c r="V89" s="2" t="n">
        <x:v>0</x:v>
      </x:c>
      <x:c r="W89" s="2" t="n">
        <x:v>0</x:v>
      </x:c>
      <x:c r="X89" s="2" t="n">
        <x:v>1</x:v>
      </x:c>
    </x:row>
    <x:row r="90">
      <x:c r="A90" s="6" t="d">
        <x:v>2025-06-17T00:00:00.000Z</x:v>
      </x:c>
      <x:c r="B90" s="6" t="d">
        <x:v>2025-06-18T00:00:00.000Z</x:v>
      </x:c>
      <x:c r="C90" s="7" t="str">
        <x:v>600722</x:v>
      </x:c>
      <x:c r="D90" s="2" t="n">
        <x:v>2</x:v>
      </x:c>
      <x:c r="E90" s="11" t="n">
        <x:v>0.7088847448576264</x:v>
      </x:c>
      <x:c r="F90" s="2" t="str">
        <x:v>高点回落&lt;5%</x:v>
      </x:c>
      <x:c r="G90" s="9" t="n">
        <x:v>0.100430416068866</x:v>
      </x:c>
      <x:c r="H90" s="9" t="n">
        <x:v>0.100430416068866</x:v>
      </x:c>
      <x:c r="I90" s="9" t="n">
        <x:v>0</x:v>
      </x:c>
      <x:c r="J90" s="9" t="n">
        <x:v>0</x:v>
      </x:c>
      <x:c r="K90" s="9" t="n">
        <x:v>0.5</x:v>
      </x:c>
      <x:c r="L90" s="2" t="str">
        <x:v>平走</x:v>
      </x:c>
      <x:c r="M90" s="2" t="n">
        <x:v>5</x:v>
      </x:c>
      <x:c r="N90" s="2" t="n">
        <x:v>0</x:v>
      </x:c>
      <x:c r="O90" s="2" t="n">
        <x:v>1</x:v>
      </x:c>
      <x:c r="P90" s="2" t="n">
        <x:v>1</x:v>
      </x:c>
      <x:c r="Q90" s="2" t="n">
        <x:v>1</x:v>
      </x:c>
      <x:c r="R90" s="2" t="n">
        <x:v>0</x:v>
      </x:c>
      <x:c r="S90" s="2"/>
      <x:c r="T90" s="12"/>
      <x:c r="U90" s="2" t="n">
        <x:v>1</x:v>
      </x:c>
      <x:c r="V90" s="2" t="n">
        <x:v>0</x:v>
      </x:c>
      <x:c r="W90" s="2" t="n">
        <x:v>0</x:v>
      </x:c>
      <x:c r="X90" s="2" t="n">
        <x:v>1</x:v>
      </x:c>
    </x:row>
    <x:row r="91">
      <x:c r="A91" s="6" t="d">
        <x:v>2025-06-17T00:00:00.000Z</x:v>
      </x:c>
      <x:c r="B91" s="6" t="d">
        <x:v>2025-06-18T00:00:00.000Z</x:v>
      </x:c>
      <x:c r="C91" s="7" t="str">
        <x:v>002207</x:v>
      </x:c>
      <x:c r="D91" s="2" t="n">
        <x:v>3</x:v>
      </x:c>
      <x:c r="E91" s="11" t="n">
        <x:v>0.7063600208524682</x:v>
      </x:c>
      <x:c r="F91" s="2" t="str">
        <x:v>高点回落&lt;5%</x:v>
      </x:c>
      <x:c r="G91" s="9" t="n">
        <x:v>0.099879663056558</x:v>
      </x:c>
      <x:c r="H91" s="9" t="n">
        <x:v>0.099879663056558</x:v>
      </x:c>
      <x:c r="I91" s="9" t="n">
        <x:v>0</x:v>
      </x:c>
      <x:c r="J91" s="9" t="n">
        <x:v>0</x:v>
      </x:c>
      <x:c r="K91" s="9" t="n">
        <x:v>0.5</x:v>
      </x:c>
      <x:c r="L91" s="2" t="str">
        <x:v>平走</x:v>
      </x:c>
      <x:c r="M91" s="2" t="n">
        <x:v>5</x:v>
      </x:c>
      <x:c r="N91" s="2" t="n">
        <x:v>0</x:v>
      </x:c>
      <x:c r="O91" s="2" t="n">
        <x:v>1</x:v>
      </x:c>
      <x:c r="P91" s="2" t="n">
        <x:v>1</x:v>
      </x:c>
      <x:c r="Q91" s="2" t="n">
        <x:v>1</x:v>
      </x:c>
      <x:c r="R91" s="2" t="n">
        <x:v>0</x:v>
      </x:c>
      <x:c r="S91" s="2"/>
      <x:c r="T91" s="12"/>
      <x:c r="U91" s="2" t="n">
        <x:v>1</x:v>
      </x:c>
      <x:c r="V91" s="2" t="n">
        <x:v>0</x:v>
      </x:c>
      <x:c r="W91" s="2" t="n">
        <x:v>0</x:v>
      </x:c>
      <x:c r="X91" s="2" t="n">
        <x:v>1</x:v>
      </x:c>
    </x:row>
    <x:row r="92">
      <x:c r="A92" s="6" t="d">
        <x:v>2025-06-18T00:00:00.000Z</x:v>
      </x:c>
      <x:c r="B92" s="6" t="d">
        <x:v>2025-06-19T00:00:00.000Z</x:v>
      </x:c>
      <x:c r="C92" s="7" t="str">
        <x:v>002207</x:v>
      </x:c>
      <x:c r="D92" s="2" t="n">
        <x:v>1</x:v>
      </x:c>
      <x:c r="E92" s="11" t="n">
        <x:v>0.7766643151926239</x:v>
      </x:c>
      <x:c r="F92" s="2" t="str">
        <x:v>高点回落&lt;5%</x:v>
      </x:c>
      <x:c r="G92" s="9" t="n">
        <x:v>0.099562363238512</x:v>
      </x:c>
      <x:c r="H92" s="9" t="n">
        <x:v>0.062363238512035</x:v>
      </x:c>
      <x:c r="I92" s="9" t="n">
        <x:v>0</x:v>
      </x:c>
      <x:c r="J92" s="9" t="n">
        <x:v>0.020304568527919</x:v>
      </x:c>
      <x:c r="K92" s="9" t="n">
        <x:v>1</x:v>
      </x:c>
      <x:c r="L92" s="2" t="str">
        <x:v>两段走强</x:v>
      </x:c>
      <x:c r="M92" s="2" t="n">
        <x:v>5</x:v>
      </x:c>
      <x:c r="N92" s="2" t="n">
        <x:v>1</x:v>
      </x:c>
      <x:c r="O92" s="2" t="n">
        <x:v>1</x:v>
      </x:c>
      <x:c r="P92" s="2" t="n">
        <x:v>1</x:v>
      </x:c>
      <x:c r="Q92" s="2" t="n">
        <x:v>1</x:v>
      </x:c>
      <x:c r="R92" s="2" t="n">
        <x:v>0</x:v>
      </x:c>
      <x:c r="S92" s="2"/>
      <x:c r="T92" s="12"/>
      <x:c r="U92" s="2" t="n">
        <x:v>1</x:v>
      </x:c>
      <x:c r="V92" s="2" t="n">
        <x:v>0</x:v>
      </x:c>
      <x:c r="W92" s="2" t="n">
        <x:v>0</x:v>
      </x:c>
      <x:c r="X92" s="2" t="n">
        <x:v>1</x:v>
      </x:c>
    </x:row>
    <x:row r="93">
      <x:c r="A93" s="6" t="d">
        <x:v>2025-06-18T00:00:00.000Z</x:v>
      </x:c>
      <x:c r="B93" s="6" t="d">
        <x:v>2025-06-19T00:00:00.000Z</x:v>
      </x:c>
      <x:c r="C93" s="7" t="str">
        <x:v>600722</x:v>
      </x:c>
      <x:c r="D93" s="2" t="n">
        <x:v>2</x:v>
      </x:c>
      <x:c r="E93" s="11" t="n">
        <x:v>0.7764982191345828</x:v>
      </x:c>
      <x:c r="F93" s="2" t="str">
        <x:v>高点回落&lt;5%</x:v>
      </x:c>
      <x:c r="G93" s="9" t="n">
        <x:v>-0.018252933507171</x:v>
      </x:c>
      <x:c r="H93" s="9" t="n">
        <x:v>-0.083441981747066</x:v>
      </x:c>
      <x:c r="I93" s="9" t="n">
        <x:v>0.02477183833116</x:v>
      </x:c>
      <x:c r="J93" s="9" t="n">
        <x:v>0.044096728307255</x:v>
      </x:c>
      <x:c r="K93" s="9" t="n">
        <x:v>0.619999999999999</x:v>
      </x:c>
      <x:c r="L93" s="2" t="str">
        <x:v>前强后弱</x:v>
      </x:c>
      <x:c r="M93" s="2" t="n">
        <x:v>0</x:v>
      </x:c>
      <x:c r="N93" s="2" t="n">
        <x:v>5</x:v>
      </x:c>
      <x:c r="O93" s="2" t="n">
        <x:v>1</x:v>
      </x:c>
      <x:c r="P93" s="2" t="n">
        <x:v>1</x:v>
      </x:c>
      <x:c r="Q93" s="2" t="n">
        <x:v>1</x:v>
      </x:c>
      <x:c r="R93" s="2" t="n">
        <x:v>1</x:v>
      </x:c>
      <x:c r="S93" s="2" t="str">
        <x:v>09:36</x:v>
      </x:c>
      <x:c r="T93" s="12" t="n">
        <x:v>7.35</x:v>
      </x:c>
      <x:c r="U93" s="2" t="n">
        <x:v>1</x:v>
      </x:c>
      <x:c r="V93" s="2" t="n">
        <x:v>1</x:v>
      </x:c>
      <x:c r="W93" s="2" t="n">
        <x:v>1</x:v>
      </x:c>
      <x:c r="X93" s="2" t="n">
        <x:v>0</x:v>
      </x:c>
    </x:row>
    <x:row r="94">
      <x:c r="A94" s="6" t="d">
        <x:v>2025-06-18T00:00:00.000Z</x:v>
      </x:c>
      <x:c r="B94" s="6" t="d">
        <x:v>2025-06-19T00:00:00.000Z</x:v>
      </x:c>
      <x:c r="C94" s="7" t="str">
        <x:v>002828</x:v>
      </x:c>
      <x:c r="D94" s="2" t="n">
        <x:v>3</x:v>
      </x:c>
      <x:c r="E94" s="11" t="n">
        <x:v>0.7155149117800229</x:v>
      </x:c>
      <x:c r="F94" s="2" t="str">
        <x:v>高点回落&lt;5%</x:v>
      </x:c>
      <x:c r="G94" s="9" t="n">
        <x:v>0.013402829486225</x:v>
      </x:c>
      <x:c r="H94" s="9" t="n">
        <x:v>-0.079672375279226</x:v>
      </x:c>
      <x:c r="I94" s="9" t="n">
        <x:v>0.031273268801191</x:v>
      </x:c>
      <x:c r="J94" s="9" t="n">
        <x:v>0.014615384615384</x:v>
      </x:c>
      <x:c r="K94" s="9" t="n">
        <x:v>0.664</x:v>
      </x:c>
      <x:c r="L94" s="2" t="str">
        <x:v>两段走强</x:v>
      </x:c>
      <x:c r="M94" s="2" t="n">
        <x:v>0</x:v>
      </x:c>
      <x:c r="N94" s="2" t="n">
        <x:v>5</x:v>
      </x:c>
      <x:c r="O94" s="2" t="n">
        <x:v>1</x:v>
      </x:c>
      <x:c r="P94" s="2" t="n">
        <x:v>1</x:v>
      </x:c>
      <x:c r="Q94" s="2" t="n">
        <x:v>1</x:v>
      </x:c>
      <x:c r="R94" s="2" t="n">
        <x:v>1</x:v>
      </x:c>
      <x:c r="S94" s="2" t="str">
        <x:v>09:36</x:v>
      </x:c>
      <x:c r="T94" s="12" t="n">
        <x:v>13.1</x:v>
      </x:c>
      <x:c r="U94" s="2" t="n">
        <x:v>1</x:v>
      </x:c>
      <x:c r="V94" s="2" t="n">
        <x:v>0</x:v>
      </x:c>
      <x:c r="W94" s="2" t="n">
        <x:v>0</x:v>
      </x:c>
      <x:c r="X94" s="2" t="n">
        <x:v>0</x:v>
      </x:c>
    </x:row>
    <x:row r="95">
      <x:c r="A95" s="6" t="d">
        <x:v>2025-06-19T00:00:00.000Z</x:v>
      </x:c>
      <x:c r="B95" s="6" t="d">
        <x:v>2025-06-20T00:00:00.000Z</x:v>
      </x:c>
      <x:c r="C95" s="7" t="str">
        <x:v>002579</x:v>
      </x:c>
      <x:c r="D95" s="2" t="n">
        <x:v>1</x:v>
      </x:c>
      <x:c r="E95" s="11" t="n">
        <x:v>0.7605813475850759</x:v>
      </x:c>
      <x:c r="F95" s="2" t="str">
        <x:v>高点回落&lt;5%</x:v>
      </x:c>
      <x:c r="G95" s="9" t="n">
        <x:v>0.099899091826438</x:v>
      </x:c>
      <x:c r="H95" s="9" t="n">
        <x:v>0.091826437941473</x:v>
      </x:c>
      <x:c r="I95" s="9" t="n">
        <x:v>0</x:v>
      </x:c>
      <x:c r="J95" s="9" t="n">
        <x:v>0</x:v>
      </x:c>
      <x:c r="K95" s="9" t="n">
        <x:v>1</x:v>
      </x:c>
      <x:c r="L95" s="2" t="str">
        <x:v>平走</x:v>
      </x:c>
      <x:c r="M95" s="2" t="n">
        <x:v>5</x:v>
      </x:c>
      <x:c r="N95" s="2" t="n">
        <x:v>1</x:v>
      </x:c>
      <x:c r="O95" s="2" t="n">
        <x:v>1</x:v>
      </x:c>
      <x:c r="P95" s="2" t="n">
        <x:v>1</x:v>
      </x:c>
      <x:c r="Q95" s="2" t="n">
        <x:v>1</x:v>
      </x:c>
      <x:c r="R95" s="2" t="n">
        <x:v>0</x:v>
      </x:c>
      <x:c r="S95" s="2"/>
      <x:c r="T95" s="12"/>
      <x:c r="U95" s="2" t="n">
        <x:v>1</x:v>
      </x:c>
      <x:c r="V95" s="2" t="n">
        <x:v>0</x:v>
      </x:c>
      <x:c r="W95" s="2" t="n">
        <x:v>0</x:v>
      </x:c>
      <x:c r="X95" s="2" t="n">
        <x:v>1</x:v>
      </x:c>
    </x:row>
    <x:row r="96">
      <x:c r="A96" s="6" t="d">
        <x:v>2025-06-19T00:00:00.000Z</x:v>
      </x:c>
      <x:c r="B96" s="6" t="d">
        <x:v>2025-06-20T00:00:00.000Z</x:v>
      </x:c>
      <x:c r="C96" s="7" t="str">
        <x:v>002490</x:v>
      </x:c>
      <x:c r="D96" s="2" t="n">
        <x:v>2</x:v>
      </x:c>
      <x:c r="E96" s="11" t="n">
        <x:v>0.7434461376785325</x:v>
      </x:c>
      <x:c r="F96" s="2" t="str">
        <x:v>高点回落&lt;5%</x:v>
      </x:c>
      <x:c r="G96" s="9" t="n">
        <x:v>0.070532915360502</x:v>
      </x:c>
      <x:c r="H96" s="9" t="n">
        <x:v>-0.050156739811912</x:v>
      </x:c>
      <x:c r="I96" s="9" t="n">
        <x:v>0.015673981191223</x:v>
      </x:c>
      <x:c r="J96" s="9" t="n">
        <x:v>0.027480916030534</x:v>
      </x:c>
      <x:c r="K96" s="9" t="n">
        <x:v>0.870129870129871</x:v>
      </x:c>
      <x:c r="L96" s="2" t="str">
        <x:v>前弱后强</x:v>
      </x:c>
      <x:c r="M96" s="2" t="n">
        <x:v>0</x:v>
      </x:c>
      <x:c r="N96" s="2" t="n">
        <x:v>5</x:v>
      </x:c>
      <x:c r="O96" s="2" t="n">
        <x:v>1</x:v>
      </x:c>
      <x:c r="P96" s="2" t="n">
        <x:v>1</x:v>
      </x:c>
      <x:c r="Q96" s="2" t="n">
        <x:v>1</x:v>
      </x:c>
      <x:c r="R96" s="2" t="n">
        <x:v>1</x:v>
      </x:c>
      <x:c r="S96" s="2" t="str">
        <x:v>09:36</x:v>
      </x:c>
      <x:c r="T96" s="12" t="n">
        <x:v>6.77</x:v>
      </x:c>
      <x:c r="U96" s="2" t="n">
        <x:v>1</x:v>
      </x:c>
      <x:c r="V96" s="2" t="n">
        <x:v>1</x:v>
      </x:c>
      <x:c r="W96" s="2" t="n">
        <x:v>1</x:v>
      </x:c>
      <x:c r="X96" s="2" t="n">
        <x:v>1</x:v>
      </x:c>
    </x:row>
    <x:row r="97">
      <x:c r="A97" s="6" t="d">
        <x:v>2025-06-19T00:00:00.000Z</x:v>
      </x:c>
      <x:c r="B97" s="6" t="d">
        <x:v>2025-06-20T00:00:00.000Z</x:v>
      </x:c>
      <x:c r="C97" s="7" t="str">
        <x:v>600110</x:v>
      </x:c>
      <x:c r="D97" s="2" t="n">
        <x:v>3</x:v>
      </x:c>
      <x:c r="E97" s="11" t="n">
        <x:v>0.7180674532804262</x:v>
      </x:c>
      <x:c r="F97" s="2" t="str">
        <x:v>高点回落&lt;5%</x:v>
      </x:c>
      <x:c r="G97" s="9" t="n">
        <x:v>0.100427350427351</x:v>
      </x:c>
      <x:c r="H97" s="9" t="n">
        <x:v>0.044871794871795</x:v>
      </x:c>
      <x:c r="I97" s="9" t="n">
        <x:v>0</x:v>
      </x:c>
      <x:c r="J97" s="9" t="n">
        <x:v>0.04040404040404</x:v>
      </x:c>
      <x:c r="K97" s="9" t="n">
        <x:v>1</x:v>
      </x:c>
      <x:c r="L97" s="2" t="str">
        <x:v>两段走强</x:v>
      </x:c>
      <x:c r="M97" s="2" t="n">
        <x:v>5</x:v>
      </x:c>
      <x:c r="N97" s="2" t="n">
        <x:v>2</x:v>
      </x:c>
      <x:c r="O97" s="2" t="n">
        <x:v>1</x:v>
      </x:c>
      <x:c r="P97" s="2" t="n">
        <x:v>1</x:v>
      </x:c>
      <x:c r="Q97" s="2" t="n">
        <x:v>1</x:v>
      </x:c>
      <x:c r="R97" s="2" t="n">
        <x:v>0</x:v>
      </x:c>
      <x:c r="S97" s="2"/>
      <x:c r="T97" s="12"/>
      <x:c r="U97" s="2" t="n">
        <x:v>1</x:v>
      </x:c>
      <x:c r="V97" s="2" t="n">
        <x:v>0</x:v>
      </x:c>
      <x:c r="W97" s="2" t="n">
        <x:v>0</x:v>
      </x:c>
      <x:c r="X97" s="2" t="n">
        <x:v>1</x:v>
      </x:c>
    </x:row>
    <x:row r="98">
      <x:c r="A98" s="6" t="d">
        <x:v>2025-06-20T00:00:00.000Z</x:v>
      </x:c>
      <x:c r="B98" s="6" t="d">
        <x:v>2025-06-23T00:00:00.000Z</x:v>
      </x:c>
      <x:c r="C98" s="7" t="str">
        <x:v>002579</x:v>
      </x:c>
      <x:c r="D98" s="2" t="n">
        <x:v>1</x:v>
      </x:c>
      <x:c r="E98" s="11" t="n">
        <x:v>0.7688412725974163</x:v>
      </x:c>
      <x:c r="F98" s="2" t="str">
        <x:v>高点回落&lt;5%</x:v>
      </x:c>
      <x:c r="G98" s="9" t="n">
        <x:v>-0.015596330275229</x:v>
      </x:c>
      <x:c r="H98" s="9" t="n">
        <x:v>-0.06605504587156</x:v>
      </x:c>
      <x:c r="I98" s="9" t="n">
        <x:v>0.011009174311927</x:v>
      </x:c>
      <x:c r="J98" s="9" t="n">
        <x:v>0.030097087378641</x:v>
      </x:c>
      <x:c r="K98" s="9" t="n">
        <x:v>0.78181818181818</x:v>
      </x:c>
      <x:c r="L98" s="2" t="str">
        <x:v>两段走强</x:v>
      </x:c>
      <x:c r="M98" s="2" t="n">
        <x:v>0</x:v>
      </x:c>
      <x:c r="N98" s="2" t="n">
        <x:v>5</x:v>
      </x:c>
      <x:c r="O98" s="2" t="n">
        <x:v>1</x:v>
      </x:c>
      <x:c r="P98" s="2" t="n">
        <x:v>1</x:v>
      </x:c>
      <x:c r="Q98" s="2" t="n">
        <x:v>1</x:v>
      </x:c>
      <x:c r="R98" s="2" t="n">
        <x:v>1</x:v>
      </x:c>
      <x:c r="S98" s="2" t="str">
        <x:v>09:36</x:v>
      </x:c>
      <x:c r="T98" s="12" t="n">
        <x:v>10.59</x:v>
      </x:c>
      <x:c r="U98" s="2" t="n">
        <x:v>1</x:v>
      </x:c>
      <x:c r="V98" s="2" t="n">
        <x:v>1</x:v>
      </x:c>
      <x:c r="W98" s="2" t="n">
        <x:v>1</x:v>
      </x:c>
      <x:c r="X98" s="2" t="n">
        <x:v>1</x:v>
      </x:c>
    </x:row>
    <x:row r="99">
      <x:c r="A99" s="6" t="d">
        <x:v>2025-06-20T00:00:00.000Z</x:v>
      </x:c>
      <x:c r="B99" s="6" t="d">
        <x:v>2025-06-23T00:00:00.000Z</x:v>
      </x:c>
      <x:c r="C99" s="7" t="str">
        <x:v>002490</x:v>
      </x:c>
      <x:c r="D99" s="2" t="n">
        <x:v>2</x:v>
      </x:c>
      <x:c r="E99" s="11" t="n">
        <x:v>0.7365106263881425</x:v>
      </x:c>
      <x:c r="F99" s="2" t="str">
        <x:v>高点回落&lt;5%</x:v>
      </x:c>
      <x:c r="G99" s="9" t="n">
        <x:v>0.0997150997151</x:v>
      </x:c>
      <x:c r="H99" s="9" t="n">
        <x:v>0.042735042735043</x:v>
      </x:c>
      <x:c r="I99" s="9" t="n">
        <x:v>0</x:v>
      </x:c>
      <x:c r="J99" s="9" t="n">
        <x:v>0.005208333333333</x:v>
      </x:c>
      <x:c r="K99" s="9" t="n">
        <x:v>1</x:v>
      </x:c>
      <x:c r="L99" s="2" t="str">
        <x:v>两段走强</x:v>
      </x:c>
      <x:c r="M99" s="2" t="n">
        <x:v>3</x:v>
      </x:c>
      <x:c r="N99" s="2" t="n">
        <x:v>4</x:v>
      </x:c>
      <x:c r="O99" s="2" t="n">
        <x:v>1</x:v>
      </x:c>
      <x:c r="P99" s="2" t="n">
        <x:v>1</x:v>
      </x:c>
      <x:c r="Q99" s="2" t="n">
        <x:v>1</x:v>
      </x:c>
      <x:c r="R99" s="2" t="n">
        <x:v>1</x:v>
      </x:c>
      <x:c r="S99" s="2" t="str">
        <x:v>09:38</x:v>
      </x:c>
      <x:c r="T99" s="12" t="n">
        <x:v>7.71</x:v>
      </x:c>
      <x:c r="U99" s="2" t="n">
        <x:v>1</x:v>
      </x:c>
      <x:c r="V99" s="2" t="n">
        <x:v>0</x:v>
      </x:c>
      <x:c r="W99" s="2" t="n">
        <x:v>0</x:v>
      </x:c>
      <x:c r="X99" s="2" t="n">
        <x:v>1</x:v>
      </x:c>
    </x:row>
    <x:row r="100">
      <x:c r="A100" s="6" t="d">
        <x:v>2025-06-20T00:00:00.000Z</x:v>
      </x:c>
      <x:c r="B100" s="6" t="d">
        <x:v>2025-06-23T00:00:00.000Z</x:v>
      </x:c>
      <x:c r="C100" s="7" t="str">
        <x:v>601606</x:v>
      </x:c>
      <x:c r="D100" s="2" t="n">
        <x:v>3</x:v>
      </x:c>
      <x:c r="E100" s="11" t="n">
        <x:v>0.7163111863915324</x:v>
      </x:c>
      <x:c r="F100" s="2" t="str">
        <x:v>高点回落&lt;5%</x:v>
      </x:c>
      <x:c r="G100" s="9" t="n">
        <x:v>0.083333333333333</x:v>
      </x:c>
      <x:c r="H100" s="9" t="n">
        <x:v>0.030501089324619</x:v>
      </x:c>
      <x:c r="I100" s="9" t="n">
        <x:v>0.013616557734205</x:v>
      </x:c>
      <x:c r="J100" s="9" t="n">
        <x:v>0.038054968287526</x:v>
      </x:c>
      <x:c r="K100" s="9" t="n">
        <x:v>0.742268041237113</x:v>
      </x:c>
      <x:c r="L100" s="2" t="str">
        <x:v>两段走强</x:v>
      </x:c>
      <x:c r="M100" s="2" t="n">
        <x:v>0</x:v>
      </x:c>
      <x:c r="N100" s="2" t="n">
        <x:v>5</x:v>
      </x:c>
      <x:c r="O100" s="2" t="n">
        <x:v>1</x:v>
      </x:c>
      <x:c r="P100" s="2" t="n">
        <x:v>1</x:v>
      </x:c>
      <x:c r="Q100" s="2" t="n">
        <x:v>1</x:v>
      </x:c>
      <x:c r="R100" s="2" t="n">
        <x:v>1</x:v>
      </x:c>
      <x:c r="S100" s="2" t="str">
        <x:v>09:36</x:v>
      </x:c>
      <x:c r="T100" s="12" t="n">
        <x:v>19.62</x:v>
      </x:c>
      <x:c r="U100" s="2" t="n">
        <x:v>1</x:v>
      </x:c>
      <x:c r="V100" s="2" t="n">
        <x:v>0</x:v>
      </x:c>
      <x:c r="W100" s="2" t="n">
        <x:v>0</x:v>
      </x:c>
      <x:c r="X100" s="2" t="n">
        <x:v>1</x:v>
      </x:c>
    </x:row>
    <x:row r="101">
      <x:c r="A101" s="6" t="d">
        <x:v>2025-06-23T00:00:00.000Z</x:v>
      </x:c>
      <x:c r="B101" s="6" t="d">
        <x:v>2025-06-24T00:00:00.000Z</x:v>
      </x:c>
      <x:c r="C101" s="7" t="str">
        <x:v>600798</x:v>
      </x:c>
      <x:c r="D101" s="2" t="n">
        <x:v>1</x:v>
      </x:c>
      <x:c r="E101" s="11" t="n">
        <x:v>0.7481941398163994</x:v>
      </x:c>
      <x:c r="F101" s="2" t="str">
        <x:v>高点回落&lt;5%</x:v>
      </x:c>
      <x:c r="G101" s="9" t="n">
        <x:v>0.047916666666667</x:v>
      </x:c>
      <x:c r="H101" s="9" t="n">
        <x:v>-0.047916666666667</x:v>
      </x:c>
      <x:c r="I101" s="9" t="n">
        <x:v>0.016666666666667</x:v>
      </x:c>
      <x:c r="J101" s="9" t="n">
        <x:v>0.039915966386555</x:v>
      </x:c>
      <x:c r="K101" s="9" t="n">
        <x:v>0.826086956521739</x:v>
      </x:c>
      <x:c r="L101" s="2" t="str">
        <x:v>两段走强</x:v>
      </x:c>
      <x:c r="M101" s="2" t="n">
        <x:v>0</x:v>
      </x:c>
      <x:c r="N101" s="2" t="n">
        <x:v>5</x:v>
      </x:c>
      <x:c r="O101" s="2" t="n">
        <x:v>1</x:v>
      </x:c>
      <x:c r="P101" s="2" t="n">
        <x:v>1</x:v>
      </x:c>
      <x:c r="Q101" s="2" t="n">
        <x:v>1</x:v>
      </x:c>
      <x:c r="R101" s="2" t="n">
        <x:v>1</x:v>
      </x:c>
      <x:c r="S101" s="2" t="str">
        <x:v>09:36</x:v>
      </x:c>
      <x:c r="T101" s="12" t="n">
        <x:v>4.96</x:v>
      </x:c>
      <x:c r="U101" s="2" t="n">
        <x:v>1</x:v>
      </x:c>
      <x:c r="V101" s="2" t="n">
        <x:v>1</x:v>
      </x:c>
      <x:c r="W101" s="2" t="n">
        <x:v>1</x:v>
      </x:c>
      <x:c r="X101" s="2" t="n">
        <x:v>0</x:v>
      </x:c>
    </x:row>
    <x:row r="102">
      <x:c r="A102" s="6" t="d">
        <x:v>2025-06-23T00:00:00.000Z</x:v>
      </x:c>
      <x:c r="B102" s="6" t="d">
        <x:v>2025-06-24T00:00:00.000Z</x:v>
      </x:c>
      <x:c r="C102" s="7" t="str">
        <x:v>603928</x:v>
      </x:c>
      <x:c r="D102" s="2" t="n">
        <x:v>2</x:v>
      </x:c>
      <x:c r="E102" s="11" t="n">
        <x:v>0.7085996934465945</x:v>
      </x:c>
      <x:c r="F102" s="2" t="str">
        <x:v>高点回落&lt;5%</x:v>
      </x:c>
      <x:c r="G102" s="9" t="n">
        <x:v>0.099933818663137</x:v>
      </x:c>
      <x:c r="H102" s="9" t="n">
        <x:v>0.099933818663137</x:v>
      </x:c>
      <x:c r="I102" s="9" t="n">
        <x:v>0</x:v>
      </x:c>
      <x:c r="J102" s="9" t="n">
        <x:v>0</x:v>
      </x:c>
      <x:c r="K102" s="9" t="n">
        <x:v>0.5</x:v>
      </x:c>
      <x:c r="L102" s="2" t="str">
        <x:v>平走</x:v>
      </x:c>
      <x:c r="M102" s="2" t="n">
        <x:v>5</x:v>
      </x:c>
      <x:c r="N102" s="2" t="n">
        <x:v>0</x:v>
      </x:c>
      <x:c r="O102" s="2" t="n">
        <x:v>1</x:v>
      </x:c>
      <x:c r="P102" s="2" t="n">
        <x:v>1</x:v>
      </x:c>
      <x:c r="Q102" s="2" t="n">
        <x:v>1</x:v>
      </x:c>
      <x:c r="R102" s="2" t="n">
        <x:v>0</x:v>
      </x:c>
      <x:c r="S102" s="2"/>
      <x:c r="T102" s="12"/>
      <x:c r="U102" s="2" t="n">
        <x:v>1</x:v>
      </x:c>
      <x:c r="V102" s="2" t="n">
        <x:v>0</x:v>
      </x:c>
      <x:c r="W102" s="2" t="n">
        <x:v>0</x:v>
      </x:c>
      <x:c r="X102" s="2" t="n">
        <x:v>1</x:v>
      </x:c>
    </x:row>
    <x:row r="103">
      <x:c r="A103" s="6" t="d">
        <x:v>2025-06-23T00:00:00.000Z</x:v>
      </x:c>
      <x:c r="B103" s="6" t="d">
        <x:v>2025-06-24T00:00:00.000Z</x:v>
      </x:c>
      <x:c r="C103" s="7" t="str">
        <x:v>600110</x:v>
      </x:c>
      <x:c r="D103" s="2" t="n">
        <x:v>3</x:v>
      </x:c>
      <x:c r="E103" s="11" t="n">
        <x:v>0.6997920126227213</x:v>
      </x:c>
      <x:c r="F103" s="2" t="str">
        <x:v>高点回落&lt;5%</x:v>
      </x:c>
      <x:c r="G103" s="9" t="n">
        <x:v>0.074074074074074</x:v>
      </x:c>
      <x:c r="H103" s="9" t="n">
        <x:v>-0.026455026455027</x:v>
      </x:c>
      <x:c r="I103" s="9" t="n">
        <x:v>0.021164021164021</x:v>
      </x:c>
      <x:c r="J103" s="9" t="n">
        <x:v>0.081521739130435</x:v>
      </x:c>
      <x:c r="K103" s="9" t="n">
        <x:v>0.789473684210526</x:v>
      </x:c>
      <x:c r="L103" s="2" t="str">
        <x:v>两段走强</x:v>
      </x:c>
      <x:c r="M103" s="2" t="n">
        <x:v>0</x:v>
      </x:c>
      <x:c r="N103" s="2" t="n">
        <x:v>5</x:v>
      </x:c>
      <x:c r="O103" s="2" t="n">
        <x:v>1</x:v>
      </x:c>
      <x:c r="P103" s="2" t="n">
        <x:v>1</x:v>
      </x:c>
      <x:c r="Q103" s="2" t="n">
        <x:v>1</x:v>
      </x:c>
      <x:c r="R103" s="2" t="n">
        <x:v>1</x:v>
      </x:c>
      <x:c r="S103" s="2" t="str">
        <x:v>09:36</x:v>
      </x:c>
      <x:c r="T103" s="12" t="n">
        <x:v>5.98</x:v>
      </x:c>
      <x:c r="U103" s="2" t="n">
        <x:v>1</x:v>
      </x:c>
      <x:c r="V103" s="2" t="n">
        <x:v>0</x:v>
      </x:c>
      <x:c r="W103" s="2" t="n">
        <x:v>0</x:v>
      </x:c>
      <x:c r="X103" s="2" t="n">
        <x:v>1</x:v>
      </x:c>
    </x:row>
    <x:row r="104">
      <x:c r="A104" s="6" t="d">
        <x:v>2025-06-24T00:00:00.000Z</x:v>
      </x:c>
      <x:c r="B104" s="6" t="d">
        <x:v>2025-06-25T00:00:00.000Z</x:v>
      </x:c>
      <x:c r="C104" s="7" t="str">
        <x:v>603928</x:v>
      </x:c>
      <x:c r="D104" s="2" t="n">
        <x:v>1</x:v>
      </x:c>
      <x:c r="E104" s="11" t="n">
        <x:v>0.7871466516409099</x:v>
      </x:c>
      <x:c r="F104" s="2" t="str">
        <x:v>高点回落&lt;5%</x:v>
      </x:c>
      <x:c r="G104" s="9" t="n">
        <x:v>0.099879663056558</x:v>
      </x:c>
      <x:c r="H104" s="9" t="n">
        <x:v>0.028880866425993</x:v>
      </x:c>
      <x:c r="I104" s="9" t="n">
        <x:v>0.030084235860409</x:v>
      </x:c>
      <x:c r="J104" s="9" t="n">
        <x:v>-0.027352297592998</x:v>
      </x:c>
      <x:c r="K104" s="9" t="n">
        <x:v>0.576271186440678</x:v>
      </x:c>
      <x:c r="L104" s="2" t="str">
        <x:v>两段走弱</x:v>
      </x:c>
      <x:c r="M104" s="2" t="n">
        <x:v>1</x:v>
      </x:c>
      <x:c r="N104" s="2" t="n">
        <x:v>5</x:v>
      </x:c>
      <x:c r="O104" s="2" t="n">
        <x:v>1</x:v>
      </x:c>
      <x:c r="P104" s="2" t="n">
        <x:v>1</x:v>
      </x:c>
      <x:c r="Q104" s="2" t="n">
        <x:v>1</x:v>
      </x:c>
      <x:c r="R104" s="2" t="n">
        <x:v>1</x:v>
      </x:c>
      <x:c r="S104" s="2" t="str">
        <x:v>09:36</x:v>
      </x:c>
      <x:c r="T104" s="12" t="n">
        <x:v>17.71</x:v>
      </x:c>
      <x:c r="U104" s="2" t="n">
        <x:v>1</x:v>
      </x:c>
      <x:c r="V104" s="2" t="n">
        <x:v>1</x:v>
      </x:c>
      <x:c r="W104" s="2" t="n">
        <x:v>1</x:v>
      </x:c>
      <x:c r="X104" s="2" t="n">
        <x:v>1</x:v>
      </x:c>
    </x:row>
    <x:row r="105">
      <x:c r="A105" s="6" t="d">
        <x:v>2025-06-24T00:00:00.000Z</x:v>
      </x:c>
      <x:c r="B105" s="6" t="d">
        <x:v>2025-06-25T00:00:00.000Z</x:v>
      </x:c>
      <x:c r="C105" s="7" t="str">
        <x:v>600110</x:v>
      </x:c>
      <x:c r="D105" s="2" t="n">
        <x:v>2</x:v>
      </x:c>
      <x:c r="E105" s="11" t="n">
        <x:v>0.7427438301568345</x:v>
      </x:c>
      <x:c r="F105" s="2" t="str">
        <x:v>高点回落&lt;5%</x:v>
      </x:c>
      <x:c r="G105" s="9" t="n">
        <x:v>0.041666666666667</x:v>
      </x:c>
      <x:c r="H105" s="9" t="n">
        <x:v>-0.003205128205128</x:v>
      </x:c>
      <x:c r="I105" s="9" t="n">
        <x:v>0.024038461538462</x:v>
      </x:c>
      <x:c r="J105" s="9" t="n">
        <x:v>-0.0078125</x:v>
      </x:c>
      <x:c r="K105" s="9" t="n">
        <x:v>0.464285714285714</x:v>
      </x:c>
      <x:c r="L105" s="2" t="str">
        <x:v>前强后弱</x:v>
      </x:c>
      <x:c r="M105" s="2" t="n">
        <x:v>0</x:v>
      </x:c>
      <x:c r="N105" s="2" t="n">
        <x:v>5</x:v>
      </x:c>
      <x:c r="O105" s="2" t="n">
        <x:v>1</x:v>
      </x:c>
      <x:c r="P105" s="2" t="n">
        <x:v>1</x:v>
      </x:c>
      <x:c r="Q105" s="2" t="n">
        <x:v>1</x:v>
      </x:c>
      <x:c r="R105" s="2" t="n">
        <x:v>1</x:v>
      </x:c>
      <x:c r="S105" s="2" t="str">
        <x:v>09:36</x:v>
      </x:c>
      <x:c r="T105" s="12" t="n">
        <x:v>6.36</x:v>
      </x:c>
      <x:c r="U105" s="2" t="n">
        <x:v>1</x:v>
      </x:c>
      <x:c r="V105" s="2" t="n">
        <x:v>0</x:v>
      </x:c>
      <x:c r="W105" s="2" t="n">
        <x:v>0</x:v>
      </x:c>
      <x:c r="X105" s="2" t="n">
        <x:v>1</x:v>
      </x:c>
    </x:row>
    <x:row r="106">
      <x:c r="A106" s="6" t="d">
        <x:v>2025-06-24T00:00:00.000Z</x:v>
      </x:c>
      <x:c r="B106" s="6" t="d">
        <x:v>2025-06-25T00:00:00.000Z</x:v>
      </x:c>
      <x:c r="C106" s="7" t="str">
        <x:v>002125</x:v>
      </x:c>
      <x:c r="D106" s="2" t="n">
        <x:v>3</x:v>
      </x:c>
      <x:c r="E106" s="11" t="n">
        <x:v>0.7344892318672562</x:v>
      </x:c>
      <x:c r="F106" s="2" t="str">
        <x:v>高点回落&lt;5%</x:v>
      </x:c>
      <x:c r="G106" s="9" t="n">
        <x:v>0.100201748486886</x:v>
      </x:c>
      <x:c r="H106" s="9" t="n">
        <x:v>0.100201748486886</x:v>
      </x:c>
      <x:c r="I106" s="9" t="n">
        <x:v>0</x:v>
      </x:c>
      <x:c r="J106" s="9" t="n">
        <x:v>0</x:v>
      </x:c>
      <x:c r="K106" s="9" t="n">
        <x:v>0.5</x:v>
      </x:c>
      <x:c r="L106" s="2" t="str">
        <x:v>平走</x:v>
      </x:c>
      <x:c r="M106" s="2" t="n">
        <x:v>5</x:v>
      </x:c>
      <x:c r="N106" s="2" t="n">
        <x:v>0</x:v>
      </x:c>
      <x:c r="O106" s="2" t="n">
        <x:v>1</x:v>
      </x:c>
      <x:c r="P106" s="2" t="n">
        <x:v>1</x:v>
      </x:c>
      <x:c r="Q106" s="2" t="n">
        <x:v>1</x:v>
      </x:c>
      <x:c r="R106" s="2" t="n">
        <x:v>0</x:v>
      </x:c>
      <x:c r="S106" s="2"/>
      <x:c r="T106" s="12"/>
      <x:c r="U106" s="2" t="n">
        <x:v>1</x:v>
      </x:c>
      <x:c r="V106" s="2" t="n">
        <x:v>0</x:v>
      </x:c>
      <x:c r="W106" s="2" t="n">
        <x:v>0</x:v>
      </x:c>
      <x:c r="X106" s="2" t="n">
        <x:v>1</x:v>
      </x:c>
    </x:row>
    <x:row r="107">
      <x:c r="A107" s="6" t="d">
        <x:v>2025-06-25T00:00:00.000Z</x:v>
      </x:c>
      <x:c r="B107" s="6" t="d">
        <x:v>2025-06-26T00:00:00.000Z</x:v>
      </x:c>
      <x:c r="C107" s="7" t="str">
        <x:v>002125</x:v>
      </x:c>
      <x:c r="D107" s="2" t="n">
        <x:v>1</x:v>
      </x:c>
      <x:c r="E107" s="11" t="n">
        <x:v>0.7821652631350957</x:v>
      </x:c>
      <x:c r="F107" s="2" t="str">
        <x:v>高点回落&lt;5%</x:v>
      </x:c>
      <x:c r="G107" s="9" t="n">
        <x:v>0.09718826405868</x:v>
      </x:c>
      <x:c r="H107" s="9" t="n">
        <x:v>0.02078239608802</x:v>
      </x:c>
      <x:c r="I107" s="9" t="n">
        <x:v>0.018337408312958</x:v>
      </x:c>
      <x:c r="J107" s="9" t="n">
        <x:v>0.045616113744076</x:v>
      </x:c>
      <x:c r="K107" s="9" t="n">
        <x:v>0.76</x:v>
      </x:c>
      <x:c r="L107" s="2" t="str">
        <x:v>前强后弱</x:v>
      </x:c>
      <x:c r="M107" s="2" t="n">
        <x:v>0</x:v>
      </x:c>
      <x:c r="N107" s="2" t="n">
        <x:v>5</x:v>
      </x:c>
      <x:c r="O107" s="2" t="n">
        <x:v>1</x:v>
      </x:c>
      <x:c r="P107" s="2" t="n">
        <x:v>1</x:v>
      </x:c>
      <x:c r="Q107" s="2" t="n">
        <x:v>1</x:v>
      </x:c>
      <x:c r="R107" s="2" t="n">
        <x:v>1</x:v>
      </x:c>
      <x:c r="S107" s="2" t="str">
        <x:v>09:36</x:v>
      </x:c>
      <x:c r="T107" s="12" t="n">
        <x:v>17.63</x:v>
      </x:c>
      <x:c r="U107" s="2" t="n">
        <x:v>1</x:v>
      </x:c>
      <x:c r="V107" s="2" t="n">
        <x:v>1</x:v>
      </x:c>
      <x:c r="W107" s="2" t="n">
        <x:v>1</x:v>
      </x:c>
      <x:c r="X107" s="2" t="n">
        <x:v>0</x:v>
      </x:c>
    </x:row>
    <x:row r="108">
      <x:c r="A108" s="6" t="d">
        <x:v>2025-06-25T00:00:00.000Z</x:v>
      </x:c>
      <x:c r="B108" s="6" t="d">
        <x:v>2025-06-26T00:00:00.000Z</x:v>
      </x:c>
      <x:c r="C108" s="7" t="str">
        <x:v>603928</x:v>
      </x:c>
      <x:c r="D108" s="2" t="n">
        <x:v>2</x:v>
      </x:c>
      <x:c r="E108" s="11" t="n">
        <x:v>0.7714815687548999</x:v>
      </x:c>
      <x:c r="F108" s="2" t="str">
        <x:v>高点回落&lt;5%</x:v>
      </x:c>
      <x:c r="G108" s="9" t="n">
        <x:v>0.100109409190372</x:v>
      </x:c>
      <x:c r="H108" s="9" t="n">
        <x:v>0.009846827133479</x:v>
      </x:c>
      <x:c r="I108" s="9" t="n">
        <x:v>0</x:v>
      </x:c>
      <x:c r="J108" s="9" t="n">
        <x:v>0.089382448537378</x:v>
      </x:c>
      <x:c r="K108" s="9" t="n">
        <x:v>1</x:v>
      </x:c>
      <x:c r="L108" s="2" t="str">
        <x:v>两段走强</x:v>
      </x:c>
      <x:c r="M108" s="2" t="n">
        <x:v>4</x:v>
      </x:c>
      <x:c r="N108" s="2" t="n">
        <x:v>2</x:v>
      </x:c>
      <x:c r="O108" s="2" t="n">
        <x:v>1</x:v>
      </x:c>
      <x:c r="P108" s="2" t="n">
        <x:v>1</x:v>
      </x:c>
      <x:c r="Q108" s="2" t="n">
        <x:v>1</x:v>
      </x:c>
      <x:c r="R108" s="2" t="n">
        <x:v>0</x:v>
      </x:c>
      <x:c r="S108" s="2"/>
      <x:c r="T108" s="12"/>
      <x:c r="U108" s="2" t="n">
        <x:v>1</x:v>
      </x:c>
      <x:c r="V108" s="2" t="n">
        <x:v>0</x:v>
      </x:c>
      <x:c r="W108" s="2" t="n">
        <x:v>0</x:v>
      </x:c>
      <x:c r="X108" s="2" t="n">
        <x:v>1</x:v>
      </x:c>
    </x:row>
    <x:row r="109">
      <x:c r="A109" s="6" t="d">
        <x:v>2025-06-25T00:00:00.000Z</x:v>
      </x:c>
      <x:c r="B109" s="6" t="d">
        <x:v>2025-06-26T00:00:00.000Z</x:v>
      </x:c>
      <x:c r="C109" s="7" t="str">
        <x:v>603022</x:v>
      </x:c>
      <x:c r="D109" s="2" t="n">
        <x:v>3</x:v>
      </x:c>
      <x:c r="E109" s="11" t="n">
        <x:v>0.762620640699075</x:v>
      </x:c>
      <x:c r="F109" s="2" t="str">
        <x:v>高点回落&lt;5%</x:v>
      </x:c>
      <x:c r="G109" s="9" t="n">
        <x:v>0.099838969404187</x:v>
      </x:c>
      <x:c r="H109" s="9" t="n">
        <x:v>0.099838969404187</x:v>
      </x:c>
      <x:c r="I109" s="9" t="n">
        <x:v>0</x:v>
      </x:c>
      <x:c r="J109" s="9" t="n">
        <x:v>0</x:v>
      </x:c>
      <x:c r="K109" s="9" t="n">
        <x:v>0.5</x:v>
      </x:c>
      <x:c r="L109" s="2" t="str">
        <x:v>平走</x:v>
      </x:c>
      <x:c r="M109" s="2" t="n">
        <x:v>5</x:v>
      </x:c>
      <x:c r="N109" s="2" t="n">
        <x:v>0</x:v>
      </x:c>
      <x:c r="O109" s="2" t="n">
        <x:v>1</x:v>
      </x:c>
      <x:c r="P109" s="2" t="n">
        <x:v>1</x:v>
      </x:c>
      <x:c r="Q109" s="2" t="n">
        <x:v>1</x:v>
      </x:c>
      <x:c r="R109" s="2" t="n">
        <x:v>0</x:v>
      </x:c>
      <x:c r="S109" s="2"/>
      <x:c r="T109" s="12"/>
      <x:c r="U109" s="2" t="n">
        <x:v>1</x:v>
      </x:c>
      <x:c r="V109" s="2" t="n">
        <x:v>0</x:v>
      </x:c>
      <x:c r="W109" s="2" t="n">
        <x:v>0</x:v>
      </x:c>
      <x:c r="X109" s="2" t="n">
        <x:v>1</x:v>
      </x:c>
    </x:row>
    <x:row r="110">
      <x:c r="A110" s="6" t="d">
        <x:v>2025-06-26T00:00:00.000Z</x:v>
      </x:c>
      <x:c r="B110" s="6" t="d">
        <x:v>2025-06-27T00:00:00.000Z</x:v>
      </x:c>
      <x:c r="C110" s="7" t="str">
        <x:v>002759</x:v>
      </x:c>
      <x:c r="D110" s="2" t="n">
        <x:v>1</x:v>
      </x:c>
      <x:c r="E110" s="11" t="n">
        <x:v>0.7930832328823892</x:v>
      </x:c>
      <x:c r="F110" s="2" t="str">
        <x:v>高点回落&lt;5%</x:v>
      </x:c>
      <x:c r="G110" s="9" t="n">
        <x:v>0.048076923076923</x:v>
      </x:c>
      <x:c r="H110" s="9" t="n">
        <x:v>-0.018356643356643</x:v>
      </x:c>
      <x:c r="I110" s="9" t="n">
        <x:v>0.049825174825175</x:v>
      </x:c>
      <x:c r="J110" s="9" t="n">
        <x:v>0.016918967052538</x:v>
      </x:c>
      <x:c r="K110" s="9" t="n">
        <x:v>0.249999999999999</x:v>
      </x:c>
      <x:c r="L110" s="2" t="str">
        <x:v>前强后弱</x:v>
      </x:c>
      <x:c r="M110" s="2" t="n">
        <x:v>0</x:v>
      </x:c>
      <x:c r="N110" s="2" t="n">
        <x:v>5</x:v>
      </x:c>
      <x:c r="O110" s="2" t="n">
        <x:v>1</x:v>
      </x:c>
      <x:c r="P110" s="2" t="n">
        <x:v>1</x:v>
      </x:c>
      <x:c r="Q110" s="2" t="n">
        <x:v>1</x:v>
      </x:c>
      <x:c r="R110" s="2" t="n">
        <x:v>1</x:v>
      </x:c>
      <x:c r="S110" s="2" t="str">
        <x:v>09:36</x:v>
      </x:c>
      <x:c r="T110" s="12" t="n">
        <x:v>11.42</x:v>
      </x:c>
      <x:c r="U110" s="2" t="n">
        <x:v>1</x:v>
      </x:c>
      <x:c r="V110" s="2" t="n">
        <x:v>1</x:v>
      </x:c>
      <x:c r="W110" s="2" t="n">
        <x:v>1</x:v>
      </x:c>
      <x:c r="X110" s="2" t="n">
        <x:v>0</x:v>
      </x:c>
    </x:row>
    <x:row r="111">
      <x:c r="A111" s="6" t="d">
        <x:v>2025-06-26T00:00:00.000Z</x:v>
      </x:c>
      <x:c r="B111" s="6" t="d">
        <x:v>2025-06-27T00:00:00.000Z</x:v>
      </x:c>
      <x:c r="C111" s="7" t="str">
        <x:v>001236</x:v>
      </x:c>
      <x:c r="D111" s="2" t="n">
        <x:v>2</x:v>
      </x:c>
      <x:c r="E111" s="11" t="n">
        <x:v>0.7785232294483017</x:v>
      </x:c>
      <x:c r="F111" s="2" t="str">
        <x:v>高点回落&lt;5%</x:v>
      </x:c>
      <x:c r="G111" s="9" t="n">
        <x:v>0.099924299772899</x:v>
      </x:c>
      <x:c r="H111" s="9" t="n">
        <x:v>0.099924299772899</x:v>
      </x:c>
      <x:c r="I111" s="9" t="n">
        <x:v>0</x:v>
      </x:c>
      <x:c r="J111" s="9" t="n">
        <x:v>0</x:v>
      </x:c>
      <x:c r="K111" s="9" t="n">
        <x:v>0.5</x:v>
      </x:c>
      <x:c r="L111" s="2" t="str">
        <x:v>平走</x:v>
      </x:c>
      <x:c r="M111" s="2" t="n">
        <x:v>5</x:v>
      </x:c>
      <x:c r="N111" s="2" t="n">
        <x:v>0</x:v>
      </x:c>
      <x:c r="O111" s="2" t="n">
        <x:v>1</x:v>
      </x:c>
      <x:c r="P111" s="2" t="n">
        <x:v>1</x:v>
      </x:c>
      <x:c r="Q111" s="2" t="n">
        <x:v>1</x:v>
      </x:c>
      <x:c r="R111" s="2" t="n">
        <x:v>0</x:v>
      </x:c>
      <x:c r="S111" s="2"/>
      <x:c r="T111" s="12"/>
      <x:c r="U111" s="2" t="n">
        <x:v>1</x:v>
      </x:c>
      <x:c r="V111" s="2" t="n">
        <x:v>0</x:v>
      </x:c>
      <x:c r="W111" s="2" t="n">
        <x:v>0</x:v>
      </x:c>
      <x:c r="X111" s="2" t="n">
        <x:v>1</x:v>
      </x:c>
    </x:row>
    <x:row r="112">
      <x:c r="A112" s="6" t="d">
        <x:v>2025-06-26T00:00:00.000Z</x:v>
      </x:c>
      <x:c r="B112" s="6" t="d">
        <x:v>2025-06-27T00:00:00.000Z</x:v>
      </x:c>
      <x:c r="C112" s="7" t="str">
        <x:v>603022</x:v>
      </x:c>
      <x:c r="D112" s="2" t="n">
        <x:v>3</x:v>
      </x:c>
      <x:c r="E112" s="11" t="n">
        <x:v>0.7724415230290926</x:v>
      </x:c>
      <x:c r="F112" s="2" t="str">
        <x:v>高点回落&lt;5%</x:v>
      </x:c>
      <x:c r="G112" s="9" t="n">
        <x:v>0.100292825768668</x:v>
      </x:c>
      <x:c r="H112" s="9" t="n">
        <x:v>-0.100292825768668</x:v>
      </x:c>
      <x:c r="I112" s="9" t="n">
        <x:v>0.185944363103953</x:v>
      </x:c>
      <x:c r="J112" s="9" t="n">
        <x:v>-0.168995342648037</x:v>
      </x:c>
      <x:c r="K112" s="9" t="n">
        <x:v>0.072992700729927</x:v>
      </x:c>
      <x:c r="L112" s="2" t="str">
        <x:v>两段走弱</x:v>
      </x:c>
      <x:c r="M112" s="2" t="n">
        <x:v>2</x:v>
      </x:c>
      <x:c r="N112" s="2" t="n">
        <x:v>4</x:v>
      </x:c>
      <x:c r="O112" s="2" t="n">
        <x:v>1</x:v>
      </x:c>
      <x:c r="P112" s="2" t="n">
        <x:v>1</x:v>
      </x:c>
      <x:c r="Q112" s="2" t="n">
        <x:v>0</x:v>
      </x:c>
      <x:c r="R112" s="2" t="n">
        <x:v>1</x:v>
      </x:c>
      <x:c r="S112" s="2" t="str">
        <x:v>09:36</x:v>
      </x:c>
      <x:c r="T112" s="12" t="n">
        <x:v>12.49</x:v>
      </x:c>
      <x:c r="U112" s="2" t="n">
        <x:v>0</x:v>
      </x:c>
      <x:c r="V112" s="2" t="n">
        <x:v>0</x:v>
      </x:c>
      <x:c r="W112" s="2" t="n">
        <x:v>0</x:v>
      </x:c>
      <x:c r="X112" s="2" t="n">
        <x:v>0</x:v>
      </x:c>
    </x:row>
    <x:row r="113">
      <x:c r="A113" s="6" t="d">
        <x:v>2025-06-27T00:00:00.000Z</x:v>
      </x:c>
      <x:c r="B113" s="6" t="d">
        <x:v>2025-06-30T00:00:00.000Z</x:v>
      </x:c>
      <x:c r="C113" s="7" t="str">
        <x:v>001236</x:v>
      </x:c>
      <x:c r="D113" s="2" t="n">
        <x:v>1</x:v>
      </x:c>
      <x:c r="E113" s="11" t="n">
        <x:v>0.7642938778942975</x:v>
      </x:c>
      <x:c r="F113" s="2" t="str">
        <x:v>高点回落&lt;5%</x:v>
      </x:c>
      <x:c r="G113" s="9" t="n">
        <x:v>0.09979353062629</x:v>
      </x:c>
      <x:c r="H113" s="9" t="n">
        <x:v>0.04267033723331</x:v>
      </x:c>
      <x:c r="I113" s="9" t="n">
        <x:v>0</x:v>
      </x:c>
      <x:c r="J113" s="9" t="n">
        <x:v>0.049934296977661</x:v>
      </x:c>
      <x:c r="K113" s="9" t="n">
        <x:v>1</x:v>
      </x:c>
      <x:c r="L113" s="2" t="str">
        <x:v>两段走强</x:v>
      </x:c>
      <x:c r="M113" s="2" t="n">
        <x:v>3</x:v>
      </x:c>
      <x:c r="N113" s="2" t="n">
        <x:v>4</x:v>
      </x:c>
      <x:c r="O113" s="2" t="n">
        <x:v>1</x:v>
      </x:c>
      <x:c r="P113" s="2" t="n">
        <x:v>1</x:v>
      </x:c>
      <x:c r="Q113" s="2" t="n">
        <x:v>1</x:v>
      </x:c>
      <x:c r="R113" s="2" t="n">
        <x:v>0</x:v>
      </x:c>
      <x:c r="S113" s="2"/>
      <x:c r="T113" s="12"/>
      <x:c r="U113" s="2" t="n">
        <x:v>1</x:v>
      </x:c>
      <x:c r="V113" s="2" t="n">
        <x:v>0</x:v>
      </x:c>
      <x:c r="W113" s="2" t="n">
        <x:v>0</x:v>
      </x:c>
      <x:c r="X113" s="2" t="n">
        <x:v>1</x:v>
      </x:c>
    </x:row>
    <x:row r="114">
      <x:c r="A114" s="6" t="d">
        <x:v>2025-06-27T00:00:00.000Z</x:v>
      </x:c>
      <x:c r="B114" s="6" t="d">
        <x:v>2025-06-30T00:00:00.000Z</x:v>
      </x:c>
      <x:c r="C114" s="7" t="str">
        <x:v>002263</x:v>
      </x:c>
      <x:c r="D114" s="2" t="n">
        <x:v>2</x:v>
      </x:c>
      <x:c r="E114" s="11" t="n">
        <x:v>0.7431774377906054</x:v>
      </x:c>
      <x:c r="F114" s="2" t="str">
        <x:v>高点回落&lt;5%</x:v>
      </x:c>
      <x:c r="G114" s="9" t="n">
        <x:v>0.061333333333333</x:v>
      </x:c>
      <x:c r="H114" s="9" t="n">
        <x:v>-0.010666666666667</x:v>
      </x:c>
      <x:c r="I114" s="9" t="n">
        <x:v>0.042666666666667</x:v>
      </x:c>
      <x:c r="J114" s="9" t="n">
        <x:v>0.005263157894737</x:v>
      </x:c>
      <x:c r="K114" s="9" t="n">
        <x:v>0.407407407407407</x:v>
      </x:c>
      <x:c r="L114" s="2" t="str">
        <x:v>前强后弱</x:v>
      </x:c>
      <x:c r="M114" s="2" t="n">
        <x:v>0</x:v>
      </x:c>
      <x:c r="N114" s="2" t="n">
        <x:v>5</x:v>
      </x:c>
      <x:c r="O114" s="2" t="n">
        <x:v>1</x:v>
      </x:c>
      <x:c r="P114" s="2" t="n">
        <x:v>1</x:v>
      </x:c>
      <x:c r="Q114" s="2" t="n">
        <x:v>1</x:v>
      </x:c>
      <x:c r="R114" s="2" t="n">
        <x:v>1</x:v>
      </x:c>
      <x:c r="S114" s="2" t="str">
        <x:v>09:36</x:v>
      </x:c>
      <x:c r="T114" s="12" t="n">
        <x:v>3.81</x:v>
      </x:c>
      <x:c r="U114" s="2" t="n">
        <x:v>1</x:v>
      </x:c>
      <x:c r="V114" s="2" t="n">
        <x:v>1</x:v>
      </x:c>
      <x:c r="W114" s="2" t="n">
        <x:v>1</x:v>
      </x:c>
      <x:c r="X114" s="2" t="n">
        <x:v>1</x:v>
      </x:c>
    </x:row>
    <x:row r="115">
      <x:c r="A115" s="6" t="d">
        <x:v>2025-06-27T00:00:00.000Z</x:v>
      </x:c>
      <x:c r="B115" s="6" t="d">
        <x:v>2025-06-30T00:00:00.000Z</x:v>
      </x:c>
      <x:c r="C115" s="7" t="str">
        <x:v>600643</x:v>
      </x:c>
      <x:c r="D115" s="2" t="n">
        <x:v>3</x:v>
      </x:c>
      <x:c r="E115" s="11" t="n">
        <x:v>0.7249321455667875</x:v>
      </x:c>
      <x:c r="F115" s="2" t="str">
        <x:v>高点回落&lt;5%</x:v>
      </x:c>
      <x:c r="G115" s="9" t="n">
        <x:v>-0.020231213872832</x:v>
      </x:c>
      <x:c r="H115" s="9" t="n">
        <x:v>-0.060693641618497</x:v>
      </x:c>
      <x:c r="I115" s="9" t="n">
        <x:v>0.015895953757225</x:v>
      </x:c>
      <x:c r="J115" s="9" t="n">
        <x:v>0.010606060606061</x:v>
      </x:c>
      <x:c r="K115" s="9" t="n">
        <x:v>0.607142857142856</x:v>
      </x:c>
      <x:c r="L115" s="2" t="str">
        <x:v>两段走强</x:v>
      </x:c>
      <x:c r="M115" s="2" t="n">
        <x:v>0</x:v>
      </x:c>
      <x:c r="N115" s="2" t="n">
        <x:v>5</x:v>
      </x:c>
      <x:c r="O115" s="2" t="n">
        <x:v>1</x:v>
      </x:c>
      <x:c r="P115" s="2" t="n">
        <x:v>1</x:v>
      </x:c>
      <x:c r="Q115" s="2" t="n">
        <x:v>1</x:v>
      </x:c>
      <x:c r="R115" s="2" t="n">
        <x:v>1</x:v>
      </x:c>
      <x:c r="S115" s="2" t="str">
        <x:v>09:36</x:v>
      </x:c>
      <x:c r="T115" s="12" t="n">
        <x:v>6.69</x:v>
      </x:c>
      <x:c r="U115" s="2" t="n">
        <x:v>1</x:v>
      </x:c>
      <x:c r="V115" s="2" t="n">
        <x:v>0</x:v>
      </x:c>
      <x:c r="W115" s="2" t="n">
        <x:v>0</x:v>
      </x:c>
      <x:c r="X115" s="2" t="n">
        <x:v>1</x:v>
      </x:c>
    </x:row>
    <x:row r="116">
      <x:c r="A116" s="6" t="d">
        <x:v>2025-06-30T00:00:00.000Z</x:v>
      </x:c>
      <x:c r="B116" s="6" t="d">
        <x:v>2025-07-01T00:00:00.000Z</x:v>
      </x:c>
      <x:c r="C116" s="7" t="str">
        <x:v>000026</x:v>
      </x:c>
      <x:c r="D116" s="2" t="n">
        <x:v>1</x:v>
      </x:c>
      <x:c r="E116" s="11" t="n">
        <x:v>0.7849358369160943</x:v>
      </x:c>
      <x:c r="F116" s="2" t="str">
        <x:v>高点回落&lt;5%</x:v>
      </x:c>
      <x:c r="G116" s="9" t="n">
        <x:v>0.099873577749684</x:v>
      </x:c>
      <x:c r="H116" s="9" t="n">
        <x:v>0.099873577749684</x:v>
      </x:c>
      <x:c r="I116" s="9" t="n">
        <x:v>0</x:v>
      </x:c>
      <x:c r="J116" s="9" t="n">
        <x:v>0</x:v>
      </x:c>
      <x:c r="K116" s="9" t="n">
        <x:v>0.5</x:v>
      </x:c>
      <x:c r="L116" s="2" t="str">
        <x:v>平走</x:v>
      </x:c>
      <x:c r="M116" s="2" t="n">
        <x:v>5</x:v>
      </x:c>
      <x:c r="N116" s="2" t="n">
        <x:v>0</x:v>
      </x:c>
      <x:c r="O116" s="2" t="n">
        <x:v>1</x:v>
      </x:c>
      <x:c r="P116" s="2" t="n">
        <x:v>1</x:v>
      </x:c>
      <x:c r="Q116" s="2" t="n">
        <x:v>1</x:v>
      </x:c>
      <x:c r="R116" s="2" t="n">
        <x:v>0</x:v>
      </x:c>
      <x:c r="S116" s="2"/>
      <x:c r="T116" s="12"/>
      <x:c r="U116" s="2" t="n">
        <x:v>1</x:v>
      </x:c>
      <x:c r="V116" s="2" t="n">
        <x:v>0</x:v>
      </x:c>
      <x:c r="W116" s="2" t="n">
        <x:v>0</x:v>
      </x:c>
      <x:c r="X116" s="2" t="n">
        <x:v>1</x:v>
      </x:c>
    </x:row>
    <x:row r="117">
      <x:c r="A117" s="6" t="d">
        <x:v>2025-06-30T00:00:00.000Z</x:v>
      </x:c>
      <x:c r="B117" s="6" t="d">
        <x:v>2025-07-01T00:00:00.000Z</x:v>
      </x:c>
      <x:c r="C117" s="7" t="str">
        <x:v>603316</x:v>
      </x:c>
      <x:c r="D117" s="2" t="n">
        <x:v>2</x:v>
      </x:c>
      <x:c r="E117" s="11" t="n">
        <x:v>0.764183138049514</x:v>
      </x:c>
      <x:c r="F117" s="2" t="str">
        <x:v>高点回落&lt;5%</x:v>
      </x:c>
      <x:c r="G117" s="9" t="n">
        <x:v>0.100111234705228</x:v>
      </x:c>
      <x:c r="H117" s="9" t="n">
        <x:v>0.100111234705228</x:v>
      </x:c>
      <x:c r="I117" s="9" t="n">
        <x:v>0</x:v>
      </x:c>
      <x:c r="J117" s="9" t="n">
        <x:v>0</x:v>
      </x:c>
      <x:c r="K117" s="9" t="n">
        <x:v>0.5</x:v>
      </x:c>
      <x:c r="L117" s="2" t="str">
        <x:v>平走</x:v>
      </x:c>
      <x:c r="M117" s="2" t="n">
        <x:v>5</x:v>
      </x:c>
      <x:c r="N117" s="2" t="n">
        <x:v>0</x:v>
      </x:c>
      <x:c r="O117" s="2" t="n">
        <x:v>1</x:v>
      </x:c>
      <x:c r="P117" s="2" t="n">
        <x:v>1</x:v>
      </x:c>
      <x:c r="Q117" s="2" t="n">
        <x:v>1</x:v>
      </x:c>
      <x:c r="R117" s="2" t="n">
        <x:v>0</x:v>
      </x:c>
      <x:c r="S117" s="2"/>
      <x:c r="T117" s="12"/>
      <x:c r="U117" s="2" t="n">
        <x:v>1</x:v>
      </x:c>
      <x:c r="V117" s="2" t="n">
        <x:v>0</x:v>
      </x:c>
      <x:c r="W117" s="2" t="n">
        <x:v>0</x:v>
      </x:c>
      <x:c r="X117" s="2" t="n">
        <x:v>1</x:v>
      </x:c>
    </x:row>
    <x:row r="118">
      <x:c r="A118" s="6" t="d">
        <x:v>2025-06-30T00:00:00.000Z</x:v>
      </x:c>
      <x:c r="B118" s="6" t="d">
        <x:v>2025-07-01T00:00:00.000Z</x:v>
      </x:c>
      <x:c r="C118" s="7" t="str">
        <x:v>600241</x:v>
      </x:c>
      <x:c r="D118" s="2" t="n">
        <x:v>3</x:v>
      </x:c>
      <x:c r="E118" s="11" t="n">
        <x:v>0.753684515644546</x:v>
      </x:c>
      <x:c r="F118" s="2" t="str">
        <x:v>高点回落&lt;5%</x:v>
      </x:c>
      <x:c r="G118" s="9" t="n">
        <x:v>0.030046948356808</x:v>
      </x:c>
      <x:c r="H118" s="9" t="n">
        <x:v>-0.035680751173709</x:v>
      </x:c>
      <x:c r="I118" s="9" t="n">
        <x:v>0.032863849765258</x:v>
      </x:c>
      <x:c r="J118" s="9" t="n">
        <x:v>-0.007476635514019</x:v>
      </x:c>
      <x:c r="K118" s="9" t="n">
        <x:v>0.499999999999999</x:v>
      </x:c>
      <x:c r="L118" s="2" t="str">
        <x:v>前弱后强</x:v>
      </x:c>
      <x:c r="M118" s="2" t="n">
        <x:v>0</x:v>
      </x:c>
      <x:c r="N118" s="2" t="n">
        <x:v>5</x:v>
      </x:c>
      <x:c r="O118" s="2" t="n">
        <x:v>1</x:v>
      </x:c>
      <x:c r="P118" s="2" t="n">
        <x:v>1</x:v>
      </x:c>
      <x:c r="Q118" s="2" t="n">
        <x:v>1</x:v>
      </x:c>
      <x:c r="R118" s="2" t="n">
        <x:v>1</x:v>
      </x:c>
      <x:c r="S118" s="2" t="str">
        <x:v>09:36</x:v>
      </x:c>
      <x:c r="T118" s="12" t="n">
        <x:v>10.63</x:v>
      </x:c>
      <x:c r="U118" s="2" t="n">
        <x:v>1</x:v>
      </x:c>
      <x:c r="V118" s="2" t="n">
        <x:v>1</x:v>
      </x:c>
      <x:c r="W118" s="2" t="n">
        <x:v>1</x:v>
      </x:c>
      <x:c r="X118" s="2" t="n">
        <x:v>0</x:v>
      </x:c>
    </x:row>
    <x:row r="119">
      <x:c r="A119" s="6" t="d">
        <x:v>2025-07-01T00:00:00.000Z</x:v>
      </x:c>
      <x:c r="B119" s="6" t="d">
        <x:v>2025-07-02T00:00:00.000Z</x:v>
      </x:c>
      <x:c r="C119" s="7" t="str">
        <x:v>603316</x:v>
      </x:c>
      <x:c r="D119" s="2" t="n">
        <x:v>1</x:v>
      </x:c>
      <x:c r="E119" s="11" t="n">
        <x:v>0.8067008841874662</x:v>
      </x:c>
      <x:c r="F119" s="2" t="str">
        <x:v>五分最高涨幅&gt;=6% 且 五分最低涨幅&gt;=-3%</x:v>
      </x:c>
      <x:c r="G119" s="9" t="n">
        <x:v>0.10010111223458</x:v>
      </x:c>
      <x:c r="H119" s="9" t="n">
        <x:v>0.07381193124368</x:v>
      </x:c>
      <x:c r="I119" s="9" t="n">
        <x:v>0</x:v>
      </x:c>
      <x:c r="J119" s="9" t="n">
        <x:v>0.002764976958525</x:v>
      </x:c>
      <x:c r="K119" s="9" t="n">
        <x:v>1</x:v>
      </x:c>
      <x:c r="L119" s="2" t="str">
        <x:v>两段走强</x:v>
      </x:c>
      <x:c r="M119" s="2" t="n">
        <x:v>5</x:v>
      </x:c>
      <x:c r="N119" s="2" t="n">
        <x:v>1</x:v>
      </x:c>
      <x:c r="O119" s="2" t="n">
        <x:v>1</x:v>
      </x:c>
      <x:c r="P119" s="2" t="n">
        <x:v>1</x:v>
      </x:c>
      <x:c r="Q119" s="2" t="n">
        <x:v>1</x:v>
      </x:c>
      <x:c r="R119" s="2" t="n">
        <x:v>0</x:v>
      </x:c>
      <x:c r="S119" s="2"/>
      <x:c r="T119" s="12"/>
      <x:c r="U119" s="2" t="n">
        <x:v>1</x:v>
      </x:c>
      <x:c r="V119" s="2" t="n">
        <x:v>0</x:v>
      </x:c>
      <x:c r="W119" s="2" t="n">
        <x:v>0</x:v>
      </x:c>
      <x:c r="X119" s="2" t="n">
        <x:v>1</x:v>
      </x:c>
    </x:row>
    <x:row r="120">
      <x:c r="A120" s="6" t="d">
        <x:v>2025-07-01T00:00:00.000Z</x:v>
      </x:c>
      <x:c r="B120" s="6" t="d">
        <x:v>2025-07-02T00:00:00.000Z</x:v>
      </x:c>
      <x:c r="C120" s="7" t="str">
        <x:v>002173</x:v>
      </x:c>
      <x:c r="D120" s="2" t="n">
        <x:v>2</x:v>
      </x:c>
      <x:c r="E120" s="11" t="n">
        <x:v>0.7156066677046832</x:v>
      </x:c>
      <x:c r="F120" s="2" t="str">
        <x:v>五分最高涨幅&gt;=6% 且 五分最低涨幅&gt;=-3%</x:v>
      </x:c>
      <x:c r="G120" s="9" t="n">
        <x:v>0.059311224489796</x:v>
      </x:c>
      <x:c r="H120" s="9" t="n">
        <x:v>0.001913265306122</x:v>
      </x:c>
      <x:c r="I120" s="9" t="n">
        <x:v>0.032525510204082</x:v>
      </x:c>
      <x:c r="J120" s="9" t="n">
        <x:v>0.024824952259707</x:v>
      </x:c>
      <x:c r="K120" s="9" t="n">
        <x:v>0.433333333333335</x:v>
      </x:c>
      <x:c r="L120" s="2" t="str">
        <x:v>前强后弱</x:v>
      </x:c>
      <x:c r="M120" s="2" t="n">
        <x:v>0</x:v>
      </x:c>
      <x:c r="N120" s="2" t="n">
        <x:v>5</x:v>
      </x:c>
      <x:c r="O120" s="2" t="n">
        <x:v>1</x:v>
      </x:c>
      <x:c r="P120" s="2" t="n">
        <x:v>1</x:v>
      </x:c>
      <x:c r="Q120" s="2" t="n">
        <x:v>0</x:v>
      </x:c>
      <x:c r="R120" s="2" t="n">
        <x:v>1</x:v>
      </x:c>
      <x:c r="S120" s="2" t="str">
        <x:v>09:36</x:v>
      </x:c>
      <x:c r="T120" s="12" t="n">
        <x:v>16.11</x:v>
      </x:c>
      <x:c r="U120" s="2" t="n">
        <x:v>1</x:v>
      </x:c>
      <x:c r="V120" s="2" t="n">
        <x:v>0</x:v>
      </x:c>
      <x:c r="W120" s="2" t="n">
        <x:v>1</x:v>
      </x:c>
      <x:c r="X120" s="2" t="n">
        <x:v>0</x:v>
      </x:c>
    </x:row>
    <x:row r="121">
      <x:c r="A121" s="6" t="d">
        <x:v>2025-07-01T00:00:00.000Z</x:v>
      </x:c>
      <x:c r="B121" s="6" t="d">
        <x:v>2025-07-02T00:00:00.000Z</x:v>
      </x:c>
      <x:c r="C121" s="7" t="str">
        <x:v>601718</x:v>
      </x:c>
      <x:c r="D121" s="2" t="n">
        <x:v>3</x:v>
      </x:c>
      <x:c r="E121" s="11" t="n">
        <x:v>0.7113761937098891</x:v>
      </x:c>
      <x:c r="F121" s="2" t="str">
        <x:v>五分最高涨幅&gt;=6% 且 五分最低涨幅&gt;=-3%</x:v>
      </x:c>
      <x:c r="G121" s="9" t="n">
        <x:v>0.044083526682135</x:v>
      </x:c>
      <x:c r="H121" s="9" t="n">
        <x:v>0.004640371229699</x:v>
      </x:c>
      <x:c r="I121" s="9" t="n">
        <x:v>0.025522041763341</x:v>
      </x:c>
      <x:c r="J121" s="9" t="n">
        <x:v>-0.024444444444444</x:v>
      </x:c>
      <x:c r="K121" s="9" t="n">
        <x:v>0.352941176470586</x:v>
      </x:c>
      <x:c r="L121" s="2" t="str">
        <x:v>两段走弱</x:v>
      </x:c>
      <x:c r="M121" s="2" t="n">
        <x:v>0</x:v>
      </x:c>
      <x:c r="N121" s="2" t="n">
        <x:v>5</x:v>
      </x:c>
      <x:c r="O121" s="2" t="n">
        <x:v>1</x:v>
      </x:c>
      <x:c r="P121" s="2" t="n">
        <x:v>1</x:v>
      </x:c>
      <x:c r="Q121" s="2" t="n">
        <x:v>0</x:v>
      </x:c>
      <x:c r="R121" s="2" t="n">
        <x:v>1</x:v>
      </x:c>
      <x:c r="S121" s="2" t="str">
        <x:v>09:36</x:v>
      </x:c>
      <x:c r="T121" s="12" t="n">
        <x:v>4.39</x:v>
      </x:c>
      <x:c r="U121" s="2" t="n">
        <x:v>1</x:v>
      </x:c>
      <x:c r="V121" s="2" t="n">
        <x:v>0</x:v>
      </x:c>
      <x:c r="W121" s="2" t="n">
        <x:v>0</x:v>
      </x:c>
      <x:c r="X121" s="2" t="n">
        <x:v>0</x:v>
      </x:c>
    </x:row>
    <x:row r="122">
      <x:c r="A122" s="6" t="d">
        <x:v>2025-07-02T00:00:00.000Z</x:v>
      </x:c>
      <x:c r="B122" s="6" t="d">
        <x:v>2025-07-03T00:00:00.000Z</x:v>
      </x:c>
      <x:c r="C122" s="7" t="str">
        <x:v>601218</x:v>
      </x:c>
      <x:c r="D122" s="2" t="n">
        <x:v>1</x:v>
      </x:c>
      <x:c r="E122" s="11" t="n">
        <x:v>0.7748219899901864</x:v>
      </x:c>
      <x:c r="F122" s="2" t="str">
        <x:v>五分最高涨幅&gt;=6% 且 五分最低涨幅&gt;=-3%</x:v>
      </x:c>
      <x:c r="G122" s="9" t="n">
        <x:v>0.100603621730382</x:v>
      </x:c>
      <x:c r="H122" s="9" t="n">
        <x:v>0.100603621730382</x:v>
      </x:c>
      <x:c r="I122" s="9" t="n">
        <x:v>0</x:v>
      </x:c>
      <x:c r="J122" s="9" t="n">
        <x:v>0</x:v>
      </x:c>
      <x:c r="K122" s="9" t="n">
        <x:v>0.5</x:v>
      </x:c>
      <x:c r="L122" s="2" t="str">
        <x:v>平走</x:v>
      </x:c>
      <x:c r="M122" s="2" t="n">
        <x:v>5</x:v>
      </x:c>
      <x:c r="N122" s="2" t="n">
        <x:v>0</x:v>
      </x:c>
      <x:c r="O122" s="2" t="n">
        <x:v>1</x:v>
      </x:c>
      <x:c r="P122" s="2" t="n">
        <x:v>1</x:v>
      </x:c>
      <x:c r="Q122" s="2" t="n">
        <x:v>1</x:v>
      </x:c>
      <x:c r="R122" s="2" t="n">
        <x:v>0</x:v>
      </x:c>
      <x:c r="S122" s="2"/>
      <x:c r="T122" s="12"/>
      <x:c r="U122" s="2" t="n">
        <x:v>1</x:v>
      </x:c>
      <x:c r="V122" s="2" t="n">
        <x:v>0</x:v>
      </x:c>
      <x:c r="W122" s="2" t="n">
        <x:v>0</x:v>
      </x:c>
      <x:c r="X122" s="2" t="n">
        <x:v>1</x:v>
      </x:c>
    </x:row>
    <x:row r="123">
      <x:c r="A123" s="6" t="d">
        <x:v>2025-07-02T00:00:00.000Z</x:v>
      </x:c>
      <x:c r="B123" s="6" t="d">
        <x:v>2025-07-03T00:00:00.000Z</x:v>
      </x:c>
      <x:c r="C123" s="7" t="str">
        <x:v>603316</x:v>
      </x:c>
      <x:c r="D123" s="2" t="n">
        <x:v>2</x:v>
      </x:c>
      <x:c r="E123" s="11" t="n">
        <x:v>0.754023531945604</x:v>
      </x:c>
      <x:c r="F123" s="2" t="str">
        <x:v>五分最高涨幅&gt;=6% 且 五分最低涨幅&gt;=-3%</x:v>
      </x:c>
      <x:c r="G123" s="9" t="n">
        <x:v>0.100183823529412</x:v>
      </x:c>
      <x:c r="H123" s="9" t="n">
        <x:v>0.020220588235294</x:v>
      </x:c>
      <x:c r="I123" s="9" t="n">
        <x:v>0.035845588235294</x:v>
      </x:c>
      <x:c r="J123" s="9" t="n">
        <x:v>0.043243243243243</x:v>
      </x:c>
      <x:c r="K123" s="9" t="n">
        <x:v>0.551724137931034</x:v>
      </x:c>
      <x:c r="L123" s="2" t="str">
        <x:v>两段走强</x:v>
      </x:c>
      <x:c r="M123" s="2" t="n">
        <x:v>2</x:v>
      </x:c>
      <x:c r="N123" s="2" t="n">
        <x:v>5</x:v>
      </x:c>
      <x:c r="O123" s="2" t="n">
        <x:v>1</x:v>
      </x:c>
      <x:c r="P123" s="2" t="n">
        <x:v>1</x:v>
      </x:c>
      <x:c r="Q123" s="2" t="n">
        <x:v>1</x:v>
      </x:c>
      <x:c r="R123" s="2" t="n">
        <x:v>1</x:v>
      </x:c>
      <x:c r="S123" s="2" t="str">
        <x:v>09:36</x:v>
      </x:c>
      <x:c r="T123" s="12" t="n">
        <x:v>11.56</x:v>
      </x:c>
      <x:c r="U123" s="2" t="n">
        <x:v>1</x:v>
      </x:c>
      <x:c r="V123" s="2" t="n">
        <x:v>1</x:v>
      </x:c>
      <x:c r="W123" s="2" t="n">
        <x:v>1</x:v>
      </x:c>
      <x:c r="X123" s="2" t="n">
        <x:v>1</x:v>
      </x:c>
    </x:row>
    <x:row r="124">
      <x:c r="A124" s="6" t="d">
        <x:v>2025-07-02T00:00:00.000Z</x:v>
      </x:c>
      <x:c r="B124" s="6" t="d">
        <x:v>2025-07-03T00:00:00.000Z</x:v>
      </x:c>
      <x:c r="C124" s="7" t="str">
        <x:v>603601</x:v>
      </x:c>
      <x:c r="D124" s="2" t="n">
        <x:v>3</x:v>
      </x:c>
      <x:c r="E124" s="11" t="n">
        <x:v>0.745783864352618</x:v>
      </x:c>
      <x:c r="F124" s="2" t="str">
        <x:v>五分最高涨幅&gt;=6% 且 五分最低涨幅&gt;=-3%</x:v>
      </x:c>
      <x:c r="G124" s="9" t="n">
        <x:v>0</x:v>
      </x:c>
      <x:c r="H124" s="9" t="n">
        <x:v>-0.048780487804878</x:v>
      </x:c>
      <x:c r="I124" s="9" t="n">
        <x:v>0.038617886178862</x:v>
      </x:c>
      <x:c r="J124" s="9" t="n">
        <x:v>-0.038617886178862</x:v>
      </x:c>
      <x:c r="K124" s="9" t="n">
        <x:v>0.208333333333336</x:v>
      </x:c>
      <x:c r="L124" s="2" t="str">
        <x:v>前弱后强</x:v>
      </x:c>
      <x:c r="M124" s="2" t="n">
        <x:v>0</x:v>
      </x:c>
      <x:c r="N124" s="2" t="n">
        <x:v>5</x:v>
      </x:c>
      <x:c r="O124" s="2" t="n">
        <x:v>1</x:v>
      </x:c>
      <x:c r="P124" s="2" t="n">
        <x:v>1</x:v>
      </x:c>
      <x:c r="Q124" s="2" t="n">
        <x:v>0</x:v>
      </x:c>
      <x:c r="R124" s="2" t="n">
        <x:v>1</x:v>
      </x:c>
      <x:c r="S124" s="2" t="str">
        <x:v>09:36</x:v>
      </x:c>
      <x:c r="T124" s="12" t="n">
        <x:v>4.73</x:v>
      </x:c>
      <x:c r="U124" s="2" t="n">
        <x:v>1</x:v>
      </x:c>
      <x:c r="V124" s="2" t="n">
        <x:v>0</x:v>
      </x:c>
      <x:c r="W124" s="2" t="n">
        <x:v>0</x:v>
      </x:c>
      <x:c r="X124" s="2" t="n">
        <x:v>1</x:v>
      </x:c>
    </x:row>
    <x:row r="125">
      <x:c r="A125" s="6" t="d">
        <x:v>2025-07-03T00:00:00.000Z</x:v>
      </x:c>
      <x:c r="B125" s="6" t="d">
        <x:v>2025-07-04T00:00:00.000Z</x:v>
      </x:c>
      <x:c r="C125" s="7" t="str">
        <x:v>601218</x:v>
      </x:c>
      <x:c r="D125" s="2" t="n">
        <x:v>1</x:v>
      </x:c>
      <x:c r="E125" s="11" t="n">
        <x:v>0.805412097516874</x:v>
      </x:c>
      <x:c r="F125" s="2" t="str">
        <x:v>五分最高涨幅&gt;=6% 且 五分最低涨幅&gt;=-3%</x:v>
      </x:c>
      <x:c r="G125" s="9" t="n">
        <x:v>-0.012797074954296</x:v>
      </x:c>
      <x:c r="H125" s="9" t="n">
        <x:v>-0.095063985374771</x:v>
      </x:c>
      <x:c r="I125" s="9" t="n">
        <x:v>0.073126142595978</x:v>
      </x:c>
      <x:c r="J125" s="9" t="n">
        <x:v>-0.072356215213358</x:v>
      </x:c>
      <x:c r="K125" s="9" t="n">
        <x:v>0.111111111111111</x:v>
      </x:c>
      <x:c r="L125" s="2" t="str">
        <x:v>两段走弱</x:v>
      </x:c>
      <x:c r="M125" s="2" t="n">
        <x:v>0</x:v>
      </x:c>
      <x:c r="N125" s="2" t="n">
        <x:v>5</x:v>
      </x:c>
      <x:c r="O125" s="2" t="n">
        <x:v>1</x:v>
      </x:c>
      <x:c r="P125" s="2" t="n">
        <x:v>1</x:v>
      </x:c>
      <x:c r="Q125" s="2" t="n">
        <x:v>0</x:v>
      </x:c>
      <x:c r="R125" s="2" t="n">
        <x:v>1</x:v>
      </x:c>
      <x:c r="S125" s="2" t="str">
        <x:v>09:36</x:v>
      </x:c>
      <x:c r="T125" s="12" t="n">
        <x:v>5</x:v>
      </x:c>
      <x:c r="U125" s="2" t="n">
        <x:v>1</x:v>
      </x:c>
      <x:c r="V125" s="2" t="n">
        <x:v>0</x:v>
      </x:c>
      <x:c r="W125" s="2" t="n">
        <x:v>1</x:v>
      </x:c>
      <x:c r="X125" s="2" t="n">
        <x:v>0</x:v>
      </x:c>
    </x:row>
    <x:row r="126">
      <x:c r="A126" s="6" t="d">
        <x:v>2025-07-03T00:00:00.000Z</x:v>
      </x:c>
      <x:c r="B126" s="6" t="d">
        <x:v>2025-07-04T00:00:00.000Z</x:v>
      </x:c>
      <x:c r="C126" s="7" t="str">
        <x:v>603316</x:v>
      </x:c>
      <x:c r="D126" s="2" t="n">
        <x:v>2</x:v>
      </x:c>
      <x:c r="E126" s="11" t="n">
        <x:v>0.7373638134236496</x:v>
      </x:c>
      <x:c r="F126" s="2" t="str">
        <x:v>五分最高涨幅&gt;=6% 且 五分最低涨幅&gt;=-3%</x:v>
      </x:c>
      <x:c r="G126" s="9" t="n">
        <x:v>0.048454469507101</x:v>
      </x:c>
      <x:c r="H126" s="9" t="n">
        <x:v>-0.095238095238095</x:v>
      </x:c>
      <x:c r="I126" s="9" t="n">
        <x:v>0.03842940685046</x:v>
      </x:c>
      <x:c r="J126" s="9" t="n">
        <x:v>-0.009016393442623</x:v>
      </x:c>
      <x:c r="K126" s="9" t="n">
        <x:v>0.732558139534883</x:v>
      </x:c>
      <x:c r="L126" s="2" t="str">
        <x:v>前弱后强</x:v>
      </x:c>
      <x:c r="M126" s="2" t="n">
        <x:v>0</x:v>
      </x:c>
      <x:c r="N126" s="2" t="n">
        <x:v>5</x:v>
      </x:c>
      <x:c r="O126" s="2" t="n">
        <x:v>1</x:v>
      </x:c>
      <x:c r="P126" s="2" t="n">
        <x:v>1</x:v>
      </x:c>
      <x:c r="Q126" s="2" t="n">
        <x:v>0</x:v>
      </x:c>
      <x:c r="R126" s="2" t="n">
        <x:v>1</x:v>
      </x:c>
      <x:c r="S126" s="2" t="str">
        <x:v>09:36</x:v>
      </x:c>
      <x:c r="T126" s="12" t="n">
        <x:v>12.2</x:v>
      </x:c>
      <x:c r="U126" s="2" t="n">
        <x:v>1</x:v>
      </x:c>
      <x:c r="V126" s="2" t="n">
        <x:v>0</x:v>
      </x:c>
      <x:c r="W126" s="2" t="n">
        <x:v>0</x:v>
      </x:c>
      <x:c r="X126" s="2" t="n">
        <x:v>0</x:v>
      </x:c>
    </x:row>
    <x:row r="127">
      <x:c r="A127" s="6" t="d">
        <x:v>2025-07-03T00:00:00.000Z</x:v>
      </x:c>
      <x:c r="B127" s="6" t="d">
        <x:v>2025-07-04T00:00:00.000Z</x:v>
      </x:c>
      <x:c r="C127" s="7" t="str">
        <x:v>601003</x:v>
      </x:c>
      <x:c r="D127" s="2" t="n">
        <x:v>3</x:v>
      </x:c>
      <x:c r="E127" s="11" t="n">
        <x:v>0.7371672945927739</x:v>
      </x:c>
      <x:c r="F127" s="2" t="str">
        <x:v>五分最高涨幅&gt;=6% 且 五分最低涨幅&gt;=-3%</x:v>
      </x:c>
      <x:c r="G127" s="9" t="n">
        <x:v>0.100213219616205</x:v>
      </x:c>
      <x:c r="H127" s="9" t="n">
        <x:v>0.023454157782516</x:v>
      </x:c>
      <x:c r="I127" s="9" t="n">
        <x:v>0</x:v>
      </x:c>
      <x:c r="J127" s="9" t="n">
        <x:v>0.075</x:v>
      </x:c>
      <x:c r="K127" s="9" t="n">
        <x:v>1</x:v>
      </x:c>
      <x:c r="L127" s="2" t="str">
        <x:v>两段走强</x:v>
      </x:c>
      <x:c r="M127" s="2" t="n">
        <x:v>5</x:v>
      </x:c>
      <x:c r="N127" s="2" t="n">
        <x:v>1</x:v>
      </x:c>
      <x:c r="O127" s="2" t="n">
        <x:v>1</x:v>
      </x:c>
      <x:c r="P127" s="2" t="n">
        <x:v>1</x:v>
      </x:c>
      <x:c r="Q127" s="2" t="n">
        <x:v>1</x:v>
      </x:c>
      <x:c r="R127" s="2" t="n">
        <x:v>0</x:v>
      </x:c>
      <x:c r="S127" s="2"/>
      <x:c r="T127" s="12"/>
      <x:c r="U127" s="2" t="n">
        <x:v>1</x:v>
      </x:c>
      <x:c r="V127" s="2" t="n">
        <x:v>0</x:v>
      </x:c>
      <x:c r="W127" s="2" t="n">
        <x:v>0</x:v>
      </x:c>
      <x:c r="X127" s="2" t="n">
        <x:v>1</x:v>
      </x:c>
    </x:row>
    <x:row r="128">
      <x:c r="A128" s="6" t="d">
        <x:v>2025-07-04T00:00:00.000Z</x:v>
      </x:c>
      <x:c r="B128" s="6" t="d">
        <x:v>2025-07-07T00:00:00.000Z</x:v>
      </x:c>
      <x:c r="C128" s="7" t="str">
        <x:v>603716</x:v>
      </x:c>
      <x:c r="D128" s="2" t="n">
        <x:v>1</x:v>
      </x:c>
      <x:c r="E128" s="11" t="n">
        <x:v>0.800455264259689</x:v>
      </x:c>
      <x:c r="F128" s="2" t="str">
        <x:v>五分最高涨幅&gt;=6% 且 五分最低涨幅&gt;=-3%</x:v>
      </x:c>
      <x:c r="G128" s="9" t="n">
        <x:v>0.100094876660342</x:v>
      </x:c>
      <x:c r="H128" s="9" t="n">
        <x:v>0.019924098671727</x:v>
      </x:c>
      <x:c r="I128" s="9" t="n">
        <x:v>0.01707779886148</x:v>
      </x:c>
      <x:c r="J128" s="9" t="n">
        <x:v>0.042465753424658</x:v>
      </x:c>
      <x:c r="K128" s="9" t="n">
        <x:v>0.786982248520708</x:v>
      </x:c>
      <x:c r="L128" s="2" t="str">
        <x:v>前强后弱</x:v>
      </x:c>
      <x:c r="M128" s="2" t="n">
        <x:v>2</x:v>
      </x:c>
      <x:c r="N128" s="2" t="n">
        <x:v>5</x:v>
      </x:c>
      <x:c r="O128" s="2" t="n">
        <x:v>1</x:v>
      </x:c>
      <x:c r="P128" s="2" t="n">
        <x:v>1</x:v>
      </x:c>
      <x:c r="Q128" s="2" t="n">
        <x:v>1</x:v>
      </x:c>
      <x:c r="R128" s="2" t="n">
        <x:v>1</x:v>
      </x:c>
      <x:c r="S128" s="2" t="str">
        <x:v>09:36</x:v>
      </x:c>
      <x:c r="T128" s="12" t="n">
        <x:v>22.83</x:v>
      </x:c>
      <x:c r="U128" s="2" t="n">
        <x:v>1</x:v>
      </x:c>
      <x:c r="V128" s="2" t="n">
        <x:v>1</x:v>
      </x:c>
      <x:c r="W128" s="2" t="n">
        <x:v>1</x:v>
      </x:c>
      <x:c r="X128" s="2" t="n">
        <x:v>0</x:v>
      </x:c>
    </x:row>
    <x:row r="129">
      <x:c r="A129" s="6" t="d">
        <x:v>2025-07-04T00:00:00.000Z</x:v>
      </x:c>
      <x:c r="B129" s="6" t="d">
        <x:v>2025-07-07T00:00:00.000Z</x:v>
      </x:c>
      <x:c r="C129" s="7" t="str">
        <x:v>002623</x:v>
      </x:c>
      <x:c r="D129" s="2" t="n">
        <x:v>2</x:v>
      </x:c>
      <x:c r="E129" s="11" t="n">
        <x:v>0.7769792622958496</x:v>
      </x:c>
      <x:c r="F129" s="2" t="str">
        <x:v>五分最高涨幅&gt;=6% 且 五分最低涨幅&gt;=-3%</x:v>
      </x:c>
      <x:c r="G129" s="9" t="n">
        <x:v>0.028887818969668</x:v>
      </x:c>
      <x:c r="H129" s="9" t="n">
        <x:v>-0.023110255175734</x:v>
      </x:c>
      <x:c r="I129" s="9" t="n">
        <x:v>0.029369282619162</x:v>
      </x:c>
      <x:c r="J129" s="9" t="n">
        <x:v>0.019145802650957</x:v>
      </x:c>
      <x:c r="K129" s="9" t="n">
        <x:v>0.435185185185187</x:v>
      </x:c>
      <x:c r="L129" s="2" t="str">
        <x:v>前强后弱</x:v>
      </x:c>
      <x:c r="M129" s="2" t="n">
        <x:v>0</x:v>
      </x:c>
      <x:c r="N129" s="2" t="n">
        <x:v>5</x:v>
      </x:c>
      <x:c r="O129" s="2" t="n">
        <x:v>1</x:v>
      </x:c>
      <x:c r="P129" s="2" t="n">
        <x:v>1</x:v>
      </x:c>
      <x:c r="Q129" s="2" t="n">
        <x:v>0</x:v>
      </x:c>
      <x:c r="R129" s="2" t="n">
        <x:v>1</x:v>
      </x:c>
      <x:c r="S129" s="2" t="str">
        <x:v>09:36</x:v>
      </x:c>
      <x:c r="T129" s="12" t="n">
        <x:v>20.71</x:v>
      </x:c>
      <x:c r="U129" s="2" t="n">
        <x:v>1</x:v>
      </x:c>
      <x:c r="V129" s="2" t="n">
        <x:v>0</x:v>
      </x:c>
      <x:c r="W129" s="2" t="n">
        <x:v>0</x:v>
      </x:c>
      <x:c r="X129" s="2" t="n">
        <x:v>1</x:v>
      </x:c>
    </x:row>
    <x:row r="130">
      <x:c r="A130" s="6" t="d">
        <x:v>2025-07-04T00:00:00.000Z</x:v>
      </x:c>
      <x:c r="B130" s="6" t="d">
        <x:v>2025-07-07T00:00:00.000Z</x:v>
      </x:c>
      <x:c r="C130" s="7" t="str">
        <x:v>601003</x:v>
      </x:c>
      <x:c r="D130" s="2" t="n">
        <x:v>3</x:v>
      </x:c>
      <x:c r="E130" s="11" t="n">
        <x:v>0.7649182302834863</x:v>
      </x:c>
      <x:c r="F130" s="2" t="str">
        <x:v>五分最高涨幅&gt;=6% 且 五分最低涨幅&gt;=-3%</x:v>
      </x:c>
      <x:c r="G130" s="9" t="n">
        <x:v>0.063953488372093</x:v>
      </x:c>
      <x:c r="H130" s="9" t="n">
        <x:v>-0.060077519379845</x:v>
      </x:c>
      <x:c r="I130" s="9" t="n">
        <x:v>0.083333333333333</x:v>
      </x:c>
      <x:c r="J130" s="9" t="n">
        <x:v>-0.048872180451128</x:v>
      </x:c>
      <x:c r="K130" s="9" t="n">
        <x:v>0.328125</x:v>
      </x:c>
      <x:c r="L130" s="2" t="str">
        <x:v>前弱后强</x:v>
      </x:c>
      <x:c r="M130" s="2" t="n">
        <x:v>0</x:v>
      </x:c>
      <x:c r="N130" s="2" t="n">
        <x:v>5</x:v>
      </x:c>
      <x:c r="O130" s="2" t="n">
        <x:v>1</x:v>
      </x:c>
      <x:c r="P130" s="2" t="n">
        <x:v>1</x:v>
      </x:c>
      <x:c r="Q130" s="2" t="n">
        <x:v>0</x:v>
      </x:c>
      <x:c r="R130" s="2" t="n">
        <x:v>1</x:v>
      </x:c>
      <x:c r="S130" s="2" t="str">
        <x:v>09:36</x:v>
      </x:c>
      <x:c r="T130" s="12" t="n">
        <x:v>5.07</x:v>
      </x:c>
      <x:c r="U130" s="2" t="n">
        <x:v>1</x:v>
      </x:c>
      <x:c r="V130" s="2" t="n">
        <x:v>0</x:v>
      </x:c>
      <x:c r="W130" s="2" t="n">
        <x:v>0</x:v>
      </x:c>
      <x:c r="X130" s="2" t="n">
        <x:v>1</x:v>
      </x:c>
    </x:row>
    <x:row r="131">
      <x:c r="A131" s="6" t="d">
        <x:v>2025-07-07T00:00:00.000Z</x:v>
      </x:c>
      <x:c r="B131" s="6" t="d">
        <x:v>2025-07-08T00:00:00.000Z</x:v>
      </x:c>
      <x:c r="C131" s="7" t="str">
        <x:v>600744</x:v>
      </x:c>
      <x:c r="D131" s="2" t="n">
        <x:v>1</x:v>
      </x:c>
      <x:c r="E131" s="11" t="n">
        <x:v>0.7938296425404293</x:v>
      </x:c>
      <x:c r="F131" s="2" t="str">
        <x:v>五分最高涨幅&gt;=6% 且 五分最低涨幅&gt;=-3%</x:v>
      </x:c>
      <x:c r="G131" s="9" t="n">
        <x:v>0.1</x:v>
      </x:c>
      <x:c r="H131" s="9" t="n">
        <x:v>0.052238805970149</x:v>
      </x:c>
      <x:c r="I131" s="9" t="n">
        <x:v>0</x:v>
      </x:c>
      <x:c r="J131" s="9" t="n">
        <x:v>0.022191400832178</x:v>
      </x:c>
      <x:c r="K131" s="9" t="n">
        <x:v>1</x:v>
      </x:c>
      <x:c r="L131" s="2" t="str">
        <x:v>两段走强</x:v>
      </x:c>
      <x:c r="M131" s="2" t="n">
        <x:v>5</x:v>
      </x:c>
      <x:c r="N131" s="2" t="n">
        <x:v>1</x:v>
      </x:c>
      <x:c r="O131" s="2" t="n">
        <x:v>1</x:v>
      </x:c>
      <x:c r="P131" s="2" t="n">
        <x:v>1</x:v>
      </x:c>
      <x:c r="Q131" s="2" t="n">
        <x:v>1</x:v>
      </x:c>
      <x:c r="R131" s="2" t="n">
        <x:v>1</x:v>
      </x:c>
      <x:c r="S131" s="2" t="str">
        <x:v>09:37</x:v>
      </x:c>
      <x:c r="T131" s="12" t="n">
        <x:v>7.24</x:v>
      </x:c>
      <x:c r="U131" s="2" t="n">
        <x:v>1</x:v>
      </x:c>
      <x:c r="V131" s="2" t="n">
        <x:v>1</x:v>
      </x:c>
      <x:c r="W131" s="2" t="n">
        <x:v>0</x:v>
      </x:c>
      <x:c r="X131" s="2" t="n">
        <x:v>1</x:v>
      </x:c>
    </x:row>
    <x:row r="132">
      <x:c r="A132" s="6" t="d">
        <x:v>2025-07-07T00:00:00.000Z</x:v>
      </x:c>
      <x:c r="B132" s="6" t="d">
        <x:v>2025-07-08T00:00:00.000Z</x:v>
      </x:c>
      <x:c r="C132" s="7" t="str">
        <x:v>002721</x:v>
      </x:c>
      <x:c r="D132" s="2" t="n">
        <x:v>2</x:v>
      </x:c>
      <x:c r="E132" s="11" t="n">
        <x:v>0.7660313775036866</x:v>
      </x:c>
      <x:c r="F132" s="2" t="str">
        <x:v>五分最高涨幅&gt;=6% 且 五分最低涨幅&gt;=-3%</x:v>
      </x:c>
      <x:c r="G132" s="9" t="n">
        <x:v>0.042986425339367</x:v>
      </x:c>
      <x:c r="H132" s="9" t="n">
        <x:v>-0.033936651583711</x:v>
      </x:c>
      <x:c r="I132" s="9" t="n">
        <x:v>0.02262443438914</x:v>
      </x:c>
      <x:c r="J132" s="9" t="n">
        <x:v>0.011210762331838</x:v>
      </x:c>
      <x:c r="K132" s="9" t="n">
        <x:v>0.705882352941176</x:v>
      </x:c>
      <x:c r="L132" s="2" t="str">
        <x:v>前弱后强</x:v>
      </x:c>
      <x:c r="M132" s="2" t="n">
        <x:v>0</x:v>
      </x:c>
      <x:c r="N132" s="2" t="n">
        <x:v>5</x:v>
      </x:c>
      <x:c r="O132" s="2" t="n">
        <x:v>1</x:v>
      </x:c>
      <x:c r="P132" s="2" t="n">
        <x:v>1</x:v>
      </x:c>
      <x:c r="Q132" s="2" t="n">
        <x:v>0</x:v>
      </x:c>
      <x:c r="R132" s="2" t="n">
        <x:v>1</x:v>
      </x:c>
      <x:c r="S132" s="2" t="str">
        <x:v>09:36</x:v>
      </x:c>
      <x:c r="T132" s="12" t="n">
        <x:v>4.5</x:v>
      </x:c>
      <x:c r="U132" s="2" t="n">
        <x:v>1</x:v>
      </x:c>
      <x:c r="V132" s="2" t="n">
        <x:v>0</x:v>
      </x:c>
      <x:c r="W132" s="2" t="n">
        <x:v>1</x:v>
      </x:c>
      <x:c r="X132" s="2" t="n">
        <x:v>0</x:v>
      </x:c>
    </x:row>
    <x:row r="133">
      <x:c r="A133" s="6" t="d">
        <x:v>2025-07-07T00:00:00.000Z</x:v>
      </x:c>
      <x:c r="B133" s="6" t="d">
        <x:v>2025-07-08T00:00:00.000Z</x:v>
      </x:c>
      <x:c r="C133" s="7" t="str">
        <x:v>605500</x:v>
      </x:c>
      <x:c r="D133" s="2" t="n">
        <x:v>3</x:v>
      </x:c>
      <x:c r="E133" s="11" t="n">
        <x:v>0.7514632519888015</x:v>
      </x:c>
      <x:c r="F133" s="2" t="str">
        <x:v>五分最高涨幅&gt;=6% 且 五分最低涨幅&gt;=-3%</x:v>
      </x:c>
      <x:c r="G133" s="9" t="n">
        <x:v>0.100300902708124</x:v>
      </x:c>
      <x:c r="H133" s="9" t="n">
        <x:v>0.100300902708124</x:v>
      </x:c>
      <x:c r="I133" s="9" t="n">
        <x:v>0</x:v>
      </x:c>
      <x:c r="J133" s="9" t="n">
        <x:v>0</x:v>
      </x:c>
      <x:c r="K133" s="9" t="n">
        <x:v>0.5</x:v>
      </x:c>
      <x:c r="L133" s="2" t="str">
        <x:v>平走</x:v>
      </x:c>
      <x:c r="M133" s="2" t="n">
        <x:v>5</x:v>
      </x:c>
      <x:c r="N133" s="2" t="n">
        <x:v>0</x:v>
      </x:c>
      <x:c r="O133" s="2" t="n">
        <x:v>1</x:v>
      </x:c>
      <x:c r="P133" s="2" t="n">
        <x:v>1</x:v>
      </x:c>
      <x:c r="Q133" s="2" t="n">
        <x:v>1</x:v>
      </x:c>
      <x:c r="R133" s="2" t="n">
        <x:v>0</x:v>
      </x:c>
      <x:c r="S133" s="2"/>
      <x:c r="T133" s="12"/>
      <x:c r="U133" s="2" t="n">
        <x:v>1</x:v>
      </x:c>
      <x:c r="V133" s="2" t="n">
        <x:v>0</x:v>
      </x:c>
      <x:c r="W133" s="2" t="n">
        <x:v>0</x:v>
      </x:c>
      <x:c r="X133" s="2" t="n">
        <x:v>1</x:v>
      </x:c>
    </x:row>
    <x:row r="134">
      <x:c r="A134" s="6" t="d">
        <x:v>2025-07-08T00:00:00.000Z</x:v>
      </x:c>
      <x:c r="B134" s="6" t="d">
        <x:v>2025-07-09T00:00:00.000Z</x:v>
      </x:c>
      <x:c r="C134" s="7" t="str">
        <x:v>605500</x:v>
      </x:c>
      <x:c r="D134" s="2" t="n">
        <x:v>1</x:v>
      </x:c>
      <x:c r="E134" s="11" t="n">
        <x:v>0.776995684487853</x:v>
      </x:c>
      <x:c r="F134" s="2" t="str">
        <x:v>五分最高涨幅&gt;=6% 且 五分最低涨幅&gt;=-3%</x:v>
      </x:c>
      <x:c r="G134" s="9" t="n">
        <x:v>0.100273473108478</x:v>
      </x:c>
      <x:c r="H134" s="9" t="n">
        <x:v>0.007292616226071</x:v>
      </x:c>
      <x:c r="I134" s="9" t="n">
        <x:v>0</x:v>
      </x:c>
      <x:c r="J134" s="9" t="n">
        <x:v>0.0903342366757</x:v>
      </x:c>
      <x:c r="K134" s="9" t="n">
        <x:v>1</x:v>
      </x:c>
      <x:c r="L134" s="2" t="str">
        <x:v>两段走强</x:v>
      </x:c>
      <x:c r="M134" s="2" t="n">
        <x:v>5</x:v>
      </x:c>
      <x:c r="N134" s="2" t="n">
        <x:v>4</x:v>
      </x:c>
      <x:c r="O134" s="2" t="n">
        <x:v>1</x:v>
      </x:c>
      <x:c r="P134" s="2" t="n">
        <x:v>1</x:v>
      </x:c>
      <x:c r="Q134" s="2" t="n">
        <x:v>1</x:v>
      </x:c>
      <x:c r="R134" s="2" t="n">
        <x:v>0</x:v>
      </x:c>
      <x:c r="S134" s="2"/>
      <x:c r="T134" s="12"/>
      <x:c r="U134" s="2" t="n">
        <x:v>1</x:v>
      </x:c>
      <x:c r="V134" s="2" t="n">
        <x:v>0</x:v>
      </x:c>
      <x:c r="W134" s="2" t="n">
        <x:v>0</x:v>
      </x:c>
      <x:c r="X134" s="2" t="n">
        <x:v>1</x:v>
      </x:c>
    </x:row>
    <x:row r="135">
      <x:c r="A135" s="6" t="d">
        <x:v>2025-07-08T00:00:00.000Z</x:v>
      </x:c>
      <x:c r="B135" s="6" t="d">
        <x:v>2025-07-09T00:00:00.000Z</x:v>
      </x:c>
      <x:c r="C135" s="7" t="str">
        <x:v>600744</x:v>
      </x:c>
      <x:c r="D135" s="2" t="n">
        <x:v>2</x:v>
      </x:c>
      <x:c r="E135" s="11" t="n">
        <x:v>0.7495332291809412</x:v>
      </x:c>
      <x:c r="F135" s="2" t="str">
        <x:v>五分最高涨幅&gt;=6% 且 五分最低涨幅&gt;=-3%</x:v>
      </x:c>
      <x:c r="G135" s="9" t="n">
        <x:v>0.100407055630936</x:v>
      </x:c>
      <x:c r="H135" s="9" t="n">
        <x:v>0.029850746268657</x:v>
      </x:c>
      <x:c r="I135" s="9" t="n">
        <x:v>0.002713704206241</x:v>
      </x:c>
      <x:c r="J135" s="9" t="n">
        <x:v>0.065876152832675</x:v>
      </x:c>
      <x:c r="K135" s="9" t="n">
        <x:v>0.961538461538462</x:v>
      </x:c>
      <x:c r="L135" s="2" t="str">
        <x:v>两段走强</x:v>
      </x:c>
      <x:c r="M135" s="2" t="n">
        <x:v>1</x:v>
      </x:c>
      <x:c r="N135" s="2" t="n">
        <x:v>5</x:v>
      </x:c>
      <x:c r="O135" s="2" t="n">
        <x:v>1</x:v>
      </x:c>
      <x:c r="P135" s="2" t="n">
        <x:v>1</x:v>
      </x:c>
      <x:c r="Q135" s="2" t="n">
        <x:v>1</x:v>
      </x:c>
      <x:c r="R135" s="2" t="n">
        <x:v>1</x:v>
      </x:c>
      <x:c r="S135" s="2" t="str">
        <x:v>09:36</x:v>
      </x:c>
      <x:c r="T135" s="12" t="n">
        <x:v>8.09</x:v>
      </x:c>
      <x:c r="U135" s="2" t="n">
        <x:v>1</x:v>
      </x:c>
      <x:c r="V135" s="2" t="n">
        <x:v>1</x:v>
      </x:c>
      <x:c r="W135" s="2" t="n">
        <x:v>1</x:v>
      </x:c>
      <x:c r="X135" s="2" t="n">
        <x:v>1</x:v>
      </x:c>
    </x:row>
    <x:row r="136">
      <x:c r="A136" s="6" t="d">
        <x:v>2025-07-08T00:00:00.000Z</x:v>
      </x:c>
      <x:c r="B136" s="6" t="d">
        <x:v>2025-07-09T00:00:00.000Z</x:v>
      </x:c>
      <x:c r="C136" s="7" t="str">
        <x:v>605162</x:v>
      </x:c>
      <x:c r="D136" s="2" t="n">
        <x:v>3</x:v>
      </x:c>
      <x:c r="E136" s="11" t="n">
        <x:v>0.7382320524246818</x:v>
      </x:c>
      <x:c r="F136" s="2" t="str">
        <x:v>五分最高涨幅&gt;=6% 且 五分最低涨幅&gt;=-3%</x:v>
      </x:c>
      <x:c r="G136" s="9" t="n">
        <x:v>0.072604065827686</x:v>
      </x:c>
      <x:c r="H136" s="9" t="n">
        <x:v>0.001936108422072</x:v>
      </x:c>
      <x:c r="I136" s="9" t="n">
        <x:v>0.029041626331075</x:v>
      </x:c>
      <x:c r="J136" s="9" t="n">
        <x:v>0.040540540540541</x:v>
      </x:c>
      <x:c r="K136" s="9" t="n">
        <x:v>0.58904109589041</x:v>
      </x:c>
      <x:c r="L136" s="2" t="str">
        <x:v>前强后弱</x:v>
      </x:c>
      <x:c r="M136" s="2" t="n">
        <x:v>0</x:v>
      </x:c>
      <x:c r="N136" s="2" t="n">
        <x:v>5</x:v>
      </x:c>
      <x:c r="O136" s="2" t="n">
        <x:v>1</x:v>
      </x:c>
      <x:c r="P136" s="2" t="n">
        <x:v>1</x:v>
      </x:c>
      <x:c r="Q136" s="2" t="n">
        <x:v>1</x:v>
      </x:c>
      <x:c r="R136" s="2" t="n">
        <x:v>1</x:v>
      </x:c>
      <x:c r="S136" s="2" t="str">
        <x:v>09:36</x:v>
      </x:c>
      <x:c r="T136" s="12" t="n">
        <x:v>10.76</x:v>
      </x:c>
      <x:c r="U136" s="2" t="n">
        <x:v>1</x:v>
      </x:c>
      <x:c r="V136" s="2" t="n">
        <x:v>0</x:v>
      </x:c>
      <x:c r="W136" s="2" t="n">
        <x:v>0</x:v>
      </x:c>
      <x:c r="X136" s="2" t="n">
        <x:v>1</x:v>
      </x:c>
    </x:row>
    <x:row r="137">
      <x:c r="A137" s="6" t="d">
        <x:v>2025-07-09T00:00:00.000Z</x:v>
      </x:c>
      <x:c r="B137" s="6" t="d">
        <x:v>2025-07-10T00:00:00.000Z</x:v>
      </x:c>
      <x:c r="C137" s="7" t="str">
        <x:v>002636</x:v>
      </x:c>
      <x:c r="D137" s="2" t="n">
        <x:v>1</x:v>
      </x:c>
      <x:c r="E137" s="11" t="n">
        <x:v>0.7783038619160885</x:v>
      </x:c>
      <x:c r="F137" s="2" t="str">
        <x:v>五分最高涨幅&gt;=6% 且 五分最低涨幅&gt;=-3%</x:v>
      </x:c>
      <x:c r="G137" s="9" t="n">
        <x:v>0.100066269052353</x:v>
      </x:c>
      <x:c r="H137" s="9" t="n">
        <x:v>0.07687210072896</x:v>
      </x:c>
      <x:c r="I137" s="9" t="n">
        <x:v>0</x:v>
      </x:c>
      <x:c r="J137" s="9" t="n">
        <x:v>0</x:v>
      </x:c>
      <x:c r="K137" s="9" t="n">
        <x:v>1</x:v>
      </x:c>
      <x:c r="L137" s="2" t="str">
        <x:v>平走</x:v>
      </x:c>
      <x:c r="M137" s="2" t="n">
        <x:v>5</x:v>
      </x:c>
      <x:c r="N137" s="2" t="n">
        <x:v>1</x:v>
      </x:c>
      <x:c r="O137" s="2" t="n">
        <x:v>1</x:v>
      </x:c>
      <x:c r="P137" s="2" t="n">
        <x:v>1</x:v>
      </x:c>
      <x:c r="Q137" s="2" t="n">
        <x:v>1</x:v>
      </x:c>
      <x:c r="R137" s="2" t="n">
        <x:v>0</x:v>
      </x:c>
      <x:c r="S137" s="2"/>
      <x:c r="T137" s="12"/>
      <x:c r="U137" s="2" t="n">
        <x:v>1</x:v>
      </x:c>
      <x:c r="V137" s="2" t="n">
        <x:v>0</x:v>
      </x:c>
      <x:c r="W137" s="2" t="n">
        <x:v>0</x:v>
      </x:c>
      <x:c r="X137" s="2" t="n">
        <x:v>0</x:v>
      </x:c>
    </x:row>
    <x:row r="138">
      <x:c r="A138" s="6" t="d">
        <x:v>2025-07-09T00:00:00.000Z</x:v>
      </x:c>
      <x:c r="B138" s="6" t="d">
        <x:v>2025-07-10T00:00:00.000Z</x:v>
      </x:c>
      <x:c r="C138" s="7" t="str">
        <x:v>600744</x:v>
      </x:c>
      <x:c r="D138" s="2" t="n">
        <x:v>2</x:v>
      </x:c>
      <x:c r="E138" s="11" t="n">
        <x:v>0.7643871763139907</x:v>
      </x:c>
      <x:c r="F138" s="2" t="str">
        <x:v>五分最高涨幅&gt;=6% 且 五分最低涨幅&gt;=-3%</x:v>
      </x:c>
      <x:c r="G138" s="9" t="n">
        <x:v>0.055487053020962</x:v>
      </x:c>
      <x:c r="H138" s="9" t="n">
        <x:v>-0.044389642416769</x:v>
      </x:c>
      <x:c r="I138" s="9" t="n">
        <x:v>0.035758323057953</x:v>
      </x:c>
      <x:c r="J138" s="9" t="n">
        <x:v>0.019728729963009</x:v>
      </x:c>
      <x:c r="K138" s="9" t="n">
        <x:v>0.641975308641974</x:v>
      </x:c>
      <x:c r="L138" s="2" t="str">
        <x:v>前强后弱</x:v>
      </x:c>
      <x:c r="M138" s="2" t="n">
        <x:v>0</x:v>
      </x:c>
      <x:c r="N138" s="2" t="n">
        <x:v>5</x:v>
      </x:c>
      <x:c r="O138" s="2" t="n">
        <x:v>1</x:v>
      </x:c>
      <x:c r="P138" s="2" t="n">
        <x:v>1</x:v>
      </x:c>
      <x:c r="Q138" s="2" t="n">
        <x:v>0</x:v>
      </x:c>
      <x:c r="R138" s="2" t="n">
        <x:v>1</x:v>
      </x:c>
      <x:c r="S138" s="2" t="str">
        <x:v>09:36</x:v>
      </x:c>
      <x:c r="T138" s="12" t="n">
        <x:v>8.27</x:v>
      </x:c>
      <x:c r="U138" s="2" t="n">
        <x:v>1</x:v>
      </x:c>
      <x:c r="V138" s="2" t="n">
        <x:v>0</x:v>
      </x:c>
      <x:c r="W138" s="2" t="n">
        <x:v>1</x:v>
      </x:c>
      <x:c r="X138" s="2" t="n">
        <x:v>0</x:v>
      </x:c>
    </x:row>
    <x:row r="139">
      <x:c r="A139" s="6" t="d">
        <x:v>2025-07-09T00:00:00.000Z</x:v>
      </x:c>
      <x:c r="B139" s="6" t="d">
        <x:v>2025-07-10T00:00:00.000Z</x:v>
      </x:c>
      <x:c r="C139" s="7" t="str">
        <x:v>605500</x:v>
      </x:c>
      <x:c r="D139" s="2" t="n">
        <x:v>3</x:v>
      </x:c>
      <x:c r="E139" s="11" t="n">
        <x:v>0.7602901580523971</x:v>
      </x:c>
      <x:c r="F139" s="2" t="str">
        <x:v>五分最高涨幅&gt;=6% 且 五分最低涨幅&gt;=-3%</x:v>
      </x:c>
      <x:c r="G139" s="9" t="n">
        <x:v>0.076222038111019</x:v>
      </x:c>
      <x:c r="H139" s="9" t="n">
        <x:v>-0.045567522783761</x:v>
      </x:c>
      <x:c r="I139" s="9" t="n">
        <x:v>0.048881524440762</x:v>
      </x:c>
      <x:c r="J139" s="9" t="n">
        <x:v>-0.008</x:v>
      </x:c>
      <x:c r="K139" s="9" t="n">
        <x:v>0.598639455782313</x:v>
      </x:c>
      <x:c r="L139" s="2" t="str">
        <x:v>前弱后强</x:v>
      </x:c>
      <x:c r="M139" s="2" t="n">
        <x:v>0</x:v>
      </x:c>
      <x:c r="N139" s="2" t="n">
        <x:v>5</x:v>
      </x:c>
      <x:c r="O139" s="2" t="n">
        <x:v>1</x:v>
      </x:c>
      <x:c r="P139" s="2" t="n">
        <x:v>1</x:v>
      </x:c>
      <x:c r="Q139" s="2" t="n">
        <x:v>0</x:v>
      </x:c>
      <x:c r="R139" s="2" t="n">
        <x:v>1</x:v>
      </x:c>
      <x:c r="S139" s="2" t="str">
        <x:v>09:36</x:v>
      </x:c>
      <x:c r="T139" s="12" t="n">
        <x:v>12.37</x:v>
      </x:c>
      <x:c r="U139" s="2" t="n">
        <x:v>1</x:v>
      </x:c>
      <x:c r="V139" s="2" t="n">
        <x:v>0</x:v>
      </x:c>
      <x:c r="W139" s="2" t="n">
        <x:v>0</x:v>
      </x:c>
      <x:c r="X139" s="2" t="n">
        <x:v>1</x:v>
      </x:c>
    </x:row>
    <x:row r="140">
      <x:c r="A140" s="6" t="d">
        <x:v>2025-07-10T00:00:00.000Z</x:v>
      </x:c>
      <x:c r="B140" s="6" t="d">
        <x:v>2025-07-11T00:00:00.000Z</x:v>
      </x:c>
      <x:c r="C140" s="7" t="str">
        <x:v>605500</x:v>
      </x:c>
      <x:c r="D140" s="2" t="n">
        <x:v>1</x:v>
      </x:c>
      <x:c r="E140" s="11" t="n">
        <x:v>0.7693516966102247</x:v>
      </x:c>
      <x:c r="F140" s="2" t="str">
        <x:v>五分最高涨幅&gt;=6% 且 五分最低涨幅&gt;=-3%</x:v>
      </x:c>
      <x:c r="G140" s="9" t="n">
        <x:v>0.082078313253012</x:v>
      </x:c>
      <x:c r="H140" s="9" t="n">
        <x:v>-0.009789156626506</x:v>
      </x:c>
      <x:c r="I140" s="9" t="n">
        <x:v>0.011295180722891</x:v>
      </x:c>
      <x:c r="J140" s="9" t="n">
        <x:v>0.028943560057887</x:v>
      </x:c>
      <x:c r="K140" s="9" t="n">
        <x:v>0.87704918032787</x:v>
      </x:c>
      <x:c r="L140" s="2" t="str">
        <x:v>前弱后强</x:v>
      </x:c>
      <x:c r="M140" s="2" t="n">
        <x:v>0</x:v>
      </x:c>
      <x:c r="N140" s="2" t="n">
        <x:v>5</x:v>
      </x:c>
      <x:c r="O140" s="2" t="n">
        <x:v>1</x:v>
      </x:c>
      <x:c r="P140" s="2" t="n">
        <x:v>1</x:v>
      </x:c>
      <x:c r="Q140" s="2" t="n">
        <x:v>1</x:v>
      </x:c>
      <x:c r="R140" s="2" t="n">
        <x:v>1</x:v>
      </x:c>
      <x:c r="S140" s="2" t="str">
        <x:v>09:36</x:v>
      </x:c>
      <x:c r="T140" s="12" t="n">
        <x:v>14.19</x:v>
      </x:c>
      <x:c r="U140" s="2" t="n">
        <x:v>1</x:v>
      </x:c>
      <x:c r="V140" s="2" t="n">
        <x:v>1</x:v>
      </x:c>
      <x:c r="W140" s="2" t="n">
        <x:v>1</x:v>
      </x:c>
      <x:c r="X140" s="2" t="n">
        <x:v>1</x:v>
      </x:c>
    </x:row>
    <x:row r="141">
      <x:c r="A141" s="6" t="d">
        <x:v>2025-07-10T00:00:00.000Z</x:v>
      </x:c>
      <x:c r="B141" s="6" t="d">
        <x:v>2025-07-11T00:00:00.000Z</x:v>
      </x:c>
      <x:c r="C141" s="7" t="str">
        <x:v>000514</x:v>
      </x:c>
      <x:c r="D141" s="2" t="n">
        <x:v>2</x:v>
      </x:c>
      <x:c r="E141" s="11" t="n">
        <x:v>0.7643511033985747</x:v>
      </x:c>
      <x:c r="F141" s="2" t="str">
        <x:v>五分最高涨幅&gt;=6% 且 五分最低涨幅&gt;=-3%</x:v>
      </x:c>
      <x:c r="G141" s="9" t="n">
        <x:v>0.100583090379009</x:v>
      </x:c>
      <x:c r="H141" s="9" t="n">
        <x:v>0.056851311953353</x:v>
      </x:c>
      <x:c r="I141" s="9" t="n">
        <x:v>0</x:v>
      </x:c>
      <x:c r="J141" s="9" t="n">
        <x:v>0.009358288770053</x:v>
      </x:c>
      <x:c r="K141" s="9" t="n">
        <x:v>1</x:v>
      </x:c>
      <x:c r="L141" s="2" t="str">
        <x:v>两段走强</x:v>
      </x:c>
      <x:c r="M141" s="2" t="n">
        <x:v>4</x:v>
      </x:c>
      <x:c r="N141" s="2" t="n">
        <x:v>2</x:v>
      </x:c>
      <x:c r="O141" s="2" t="n">
        <x:v>1</x:v>
      </x:c>
      <x:c r="P141" s="2" t="n">
        <x:v>1</x:v>
      </x:c>
      <x:c r="Q141" s="2" t="n">
        <x:v>1</x:v>
      </x:c>
      <x:c r="R141" s="2" t="n">
        <x:v>1</x:v>
      </x:c>
      <x:c r="S141" s="2" t="str">
        <x:v>09:37</x:v>
      </x:c>
      <x:c r="T141" s="12" t="n">
        <x:v>7.54</x:v>
      </x:c>
      <x:c r="U141" s="2" t="n">
        <x:v>1</x:v>
      </x:c>
      <x:c r="V141" s="2" t="n">
        <x:v>0</x:v>
      </x:c>
      <x:c r="W141" s="2" t="n">
        <x:v>0</x:v>
      </x:c>
      <x:c r="X141" s="2" t="n">
        <x:v>1</x:v>
      </x:c>
    </x:row>
    <x:row r="142">
      <x:c r="A142" s="6" t="d">
        <x:v>2025-07-10T00:00:00.000Z</x:v>
      </x:c>
      <x:c r="B142" s="6" t="d">
        <x:v>2025-07-11T00:00:00.000Z</x:v>
      </x:c>
      <x:c r="C142" s="7" t="str">
        <x:v>605122</x:v>
      </x:c>
      <x:c r="D142" s="2" t="n">
        <x:v>3</x:v>
      </x:c>
      <x:c r="E142" s="11" t="n">
        <x:v>0.758532870868906</x:v>
      </x:c>
      <x:c r="F142" s="2" t="str">
        <x:v>五分最高涨幅&gt;=6% 且 五分最低涨幅&gt;=-3%</x:v>
      </x:c>
      <x:c r="G142" s="9" t="n">
        <x:v>0.100231749710313</x:v>
      </x:c>
      <x:c r="H142" s="9" t="n">
        <x:v>-0.082850521436848</x:v>
      </x:c>
      <x:c r="I142" s="9" t="n">
        <x:v>0.161066048667439</x:v>
      </x:c>
      <x:c r="J142" s="9" t="n">
        <x:v>-0.146392838335966</x:v>
      </x:c>
      <x:c r="K142" s="9" t="n">
        <x:v>0.120253164556962</x:v>
      </x:c>
      <x:c r="L142" s="2" t="str">
        <x:v>前弱后强</x:v>
      </x:c>
      <x:c r="M142" s="2" t="n">
        <x:v>2</x:v>
      </x:c>
      <x:c r="N142" s="2" t="n">
        <x:v>4</x:v>
      </x:c>
      <x:c r="O142" s="2" t="n">
        <x:v>1</x:v>
      </x:c>
      <x:c r="P142" s="2" t="n">
        <x:v>1</x:v>
      </x:c>
      <x:c r="Q142" s="2" t="n">
        <x:v>0</x:v>
      </x:c>
      <x:c r="R142" s="2" t="n">
        <x:v>1</x:v>
      </x:c>
      <x:c r="S142" s="2" t="str">
        <x:v>09:36</x:v>
      </x:c>
      <x:c r="T142" s="12" t="n">
        <x:v>16.18</x:v>
      </x:c>
      <x:c r="U142" s="2" t="n">
        <x:v>0</x:v>
      </x:c>
      <x:c r="V142" s="2" t="n">
        <x:v>0</x:v>
      </x:c>
      <x:c r="W142" s="2" t="n">
        <x:v>0</x:v>
      </x:c>
      <x:c r="X142" s="2" t="n">
        <x:v>1</x:v>
      </x:c>
    </x:row>
    <x:row r="143">
      <x:c r="A143" s="6" t="d">
        <x:v>2025-07-11T00:00:00.000Z</x:v>
      </x:c>
      <x:c r="B143" s="6" t="d">
        <x:v>2025-07-14T00:00:00.000Z</x:v>
      </x:c>
      <x:c r="C143" s="7" t="str">
        <x:v>000010</x:v>
      </x:c>
      <x:c r="D143" s="2" t="n">
        <x:v>1</x:v>
      </x:c>
      <x:c r="E143" s="11" t="n">
        <x:v>0.7768520764993451</x:v>
      </x:c>
      <x:c r="F143" s="2" t="str">
        <x:v>五分最高涨幅&gt;=6% 且 五分最低涨幅&gt;=-3%</x:v>
      </x:c>
      <x:c r="G143" s="9" t="n">
        <x:v>0.00251256281407</x:v>
      </x:c>
      <x:c r="H143" s="9" t="n">
        <x:v>-0.07035175879397</x:v>
      </x:c>
      <x:c r="I143" s="9" t="n">
        <x:v>0.040201005025126</x:v>
      </x:c>
      <x:c r="J143" s="9" t="n">
        <x:v>-0.037688442211055</x:v>
      </x:c>
      <x:c r="K143" s="9" t="n">
        <x:v>0.448275862068965</x:v>
      </x:c>
      <x:c r="L143" s="2" t="str">
        <x:v>两段走弱</x:v>
      </x:c>
      <x:c r="M143" s="2" t="n">
        <x:v>0</x:v>
      </x:c>
      <x:c r="N143" s="2" t="n">
        <x:v>5</x:v>
      </x:c>
      <x:c r="O143" s="2" t="n">
        <x:v>1</x:v>
      </x:c>
      <x:c r="P143" s="2" t="n">
        <x:v>1</x:v>
      </x:c>
      <x:c r="Q143" s="2" t="n">
        <x:v>0</x:v>
      </x:c>
      <x:c r="R143" s="2" t="n">
        <x:v>1</x:v>
      </x:c>
      <x:c r="S143" s="2" t="str">
        <x:v>09:36</x:v>
      </x:c>
      <x:c r="T143" s="12" t="n">
        <x:v>3.84</x:v>
      </x:c>
      <x:c r="U143" s="2" t="n">
        <x:v>1</x:v>
      </x:c>
      <x:c r="V143" s="2" t="n">
        <x:v>0</x:v>
      </x:c>
      <x:c r="W143" s="2" t="n">
        <x:v>1</x:v>
      </x:c>
      <x:c r="X143" s="2" t="n">
        <x:v>0</x:v>
      </x:c>
    </x:row>
    <x:row r="144">
      <x:c r="A144" s="6" t="d">
        <x:v>2025-07-11T00:00:00.000Z</x:v>
      </x:c>
      <x:c r="B144" s="6" t="d">
        <x:v>2025-07-14T00:00:00.000Z</x:v>
      </x:c>
      <x:c r="C144" s="7" t="str">
        <x:v>605122</x:v>
      </x:c>
      <x:c r="D144" s="2" t="n">
        <x:v>2</x:v>
      </x:c>
      <x:c r="E144" s="11" t="n">
        <x:v>0.7538424090923791</x:v>
      </x:c>
      <x:c r="F144" s="2" t="str">
        <x:v>五分最高涨幅&gt;=6% 且 五分最低涨幅&gt;=-3%</x:v>
      </x:c>
      <x:c r="G144" s="9" t="n">
        <x:v>-0.021590310689837</x:v>
      </x:c>
      <x:c r="H144" s="9" t="n">
        <x:v>-0.077935755660874</x:v>
      </x:c>
      <x:c r="I144" s="9" t="n">
        <x:v>0.051606108478146</x:v>
      </x:c>
      <x:c r="J144" s="9" t="n">
        <x:v>-0.039825422804146</x:v>
      </x:c>
      <x:c r="K144" s="9" t="n">
        <x:v>0.08411214953271</x:v>
      </x:c>
      <x:c r="L144" s="2" t="str">
        <x:v>两段走弱</x:v>
      </x:c>
      <x:c r="M144" s="2" t="n">
        <x:v>0</x:v>
      </x:c>
      <x:c r="N144" s="2" t="n">
        <x:v>5</x:v>
      </x:c>
      <x:c r="O144" s="2" t="n">
        <x:v>1</x:v>
      </x:c>
      <x:c r="P144" s="2" t="n">
        <x:v>1</x:v>
      </x:c>
      <x:c r="Q144" s="2" t="n">
        <x:v>0</x:v>
      </x:c>
      <x:c r="R144" s="2" t="n">
        <x:v>1</x:v>
      </x:c>
      <x:c r="S144" s="2" t="str">
        <x:v>09:36</x:v>
      </x:c>
      <x:c r="T144" s="12" t="n">
        <x:v>17.51</x:v>
      </x:c>
      <x:c r="U144" s="2" t="n">
        <x:v>1</x:v>
      </x:c>
      <x:c r="V144" s="2" t="n">
        <x:v>0</x:v>
      </x:c>
      <x:c r="W144" s="2" t="n">
        <x:v>0</x:v>
      </x:c>
      <x:c r="X144" s="2" t="n">
        <x:v>0</x:v>
      </x:c>
    </x:row>
    <x:row r="145">
      <x:c r="A145" s="6" t="d">
        <x:v>2025-07-11T00:00:00.000Z</x:v>
      </x:c>
      <x:c r="B145" s="6" t="d">
        <x:v>2025-07-14T00:00:00.000Z</x:v>
      </x:c>
      <x:c r="C145" s="7" t="str">
        <x:v>603778</x:v>
      </x:c>
      <x:c r="D145" s="2" t="n">
        <x:v>3</x:v>
      </x:c>
      <x:c r="E145" s="11" t="n">
        <x:v>0.7534896615577227</x:v>
      </x:c>
      <x:c r="F145" s="2" t="str">
        <x:v>五分最高涨幅&gt;=6% 且 五分最低涨幅&gt;=-3%</x:v>
      </x:c>
      <x:c r="G145" s="9" t="n">
        <x:v>0.022044088176353</x:v>
      </x:c>
      <x:c r="H145" s="9" t="n">
        <x:v>-0.072144288577154</x:v>
      </x:c>
      <x:c r="I145" s="9" t="n">
        <x:v>0.006012024048096</x:v>
      </x:c>
      <x:c r="J145" s="9" t="n">
        <x:v>0.03469387755102</x:v>
      </x:c>
      <x:c r="K145" s="9" t="n">
        <x:v>0.936170212765959</x:v>
      </x:c>
      <x:c r="L145" s="2" t="str">
        <x:v>前弱后强</x:v>
      </x:c>
      <x:c r="M145" s="2" t="n">
        <x:v>0</x:v>
      </x:c>
      <x:c r="N145" s="2" t="n">
        <x:v>5</x:v>
      </x:c>
      <x:c r="O145" s="2" t="n">
        <x:v>1</x:v>
      </x:c>
      <x:c r="P145" s="2" t="n">
        <x:v>1</x:v>
      </x:c>
      <x:c r="Q145" s="2" t="n">
        <x:v>0</x:v>
      </x:c>
      <x:c r="R145" s="2" t="n">
        <x:v>1</x:v>
      </x:c>
      <x:c r="S145" s="2" t="str">
        <x:v>09:36</x:v>
      </x:c>
      <x:c r="T145" s="12" t="n">
        <x:v>5.07</x:v>
      </x:c>
      <x:c r="U145" s="2" t="n">
        <x:v>1</x:v>
      </x:c>
      <x:c r="V145" s="2" t="n">
        <x:v>0</x:v>
      </x:c>
      <x:c r="W145" s="2" t="n">
        <x:v>0</x:v>
      </x:c>
      <x:c r="X145" s="2" t="n">
        <x:v>1</x:v>
      </x:c>
    </x:row>
    <x:row r="146">
      <x:c r="A146" s="6" t="d">
        <x:v>2025-07-14T00:00:00.000Z</x:v>
      </x:c>
      <x:c r="B146" s="6" t="d">
        <x:v>2025-07-15T00:00:00.000Z</x:v>
      </x:c>
      <x:c r="C146" s="7" t="str">
        <x:v>600513</x:v>
      </x:c>
      <x:c r="D146" s="2" t="n">
        <x:v>1</x:v>
      </x:c>
      <x:c r="E146" s="11" t="n">
        <x:v>0.7742293756751497</x:v>
      </x:c>
      <x:c r="F146" s="2" t="str">
        <x:v>五分最高涨幅&gt;=6% 且 五分最低涨幅&gt;=-3%</x:v>
      </x:c>
      <x:c r="G146" s="9" t="n">
        <x:v>-0.029126213592233</x:v>
      </x:c>
      <x:c r="H146" s="9" t="n">
        <x:v>-0.100121359223301</x:v>
      </x:c>
      <x:c r="I146" s="9" t="n">
        <x:v>0.059466019417476</x:v>
      </x:c>
      <x:c r="J146" s="9" t="n">
        <x:v>-0.06125</x:v>
      </x:c>
      <x:c r="K146" s="9" t="n">
        <x:v>0.162393162393162</x:v>
      </x:c>
      <x:c r="L146" s="2" t="str">
        <x:v>前弱后强</x:v>
      </x:c>
      <x:c r="M146" s="2" t="n">
        <x:v>0</x:v>
      </x:c>
      <x:c r="N146" s="2" t="n">
        <x:v>5</x:v>
      </x:c>
      <x:c r="O146" s="2" t="n">
        <x:v>1</x:v>
      </x:c>
      <x:c r="P146" s="2" t="n">
        <x:v>1</x:v>
      </x:c>
      <x:c r="Q146" s="2" t="n">
        <x:v>0</x:v>
      </x:c>
      <x:c r="R146" s="2" t="n">
        <x:v>1</x:v>
      </x:c>
      <x:c r="S146" s="2" t="str">
        <x:v>09:36</x:v>
      </x:c>
      <x:c r="T146" s="12" t="n">
        <x:v>14.98</x:v>
      </x:c>
      <x:c r="U146" s="2" t="n">
        <x:v>1</x:v>
      </x:c>
      <x:c r="V146" s="2" t="n">
        <x:v>0</x:v>
      </x:c>
      <x:c r="W146" s="2" t="n">
        <x:v>1</x:v>
      </x:c>
      <x:c r="X146" s="2" t="n">
        <x:v>1</x:v>
      </x:c>
    </x:row>
    <x:row r="147">
      <x:c r="A147" s="6" t="d">
        <x:v>2025-07-14T00:00:00.000Z</x:v>
      </x:c>
      <x:c r="B147" s="6" t="d">
        <x:v>2025-07-15T00:00:00.000Z</x:v>
      </x:c>
      <x:c r="C147" s="7" t="str">
        <x:v>603778</x:v>
      </x:c>
      <x:c r="D147" s="2" t="n">
        <x:v>2</x:v>
      </x:c>
      <x:c r="E147" s="11" t="n">
        <x:v>0.7632596779882349</x:v>
      </x:c>
      <x:c r="F147" s="2" t="str">
        <x:v>五分最高涨幅&gt;=6% 且 五分最低涨幅&gt;=-3%</x:v>
      </x:c>
      <x:c r="G147" s="9" t="n">
        <x:v>-0.007285974499089</x:v>
      </x:c>
      <x:c r="H147" s="9" t="n">
        <x:v>-0.100182149362477</x:v>
      </x:c>
      <x:c r="I147" s="9" t="n">
        <x:v>0.07103825136612</x:v>
      </x:c>
      <x:c r="J147" s="9" t="n">
        <x:v>-0.057728119180633</x:v>
      </x:c>
      <x:c r="K147" s="9" t="n">
        <x:v>0.235294117647057</x:v>
      </x:c>
      <x:c r="L147" s="2" t="str">
        <x:v>两段走弱</x:v>
      </x:c>
      <x:c r="M147" s="2" t="n">
        <x:v>0</x:v>
      </x:c>
      <x:c r="N147" s="2" t="n">
        <x:v>5</x:v>
      </x:c>
      <x:c r="O147" s="2" t="n">
        <x:v>1</x:v>
      </x:c>
      <x:c r="P147" s="2" t="n">
        <x:v>1</x:v>
      </x:c>
      <x:c r="Q147" s="2" t="n">
        <x:v>0</x:v>
      </x:c>
      <x:c r="R147" s="2" t="n">
        <x:v>1</x:v>
      </x:c>
      <x:c r="S147" s="2" t="str">
        <x:v>09:36</x:v>
      </x:c>
      <x:c r="T147" s="12" t="n">
        <x:v>5.05</x:v>
      </x:c>
      <x:c r="U147" s="2" t="n">
        <x:v>1</x:v>
      </x:c>
      <x:c r="V147" s="2" t="n">
        <x:v>0</x:v>
      </x:c>
      <x:c r="W147" s="2" t="n">
        <x:v>0</x:v>
      </x:c>
      <x:c r="X147" s="2" t="n">
        <x:v>0</x:v>
      </x:c>
    </x:row>
    <x:row r="148">
      <x:c r="A148" s="6" t="d">
        <x:v>2025-07-14T00:00:00.000Z</x:v>
      </x:c>
      <x:c r="B148" s="6" t="d">
        <x:v>2025-07-15T00:00:00.000Z</x:v>
      </x:c>
      <x:c r="C148" s="7" t="str">
        <x:v>601908</x:v>
      </x:c>
      <x:c r="D148" s="2" t="n">
        <x:v>3</x:v>
      </x:c>
      <x:c r="E148" s="11" t="n">
        <x:v>0.7348724862447266</x:v>
      </x:c>
      <x:c r="F148" s="2" t="str">
        <x:v>五分最高涨幅&gt;=6% 且 五分最低涨幅&gt;=-3%</x:v>
      </x:c>
      <x:c r="G148" s="9" t="n">
        <x:v>0.049568965517242</x:v>
      </x:c>
      <x:c r="H148" s="9" t="n">
        <x:v>0</x:v>
      </x:c>
      <x:c r="I148" s="9" t="n">
        <x:v>0.017241379310345</x:v>
      </x:c>
      <x:c r="J148" s="9" t="n">
        <x:v>-0.016427104722793</x:v>
      </x:c>
      <x:c r="K148" s="9" t="n">
        <x:v>0.652173913043479</x:v>
      </x:c>
      <x:c r="L148" s="2" t="str">
        <x:v>两段走弱</x:v>
      </x:c>
      <x:c r="M148" s="2" t="n">
        <x:v>0</x:v>
      </x:c>
      <x:c r="N148" s="2" t="n">
        <x:v>5</x:v>
      </x:c>
      <x:c r="O148" s="2" t="n">
        <x:v>1</x:v>
      </x:c>
      <x:c r="P148" s="2" t="n">
        <x:v>1</x:v>
      </x:c>
      <x:c r="Q148" s="2" t="n">
        <x:v>0</x:v>
      </x:c>
      <x:c r="R148" s="2" t="n">
        <x:v>1</x:v>
      </x:c>
      <x:c r="S148" s="2" t="str">
        <x:v>09:36</x:v>
      </x:c>
      <x:c r="T148" s="12" t="n">
        <x:v>4.78</x:v>
      </x:c>
      <x:c r="U148" s="2" t="n">
        <x:v>1</x:v>
      </x:c>
      <x:c r="V148" s="2" t="n">
        <x:v>0</x:v>
      </x:c>
      <x:c r="W148" s="2" t="n">
        <x:v>0</x:v>
      </x:c>
      <x:c r="X148" s="2" t="n">
        <x:v>0</x:v>
      </x:c>
    </x:row>
    <x:row r="149">
      <x:c r="A149" s="6" t="d">
        <x:v>2025-07-15T00:00:00.000Z</x:v>
      </x:c>
      <x:c r="B149" s="6" t="d">
        <x:v>2025-07-16T00:00:00.000Z</x:v>
      </x:c>
      <x:c r="C149" s="7" t="str">
        <x:v>002645</x:v>
      </x:c>
      <x:c r="D149" s="2" t="n">
        <x:v>1</x:v>
      </x:c>
      <x:c r="E149" s="11" t="n">
        <x:v>0.7814565871260017</x:v>
      </x:c>
      <x:c r="F149" s="2" t="str">
        <x:v>五分最高涨幅&gt;=6% 且 五分最低涨幅&gt;=-3%</x:v>
      </x:c>
      <x:c r="G149" s="9" t="n">
        <x:v>0.078260869565217</x:v>
      </x:c>
      <x:c r="H149" s="9" t="n">
        <x:v>0.017391304347826</x:v>
      </x:c>
      <x:c r="I149" s="9" t="n">
        <x:v>0.024505928853755</x:v>
      </x:c>
      <x:c r="J149" s="9" t="n">
        <x:v>0.034937888198758</x:v>
      </x:c>
      <x:c r="K149" s="9" t="n">
        <x:v>0.597402597402598</x:v>
      </x:c>
      <x:c r="L149" s="2" t="str">
        <x:v>两段走强</x:v>
      </x:c>
      <x:c r="M149" s="2" t="n">
        <x:v>0</x:v>
      </x:c>
      <x:c r="N149" s="2" t="n">
        <x:v>5</x:v>
      </x:c>
      <x:c r="O149" s="2" t="n">
        <x:v>1</x:v>
      </x:c>
      <x:c r="P149" s="2" t="n">
        <x:v>1</x:v>
      </x:c>
      <x:c r="Q149" s="2" t="n">
        <x:v>1</x:v>
      </x:c>
      <x:c r="R149" s="2" t="n">
        <x:v>1</x:v>
      </x:c>
      <x:c r="S149" s="2" t="str">
        <x:v>09:36</x:v>
      </x:c>
      <x:c r="T149" s="12" t="n">
        <x:v>13.33</x:v>
      </x:c>
      <x:c r="U149" s="2" t="n">
        <x:v>1</x:v>
      </x:c>
      <x:c r="V149" s="2" t="n">
        <x:v>1</x:v>
      </x:c>
      <x:c r="W149" s="2" t="n">
        <x:v>1</x:v>
      </x:c>
      <x:c r="X149" s="2" t="n">
        <x:v>1</x:v>
      </x:c>
    </x:row>
    <x:row r="150">
      <x:c r="A150" s="6" t="d">
        <x:v>2025-07-15T00:00:00.000Z</x:v>
      </x:c>
      <x:c r="B150" s="6" t="d">
        <x:v>2025-07-16T00:00:00.000Z</x:v>
      </x:c>
      <x:c r="C150" s="7" t="str">
        <x:v>600826</x:v>
      </x:c>
      <x:c r="D150" s="2" t="n">
        <x:v>2</x:v>
      </x:c>
      <x:c r="E150" s="11" t="n">
        <x:v>0.7749724808377321</x:v>
      </x:c>
      <x:c r="F150" s="2" t="str">
        <x:v>五分最高涨幅&gt;=6% 且 五分最低涨幅&gt;=-3%</x:v>
      </x:c>
      <x:c r="G150" s="9" t="n">
        <x:v>0.100183823529412</x:v>
      </x:c>
      <x:c r="H150" s="9" t="n">
        <x:v>0.100183823529412</x:v>
      </x:c>
      <x:c r="I150" s="9" t="n">
        <x:v>0</x:v>
      </x:c>
      <x:c r="J150" s="9" t="n">
        <x:v>0</x:v>
      </x:c>
      <x:c r="K150" s="9" t="n">
        <x:v>0.5</x:v>
      </x:c>
      <x:c r="L150" s="2" t="str">
        <x:v>平走</x:v>
      </x:c>
      <x:c r="M150" s="2" t="n">
        <x:v>5</x:v>
      </x:c>
      <x:c r="N150" s="2" t="n">
        <x:v>0</x:v>
      </x:c>
      <x:c r="O150" s="2" t="n">
        <x:v>1</x:v>
      </x:c>
      <x:c r="P150" s="2" t="n">
        <x:v>1</x:v>
      </x:c>
      <x:c r="Q150" s="2" t="n">
        <x:v>1</x:v>
      </x:c>
      <x:c r="R150" s="2" t="n">
        <x:v>0</x:v>
      </x:c>
      <x:c r="S150" s="2"/>
      <x:c r="T150" s="12"/>
      <x:c r="U150" s="2" t="n">
        <x:v>1</x:v>
      </x:c>
      <x:c r="V150" s="2" t="n">
        <x:v>0</x:v>
      </x:c>
      <x:c r="W150" s="2" t="n">
        <x:v>0</x:v>
      </x:c>
      <x:c r="X150" s="2" t="n">
        <x:v>1</x:v>
      </x:c>
    </x:row>
    <x:row r="151">
      <x:c r="A151" s="6" t="d">
        <x:v>2025-07-15T00:00:00.000Z</x:v>
      </x:c>
      <x:c r="B151" s="6" t="d">
        <x:v>2025-07-16T00:00:00.000Z</x:v>
      </x:c>
      <x:c r="C151" s="7" t="str">
        <x:v>603176</x:v>
      </x:c>
      <x:c r="D151" s="2" t="n">
        <x:v>3</x:v>
      </x:c>
      <x:c r="E151" s="11" t="n">
        <x:v>0.7620855742256584</x:v>
      </x:c>
      <x:c r="F151" s="2" t="str">
        <x:v>五分最高涨幅&gt;=6% 且 五分最低涨幅&gt;=-3%</x:v>
      </x:c>
      <x:c r="G151" s="9" t="n">
        <x:v>0.100443131462334</x:v>
      </x:c>
      <x:c r="H151" s="9" t="n">
        <x:v>-0.070901033973412</x:v>
      </x:c>
      <x:c r="I151" s="9" t="n">
        <x:v>0.155096011816839</x:v>
      </x:c>
      <x:c r="J151" s="9" t="n">
        <x:v>-0.140939597315436</x:v>
      </x:c>
      <x:c r="K151" s="9" t="n">
        <x:v>0.094827586206897</x:v>
      </x:c>
      <x:c r="L151" s="2" t="str">
        <x:v>两段走弱</x:v>
      </x:c>
      <x:c r="M151" s="2" t="n">
        <x:v>2</x:v>
      </x:c>
      <x:c r="N151" s="2" t="n">
        <x:v>4</x:v>
      </x:c>
      <x:c r="O151" s="2" t="n">
        <x:v>1</x:v>
      </x:c>
      <x:c r="P151" s="2" t="n">
        <x:v>1</x:v>
      </x:c>
      <x:c r="Q151" s="2" t="n">
        <x:v>0</x:v>
      </x:c>
      <x:c r="R151" s="2" t="n">
        <x:v>1</x:v>
      </x:c>
      <x:c r="S151" s="2" t="str">
        <x:v>09:36</x:v>
      </x:c>
      <x:c r="T151" s="12" t="n">
        <x:v>6.38</x:v>
      </x:c>
      <x:c r="U151" s="2" t="n">
        <x:v>0</x:v>
      </x:c>
      <x:c r="V151" s="2" t="n">
        <x:v>0</x:v>
      </x:c>
      <x:c r="W151" s="2" t="n">
        <x:v>0</x:v>
      </x:c>
      <x:c r="X151" s="2" t="n">
        <x:v>1</x:v>
      </x:c>
    </x:row>
    <x:row r="152">
      <x:c r="A152" s="6" t="d">
        <x:v>2025-07-16T00:00:00.000Z</x:v>
      </x:c>
      <x:c r="B152" s="6" t="d">
        <x:v>2025-07-17T00:00:00.000Z</x:v>
      </x:c>
      <x:c r="C152" s="7" t="str">
        <x:v>600826</x:v>
      </x:c>
      <x:c r="D152" s="2" t="n">
        <x:v>1</x:v>
      </x:c>
      <x:c r="E152" s="11" t="n">
        <x:v>0.7785661191950894</x:v>
      </x:c>
      <x:c r="F152" s="2" t="str">
        <x:v>五分最高涨幅&gt;=6% 且 五分最低涨幅&gt;=-3%</x:v>
      </x:c>
      <x:c r="G152" s="9" t="n">
        <x:v>0.100250626566416</x:v>
      </x:c>
      <x:c r="H152" s="9" t="n">
        <x:v>0.047619047619047</x:v>
      </x:c>
      <x:c r="I152" s="9" t="n">
        <x:v>0</x:v>
      </x:c>
      <x:c r="J152" s="9" t="n">
        <x:v>0.045238095238095</x:v>
      </x:c>
      <x:c r="K152" s="9" t="n">
        <x:v>1</x:v>
      </x:c>
      <x:c r="L152" s="2" t="str">
        <x:v>两段走强</x:v>
      </x:c>
      <x:c r="M152" s="2" t="n">
        <x:v>5</x:v>
      </x:c>
      <x:c r="N152" s="2" t="n">
        <x:v>1</x:v>
      </x:c>
      <x:c r="O152" s="2" t="n">
        <x:v>1</x:v>
      </x:c>
      <x:c r="P152" s="2" t="n">
        <x:v>1</x:v>
      </x:c>
      <x:c r="Q152" s="2" t="n">
        <x:v>1</x:v>
      </x:c>
      <x:c r="R152" s="2" t="n">
        <x:v>0</x:v>
      </x:c>
      <x:c r="S152" s="2"/>
      <x:c r="T152" s="12"/>
      <x:c r="U152" s="2" t="n">
        <x:v>1</x:v>
      </x:c>
      <x:c r="V152" s="2" t="n">
        <x:v>0</x:v>
      </x:c>
      <x:c r="W152" s="2" t="n">
        <x:v>0</x:v>
      </x:c>
      <x:c r="X152" s="2" t="n">
        <x:v>1</x:v>
      </x:c>
    </x:row>
    <x:row r="153">
      <x:c r="A153" s="6" t="d">
        <x:v>2025-07-16T00:00:00.000Z</x:v>
      </x:c>
      <x:c r="B153" s="6" t="d">
        <x:v>2025-07-17T00:00:00.000Z</x:v>
      </x:c>
      <x:c r="C153" s="7" t="str">
        <x:v>600822</x:v>
      </x:c>
      <x:c r="D153" s="2" t="n">
        <x:v>2</x:v>
      </x:c>
      <x:c r="E153" s="11" t="n">
        <x:v>0.7465305481507912</x:v>
      </x:c>
      <x:c r="F153" s="2" t="str">
        <x:v>五分最高涨幅&gt;=6% 且 五分最低涨幅&gt;=-3%</x:v>
      </x:c>
      <x:c r="G153" s="9" t="n">
        <x:v>0.091592617908407</x:v>
      </x:c>
      <x:c r="H153" s="9" t="n">
        <x:v>0.020505809979494</x:v>
      </x:c>
      <x:c r="I153" s="9" t="n">
        <x:v>0.007518796992481</x:v>
      </x:c>
      <x:c r="J153" s="9" t="n">
        <x:v>0.062290689886135</x:v>
      </x:c>
      <x:c r="K153" s="9" t="n">
        <x:v>0.894230769230768</x:v>
      </x:c>
      <x:c r="L153" s="2" t="str">
        <x:v>两段走强</x:v>
      </x:c>
      <x:c r="M153" s="2" t="n">
        <x:v>0</x:v>
      </x:c>
      <x:c r="N153" s="2" t="n">
        <x:v>5</x:v>
      </x:c>
      <x:c r="O153" s="2" t="n">
        <x:v>1</x:v>
      </x:c>
      <x:c r="P153" s="2" t="n">
        <x:v>1</x:v>
      </x:c>
      <x:c r="Q153" s="2" t="n">
        <x:v>1</x:v>
      </x:c>
      <x:c r="R153" s="2" t="n">
        <x:v>1</x:v>
      </x:c>
      <x:c r="S153" s="2" t="str">
        <x:v>09:36</x:v>
      </x:c>
      <x:c r="T153" s="12" t="n">
        <x:v>15.8</x:v>
      </x:c>
      <x:c r="U153" s="2" t="n">
        <x:v>1</x:v>
      </x:c>
      <x:c r="V153" s="2" t="n">
        <x:v>1</x:v>
      </x:c>
      <x:c r="W153" s="2" t="n">
        <x:v>1</x:v>
      </x:c>
      <x:c r="X153" s="2" t="n">
        <x:v>1</x:v>
      </x:c>
    </x:row>
    <x:row r="154">
      <x:c r="A154" s="6" t="d">
        <x:v>2025-07-16T00:00:00.000Z</x:v>
      </x:c>
      <x:c r="B154" s="6" t="d">
        <x:v>2025-07-17T00:00:00.000Z</x:v>
      </x:c>
      <x:c r="C154" s="7" t="str">
        <x:v>002209</x:v>
      </x:c>
      <x:c r="D154" s="2" t="n">
        <x:v>3</x:v>
      </x:c>
      <x:c r="E154" s="11" t="n">
        <x:v>0.7350486788115761</x:v>
      </x:c>
      <x:c r="F154" s="2" t="str">
        <x:v>五分最高涨幅&gt;=6% 且 五分最低涨幅&gt;=-3%</x:v>
      </x:c>
      <x:c r="G154" s="9" t="n">
        <x:v>0.099244875943905</x:v>
      </x:c>
      <x:c r="H154" s="9" t="n">
        <x:v>-0.06957928802589</x:v>
      </x:c>
      <x:c r="I154" s="9" t="n">
        <x:v>0.12621359223301</x:v>
      </x:c>
      <x:c r="J154" s="9" t="n">
        <x:v>-0.114818449460255</x:v>
      </x:c>
      <x:c r="K154" s="9" t="n">
        <x:v>0.252396166134185</x:v>
      </x:c>
      <x:c r="L154" s="2" t="str">
        <x:v>两段走弱</x:v>
      </x:c>
      <x:c r="M154" s="2" t="n">
        <x:v>0</x:v>
      </x:c>
      <x:c r="N154" s="2" t="n">
        <x:v>5</x:v>
      </x:c>
      <x:c r="O154" s="2" t="n">
        <x:v>1</x:v>
      </x:c>
      <x:c r="P154" s="2" t="n">
        <x:v>1</x:v>
      </x:c>
      <x:c r="Q154" s="2" t="n">
        <x:v>0</x:v>
      </x:c>
      <x:c r="R154" s="2" t="n">
        <x:v>1</x:v>
      </x:c>
      <x:c r="S154" s="2" t="str">
        <x:v>09:36</x:v>
      </x:c>
      <x:c r="T154" s="12" t="n">
        <x:v>18.03</x:v>
      </x:c>
      <x:c r="U154" s="2" t="n">
        <x:v>0</x:v>
      </x:c>
      <x:c r="V154" s="2" t="n">
        <x:v>0</x:v>
      </x:c>
      <x:c r="W154" s="2" t="n">
        <x:v>0</x:v>
      </x:c>
      <x:c r="X154" s="2" t="n">
        <x:v>0</x:v>
      </x:c>
    </x:row>
    <x:row r="155">
      <x:c r="A155" s="6" t="d">
        <x:v>2025-07-17T00:00:00.000Z</x:v>
      </x:c>
      <x:c r="B155" s="6" t="d">
        <x:v>2025-07-18T00:00:00.000Z</x:v>
      </x:c>
      <x:c r="C155" s="7" t="str">
        <x:v>002394</x:v>
      </x:c>
      <x:c r="D155" s="2" t="n">
        <x:v>1</x:v>
      </x:c>
      <x:c r="E155" s="11" t="n">
        <x:v>0.7444790341773349</x:v>
      </x:c>
      <x:c r="F155" s="2" t="str">
        <x:v>五分最高涨幅&gt;=6% 且 五分最低涨幅&gt;=-3%</x:v>
      </x:c>
      <x:c r="G155" s="9" t="n">
        <x:v>0.06473594548552</x:v>
      </x:c>
      <x:c r="H155" s="9" t="n">
        <x:v>-0.039182282793867</x:v>
      </x:c>
      <x:c r="I155" s="9" t="n">
        <x:v>0.085178875638842</x:v>
      </x:c>
      <x:c r="J155" s="9" t="n">
        <x:v>-0.055829228243021</x:v>
      </x:c>
      <x:c r="K155" s="9" t="n">
        <x:v>0.180327868852459</x:v>
      </x:c>
      <x:c r="L155" s="2" t="str">
        <x:v>两段走弱</x:v>
      </x:c>
      <x:c r="M155" s="2" t="n">
        <x:v>0</x:v>
      </x:c>
      <x:c r="N155" s="2" t="n">
        <x:v>5</x:v>
      </x:c>
      <x:c r="O155" s="2" t="n">
        <x:v>1</x:v>
      </x:c>
      <x:c r="P155" s="2" t="n">
        <x:v>1</x:v>
      </x:c>
      <x:c r="Q155" s="2" t="n">
        <x:v>0</x:v>
      </x:c>
      <x:c r="R155" s="2" t="n">
        <x:v>1</x:v>
      </x:c>
      <x:c r="S155" s="2" t="str">
        <x:v>09:36</x:v>
      </x:c>
      <x:c r="T155" s="12" t="n">
        <x:v>11.5</x:v>
      </x:c>
      <x:c r="U155" s="2" t="n">
        <x:v>1</x:v>
      </x:c>
      <x:c r="V155" s="2" t="n">
        <x:v>0</x:v>
      </x:c>
      <x:c r="W155" s="2" t="n">
        <x:v>1</x:v>
      </x:c>
      <x:c r="X155" s="2" t="n">
        <x:v>0</x:v>
      </x:c>
    </x:row>
    <x:row r="156">
      <x:c r="A156" s="6" t="d">
        <x:v>2025-07-17T00:00:00.000Z</x:v>
      </x:c>
      <x:c r="B156" s="6" t="d">
        <x:v>2025-07-18T00:00:00.000Z</x:v>
      </x:c>
      <x:c r="C156" s="7" t="str">
        <x:v>600822</x:v>
      </x:c>
      <x:c r="D156" s="2" t="n">
        <x:v>2</x:v>
      </x:c>
      <x:c r="E156" s="11" t="n">
        <x:v>0.7421118573394633</x:v>
      </x:c>
      <x:c r="F156" s="2" t="str">
        <x:v>五分最高涨幅&gt;=6% 且 五分最低涨幅&gt;=-3%</x:v>
      </x:c>
      <x:c r="G156" s="9" t="n">
        <x:v>-0.058421379738968</x:v>
      </x:c>
      <x:c r="H156" s="9" t="n">
        <x:v>-0.100062150403978</x:v>
      </x:c>
      <x:c r="I156" s="9" t="n">
        <x:v>0.012430080795525</x:v>
      </x:c>
      <x:c r="J156" s="9" t="n">
        <x:v>0.008771929824561</x:v>
      </x:c>
      <x:c r="K156" s="9" t="n">
        <x:v>0.701492537313431</x:v>
      </x:c>
      <x:c r="L156" s="2" t="str">
        <x:v>前弱后强</x:v>
      </x:c>
      <x:c r="M156" s="2" t="n">
        <x:v>0</x:v>
      </x:c>
      <x:c r="N156" s="2" t="n">
        <x:v>5</x:v>
      </x:c>
      <x:c r="O156" s="2" t="n">
        <x:v>1</x:v>
      </x:c>
      <x:c r="P156" s="2" t="n">
        <x:v>1</x:v>
      </x:c>
      <x:c r="Q156" s="2" t="n">
        <x:v>0</x:v>
      </x:c>
      <x:c r="R156" s="2" t="n">
        <x:v>1</x:v>
      </x:c>
      <x:c r="S156" s="2" t="str">
        <x:v>09:36</x:v>
      </x:c>
      <x:c r="T156" s="12" t="n">
        <x:v>14.97</x:v>
      </x:c>
      <x:c r="U156" s="2" t="n">
        <x:v>1</x:v>
      </x:c>
      <x:c r="V156" s="2" t="n">
        <x:v>0</x:v>
      </x:c>
      <x:c r="W156" s="2" t="n">
        <x:v>0</x:v>
      </x:c>
      <x:c r="X156" s="2" t="n">
        <x:v>0</x:v>
      </x:c>
    </x:row>
    <x:row r="157">
      <x:c r="A157" s="6" t="d">
        <x:v>2025-07-17T00:00:00.000Z</x:v>
      </x:c>
      <x:c r="B157" s="6" t="d">
        <x:v>2025-07-18T00:00:00.000Z</x:v>
      </x:c>
      <x:c r="C157" s="7" t="str">
        <x:v>600826</x:v>
      </x:c>
      <x:c r="D157" s="2" t="n">
        <x:v>3</x:v>
      </x:c>
      <x:c r="E157" s="11" t="n">
        <x:v>0.7319819789726422</x:v>
      </x:c>
      <x:c r="F157" s="2" t="str">
        <x:v>五分最高涨幅&gt;=6% 且 五分最低涨幅&gt;=-3%</x:v>
      </x:c>
      <x:c r="G157" s="9" t="n">
        <x:v>0.100227790432802</x:v>
      </x:c>
      <x:c r="H157" s="9" t="n">
        <x:v>0.03872437357631</x:v>
      </x:c>
      <x:c r="I157" s="9" t="n">
        <x:v>0.003796507213364</x:v>
      </x:c>
      <x:c r="J157" s="9" t="n">
        <x:v>0.055555555555556</x:v>
      </x:c>
      <x:c r="K157" s="9" t="n">
        <x:v>0.938271604938271</x:v>
      </x:c>
      <x:c r="L157" s="2" t="str">
        <x:v>两段走强</x:v>
      </x:c>
      <x:c r="M157" s="2" t="n">
        <x:v>1</x:v>
      </x:c>
      <x:c r="N157" s="2" t="n">
        <x:v>5</x:v>
      </x:c>
      <x:c r="O157" s="2" t="n">
        <x:v>1</x:v>
      </x:c>
      <x:c r="P157" s="2" t="n">
        <x:v>1</x:v>
      </x:c>
      <x:c r="Q157" s="2" t="n">
        <x:v>1</x:v>
      </x:c>
      <x:c r="R157" s="2" t="n">
        <x:v>1</x:v>
      </x:c>
      <x:c r="S157" s="2" t="str">
        <x:v>09:36</x:v>
      </x:c>
      <x:c r="T157" s="12" t="n">
        <x:v>14.35</x:v>
      </x:c>
      <x:c r="U157" s="2" t="n">
        <x:v>1</x:v>
      </x:c>
      <x:c r="V157" s="2" t="n">
        <x:v>1</x:v>
      </x:c>
      <x:c r="W157" s="2" t="n">
        <x:v>0</x:v>
      </x:c>
      <x:c r="X157" s="2" t="n">
        <x:v>1</x:v>
      </x:c>
    </x:row>
    <x:row r="158">
      <x:c r="A158" s="6" t="d">
        <x:v>2025-07-18T00:00:00.000Z</x:v>
      </x:c>
      <x:c r="B158" s="6" t="d">
        <x:v>2025-07-21T00:00:00.000Z</x:v>
      </x:c>
      <x:c r="C158" s="7" t="str">
        <x:v>600620</x:v>
      </x:c>
      <x:c r="D158" s="2" t="n">
        <x:v>1</x:v>
      </x:c>
      <x:c r="E158" s="11" t="n">
        <x:v>0.7575600911978493</x:v>
      </x:c>
      <x:c r="F158" s="2" t="str">
        <x:v>五分最高涨幅&gt;=6% 且 五分最低涨幅&gt;=-3%</x:v>
      </x:c>
      <x:c r="G158" s="9" t="n">
        <x:v>0.042635658914729</x:v>
      </x:c>
      <x:c r="H158" s="9" t="n">
        <x:v>-0.054263565891473</x:v>
      </x:c>
      <x:c r="I158" s="9" t="n">
        <x:v>0.007751937984496</x:v>
      </x:c>
      <x:c r="J158" s="9" t="n">
        <x:v>0.053947368421053</x:v>
      </x:c>
      <x:c r="K158" s="9" t="n">
        <x:v>0.919999999999999</x:v>
      </x:c>
      <x:c r="L158" s="2" t="str">
        <x:v>前弱后强</x:v>
      </x:c>
      <x:c r="M158" s="2" t="n">
        <x:v>0</x:v>
      </x:c>
      <x:c r="N158" s="2" t="n">
        <x:v>5</x:v>
      </x:c>
      <x:c r="O158" s="2" t="n">
        <x:v>1</x:v>
      </x:c>
      <x:c r="P158" s="2" t="n">
        <x:v>1</x:v>
      </x:c>
      <x:c r="Q158" s="2" t="n">
        <x:v>0</x:v>
      </x:c>
      <x:c r="R158" s="2" t="n">
        <x:v>1</x:v>
      </x:c>
      <x:c r="S158" s="2" t="str">
        <x:v>09:36</x:v>
      </x:c>
      <x:c r="T158" s="12" t="n">
        <x:v>8.07</x:v>
      </x:c>
      <x:c r="U158" s="2" t="n">
        <x:v>1</x:v>
      </x:c>
      <x:c r="V158" s="2" t="n">
        <x:v>0</x:v>
      </x:c>
      <x:c r="W158" s="2" t="n">
        <x:v>1</x:v>
      </x:c>
      <x:c r="X158" s="2" t="n">
        <x:v>0</x:v>
      </x:c>
    </x:row>
    <x:row r="159">
      <x:c r="A159" s="6" t="d">
        <x:v>2025-07-18T00:00:00.000Z</x:v>
      </x:c>
      <x:c r="B159" s="6" t="d">
        <x:v>2025-07-21T00:00:00.000Z</x:v>
      </x:c>
      <x:c r="C159" s="7" t="str">
        <x:v>603115</x:v>
      </x:c>
      <x:c r="D159" s="2" t="n">
        <x:v>2</x:v>
      </x:c>
      <x:c r="E159" s="11" t="n">
        <x:v>0.7466307735563616</x:v>
      </x:c>
      <x:c r="F159" s="2" t="str">
        <x:v>五分最高涨幅&gt;=6% 且 五分最低涨幅&gt;=-3%</x:v>
      </x:c>
      <x:c r="G159" s="9" t="n">
        <x:v>0</x:v>
      </x:c>
      <x:c r="H159" s="9" t="n">
        <x:v>-0.067718940936864</x:v>
      </x:c>
      <x:c r="I159" s="9" t="n">
        <x:v>0.04938900203666</x:v>
      </x:c>
      <x:c r="J159" s="9" t="n">
        <x:v>-0.04938900203666</x:v>
      </x:c>
      <x:c r="K159" s="9" t="n">
        <x:v>0.270676691729325</x:v>
      </x:c>
      <x:c r="L159" s="2" t="str">
        <x:v>两段走弱</x:v>
      </x:c>
      <x:c r="M159" s="2" t="n">
        <x:v>0</x:v>
      </x:c>
      <x:c r="N159" s="2" t="n">
        <x:v>5</x:v>
      </x:c>
      <x:c r="O159" s="2" t="n">
        <x:v>1</x:v>
      </x:c>
      <x:c r="P159" s="2" t="n">
        <x:v>1</x:v>
      </x:c>
      <x:c r="Q159" s="2" t="n">
        <x:v>0</x:v>
      </x:c>
      <x:c r="R159" s="2" t="n">
        <x:v>1</x:v>
      </x:c>
      <x:c r="S159" s="2" t="str">
        <x:v>09:36</x:v>
      </x:c>
      <x:c r="T159" s="12" t="n">
        <x:v>18.65</x:v>
      </x:c>
      <x:c r="U159" s="2" t="n">
        <x:v>1</x:v>
      </x:c>
      <x:c r="V159" s="2" t="n">
        <x:v>0</x:v>
      </x:c>
      <x:c r="W159" s="2" t="n">
        <x:v>0</x:v>
      </x:c>
      <x:c r="X159" s="2" t="n">
        <x:v>0</x:v>
      </x:c>
    </x:row>
    <x:row r="160">
      <x:c r="A160" s="6" t="d">
        <x:v>2025-07-18T00:00:00.000Z</x:v>
      </x:c>
      <x:c r="B160" s="6" t="d">
        <x:v>2025-07-21T00:00:00.000Z</x:v>
      </x:c>
      <x:c r="C160" s="7" t="str">
        <x:v>600826</x:v>
      </x:c>
      <x:c r="D160" s="2" t="n">
        <x:v>3</x:v>
      </x:c>
      <x:c r="E160" s="11" t="n">
        <x:v>0.7390734860750253</x:v>
      </x:c>
      <x:c r="F160" s="2" t="str">
        <x:v>五分最高涨幅&gt;=6% 且 五分最低涨幅&gt;=-3%</x:v>
      </x:c>
      <x:c r="G160" s="9" t="n">
        <x:v>0.050379572118703</x:v>
      </x:c>
      <x:c r="H160" s="9" t="n">
        <x:v>-0.003450655624569</x:v>
      </x:c>
      <x:c r="I160" s="9" t="n">
        <x:v>0.011732229123533</x:v>
      </x:c>
      <x:c r="J160" s="9" t="n">
        <x:v>0.023113528212101</x:v>
      </x:c>
      <x:c r="K160" s="9" t="n">
        <x:v>0.782051282051282</x:v>
      </x:c>
      <x:c r="L160" s="2" t="str">
        <x:v>前弱后强</x:v>
      </x:c>
      <x:c r="M160" s="2" t="n">
        <x:v>0</x:v>
      </x:c>
      <x:c r="N160" s="2" t="n">
        <x:v>5</x:v>
      </x:c>
      <x:c r="O160" s="2" t="n">
        <x:v>1</x:v>
      </x:c>
      <x:c r="P160" s="2" t="n">
        <x:v>1</x:v>
      </x:c>
      <x:c r="Q160" s="2" t="n">
        <x:v>0</x:v>
      </x:c>
      <x:c r="R160" s="2" t="n">
        <x:v>1</x:v>
      </x:c>
      <x:c r="S160" s="2" t="str">
        <x:v>09:36</x:v>
      </x:c>
      <x:c r="T160" s="12" t="n">
        <x:v>15.05</x:v>
      </x:c>
      <x:c r="U160" s="2" t="n">
        <x:v>1</x:v>
      </x:c>
      <x:c r="V160" s="2" t="n">
        <x:v>0</x:v>
      </x:c>
      <x:c r="W160" s="2" t="n">
        <x:v>0</x:v>
      </x:c>
      <x:c r="X160" s="2" t="n">
        <x:v>1</x:v>
      </x:c>
    </x:row>
    <x:row r="161">
      <x:c r="A161" s="6" t="d">
        <x:v>2025-07-21T00:00:00.000Z</x:v>
      </x:c>
      <x:c r="B161" s="6" t="d">
        <x:v>2025-07-22T00:00:00.000Z</x:v>
      </x:c>
      <x:c r="C161" s="7" t="str">
        <x:v>601003</x:v>
      </x:c>
      <x:c r="D161" s="2" t="n">
        <x:v>1</x:v>
      </x:c>
      <x:c r="E161" s="11" t="n">
        <x:v>0.73951805255151</x:v>
      </x:c>
      <x:c r="F161" s="2" t="str">
        <x:v>五分最高涨幅&gt;=6% 且 五分最低涨幅&gt;=-3%</x:v>
      </x:c>
      <x:c r="G161" s="9" t="n">
        <x:v>0.08160237388724</x:v>
      </x:c>
      <x:c r="H161" s="9" t="n">
        <x:v>0.017804154302671</x:v>
      </x:c>
      <x:c r="I161" s="9" t="n">
        <x:v>0.062314540059347</x:v>
      </x:c>
      <x:c r="J161" s="9" t="n">
        <x:v>-0.018571428571429</x:v>
      </x:c>
      <x:c r="K161" s="9" t="n">
        <x:v>0.023255813953488</x:v>
      </x:c>
      <x:c r="L161" s="2" t="str">
        <x:v>前强后弱</x:v>
      </x:c>
      <x:c r="M161" s="2" t="n">
        <x:v>0</x:v>
      </x:c>
      <x:c r="N161" s="2" t="n">
        <x:v>5</x:v>
      </x:c>
      <x:c r="O161" s="2" t="n">
        <x:v>1</x:v>
      </x:c>
      <x:c r="P161" s="2" t="n">
        <x:v>1</x:v>
      </x:c>
      <x:c r="Q161" s="2" t="n">
        <x:v>1</x:v>
      </x:c>
      <x:c r="R161" s="2" t="n">
        <x:v>1</x:v>
      </x:c>
      <x:c r="S161" s="2" t="str">
        <x:v>09:36</x:v>
      </x:c>
      <x:c r="T161" s="12" t="n">
        <x:v>6.9</x:v>
      </x:c>
      <x:c r="U161" s="2" t="n">
        <x:v>1</x:v>
      </x:c>
      <x:c r="V161" s="2" t="n">
        <x:v>1</x:v>
      </x:c>
      <x:c r="W161" s="2" t="n">
        <x:v>1</x:v>
      </x:c>
      <x:c r="X161" s="2" t="n">
        <x:v>1</x:v>
      </x:c>
    </x:row>
    <x:row r="162">
      <x:c r="A162" s="6" t="d">
        <x:v>2025-07-21T00:00:00.000Z</x:v>
      </x:c>
      <x:c r="B162" s="6" t="d">
        <x:v>2025-07-22T00:00:00.000Z</x:v>
      </x:c>
      <x:c r="C162" s="7" t="str">
        <x:v>600829</x:v>
      </x:c>
      <x:c r="D162" s="2" t="n">
        <x:v>2</x:v>
      </x:c>
      <x:c r="E162" s="11" t="n">
        <x:v>0.7319220411626112</x:v>
      </x:c>
      <x:c r="F162" s="2" t="str">
        <x:v>五分最高涨幅&gt;=6% 且 五分最低涨幅&gt;=-3%</x:v>
      </x:c>
      <x:c r="G162" s="9" t="n">
        <x:v>-0.005905511811024</x:v>
      </x:c>
      <x:c r="H162" s="9" t="n">
        <x:v>-0.06496062992126</x:v>
      </x:c>
      <x:c r="I162" s="9" t="n">
        <x:v>0.059055118110236</x:v>
      </x:c>
      <x:c r="J162" s="9" t="n">
        <x:v>-0.057539682539683</x:v>
      </x:c>
      <x:c r="K162" s="9" t="n">
        <x:v>0</x:v>
      </x:c>
      <x:c r="L162" s="2" t="str">
        <x:v>两段走弱</x:v>
      </x:c>
      <x:c r="M162" s="2" t="n">
        <x:v>0</x:v>
      </x:c>
      <x:c r="N162" s="2" t="n">
        <x:v>5</x:v>
      </x:c>
      <x:c r="O162" s="2" t="n">
        <x:v>1</x:v>
      </x:c>
      <x:c r="P162" s="2" t="n">
        <x:v>1</x:v>
      </x:c>
      <x:c r="Q162" s="2" t="n">
        <x:v>0</x:v>
      </x:c>
      <x:c r="R162" s="2" t="n">
        <x:v>1</x:v>
      </x:c>
      <x:c r="S162" s="2" t="str">
        <x:v>09:36</x:v>
      </x:c>
      <x:c r="T162" s="12" t="n">
        <x:v>9.53</x:v>
      </x:c>
      <x:c r="U162" s="2" t="n">
        <x:v>1</x:v>
      </x:c>
      <x:c r="V162" s="2" t="n">
        <x:v>0</x:v>
      </x:c>
      <x:c r="W162" s="2" t="n">
        <x:v>0</x:v>
      </x:c>
      <x:c r="X162" s="2" t="n">
        <x:v>0</x:v>
      </x:c>
    </x:row>
    <x:row r="163">
      <x:c r="A163" s="6" t="d">
        <x:v>2025-07-21T00:00:00.000Z</x:v>
      </x:c>
      <x:c r="B163" s="6" t="d">
        <x:v>2025-07-22T00:00:00.000Z</x:v>
      </x:c>
      <x:c r="C163" s="7" t="str">
        <x:v>002246</x:v>
      </x:c>
      <x:c r="D163" s="2" t="n">
        <x:v>3</x:v>
      </x:c>
      <x:c r="E163" s="11" t="n">
        <x:v>0.6969287971856996</x:v>
      </x:c>
      <x:c r="F163" s="2" t="str">
        <x:v>五分最高涨幅&gt;=6% 且 五分最低涨幅&gt;=-3%</x:v>
      </x:c>
      <x:c r="G163" s="9" t="n">
        <x:v>0.100153295861012</x:v>
      </x:c>
      <x:c r="H163" s="9" t="n">
        <x:v>0.100153295861012</x:v>
      </x:c>
      <x:c r="I163" s="9" t="n">
        <x:v>0</x:v>
      </x:c>
      <x:c r="J163" s="9" t="n">
        <x:v>0</x:v>
      </x:c>
      <x:c r="K163" s="9" t="n">
        <x:v>0.5</x:v>
      </x:c>
      <x:c r="L163" s="2" t="str">
        <x:v>平走</x:v>
      </x:c>
      <x:c r="M163" s="2" t="n">
        <x:v>5</x:v>
      </x:c>
      <x:c r="N163" s="2" t="n">
        <x:v>0</x:v>
      </x:c>
      <x:c r="O163" s="2" t="n">
        <x:v>1</x:v>
      </x:c>
      <x:c r="P163" s="2" t="n">
        <x:v>1</x:v>
      </x:c>
      <x:c r="Q163" s="2" t="n">
        <x:v>1</x:v>
      </x:c>
      <x:c r="R163" s="2" t="n">
        <x:v>0</x:v>
      </x:c>
      <x:c r="S163" s="2"/>
      <x:c r="T163" s="12"/>
      <x:c r="U163" s="2" t="n">
        <x:v>1</x:v>
      </x:c>
      <x:c r="V163" s="2" t="n">
        <x:v>0</x:v>
      </x:c>
      <x:c r="W163" s="2" t="n">
        <x:v>0</x:v>
      </x:c>
      <x:c r="X163" s="2" t="n">
        <x:v>1</x:v>
      </x:c>
    </x:row>
    <x:row r="164">
      <x:c r="A164" s="6" t="d">
        <x:v>2025-07-22T00:00:00.000Z</x:v>
      </x:c>
      <x:c r="B164" s="6" t="d">
        <x:v>2025-07-23T00:00:00.000Z</x:v>
      </x:c>
      <x:c r="C164" s="7" t="str">
        <x:v>002246</x:v>
      </x:c>
      <x:c r="D164" s="2" t="n">
        <x:v>1</x:v>
      </x:c>
      <x:c r="E164" s="11" t="n">
        <x:v>0.7104782594171196</x:v>
      </x:c>
      <x:c r="F164" s="2" t="str">
        <x:v>五分最高涨幅&gt;=6% 且 五分最低涨幅&gt;=-3%</x:v>
      </x:c>
      <x:c r="G164" s="9" t="n">
        <x:v>0.099860659544821</x:v>
      </x:c>
      <x:c r="H164" s="9" t="n">
        <x:v>0.049233627496516</x:v>
      </x:c>
      <x:c r="I164" s="9" t="n">
        <x:v>0.013469577333953</x:v>
      </x:c>
      <x:c r="J164" s="9" t="n">
        <x:v>-0.012246621621622</x:v>
      </x:c>
      <x:c r="K164" s="9" t="n">
        <x:v>0.733944954128441</x:v>
      </x:c>
      <x:c r="L164" s="2" t="str">
        <x:v>两段走弱</x:v>
      </x:c>
      <x:c r="M164" s="2" t="n">
        <x:v>5</x:v>
      </x:c>
      <x:c r="N164" s="2" t="n">
        <x:v>3</x:v>
      </x:c>
      <x:c r="O164" s="2" t="n">
        <x:v>1</x:v>
      </x:c>
      <x:c r="P164" s="2" t="n">
        <x:v>1</x:v>
      </x:c>
      <x:c r="Q164" s="2" t="n">
        <x:v>1</x:v>
      </x:c>
      <x:c r="R164" s="2" t="n">
        <x:v>1</x:v>
      </x:c>
      <x:c r="S164" s="2" t="str">
        <x:v>09:36</x:v>
      </x:c>
      <x:c r="T164" s="12" t="n">
        <x:v>23.62</x:v>
      </x:c>
      <x:c r="U164" s="2" t="n">
        <x:v>1</x:v>
      </x:c>
      <x:c r="V164" s="2" t="n">
        <x:v>1</x:v>
      </x:c>
      <x:c r="W164" s="2" t="n">
        <x:v>1</x:v>
      </x:c>
      <x:c r="X164" s="2" t="n">
        <x:v>0</x:v>
      </x:c>
    </x:row>
    <x:row r="165">
      <x:c r="A165" s="6" t="d">
        <x:v>2025-07-22T00:00:00.000Z</x:v>
      </x:c>
      <x:c r="B165" s="6" t="d">
        <x:v>2025-07-23T00:00:00.000Z</x:v>
      </x:c>
      <x:c r="C165" s="7" t="str">
        <x:v>001360</x:v>
      </x:c>
      <x:c r="D165" s="2" t="n">
        <x:v>2</x:v>
      </x:c>
      <x:c r="E165" s="11" t="n">
        <x:v>0.7056386653324569</x:v>
      </x:c>
      <x:c r="F165" s="2" t="str">
        <x:v>五分最高涨幅&gt;=6% 且 五分最低涨幅&gt;=-3%</x:v>
      </x:c>
      <x:c r="G165" s="9" t="n">
        <x:v>0.100052938062467</x:v>
      </x:c>
      <x:c r="H165" s="9" t="n">
        <x:v>0.100052938062467</x:v>
      </x:c>
      <x:c r="I165" s="9" t="n">
        <x:v>0</x:v>
      </x:c>
      <x:c r="J165" s="9" t="n">
        <x:v>0</x:v>
      </x:c>
      <x:c r="K165" s="9" t="n">
        <x:v>0.5</x:v>
      </x:c>
      <x:c r="L165" s="2" t="str">
        <x:v>平走</x:v>
      </x:c>
      <x:c r="M165" s="2" t="n">
        <x:v>5</x:v>
      </x:c>
      <x:c r="N165" s="2" t="n">
        <x:v>0</x:v>
      </x:c>
      <x:c r="O165" s="2" t="n">
        <x:v>1</x:v>
      </x:c>
      <x:c r="P165" s="2" t="n">
        <x:v>1</x:v>
      </x:c>
      <x:c r="Q165" s="2" t="n">
        <x:v>1</x:v>
      </x:c>
      <x:c r="R165" s="2" t="n">
        <x:v>0</x:v>
      </x:c>
      <x:c r="S165" s="2"/>
      <x:c r="T165" s="12"/>
      <x:c r="U165" s="2" t="n">
        <x:v>1</x:v>
      </x:c>
      <x:c r="V165" s="2" t="n">
        <x:v>0</x:v>
      </x:c>
      <x:c r="W165" s="2" t="n">
        <x:v>0</x:v>
      </x:c>
      <x:c r="X165" s="2" t="n">
        <x:v>1</x:v>
      </x:c>
    </x:row>
    <x:row r="166">
      <x:c r="A166" s="6" t="d">
        <x:v>2025-07-22T00:00:00.000Z</x:v>
      </x:c>
      <x:c r="B166" s="6" t="d">
        <x:v>2025-07-23T00:00:00.000Z</x:v>
      </x:c>
      <x:c r="C166" s="7" t="str">
        <x:v>600678</x:v>
      </x:c>
      <x:c r="D166" s="2" t="n">
        <x:v>3</x:v>
      </x:c>
      <x:c r="E166" s="11" t="n">
        <x:v>0.6977859419904353</x:v>
      </x:c>
      <x:c r="F166" s="2" t="str">
        <x:v>五分最高涨幅&gt;=6% 且 五分最低涨幅&gt;=-3%</x:v>
      </x:c>
      <x:c r="G166" s="9" t="n">
        <x:v>0.098797250859106</x:v>
      </x:c>
      <x:c r="H166" s="9" t="n">
        <x:v>0.02233676975945</x:v>
      </x:c>
      <x:c r="I166" s="9" t="n">
        <x:v>0.032646048109966</x:v>
      </x:c>
      <x:c r="J166" s="9" t="n">
        <x:v>-0.029710711493354</x:v>
      </x:c>
      <x:c r="K166" s="9" t="n">
        <x:v>0.573033707865169</x:v>
      </x:c>
      <x:c r="L166" s="2" t="str">
        <x:v>前弱后强</x:v>
      </x:c>
      <x:c r="M166" s="2" t="n">
        <x:v>0</x:v>
      </x:c>
      <x:c r="N166" s="2" t="n">
        <x:v>5</x:v>
      </x:c>
      <x:c r="O166" s="2" t="n">
        <x:v>1</x:v>
      </x:c>
      <x:c r="P166" s="2" t="n">
        <x:v>1</x:v>
      </x:c>
      <x:c r="Q166" s="2" t="n">
        <x:v>1</x:v>
      </x:c>
      <x:c r="R166" s="2" t="n">
        <x:v>1</x:v>
      </x:c>
      <x:c r="S166" s="2" t="str">
        <x:v>09:36</x:v>
      </x:c>
      <x:c r="T166" s="12" t="n">
        <x:v>12.47</x:v>
      </x:c>
      <x:c r="U166" s="2" t="n">
        <x:v>1</x:v>
      </x:c>
      <x:c r="V166" s="2" t="n">
        <x:v>0</x:v>
      </x:c>
      <x:c r="W166" s="2" t="n">
        <x:v>0</x:v>
      </x:c>
      <x:c r="X166" s="2" t="n">
        <x:v>0</x:v>
      </x:c>
    </x:row>
    <x:row r="167">
      <x:c r="A167" s="6" t="d">
        <x:v>2025-07-23T00:00:00.000Z</x:v>
      </x:c>
      <x:c r="B167" s="6" t="d">
        <x:v>2025-07-24T00:00:00.000Z</x:v>
      </x:c>
      <x:c r="C167" s="7" t="str">
        <x:v>002297</x:v>
      </x:c>
      <x:c r="D167" s="2" t="n">
        <x:v>1</x:v>
      </x:c>
      <x:c r="E167" s="11" t="n">
        <x:v>0.8123923246205613</x:v>
      </x:c>
      <x:c r="F167" s="2" t="str">
        <x:v>五分最高涨幅&gt;=6% 且 五分最低涨幅&gt;=-3%</x:v>
      </x:c>
      <x:c r="G167" s="9" t="n">
        <x:v>-0.002849002849003</x:v>
      </x:c>
      <x:c r="H167" s="9" t="n">
        <x:v>-0.070275403608737</x:v>
      </x:c>
      <x:c r="I167" s="9" t="n">
        <x:v>0.062678062678063</x:v>
      </x:c>
      <x:c r="J167" s="9" t="n">
        <x:v>-0.062857142857143</x:v>
      </x:c>
      <x:c r="K167" s="9" t="n">
        <x:v>0.070422535211269</x:v>
      </x:c>
      <x:c r="L167" s="2" t="str">
        <x:v>两段走弱</x:v>
      </x:c>
      <x:c r="M167" s="2" t="n">
        <x:v>0</x:v>
      </x:c>
      <x:c r="N167" s="2" t="n">
        <x:v>5</x:v>
      </x:c>
      <x:c r="O167" s="2" t="n">
        <x:v>1</x:v>
      </x:c>
      <x:c r="P167" s="2" t="n">
        <x:v>1</x:v>
      </x:c>
      <x:c r="Q167" s="2" t="n">
        <x:v>0</x:v>
      </x:c>
      <x:c r="R167" s="2" t="n">
        <x:v>1</x:v>
      </x:c>
      <x:c r="S167" s="2" t="str">
        <x:v>09:36</x:v>
      </x:c>
      <x:c r="T167" s="12" t="n">
        <x:v>9.86</x:v>
      </x:c>
      <x:c r="U167" s="2" t="n">
        <x:v>1</x:v>
      </x:c>
      <x:c r="V167" s="2" t="n">
        <x:v>0</x:v>
      </x:c>
      <x:c r="W167" s="2" t="n">
        <x:v>1</x:v>
      </x:c>
      <x:c r="X167" s="2" t="n">
        <x:v>1</x:v>
      </x:c>
    </x:row>
    <x:row r="168">
      <x:c r="A168" s="6" t="d">
        <x:v>2025-07-23T00:00:00.000Z</x:v>
      </x:c>
      <x:c r="B168" s="6" t="d">
        <x:v>2025-07-24T00:00:00.000Z</x:v>
      </x:c>
      <x:c r="C168" s="7" t="str">
        <x:v>002097</x:v>
      </x:c>
      <x:c r="D168" s="2" t="n">
        <x:v>2</x:v>
      </x:c>
      <x:c r="E168" s="11" t="n">
        <x:v>0.7954391725517518</x:v>
      </x:c>
      <x:c r="F168" s="2" t="str">
        <x:v>五分最高涨幅&gt;=6% 且 五分最低涨幅&gt;=-3%</x:v>
      </x:c>
      <x:c r="G168" s="9" t="n">
        <x:v>0.100281162136832</x:v>
      </x:c>
      <x:c r="H168" s="9" t="n">
        <x:v>0.0543580131209</x:v>
      </x:c>
      <x:c r="I168" s="9" t="n">
        <x:v>0</x:v>
      </x:c>
      <x:c r="J168" s="9" t="n">
        <x:v>0.019982623805387</x:v>
      </x:c>
      <x:c r="K168" s="9" t="n">
        <x:v>1</x:v>
      </x:c>
      <x:c r="L168" s="2" t="str">
        <x:v>两段走强</x:v>
      </x:c>
      <x:c r="M168" s="2" t="n">
        <x:v>4</x:v>
      </x:c>
      <x:c r="N168" s="2" t="n">
        <x:v>2</x:v>
      </x:c>
      <x:c r="O168" s="2" t="n">
        <x:v>1</x:v>
      </x:c>
      <x:c r="P168" s="2" t="n">
        <x:v>1</x:v>
      </x:c>
      <x:c r="Q168" s="2" t="n">
        <x:v>1</x:v>
      </x:c>
      <x:c r="R168" s="2" t="n">
        <x:v>0</x:v>
      </x:c>
      <x:c r="S168" s="2"/>
      <x:c r="T168" s="12"/>
      <x:c r="U168" s="2" t="n">
        <x:v>1</x:v>
      </x:c>
      <x:c r="V168" s="2" t="n">
        <x:v>0</x:v>
      </x:c>
      <x:c r="W168" s="2" t="n">
        <x:v>0</x:v>
      </x:c>
      <x:c r="X168" s="2" t="n">
        <x:v>1</x:v>
      </x:c>
    </x:row>
    <x:row r="169">
      <x:c r="A169" s="6" t="d">
        <x:v>2025-07-23T00:00:00.000Z</x:v>
      </x:c>
      <x:c r="B169" s="6" t="d">
        <x:v>2025-07-24T00:00:00.000Z</x:v>
      </x:c>
      <x:c r="C169" s="7" t="str">
        <x:v>001360</x:v>
      </x:c>
      <x:c r="D169" s="2" t="n">
        <x:v>3</x:v>
      </x:c>
      <x:c r="E169" s="11" t="n">
        <x:v>0.7835251625144325</x:v>
      </x:c>
      <x:c r="F169" s="2" t="str">
        <x:v>五分最高涨幅&gt;=6% 且 五分最低涨幅&gt;=-3%</x:v>
      </x:c>
      <x:c r="G169" s="9" t="n">
        <x:v>0.005293551491819</x:v>
      </x:c>
      <x:c r="H169" s="9" t="n">
        <x:v>-0.065928777670837</x:v>
      </x:c>
      <x:c r="I169" s="9" t="n">
        <x:v>0.06929740134745</x:v>
      </x:c>
      <x:c r="J169" s="9" t="n">
        <x:v>-0.064903846153846</x:v>
      </x:c>
      <x:c r="K169" s="9" t="n">
        <x:v>0.027027027027026</x:v>
      </x:c>
      <x:c r="L169" s="2" t="str">
        <x:v>两段走弱</x:v>
      </x:c>
      <x:c r="M169" s="2" t="n">
        <x:v>0</x:v>
      </x:c>
      <x:c r="N169" s="2" t="n">
        <x:v>5</x:v>
      </x:c>
      <x:c r="O169" s="2" t="n">
        <x:v>1</x:v>
      </x:c>
      <x:c r="P169" s="2" t="n">
        <x:v>1</x:v>
      </x:c>
      <x:c r="Q169" s="2" t="n">
        <x:v>0</x:v>
      </x:c>
      <x:c r="R169" s="2" t="n">
        <x:v>1</x:v>
      </x:c>
      <x:c r="S169" s="2" t="str">
        <x:v>09:36</x:v>
      </x:c>
      <x:c r="T169" s="12" t="n">
        <x:v>19.4</x:v>
      </x:c>
      <x:c r="U169" s="2" t="n">
        <x:v>1</x:v>
      </x:c>
      <x:c r="V169" s="2" t="n">
        <x:v>0</x:v>
      </x:c>
      <x:c r="W169" s="2" t="n">
        <x:v>0</x:v>
      </x:c>
      <x:c r="X169" s="2" t="n">
        <x:v>0</x:v>
      </x:c>
    </x:row>
    <x:row r="170">
      <x:c r="A170" s="6" t="d">
        <x:v>2025-07-24T00:00:00.000Z</x:v>
      </x:c>
      <x:c r="B170" s="6" t="d">
        <x:v>2025-07-25T00:00:00.000Z</x:v>
      </x:c>
      <x:c r="C170" s="7" t="str">
        <x:v>002097</x:v>
      </x:c>
      <x:c r="D170" s="2" t="n">
        <x:v>1</x:v>
      </x:c>
      <x:c r="E170" s="11" t="n">
        <x:v>0.7578346958490457</x:v>
      </x:c>
      <x:c r="F170" s="2" t="str">
        <x:v>五分最高涨幅&gt;=6% 且 五分最低涨幅&gt;=-3%</x:v>
      </x:c>
      <x:c r="G170" s="9" t="n">
        <x:v>0.099659284497445</x:v>
      </x:c>
      <x:c r="H170" s="9" t="n">
        <x:v>0.099659284497445</x:v>
      </x:c>
      <x:c r="I170" s="9" t="n">
        <x:v>0</x:v>
      </x:c>
      <x:c r="J170" s="9" t="n">
        <x:v>0</x:v>
      </x:c>
      <x:c r="K170" s="9" t="n">
        <x:v>0.5</x:v>
      </x:c>
      <x:c r="L170" s="2" t="str">
        <x:v>平走</x:v>
      </x:c>
      <x:c r="M170" s="2" t="n">
        <x:v>5</x:v>
      </x:c>
      <x:c r="N170" s="2" t="n">
        <x:v>0</x:v>
      </x:c>
      <x:c r="O170" s="2" t="n">
        <x:v>1</x:v>
      </x:c>
      <x:c r="P170" s="2" t="n">
        <x:v>1</x:v>
      </x:c>
      <x:c r="Q170" s="2" t="n">
        <x:v>1</x:v>
      </x:c>
      <x:c r="R170" s="2" t="n">
        <x:v>0</x:v>
      </x:c>
      <x:c r="S170" s="2"/>
      <x:c r="T170" s="12"/>
      <x:c r="U170" s="2" t="n">
        <x:v>1</x:v>
      </x:c>
      <x:c r="V170" s="2" t="n">
        <x:v>0</x:v>
      </x:c>
      <x:c r="W170" s="2" t="n">
        <x:v>0</x:v>
      </x:c>
      <x:c r="X170" s="2" t="n">
        <x:v>1</x:v>
      </x:c>
    </x:row>
    <x:row r="171">
      <x:c r="A171" s="6" t="d">
        <x:v>2025-07-24T00:00:00.000Z</x:v>
      </x:c>
      <x:c r="B171" s="6" t="d">
        <x:v>2025-07-25T00:00:00.000Z</x:v>
      </x:c>
      <x:c r="C171" s="7" t="str">
        <x:v>002037</x:v>
      </x:c>
      <x:c r="D171" s="2" t="n">
        <x:v>2</x:v>
      </x:c>
      <x:c r="E171" s="11" t="n">
        <x:v>0.7471772742772225</x:v>
      </x:c>
      <x:c r="F171" s="2" t="str">
        <x:v>五分最高涨幅&gt;=6% 且 五分最低涨幅&gt;=-3%</x:v>
      </x:c>
      <x:c r="G171" s="9" t="n">
        <x:v>0.100070472163496</x:v>
      </x:c>
      <x:c r="H171" s="9" t="n">
        <x:v>0.035940803382664</x:v>
      </x:c>
      <x:c r="I171" s="9" t="n">
        <x:v>0</x:v>
      </x:c>
      <x:c r="J171" s="9" t="n">
        <x:v>0.041360907271514</x:v>
      </x:c>
      <x:c r="K171" s="9" t="n">
        <x:v>1</x:v>
      </x:c>
      <x:c r="L171" s="2" t="str">
        <x:v>两段走强</x:v>
      </x:c>
      <x:c r="M171" s="2" t="n">
        <x:v>2</x:v>
      </x:c>
      <x:c r="N171" s="2" t="n">
        <x:v>4</x:v>
      </x:c>
      <x:c r="O171" s="2" t="n">
        <x:v>1</x:v>
      </x:c>
      <x:c r="P171" s="2" t="n">
        <x:v>1</x:v>
      </x:c>
      <x:c r="Q171" s="2" t="n">
        <x:v>1</x:v>
      </x:c>
      <x:c r="R171" s="2" t="n">
        <x:v>0</x:v>
      </x:c>
      <x:c r="S171" s="2"/>
      <x:c r="T171" s="12"/>
      <x:c r="U171" s="2" t="n">
        <x:v>1</x:v>
      </x:c>
      <x:c r="V171" s="2" t="n">
        <x:v>0</x:v>
      </x:c>
      <x:c r="W171" s="2" t="n">
        <x:v>0</x:v>
      </x:c>
      <x:c r="X171" s="2" t="n">
        <x:v>0</x:v>
      </x:c>
    </x:row>
    <x:row r="172">
      <x:c r="A172" s="6" t="d">
        <x:v>2025-07-24T00:00:00.000Z</x:v>
      </x:c>
      <x:c r="B172" s="6" t="d">
        <x:v>2025-07-25T00:00:00.000Z</x:v>
      </x:c>
      <x:c r="C172" s="7" t="str">
        <x:v>600749</x:v>
      </x:c>
      <x:c r="D172" s="2" t="n">
        <x:v>3</x:v>
      </x:c>
      <x:c r="E172" s="11" t="n">
        <x:v>0.7325079111358171</x:v>
      </x:c>
      <x:c r="F172" s="2" t="str">
        <x:v>五分最高涨幅&gt;=6% 且 五分最低涨幅&gt;=-3%</x:v>
      </x:c>
      <x:c r="G172" s="9" t="n">
        <x:v>0.09994288977727</x:v>
      </x:c>
      <x:c r="H172" s="9" t="n">
        <x:v>0.09994288977727</x:v>
      </x:c>
      <x:c r="I172" s="9" t="n">
        <x:v>0</x:v>
      </x:c>
      <x:c r="J172" s="9" t="n">
        <x:v>0</x:v>
      </x:c>
      <x:c r="K172" s="9" t="n">
        <x:v>0.5</x:v>
      </x:c>
      <x:c r="L172" s="2" t="str">
        <x:v>平走</x:v>
      </x:c>
      <x:c r="M172" s="2" t="n">
        <x:v>5</x:v>
      </x:c>
      <x:c r="N172" s="2" t="n">
        <x:v>0</x:v>
      </x:c>
      <x:c r="O172" s="2" t="n">
        <x:v>1</x:v>
      </x:c>
      <x:c r="P172" s="2" t="n">
        <x:v>1</x:v>
      </x:c>
      <x:c r="Q172" s="2" t="n">
        <x:v>1</x:v>
      </x:c>
      <x:c r="R172" s="2" t="n">
        <x:v>0</x:v>
      </x:c>
      <x:c r="S172" s="2"/>
      <x:c r="T172" s="12"/>
      <x:c r="U172" s="2" t="n">
        <x:v>1</x:v>
      </x:c>
      <x:c r="V172" s="2" t="n">
        <x:v>0</x:v>
      </x:c>
      <x:c r="W172" s="2" t="n">
        <x:v>0</x:v>
      </x:c>
      <x:c r="X172" s="2" t="n">
        <x:v>1</x:v>
      </x:c>
    </x:row>
    <x:row r="173">
      <x:c r="A173" s="6" t="d">
        <x:v>2025-07-25T00:00:00.000Z</x:v>
      </x:c>
      <x:c r="B173" s="6" t="d">
        <x:v>2025-07-28T00:00:00.000Z</x:v>
      </x:c>
      <x:c r="C173" s="7" t="str">
        <x:v>600749</x:v>
      </x:c>
      <x:c r="D173" s="2" t="n">
        <x:v>1</x:v>
      </x:c>
      <x:c r="E173" s="11" t="n">
        <x:v>0.7913833727284754</x:v>
      </x:c>
      <x:c r="F173" s="2" t="str">
        <x:v>五分最高涨幅&gt;=6% 且 五分最低涨幅&gt;=-3%</x:v>
      </x:c>
      <x:c r="G173" s="9" t="n">
        <x:v>0.100207684319834</x:v>
      </x:c>
      <x:c r="H173" s="9" t="n">
        <x:v>0.078400830737279</x:v>
      </x:c>
      <x:c r="I173" s="9" t="n">
        <x:v>0</x:v>
      </x:c>
      <x:c r="J173" s="9" t="n">
        <x:v>0.014846743295019</x:v>
      </x:c>
      <x:c r="K173" s="9" t="n">
        <x:v>1</x:v>
      </x:c>
      <x:c r="L173" s="2" t="str">
        <x:v>两段走强</x:v>
      </x:c>
      <x:c r="M173" s="2" t="n">
        <x:v>5</x:v>
      </x:c>
      <x:c r="N173" s="2" t="n">
        <x:v>1</x:v>
      </x:c>
      <x:c r="O173" s="2" t="n">
        <x:v>1</x:v>
      </x:c>
      <x:c r="P173" s="2" t="n">
        <x:v>1</x:v>
      </x:c>
      <x:c r="Q173" s="2" t="n">
        <x:v>1</x:v>
      </x:c>
      <x:c r="R173" s="2" t="n">
        <x:v>0</x:v>
      </x:c>
      <x:c r="S173" s="2"/>
      <x:c r="T173" s="12"/>
      <x:c r="U173" s="2" t="n">
        <x:v>1</x:v>
      </x:c>
      <x:c r="V173" s="2" t="n">
        <x:v>0</x:v>
      </x:c>
      <x:c r="W173" s="2" t="n">
        <x:v>0</x:v>
      </x:c>
      <x:c r="X173" s="2" t="n">
        <x:v>1</x:v>
      </x:c>
    </x:row>
    <x:row r="174">
      <x:c r="A174" s="6" t="d">
        <x:v>2025-07-25T00:00:00.000Z</x:v>
      </x:c>
      <x:c r="B174" s="6" t="d">
        <x:v>2025-07-28T00:00:00.000Z</x:v>
      </x:c>
      <x:c r="C174" s="7" t="str">
        <x:v>600117</x:v>
      </x:c>
      <x:c r="D174" s="2" t="n">
        <x:v>2</x:v>
      </x:c>
      <x:c r="E174" s="11" t="n">
        <x:v>0.7775552556236865</x:v>
      </x:c>
      <x:c r="F174" s="2" t="str">
        <x:v>五分最高涨幅&gt;=6% 且 五分最低涨幅&gt;=-3%</x:v>
      </x:c>
      <x:c r="G174" s="9" t="n">
        <x:v>0.047368421052632</x:v>
      </x:c>
      <x:c r="H174" s="9" t="n">
        <x:v>-0.039473684210526</x:v>
      </x:c>
      <x:c r="I174" s="9" t="n">
        <x:v>0.060526315789474</x:v>
      </x:c>
      <x:c r="J174" s="9" t="n">
        <x:v>-0.031007751937985</x:v>
      </x:c>
      <x:c r="K174" s="9" t="n">
        <x:v>0.303030303030303</x:v>
      </x:c>
      <x:c r="L174" s="2" t="str">
        <x:v>前弱后强</x:v>
      </x:c>
      <x:c r="M174" s="2" t="n">
        <x:v>0</x:v>
      </x:c>
      <x:c r="N174" s="2" t="n">
        <x:v>5</x:v>
      </x:c>
      <x:c r="O174" s="2" t="n">
        <x:v>1</x:v>
      </x:c>
      <x:c r="P174" s="2" t="n">
        <x:v>1</x:v>
      </x:c>
      <x:c r="Q174" s="2" t="n">
        <x:v>0</x:v>
      </x:c>
      <x:c r="R174" s="2" t="n">
        <x:v>1</x:v>
      </x:c>
      <x:c r="S174" s="2" t="str">
        <x:v>09:36</x:v>
      </x:c>
      <x:c r="T174" s="12" t="n">
        <x:v>3.75</x:v>
      </x:c>
      <x:c r="U174" s="2" t="n">
        <x:v>1</x:v>
      </x:c>
      <x:c r="V174" s="2" t="n">
        <x:v>0</x:v>
      </x:c>
      <x:c r="W174" s="2" t="n">
        <x:v>1</x:v>
      </x:c>
      <x:c r="X174" s="2" t="n">
        <x:v>1</x:v>
      </x:c>
    </x:row>
    <x:row r="175">
      <x:c r="A175" s="6" t="d">
        <x:v>2025-07-25T00:00:00.000Z</x:v>
      </x:c>
      <x:c r="B175" s="6" t="d">
        <x:v>2025-07-28T00:00:00.000Z</x:v>
      </x:c>
      <x:c r="C175" s="7" t="str">
        <x:v>600326</x:v>
      </x:c>
      <x:c r="D175" s="2" t="n">
        <x:v>3</x:v>
      </x:c>
      <x:c r="E175" s="11" t="n">
        <x:v>0.7427212866749269</x:v>
      </x:c>
      <x:c r="F175" s="2" t="str">
        <x:v>五分最高涨幅&gt;=6% 且 五分最低涨幅&gt;=-3%</x:v>
      </x:c>
      <x:c r="G175" s="9" t="n">
        <x:v>-0.014906027219702</x:v>
      </x:c>
      <x:c r="H175" s="9" t="n">
        <x:v>-0.049254698639015</x:v>
      </x:c>
      <x:c r="I175" s="9" t="n">
        <x:v>0.016850291639663</x:v>
      </x:c>
      <x:c r="J175" s="9" t="n">
        <x:v>0.011509817197021</x:v>
      </x:c>
      <x:c r="K175" s="9" t="n">
        <x:v>0.509433962264151</x:v>
      </x:c>
      <x:c r="L175" s="2" t="str">
        <x:v>前强后弱</x:v>
      </x:c>
      <x:c r="M175" s="2" t="n">
        <x:v>0</x:v>
      </x:c>
      <x:c r="N175" s="2" t="n">
        <x:v>5</x:v>
      </x:c>
      <x:c r="O175" s="2" t="n">
        <x:v>1</x:v>
      </x:c>
      <x:c r="P175" s="2" t="n">
        <x:v>1</x:v>
      </x:c>
      <x:c r="Q175" s="2" t="n">
        <x:v>0</x:v>
      </x:c>
      <x:c r="R175" s="2" t="n">
        <x:v>1</x:v>
      </x:c>
      <x:c r="S175" s="2" t="str">
        <x:v>09:36</x:v>
      </x:c>
      <x:c r="T175" s="12" t="n">
        <x:v>14.96</x:v>
      </x:c>
      <x:c r="U175" s="2" t="n">
        <x:v>1</x:v>
      </x:c>
      <x:c r="V175" s="2" t="n">
        <x:v>0</x:v>
      </x:c>
      <x:c r="W175" s="2" t="n">
        <x:v>0</x:v>
      </x:c>
      <x:c r="X175" s="2" t="n">
        <x:v>1</x:v>
      </x:c>
    </x:row>
    <x:row r="176">
      <x:c r="A176" s="6" t="d">
        <x:v>2025-07-28T00:00:00.000Z</x:v>
      </x:c>
      <x:c r="B176" s="6" t="d">
        <x:v>2025-07-29T00:00:00.000Z</x:v>
      </x:c>
      <x:c r="C176" s="7" t="str">
        <x:v>600749</x:v>
      </x:c>
      <x:c r="D176" s="2" t="n">
        <x:v>1</x:v>
      </x:c>
      <x:c r="E176" s="11" t="n">
        <x:v>0.7653188114964494</x:v>
      </x:c>
      <x:c r="F176" s="2" t="str">
        <x:v>五分最高涨幅&gt;=6% 且 五分最低涨幅&gt;=-3%</x:v>
      </x:c>
      <x:c r="G176" s="9" t="n">
        <x:v>0.100047192071732</x:v>
      </x:c>
      <x:c r="H176" s="9" t="n">
        <x:v>0.100047192071732</x:v>
      </x:c>
      <x:c r="I176" s="9" t="n">
        <x:v>0</x:v>
      </x:c>
      <x:c r="J176" s="9" t="n">
        <x:v>0</x:v>
      </x:c>
      <x:c r="K176" s="9" t="n">
        <x:v>0.5</x:v>
      </x:c>
      <x:c r="L176" s="2" t="str">
        <x:v>平走</x:v>
      </x:c>
      <x:c r="M176" s="2" t="n">
        <x:v>5</x:v>
      </x:c>
      <x:c r="N176" s="2" t="n">
        <x:v>0</x:v>
      </x:c>
      <x:c r="O176" s="2" t="n">
        <x:v>1</x:v>
      </x:c>
      <x:c r="P176" s="2" t="n">
        <x:v>1</x:v>
      </x:c>
      <x:c r="Q176" s="2" t="n">
        <x:v>1</x:v>
      </x:c>
      <x:c r="R176" s="2" t="n">
        <x:v>0</x:v>
      </x:c>
      <x:c r="S176" s="2"/>
      <x:c r="T176" s="12"/>
      <x:c r="U176" s="2" t="n">
        <x:v>1</x:v>
      </x:c>
      <x:c r="V176" s="2" t="n">
        <x:v>0</x:v>
      </x:c>
      <x:c r="W176" s="2" t="n">
        <x:v>0</x:v>
      </x:c>
      <x:c r="X176" s="2" t="n">
        <x:v>1</x:v>
      </x:c>
    </x:row>
    <x:row r="177">
      <x:c r="A177" s="6" t="d">
        <x:v>2025-07-28T00:00:00.000Z</x:v>
      </x:c>
      <x:c r="B177" s="6" t="d">
        <x:v>2025-07-29T00:00:00.000Z</x:v>
      </x:c>
      <x:c r="C177" s="7" t="str">
        <x:v>603616</x:v>
      </x:c>
      <x:c r="D177" s="2" t="n">
        <x:v>2</x:v>
      </x:c>
      <x:c r="E177" s="11" t="n">
        <x:v>0.6759080976903181</x:v>
      </x:c>
      <x:c r="F177" s="2" t="str">
        <x:v>五分最高涨幅&gt;=6% 且 五分最低涨幅&gt;=-3%</x:v>
      </x:c>
      <x:c r="G177" s="9" t="n">
        <x:v>0.100763358778626</x:v>
      </x:c>
      <x:c r="H177" s="9" t="n">
        <x:v>0.047328244274809</x:v>
      </x:c>
      <x:c r="I177" s="9" t="n">
        <x:v>0.022900763358779</x:v>
      </x:c>
      <x:c r="J177" s="9" t="n">
        <x:v>0.010014306151645</x:v>
      </x:c>
      <x:c r="K177" s="9" t="n">
        <x:v>0.57142857142857</x:v>
      </x:c>
      <x:c r="L177" s="2" t="str">
        <x:v>前强后弱</x:v>
      </x:c>
      <x:c r="M177" s="2" t="n">
        <x:v>2</x:v>
      </x:c>
      <x:c r="N177" s="2" t="n">
        <x:v>5</x:v>
      </x:c>
      <x:c r="O177" s="2" t="n">
        <x:v>1</x:v>
      </x:c>
      <x:c r="P177" s="2" t="n">
        <x:v>1</x:v>
      </x:c>
      <x:c r="Q177" s="2" t="n">
        <x:v>1</x:v>
      </x:c>
      <x:c r="R177" s="2" t="n">
        <x:v>1</x:v>
      </x:c>
      <x:c r="S177" s="2" t="str">
        <x:v>09:36</x:v>
      </x:c>
      <x:c r="T177" s="12" t="n">
        <x:v>7.05</x:v>
      </x:c>
      <x:c r="U177" s="2" t="n">
        <x:v>1</x:v>
      </x:c>
      <x:c r="V177" s="2" t="n">
        <x:v>1</x:v>
      </x:c>
      <x:c r="W177" s="2" t="n">
        <x:v>1</x:v>
      </x:c>
      <x:c r="X177" s="2" t="n">
        <x:v>1</x:v>
      </x:c>
    </x:row>
    <x:row r="178">
      <x:c r="A178" s="6" t="d">
        <x:v>2025-07-28T00:00:00.000Z</x:v>
      </x:c>
      <x:c r="B178" s="6" t="d">
        <x:v>2025-07-29T00:00:00.000Z</x:v>
      </x:c>
      <x:c r="C178" s="7" t="str">
        <x:v>002097</x:v>
      </x:c>
      <x:c r="D178" s="2" t="n">
        <x:v>3</x:v>
      </x:c>
      <x:c r="E178" s="11" t="n">
        <x:v>0.6604844602977992</x:v>
      </x:c>
      <x:c r="F178" s="2" t="str">
        <x:v>五分最高涨幅&gt;=6% 且 五分最低涨幅&gt;=-3%</x:v>
      </x:c>
      <x:c r="G178" s="9" t="n">
        <x:v>0.052023121387283</x:v>
      </x:c>
      <x:c r="H178" s="9" t="n">
        <x:v>-0.009083402146986</x:v>
      </x:c>
      <x:c r="I178" s="9" t="n">
        <x:v>0.05532617671346</x:v>
      </x:c>
      <x:c r="J178" s="9" t="n">
        <x:v>-0.042063492063492</x:v>
      </x:c>
      <x:c r="K178" s="9" t="n">
        <x:v>0.094594594594595</x:v>
      </x:c>
      <x:c r="L178" s="2" t="str">
        <x:v>前强后弱</x:v>
      </x:c>
      <x:c r="M178" s="2" t="n">
        <x:v>0</x:v>
      </x:c>
      <x:c r="N178" s="2" t="n">
        <x:v>5</x:v>
      </x:c>
      <x:c r="O178" s="2" t="n">
        <x:v>1</x:v>
      </x:c>
      <x:c r="P178" s="2" t="n">
        <x:v>1</x:v>
      </x:c>
      <x:c r="Q178" s="2" t="n">
        <x:v>0</x:v>
      </x:c>
      <x:c r="R178" s="2" t="n">
        <x:v>1</x:v>
      </x:c>
      <x:c r="S178" s="2" t="str">
        <x:v>09:36</x:v>
      </x:c>
      <x:c r="T178" s="12" t="n">
        <x:v>12.1</x:v>
      </x:c>
      <x:c r="U178" s="2" t="n">
        <x:v>1</x:v>
      </x:c>
      <x:c r="V178" s="2" t="n">
        <x:v>0</x:v>
      </x:c>
      <x:c r="W178" s="2" t="n">
        <x:v>0</x:v>
      </x:c>
      <x:c r="X178" s="2" t="n">
        <x:v>1</x:v>
      </x:c>
    </x:row>
    <x:row r="179">
      <x:c r="A179" s="6" t="d">
        <x:v>2025-07-29T00:00:00.000Z</x:v>
      </x:c>
      <x:c r="B179" s="6" t="d">
        <x:v>2025-07-30T00:00:00.000Z</x:v>
      </x:c>
      <x:c r="C179" s="7" t="str">
        <x:v>600749</x:v>
      </x:c>
      <x:c r="D179" s="2" t="n">
        <x:v>1</x:v>
      </x:c>
      <x:c r="E179" s="11" t="n">
        <x:v>0.7902007364860651</x:v>
      </x:c>
      <x:c r="F179" s="2" t="str">
        <x:v>五分最高涨幅&gt;=6% 且 五分最低涨幅&gt;=-3%</x:v>
      </x:c>
      <x:c r="G179" s="9" t="n">
        <x:v>0.0999570999571</x:v>
      </x:c>
      <x:c r="H179" s="9" t="n">
        <x:v>0.085371085371085</x:v>
      </x:c>
      <x:c r="I179" s="9" t="n">
        <x:v>0</x:v>
      </x:c>
      <x:c r="J179" s="9" t="n">
        <x:v>0.000780640124902</x:v>
      </x:c>
      <x:c r="K179" s="9" t="n">
        <x:v>1</x:v>
      </x:c>
      <x:c r="L179" s="2" t="str">
        <x:v>两段走强</x:v>
      </x:c>
      <x:c r="M179" s="2" t="n">
        <x:v>5</x:v>
      </x:c>
      <x:c r="N179" s="2" t="n">
        <x:v>1</x:v>
      </x:c>
      <x:c r="O179" s="2" t="n">
        <x:v>1</x:v>
      </x:c>
      <x:c r="P179" s="2" t="n">
        <x:v>1</x:v>
      </x:c>
      <x:c r="Q179" s="2" t="n">
        <x:v>1</x:v>
      </x:c>
      <x:c r="R179" s="2" t="n">
        <x:v>0</x:v>
      </x:c>
      <x:c r="S179" s="2"/>
      <x:c r="T179" s="12"/>
      <x:c r="U179" s="2" t="n">
        <x:v>1</x:v>
      </x:c>
      <x:c r="V179" s="2" t="n">
        <x:v>0</x:v>
      </x:c>
      <x:c r="W179" s="2" t="n">
        <x:v>0</x:v>
      </x:c>
      <x:c r="X179" s="2" t="n">
        <x:v>1</x:v>
      </x:c>
    </x:row>
    <x:row r="180">
      <x:c r="A180" s="6" t="d">
        <x:v>2025-07-29T00:00:00.000Z</x:v>
      </x:c>
      <x:c r="B180" s="6" t="d">
        <x:v>2025-07-30T00:00:00.000Z</x:v>
      </x:c>
      <x:c r="C180" s="7" t="str">
        <x:v>002097</x:v>
      </x:c>
      <x:c r="D180" s="2" t="n">
        <x:v>2</x:v>
      </x:c>
      <x:c r="E180" s="11" t="n">
        <x:v>0.6957314308823442</x:v>
      </x:c>
      <x:c r="F180" s="2" t="str">
        <x:v>五分最高涨幅&gt;=6% 且 五分最低涨幅&gt;=-3%</x:v>
      </x:c>
      <x:c r="G180" s="9" t="n">
        <x:v>0.058558558558558</x:v>
      </x:c>
      <x:c r="H180" s="9" t="n">
        <x:v>0.019519519519519</x:v>
      </x:c>
      <x:c r="I180" s="9" t="n">
        <x:v>0.016516516516516</x:v>
      </x:c>
      <x:c r="J180" s="9" t="n">
        <x:v>0.001443001443002</x:v>
      </x:c>
      <x:c r="K180" s="9" t="n">
        <x:v>0.576923076923079</x:v>
      </x:c>
      <x:c r="L180" s="2" t="str">
        <x:v>前弱后强</x:v>
      </x:c>
      <x:c r="M180" s="2" t="n">
        <x:v>0</x:v>
      </x:c>
      <x:c r="N180" s="2" t="n">
        <x:v>5</x:v>
      </x:c>
      <x:c r="O180" s="2" t="n">
        <x:v>1</x:v>
      </x:c>
      <x:c r="P180" s="2" t="n">
        <x:v>1</x:v>
      </x:c>
      <x:c r="Q180" s="2" t="n">
        <x:v>0</x:v>
      </x:c>
      <x:c r="R180" s="2" t="n">
        <x:v>1</x:v>
      </x:c>
      <x:c r="S180" s="2" t="str">
        <x:v>09:36</x:v>
      </x:c>
      <x:c r="T180" s="12" t="n">
        <x:v>13.88</x:v>
      </x:c>
      <x:c r="U180" s="2" t="n">
        <x:v>1</x:v>
      </x:c>
      <x:c r="V180" s="2" t="n">
        <x:v>0</x:v>
      </x:c>
      <x:c r="W180" s="2" t="n">
        <x:v>1</x:v>
      </x:c>
      <x:c r="X180" s="2" t="n">
        <x:v>0</x:v>
      </x:c>
    </x:row>
    <x:row r="181">
      <x:c r="A181" s="6" t="d">
        <x:v>2025-07-29T00:00:00.000Z</x:v>
      </x:c>
      <x:c r="B181" s="6" t="d">
        <x:v>2025-07-30T00:00:00.000Z</x:v>
      </x:c>
      <x:c r="C181" s="7" t="str">
        <x:v>300528</x:v>
      </x:c>
      <x:c r="D181" s="2" t="n">
        <x:v>3</x:v>
      </x:c>
      <x:c r="E181" s="11" t="n">
        <x:v>0.6746629220746244</x:v>
      </x:c>
      <x:c r="F181" s="2" t="str">
        <x:v>五分最高涨幅&gt;=6% 且 五分最低涨幅&gt;=-3%</x:v>
      </x:c>
      <x:c r="G181" s="9" t="n">
        <x:v>0.180094786729858</x:v>
      </x:c>
      <x:c r="H181" s="9" t="n">
        <x:v>0.066350710900474</x:v>
      </x:c>
      <x:c r="I181" s="9" t="n">
        <x:v>0.007582938388626</x:v>
      </x:c>
      <x:c r="J181" s="9" t="n">
        <x:v>0.099067081297201</x:v>
      </x:c>
      <x:c r="K181" s="9" t="n">
        <x:v>0.933333333333333</x:v>
      </x:c>
      <x:c r="L181" s="2" t="str">
        <x:v>两段走强</x:v>
      </x:c>
      <x:c r="M181" s="2" t="n">
        <x:v>0</x:v>
      </x:c>
      <x:c r="N181" s="2" t="n">
        <x:v>5</x:v>
      </x:c>
      <x:c r="O181" s="2" t="n">
        <x:v>1</x:v>
      </x:c>
      <x:c r="P181" s="2" t="n">
        <x:v>1</x:v>
      </x:c>
      <x:c r="Q181" s="2" t="n">
        <x:v>1</x:v>
      </x:c>
      <x:c r="R181" s="2" t="n">
        <x:v>1</x:v>
      </x:c>
      <x:c r="S181" s="2" t="str">
        <x:v>09:36</x:v>
      </x:c>
      <x:c r="T181" s="12" t="n">
        <x:v>24.76</x:v>
      </x:c>
      <x:c r="U181" s="2" t="n">
        <x:v>1</x:v>
      </x:c>
      <x:c r="V181" s="2" t="n">
        <x:v>1</x:v>
      </x:c>
      <x:c r="W181" s="2" t="n">
        <x:v>0</x:v>
      </x:c>
      <x:c r="X181" s="2" t="n">
        <x:v>1</x:v>
      </x:c>
    </x:row>
    <x:row r="182">
      <x:c r="A182" s="6" t="d">
        <x:v>2025-07-30T00:00:00.000Z</x:v>
      </x:c>
      <x:c r="B182" s="6" t="d">
        <x:v>2025-07-31T00:00:00.000Z</x:v>
      </x:c>
      <x:c r="C182" s="7" t="str">
        <x:v>002644</x:v>
      </x:c>
      <x:c r="D182" s="2" t="n">
        <x:v>1</x:v>
      </x:c>
      <x:c r="E182" s="11" t="n">
        <x:v>0.7520327672711165</x:v>
      </x:c>
      <x:c r="F182" s="2" t="str">
        <x:v>五分最高涨幅&gt;=6% 且 五分最低涨幅&gt;=-3%</x:v>
      </x:c>
      <x:c r="G182" s="9" t="n">
        <x:v>-0.030612244897959</x:v>
      </x:c>
      <x:c r="H182" s="9" t="n">
        <x:v>-0.085884353741497</x:v>
      </x:c>
      <x:c r="I182" s="9" t="n">
        <x:v>0.035714285714286</x:v>
      </x:c>
      <x:c r="J182" s="9" t="n">
        <x:v>-0.028318584070796</x:v>
      </x:c>
      <x:c r="K182" s="9" t="n">
        <x:v>0.353846153846154</x:v>
      </x:c>
      <x:c r="L182" s="2" t="str">
        <x:v>两段走弱</x:v>
      </x:c>
      <x:c r="M182" s="2" t="n">
        <x:v>0</x:v>
      </x:c>
      <x:c r="N182" s="2" t="n">
        <x:v>5</x:v>
      </x:c>
      <x:c r="O182" s="2" t="n">
        <x:v>1</x:v>
      </x:c>
      <x:c r="P182" s="2" t="n">
        <x:v>1</x:v>
      </x:c>
      <x:c r="Q182" s="2" t="n">
        <x:v>0</x:v>
      </x:c>
      <x:c r="R182" s="2" t="n">
        <x:v>1</x:v>
      </x:c>
      <x:c r="S182" s="2" t="str">
        <x:v>09:36</x:v>
      </x:c>
      <x:c r="T182" s="12" t="n">
        <x:v>10.95</x:v>
      </x:c>
      <x:c r="U182" s="2" t="n">
        <x:v>1</x:v>
      </x:c>
      <x:c r="V182" s="2" t="n">
        <x:v>0</x:v>
      </x:c>
      <x:c r="W182" s="2" t="n">
        <x:v>1</x:v>
      </x:c>
      <x:c r="X182" s="2" t="n">
        <x:v>0</x:v>
      </x:c>
    </x:row>
    <x:row r="183">
      <x:c r="A183" s="6" t="d">
        <x:v>2025-07-30T00:00:00.000Z</x:v>
      </x:c>
      <x:c r="B183" s="6" t="d">
        <x:v>2025-07-31T00:00:00.000Z</x:v>
      </x:c>
      <x:c r="C183" s="7" t="str">
        <x:v>001216</x:v>
      </x:c>
      <x:c r="D183" s="2" t="n">
        <x:v>2</x:v>
      </x:c>
      <x:c r="E183" s="11" t="n">
        <x:v>0.746463387272154</x:v>
      </x:c>
      <x:c r="F183" s="2" t="str">
        <x:v>五分最高涨幅&gt;=6% 且 五分最低涨幅&gt;=-3%</x:v>
      </x:c>
      <x:c r="G183" s="9" t="n">
        <x:v>0.019860440150295</x:v>
      </x:c>
      <x:c r="H183" s="9" t="n">
        <x:v>-0.053140096618357</x:v>
      </x:c>
      <x:c r="I183" s="9" t="n">
        <x:v>0.064949006977993</x:v>
      </x:c>
      <x:c r="J183" s="9" t="n">
        <x:v>-0.052210974960043</x:v>
      </x:c>
      <x:c r="K183" s="9" t="n">
        <x:v>0.110294117647058</x:v>
      </x:c>
      <x:c r="L183" s="2" t="str">
        <x:v>两段走弱</x:v>
      </x:c>
      <x:c r="M183" s="2" t="n">
        <x:v>0</x:v>
      </x:c>
      <x:c r="N183" s="2" t="n">
        <x:v>5</x:v>
      </x:c>
      <x:c r="O183" s="2" t="n">
        <x:v>1</x:v>
      </x:c>
      <x:c r="P183" s="2" t="n">
        <x:v>1</x:v>
      </x:c>
      <x:c r="Q183" s="2" t="n">
        <x:v>0</x:v>
      </x:c>
      <x:c r="R183" s="2" t="n">
        <x:v>1</x:v>
      </x:c>
      <x:c r="S183" s="2" t="str">
        <x:v>09:36</x:v>
      </x:c>
      <x:c r="T183" s="12" t="n">
        <x:v>17.78</x:v>
      </x:c>
      <x:c r="U183" s="2" t="n">
        <x:v>1</x:v>
      </x:c>
      <x:c r="V183" s="2" t="n">
        <x:v>0</x:v>
      </x:c>
      <x:c r="W183" s="2" t="n">
        <x:v>0</x:v>
      </x:c>
      <x:c r="X183" s="2" t="n">
        <x:v>0</x:v>
      </x:c>
    </x:row>
    <x:row r="184">
      <x:c r="A184" s="6" t="d">
        <x:v>2025-07-30T00:00:00.000Z</x:v>
      </x:c>
      <x:c r="B184" s="6" t="d">
        <x:v>2025-07-31T00:00:00.000Z</x:v>
      </x:c>
      <x:c r="C184" s="7" t="str">
        <x:v>600581</x:v>
      </x:c>
      <x:c r="D184" s="2" t="n">
        <x:v>3</x:v>
      </x:c>
      <x:c r="E184" s="11" t="n">
        <x:v>0.733739080992627</x:v>
      </x:c>
      <x:c r="F184" s="2" t="str">
        <x:v>五分最高涨幅&gt;=6% 且 五分最低涨幅&gt;=-3%</x:v>
      </x:c>
      <x:c r="G184" s="9" t="n">
        <x:v>0.024553571428571</x:v>
      </x:c>
      <x:c r="H184" s="9" t="n">
        <x:v>-0.060267857142857</x:v>
      </x:c>
      <x:c r="I184" s="9" t="n">
        <x:v>0.029017857142857</x:v>
      </x:c>
      <x:c r="J184" s="9" t="n">
        <x:v>-0.021929824561403</x:v>
      </x:c>
      <x:c r="K184" s="9" t="n">
        <x:v>0.657894736842105</x:v>
      </x:c>
      <x:c r="L184" s="2" t="str">
        <x:v>前弱后强</x:v>
      </x:c>
      <x:c r="M184" s="2" t="n">
        <x:v>0</x:v>
      </x:c>
      <x:c r="N184" s="2" t="n">
        <x:v>5</x:v>
      </x:c>
      <x:c r="O184" s="2" t="n">
        <x:v>1</x:v>
      </x:c>
      <x:c r="P184" s="2" t="n">
        <x:v>1</x:v>
      </x:c>
      <x:c r="Q184" s="2" t="n">
        <x:v>0</x:v>
      </x:c>
      <x:c r="R184" s="2" t="n">
        <x:v>1</x:v>
      </x:c>
      <x:c r="S184" s="2" t="str">
        <x:v>09:36</x:v>
      </x:c>
      <x:c r="T184" s="12" t="n">
        <x:v>4.48</x:v>
      </x:c>
      <x:c r="U184" s="2" t="n">
        <x:v>1</x:v>
      </x:c>
      <x:c r="V184" s="2" t="n">
        <x:v>0</x:v>
      </x:c>
      <x:c r="W184" s="2" t="n">
        <x:v>0</x:v>
      </x:c>
      <x:c r="X184" s="2" t="n">
        <x:v>0</x:v>
      </x:c>
    </x:row>
    <x:row r="185">
      <x:c r="A185" s="6" t="d">
        <x:v>2025-07-31T00:00:00.000Z</x:v>
      </x:c>
      <x:c r="B185" s="6" t="d">
        <x:v>2025-08-01T00:00:00.000Z</x:v>
      </x:c>
      <x:c r="C185" s="7" t="str">
        <x:v>603839</x:v>
      </x:c>
      <x:c r="D185" s="2" t="n">
        <x:v>1</x:v>
      </x:c>
      <x:c r="E185" s="11" t="n">
        <x:v>0.7534766624328735</x:v>
      </x:c>
      <x:c r="F185" s="2" t="str">
        <x:v>五分最高涨幅&gt;=6% 且 五分最低涨幅&gt;=-3%</x:v>
      </x:c>
      <x:c r="G185" s="9" t="n">
        <x:v>0.099576271186441</x:v>
      </x:c>
      <x:c r="H185" s="9" t="n">
        <x:v>0.028601694915254</x:v>
      </x:c>
      <x:c r="I185" s="9" t="n">
        <x:v>0.031779661016949</x:v>
      </x:c>
      <x:c r="J185" s="9" t="n">
        <x:v>0.006993006993007</x:v>
      </x:c>
      <x:c r="K185" s="9" t="n">
        <x:v>0.552238805970148</x:v>
      </x:c>
      <x:c r="L185" s="2" t="str">
        <x:v>前强后弱</x:v>
      </x:c>
      <x:c r="M185" s="2" t="n">
        <x:v>3</x:v>
      </x:c>
      <x:c r="N185" s="2" t="n">
        <x:v>4</x:v>
      </x:c>
      <x:c r="O185" s="2" t="n">
        <x:v>1</x:v>
      </x:c>
      <x:c r="P185" s="2" t="n">
        <x:v>1</x:v>
      </x:c>
      <x:c r="Q185" s="2" t="n">
        <x:v>1</x:v>
      </x:c>
      <x:c r="R185" s="2" t="n">
        <x:v>1</x:v>
      </x:c>
      <x:c r="S185" s="2" t="str">
        <x:v>09:36</x:v>
      </x:c>
      <x:c r="T185" s="12" t="n">
        <x:v>10</x:v>
      </x:c>
      <x:c r="U185" s="2" t="n">
        <x:v>1</x:v>
      </x:c>
      <x:c r="V185" s="2" t="n">
        <x:v>1</x:v>
      </x:c>
      <x:c r="W185" s="2" t="n">
        <x:v>1</x:v>
      </x:c>
      <x:c r="X185" s="2" t="n">
        <x:v>0</x:v>
      </x:c>
    </x:row>
    <x:row r="186">
      <x:c r="A186" s="6" t="d">
        <x:v>2025-07-31T00:00:00.000Z</x:v>
      </x:c>
      <x:c r="B186" s="6" t="d">
        <x:v>2025-08-01T00:00:00.000Z</x:v>
      </x:c>
      <x:c r="C186" s="7" t="str">
        <x:v>001331</x:v>
      </x:c>
      <x:c r="D186" s="2" t="n">
        <x:v>2</x:v>
      </x:c>
      <x:c r="E186" s="11" t="n">
        <x:v>0.7482273945143089</x:v>
      </x:c>
      <x:c r="F186" s="2" t="str">
        <x:v>五分最高涨幅&gt;=6% 且 五分最低涨幅&gt;=-3%</x:v>
      </x:c>
      <x:c r="G186" s="9" t="n">
        <x:v>0.099842767295597</x:v>
      </x:c>
      <x:c r="H186" s="9" t="n">
        <x:v>0.099842767295597</x:v>
      </x:c>
      <x:c r="I186" s="9" t="n">
        <x:v>0</x:v>
      </x:c>
      <x:c r="J186" s="9" t="n">
        <x:v>0</x:v>
      </x:c>
      <x:c r="K186" s="9" t="n">
        <x:v>0.5</x:v>
      </x:c>
      <x:c r="L186" s="2" t="str">
        <x:v>平走</x:v>
      </x:c>
      <x:c r="M186" s="2" t="n">
        <x:v>5</x:v>
      </x:c>
      <x:c r="N186" s="2" t="n">
        <x:v>0</x:v>
      </x:c>
      <x:c r="O186" s="2" t="n">
        <x:v>1</x:v>
      </x:c>
      <x:c r="P186" s="2" t="n">
        <x:v>1</x:v>
      </x:c>
      <x:c r="Q186" s="2" t="n">
        <x:v>1</x:v>
      </x:c>
      <x:c r="R186" s="2" t="n">
        <x:v>0</x:v>
      </x:c>
      <x:c r="S186" s="2"/>
      <x:c r="T186" s="12"/>
      <x:c r="U186" s="2" t="n">
        <x:v>1</x:v>
      </x:c>
      <x:c r="V186" s="2" t="n">
        <x:v>0</x:v>
      </x:c>
      <x:c r="W186" s="2" t="n">
        <x:v>0</x:v>
      </x:c>
      <x:c r="X186" s="2" t="n">
        <x:v>1</x:v>
      </x:c>
    </x:row>
    <x:row r="187">
      <x:c r="A187" s="6" t="d">
        <x:v>2025-07-31T00:00:00.000Z</x:v>
      </x:c>
      <x:c r="B187" s="6" t="d">
        <x:v>2025-08-01T00:00:00.000Z</x:v>
      </x:c>
      <x:c r="C187" s="7" t="str">
        <x:v>001318</x:v>
      </x:c>
      <x:c r="D187" s="2" t="n">
        <x:v>3</x:v>
      </x:c>
      <x:c r="E187" s="11" t="n">
        <x:v>0.7463240055124333</x:v>
      </x:c>
      <x:c r="F187" s="2" t="str">
        <x:v>五分最高涨幅&gt;=6% 且 五分最低涨幅&gt;=-3%</x:v>
      </x:c>
      <x:c r="G187" s="9" t="n">
        <x:v>0</x:v>
      </x:c>
      <x:c r="H187" s="9" t="n">
        <x:v>-0.062293274531422</x:v>
      </x:c>
      <x:c r="I187" s="9" t="n">
        <x:v>0.061190738699008</x:v>
      </x:c>
      <x:c r="J187" s="9" t="n">
        <x:v>-0.044332210998878</x:v>
      </x:c>
      <x:c r="K187" s="9" t="n">
        <x:v>0.017699115044247</x:v>
      </x:c>
      <x:c r="L187" s="2" t="str">
        <x:v>两段走弱</x:v>
      </x:c>
      <x:c r="M187" s="2" t="n">
        <x:v>0</x:v>
      </x:c>
      <x:c r="N187" s="2" t="n">
        <x:v>5</x:v>
      </x:c>
      <x:c r="O187" s="2" t="n">
        <x:v>1</x:v>
      </x:c>
      <x:c r="P187" s="2" t="n">
        <x:v>1</x:v>
      </x:c>
      <x:c r="Q187" s="2" t="n">
        <x:v>0</x:v>
      </x:c>
      <x:c r="R187" s="2" t="n">
        <x:v>1</x:v>
      </x:c>
      <x:c r="S187" s="2" t="str">
        <x:v>09:36</x:v>
      </x:c>
      <x:c r="T187" s="12" t="n">
        <x:v>17.01</x:v>
      </x:c>
      <x:c r="U187" s="2" t="n">
        <x:v>1</x:v>
      </x:c>
      <x:c r="V187" s="2" t="n">
        <x:v>0</x:v>
      </x:c>
      <x:c r="W187" s="2" t="n">
        <x:v>0</x:v>
      </x:c>
      <x:c r="X187" s="2" t="n">
        <x:v>0</x:v>
      </x:c>
    </x:row>
    <x:row r="188">
      <x:c r="A188" s="6" t="d">
        <x:v>2025-08-01T00:00:00.000Z</x:v>
      </x:c>
      <x:c r="B188" s="6" t="d">
        <x:v>2025-08-04T00:00:00.000Z</x:v>
      </x:c>
      <x:c r="C188" s="7" t="str">
        <x:v>001331</x:v>
      </x:c>
      <x:c r="D188" s="2" t="n">
        <x:v>1</x:v>
      </x:c>
      <x:c r="E188" s="11" t="n">
        <x:v>0.7855569648419736</x:v>
      </x:c>
      <x:c r="F188" s="2" t="str">
        <x:v>五分最高涨幅&gt;=6% 且 五分最低涨幅&gt;=-3%</x:v>
      </x:c>
      <x:c r="G188" s="9" t="n">
        <x:v>0.100071479628306</x:v>
      </x:c>
      <x:c r="H188" s="9" t="n">
        <x:v>0.100071479628306</x:v>
      </x:c>
      <x:c r="I188" s="9" t="n">
        <x:v>0</x:v>
      </x:c>
      <x:c r="J188" s="9" t="n">
        <x:v>0</x:v>
      </x:c>
      <x:c r="K188" s="9" t="n">
        <x:v>0.5</x:v>
      </x:c>
      <x:c r="L188" s="2" t="str">
        <x:v>平走</x:v>
      </x:c>
      <x:c r="M188" s="2" t="n">
        <x:v>5</x:v>
      </x:c>
      <x:c r="N188" s="2" t="n">
        <x:v>0</x:v>
      </x:c>
      <x:c r="O188" s="2" t="n">
        <x:v>1</x:v>
      </x:c>
      <x:c r="P188" s="2" t="n">
        <x:v>1</x:v>
      </x:c>
      <x:c r="Q188" s="2" t="n">
        <x:v>1</x:v>
      </x:c>
      <x:c r="R188" s="2" t="n">
        <x:v>0</x:v>
      </x:c>
      <x:c r="S188" s="2"/>
      <x:c r="T188" s="12"/>
      <x:c r="U188" s="2" t="n">
        <x:v>1</x:v>
      </x:c>
      <x:c r="V188" s="2" t="n">
        <x:v>0</x:v>
      </x:c>
      <x:c r="W188" s="2" t="n">
        <x:v>0</x:v>
      </x:c>
      <x:c r="X188" s="2" t="n">
        <x:v>1</x:v>
      </x:c>
    </x:row>
    <x:row r="189">
      <x:c r="A189" s="6" t="d">
        <x:v>2025-08-01T00:00:00.000Z</x:v>
      </x:c>
      <x:c r="B189" s="6" t="d">
        <x:v>2025-08-04T00:00:00.000Z</x:v>
      </x:c>
      <x:c r="C189" s="7" t="str">
        <x:v>002775</x:v>
      </x:c>
      <x:c r="D189" s="2" t="n">
        <x:v>2</x:v>
      </x:c>
      <x:c r="E189" s="11" t="n">
        <x:v>0.7557762172165243</x:v>
      </x:c>
      <x:c r="F189" s="2" t="str">
        <x:v>五分最高涨幅&gt;=6% 且 五分最低涨幅&gt;=-3%</x:v>
      </x:c>
      <x:c r="G189" s="9" t="n">
        <x:v>0.099173553719008</x:v>
      </x:c>
      <x:c r="H189" s="9" t="n">
        <x:v>0.045454545454545</x:v>
      </x:c>
      <x:c r="I189" s="9" t="n">
        <x:v>0</x:v>
      </x:c>
      <x:c r="J189" s="9" t="n">
        <x:v>0.031007751937985</x:v>
      </x:c>
      <x:c r="K189" s="9" t="n">
        <x:v>1</x:v>
      </x:c>
      <x:c r="L189" s="2" t="str">
        <x:v>两段走强</x:v>
      </x:c>
      <x:c r="M189" s="2" t="n">
        <x:v>5</x:v>
      </x:c>
      <x:c r="N189" s="2" t="n">
        <x:v>2</x:v>
      </x:c>
      <x:c r="O189" s="2" t="n">
        <x:v>1</x:v>
      </x:c>
      <x:c r="P189" s="2" t="n">
        <x:v>1</x:v>
      </x:c>
      <x:c r="Q189" s="2" t="n">
        <x:v>1</x:v>
      </x:c>
      <x:c r="R189" s="2" t="n">
        <x:v>0</x:v>
      </x:c>
      <x:c r="S189" s="2"/>
      <x:c r="T189" s="12"/>
      <x:c r="U189" s="2" t="n">
        <x:v>1</x:v>
      </x:c>
      <x:c r="V189" s="2" t="n">
        <x:v>0</x:v>
      </x:c>
      <x:c r="W189" s="2" t="n">
        <x:v>0</x:v>
      </x:c>
      <x:c r="X189" s="2" t="n">
        <x:v>1</x:v>
      </x:c>
    </x:row>
    <x:row r="190">
      <x:c r="A190" s="6" t="d">
        <x:v>2025-08-01T00:00:00.000Z</x:v>
      </x:c>
      <x:c r="B190" s="6" t="d">
        <x:v>2025-08-04T00:00:00.000Z</x:v>
      </x:c>
      <x:c r="C190" s="7" t="str">
        <x:v>600774</x:v>
      </x:c>
      <x:c r="D190" s="2" t="n">
        <x:v>3</x:v>
      </x:c>
      <x:c r="E190" s="11" t="n">
        <x:v>0.73669524161116</x:v>
      </x:c>
      <x:c r="F190" s="2" t="str">
        <x:v>五分最高涨幅&gt;=6% 且 五分最低涨幅&gt;=-3%</x:v>
      </x:c>
      <x:c r="G190" s="9" t="n">
        <x:v>0.043338683788122</x:v>
      </x:c>
      <x:c r="H190" s="9" t="n">
        <x:v>-0.056179775280899</x:v>
      </x:c>
      <x:c r="I190" s="9" t="n">
        <x:v>0.099518459069021</x:v>
      </x:c>
      <x:c r="J190" s="9" t="n">
        <x:v>-0.095384615384615</x:v>
      </x:c>
      <x:c r="K190" s="9" t="n">
        <x:v>0</x:v>
      </x:c>
      <x:c r="L190" s="2" t="str">
        <x:v>两段走弱</x:v>
      </x:c>
      <x:c r="M190" s="2" t="n">
        <x:v>0</x:v>
      </x:c>
      <x:c r="N190" s="2" t="n">
        <x:v>5</x:v>
      </x:c>
      <x:c r="O190" s="2" t="n">
        <x:v>1</x:v>
      </x:c>
      <x:c r="P190" s="2" t="n">
        <x:v>1</x:v>
      </x:c>
      <x:c r="Q190" s="2" t="n">
        <x:v>0</x:v>
      </x:c>
      <x:c r="R190" s="2" t="n">
        <x:v>1</x:v>
      </x:c>
      <x:c r="S190" s="2" t="str">
        <x:v>09:36</x:v>
      </x:c>
      <x:c r="T190" s="12" t="n">
        <x:v>11.79</x:v>
      </x:c>
      <x:c r="U190" s="2" t="n">
        <x:v>0</x:v>
      </x:c>
      <x:c r="V190" s="2" t="n">
        <x:v>0</x:v>
      </x:c>
      <x:c r="W190" s="2" t="n">
        <x:v>0</x:v>
      </x:c>
      <x:c r="X190" s="2" t="n">
        <x:v>0</x:v>
      </x:c>
    </x:row>
    <x:row r="191">
      <x:c r="A191" s="6" t="d">
        <x:v>2025-08-04T00:00:00.000Z</x:v>
      </x:c>
      <x:c r="B191" s="6" t="d">
        <x:v>2025-08-05T00:00:00.000Z</x:v>
      </x:c>
      <x:c r="C191" s="7" t="str">
        <x:v>001331</x:v>
      </x:c>
      <x:c r="D191" s="2" t="n">
        <x:v>1</x:v>
      </x:c>
      <x:c r="E191" s="11" t="n">
        <x:v>0.760812632618246</x:v>
      </x:c>
      <x:c r="F191" s="2" t="str">
        <x:v>五分最高涨幅&gt;=6% 且 五分最低涨幅&gt;=-3%</x:v>
      </x:c>
      <x:c r="G191" s="9" t="n">
        <x:v>0.10006497725796</x:v>
      </x:c>
      <x:c r="H191" s="9" t="n">
        <x:v>-0.098115659519168</x:v>
      </x:c>
      <x:c r="I191" s="9" t="n">
        <x:v>0.17738791423002</x:v>
      </x:c>
      <x:c r="J191" s="9" t="n">
        <x:v>-0.161252215002953</x:v>
      </x:c>
      <x:c r="K191" s="9" t="n">
        <x:v>0.104918032786885</x:v>
      </x:c>
      <x:c r="L191" s="2" t="str">
        <x:v>前弱后强</x:v>
      </x:c>
      <x:c r="M191" s="2" t="n">
        <x:v>1</x:v>
      </x:c>
      <x:c r="N191" s="2" t="n">
        <x:v>5</x:v>
      </x:c>
      <x:c r="O191" s="2" t="n">
        <x:v>1</x:v>
      </x:c>
      <x:c r="P191" s="2" t="n">
        <x:v>1</x:v>
      </x:c>
      <x:c r="Q191" s="2" t="n">
        <x:v>0</x:v>
      </x:c>
      <x:c r="R191" s="2" t="n">
        <x:v>1</x:v>
      </x:c>
      <x:c r="S191" s="2" t="str">
        <x:v>09:36</x:v>
      </x:c>
      <x:c r="T191" s="12" t="n">
        <x:v>14.13</x:v>
      </x:c>
      <x:c r="U191" s="2" t="n">
        <x:v>0</x:v>
      </x:c>
      <x:c r="V191" s="2" t="n">
        <x:v>0</x:v>
      </x:c>
      <x:c r="W191" s="2" t="n">
        <x:v>0</x:v>
      </x:c>
      <x:c r="X191" s="2" t="n">
        <x:v>0</x:v>
      </x:c>
    </x:row>
    <x:row r="192">
      <x:c r="A192" s="6" t="d">
        <x:v>2025-08-04T00:00:00.000Z</x:v>
      </x:c>
      <x:c r="B192" s="6" t="d">
        <x:v>2025-08-05T00:00:00.000Z</x:v>
      </x:c>
      <x:c r="C192" s="7" t="str">
        <x:v>002775</x:v>
      </x:c>
      <x:c r="D192" s="2" t="n">
        <x:v>2</x:v>
      </x:c>
      <x:c r="E192" s="11" t="n">
        <x:v>0.7353401153419571</x:v>
      </x:c>
      <x:c r="F192" s="2" t="str">
        <x:v>五分最高涨幅&gt;=6% 且 五分最低涨幅&gt;=-3%</x:v>
      </x:c>
      <x:c r="G192" s="9" t="n">
        <x:v>0.033834586466165</x:v>
      </x:c>
      <x:c r="H192" s="9" t="n">
        <x:v>-0.069548872180451</x:v>
      </x:c>
      <x:c r="I192" s="9" t="n">
        <x:v>0.046992481203008</x:v>
      </x:c>
      <x:c r="J192" s="9" t="n">
        <x:v>-0.009433962264151</x:v>
      </x:c>
      <x:c r="K192" s="9" t="n">
        <x:v>0.545454545454545</x:v>
      </x:c>
      <x:c r="L192" s="2" t="str">
        <x:v>前弱后强</x:v>
      </x:c>
      <x:c r="M192" s="2" t="n">
        <x:v>0</x:v>
      </x:c>
      <x:c r="N192" s="2" t="n">
        <x:v>5</x:v>
      </x:c>
      <x:c r="O192" s="2" t="n">
        <x:v>1</x:v>
      </x:c>
      <x:c r="P192" s="2" t="n">
        <x:v>1</x:v>
      </x:c>
      <x:c r="Q192" s="2" t="n">
        <x:v>0</x:v>
      </x:c>
      <x:c r="R192" s="2" t="n">
        <x:v>1</x:v>
      </x:c>
      <x:c r="S192" s="2" t="str">
        <x:v>09:36</x:v>
      </x:c>
      <x:c r="T192" s="12" t="n">
        <x:v>5.27</x:v>
      </x:c>
      <x:c r="U192" s="2" t="n">
        <x:v>1</x:v>
      </x:c>
      <x:c r="V192" s="2" t="n">
        <x:v>0</x:v>
      </x:c>
      <x:c r="W192" s="2" t="n">
        <x:v>0</x:v>
      </x:c>
      <x:c r="X192" s="2" t="n">
        <x:v>1</x:v>
      </x:c>
    </x:row>
    <x:row r="193">
      <x:c r="A193" s="6" t="d">
        <x:v>2025-08-04T00:00:00.000Z</x:v>
      </x:c>
      <x:c r="B193" s="6" t="d">
        <x:v>2025-08-05T00:00:00.000Z</x:v>
      </x:c>
      <x:c r="C193" s="7" t="str">
        <x:v>603767</x:v>
      </x:c>
      <x:c r="D193" s="2" t="n">
        <x:v>3</x:v>
      </x:c>
      <x:c r="E193" s="11" t="n">
        <x:v>0.6764738675100594</x:v>
      </x:c>
      <x:c r="F193" s="2" t="str">
        <x:v>五分最高涨幅&gt;=6% 且 五分最低涨幅&gt;=-3%</x:v>
      </x:c>
      <x:c r="G193" s="9" t="n">
        <x:v>0.1</x:v>
      </x:c>
      <x:c r="H193" s="9" t="n">
        <x:v>0.055707762557078</x:v>
      </x:c>
      <x:c r="I193" s="9" t="n">
        <x:v>0</x:v>
      </x:c>
      <x:c r="J193" s="9" t="n">
        <x:v>0</x:v>
      </x:c>
      <x:c r="K193" s="9" t="n">
        <x:v>1</x:v>
      </x:c>
      <x:c r="L193" s="2" t="str">
        <x:v>平走</x:v>
      </x:c>
      <x:c r="M193" s="2" t="n">
        <x:v>5</x:v>
      </x:c>
      <x:c r="N193" s="2" t="n">
        <x:v>2</x:v>
      </x:c>
      <x:c r="O193" s="2" t="n">
        <x:v>1</x:v>
      </x:c>
      <x:c r="P193" s="2" t="n">
        <x:v>1</x:v>
      </x:c>
      <x:c r="Q193" s="2" t="n">
        <x:v>1</x:v>
      </x:c>
      <x:c r="R193" s="2" t="n">
        <x:v>0</x:v>
      </x:c>
      <x:c r="S193" s="2"/>
      <x:c r="T193" s="12"/>
      <x:c r="U193" s="2" t="n">
        <x:v>1</x:v>
      </x:c>
      <x:c r="V193" s="2" t="n">
        <x:v>0</x:v>
      </x:c>
      <x:c r="W193" s="2" t="n">
        <x:v>0</x:v>
      </x:c>
      <x:c r="X193" s="2" t="n">
        <x:v>1</x:v>
      </x:c>
    </x:row>
    <x:row r="194">
      <x:c r="A194" s="6" t="d">
        <x:v>2025-08-05T00:00:00.000Z</x:v>
      </x:c>
      <x:c r="B194" s="6" t="d">
        <x:v>2025-08-06T00:00:00.000Z</x:v>
      </x:c>
      <x:c r="C194" s="7" t="str">
        <x:v>002775</x:v>
      </x:c>
      <x:c r="D194" s="2" t="n">
        <x:v>1</x:v>
      </x:c>
      <x:c r="E194" s="11" t="n">
        <x:v>0.7395430071469048</x:v>
      </x:c>
      <x:c r="F194" s="2" t="str">
        <x:v>五分最高涨幅&gt;=6% 且 五分最低涨幅&gt;=-3%</x:v>
      </x:c>
      <x:c r="G194" s="9" t="n">
        <x:v>0.068376068376068</x:v>
      </x:c>
      <x:c r="H194" s="9" t="n">
        <x:v>-0.025641025641026</x:v>
      </x:c>
      <x:c r="I194" s="9" t="n">
        <x:v>0.082051282051282</x:v>
      </x:c>
      <x:c r="J194" s="9" t="n">
        <x:v>-0.023688663282572</x:v>
      </x:c>
      <x:c r="K194" s="9" t="n">
        <x:v>0.127272727272726</x:v>
      </x:c>
      <x:c r="L194" s="2" t="str">
        <x:v>前强后弱</x:v>
      </x:c>
      <x:c r="M194" s="2" t="n">
        <x:v>0</x:v>
      </x:c>
      <x:c r="N194" s="2" t="n">
        <x:v>5</x:v>
      </x:c>
      <x:c r="O194" s="2" t="n">
        <x:v>1</x:v>
      </x:c>
      <x:c r="P194" s="2" t="n">
        <x:v>1</x:v>
      </x:c>
      <x:c r="Q194" s="2" t="n">
        <x:v>1</x:v>
      </x:c>
      <x:c r="R194" s="2" t="n">
        <x:v>1</x:v>
      </x:c>
      <x:c r="S194" s="2" t="str">
        <x:v>09:36</x:v>
      </x:c>
      <x:c r="T194" s="12" t="n">
        <x:v>5.76</x:v>
      </x:c>
      <x:c r="U194" s="2" t="n">
        <x:v>1</x:v>
      </x:c>
      <x:c r="V194" s="2" t="n">
        <x:v>1</x:v>
      </x:c>
      <x:c r="W194" s="2" t="n">
        <x:v>1</x:v>
      </x:c>
      <x:c r="X194" s="2" t="n">
        <x:v>0</x:v>
      </x:c>
    </x:row>
    <x:row r="195">
      <x:c r="A195" s="6" t="d">
        <x:v>2025-08-05T00:00:00.000Z</x:v>
      </x:c>
      <x:c r="B195" s="6" t="d">
        <x:v>2025-08-06T00:00:00.000Z</x:v>
      </x:c>
      <x:c r="C195" s="7" t="str">
        <x:v>603767</x:v>
      </x:c>
      <x:c r="D195" s="2" t="n">
        <x:v>2</x:v>
      </x:c>
      <x:c r="E195" s="11" t="n">
        <x:v>0.724552780351491</x:v>
      </x:c>
      <x:c r="F195" s="2" t="str">
        <x:v>五分最高涨幅&gt;=6% 且 五分最低涨幅&gt;=-3%</x:v>
      </x:c>
      <x:c r="G195" s="9" t="n">
        <x:v>0.100041511000415</x:v>
      </x:c>
      <x:c r="H195" s="9" t="n">
        <x:v>0.03777501037775</x:v>
      </x:c>
      <x:c r="I195" s="9" t="n">
        <x:v>0.045662100456621</x:v>
      </x:c>
      <x:c r="J195" s="9" t="n">
        <x:v>-0.023076923076923</x:v>
      </x:c>
      <x:c r="K195" s="9" t="n">
        <x:v>0.266666666666666</x:v>
      </x:c>
      <x:c r="L195" s="2" t="str">
        <x:v>两段走弱</x:v>
      </x:c>
      <x:c r="M195" s="2" t="n">
        <x:v>2</x:v>
      </x:c>
      <x:c r="N195" s="2" t="n">
        <x:v>5</x:v>
      </x:c>
      <x:c r="O195" s="2" t="n">
        <x:v>1</x:v>
      </x:c>
      <x:c r="P195" s="2" t="n">
        <x:v>1</x:v>
      </x:c>
      <x:c r="Q195" s="2" t="n">
        <x:v>1</x:v>
      </x:c>
      <x:c r="R195" s="2" t="n">
        <x:v>1</x:v>
      </x:c>
      <x:c r="S195" s="2" t="str">
        <x:v>09:36</x:v>
      </x:c>
      <x:c r="T195" s="12" t="n">
        <x:v>25.38</x:v>
      </x:c>
      <x:c r="U195" s="2" t="n">
        <x:v>1</x:v>
      </x:c>
      <x:c r="V195" s="2" t="n">
        <x:v>0</x:v>
      </x:c>
      <x:c r="W195" s="2" t="n">
        <x:v>0</x:v>
      </x:c>
      <x:c r="X195" s="2" t="n">
        <x:v>1</x:v>
      </x:c>
    </x:row>
    <x:row r="196">
      <x:c r="A196" s="6" t="d">
        <x:v>2025-08-05T00:00:00.000Z</x:v>
      </x:c>
      <x:c r="B196" s="6" t="d">
        <x:v>2025-08-06T00:00:00.000Z</x:v>
      </x:c>
      <x:c r="C196" s="7" t="str">
        <x:v>603059</x:v>
      </x:c>
      <x:c r="D196" s="2" t="n">
        <x:v>3</x:v>
      </x:c>
      <x:c r="E196" s="11" t="n">
        <x:v>0.7134763363524407</x:v>
      </x:c>
      <x:c r="F196" s="2" t="str">
        <x:v>五分最高涨幅&gt;=6% 且 五分最低涨幅&gt;=-3%</x:v>
      </x:c>
      <x:c r="G196" s="9" t="n">
        <x:v>0.10004892367906</x:v>
      </x:c>
      <x:c r="H196" s="9" t="n">
        <x:v>0.10004892367906</x:v>
      </x:c>
      <x:c r="I196" s="9" t="n">
        <x:v>0</x:v>
      </x:c>
      <x:c r="J196" s="9" t="n">
        <x:v>0</x:v>
      </x:c>
      <x:c r="K196" s="9" t="n">
        <x:v>0.5</x:v>
      </x:c>
      <x:c r="L196" s="2" t="str">
        <x:v>平走</x:v>
      </x:c>
      <x:c r="M196" s="2" t="n">
        <x:v>5</x:v>
      </x:c>
      <x:c r="N196" s="2" t="n">
        <x:v>0</x:v>
      </x:c>
      <x:c r="O196" s="2" t="n">
        <x:v>1</x:v>
      </x:c>
      <x:c r="P196" s="2" t="n">
        <x:v>1</x:v>
      </x:c>
      <x:c r="Q196" s="2" t="n">
        <x:v>1</x:v>
      </x:c>
      <x:c r="R196" s="2" t="n">
        <x:v>0</x:v>
      </x:c>
      <x:c r="S196" s="2"/>
      <x:c r="T196" s="12"/>
      <x:c r="U196" s="2" t="n">
        <x:v>1</x:v>
      </x:c>
      <x:c r="V196" s="2" t="n">
        <x:v>0</x:v>
      </x:c>
      <x:c r="W196" s="2" t="n">
        <x:v>0</x:v>
      </x:c>
      <x:c r="X196" s="2" t="n">
        <x:v>1</x:v>
      </x:c>
    </x:row>
    <x:row r="197">
      <x:c r="A197" s="6" t="d">
        <x:v>2025-08-06T00:00:00.000Z</x:v>
      </x:c>
      <x:c r="B197" s="6" t="d">
        <x:v>2025-08-07T00:00:00.000Z</x:v>
      </x:c>
      <x:c r="C197" s="7" t="str">
        <x:v>002148</x:v>
      </x:c>
      <x:c r="D197" s="2" t="n">
        <x:v>1</x:v>
      </x:c>
      <x:c r="E197" s="11" t="n">
        <x:v>0.7968718198234349</x:v>
      </x:c>
      <x:c r="F197" s="2" t="str">
        <x:v>五分最高涨幅&gt;=6% 且 五分最低涨幅&gt;=-3%</x:v>
      </x:c>
      <x:c r="G197" s="9" t="n">
        <x:v>0.099681866383881</x:v>
      </x:c>
      <x:c r="H197" s="9" t="n">
        <x:v>0.099681866383881</x:v>
      </x:c>
      <x:c r="I197" s="9" t="n">
        <x:v>0</x:v>
      </x:c>
      <x:c r="J197" s="9" t="n">
        <x:v>0</x:v>
      </x:c>
      <x:c r="K197" s="9" t="n">
        <x:v>0.5</x:v>
      </x:c>
      <x:c r="L197" s="2" t="str">
        <x:v>平走</x:v>
      </x:c>
      <x:c r="M197" s="2" t="n">
        <x:v>5</x:v>
      </x:c>
      <x:c r="N197" s="2" t="n">
        <x:v>0</x:v>
      </x:c>
      <x:c r="O197" s="2" t="n">
        <x:v>1</x:v>
      </x:c>
      <x:c r="P197" s="2" t="n">
        <x:v>1</x:v>
      </x:c>
      <x:c r="Q197" s="2" t="n">
        <x:v>1</x:v>
      </x:c>
      <x:c r="R197" s="2" t="n">
        <x:v>0</x:v>
      </x:c>
      <x:c r="S197" s="2"/>
      <x:c r="T197" s="12"/>
      <x:c r="U197" s="2" t="n">
        <x:v>1</x:v>
      </x:c>
      <x:c r="V197" s="2" t="n">
        <x:v>0</x:v>
      </x:c>
      <x:c r="W197" s="2" t="n">
        <x:v>0</x:v>
      </x:c>
      <x:c r="X197" s="2" t="n">
        <x:v>1</x:v>
      </x:c>
    </x:row>
    <x:row r="198">
      <x:c r="A198" s="6" t="d">
        <x:v>2025-08-06T00:00:00.000Z</x:v>
      </x:c>
      <x:c r="B198" s="6" t="d">
        <x:v>2025-08-07T00:00:00.000Z</x:v>
      </x:c>
      <x:c r="C198" s="7" t="str">
        <x:v>603767</x:v>
      </x:c>
      <x:c r="D198" s="2" t="n">
        <x:v>2</x:v>
      </x:c>
      <x:c r="E198" s="11" t="n">
        <x:v>0.7101565890414572</x:v>
      </x:c>
      <x:c r="F198" s="2" t="str">
        <x:v>五分最高涨幅&gt;=6% 且 五分最低涨幅&gt;=-3%</x:v>
      </x:c>
      <x:c r="G198" s="9" t="n">
        <x:v>0.1</x:v>
      </x:c>
      <x:c r="H198" s="9" t="n">
        <x:v>0.069811320754717</x:v>
      </x:c>
      <x:c r="I198" s="9" t="n">
        <x:v>0</x:v>
      </x:c>
      <x:c r="J198" s="9" t="n">
        <x:v>0</x:v>
      </x:c>
      <x:c r="K198" s="9" t="n">
        <x:v>1</x:v>
      </x:c>
      <x:c r="L198" s="2" t="str">
        <x:v>平走</x:v>
      </x:c>
      <x:c r="M198" s="2" t="n">
        <x:v>5</x:v>
      </x:c>
      <x:c r="N198" s="2" t="n">
        <x:v>1</x:v>
      </x:c>
      <x:c r="O198" s="2" t="n">
        <x:v>1</x:v>
      </x:c>
      <x:c r="P198" s="2" t="n">
        <x:v>1</x:v>
      </x:c>
      <x:c r="Q198" s="2" t="n">
        <x:v>1</x:v>
      </x:c>
      <x:c r="R198" s="2" t="n">
        <x:v>0</x:v>
      </x:c>
      <x:c r="S198" s="2"/>
      <x:c r="T198" s="12"/>
      <x:c r="U198" s="2" t="n">
        <x:v>1</x:v>
      </x:c>
      <x:c r="V198" s="2" t="n">
        <x:v>0</x:v>
      </x:c>
      <x:c r="W198" s="2" t="n">
        <x:v>0</x:v>
      </x:c>
      <x:c r="X198" s="2" t="n">
        <x:v>1</x:v>
      </x:c>
    </x:row>
    <x:row r="199">
      <x:c r="A199" s="6" t="d">
        <x:v>2025-08-06T00:00:00.000Z</x:v>
      </x:c>
      <x:c r="B199" s="6" t="d">
        <x:v>2025-08-07T00:00:00.000Z</x:v>
      </x:c>
      <x:c r="C199" s="7" t="str">
        <x:v>600203</x:v>
      </x:c>
      <x:c r="D199" s="2" t="n">
        <x:v>3</x:v>
      </x:c>
      <x:c r="E199" s="11" t="n">
        <x:v>0.6973706943330404</x:v>
      </x:c>
      <x:c r="F199" s="2" t="str">
        <x:v>五分最高涨幅&gt;=6% 且 五分最低涨幅&gt;=-3%</x:v>
      </x:c>
      <x:c r="G199" s="9" t="n">
        <x:v>0.100070472163496</x:v>
      </x:c>
      <x:c r="H199" s="9" t="n">
        <x:v>0.071176885130374</x:v>
      </x:c>
      <x:c r="I199" s="9" t="n">
        <x:v>0.004228329809725</x:v>
      </x:c>
      <x:c r="J199" s="9" t="n">
        <x:v>0.023026315789474</x:v>
      </x:c>
      <x:c r="K199" s="9" t="n">
        <x:v>0.853658536585369</x:v>
      </x:c>
      <x:c r="L199" s="2" t="str">
        <x:v>前强后弱</x:v>
      </x:c>
      <x:c r="M199" s="2" t="n">
        <x:v>5</x:v>
      </x:c>
      <x:c r="N199" s="2" t="n">
        <x:v>2</x:v>
      </x:c>
      <x:c r="O199" s="2" t="n">
        <x:v>1</x:v>
      </x:c>
      <x:c r="P199" s="2" t="n">
        <x:v>1</x:v>
      </x:c>
      <x:c r="Q199" s="2" t="n">
        <x:v>1</x:v>
      </x:c>
      <x:c r="R199" s="2" t="n">
        <x:v>1</x:v>
      </x:c>
      <x:c r="S199" s="2" t="str">
        <x:v>09:36</x:v>
      </x:c>
      <x:c r="T199" s="12" t="n">
        <x:v>15.54</x:v>
      </x:c>
      <x:c r="U199" s="2" t="n">
        <x:v>1</x:v>
      </x:c>
      <x:c r="V199" s="2" t="n">
        <x:v>1</x:v>
      </x:c>
      <x:c r="W199" s="2" t="n">
        <x:v>1</x:v>
      </x:c>
      <x:c r="X199" s="2" t="n">
        <x:v>1</x:v>
      </x:c>
    </x:row>
    <x:row r="200">
      <x:c r="A200" s="6" t="d">
        <x:v>2025-08-07T00:00:00.000Z</x:v>
      </x:c>
      <x:c r="B200" s="6" t="d">
        <x:v>2025-08-08T00:00:00.000Z</x:v>
      </x:c>
      <x:c r="C200" s="7" t="str">
        <x:v>002148</x:v>
      </x:c>
      <x:c r="D200" s="2" t="n">
        <x:v>1</x:v>
      </x:c>
      <x:c r="E200" s="11" t="n">
        <x:v>0.7867807056061201</x:v>
      </x:c>
      <x:c r="F200" s="2" t="str">
        <x:v>五分最高涨幅&gt;=6% 且 五分最低涨幅&gt;=-3%</x:v>
      </x:c>
      <x:c r="G200" s="9" t="n">
        <x:v>0.060752169720347</x:v>
      </x:c>
      <x:c r="H200" s="9" t="n">
        <x:v>-0.035679845708775</x:v>
      </x:c>
      <x:c r="I200" s="9" t="n">
        <x:v>0.095467695274831</x:v>
      </x:c>
      <x:c r="J200" s="9" t="n">
        <x:v>-0.09</x:v>
      </x:c>
      <x:c r="K200" s="9" t="n">
        <x:v>0.01</x:v>
      </x:c>
      <x:c r="L200" s="2" t="str">
        <x:v>两段走弱</x:v>
      </x:c>
      <x:c r="M200" s="2" t="n">
        <x:v>0</x:v>
      </x:c>
      <x:c r="N200" s="2" t="n">
        <x:v>5</x:v>
      </x:c>
      <x:c r="O200" s="2" t="n">
        <x:v>1</x:v>
      </x:c>
      <x:c r="P200" s="2" t="n">
        <x:v>1</x:v>
      </x:c>
      <x:c r="Q200" s="2" t="n">
        <x:v>0</x:v>
      </x:c>
      <x:c r="R200" s="2" t="n">
        <x:v>1</x:v>
      </x:c>
      <x:c r="S200" s="2" t="str">
        <x:v>09:36</x:v>
      </x:c>
      <x:c r="T200" s="12" t="n">
        <x:v>10</x:v>
      </x:c>
      <x:c r="U200" s="2" t="n">
        <x:v>0</x:v>
      </x:c>
      <x:c r="V200" s="2" t="n">
        <x:v>0</x:v>
      </x:c>
      <x:c r="W200" s="2" t="n">
        <x:v>0</x:v>
      </x:c>
      <x:c r="X200" s="2" t="n">
        <x:v>1</x:v>
      </x:c>
    </x:row>
    <x:row r="201">
      <x:c r="A201" s="6" t="d">
        <x:v>2025-08-07T00:00:00.000Z</x:v>
      </x:c>
      <x:c r="B201" s="6" t="d">
        <x:v>2025-08-08T00:00:00.000Z</x:v>
      </x:c>
      <x:c r="C201" s="7" t="str">
        <x:v>605169</x:v>
      </x:c>
      <x:c r="D201" s="2" t="n">
        <x:v>2</x:v>
      </x:c>
      <x:c r="E201" s="11" t="n">
        <x:v>0.7403147196337692</x:v>
      </x:c>
      <x:c r="F201" s="2" t="str">
        <x:v>五分最高涨幅&gt;=6% 且 五分最低涨幅&gt;=-3%</x:v>
      </x:c>
      <x:c r="G201" s="9" t="n">
        <x:v>0.100260416666667</x:v>
      </x:c>
      <x:c r="H201" s="9" t="n">
        <x:v>0.100260416666667</x:v>
      </x:c>
      <x:c r="I201" s="9" t="n">
        <x:v>0</x:v>
      </x:c>
      <x:c r="J201" s="9" t="n">
        <x:v>0</x:v>
      </x:c>
      <x:c r="K201" s="9" t="n">
        <x:v>0.5</x:v>
      </x:c>
      <x:c r="L201" s="2" t="str">
        <x:v>平走</x:v>
      </x:c>
      <x:c r="M201" s="2" t="n">
        <x:v>5</x:v>
      </x:c>
      <x:c r="N201" s="2" t="n">
        <x:v>0</x:v>
      </x:c>
      <x:c r="O201" s="2" t="n">
        <x:v>1</x:v>
      </x:c>
      <x:c r="P201" s="2" t="n">
        <x:v>1</x:v>
      </x:c>
      <x:c r="Q201" s="2" t="n">
        <x:v>1</x:v>
      </x:c>
      <x:c r="R201" s="2" t="n">
        <x:v>0</x:v>
      </x:c>
      <x:c r="S201" s="2"/>
      <x:c r="T201" s="12"/>
      <x:c r="U201" s="2" t="n">
        <x:v>1</x:v>
      </x:c>
      <x:c r="V201" s="2" t="n">
        <x:v>0</x:v>
      </x:c>
      <x:c r="W201" s="2" t="n">
        <x:v>0</x:v>
      </x:c>
      <x:c r="X201" s="2" t="n">
        <x:v>1</x:v>
      </x:c>
    </x:row>
    <x:row r="202">
      <x:c r="A202" s="6" t="d">
        <x:v>2025-08-07T00:00:00.000Z</x:v>
      </x:c>
      <x:c r="B202" s="6" t="d">
        <x:v>2025-08-08T00:00:00.000Z</x:v>
      </x:c>
      <x:c r="C202" s="7" t="str">
        <x:v>603767</x:v>
      </x:c>
      <x:c r="D202" s="2" t="n">
        <x:v>3</x:v>
      </x:c>
      <x:c r="E202" s="11" t="n">
        <x:v>0.7232175562436617</x:v>
      </x:c>
      <x:c r="F202" s="2" t="str">
        <x:v>五分最高涨幅&gt;=6% 且 五分最低涨幅&gt;=-3%</x:v>
      </x:c>
      <x:c r="G202" s="9" t="n">
        <x:v>0.076157804459691</x:v>
      </x:c>
      <x:c r="H202" s="9" t="n">
        <x:v>-0.028130360205832</x:v>
      </x:c>
      <x:c r="I202" s="9" t="n">
        <x:v>0.033962264150943</x:v>
      </x:c>
      <x:c r="J202" s="9" t="n">
        <x:v>0.009973404255319</x:v>
      </x:c>
      <x:c r="K202" s="9" t="n">
        <x:v>0.674342105263158</x:v>
      </x:c>
      <x:c r="L202" s="2" t="str">
        <x:v>前强后弱</x:v>
      </x:c>
      <x:c r="M202" s="2" t="n">
        <x:v>0</x:v>
      </x:c>
      <x:c r="N202" s="2" t="n">
        <x:v>5</x:v>
      </x:c>
      <x:c r="O202" s="2" t="n">
        <x:v>1</x:v>
      </x:c>
      <x:c r="P202" s="2" t="n">
        <x:v>1</x:v>
      </x:c>
      <x:c r="Q202" s="2" t="n">
        <x:v>1</x:v>
      </x:c>
      <x:c r="R202" s="2" t="n">
        <x:v>1</x:v>
      </x:c>
      <x:c r="S202" s="2" t="str">
        <x:v>09:36</x:v>
      </x:c>
      <x:c r="T202" s="12" t="n">
        <x:v>30.22</x:v>
      </x:c>
      <x:c r="U202" s="2" t="n">
        <x:v>1</x:v>
      </x:c>
      <x:c r="V202" s="2" t="n">
        <x:v>1</x:v>
      </x:c>
      <x:c r="W202" s="2" t="n">
        <x:v>0</x:v>
      </x:c>
      <x:c r="X202" s="2" t="n">
        <x:v>0</x:v>
      </x:c>
    </x:row>
    <x:row r="203">
      <x:c r="A203" s="6" t="d">
        <x:v>2025-08-08T00:00:00.000Z</x:v>
      </x:c>
      <x:c r="B203" s="6" t="d">
        <x:v>2025-08-11T00:00:00.000Z</x:v>
      </x:c>
      <x:c r="C203" s="7" t="str">
        <x:v>605169</x:v>
      </x:c>
      <x:c r="D203" s="2" t="n">
        <x:v>1</x:v>
      </x:c>
      <x:c r="E203" s="11" t="n">
        <x:v>0.7761516825100273</x:v>
      </x:c>
      <x:c r="F203" s="2" t="str">
        <x:v>五分最高涨幅&gt;=6% 且 五分最低涨幅&gt;=-3%</x:v>
      </x:c>
      <x:c r="G203" s="9" t="n">
        <x:v>0.057988165680473</x:v>
      </x:c>
      <x:c r="H203" s="9" t="n">
        <x:v>-0.038461538461538</x:v>
      </x:c>
      <x:c r="I203" s="9" t="n">
        <x:v>0.071005917159763</x:v>
      </x:c>
      <x:c r="J203" s="9" t="n">
        <x:v>-0.046857142857143</x:v>
      </x:c>
      <x:c r="K203" s="9" t="n">
        <x:v>0.263803680981595</x:v>
      </x:c>
      <x:c r="L203" s="2" t="str">
        <x:v>两段走弱</x:v>
      </x:c>
      <x:c r="M203" s="2" t="n">
        <x:v>0</x:v>
      </x:c>
      <x:c r="N203" s="2" t="n">
        <x:v>5</x:v>
      </x:c>
      <x:c r="O203" s="2" t="n">
        <x:v>1</x:v>
      </x:c>
      <x:c r="P203" s="2" t="n">
        <x:v>1</x:v>
      </x:c>
      <x:c r="Q203" s="2" t="n">
        <x:v>0</x:v>
      </x:c>
      <x:c r="R203" s="2" t="n">
        <x:v>1</x:v>
      </x:c>
      <x:c r="S203" s="2" t="str">
        <x:v>09:36</x:v>
      </x:c>
      <x:c r="T203" s="12" t="n">
        <x:v>16.68</x:v>
      </x:c>
      <x:c r="U203" s="2" t="n">
        <x:v>1</x:v>
      </x:c>
      <x:c r="V203" s="2" t="n">
        <x:v>0</x:v>
      </x:c>
      <x:c r="W203" s="2" t="n">
        <x:v>1</x:v>
      </x:c>
      <x:c r="X203" s="2" t="n">
        <x:v>1</x:v>
      </x:c>
    </x:row>
    <x:row r="204">
      <x:c r="A204" s="6" t="d">
        <x:v>2025-08-08T00:00:00.000Z</x:v>
      </x:c>
      <x:c r="B204" s="6" t="d">
        <x:v>2025-08-11T00:00:00.000Z</x:v>
      </x:c>
      <x:c r="C204" s="7" t="str">
        <x:v>002313</x:v>
      </x:c>
      <x:c r="D204" s="2" t="n">
        <x:v>2</x:v>
      </x:c>
      <x:c r="E204" s="11" t="n">
        <x:v>0.711580072263195</x:v>
      </x:c>
      <x:c r="F204" s="2" t="str">
        <x:v>五分最高涨幅&gt;=6% 且 五分最低涨幅&gt;=-3%</x:v>
      </x:c>
      <x:c r="G204" s="9" t="n">
        <x:v>-0.007352941176471</x:v>
      </x:c>
      <x:c r="H204" s="9" t="n">
        <x:v>-0.08355614973262</x:v>
      </x:c>
      <x:c r="I204" s="9" t="n">
        <x:v>0.036764705882353</x:v>
      </x:c>
      <x:c r="J204" s="9" t="n">
        <x:v>-0.009009009009009</x:v>
      </x:c>
      <x:c r="K204" s="9" t="n">
        <x:v>0.517543859649123</x:v>
      </x:c>
      <x:c r="L204" s="2" t="str">
        <x:v>前强后弱</x:v>
      </x:c>
      <x:c r="M204" s="2" t="n">
        <x:v>0</x:v>
      </x:c>
      <x:c r="N204" s="2" t="n">
        <x:v>5</x:v>
      </x:c>
      <x:c r="O204" s="2" t="n">
        <x:v>1</x:v>
      </x:c>
      <x:c r="P204" s="2" t="n">
        <x:v>1</x:v>
      </x:c>
      <x:c r="Q204" s="2" t="n">
        <x:v>0</x:v>
      </x:c>
      <x:c r="R204" s="2" t="n">
        <x:v>1</x:v>
      </x:c>
      <x:c r="S204" s="2" t="str">
        <x:v>09:36</x:v>
      </x:c>
      <x:c r="T204" s="12" t="n">
        <x:v>14.29</x:v>
      </x:c>
      <x:c r="U204" s="2" t="n">
        <x:v>1</x:v>
      </x:c>
      <x:c r="V204" s="2" t="n">
        <x:v>0</x:v>
      </x:c>
      <x:c r="W204" s="2" t="n">
        <x:v>0</x:v>
      </x:c>
      <x:c r="X204" s="2" t="n">
        <x:v>0</x:v>
      </x:c>
    </x:row>
    <x:row r="205">
      <x:c r="A205" s="6" t="d">
        <x:v>2025-08-08T00:00:00.000Z</x:v>
      </x:c>
      <x:c r="B205" s="6" t="d">
        <x:v>2025-08-11T00:00:00.000Z</x:v>
      </x:c>
      <x:c r="C205" s="7" t="str">
        <x:v>600475</x:v>
      </x:c>
      <x:c r="D205" s="2" t="n">
        <x:v>3</x:v>
      </x:c>
      <x:c r="E205" s="11" t="n">
        <x:v>0.6981321127129557</x:v>
      </x:c>
      <x:c r="F205" s="2" t="str">
        <x:v>五分最高涨幅&gt;=6% 且 五分最低涨幅&gt;=-3%</x:v>
      </x:c>
      <x:c r="G205" s="9" t="n">
        <x:v>0.059933931099575</x:v>
      </x:c>
      <x:c r="H205" s="9" t="n">
        <x:v>0</x:v>
      </x:c>
      <x:c r="I205" s="9" t="n">
        <x:v>0.030674846625767</x:v>
      </x:c>
      <x:c r="J205" s="9" t="n">
        <x:v>0.005069124423963</x:v>
      </x:c>
      <x:c r="K205" s="9" t="n">
        <x:v>0.488188976377951</x:v>
      </x:c>
      <x:c r="L205" s="2" t="str">
        <x:v>前强后弱</x:v>
      </x:c>
      <x:c r="M205" s="2" t="n">
        <x:v>0</x:v>
      </x:c>
      <x:c r="N205" s="2" t="n">
        <x:v>5</x:v>
      </x:c>
      <x:c r="O205" s="2" t="n">
        <x:v>1</x:v>
      </x:c>
      <x:c r="P205" s="2" t="n">
        <x:v>1</x:v>
      </x:c>
      <x:c r="Q205" s="2" t="n">
        <x:v>0</x:v>
      </x:c>
      <x:c r="R205" s="2" t="n">
        <x:v>1</x:v>
      </x:c>
      <x:c r="S205" s="2" t="str">
        <x:v>09:36</x:v>
      </x:c>
      <x:c r="T205" s="12" t="n">
        <x:v>21.7</x:v>
      </x:c>
      <x:c r="U205" s="2" t="n">
        <x:v>1</x:v>
      </x:c>
      <x:c r="V205" s="2" t="n">
        <x:v>0</x:v>
      </x:c>
      <x:c r="W205" s="2" t="n">
        <x:v>0</x:v>
      </x:c>
      <x:c r="X205" s="2" t="n">
        <x:v>0</x:v>
      </x:c>
    </x:row>
    <x:row r="206">
      <x:c r="A206" s="6" t="d">
        <x:v>2025-08-11T00:00:00.000Z</x:v>
      </x:c>
      <x:c r="B206" s="6" t="d">
        <x:v>2025-08-12T00:00:00.000Z</x:v>
      </x:c>
      <x:c r="C206" s="7" t="str">
        <x:v>601929</x:v>
      </x:c>
      <x:c r="D206" s="2" t="n">
        <x:v>1</x:v>
      </x:c>
      <x:c r="E206" s="11" t="n">
        <x:v>0.753328078384913</x:v>
      </x:c>
      <x:c r="F206" s="2" t="str">
        <x:v>五分最高涨幅&gt;=6% 且 五分最低涨幅&gt;=-3%</x:v>
      </x:c>
      <x:c r="G206" s="9" t="n">
        <x:v>0.097643097643098</x:v>
      </x:c>
      <x:c r="H206" s="9" t="n">
        <x:v>0.02020202020202</x:v>
      </x:c>
      <x:c r="I206" s="9" t="n">
        <x:v>0.013468013468013</x:v>
      </x:c>
      <x:c r="J206" s="9" t="n">
        <x:v>0.05921052631579</x:v>
      </x:c>
      <x:c r="K206" s="9" t="n">
        <x:v>0.826086956521741</x:v>
      </x:c>
      <x:c r="L206" s="2" t="str">
        <x:v>两段走强</x:v>
      </x:c>
      <x:c r="M206" s="2" t="n">
        <x:v>0</x:v>
      </x:c>
      <x:c r="N206" s="2" t="n">
        <x:v>5</x:v>
      </x:c>
      <x:c r="O206" s="2" t="n">
        <x:v>1</x:v>
      </x:c>
      <x:c r="P206" s="2" t="n">
        <x:v>1</x:v>
      </x:c>
      <x:c r="Q206" s="2" t="n">
        <x:v>1</x:v>
      </x:c>
      <x:c r="R206" s="2" t="n">
        <x:v>1</x:v>
      </x:c>
      <x:c r="S206" s="2" t="str">
        <x:v>09:36</x:v>
      </x:c>
      <x:c r="T206" s="12" t="n">
        <x:v>3.2</x:v>
      </x:c>
      <x:c r="U206" s="2" t="n">
        <x:v>1</x:v>
      </x:c>
      <x:c r="V206" s="2" t="n">
        <x:v>1</x:v>
      </x:c>
      <x:c r="W206" s="2" t="n">
        <x:v>1</x:v>
      </x:c>
      <x:c r="X206" s="2" t="n">
        <x:v>1</x:v>
      </x:c>
    </x:row>
    <x:row r="207">
      <x:c r="A207" s="6" t="d">
        <x:v>2025-08-11T00:00:00.000Z</x:v>
      </x:c>
      <x:c r="B207" s="6" t="d">
        <x:v>2025-08-12T00:00:00.000Z</x:v>
      </x:c>
      <x:c r="C207" s="7" t="str">
        <x:v>002148</x:v>
      </x:c>
      <x:c r="D207" s="2" t="n">
        <x:v>2</x:v>
      </x:c>
      <x:c r="E207" s="11" t="n">
        <x:v>0.7038525646336155</x:v>
      </x:c>
      <x:c r="F207" s="2" t="str">
        <x:v>五分最高涨幅&gt;=6% 且 五分最低涨幅&gt;=-3%</x:v>
      </x:c>
      <x:c r="G207" s="9" t="n">
        <x:v>0.099903938520653</x:v>
      </x:c>
      <x:c r="H207" s="9" t="n">
        <x:v>0.049951969260327</x:v>
      </x:c>
      <x:c r="I207" s="9" t="n">
        <x:v>0</x:v>
      </x:c>
      <x:c r="J207" s="9" t="n">
        <x:v>0.017777777777778</x:v>
      </x:c>
      <x:c r="K207" s="9" t="n">
        <x:v>1</x:v>
      </x:c>
      <x:c r="L207" s="2" t="str">
        <x:v>两段走强</x:v>
      </x:c>
      <x:c r="M207" s="2" t="n">
        <x:v>4</x:v>
      </x:c>
      <x:c r="N207" s="2" t="n">
        <x:v>4</x:v>
      </x:c>
      <x:c r="O207" s="2" t="n">
        <x:v>1</x:v>
      </x:c>
      <x:c r="P207" s="2" t="n">
        <x:v>1</x:v>
      </x:c>
      <x:c r="Q207" s="2" t="n">
        <x:v>1</x:v>
      </x:c>
      <x:c r="R207" s="2" t="n">
        <x:v>0</x:v>
      </x:c>
      <x:c r="S207" s="2"/>
      <x:c r="T207" s="12"/>
      <x:c r="U207" s="2" t="n">
        <x:v>1</x:v>
      </x:c>
      <x:c r="V207" s="2" t="n">
        <x:v>0</x:v>
      </x:c>
      <x:c r="W207" s="2" t="n">
        <x:v>0</x:v>
      </x:c>
      <x:c r="X207" s="2" t="n">
        <x:v>1</x:v>
      </x:c>
    </x:row>
    <x:row r="208">
      <x:c r="A208" s="6" t="d">
        <x:v>2025-08-11T00:00:00.000Z</x:v>
      </x:c>
      <x:c r="B208" s="6" t="d">
        <x:v>2025-08-12T00:00:00.000Z</x:v>
      </x:c>
      <x:c r="C208" s="7" t="str">
        <x:v>605598</x:v>
      </x:c>
      <x:c r="D208" s="2" t="n">
        <x:v>3</x:v>
      </x:c>
      <x:c r="E208" s="11" t="n">
        <x:v>0.6866787261807059</x:v>
      </x:c>
      <x:c r="F208" s="2" t="str">
        <x:v>五分最高涨幅&gt;=6% 且 五分最低涨幅&gt;=-3%</x:v>
      </x:c>
      <x:c r="G208" s="9" t="n">
        <x:v>0</x:v>
      </x:c>
      <x:c r="H208" s="9" t="n">
        <x:v>-0.075968992248062</x:v>
      </x:c>
      <x:c r="I208" s="9" t="n">
        <x:v>0.070387596899225</x:v>
      </x:c>
      <x:c r="J208" s="9" t="n">
        <x:v>-0.062539086929331</x:v>
      </x:c>
      <x:c r="K208" s="9" t="n">
        <x:v>0.073469387755102</x:v>
      </x:c>
      <x:c r="L208" s="2" t="str">
        <x:v>两段走弱</x:v>
      </x:c>
      <x:c r="M208" s="2" t="n">
        <x:v>0</x:v>
      </x:c>
      <x:c r="N208" s="2" t="n">
        <x:v>5</x:v>
      </x:c>
      <x:c r="O208" s="2" t="n">
        <x:v>1</x:v>
      </x:c>
      <x:c r="P208" s="2" t="n">
        <x:v>1</x:v>
      </x:c>
      <x:c r="Q208" s="2" t="n">
        <x:v>0</x:v>
      </x:c>
      <x:c r="R208" s="2" t="n">
        <x:v>1</x:v>
      </x:c>
      <x:c r="S208" s="2" t="str">
        <x:v>09:36</x:v>
      </x:c>
      <x:c r="T208" s="12" t="n">
        <x:v>29.98</x:v>
      </x:c>
      <x:c r="U208" s="2" t="n">
        <x:v>1</x:v>
      </x:c>
      <x:c r="V208" s="2" t="n">
        <x:v>0</x:v>
      </x:c>
      <x:c r="W208" s="2" t="n">
        <x:v>0</x:v>
      </x:c>
      <x:c r="X208" s="2" t="n">
        <x:v>1</x:v>
      </x:c>
    </x:row>
    <x:row r="209">
      <x:c r="A209" s="6" t="d">
        <x:v>2025-08-12T00:00:00.000Z</x:v>
      </x:c>
      <x:c r="B209" s="6" t="d">
        <x:v>2025-08-13T00:00:00.000Z</x:v>
      </x:c>
      <x:c r="C209" s="7" t="str">
        <x:v>601929</x:v>
      </x:c>
      <x:c r="D209" s="2" t="n">
        <x:v>1</x:v>
      </x:c>
      <x:c r="E209" s="11" t="n">
        <x:v>0.7799022484463214</x:v>
      </x:c>
      <x:c r="F209" s="2" t="str">
        <x:v>五分最高涨幅&gt;=6% 且 五分最低涨幅&gt;=-3%</x:v>
      </x:c>
      <x:c r="G209" s="9" t="n">
        <x:v>0.100917431192661</x:v>
      </x:c>
      <x:c r="H209" s="9" t="n">
        <x:v>0.039755351681957</x:v>
      </x:c>
      <x:c r="I209" s="9" t="n">
        <x:v>0</x:v>
      </x:c>
      <x:c r="J209" s="9" t="n">
        <x:v>0.002785515320334</x:v>
      </x:c>
      <x:c r="K209" s="9" t="n">
        <x:v>1</x:v>
      </x:c>
      <x:c r="L209" s="2" t="str">
        <x:v>前弱后强</x:v>
      </x:c>
      <x:c r="M209" s="2" t="n">
        <x:v>2</x:v>
      </x:c>
      <x:c r="N209" s="2" t="n">
        <x:v>4</x:v>
      </x:c>
      <x:c r="O209" s="2" t="n">
        <x:v>1</x:v>
      </x:c>
      <x:c r="P209" s="2" t="n">
        <x:v>1</x:v>
      </x:c>
      <x:c r="Q209" s="2" t="n">
        <x:v>1</x:v>
      </x:c>
      <x:c r="R209" s="2" t="n">
        <x:v>0</x:v>
      </x:c>
      <x:c r="S209" s="2"/>
      <x:c r="T209" s="12"/>
      <x:c r="U209" s="2" t="n">
        <x:v>1</x:v>
      </x:c>
      <x:c r="V209" s="2" t="n">
        <x:v>0</x:v>
      </x:c>
      <x:c r="W209" s="2" t="n">
        <x:v>0</x:v>
      </x:c>
      <x:c r="X209" s="2" t="n">
        <x:v>1</x:v>
      </x:c>
    </x:row>
    <x:row r="210">
      <x:c r="A210" s="6" t="d">
        <x:v>2025-08-12T00:00:00.000Z</x:v>
      </x:c>
      <x:c r="B210" s="6" t="d">
        <x:v>2025-08-13T00:00:00.000Z</x:v>
      </x:c>
      <x:c r="C210" s="7" t="str">
        <x:v>002307</x:v>
      </x:c>
      <x:c r="D210" s="2" t="n">
        <x:v>2</x:v>
      </x:c>
      <x:c r="E210" s="11" t="n">
        <x:v>0.7537930308672157</x:v>
      </x:c>
      <x:c r="F210" s="2" t="str">
        <x:v>五分最高涨幅&gt;=6% 且 五分最低涨幅&gt;=-3%</x:v>
      </x:c>
      <x:c r="G210" s="9" t="n">
        <x:v>0.030465949820788</x:v>
      </x:c>
      <x:c r="H210" s="9" t="n">
        <x:v>-0.032258064516129</x:v>
      </x:c>
      <x:c r="I210" s="9" t="n">
        <x:v>0.026881720430108</x:v>
      </x:c>
      <x:c r="J210" s="9" t="n">
        <x:v>-0.001782531194296</x:v>
      </x:c>
      <x:c r="K210" s="9" t="n">
        <x:v>0.57142857142857</x:v>
      </x:c>
      <x:c r="L210" s="2" t="str">
        <x:v>前弱后强</x:v>
      </x:c>
      <x:c r="M210" s="2" t="n">
        <x:v>0</x:v>
      </x:c>
      <x:c r="N210" s="2" t="n">
        <x:v>5</x:v>
      </x:c>
      <x:c r="O210" s="2" t="n">
        <x:v>1</x:v>
      </x:c>
      <x:c r="P210" s="2" t="n">
        <x:v>1</x:v>
      </x:c>
      <x:c r="Q210" s="2" t="n">
        <x:v>0</x:v>
      </x:c>
      <x:c r="R210" s="2" t="n">
        <x:v>1</x:v>
      </x:c>
      <x:c r="S210" s="2" t="str">
        <x:v>09:36</x:v>
      </x:c>
      <x:c r="T210" s="12" t="n">
        <x:v>5.6</x:v>
      </x:c>
      <x:c r="U210" s="2" t="n">
        <x:v>1</x:v>
      </x:c>
      <x:c r="V210" s="2" t="n">
        <x:v>0</x:v>
      </x:c>
      <x:c r="W210" s="2" t="n">
        <x:v>1</x:v>
      </x:c>
      <x:c r="X210" s="2" t="n">
        <x:v>0</x:v>
      </x:c>
    </x:row>
    <x:row r="211">
      <x:c r="A211" s="6" t="d">
        <x:v>2025-08-12T00:00:00.000Z</x:v>
      </x:c>
      <x:c r="B211" s="6" t="d">
        <x:v>2025-08-13T00:00:00.000Z</x:v>
      </x:c>
      <x:c r="C211" s="7" t="str">
        <x:v>600581</x:v>
      </x:c>
      <x:c r="D211" s="2" t="n">
        <x:v>3</x:v>
      </x:c>
      <x:c r="E211" s="11" t="n">
        <x:v>0.7442795445974131</x:v>
      </x:c>
      <x:c r="F211" s="2" t="str">
        <x:v>五分最高涨幅&gt;=6% 且 五分最低涨幅&gt;=-3%</x:v>
      </x:c>
      <x:c r="G211" s="9" t="n">
        <x:v>0.08187134502924</x:v>
      </x:c>
      <x:c r="H211" s="9" t="n">
        <x:v>0.031189083820663</x:v>
      </x:c>
      <x:c r="I211" s="9" t="n">
        <x:v>0.029239766081871</x:v>
      </x:c>
      <x:c r="J211" s="9" t="n">
        <x:v>0.005586592178771</x:v>
      </x:c>
      <x:c r="K211" s="9" t="n">
        <x:v>0.423076923076925</x:v>
      </x:c>
      <x:c r="L211" s="2" t="str">
        <x:v>前强后弱</x:v>
      </x:c>
      <x:c r="M211" s="2" t="n">
        <x:v>0</x:v>
      </x:c>
      <x:c r="N211" s="2" t="n">
        <x:v>5</x:v>
      </x:c>
      <x:c r="O211" s="2" t="n">
        <x:v>1</x:v>
      </x:c>
      <x:c r="P211" s="2" t="n">
        <x:v>1</x:v>
      </x:c>
      <x:c r="Q211" s="2" t="n">
        <x:v>1</x:v>
      </x:c>
      <x:c r="R211" s="2" t="n">
        <x:v>1</x:v>
      </x:c>
      <x:c r="S211" s="2" t="str">
        <x:v>09:36</x:v>
      </x:c>
      <x:c r="T211" s="12" t="n">
        <x:v>5.38</x:v>
      </x:c>
      <x:c r="U211" s="2" t="n">
        <x:v>1</x:v>
      </x:c>
      <x:c r="V211" s="2" t="n">
        <x:v>1</x:v>
      </x:c>
      <x:c r="W211" s="2" t="n">
        <x:v>0</x:v>
      </x:c>
      <x:c r="X211" s="2" t="n">
        <x:v>0</x:v>
      </x:c>
    </x:row>
    <x:row r="212">
      <x:c r="A212" s="6" t="d">
        <x:v>2025-08-13T00:00:00.000Z</x:v>
      </x:c>
      <x:c r="B212" s="6" t="d">
        <x:v>2025-08-14T00:00:00.000Z</x:v>
      </x:c>
      <x:c r="C212" s="7" t="str">
        <x:v>601929</x:v>
      </x:c>
      <x:c r="D212" s="2" t="n">
        <x:v>1</x:v>
      </x:c>
      <x:c r="E212" s="11" t="n">
        <x:v>0.7626078334153757</x:v>
      </x:c>
      <x:c r="F212" s="2" t="str">
        <x:v>五分最高涨幅&gt;=6% 且 五分最低涨幅&gt;=-3%</x:v>
      </x:c>
      <x:c r="G212" s="9" t="n">
        <x:v>0.1</x:v>
      </x:c>
      <x:c r="H212" s="9" t="n">
        <x:v>0.030555555555555</x:v>
      </x:c>
      <x:c r="I212" s="9" t="n">
        <x:v>0.013888888888889</x:v>
      </x:c>
      <x:c r="J212" s="9" t="n">
        <x:v>0.042666666666667</x:v>
      </x:c>
      <x:c r="K212" s="9" t="n">
        <x:v>0.800000000000001</x:v>
      </x:c>
      <x:c r="L212" s="2" t="str">
        <x:v>两段走强</x:v>
      </x:c>
      <x:c r="M212" s="2" t="n">
        <x:v>1</x:v>
      </x:c>
      <x:c r="N212" s="2" t="n">
        <x:v>5</x:v>
      </x:c>
      <x:c r="O212" s="2" t="n">
        <x:v>1</x:v>
      </x:c>
      <x:c r="P212" s="2" t="n">
        <x:v>1</x:v>
      </x:c>
      <x:c r="Q212" s="2" t="n">
        <x:v>1</x:v>
      </x:c>
      <x:c r="R212" s="2" t="n">
        <x:v>1</x:v>
      </x:c>
      <x:c r="S212" s="2" t="str">
        <x:v>09:36</x:v>
      </x:c>
      <x:c r="T212" s="12" t="n">
        <x:v>3.91</x:v>
      </x:c>
      <x:c r="U212" s="2" t="n">
        <x:v>1</x:v>
      </x:c>
      <x:c r="V212" s="2" t="n">
        <x:v>1</x:v>
      </x:c>
      <x:c r="W212" s="2" t="n">
        <x:v>1</x:v>
      </x:c>
      <x:c r="X212" s="2" t="n">
        <x:v>1</x:v>
      </x:c>
    </x:row>
    <x:row r="213">
      <x:c r="A213" s="6" t="d">
        <x:v>2025-08-13T00:00:00.000Z</x:v>
      </x:c>
      <x:c r="B213" s="6" t="d">
        <x:v>2025-08-14T00:00:00.000Z</x:v>
      </x:c>
      <x:c r="C213" s="7" t="str">
        <x:v>600246</x:v>
      </x:c>
      <x:c r="D213" s="2" t="n">
        <x:v>2</x:v>
      </x:c>
      <x:c r="E213" s="11" t="n">
        <x:v>0.7515232255232304</x:v>
      </x:c>
      <x:c r="F213" s="2" t="str">
        <x:v>五分最高涨幅&gt;=6% 且 五分最低涨幅&gt;=-3%</x:v>
      </x:c>
      <x:c r="G213" s="9" t="n">
        <x:v>0.081773399014778</x:v>
      </x:c>
      <x:c r="H213" s="9" t="n">
        <x:v>0.005911330049261</x:v>
      </x:c>
      <x:c r="I213" s="9" t="n">
        <x:v>0.069950738916256</x:v>
      </x:c>
      <x:c r="J213" s="9" t="n">
        <x:v>-0.035680751173709</x:v>
      </x:c>
      <x:c r="K213" s="9" t="n">
        <x:v>0.077922077922076</x:v>
      </x:c>
      <x:c r="L213" s="2" t="str">
        <x:v>两段走弱</x:v>
      </x:c>
      <x:c r="M213" s="2" t="n">
        <x:v>0</x:v>
      </x:c>
      <x:c r="N213" s="2" t="n">
        <x:v>5</x:v>
      </x:c>
      <x:c r="O213" s="2" t="n">
        <x:v>1</x:v>
      </x:c>
      <x:c r="P213" s="2" t="n">
        <x:v>1</x:v>
      </x:c>
      <x:c r="Q213" s="2" t="n">
        <x:v>1</x:v>
      </x:c>
      <x:c r="R213" s="2" t="n">
        <x:v>1</x:v>
      </x:c>
      <x:c r="S213" s="2" t="str">
        <x:v>09:36</x:v>
      </x:c>
      <x:c r="T213" s="12" t="n">
        <x:v>10.26</x:v>
      </x:c>
      <x:c r="U213" s="2" t="n">
        <x:v>1</x:v>
      </x:c>
      <x:c r="V213" s="2" t="n">
        <x:v>0</x:v>
      </x:c>
      <x:c r="W213" s="2" t="n">
        <x:v>0</x:v>
      </x:c>
      <x:c r="X213" s="2" t="n">
        <x:v>0</x:v>
      </x:c>
    </x:row>
    <x:row r="214">
      <x:c r="A214" s="6" t="d">
        <x:v>2025-08-13T00:00:00.000Z</x:v>
      </x:c>
      <x:c r="B214" s="6" t="d">
        <x:v>2025-08-14T00:00:00.000Z</x:v>
      </x:c>
      <x:c r="C214" s="7" t="str">
        <x:v>002148</x:v>
      </x:c>
      <x:c r="D214" s="2" t="n">
        <x:v>3</x:v>
      </x:c>
      <x:c r="E214" s="11" t="n">
        <x:v>0.7338975005984024</x:v>
      </x:c>
      <x:c r="F214" s="2" t="str">
        <x:v>五分最高涨幅&gt;=6% 且 五分最低涨幅&gt;=-3%</x:v>
      </x:c>
      <x:c r="G214" s="9" t="n">
        <x:v>0.00952380952381</x:v>
      </x:c>
      <x:c r="H214" s="9" t="n">
        <x:v>-0.087301587301587</x:v>
      </x:c>
      <x:c r="I214" s="9" t="n">
        <x:v>0.085714285714286</x:v>
      </x:c>
      <x:c r="J214" s="9" t="n">
        <x:v>-0.083464566929134</x:v>
      </x:c>
      <x:c r="K214" s="9" t="n">
        <x:v>0.114754098360656</x:v>
      </x:c>
      <x:c r="L214" s="2" t="str">
        <x:v>两段走弱</x:v>
      </x:c>
      <x:c r="M214" s="2" t="n">
        <x:v>0</x:v>
      </x:c>
      <x:c r="N214" s="2" t="n">
        <x:v>5</x:v>
      </x:c>
      <x:c r="O214" s="2" t="n">
        <x:v>1</x:v>
      </x:c>
      <x:c r="P214" s="2" t="n">
        <x:v>1</x:v>
      </x:c>
      <x:c r="Q214" s="2" t="n">
        <x:v>0</x:v>
      </x:c>
      <x:c r="R214" s="2" t="n">
        <x:v>1</x:v>
      </x:c>
      <x:c r="S214" s="2" t="str">
        <x:v>09:36</x:v>
      </x:c>
      <x:c r="T214" s="12" t="n">
        <x:v>11.66</x:v>
      </x:c>
      <x:c r="U214" s="2" t="n">
        <x:v>0</x:v>
      </x:c>
      <x:c r="V214" s="2" t="n">
        <x:v>0</x:v>
      </x:c>
      <x:c r="W214" s="2" t="n">
        <x:v>0</x:v>
      </x:c>
      <x:c r="X214" s="2" t="n">
        <x:v>0</x:v>
      </x:c>
    </x:row>
    <x:row r="215">
      <x:c r="A215" s="6" t="d">
        <x:v>2025-08-14T00:00:00.000Z</x:v>
      </x:c>
      <x:c r="B215" s="6" t="d">
        <x:v>2025-08-15T00:00:00.000Z</x:v>
      </x:c>
      <x:c r="C215" s="7" t="str">
        <x:v>600658</x:v>
      </x:c>
      <x:c r="D215" s="2" t="n">
        <x:v>1</x:v>
      </x:c>
      <x:c r="E215" s="11" t="n">
        <x:v>0.7972757568672943</x:v>
      </x:c>
      <x:c r="F215" s="2" t="str">
        <x:v>五分最高涨幅&gt;=6% 且 五分最低涨幅&gt;=-3%</x:v>
      </x:c>
      <x:c r="G215" s="9" t="n">
        <x:v>0.004322766570605</x:v>
      </x:c>
      <x:c r="H215" s="9" t="n">
        <x:v>-0.066282420749279</x:v>
      </x:c>
      <x:c r="I215" s="9" t="n">
        <x:v>0.017291066282421</x:v>
      </x:c>
      <x:c r="J215" s="9" t="n">
        <x:v>0.007352941176471</x:v>
      </x:c>
      <x:c r="K215" s="9" t="n">
        <x:v>0.755102040816326</x:v>
      </x:c>
      <x:c r="L215" s="2" t="str">
        <x:v>前弱后强</x:v>
      </x:c>
      <x:c r="M215" s="2" t="n">
        <x:v>0</x:v>
      </x:c>
      <x:c r="N215" s="2" t="n">
        <x:v>5</x:v>
      </x:c>
      <x:c r="O215" s="2" t="n">
        <x:v>1</x:v>
      </x:c>
      <x:c r="P215" s="2" t="n">
        <x:v>1</x:v>
      </x:c>
      <x:c r="Q215" s="2" t="n">
        <x:v>0</x:v>
      </x:c>
      <x:c r="R215" s="2" t="n">
        <x:v>1</x:v>
      </x:c>
      <x:c r="S215" s="2" t="str">
        <x:v>09:36</x:v>
      </x:c>
      <x:c r="T215" s="12" t="n">
        <x:v>6.85</x:v>
      </x:c>
      <x:c r="U215" s="2" t="n">
        <x:v>1</x:v>
      </x:c>
      <x:c r="V215" s="2" t="n">
        <x:v>0</x:v>
      </x:c>
      <x:c r="W215" s="2" t="n">
        <x:v>1</x:v>
      </x:c>
      <x:c r="X215" s="2" t="n">
        <x:v>1</x:v>
      </x:c>
    </x:row>
    <x:row r="216">
      <x:c r="A216" s="6" t="d">
        <x:v>2025-08-14T00:00:00.000Z</x:v>
      </x:c>
      <x:c r="B216" s="6" t="d">
        <x:v>2025-08-15T00:00:00.000Z</x:v>
      </x:c>
      <x:c r="C216" s="7" t="str">
        <x:v>000561</x:v>
      </x:c>
      <x:c r="D216" s="2" t="n">
        <x:v>2</x:v>
      </x:c>
      <x:c r="E216" s="11" t="n">
        <x:v>0.7572824665175236</x:v>
      </x:c>
      <x:c r="F216" s="2" t="str">
        <x:v>五分最高涨幅&gt;=6% 且 五分最低涨幅&gt;=-3%</x:v>
      </x:c>
      <x:c r="G216" s="9" t="n">
        <x:v>0.005090909090909</x:v>
      </x:c>
      <x:c r="H216" s="9" t="n">
        <x:v>-0.04</x:v>
      </x:c>
      <x:c r="I216" s="9" t="n">
        <x:v>0.029818181818182</x:v>
      </x:c>
      <x:c r="J216" s="9" t="n">
        <x:v>-0.026143790849673</x:v>
      </x:c>
      <x:c r="K216" s="9" t="n">
        <x:v>0.338709677419356</x:v>
      </x:c>
      <x:c r="L216" s="2" t="str">
        <x:v>前弱后强</x:v>
      </x:c>
      <x:c r="M216" s="2" t="n">
        <x:v>0</x:v>
      </x:c>
      <x:c r="N216" s="2" t="n">
        <x:v>5</x:v>
      </x:c>
      <x:c r="O216" s="2" t="n">
        <x:v>1</x:v>
      </x:c>
      <x:c r="P216" s="2" t="n">
        <x:v>1</x:v>
      </x:c>
      <x:c r="Q216" s="2" t="n">
        <x:v>0</x:v>
      </x:c>
      <x:c r="R216" s="2" t="n">
        <x:v>1</x:v>
      </x:c>
      <x:c r="S216" s="2" t="str">
        <x:v>09:36</x:v>
      </x:c>
      <x:c r="T216" s="12" t="n">
        <x:v>13.4</x:v>
      </x:c>
      <x:c r="U216" s="2" t="n">
        <x:v>1</x:v>
      </x:c>
      <x:c r="V216" s="2" t="n">
        <x:v>0</x:v>
      </x:c>
      <x:c r="W216" s="2" t="n">
        <x:v>0</x:v>
      </x:c>
      <x:c r="X216" s="2" t="n">
        <x:v>1</x:v>
      </x:c>
    </x:row>
    <x:row r="217">
      <x:c r="A217" s="6" t="d">
        <x:v>2025-08-14T00:00:00.000Z</x:v>
      </x:c>
      <x:c r="B217" s="6" t="d">
        <x:v>2025-08-15T00:00:00.000Z</x:v>
      </x:c>
      <x:c r="C217" s="7" t="str">
        <x:v>000070</x:v>
      </x:c>
      <x:c r="D217" s="2" t="n">
        <x:v>3</x:v>
      </x:c>
      <x:c r="E217" s="11" t="n">
        <x:v>0.73979021264572</x:v>
      </x:c>
      <x:c r="F217" s="2" t="str">
        <x:v>五分最高涨幅&gt;=6% 且 五分最低涨幅&gt;=-3%</x:v>
      </x:c>
      <x:c r="G217" s="9" t="n">
        <x:v>-0.036396724294814</x:v>
      </x:c>
      <x:c r="H217" s="9" t="n">
        <x:v>-0.08007279344859</x:v>
      </x:c>
      <x:c r="I217" s="9" t="n">
        <x:v>0.012738853503185</x:v>
      </x:c>
      <x:c r="J217" s="9" t="n">
        <x:v>-0.012287334593573</x:v>
      </x:c>
      <x:c r="K217" s="9" t="n">
        <x:v>0.708333333333332</x:v>
      </x:c>
      <x:c r="L217" s="2" t="str">
        <x:v>前弱后强</x:v>
      </x:c>
      <x:c r="M217" s="2" t="n">
        <x:v>0</x:v>
      </x:c>
      <x:c r="N217" s="2" t="n">
        <x:v>5</x:v>
      </x:c>
      <x:c r="O217" s="2" t="n">
        <x:v>1</x:v>
      </x:c>
      <x:c r="P217" s="2" t="n">
        <x:v>1</x:v>
      </x:c>
      <x:c r="Q217" s="2" t="n">
        <x:v>0</x:v>
      </x:c>
      <x:c r="R217" s="2" t="n">
        <x:v>1</x:v>
      </x:c>
      <x:c r="S217" s="2" t="str">
        <x:v>09:36</x:v>
      </x:c>
      <x:c r="T217" s="12" t="n">
        <x:v>10.45</x:v>
      </x:c>
      <x:c r="U217" s="2" t="n">
        <x:v>1</x:v>
      </x:c>
      <x:c r="V217" s="2" t="n">
        <x:v>0</x:v>
      </x:c>
      <x:c r="W217" s="2" t="n">
        <x:v>0</x:v>
      </x:c>
      <x:c r="X217" s="2" t="n">
        <x:v>0</x:v>
      </x:c>
    </x:row>
    <x:row r="218">
      <x:c r="A218" s="6" t="d">
        <x:v>2025-08-15T00:00:00.000Z</x:v>
      </x:c>
      <x:c r="B218" s="6" t="d">
        <x:v>2025-08-18T00:00:00.000Z</x:v>
      </x:c>
      <x:c r="C218" s="7" t="str">
        <x:v>002939</x:v>
      </x:c>
      <x:c r="D218" s="2" t="n">
        <x:v>1</x:v>
      </x:c>
      <x:c r="E218" s="11" t="n">
        <x:v>0.7388003310024593</x:v>
      </x:c>
      <x:c r="F218" s="2" t="str">
        <x:v>五分最高涨幅&gt;=6% 且 五分最低涨幅&gt;=-3%</x:v>
      </x:c>
      <x:c r="G218" s="9" t="n">
        <x:v>0.100331674958541</x:v>
      </x:c>
      <x:c r="H218" s="9" t="n">
        <x:v>0.062189054726368</x:v>
      </x:c>
      <x:c r="I218" s="9" t="n">
        <x:v>0.009950248756219</x:v>
      </x:c>
      <x:c r="J218" s="9" t="n">
        <x:v>0.008435582822086</x:v>
      </x:c>
      <x:c r="K218" s="9" t="n">
        <x:v>0.73913043478261</x:v>
      </x:c>
      <x:c r="L218" s="2" t="str">
        <x:v>前弱后强</x:v>
      </x:c>
      <x:c r="M218" s="2" t="n">
        <x:v>1</x:v>
      </x:c>
      <x:c r="N218" s="2" t="n">
        <x:v>5</x:v>
      </x:c>
      <x:c r="O218" s="2" t="n">
        <x:v>1</x:v>
      </x:c>
      <x:c r="P218" s="2" t="n">
        <x:v>1</x:v>
      </x:c>
      <x:c r="Q218" s="2" t="n">
        <x:v>1</x:v>
      </x:c>
      <x:c r="R218" s="2" t="n">
        <x:v>1</x:v>
      </x:c>
      <x:c r="S218" s="2" t="str">
        <x:v>09:36</x:v>
      </x:c>
      <x:c r="T218" s="12" t="n">
        <x:v>13.12</x:v>
      </x:c>
      <x:c r="U218" s="2" t="n">
        <x:v>1</x:v>
      </x:c>
      <x:c r="V218" s="2" t="n">
        <x:v>1</x:v>
      </x:c>
      <x:c r="W218" s="2" t="n">
        <x:v>1</x:v>
      </x:c>
      <x:c r="X218" s="2" t="n">
        <x:v>1</x:v>
      </x:c>
    </x:row>
    <x:row r="219">
      <x:c r="A219" s="6" t="d">
        <x:v>2025-08-15T00:00:00.000Z</x:v>
      </x:c>
      <x:c r="B219" s="6" t="d">
        <x:v>2025-08-18T00:00:00.000Z</x:v>
      </x:c>
      <x:c r="C219" s="7" t="str">
        <x:v>603158</x:v>
      </x:c>
      <x:c r="D219" s="2" t="n">
        <x:v>2</x:v>
      </x:c>
      <x:c r="E219" s="11" t="n">
        <x:v>0.7327069984224319</x:v>
      </x:c>
      <x:c r="F219" s="2" t="str">
        <x:v>五分最高涨幅&gt;=6% 且 五分最低涨幅&gt;=-3%</x:v>
      </x:c>
      <x:c r="G219" s="9" t="n">
        <x:v>0.066666666666667</x:v>
      </x:c>
      <x:c r="H219" s="9" t="n">
        <x:v>0</x:v>
      </x:c>
      <x:c r="I219" s="9" t="n">
        <x:v>0.033777777777778</x:v>
      </x:c>
      <x:c r="J219" s="9" t="n">
        <x:v>-0.017751479289941</x:v>
      </x:c>
      <x:c r="K219" s="9" t="n">
        <x:v>0.493333333333332</x:v>
      </x:c>
      <x:c r="L219" s="2" t="str">
        <x:v>前弱后强</x:v>
      </x:c>
      <x:c r="M219" s="2" t="n">
        <x:v>0</x:v>
      </x:c>
      <x:c r="N219" s="2" t="n">
        <x:v>5</x:v>
      </x:c>
      <x:c r="O219" s="2" t="n">
        <x:v>1</x:v>
      </x:c>
      <x:c r="P219" s="2" t="n">
        <x:v>1</x:v>
      </x:c>
      <x:c r="Q219" s="2" t="n">
        <x:v>1</x:v>
      </x:c>
      <x:c r="R219" s="2" t="n">
        <x:v>1</x:v>
      </x:c>
      <x:c r="S219" s="2" t="str">
        <x:v>09:36</x:v>
      </x:c>
      <x:c r="T219" s="12" t="n">
        <x:v>11.63</x:v>
      </x:c>
      <x:c r="U219" s="2" t="n">
        <x:v>1</x:v>
      </x:c>
      <x:c r="V219" s="2" t="n">
        <x:v>0</x:v>
      </x:c>
      <x:c r="W219" s="2" t="n">
        <x:v>0</x:v>
      </x:c>
      <x:c r="X219" s="2" t="n">
        <x:v>1</x:v>
      </x:c>
    </x:row>
    <x:row r="220">
      <x:c r="A220" s="6" t="d">
        <x:v>2025-08-15T00:00:00.000Z</x:v>
      </x:c>
      <x:c r="B220" s="6" t="d">
        <x:v>2025-08-18T00:00:00.000Z</x:v>
      </x:c>
      <x:c r="C220" s="7" t="str">
        <x:v>601609</x:v>
      </x:c>
      <x:c r="D220" s="2" t="n">
        <x:v>3</x:v>
      </x:c>
      <x:c r="E220" s="11" t="n">
        <x:v>0.7088498487837219</x:v>
      </x:c>
      <x:c r="F220" s="2" t="str">
        <x:v>五分最高涨幅&gt;=6% 且 五分最低涨幅&gt;=-3%</x:v>
      </x:c>
      <x:c r="G220" s="9" t="n">
        <x:v>0.100087796312555</x:v>
      </x:c>
      <x:c r="H220" s="9" t="n">
        <x:v>0.100087796312555</x:v>
      </x:c>
      <x:c r="I220" s="9" t="n">
        <x:v>0</x:v>
      </x:c>
      <x:c r="J220" s="9" t="n">
        <x:v>0</x:v>
      </x:c>
      <x:c r="K220" s="9" t="n">
        <x:v>0.5</x:v>
      </x:c>
      <x:c r="L220" s="2" t="str">
        <x:v>平走</x:v>
      </x:c>
      <x:c r="M220" s="2" t="n">
        <x:v>5</x:v>
      </x:c>
      <x:c r="N220" s="2" t="n">
        <x:v>0</x:v>
      </x:c>
      <x:c r="O220" s="2" t="n">
        <x:v>1</x:v>
      </x:c>
      <x:c r="P220" s="2" t="n">
        <x:v>1</x:v>
      </x:c>
      <x:c r="Q220" s="2" t="n">
        <x:v>1</x:v>
      </x:c>
      <x:c r="R220" s="2" t="n">
        <x:v>0</x:v>
      </x:c>
      <x:c r="S220" s="2"/>
      <x:c r="T220" s="12"/>
      <x:c r="U220" s="2" t="n">
        <x:v>1</x:v>
      </x:c>
      <x:c r="V220" s="2" t="n">
        <x:v>0</x:v>
      </x:c>
      <x:c r="W220" s="2" t="n">
        <x:v>0</x:v>
      </x:c>
      <x:c r="X220" s="2" t="n">
        <x:v>1</x:v>
      </x:c>
    </x:row>
    <x:row r="221">
      <x:c r="A221" s="6" t="d">
        <x:v>2025-08-18T00:00:00.000Z</x:v>
      </x:c>
      <x:c r="B221" s="6" t="d">
        <x:v>2025-08-19T00:00:00.000Z</x:v>
      </x:c>
      <x:c r="C221" s="7" t="str">
        <x:v>601609</x:v>
      </x:c>
      <x:c r="D221" s="2" t="n">
        <x:v>1</x:v>
      </x:c>
      <x:c r="E221" s="11" t="n">
        <x:v>0.7720480572246814</x:v>
      </x:c>
      <x:c r="F221" s="2" t="str">
        <x:v>五分最高涨幅&gt;=6% 且 五分最低涨幅&gt;=-3%</x:v>
      </x:c>
      <x:c r="G221" s="9" t="n">
        <x:v>0.09976057462091</x:v>
      </x:c>
      <x:c r="H221" s="9" t="n">
        <x:v>0.045490822027135</x:v>
      </x:c>
      <x:c r="I221" s="9" t="n">
        <x:v>0.034317637669593</x:v>
      </x:c>
      <x:c r="J221" s="9" t="n">
        <x:v>-0.031204644412192</x:v>
      </x:c>
      <x:c r="K221" s="9" t="n">
        <x:v>0.36764705882353</x:v>
      </x:c>
      <x:c r="L221" s="2" t="str">
        <x:v>两段走弱</x:v>
      </x:c>
      <x:c r="M221" s="2" t="n">
        <x:v>3</x:v>
      </x:c>
      <x:c r="N221" s="2" t="n">
        <x:v>5</x:v>
      </x:c>
      <x:c r="O221" s="2" t="n">
        <x:v>1</x:v>
      </x:c>
      <x:c r="P221" s="2" t="n">
        <x:v>1</x:v>
      </x:c>
      <x:c r="Q221" s="2" t="n">
        <x:v>1</x:v>
      </x:c>
      <x:c r="R221" s="2" t="n">
        <x:v>1</x:v>
      </x:c>
      <x:c r="S221" s="2" t="str">
        <x:v>09:36</x:v>
      </x:c>
      <x:c r="T221" s="12" t="n">
        <x:v>13.34</x:v>
      </x:c>
      <x:c r="U221" s="2" t="n">
        <x:v>1</x:v>
      </x:c>
      <x:c r="V221" s="2" t="n">
        <x:v>1</x:v>
      </x:c>
      <x:c r="W221" s="2" t="n">
        <x:v>1</x:v>
      </x:c>
      <x:c r="X221" s="2" t="n">
        <x:v>1</x:v>
      </x:c>
    </x:row>
    <x:row r="222">
      <x:c r="A222" s="6" t="d">
        <x:v>2025-08-18T00:00:00.000Z</x:v>
      </x:c>
      <x:c r="B222" s="6" t="d">
        <x:v>2025-08-19T00:00:00.000Z</x:v>
      </x:c>
      <x:c r="C222" s="7" t="str">
        <x:v>603222</x:v>
      </x:c>
      <x:c r="D222" s="2" t="n">
        <x:v>2</x:v>
      </x:c>
      <x:c r="E222" s="11" t="n">
        <x:v>0.7679887904741359</x:v>
      </x:c>
      <x:c r="F222" s="2" t="str">
        <x:v>五分最高涨幅&gt;=6% 且 五分最低涨幅&gt;=-3%</x:v>
      </x:c>
      <x:c r="G222" s="9" t="n">
        <x:v>0.1</x:v>
      </x:c>
      <x:c r="H222" s="9" t="n">
        <x:v>0.041836734693878</x:v>
      </x:c>
      <x:c r="I222" s="9" t="n">
        <x:v>0.022448979591837</x:v>
      </x:c>
      <x:c r="J222" s="9" t="n">
        <x:v>-0.020408163265306</x:v>
      </x:c>
      <x:c r="K222" s="9" t="n">
        <x:v>0.614035087719299</x:v>
      </x:c>
      <x:c r="L222" s="2" t="str">
        <x:v>两段走弱</x:v>
      </x:c>
      <x:c r="M222" s="2" t="n">
        <x:v>4</x:v>
      </x:c>
      <x:c r="N222" s="2" t="n">
        <x:v>3</x:v>
      </x:c>
      <x:c r="O222" s="2" t="n">
        <x:v>1</x:v>
      </x:c>
      <x:c r="P222" s="2" t="n">
        <x:v>1</x:v>
      </x:c>
      <x:c r="Q222" s="2" t="n">
        <x:v>1</x:v>
      </x:c>
      <x:c r="R222" s="2" t="n">
        <x:v>1</x:v>
      </x:c>
      <x:c r="S222" s="2" t="str">
        <x:v>09:36</x:v>
      </x:c>
      <x:c r="T222" s="12" t="n">
        <x:v>10.56</x:v>
      </x:c>
      <x:c r="U222" s="2" t="n">
        <x:v>1</x:v>
      </x:c>
      <x:c r="V222" s="2" t="n">
        <x:v>0</x:v>
      </x:c>
      <x:c r="W222" s="2" t="n">
        <x:v>0</x:v>
      </x:c>
      <x:c r="X222" s="2" t="n">
        <x:v>1</x:v>
      </x:c>
    </x:row>
    <x:row r="223">
      <x:c r="A223" s="6" t="d">
        <x:v>2025-08-18T00:00:00.000Z</x:v>
      </x:c>
      <x:c r="B223" s="6" t="d">
        <x:v>2025-08-19T00:00:00.000Z</x:v>
      </x:c>
      <x:c r="C223" s="7" t="str">
        <x:v>002939</x:v>
      </x:c>
      <x:c r="D223" s="2" t="n">
        <x:v>3</x:v>
      </x:c>
      <x:c r="E223" s="11" t="n">
        <x:v>0.7394857091637469</x:v>
      </x:c>
      <x:c r="F223" s="2" t="str">
        <x:v>五分最高涨幅&gt;=6% 且 五分最低涨幅&gt;=-3%</x:v>
      </x:c>
      <x:c r="G223" s="9" t="n">
        <x:v>0.060286360211002</x:v>
      </x:c>
      <x:c r="H223" s="9" t="n">
        <x:v>0.015825169555388</x:v>
      </x:c>
      <x:c r="I223" s="9" t="n">
        <x:v>0.029389600602864</x:v>
      </x:c>
      <x:c r="J223" s="9" t="n">
        <x:v>-0.002915451895044</x:v>
      </x:c>
      <x:c r="K223" s="9" t="n">
        <x:v>0.338983050847456</x:v>
      </x:c>
      <x:c r="L223" s="2" t="str">
        <x:v>前强后弱</x:v>
      </x:c>
      <x:c r="M223" s="2" t="n">
        <x:v>0</x:v>
      </x:c>
      <x:c r="N223" s="2" t="n">
        <x:v>5</x:v>
      </x:c>
      <x:c r="O223" s="2" t="n">
        <x:v>1</x:v>
      </x:c>
      <x:c r="P223" s="2" t="n">
        <x:v>1</x:v>
      </x:c>
      <x:c r="Q223" s="2" t="n">
        <x:v>1</x:v>
      </x:c>
      <x:c r="R223" s="2" t="n">
        <x:v>1</x:v>
      </x:c>
      <x:c r="S223" s="2" t="str">
        <x:v>09:36</x:v>
      </x:c>
      <x:c r="T223" s="12" t="n">
        <x:v>13.68</x:v>
      </x:c>
      <x:c r="U223" s="2" t="n">
        <x:v>1</x:v>
      </x:c>
      <x:c r="V223" s="2" t="n">
        <x:v>0</x:v>
      </x:c>
      <x:c r="W223" s="2" t="n">
        <x:v>0</x:v>
      </x:c>
      <x:c r="X223" s="2" t="n">
        <x:v>0</x:v>
      </x:c>
    </x:row>
    <x:row r="224">
      <x:c r="A224" s="6" t="d">
        <x:v>2025-08-19T00:00:00.000Z</x:v>
      </x:c>
      <x:c r="B224" s="6" t="d">
        <x:v>2025-08-20T00:00:00.000Z</x:v>
      </x:c>
      <x:c r="C224" s="7" t="str">
        <x:v>002052</x:v>
      </x:c>
      <x:c r="D224" s="2" t="n">
        <x:v>1</x:v>
      </x:c>
      <x:c r="E224" s="11" t="n">
        <x:v>0.7500672554231794</x:v>
      </x:c>
      <x:c r="F224" s="2" t="str">
        <x:v>五分最高涨幅&gt;=6% 且 五分最低涨幅&gt;=-3%</x:v>
      </x:c>
      <x:c r="G224" s="9" t="n">
        <x:v>0.030684931506849</x:v>
      </x:c>
      <x:c r="H224" s="9" t="n">
        <x:v>-0.02027397260274</x:v>
      </x:c>
      <x:c r="I224" s="9" t="n">
        <x:v>0.032328767123288</x:v>
      </x:c>
      <x:c r="J224" s="9" t="n">
        <x:v>0.011098779134295</x:v>
      </x:c>
      <x:c r="K224" s="9" t="n">
        <x:v>0.365591397849462</x:v>
      </x:c>
      <x:c r="L224" s="2" t="str">
        <x:v>前弱后强</x:v>
      </x:c>
      <x:c r="M224" s="2" t="n">
        <x:v>0</x:v>
      </x:c>
      <x:c r="N224" s="2" t="n">
        <x:v>5</x:v>
      </x:c>
      <x:c r="O224" s="2" t="n">
        <x:v>1</x:v>
      </x:c>
      <x:c r="P224" s="2" t="n">
        <x:v>1</x:v>
      </x:c>
      <x:c r="Q224" s="2" t="n">
        <x:v>0</x:v>
      </x:c>
      <x:c r="R224" s="2" t="n">
        <x:v>1</x:v>
      </x:c>
      <x:c r="S224" s="2" t="str">
        <x:v>09:36</x:v>
      </x:c>
      <x:c r="T224" s="12" t="n">
        <x:v>18.25</x:v>
      </x:c>
      <x:c r="U224" s="2" t="n">
        <x:v>1</x:v>
      </x:c>
      <x:c r="V224" s="2" t="n">
        <x:v>0</x:v>
      </x:c>
      <x:c r="W224" s="2" t="n">
        <x:v>1</x:v>
      </x:c>
      <x:c r="X224" s="2" t="n">
        <x:v>0</x:v>
      </x:c>
    </x:row>
    <x:row r="225">
      <x:c r="A225" s="6" t="d">
        <x:v>2025-08-19T00:00:00.000Z</x:v>
      </x:c>
      <x:c r="B225" s="6" t="d">
        <x:v>2025-08-20T00:00:00.000Z</x:v>
      </x:c>
      <x:c r="C225" s="7" t="str">
        <x:v>603222</x:v>
      </x:c>
      <x:c r="D225" s="2" t="n">
        <x:v>2</x:v>
      </x:c>
      <x:c r="E225" s="11" t="n">
        <x:v>0.7397337167684527</x:v>
      </x:c>
      <x:c r="F225" s="2" t="str">
        <x:v>五分最高涨幅&gt;=6% 且 五分最低涨幅&gt;=-3%</x:v>
      </x:c>
      <x:c r="G225" s="9" t="n">
        <x:v>-0.001855287569573</x:v>
      </x:c>
      <x:c r="H225" s="9" t="n">
        <x:v>-0.079777365491651</x:v>
      </x:c>
      <x:c r="I225" s="9" t="n">
        <x:v>0.009276437847866</x:v>
      </x:c>
      <x:c r="J225" s="9" t="n">
        <x:v>0.043052837573385</x:v>
      </x:c>
      <x:c r="K225" s="9" t="n">
        <x:v>0.880952380952381</x:v>
      </x:c>
      <x:c r="L225" s="2" t="str">
        <x:v>两段走强</x:v>
      </x:c>
      <x:c r="M225" s="2" t="n">
        <x:v>0</x:v>
      </x:c>
      <x:c r="N225" s="2" t="n">
        <x:v>5</x:v>
      </x:c>
      <x:c r="O225" s="2" t="n">
        <x:v>1</x:v>
      </x:c>
      <x:c r="P225" s="2" t="n">
        <x:v>1</x:v>
      </x:c>
      <x:c r="Q225" s="2" t="n">
        <x:v>0</x:v>
      </x:c>
      <x:c r="R225" s="2" t="n">
        <x:v>1</x:v>
      </x:c>
      <x:c r="S225" s="2" t="str">
        <x:v>09:36</x:v>
      </x:c>
      <x:c r="T225" s="12" t="n">
        <x:v>10.69</x:v>
      </x:c>
      <x:c r="U225" s="2" t="n">
        <x:v>1</x:v>
      </x:c>
      <x:c r="V225" s="2" t="n">
        <x:v>0</x:v>
      </x:c>
      <x:c r="W225" s="2" t="n">
        <x:v>0</x:v>
      </x:c>
      <x:c r="X225" s="2" t="n">
        <x:v>1</x:v>
      </x:c>
    </x:row>
    <x:row r="226">
      <x:c r="A226" s="6" t="d">
        <x:v>2025-08-19T00:00:00.000Z</x:v>
      </x:c>
      <x:c r="B226" s="6" t="d">
        <x:v>2025-08-20T00:00:00.000Z</x:v>
      </x:c>
      <x:c r="C226" s="7" t="str">
        <x:v>002272</x:v>
      </x:c>
      <x:c r="D226" s="2" t="n">
        <x:v>3</x:v>
      </x:c>
      <x:c r="E226" s="11" t="n">
        <x:v>0.7379016744548257</x:v>
      </x:c>
      <x:c r="F226" s="2" t="str">
        <x:v>五分最高涨幅&gt;=6% 且 五分最低涨幅&gt;=-3%</x:v>
      </x:c>
      <x:c r="G226" s="9" t="n">
        <x:v>0.091009988901221</x:v>
      </x:c>
      <x:c r="H226" s="9" t="n">
        <x:v>0.040510543840178</x:v>
      </x:c>
      <x:c r="I226" s="9" t="n">
        <x:v>0.03496115427303</x:v>
      </x:c>
      <x:c r="J226" s="9" t="n">
        <x:v>0.002106371774618</x:v>
      </x:c>
      <x:c r="K226" s="9" t="n">
        <x:v>0.307692307692309</x:v>
      </x:c>
      <x:c r="L226" s="2" t="str">
        <x:v>前强后弱</x:v>
      </x:c>
      <x:c r="M226" s="2" t="n">
        <x:v>0</x:v>
      </x:c>
      <x:c r="N226" s="2" t="n">
        <x:v>5</x:v>
      </x:c>
      <x:c r="O226" s="2" t="n">
        <x:v>1</x:v>
      </x:c>
      <x:c r="P226" s="2" t="n">
        <x:v>1</x:v>
      </x:c>
      <x:c r="Q226" s="2" t="n">
        <x:v>1</x:v>
      </x:c>
      <x:c r="R226" s="2" t="n">
        <x:v>1</x:v>
      </x:c>
      <x:c r="S226" s="2" t="str">
        <x:v>09:36</x:v>
      </x:c>
      <x:c r="T226" s="12" t="n">
        <x:v>19.04</x:v>
      </x:c>
      <x:c r="U226" s="2" t="n">
        <x:v>1</x:v>
      </x:c>
      <x:c r="V226" s="2" t="n">
        <x:v>1</x:v>
      </x:c>
      <x:c r="W226" s="2" t="n">
        <x:v>0</x:v>
      </x:c>
      <x:c r="X226" s="2" t="n">
        <x:v>1</x:v>
      </x:c>
    </x:row>
    <x:row r="227">
      <x:c r="A227" s="6" t="d">
        <x:v>2025-08-20T00:00:00.000Z</x:v>
      </x:c>
      <x:c r="B227" s="6" t="d">
        <x:v>2025-08-21T00:00:00.000Z</x:v>
      </x:c>
      <x:c r="C227" s="7" t="str">
        <x:v>603626</x:v>
      </x:c>
      <x:c r="D227" s="2" t="n">
        <x:v>1</x:v>
      </x:c>
      <x:c r="E227" s="11" t="n">
        <x:v>0.7653785363455583</x:v>
      </x:c>
      <x:c r="F227" s="2" t="str">
        <x:v>五分最高涨幅&gt;=6% 且 五分最低涨幅&gt;=-3%</x:v>
      </x:c>
      <x:c r="G227" s="9" t="n">
        <x:v>0.099920697858842</x:v>
      </x:c>
      <x:c r="H227" s="9" t="n">
        <x:v>0.099920697858842</x:v>
      </x:c>
      <x:c r="I227" s="9" t="n">
        <x:v>0</x:v>
      </x:c>
      <x:c r="J227" s="9" t="n">
        <x:v>0</x:v>
      </x:c>
      <x:c r="K227" s="9" t="n">
        <x:v>0.5</x:v>
      </x:c>
      <x:c r="L227" s="2" t="str">
        <x:v>平走</x:v>
      </x:c>
      <x:c r="M227" s="2" t="n">
        <x:v>5</x:v>
      </x:c>
      <x:c r="N227" s="2" t="n">
        <x:v>0</x:v>
      </x:c>
      <x:c r="O227" s="2" t="n">
        <x:v>1</x:v>
      </x:c>
      <x:c r="P227" s="2" t="n">
        <x:v>1</x:v>
      </x:c>
      <x:c r="Q227" s="2" t="n">
        <x:v>1</x:v>
      </x:c>
      <x:c r="R227" s="2" t="n">
        <x:v>0</x:v>
      </x:c>
      <x:c r="S227" s="2"/>
      <x:c r="T227" s="12"/>
      <x:c r="U227" s="2" t="n">
        <x:v>1</x:v>
      </x:c>
      <x:c r="V227" s="2" t="n">
        <x:v>0</x:v>
      </x:c>
      <x:c r="W227" s="2" t="n">
        <x:v>0</x:v>
      </x:c>
      <x:c r="X227" s="2" t="n">
        <x:v>1</x:v>
      </x:c>
    </x:row>
    <x:row r="228">
      <x:c r="A228" s="6" t="d">
        <x:v>2025-08-20T00:00:00.000Z</x:v>
      </x:c>
      <x:c r="B228" s="6" t="d">
        <x:v>2025-08-21T00:00:00.000Z</x:v>
      </x:c>
      <x:c r="C228" s="7" t="str">
        <x:v>603222</x:v>
      </x:c>
      <x:c r="D228" s="2" t="n">
        <x:v>2</x:v>
      </x:c>
      <x:c r="E228" s="11" t="n">
        <x:v>0.7240070184136964</x:v>
      </x:c>
      <x:c r="F228" s="2" t="str">
        <x:v>五分最高涨幅&gt;=6% 且 五分最低涨幅&gt;=-3%</x:v>
      </x:c>
      <x:c r="G228" s="9" t="n">
        <x:v>0.033726812816189</x:v>
      </x:c>
      <x:c r="H228" s="9" t="n">
        <x:v>-0.09106239460371</x:v>
      </x:c>
      <x:c r="I228" s="9" t="n">
        <x:v>0.097807757166948</x:v>
      </x:c>
      <x:c r="J228" s="9" t="n">
        <x:v>-0.07190635451505</x:v>
      </x:c>
      <x:c r="K228" s="9" t="n">
        <x:v>0.216216216216216</x:v>
      </x:c>
      <x:c r="L228" s="2" t="str">
        <x:v>前弱后强</x:v>
      </x:c>
      <x:c r="M228" s="2" t="n">
        <x:v>0</x:v>
      </x:c>
      <x:c r="N228" s="2" t="n">
        <x:v>5</x:v>
      </x:c>
      <x:c r="O228" s="2" t="n">
        <x:v>1</x:v>
      </x:c>
      <x:c r="P228" s="2" t="n">
        <x:v>1</x:v>
      </x:c>
      <x:c r="Q228" s="2" t="n">
        <x:v>0</x:v>
      </x:c>
      <x:c r="R228" s="2" t="n">
        <x:v>1</x:v>
      </x:c>
      <x:c r="S228" s="2" t="str">
        <x:v>09:36</x:v>
      </x:c>
      <x:c r="T228" s="12" t="n">
        <x:v>11.09</x:v>
      </x:c>
      <x:c r="U228" s="2" t="n">
        <x:v>1</x:v>
      </x:c>
      <x:c r="V228" s="2" t="n">
        <x:v>0</x:v>
      </x:c>
      <x:c r="W228" s="2" t="n">
        <x:v>1</x:v>
      </x:c>
      <x:c r="X228" s="2" t="n">
        <x:v>0</x:v>
      </x:c>
    </x:row>
    <x:row r="229">
      <x:c r="A229" s="6" t="d">
        <x:v>2025-08-20T00:00:00.000Z</x:v>
      </x:c>
      <x:c r="B229" s="6" t="d">
        <x:v>2025-08-21T00:00:00.000Z</x:v>
      </x:c>
      <x:c r="C229" s="7" t="str">
        <x:v>603158</x:v>
      </x:c>
      <x:c r="D229" s="2" t="n">
        <x:v>3</x:v>
      </x:c>
      <x:c r="E229" s="11" t="n">
        <x:v>0.720902395906748</x:v>
      </x:c>
      <x:c r="F229" s="2" t="str">
        <x:v>五分最高涨幅&gt;=6% 且 五分最低涨幅&gt;=-3%</x:v>
      </x:c>
      <x:c r="G229" s="9" t="n">
        <x:v>-0.027581329561528</x:v>
      </x:c>
      <x:c r="H229" s="9" t="n">
        <x:v>-0.088401697312588</x:v>
      </x:c>
      <x:c r="I229" s="9" t="n">
        <x:v>0.013437057991513</x:v>
      </x:c>
      <x:c r="J229" s="9" t="n">
        <x:v>0.018018018018018</x:v>
      </x:c>
      <x:c r="K229" s="9" t="n">
        <x:v>0.779069767441861</x:v>
      </x:c>
      <x:c r="L229" s="2" t="str">
        <x:v>两段走强</x:v>
      </x:c>
      <x:c r="M229" s="2" t="n">
        <x:v>0</x:v>
      </x:c>
      <x:c r="N229" s="2" t="n">
        <x:v>5</x:v>
      </x:c>
      <x:c r="O229" s="2" t="n">
        <x:v>1</x:v>
      </x:c>
      <x:c r="P229" s="2" t="n">
        <x:v>1</x:v>
      </x:c>
      <x:c r="Q229" s="2" t="n">
        <x:v>0</x:v>
      </x:c>
      <x:c r="R229" s="2" t="n">
        <x:v>1</x:v>
      </x:c>
      <x:c r="S229" s="2" t="str">
        <x:v>09:36</x:v>
      </x:c>
      <x:c r="T229" s="12" t="n">
        <x:v>13.57</x:v>
      </x:c>
      <x:c r="U229" s="2" t="n">
        <x:v>1</x:v>
      </x:c>
      <x:c r="V229" s="2" t="n">
        <x:v>0</x:v>
      </x:c>
      <x:c r="W229" s="2" t="n">
        <x:v>0</x:v>
      </x:c>
      <x:c r="X229" s="2" t="n">
        <x:v>0</x:v>
      </x:c>
    </x:row>
    <x:row r="230">
      <x:c r="A230" s="6" t="d">
        <x:v>2025-08-21T00:00:00.000Z</x:v>
      </x:c>
      <x:c r="B230" s="6" t="d">
        <x:v>2025-08-22T00:00:00.000Z</x:v>
      </x:c>
      <x:c r="C230" s="7" t="str">
        <x:v>002177</x:v>
      </x:c>
      <x:c r="D230" s="2" t="n">
        <x:v>1</x:v>
      </x:c>
      <x:c r="E230" s="11" t="n">
        <x:v>0.7646418947888375</x:v>
      </x:c>
      <x:c r="F230" s="2" t="str">
        <x:v>五分最高涨幅&gt;=6% 且 五分最低涨幅&gt;=-3%</x:v>
      </x:c>
      <x:c r="G230" s="9" t="n">
        <x:v>0.1001100110011</x:v>
      </x:c>
      <x:c r="H230" s="9" t="n">
        <x:v>0.028602860286029</x:v>
      </x:c>
      <x:c r="I230" s="9" t="n">
        <x:v>0</x:v>
      </x:c>
      <x:c r="J230" s="9" t="n">
        <x:v>0.059322033898305</x:v>
      </x:c>
      <x:c r="K230" s="9" t="n">
        <x:v>1</x:v>
      </x:c>
      <x:c r="L230" s="2" t="str">
        <x:v>两段走强</x:v>
      </x:c>
      <x:c r="M230" s="2" t="n">
        <x:v>3</x:v>
      </x:c>
      <x:c r="N230" s="2" t="n">
        <x:v>3</x:v>
      </x:c>
      <x:c r="O230" s="2" t="n">
        <x:v>1</x:v>
      </x:c>
      <x:c r="P230" s="2" t="n">
        <x:v>1</x:v>
      </x:c>
      <x:c r="Q230" s="2" t="n">
        <x:v>1</x:v>
      </x:c>
      <x:c r="R230" s="2" t="n">
        <x:v>0</x:v>
      </x:c>
      <x:c r="S230" s="2"/>
      <x:c r="T230" s="12"/>
      <x:c r="U230" s="2" t="n">
        <x:v>1</x:v>
      </x:c>
      <x:c r="V230" s="2" t="n">
        <x:v>0</x:v>
      </x:c>
      <x:c r="W230" s="2" t="n">
        <x:v>0</x:v>
      </x:c>
      <x:c r="X230" s="2" t="n">
        <x:v>1</x:v>
      </x:c>
    </x:row>
    <x:row r="231">
      <x:c r="A231" s="6" t="d">
        <x:v>2025-08-21T00:00:00.000Z</x:v>
      </x:c>
      <x:c r="B231" s="6" t="d">
        <x:v>2025-08-22T00:00:00.000Z</x:v>
      </x:c>
      <x:c r="C231" s="7" t="str">
        <x:v>605303</x:v>
      </x:c>
      <x:c r="D231" s="2" t="n">
        <x:v>2</x:v>
      </x:c>
      <x:c r="E231" s="11" t="n">
        <x:v>0.7416097699793897</x:v>
      </x:c>
      <x:c r="F231" s="2" t="str">
        <x:v>五分最高涨幅&gt;=6% 且 五分最低涨幅&gt;=-3%</x:v>
      </x:c>
      <x:c r="G231" s="9" t="n">
        <x:v>0.099890230515917</x:v>
      </x:c>
      <x:c r="H231" s="9" t="n">
        <x:v>0.099890230515917</x:v>
      </x:c>
      <x:c r="I231" s="9" t="n">
        <x:v>0</x:v>
      </x:c>
      <x:c r="J231" s="9" t="n">
        <x:v>0</x:v>
      </x:c>
      <x:c r="K231" s="9" t="n">
        <x:v>0.5</x:v>
      </x:c>
      <x:c r="L231" s="2" t="str">
        <x:v>平走</x:v>
      </x:c>
      <x:c r="M231" s="2" t="n">
        <x:v>5</x:v>
      </x:c>
      <x:c r="N231" s="2" t="n">
        <x:v>0</x:v>
      </x:c>
      <x:c r="O231" s="2" t="n">
        <x:v>1</x:v>
      </x:c>
      <x:c r="P231" s="2" t="n">
        <x:v>1</x:v>
      </x:c>
      <x:c r="Q231" s="2" t="n">
        <x:v>1</x:v>
      </x:c>
      <x:c r="R231" s="2" t="n">
        <x:v>0</x:v>
      </x:c>
      <x:c r="S231" s="2"/>
      <x:c r="T231" s="12"/>
      <x:c r="U231" s="2" t="n">
        <x:v>1</x:v>
      </x:c>
      <x:c r="V231" s="2" t="n">
        <x:v>0</x:v>
      </x:c>
      <x:c r="W231" s="2" t="n">
        <x:v>0</x:v>
      </x:c>
      <x:c r="X231" s="2" t="n">
        <x:v>1</x:v>
      </x:c>
    </x:row>
    <x:row r="232">
      <x:c r="A232" s="6" t="d">
        <x:v>2025-08-21T00:00:00.000Z</x:v>
      </x:c>
      <x:c r="B232" s="6" t="d">
        <x:v>2025-08-22T00:00:00.000Z</x:v>
      </x:c>
      <x:c r="C232" s="7" t="str">
        <x:v>601929</x:v>
      </x:c>
      <x:c r="D232" s="2" t="n">
        <x:v>3</x:v>
      </x:c>
      <x:c r="E232" s="11" t="n">
        <x:v>0.7357752343254638</x:v>
      </x:c>
      <x:c r="F232" s="2" t="str">
        <x:v>五分最高涨幅&gt;=6% 且 五分最低涨幅&gt;=-3%</x:v>
      </x:c>
      <x:c r="G232" s="9" t="n">
        <x:v>0</x:v>
      </x:c>
      <x:c r="H232" s="9" t="n">
        <x:v>-0.070707070707071</x:v>
      </x:c>
      <x:c r="I232" s="9" t="n">
        <x:v>0.04040404040404</x:v>
      </x:c>
      <x:c r="J232" s="9" t="n">
        <x:v>-0.04040404040404</x:v>
      </x:c>
      <x:c r="K232" s="9" t="n">
        <x:v>0.428571428571428</x:v>
      </x:c>
      <x:c r="L232" s="2" t="str">
        <x:v>前弱后强</x:v>
      </x:c>
      <x:c r="M232" s="2" t="n">
        <x:v>0</x:v>
      </x:c>
      <x:c r="N232" s="2" t="n">
        <x:v>5</x:v>
      </x:c>
      <x:c r="O232" s="2" t="n">
        <x:v>1</x:v>
      </x:c>
      <x:c r="P232" s="2" t="n">
        <x:v>1</x:v>
      </x:c>
      <x:c r="Q232" s="2" t="n">
        <x:v>0</x:v>
      </x:c>
      <x:c r="R232" s="2" t="n">
        <x:v>1</x:v>
      </x:c>
      <x:c r="S232" s="2" t="str">
        <x:v>09:36</x:v>
      </x:c>
      <x:c r="T232" s="12" t="n">
        <x:v>3.8</x:v>
      </x:c>
      <x:c r="U232" s="2" t="n">
        <x:v>1</x:v>
      </x:c>
      <x:c r="V232" s="2" t="n">
        <x:v>0</x:v>
      </x:c>
      <x:c r="W232" s="2" t="n">
        <x:v>1</x:v>
      </x:c>
      <x:c r="X232" s="2" t="n">
        <x:v>0</x:v>
      </x:c>
    </x:row>
    <x:row r="233">
      <x:c r="A233" s="6" t="d">
        <x:v>2025-08-22T00:00:00.000Z</x:v>
      </x:c>
      <x:c r="B233" s="6" t="d">
        <x:v>2025-08-25T00:00:00.000Z</x:v>
      </x:c>
      <x:c r="C233" s="7" t="str">
        <x:v>605303</x:v>
      </x:c>
      <x:c r="D233" s="2" t="n">
        <x:v>1</x:v>
      </x:c>
      <x:c r="E233" s="11" t="n">
        <x:v>0.7918030667065159</x:v>
      </x:c>
      <x:c r="F233" s="2" t="str">
        <x:v>五分最高涨幅&gt;=6% 且 五分最低涨幅&gt;=-3%</x:v>
      </x:c>
      <x:c r="G233" s="9" t="n">
        <x:v>0.099800399201597</x:v>
      </x:c>
      <x:c r="H233" s="9" t="n">
        <x:v>0.099800399201597</x:v>
      </x:c>
      <x:c r="I233" s="9" t="n">
        <x:v>0</x:v>
      </x:c>
      <x:c r="J233" s="9" t="n">
        <x:v>0</x:v>
      </x:c>
      <x:c r="K233" s="9" t="n">
        <x:v>0.5</x:v>
      </x:c>
      <x:c r="L233" s="2" t="str">
        <x:v>平走</x:v>
      </x:c>
      <x:c r="M233" s="2" t="n">
        <x:v>5</x:v>
      </x:c>
      <x:c r="N233" s="2" t="n">
        <x:v>0</x:v>
      </x:c>
      <x:c r="O233" s="2" t="n">
        <x:v>1</x:v>
      </x:c>
      <x:c r="P233" s="2" t="n">
        <x:v>1</x:v>
      </x:c>
      <x:c r="Q233" s="2" t="n">
        <x:v>1</x:v>
      </x:c>
      <x:c r="R233" s="2" t="n">
        <x:v>0</x:v>
      </x:c>
      <x:c r="S233" s="2"/>
      <x:c r="T233" s="12"/>
      <x:c r="U233" s="2" t="n">
        <x:v>1</x:v>
      </x:c>
      <x:c r="V233" s="2" t="n">
        <x:v>0</x:v>
      </x:c>
      <x:c r="W233" s="2" t="n">
        <x:v>0</x:v>
      </x:c>
      <x:c r="X233" s="2" t="n">
        <x:v>1</x:v>
      </x:c>
    </x:row>
    <x:row r="234">
      <x:c r="A234" s="6" t="d">
        <x:v>2025-08-22T00:00:00.000Z</x:v>
      </x:c>
      <x:c r="B234" s="6" t="d">
        <x:v>2025-08-25T00:00:00.000Z</x:v>
      </x:c>
      <x:c r="C234" s="7" t="str">
        <x:v>603101</x:v>
      </x:c>
      <x:c r="D234" s="2" t="n">
        <x:v>2</x:v>
      </x:c>
      <x:c r="E234" s="11" t="n">
        <x:v>0.7697995083252153</x:v>
      </x:c>
      <x:c r="F234" s="2" t="str">
        <x:v>五分最高涨幅&gt;=6% 且 五分最低涨幅&gt;=-3%</x:v>
      </x:c>
      <x:c r="G234" s="9" t="n">
        <x:v>0.014847161572052</x:v>
      </x:c>
      <x:c r="H234" s="9" t="n">
        <x:v>-0.099563318777293</x:v>
      </x:c>
      <x:c r="I234" s="9" t="n">
        <x:v>0.098689956331878</x:v>
      </x:c>
      <x:c r="J234" s="9" t="n">
        <x:v>-0.097246127366609</x:v>
      </x:c>
      <x:c r="K234" s="9" t="n">
        <x:v>0.137404580152672</x:v>
      </x:c>
      <x:c r="L234" s="2" t="str">
        <x:v>两段走弱</x:v>
      </x:c>
      <x:c r="M234" s="2" t="n">
        <x:v>0</x:v>
      </x:c>
      <x:c r="N234" s="2" t="n">
        <x:v>5</x:v>
      </x:c>
      <x:c r="O234" s="2" t="n">
        <x:v>1</x:v>
      </x:c>
      <x:c r="P234" s="2" t="n">
        <x:v>1</x:v>
      </x:c>
      <x:c r="Q234" s="2" t="n">
        <x:v>0</x:v>
      </x:c>
      <x:c r="R234" s="2" t="n">
        <x:v>1</x:v>
      </x:c>
      <x:c r="S234" s="2" t="str">
        <x:v>09:36</x:v>
      </x:c>
      <x:c r="T234" s="12" t="n">
        <x:v>10.53</x:v>
      </x:c>
      <x:c r="U234" s="2" t="n">
        <x:v>0</x:v>
      </x:c>
      <x:c r="V234" s="2" t="n">
        <x:v>0</x:v>
      </x:c>
      <x:c r="W234" s="2" t="n">
        <x:v>0</x:v>
      </x:c>
      <x:c r="X234" s="2" t="n">
        <x:v>0</x:v>
      </x:c>
    </x:row>
    <x:row r="235">
      <x:c r="A235" s="6" t="d">
        <x:v>2025-08-22T00:00:00.000Z</x:v>
      </x:c>
      <x:c r="B235" s="6" t="d">
        <x:v>2025-08-25T00:00:00.000Z</x:v>
      </x:c>
      <x:c r="C235" s="7" t="str">
        <x:v>605028</x:v>
      </x:c>
      <x:c r="D235" s="2" t="n">
        <x:v>3</x:v>
      </x:c>
      <x:c r="E235" s="11" t="n">
        <x:v>0.7271477220937841</x:v>
      </x:c>
      <x:c r="F235" s="2" t="str">
        <x:v>五分最高涨幅&gt;=6% 且 五分最低涨幅&gt;=-3%</x:v>
      </x:c>
      <x:c r="G235" s="9" t="n">
        <x:v>0.100169204737732</x:v>
      </x:c>
      <x:c r="H235" s="9" t="n">
        <x:v>-0.099492385786802</x:v>
      </x:c>
      <x:c r="I235" s="9" t="n">
        <x:v>0.183079526226734</x:v>
      </x:c>
      <x:c r="J235" s="9" t="n">
        <x:v>-0.166410335281452</x:v>
      </x:c>
      <x:c r="K235" s="9" t="n">
        <x:v>0.083050847457627</x:v>
      </x:c>
      <x:c r="L235" s="2" t="str">
        <x:v>两段走弱</x:v>
      </x:c>
      <x:c r="M235" s="2" t="n">
        <x:v>2</x:v>
      </x:c>
      <x:c r="N235" s="2" t="n">
        <x:v>4</x:v>
      </x:c>
      <x:c r="O235" s="2" t="n">
        <x:v>1</x:v>
      </x:c>
      <x:c r="P235" s="2" t="n">
        <x:v>1</x:v>
      </x:c>
      <x:c r="Q235" s="2" t="n">
        <x:v>0</x:v>
      </x:c>
      <x:c r="R235" s="2" t="n">
        <x:v>1</x:v>
      </x:c>
      <x:c r="S235" s="2" t="str">
        <x:v>09:36</x:v>
      </x:c>
      <x:c r="T235" s="12" t="n">
        <x:v>27.44</x:v>
      </x:c>
      <x:c r="U235" s="2" t="n">
        <x:v>0</x:v>
      </x:c>
      <x:c r="V235" s="2" t="n">
        <x:v>0</x:v>
      </x:c>
      <x:c r="W235" s="2" t="n">
        <x:v>0</x:v>
      </x:c>
      <x:c r="X235" s="2" t="n">
        <x:v>0</x:v>
      </x:c>
    </x:row>
    <x:row r="236">
      <x:c r="A236" s="6" t="d">
        <x:v>2025-08-25T00:00:00.000Z</x:v>
      </x:c>
      <x:c r="B236" s="6" t="d">
        <x:v>2025-08-26T00:00:00.000Z</x:v>
      </x:c>
      <x:c r="C236" s="7" t="str">
        <x:v>605303</x:v>
      </x:c>
      <x:c r="D236" s="2" t="n">
        <x:v>1</x:v>
      </x:c>
      <x:c r="E236" s="11" t="n">
        <x:v>0.7945745723254184</x:v>
      </x:c>
      <x:c r="F236" s="2" t="str">
        <x:v>五分最高涨幅&gt;=6% 且 五分最低涨幅&gt;=-3%</x:v>
      </x:c>
      <x:c r="G236" s="9" t="n">
        <x:v>0.070780399274047</x:v>
      </x:c>
      <x:c r="H236" s="9" t="n">
        <x:v>-0.092558983666062</x:v>
      </x:c>
      <x:c r="I236" s="9" t="n">
        <x:v>0.151088929219601</x:v>
      </x:c>
      <x:c r="J236" s="9" t="n">
        <x:v>-0.086936936936937</x:v>
      </x:c>
      <x:c r="K236" s="9" t="n">
        <x:v>0.075</x:v>
      </x:c>
      <x:c r="L236" s="2" t="str">
        <x:v>两段走弱</x:v>
      </x:c>
      <x:c r="M236" s="2" t="n">
        <x:v>0</x:v>
      </x:c>
      <x:c r="N236" s="2" t="n">
        <x:v>5</x:v>
      </x:c>
      <x:c r="O236" s="2" t="n">
        <x:v>1</x:v>
      </x:c>
      <x:c r="P236" s="2" t="n">
        <x:v>1</x:v>
      </x:c>
      <x:c r="Q236" s="2" t="n">
        <x:v>0</x:v>
      </x:c>
      <x:c r="R236" s="2" t="n">
        <x:v>1</x:v>
      </x:c>
      <x:c r="S236" s="2" t="str">
        <x:v>09:36</x:v>
      </x:c>
      <x:c r="T236" s="12" t="n">
        <x:v>20.2</x:v>
      </x:c>
      <x:c r="U236" s="2" t="n">
        <x:v>0</x:v>
      </x:c>
      <x:c r="V236" s="2" t="n">
        <x:v>0</x:v>
      </x:c>
      <x:c r="W236" s="2" t="n">
        <x:v>0</x:v>
      </x:c>
      <x:c r="X236" s="2" t="n">
        <x:v>1</x:v>
      </x:c>
    </x:row>
    <x:row r="237">
      <x:c r="A237" s="6" t="d">
        <x:v>2025-08-25T00:00:00.000Z</x:v>
      </x:c>
      <x:c r="B237" s="6" t="d">
        <x:v>2025-08-26T00:00:00.000Z</x:v>
      </x:c>
      <x:c r="C237" s="7" t="str">
        <x:v>600246</x:v>
      </x:c>
      <x:c r="D237" s="2" t="n">
        <x:v>2</x:v>
      </x:c>
      <x:c r="E237" s="11" t="n">
        <x:v>0.7300497430660671</x:v>
      </x:c>
      <x:c r="F237" s="2" t="str">
        <x:v>五分最高涨幅&gt;=6% 且 五分最低涨幅&gt;=-3%</x:v>
      </x:c>
      <x:c r="G237" s="9" t="n">
        <x:v>0.064212999216915</x:v>
      </x:c>
      <x:c r="H237" s="9" t="n">
        <x:v>-0.074393108848865</x:v>
      </x:c>
      <x:c r="I237" s="9" t="n">
        <x:v>0.098668754894283</x:v>
      </x:c>
      <x:c r="J237" s="9" t="n">
        <x:v>-0.072234762979684</x:v>
      </x:c>
      <x:c r="K237" s="9" t="n">
        <x:v>0.288135593220339</x:v>
      </x:c>
      <x:c r="L237" s="2" t="str">
        <x:v>前弱后强</x:v>
      </x:c>
      <x:c r="M237" s="2" t="n">
        <x:v>0</x:v>
      </x:c>
      <x:c r="N237" s="2" t="n">
        <x:v>5</x:v>
      </x:c>
      <x:c r="O237" s="2" t="n">
        <x:v>1</x:v>
      </x:c>
      <x:c r="P237" s="2" t="n">
        <x:v>1</x:v>
      </x:c>
      <x:c r="Q237" s="2" t="n">
        <x:v>0</x:v>
      </x:c>
      <x:c r="R237" s="2" t="n">
        <x:v>1</x:v>
      </x:c>
      <x:c r="S237" s="2" t="str">
        <x:v>09:36</x:v>
      </x:c>
      <x:c r="T237" s="12" t="n">
        <x:v>12.3</x:v>
      </x:c>
      <x:c r="U237" s="2" t="n">
        <x:v>1</x:v>
      </x:c>
      <x:c r="V237" s="2" t="n">
        <x:v>0</x:v>
      </x:c>
      <x:c r="W237" s="2" t="n">
        <x:v>0</x:v>
      </x:c>
      <x:c r="X237" s="2" t="n">
        <x:v>1</x:v>
      </x:c>
    </x:row>
    <x:row r="238">
      <x:c r="A238" s="6" t="d">
        <x:v>2025-08-25T00:00:00.000Z</x:v>
      </x:c>
      <x:c r="B238" s="6" t="d">
        <x:v>2025-08-26T00:00:00.000Z</x:v>
      </x:c>
      <x:c r="C238" s="7" t="str">
        <x:v>002217</x:v>
      </x:c>
      <x:c r="D238" s="2" t="n">
        <x:v>3</x:v>
      </x:c>
      <x:c r="E238" s="11" t="n">
        <x:v>0.6946211538626658</x:v>
      </x:c>
      <x:c r="F238" s="2" t="str">
        <x:v>五分最高涨幅&gt;=6% 且 五分最低涨幅&gt;=-3%</x:v>
      </x:c>
      <x:c r="G238" s="9" t="n">
        <x:v>0.100591715976331</x:v>
      </x:c>
      <x:c r="H238" s="9" t="n">
        <x:v>0.044378698224852</x:v>
      </x:c>
      <x:c r="I238" s="9" t="n">
        <x:v>0.002958579881657</x:v>
      </x:c>
      <x:c r="J238" s="9" t="n">
        <x:v>0.022038567493113</x:v>
      </x:c>
      <x:c r="K238" s="9" t="n">
        <x:v>0.94736842105263</x:v>
      </x:c>
      <x:c r="L238" s="2" t="str">
        <x:v>前强后弱</x:v>
      </x:c>
      <x:c r="M238" s="2" t="n">
        <x:v>4</x:v>
      </x:c>
      <x:c r="N238" s="2" t="n">
        <x:v>4</x:v>
      </x:c>
      <x:c r="O238" s="2" t="n">
        <x:v>1</x:v>
      </x:c>
      <x:c r="P238" s="2" t="n">
        <x:v>1</x:v>
      </x:c>
      <x:c r="Q238" s="2" t="n">
        <x:v>1</x:v>
      </x:c>
      <x:c r="R238" s="2" t="n">
        <x:v>1</x:v>
      </x:c>
      <x:c r="S238" s="2" t="str">
        <x:v>09:36</x:v>
      </x:c>
      <x:c r="T238" s="12" t="n">
        <x:v>3.71</x:v>
      </x:c>
      <x:c r="U238" s="2" t="n">
        <x:v>1</x:v>
      </x:c>
      <x:c r="V238" s="2" t="n">
        <x:v>1</x:v>
      </x:c>
      <x:c r="W238" s="2" t="n">
        <x:v>0</x:v>
      </x:c>
      <x:c r="X238" s="2" t="n">
        <x:v>1</x:v>
      </x:c>
    </x:row>
    <x:row r="239">
      <x:c r="A239" s="6" t="d">
        <x:v>2025-08-26T00:00:00.000Z</x:v>
      </x:c>
      <x:c r="B239" s="6" t="d">
        <x:v>2025-08-27T00:00:00.000Z</x:v>
      </x:c>
      <x:c r="C239" s="7" t="str">
        <x:v>002217</x:v>
      </x:c>
      <x:c r="D239" s="2" t="n">
        <x:v>1</x:v>
      </x:c>
      <x:c r="E239" s="11" t="n">
        <x:v>0.766070378575499</x:v>
      </x:c>
      <x:c r="F239" s="2" t="str">
        <x:v>五分最高涨幅&gt;=6% 且 五分最低涨幅&gt;=-3%</x:v>
      </x:c>
      <x:c r="G239" s="9" t="n">
        <x:v>0.07258064516129</x:v>
      </x:c>
      <x:c r="H239" s="9" t="n">
        <x:v>-0.005376344086022</x:v>
      </x:c>
      <x:c r="I239" s="9" t="n">
        <x:v>0.024193548387097</x:v>
      </x:c>
      <x:c r="J239" s="9" t="n">
        <x:v>-0.002557544757033</x:v>
      </x:c>
      <x:c r="K239" s="9" t="n">
        <x:v>0.689655172413792</x:v>
      </x:c>
      <x:c r="L239" s="2" t="str">
        <x:v>前弱后强</x:v>
      </x:c>
      <x:c r="M239" s="2" t="n">
        <x:v>0</x:v>
      </x:c>
      <x:c r="N239" s="2" t="n">
        <x:v>5</x:v>
      </x:c>
      <x:c r="O239" s="2" t="n">
        <x:v>1</x:v>
      </x:c>
      <x:c r="P239" s="2" t="n">
        <x:v>1</x:v>
      </x:c>
      <x:c r="Q239" s="2" t="n">
        <x:v>1</x:v>
      </x:c>
      <x:c r="R239" s="2" t="n">
        <x:v>1</x:v>
      </x:c>
      <x:c r="S239" s="2" t="str">
        <x:v>09:36</x:v>
      </x:c>
      <x:c r="T239" s="12" t="n">
        <x:v>3.9</x:v>
      </x:c>
      <x:c r="U239" s="2" t="n">
        <x:v>1</x:v>
      </x:c>
      <x:c r="V239" s="2" t="n">
        <x:v>1</x:v>
      </x:c>
      <x:c r="W239" s="2" t="n">
        <x:v>1</x:v>
      </x:c>
      <x:c r="X239" s="2" t="n">
        <x:v>0</x:v>
      </x:c>
    </x:row>
    <x:row r="240">
      <x:c r="A240" s="6" t="d">
        <x:v>2025-08-26T00:00:00.000Z</x:v>
      </x:c>
      <x:c r="B240" s="6" t="d">
        <x:v>2025-08-27T00:00:00.000Z</x:v>
      </x:c>
      <x:c r="C240" s="7" t="str">
        <x:v>605255</x:v>
      </x:c>
      <x:c r="D240" s="2" t="n">
        <x:v>2</x:v>
      </x:c>
      <x:c r="E240" s="11" t="n">
        <x:v>0.6880421334263869</x:v>
      </x:c>
      <x:c r="F240" s="2" t="str">
        <x:v>五分最高涨幅&gt;=6% 且 五分最低涨幅&gt;=-3%</x:v>
      </x:c>
      <x:c r="G240" s="9" t="n">
        <x:v>0.100141043723554</x:v>
      </x:c>
      <x:c r="H240" s="9" t="n">
        <x:v>0.100141043723554</x:v>
      </x:c>
      <x:c r="I240" s="9" t="n">
        <x:v>0</x:v>
      </x:c>
      <x:c r="J240" s="9" t="n">
        <x:v>0</x:v>
      </x:c>
      <x:c r="K240" s="9" t="n">
        <x:v>0.5</x:v>
      </x:c>
      <x:c r="L240" s="2" t="str">
        <x:v>平走</x:v>
      </x:c>
      <x:c r="M240" s="2" t="n">
        <x:v>5</x:v>
      </x:c>
      <x:c r="N240" s="2" t="n">
        <x:v>0</x:v>
      </x:c>
      <x:c r="O240" s="2" t="n">
        <x:v>1</x:v>
      </x:c>
      <x:c r="P240" s="2" t="n">
        <x:v>1</x:v>
      </x:c>
      <x:c r="Q240" s="2" t="n">
        <x:v>1</x:v>
      </x:c>
      <x:c r="R240" s="2" t="n">
        <x:v>0</x:v>
      </x:c>
      <x:c r="S240" s="2"/>
      <x:c r="T240" s="12"/>
      <x:c r="U240" s="2" t="n">
        <x:v>1</x:v>
      </x:c>
      <x:c r="V240" s="2" t="n">
        <x:v>0</x:v>
      </x:c>
      <x:c r="W240" s="2" t="n">
        <x:v>0</x:v>
      </x:c>
      <x:c r="X240" s="2" t="n">
        <x:v>1</x:v>
      </x:c>
    </x:row>
    <x:row r="241">
      <x:c r="A241" s="6" t="d">
        <x:v>2025-08-26T00:00:00.000Z</x:v>
      </x:c>
      <x:c r="B241" s="6" t="d">
        <x:v>2025-08-27T00:00:00.000Z</x:v>
      </x:c>
      <x:c r="C241" s="7" t="str">
        <x:v>605303</x:v>
      </x:c>
      <x:c r="D241" s="2" t="n">
        <x:v>3</x:v>
      </x:c>
      <x:c r="E241" s="11" t="n">
        <x:v>0.6868756461068044</x:v>
      </x:c>
      <x:c r="F241" s="2" t="str">
        <x:v>五分最高涨幅&gt;=6% 且 五分最低涨幅&gt;=-3%</x:v>
      </x:c>
      <x:c r="G241" s="9" t="n">
        <x:v>0.066419141914192</x:v>
      </x:c>
      <x:c r="H241" s="9" t="n">
        <x:v>-0.067656765676568</x:v>
      </x:c>
      <x:c r="I241" s="9" t="n">
        <x:v>0.109323432343234</x:v>
      </x:c>
      <x:c r="J241" s="9" t="n">
        <x:v>-0.071257005604484</x:v>
      </x:c>
      <x:c r="K241" s="9" t="n">
        <x:v>0.184615384615384</x:v>
      </x:c>
      <x:c r="L241" s="2" t="str">
        <x:v>两段走弱</x:v>
      </x:c>
      <x:c r="M241" s="2" t="n">
        <x:v>0</x:v>
      </x:c>
      <x:c r="N241" s="2" t="n">
        <x:v>5</x:v>
      </x:c>
      <x:c r="O241" s="2" t="n">
        <x:v>1</x:v>
      </x:c>
      <x:c r="P241" s="2" t="n">
        <x:v>1</x:v>
      </x:c>
      <x:c r="Q241" s="2" t="n">
        <x:v>0</x:v>
      </x:c>
      <x:c r="R241" s="2" t="n">
        <x:v>1</x:v>
      </x:c>
      <x:c r="S241" s="2" t="str">
        <x:v>09:36</x:v>
      </x:c>
      <x:c r="T241" s="12" t="n">
        <x:v>23.24</x:v>
      </x:c>
      <x:c r="U241" s="2" t="n">
        <x:v>1</x:v>
      </x:c>
      <x:c r="V241" s="2" t="n">
        <x:v>0</x:v>
      </x:c>
      <x:c r="W241" s="2" t="n">
        <x:v>0</x:v>
      </x:c>
      <x:c r="X241" s="2" t="n">
        <x:v>0</x:v>
      </x:c>
    </x:row>
    <x:row r="242">
      <x:c r="A242" s="6" t="d">
        <x:v>2025-08-27T00:00:00.000Z</x:v>
      </x:c>
      <x:c r="B242" s="6" t="d">
        <x:v>2025-08-28T00:00:00.000Z</x:v>
      </x:c>
      <x:c r="C242" s="7" t="str">
        <x:v>603083</x:v>
      </x:c>
      <x:c r="D242" s="2" t="n">
        <x:v>1</x:v>
      </x:c>
      <x:c r="E242" s="11" t="n">
        <x:v>0.7317561612872377</x:v>
      </x:c>
      <x:c r="F242" s="2" t="str">
        <x:v>五分最高涨幅&gt;=6% 且 五分最低涨幅&gt;=-3%</x:v>
      </x:c>
      <x:c r="G242" s="9" t="n">
        <x:v>0.077899988660846</x:v>
      </x:c>
      <x:c r="H242" s="9" t="n">
        <x:v>-0.070302755414446</x:v>
      </x:c>
      <x:c r="I242" s="9" t="n">
        <x:v>0.036398684658125</x:v>
      </x:c>
      <x:c r="J242" s="9" t="n">
        <x:v>-0.033056111169597</x:v>
      </x:c>
      <x:c r="K242" s="9" t="n">
        <x:v>0.754399387911247</x:v>
      </x:c>
      <x:c r="L242" s="2" t="str">
        <x:v>前弱后强</x:v>
      </x:c>
      <x:c r="M242" s="2" t="n">
        <x:v>0</x:v>
      </x:c>
      <x:c r="N242" s="2" t="n">
        <x:v>5</x:v>
      </x:c>
      <x:c r="O242" s="2" t="n">
        <x:v>1</x:v>
      </x:c>
      <x:c r="P242" s="2" t="n">
        <x:v>1</x:v>
      </x:c>
      <x:c r="Q242" s="2" t="n">
        <x:v>0</x:v>
      </x:c>
      <x:c r="R242" s="2" t="n">
        <x:v>1</x:v>
      </x:c>
      <x:c r="S242" s="2" t="str">
        <x:v>09:36</x:v>
      </x:c>
      <x:c r="T242" s="12" t="n">
        <x:v>91.9</x:v>
      </x:c>
      <x:c r="U242" s="2" t="n">
        <x:v>1</x:v>
      </x:c>
      <x:c r="V242" s="2" t="n">
        <x:v>0</x:v>
      </x:c>
      <x:c r="W242" s="2" t="n">
        <x:v>1</x:v>
      </x:c>
      <x:c r="X242" s="2" t="n">
        <x:v>0</x:v>
      </x:c>
    </x:row>
    <x:row r="243">
      <x:c r="A243" s="6" t="d">
        <x:v>2025-08-27T00:00:00.000Z</x:v>
      </x:c>
      <x:c r="B243" s="6" t="d">
        <x:v>2025-08-28T00:00:00.000Z</x:v>
      </x:c>
      <x:c r="C243" s="7" t="str">
        <x:v>605255</x:v>
      </x:c>
      <x:c r="D243" s="2" t="n">
        <x:v>2</x:v>
      </x:c>
      <x:c r="E243" s="11" t="n">
        <x:v>0.7314420284292052</x:v>
      </x:c>
      <x:c r="F243" s="2" t="str">
        <x:v>五分最高涨幅&gt;=6% 且 五分最低涨幅&gt;=-3%</x:v>
      </x:c>
      <x:c r="G243" s="9" t="n">
        <x:v>0.1</x:v>
      </x:c>
      <x:c r="H243" s="9" t="n">
        <x:v>0.1</x:v>
      </x:c>
      <x:c r="I243" s="9" t="n">
        <x:v>0</x:v>
      </x:c>
      <x:c r="J243" s="9" t="n">
        <x:v>0</x:v>
      </x:c>
      <x:c r="K243" s="9" t="n">
        <x:v>0.5</x:v>
      </x:c>
      <x:c r="L243" s="2" t="str">
        <x:v>平走</x:v>
      </x:c>
      <x:c r="M243" s="2" t="n">
        <x:v>5</x:v>
      </x:c>
      <x:c r="N243" s="2" t="n">
        <x:v>0</x:v>
      </x:c>
      <x:c r="O243" s="2" t="n">
        <x:v>1</x:v>
      </x:c>
      <x:c r="P243" s="2" t="n">
        <x:v>1</x:v>
      </x:c>
      <x:c r="Q243" s="2" t="n">
        <x:v>1</x:v>
      </x:c>
      <x:c r="R243" s="2" t="n">
        <x:v>0</x:v>
      </x:c>
      <x:c r="S243" s="2"/>
      <x:c r="T243" s="12"/>
      <x:c r="U243" s="2" t="n">
        <x:v>1</x:v>
      </x:c>
      <x:c r="V243" s="2" t="n">
        <x:v>0</x:v>
      </x:c>
      <x:c r="W243" s="2" t="n">
        <x:v>0</x:v>
      </x:c>
      <x:c r="X243" s="2" t="n">
        <x:v>1</x:v>
      </x:c>
    </x:row>
    <x:row r="244">
      <x:c r="A244" s="6" t="d">
        <x:v>2025-08-27T00:00:00.000Z</x:v>
      </x:c>
      <x:c r="B244" s="6" t="d">
        <x:v>2025-08-28T00:00:00.000Z</x:v>
      </x:c>
      <x:c r="C244" s="7" t="str">
        <x:v>002212</x:v>
      </x:c>
      <x:c r="D244" s="2" t="n">
        <x:v>3</x:v>
      </x:c>
      <x:c r="E244" s="11" t="n">
        <x:v>0.727234292942945</x:v>
      </x:c>
      <x:c r="F244" s="2" t="str">
        <x:v>五分最高涨幅&gt;=6% 且 五分最低涨幅&gt;=-3%</x:v>
      </x:c>
      <x:c r="G244" s="9" t="n">
        <x:v>0.029886914378029</x:v>
      </x:c>
      <x:c r="H244" s="9" t="n">
        <x:v>-0.026655896607431</x:v>
      </x:c>
      <x:c r="I244" s="9" t="n">
        <x:v>0.031502423263328</x:v>
      </x:c>
      <x:c r="J244" s="9" t="n">
        <x:v>-0.024467245461721</x:v>
      </x:c>
      <x:c r="K244" s="9" t="n">
        <x:v>0.442857142857142</x:v>
      </x:c>
      <x:c r="L244" s="2" t="str">
        <x:v>前弱后强</x:v>
      </x:c>
      <x:c r="M244" s="2" t="n">
        <x:v>0</x:v>
      </x:c>
      <x:c r="N244" s="2" t="n">
        <x:v>5</x:v>
      </x:c>
      <x:c r="O244" s="2" t="n">
        <x:v>1</x:v>
      </x:c>
      <x:c r="P244" s="2" t="n">
        <x:v>1</x:v>
      </x:c>
      <x:c r="Q244" s="2" t="n">
        <x:v>0</x:v>
      </x:c>
      <x:c r="R244" s="2" t="n">
        <x:v>1</x:v>
      </x:c>
      <x:c r="S244" s="2" t="str">
        <x:v>09:36</x:v>
      </x:c>
      <x:c r="T244" s="12" t="n">
        <x:v>12.34</x:v>
      </x:c>
      <x:c r="U244" s="2" t="n">
        <x:v>1</x:v>
      </x:c>
      <x:c r="V244" s="2" t="n">
        <x:v>0</x:v>
      </x:c>
      <x:c r="W244" s="2" t="n">
        <x:v>0</x:v>
      </x:c>
      <x:c r="X244" s="2" t="n">
        <x:v>0</x:v>
      </x:c>
    </x:row>
    <x:row r="245">
      <x:c r="A245" s="6" t="d">
        <x:v>2025-08-28T00:00:00.000Z</x:v>
      </x:c>
      <x:c r="B245" s="6" t="d">
        <x:v>2025-08-29T00:00:00.000Z</x:v>
      </x:c>
      <x:c r="C245" s="7" t="str">
        <x:v>605188</x:v>
      </x:c>
      <x:c r="D245" s="2" t="n">
        <x:v>1</x:v>
      </x:c>
      <x:c r="E245" s="11" t="n">
        <x:v>0.7412736143819656</x:v>
      </x:c>
      <x:c r="F245" s="2" t="str">
        <x:v>五分最高涨幅&gt;=6% 且 五分最低涨幅&gt;=-3%</x:v>
      </x:c>
      <x:c r="G245" s="9" t="n">
        <x:v>0.100054083288264</x:v>
      </x:c>
      <x:c r="H245" s="9" t="n">
        <x:v>0.017306652244456</x:v>
      </x:c>
      <x:c r="I245" s="9" t="n">
        <x:v>0.045429962141698</x:v>
      </x:c>
      <x:c r="J245" s="9" t="n">
        <x:v>0.036682615629984</x:v>
      </x:c>
      <x:c r="K245" s="9" t="n">
        <x:v>0.450980392156863</x:v>
      </x:c>
      <x:c r="L245" s="2" t="str">
        <x:v>前强后弱</x:v>
      </x:c>
      <x:c r="M245" s="2" t="n">
        <x:v>3</x:v>
      </x:c>
      <x:c r="N245" s="2" t="n">
        <x:v>5</x:v>
      </x:c>
      <x:c r="O245" s="2" t="n">
        <x:v>1</x:v>
      </x:c>
      <x:c r="P245" s="2" t="n">
        <x:v>1</x:v>
      </x:c>
      <x:c r="Q245" s="2" t="n">
        <x:v>1</x:v>
      </x:c>
      <x:c r="R245" s="2" t="n">
        <x:v>1</x:v>
      </x:c>
      <x:c r="S245" s="2" t="str">
        <x:v>09:36</x:v>
      </x:c>
      <x:c r="T245" s="12" t="n">
        <x:v>19.55</x:v>
      </x:c>
      <x:c r="U245" s="2" t="n">
        <x:v>1</x:v>
      </x:c>
      <x:c r="V245" s="2" t="n">
        <x:v>1</x:v>
      </x:c>
      <x:c r="W245" s="2" t="n">
        <x:v>1</x:v>
      </x:c>
      <x:c r="X245" s="2" t="n">
        <x:v>1</x:v>
      </x:c>
    </x:row>
    <x:row r="246">
      <x:c r="A246" s="6" t="d">
        <x:v>2025-08-28T00:00:00.000Z</x:v>
      </x:c>
      <x:c r="B246" s="6" t="d">
        <x:v>2025-08-29T00:00:00.000Z</x:v>
      </x:c>
      <x:c r="C246" s="7" t="str">
        <x:v>603177</x:v>
      </x:c>
      <x:c r="D246" s="2" t="n">
        <x:v>2</x:v>
      </x:c>
      <x:c r="E246" s="11" t="n">
        <x:v>0.7318941914955838</x:v>
      </x:c>
      <x:c r="F246" s="2" t="str">
        <x:v>五分最高涨幅&gt;=6% 且 五分最低涨幅&gt;=-3%</x:v>
      </x:c>
      <x:c r="G246" s="9" t="n">
        <x:v>0.100151745068285</x:v>
      </x:c>
      <x:c r="H246" s="9" t="n">
        <x:v>0.100151745068285</x:v>
      </x:c>
      <x:c r="I246" s="9" t="n">
        <x:v>0</x:v>
      </x:c>
      <x:c r="J246" s="9" t="n">
        <x:v>0</x:v>
      </x:c>
      <x:c r="K246" s="9" t="n">
        <x:v>0.5</x:v>
      </x:c>
      <x:c r="L246" s="2" t="str">
        <x:v>平走</x:v>
      </x:c>
      <x:c r="M246" s="2" t="n">
        <x:v>5</x:v>
      </x:c>
      <x:c r="N246" s="2" t="n">
        <x:v>0</x:v>
      </x:c>
      <x:c r="O246" s="2" t="n">
        <x:v>1</x:v>
      </x:c>
      <x:c r="P246" s="2" t="n">
        <x:v>1</x:v>
      </x:c>
      <x:c r="Q246" s="2" t="n">
        <x:v>1</x:v>
      </x:c>
      <x:c r="R246" s="2" t="n">
        <x:v>0</x:v>
      </x:c>
      <x:c r="S246" s="2"/>
      <x:c r="T246" s="12"/>
      <x:c r="U246" s="2" t="n">
        <x:v>1</x:v>
      </x:c>
      <x:c r="V246" s="2" t="n">
        <x:v>0</x:v>
      </x:c>
      <x:c r="W246" s="2" t="n">
        <x:v>0</x:v>
      </x:c>
      <x:c r="X246" s="2" t="n">
        <x:v>1</x:v>
      </x:c>
    </x:row>
    <x:row r="247">
      <x:c r="A247" s="6" t="d">
        <x:v>2025-08-28T00:00:00.000Z</x:v>
      </x:c>
      <x:c r="B247" s="6" t="d">
        <x:v>2025-08-29T00:00:00.000Z</x:v>
      </x:c>
      <x:c r="C247" s="7" t="str">
        <x:v>000070</x:v>
      </x:c>
      <x:c r="D247" s="2" t="n">
        <x:v>3</x:v>
      </x:c>
      <x:c r="E247" s="11" t="n">
        <x:v>0.6994976418939844</x:v>
      </x:c>
      <x:c r="F247" s="2" t="str">
        <x:v>五分最高涨幅&gt;=6% 且 五分最低涨幅&gt;=-3%</x:v>
      </x:c>
      <x:c r="G247" s="9" t="n">
        <x:v>0.041186161449753</x:v>
      </x:c>
      <x:c r="H247" s="9" t="n">
        <x:v>0.006589785831961</x:v>
      </x:c>
      <x:c r="I247" s="9" t="n">
        <x:v>0.012355848434926</x:v>
      </x:c>
      <x:c r="J247" s="9" t="n">
        <x:v>0.017929910350448</x:v>
      </x:c>
      <x:c r="K247" s="9" t="n">
        <x:v>0.642857142857142</x:v>
      </x:c>
      <x:c r="L247" s="2" t="str">
        <x:v>两段走强</x:v>
      </x:c>
      <x:c r="M247" s="2" t="n">
        <x:v>0</x:v>
      </x:c>
      <x:c r="N247" s="2" t="n">
        <x:v>5</x:v>
      </x:c>
      <x:c r="O247" s="2" t="n">
        <x:v>1</x:v>
      </x:c>
      <x:c r="P247" s="2" t="n">
        <x:v>1</x:v>
      </x:c>
      <x:c r="Q247" s="2" t="n">
        <x:v>0</x:v>
      </x:c>
      <x:c r="R247" s="2" t="n">
        <x:v>1</x:v>
      </x:c>
      <x:c r="S247" s="2" t="str">
        <x:v>09:36</x:v>
      </x:c>
      <x:c r="T247" s="12" t="n">
        <x:v>12.47</x:v>
      </x:c>
      <x:c r="U247" s="2" t="n">
        <x:v>1</x:v>
      </x:c>
      <x:c r="V247" s="2" t="n">
        <x:v>0</x:v>
      </x:c>
      <x:c r="W247" s="2" t="n">
        <x:v>0</x:v>
      </x:c>
      <x:c r="X247" s="2" t="n">
        <x:v>0</x:v>
      </x:c>
    </x:row>
    <x:row r="248">
      <x:c r="A248" s="6" t="d">
        <x:v>2025-08-29T00:00:00.000Z</x:v>
      </x:c>
      <x:c r="B248" s="6" t="d">
        <x:v>2025-09-01T00:00:00.000Z</x:v>
      </x:c>
      <x:c r="C248" s="7" t="str">
        <x:v>603177</x:v>
      </x:c>
      <x:c r="D248" s="2" t="n">
        <x:v>1</x:v>
      </x:c>
      <x:c r="E248" s="11" t="n">
        <x:v>0.7508871039251636</x:v>
      </x:c>
      <x:c r="F248" s="2" t="str">
        <x:v>五分最高涨幅&gt;=6% 且 五分最低涨幅&gt;=-3%</x:v>
      </x:c>
      <x:c r="G248" s="9" t="n">
        <x:v>0.1</x:v>
      </x:c>
      <x:c r="H248" s="9" t="n">
        <x:v>0.1</x:v>
      </x:c>
      <x:c r="I248" s="9" t="n">
        <x:v>0</x:v>
      </x:c>
      <x:c r="J248" s="9" t="n">
        <x:v>0</x:v>
      </x:c>
      <x:c r="K248" s="9" t="n">
        <x:v>0.5</x:v>
      </x:c>
      <x:c r="L248" s="2" t="str">
        <x:v>平走</x:v>
      </x:c>
      <x:c r="M248" s="2" t="n">
        <x:v>5</x:v>
      </x:c>
      <x:c r="N248" s="2" t="n">
        <x:v>0</x:v>
      </x:c>
      <x:c r="O248" s="2" t="n">
        <x:v>1</x:v>
      </x:c>
      <x:c r="P248" s="2" t="n">
        <x:v>1</x:v>
      </x:c>
      <x:c r="Q248" s="2" t="n">
        <x:v>1</x:v>
      </x:c>
      <x:c r="R248" s="2" t="n">
        <x:v>0</x:v>
      </x:c>
      <x:c r="S248" s="2"/>
      <x:c r="T248" s="12"/>
      <x:c r="U248" s="2" t="n">
        <x:v>1</x:v>
      </x:c>
      <x:c r="V248" s="2" t="n">
        <x:v>0</x:v>
      </x:c>
      <x:c r="W248" s="2" t="n">
        <x:v>0</x:v>
      </x:c>
      <x:c r="X248" s="2" t="n">
        <x:v>1</x:v>
      </x:c>
    </x:row>
    <x:row r="249">
      <x:c r="A249" s="6" t="d">
        <x:v>2025-08-29T00:00:00.000Z</x:v>
      </x:c>
      <x:c r="B249" s="6" t="d">
        <x:v>2025-09-01T00:00:00.000Z</x:v>
      </x:c>
      <x:c r="C249" s="7" t="str">
        <x:v>002053</x:v>
      </x:c>
      <x:c r="D249" s="2" t="n">
        <x:v>2</x:v>
      </x:c>
      <x:c r="E249" s="11" t="n">
        <x:v>0.7153113252179726</x:v>
      </x:c>
      <x:c r="F249" s="2" t="str">
        <x:v>五分最高涨幅&gt;=6% 且 五分最低涨幅&gt;=-3%</x:v>
      </x:c>
      <x:c r="G249" s="9" t="n">
        <x:v>0.014009339559707</x:v>
      </x:c>
      <x:c r="H249" s="9" t="n">
        <x:v>-0.064709806537692</x:v>
      </x:c>
      <x:c r="I249" s="9" t="n">
        <x:v>0.042695130086724</x:v>
      </x:c>
      <x:c r="J249" s="9" t="n">
        <x:v>-0.038309114927345</x:v>
      </x:c>
      <x:c r="K249" s="9" t="n">
        <x:v>0.457627118644069</x:v>
      </x:c>
      <x:c r="L249" s="2" t="str">
        <x:v>前弱后强</x:v>
      </x:c>
      <x:c r="M249" s="2" t="n">
        <x:v>0</x:v>
      </x:c>
      <x:c r="N249" s="2" t="n">
        <x:v>5</x:v>
      </x:c>
      <x:c r="O249" s="2" t="n">
        <x:v>1</x:v>
      </x:c>
      <x:c r="P249" s="2" t="n">
        <x:v>1</x:v>
      </x:c>
      <x:c r="Q249" s="2" t="n">
        <x:v>0</x:v>
      </x:c>
      <x:c r="R249" s="2" t="n">
        <x:v>1</x:v>
      </x:c>
      <x:c r="S249" s="2" t="str">
        <x:v>09:36</x:v>
      </x:c>
      <x:c r="T249" s="12" t="n">
        <x:v>14.55</x:v>
      </x:c>
      <x:c r="U249" s="2" t="n">
        <x:v>1</x:v>
      </x:c>
      <x:c r="V249" s="2" t="n">
        <x:v>0</x:v>
      </x:c>
      <x:c r="W249" s="2" t="n">
        <x:v>1</x:v>
      </x:c>
      <x:c r="X249" s="2" t="n">
        <x:v>0</x:v>
      </x:c>
    </x:row>
    <x:row r="250">
      <x:c r="A250" s="6" t="d">
        <x:v>2025-08-29T00:00:00.000Z</x:v>
      </x:c>
      <x:c r="B250" s="6" t="d">
        <x:v>2025-09-01T00:00:00.000Z</x:v>
      </x:c>
      <x:c r="C250" s="7" t="str">
        <x:v>605255</x:v>
      </x:c>
      <x:c r="D250" s="2" t="n">
        <x:v>3</x:v>
      </x:c>
      <x:c r="E250" s="11" t="n">
        <x:v>0.6916351953864446</x:v>
      </x:c>
      <x:c r="F250" s="2" t="str">
        <x:v>五分最高涨幅&gt;=6% 且 五分最低涨幅&gt;=-3%</x:v>
      </x:c>
      <x:c r="G250" s="9" t="n">
        <x:v>0.100021190930282</x:v>
      </x:c>
      <x:c r="H250" s="9" t="n">
        <x:v>0.100021190930282</x:v>
      </x:c>
      <x:c r="I250" s="9" t="n">
        <x:v>0</x:v>
      </x:c>
      <x:c r="J250" s="9" t="n">
        <x:v>0</x:v>
      </x:c>
      <x:c r="K250" s="9" t="n">
        <x:v>0.5</x:v>
      </x:c>
      <x:c r="L250" s="2" t="str">
        <x:v>平走</x:v>
      </x:c>
      <x:c r="M250" s="2" t="n">
        <x:v>5</x:v>
      </x:c>
      <x:c r="N250" s="2" t="n">
        <x:v>0</x:v>
      </x:c>
      <x:c r="O250" s="2" t="n">
        <x:v>1</x:v>
      </x:c>
      <x:c r="P250" s="2" t="n">
        <x:v>1</x:v>
      </x:c>
      <x:c r="Q250" s="2" t="n">
        <x:v>1</x:v>
      </x:c>
      <x:c r="R250" s="2" t="n">
        <x:v>0</x:v>
      </x:c>
      <x:c r="S250" s="2"/>
      <x:c r="T250" s="12"/>
      <x:c r="U250" s="2" t="n">
        <x:v>1</x:v>
      </x:c>
      <x:c r="V250" s="2" t="n">
        <x:v>0</x:v>
      </x:c>
      <x:c r="W250" s="2" t="n">
        <x:v>0</x:v>
      </x:c>
      <x:c r="X250" s="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fd4d1a7d737419e"/>
  </x:tableParts>
</x:worksheet>
</file>