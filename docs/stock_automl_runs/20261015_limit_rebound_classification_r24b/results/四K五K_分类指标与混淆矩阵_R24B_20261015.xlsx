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a6f0db7b3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类对照" sheetId="1" r:id="R700cb203a38e4dcc"/>
    <x:sheet xmlns:r="http://schemas.openxmlformats.org/officeDocument/2006/relationships" name="逐月对照" sheetId="2" r:id="R93e48dc7aed64840"/>
    <x:sheet xmlns:r="http://schemas.openxmlformats.org/officeDocument/2006/relationships" name="规则与口径" sheetId="3" r:id="Rc61d56e62ac8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;[Red](0.00%)"/>
    <x:numFmt numFmtId="202" formatCode="yyyy-mm"/>
  </x:numFmts>
  <x:fonts count="5">
    <x:font>
      <x:sz val="11"/>
      <x:name val="Carlito"/>
    </x:font>
    <x:font>
      <x:sz val="11"/>
      <x:color rgb="FF202936"/>
      <x:name val="Arial"/>
    </x:font>
    <x:font>
      <x:b/>
      <x:sz val="15"/>
      <x:color rgb="FF263D53"/>
      <x:name val="Arial"/>
    </x:font>
    <x:font>
      <x:sz val="10"/>
      <x:color rgb="FF5A667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afaa53c694a0f" /><Relationship Type="http://schemas.openxmlformats.org/officeDocument/2006/relationships/theme" Target="/xl/theme/theme1.xml" Id="R27f5bbdc6aae4e6f" /><Relationship Type="http://schemas.openxmlformats.org/officeDocument/2006/relationships/sharedStrings" Target="/xl/sharedStrings.xml" Id="R2e3d2038c96c45b3" /><Relationship Type="http://schemas.openxmlformats.org/officeDocument/2006/relationships/worksheet" Target="/xl/worksheets/sheet1.xml" Id="R700cb203a38e4dcc" /><Relationship Type="http://schemas.openxmlformats.org/officeDocument/2006/relationships/worksheet" Target="/xl/worksheets/sheet2.xml" Id="R93e48dc7aed64840" /><Relationship Type="http://schemas.openxmlformats.org/officeDocument/2006/relationships/worksheet" Target="/xl/worksheets/sheet3.xml" Id="Rc61d56e62ac84f60" /></Relationships>
</file>

<file path=xl/tables/table1.xml><?xml version="1.0" encoding="utf-8"?>
<x:table xmlns:x="http://schemas.openxmlformats.org/spreadsheetml/2006/main" id="1" name="R24BClass" displayName="R24BClass" ref="A5:P29" headerRowCount="1" totalsRowCount="0" totalsRowShown="0">
  <x:autoFilter ref="A5:P29"/>
  <x:tableColumns count="16">
    <x:tableColumn id="1" name="集合"/>
    <x:tableColumn id="2" name="范围"/>
    <x:tableColumn id="3" name="方案"/>
    <x:tableColumn id="4" name="评估数"/>
    <x:tableColumn id="5" name="独立数"/>
    <x:tableColumn id="6" name="保留数"/>
    <x:tableColumn id="7" name="保留率"/>
    <x:tableColumn id="8" name="准确率"/>
    <x:tableColumn id="9" name="命中率"/>
    <x:tableColumn id="10" name="召回率"/>
    <x:tableColumn id="11" name="F1"/>
    <x:tableColumn id="12" name="平衡准确"/>
    <x:tableColumn id="13" name="选中再板"/>
    <x:tableColumn id="14" name="选中未板"/>
    <x:tableColumn id="15" name="漏掉再板"/>
    <x:tableColumn id="16" name="排除未板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24BMonths" displayName="R24BMonths" ref="A5:R485" headerRowCount="1" totalsRowCount="0" totalsRowShown="0">
  <x:autoFilter ref="A5:R485"/>
  <x:tableColumns count="18">
    <x:tableColumn id="1" name="目标月"/>
    <x:tableColumn id="2" name="样本口径"/>
    <x:tableColumn id="3" name="集合"/>
    <x:tableColumn id="4" name="范围"/>
    <x:tableColumn id="5" name="方案"/>
    <x:tableColumn id="6" name="评估数"/>
    <x:tableColumn id="7" name="独立数"/>
    <x:tableColumn id="8" name="保留数"/>
    <x:tableColumn id="9" name="保留率"/>
    <x:tableColumn id="10" name="准确率"/>
    <x:tableColumn id="11" name="命中率"/>
    <x:tableColumn id="12" name="召回率"/>
    <x:tableColumn id="13" name="F1"/>
    <x:tableColumn id="14" name="平衡准确"/>
    <x:tableColumn id="15" name="选中再板"/>
    <x:tableColumn id="16" name="选中未板"/>
    <x:tableColumn id="17" name="漏掉再板"/>
    <x:tableColumn id="18" name="排除未板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044957bd3442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2a78da87701414e" /></Relationships>
</file>

<file path=xl/worksheets/sheet1.xml><?xml version="1.0" encoding="utf-8"?>
<x:worksheet xmlns:x="http://schemas.openxmlformats.org/spreadsheetml/2006/main">
  <x:sheetPr>
    <x:tabColor rgb="FF263D53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5" hidden="0" customWidth="1"/>
    <x:col min="2" max="2" width="10" hidden="0" customWidth="1"/>
    <x:col min="3" max="3" width="2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2" ht="26" customHeight="1">
      <x:c r="A2" s="3" t="str">
        <x:v>四K与五K分类对照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6" customHeight="1">
      <x:c r="A3" s="4" t="str">
        <x:v>2026年1—10月目标模型。标签为D1—D3收盘再板，主表不要求开板或成交。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7" t="str">
        <x:v>集合</x:v>
      </x:c>
      <x:c r="B5" s="7" t="str">
        <x:v>范围</x:v>
      </x:c>
      <x:c r="C5" s="7" t="str">
        <x:v>方案</x:v>
      </x:c>
      <x:c r="D5" s="7" t="str">
        <x:v>评估数</x:v>
      </x:c>
      <x:c r="E5" s="7" t="str">
        <x:v>独立数</x:v>
      </x:c>
      <x:c r="F5" s="7" t="str">
        <x:v>保留数</x:v>
      </x:c>
      <x:c r="G5" s="7" t="str">
        <x:v>保留率</x:v>
      </x:c>
      <x:c r="H5" s="7" t="str">
        <x:v>准确率</x:v>
      </x:c>
      <x:c r="I5" s="7" t="str">
        <x:v>命中率</x:v>
      </x:c>
      <x:c r="J5" s="7" t="str">
        <x:v>召回率</x:v>
      </x:c>
      <x:c r="K5" s="7" t="str">
        <x:v>F1</x:v>
      </x:c>
      <x:c r="L5" s="7" t="str">
        <x:v>平衡准确</x:v>
      </x:c>
      <x:c r="M5" s="7" t="str">
        <x:v>选中再板</x:v>
      </x:c>
      <x:c r="N5" s="7" t="str">
        <x:v>选中未板</x:v>
      </x:c>
      <x:c r="O5" s="7" t="str">
        <x:v>漏掉再板</x:v>
      </x:c>
      <x:c r="P5" s="7" t="str">
        <x:v>排除未板</x:v>
      </x:c>
    </x:row>
    <x:row r="6" ht="26" customHeight="1">
      <x:c r="A6" s="9" t="str">
        <x:v>测试</x:v>
      </x:c>
      <x:c r="B6" s="9" t="str">
        <x:v>Top3</x:v>
      </x:c>
      <x:c r="C6" s="9" t="str">
        <x:v>不判形态</x:v>
      </x:c>
      <x:c r="D6" s="11" t="n">
        <x:f>SUM(M6:P6)</x:f>
        <x:v>538</x:v>
      </x:c>
      <x:c r="E6" s="11" t="n">
        <x:v>538</x:v>
      </x:c>
      <x:c r="F6" s="11" t="n">
        <x:f>M6+N6</x:f>
        <x:v>538</x:v>
      </x:c>
      <x:c r="G6" s="12" t="n">
        <x:f>IF(D6=0,"",F6/D6)</x:f>
        <x:v>1</x:v>
      </x:c>
      <x:c r="H6" s="12" t="n">
        <x:f>IF(D6=0,"",(M6+P6)/D6)</x:f>
        <x:v>0.6022304832713755</x:v>
      </x:c>
      <x:c r="I6" s="12" t="n">
        <x:f>IF(F6=0,"",M6/F6)</x:f>
        <x:v>0.6022304832713755</x:v>
      </x:c>
      <x:c r="J6" s="12" t="n">
        <x:f>IF(M6+O6=0,"",M6/(M6+O6))</x:f>
        <x:v>1</x:v>
      </x:c>
      <x:c r="K6" s="12" t="n">
        <x:f>IF(2*M6+N6+O6=0,"",2*M6/(2*M6+N6+O6))</x:f>
        <x:v>0.7517401392111369</x:v>
      </x:c>
      <x:c r="L6" s="12" t="n">
        <x:f>IF(OR(M6+O6=0,P6+N6=0),"",(J6+P6/(P6+N6))/2)</x:f>
        <x:v>0.5</x:v>
      </x:c>
      <x:c r="M6" s="11" t="n">
        <x:v>324</x:v>
      </x:c>
      <x:c r="N6" s="11" t="n">
        <x:v>214</x:v>
      </x:c>
      <x:c r="O6" s="11" t="n">
        <x:v>0</x:v>
      </x:c>
      <x:c r="P6" s="11" t="n">
        <x:v>0</x:v>
      </x:c>
    </x:row>
    <x:row r="7" ht="26" customHeight="1">
      <x:c r="A7" s="9" t="str">
        <x:v>测试</x:v>
      </x:c>
      <x:c r="B7" s="9" t="str">
        <x:v>Top3</x:v>
      </x:c>
      <x:c r="C7" s="9" t="str">
        <x:v>五K原规则</x:v>
      </x:c>
      <x:c r="D7" s="11" t="n">
        <x:f>SUM(M7:P7)</x:f>
        <x:v>538</x:v>
      </x:c>
      <x:c r="E7" s="11" t="n">
        <x:v>538</x:v>
      </x:c>
      <x:c r="F7" s="11" t="n">
        <x:f>M7+N7</x:f>
        <x:v>350</x:v>
      </x:c>
      <x:c r="G7" s="12" t="n">
        <x:f>IF(D7=0,"",F7/D7)</x:f>
        <x:v>0.6505576208178439</x:v>
      </x:c>
      <x:c r="H7" s="12" t="n">
        <x:f>IF(D7=0,"",(M7+P7)/D7)</x:f>
        <x:v>0.7323420074349443</x:v>
      </x:c>
      <x:c r="I7" s="12" t="n">
        <x:f>IF(F7=0,"",M7/F7)</x:f>
        <x:v>0.7571428571428571</x:v>
      </x:c>
      <x:c r="J7" s="12" t="n">
        <x:f>IF(M7+O7=0,"",M7/(M7+O7))</x:f>
        <x:v>0.8179012345679012</x:v>
      </x:c>
      <x:c r="K7" s="12" t="n">
        <x:f>IF(2*M7+N7+O7=0,"",2*M7/(2*M7+N7+O7))</x:f>
        <x:v>0.7863501483679525</x:v>
      </x:c>
      <x:c r="L7" s="12" t="n">
        <x:f>IF(OR(M7+O7=0,P7+N7=0),"",(J7+P7/(P7+N7))/2)</x:f>
        <x:v>0.7103524864428291</x:v>
      </x:c>
      <x:c r="M7" s="11" t="n">
        <x:v>265</x:v>
      </x:c>
      <x:c r="N7" s="11" t="n">
        <x:v>85</x:v>
      </x:c>
      <x:c r="O7" s="11" t="n">
        <x:v>59</x:v>
      </x:c>
      <x:c r="P7" s="11" t="n">
        <x:v>129</x:v>
      </x:c>
    </x:row>
    <x:row r="8" ht="26" customHeight="1">
      <x:c r="A8" s="9" t="str">
        <x:v>测试</x:v>
      </x:c>
      <x:c r="B8" s="9" t="str">
        <x:v>Top3</x:v>
      </x:c>
      <x:c r="C8" s="9" t="str">
        <x:v>四K沿用门槛</x:v>
      </x:c>
      <x:c r="D8" s="11" t="n">
        <x:f>SUM(M8:P8)</x:f>
        <x:v>538</x:v>
      </x:c>
      <x:c r="E8" s="11" t="n">
        <x:v>538</x:v>
      </x:c>
      <x:c r="F8" s="11" t="n">
        <x:f>M8+N8</x:f>
        <x:v>352</x:v>
      </x:c>
      <x:c r="G8" s="12" t="n">
        <x:f>IF(D8=0,"",F8/D8)</x:f>
        <x:v>0.654275092936803</x:v>
      </x:c>
      <x:c r="H8" s="12" t="n">
        <x:f>IF(D8=0,"",(M8+P8)/D8)</x:f>
        <x:v>0.7174721189591078</x:v>
      </x:c>
      <x:c r="I8" s="12" t="n">
        <x:f>IF(F8=0,"",M8/F8)</x:f>
        <x:v>0.7443181818181818</x:v>
      </x:c>
      <x:c r="J8" s="12" t="n">
        <x:f>IF(M8+O8=0,"",M8/(M8+O8))</x:f>
        <x:v>0.808641975308642</x:v>
      </x:c>
      <x:c r="K8" s="12" t="n">
        <x:f>IF(2*M8+N8+O8=0,"",2*M8/(2*M8+N8+O8))</x:f>
        <x:v>0.7751479289940828</x:v>
      </x:c>
      <x:c r="L8" s="12" t="n">
        <x:f>IF(OR(M8+O8=0,P8+N8=0),"",(J8+P8/(P8+N8))/2)</x:f>
        <x:v>0.6940406138225452</x:v>
      </x:c>
      <x:c r="M8" s="11" t="n">
        <x:v>262</x:v>
      </x:c>
      <x:c r="N8" s="11" t="n">
        <x:v>90</x:v>
      </x:c>
      <x:c r="O8" s="11" t="n">
        <x:v>62</x:v>
      </x:c>
      <x:c r="P8" s="11" t="n">
        <x:v>124</x:v>
      </x:c>
    </x:row>
    <x:row r="9" ht="26" customHeight="1">
      <x:c r="A9" s="9" t="str">
        <x:v>测试</x:v>
      </x:c>
      <x:c r="B9" s="9" t="str">
        <x:v>Top3</x:v>
      </x:c>
      <x:c r="C9" s="9" t="str">
        <x:v>四K重选规则</x:v>
      </x:c>
      <x:c r="D9" s="11" t="n">
        <x:f>SUM(M9:P9)</x:f>
        <x:v>538</x:v>
      </x:c>
      <x:c r="E9" s="11" t="n">
        <x:v>538</x:v>
      </x:c>
      <x:c r="F9" s="11" t="n">
        <x:f>M9+N9</x:f>
        <x:v>420</x:v>
      </x:c>
      <x:c r="G9" s="12" t="n">
        <x:f>IF(D9=0,"",F9/D9)</x:f>
        <x:v>0.7806691449814126</x:v>
      </x:c>
      <x:c r="H9" s="12" t="n">
        <x:f>IF(D9=0,"",(M9+P9)/D9)</x:f>
        <x:v>0.654275092936803</x:v>
      </x:c>
      <x:c r="I9" s="12" t="n">
        <x:f>IF(F9=0,"",M9/F9)</x:f>
        <x:v>0.6642857142857143</x:v>
      </x:c>
      <x:c r="J9" s="12" t="n">
        <x:f>IF(M9+O9=0,"",M9/(M9+O9))</x:f>
        <x:v>0.8611111111111112</x:v>
      </x:c>
      <x:c r="K9" s="12" t="n">
        <x:f>IF(2*M9+N9+O9=0,"",2*M9/(2*M9+N9+O9))</x:f>
        <x:v>0.75</x:v>
      </x:c>
      <x:c r="L9" s="12" t="n">
        <x:f>IF(OR(M9+O9=0,P9+N9=0),"",(J9+P9/(P9+N9))/2)</x:f>
        <x:v>0.6011163032191069</x:v>
      </x:c>
      <x:c r="M9" s="11" t="n">
        <x:v>279</x:v>
      </x:c>
      <x:c r="N9" s="11" t="n">
        <x:v>141</x:v>
      </x:c>
      <x:c r="O9" s="11" t="n">
        <x:v>45</x:v>
      </x:c>
      <x:c r="P9" s="11" t="n">
        <x:v>73</x:v>
      </x:c>
    </x:row>
    <x:row r="10" ht="26" customHeight="1">
      <x:c r="A10" s="9" t="str">
        <x:v>测试</x:v>
      </x:c>
      <x:c r="B10" s="9" t="str">
        <x:v>Top1</x:v>
      </x:c>
      <x:c r="C10" s="9" t="str">
        <x:v>不判形态</x:v>
      </x:c>
      <x:c r="D10" s="11" t="n">
        <x:f>SUM(M10:P10)</x:f>
        <x:v>177</x:v>
      </x:c>
      <x:c r="E10" s="11" t="n">
        <x:v>177</x:v>
      </x:c>
      <x:c r="F10" s="11" t="n">
        <x:f>M10+N10</x:f>
        <x:v>177</x:v>
      </x:c>
      <x:c r="G10" s="12" t="n">
        <x:f>IF(D10=0,"",F10/D10)</x:f>
        <x:v>1</x:v>
      </x:c>
      <x:c r="H10" s="12" t="n">
        <x:f>IF(D10=0,"",(M10+P10)/D10)</x:f>
        <x:v>0.6892655367231638</x:v>
      </x:c>
      <x:c r="I10" s="12" t="n">
        <x:f>IF(F10=0,"",M10/F10)</x:f>
        <x:v>0.6892655367231638</x:v>
      </x:c>
      <x:c r="J10" s="12" t="n">
        <x:f>IF(M10+O10=0,"",M10/(M10+O10))</x:f>
        <x:v>1</x:v>
      </x:c>
      <x:c r="K10" s="12" t="n">
        <x:f>IF(2*M10+N10+O10=0,"",2*M10/(2*M10+N10+O10))</x:f>
        <x:v>0.8160535117056856</x:v>
      </x:c>
      <x:c r="L10" s="12" t="n">
        <x:f>IF(OR(M10+O10=0,P10+N10=0),"",(J10+P10/(P10+N10))/2)</x:f>
        <x:v>0.5</x:v>
      </x:c>
      <x:c r="M10" s="11" t="n">
        <x:v>122</x:v>
      </x:c>
      <x:c r="N10" s="11" t="n">
        <x:v>55</x:v>
      </x:c>
      <x:c r="O10" s="11" t="n">
        <x:v>0</x:v>
      </x:c>
      <x:c r="P10" s="11" t="n">
        <x:v>0</x:v>
      </x:c>
    </x:row>
    <x:row r="11" ht="26" customHeight="1">
      <x:c r="A11" s="9" t="str">
        <x:v>测试</x:v>
      </x:c>
      <x:c r="B11" s="9" t="str">
        <x:v>Top1</x:v>
      </x:c>
      <x:c r="C11" s="9" t="str">
        <x:v>五K原规则</x:v>
      </x:c>
      <x:c r="D11" s="11" t="n">
        <x:f>SUM(M11:P11)</x:f>
        <x:v>177</x:v>
      </x:c>
      <x:c r="E11" s="11" t="n">
        <x:v>177</x:v>
      </x:c>
      <x:c r="F11" s="11" t="n">
        <x:f>M11+N11</x:f>
        <x:v>127</x:v>
      </x:c>
      <x:c r="G11" s="12" t="n">
        <x:f>IF(D11=0,"",F11/D11)</x:f>
        <x:v>0.7175141242937854</x:v>
      </x:c>
      <x:c r="H11" s="12" t="n">
        <x:f>IF(D11=0,"",(M11+P11)/D11)</x:f>
        <x:v>0.7909604519774012</x:v>
      </x:c>
      <x:c r="I11" s="12" t="n">
        <x:f>IF(F11=0,"",M11/F11)</x:f>
        <x:v>0.8346456692913385</x:v>
      </x:c>
      <x:c r="J11" s="12" t="n">
        <x:f>IF(M11+O11=0,"",M11/(M11+O11))</x:f>
        <x:v>0.8688524590163934</x:v>
      </x:c>
      <x:c r="K11" s="12" t="n">
        <x:f>IF(2*M11+N11+O11=0,"",2*M11/(2*M11+N11+O11))</x:f>
        <x:v>0.8514056224899599</x:v>
      </x:c>
      <x:c r="L11" s="12" t="n">
        <x:f>IF(OR(M11+O11=0,P11+N11=0),"",(J11+P11/(P11+N11))/2)</x:f>
        <x:v>0.7435171385991057</x:v>
      </x:c>
      <x:c r="M11" s="11" t="n">
        <x:v>106</x:v>
      </x:c>
      <x:c r="N11" s="11" t="n">
        <x:v>21</x:v>
      </x:c>
      <x:c r="O11" s="11" t="n">
        <x:v>16</x:v>
      </x:c>
      <x:c r="P11" s="11" t="n">
        <x:v>34</x:v>
      </x:c>
    </x:row>
    <x:row r="12" ht="26" customHeight="1">
      <x:c r="A12" s="9" t="str">
        <x:v>测试</x:v>
      </x:c>
      <x:c r="B12" s="9" t="str">
        <x:v>Top1</x:v>
      </x:c>
      <x:c r="C12" s="9" t="str">
        <x:v>四K沿用门槛</x:v>
      </x:c>
      <x:c r="D12" s="11" t="n">
        <x:f>SUM(M12:P12)</x:f>
        <x:v>177</x:v>
      </x:c>
      <x:c r="E12" s="11" t="n">
        <x:v>177</x:v>
      </x:c>
      <x:c r="F12" s="11" t="n">
        <x:f>M12+N12</x:f>
        <x:v>129</x:v>
      </x:c>
      <x:c r="G12" s="12" t="n">
        <x:f>IF(D12=0,"",F12/D12)</x:f>
        <x:v>0.7288135593220338</x:v>
      </x:c>
      <x:c r="H12" s="12" t="n">
        <x:f>IF(D12=0,"",(M12+P12)/D12)</x:f>
        <x:v>0.768361581920904</x:v>
      </x:c>
      <x:c r="I12" s="12" t="n">
        <x:f>IF(F12=0,"",M12/F12)</x:f>
        <x:v>0.813953488372093</x:v>
      </x:c>
      <x:c r="J12" s="12" t="n">
        <x:f>IF(M12+O12=0,"",M12/(M12+O12))</x:f>
        <x:v>0.860655737704918</x:v>
      </x:c>
      <x:c r="K12" s="12" t="n">
        <x:f>IF(2*M12+N12+O12=0,"",2*M12/(2*M12+N12+O12))</x:f>
        <x:v>0.8366533864541833</x:v>
      </x:c>
      <x:c r="L12" s="12" t="n">
        <x:f>IF(OR(M12+O12=0,P12+N12=0),"",(J12+P12/(P12+N12))/2)</x:f>
        <x:v>0.7121460506706407</x:v>
      </x:c>
      <x:c r="M12" s="11" t="n">
        <x:v>105</x:v>
      </x:c>
      <x:c r="N12" s="11" t="n">
        <x:v>24</x:v>
      </x:c>
      <x:c r="O12" s="11" t="n">
        <x:v>17</x:v>
      </x:c>
      <x:c r="P12" s="11" t="n">
        <x:v>31</x:v>
      </x:c>
    </x:row>
    <x:row r="13" ht="26" customHeight="1">
      <x:c r="A13" s="9" t="str">
        <x:v>测试</x:v>
      </x:c>
      <x:c r="B13" s="9" t="str">
        <x:v>Top1</x:v>
      </x:c>
      <x:c r="C13" s="9" t="str">
        <x:v>四K重选规则</x:v>
      </x:c>
      <x:c r="D13" s="11" t="n">
        <x:f>SUM(M13:P13)</x:f>
        <x:v>177</x:v>
      </x:c>
      <x:c r="E13" s="11" t="n">
        <x:v>177</x:v>
      </x:c>
      <x:c r="F13" s="11" t="n">
        <x:f>M13+N13</x:f>
        <x:v>140</x:v>
      </x:c>
      <x:c r="G13" s="12" t="n">
        <x:f>IF(D13=0,"",F13/D13)</x:f>
        <x:v>0.7909604519774012</x:v>
      </x:c>
      <x:c r="H13" s="12" t="n">
        <x:f>IF(D13=0,"",(M13+P13)/D13)</x:f>
        <x:v>0.7062146892655368</x:v>
      </x:c>
      <x:c r="I13" s="12" t="n">
        <x:f>IF(F13=0,"",M13/F13)</x:f>
        <x:v>0.75</x:v>
      </x:c>
      <x:c r="J13" s="12" t="n">
        <x:f>IF(M13+O13=0,"",M13/(M13+O13))</x:f>
        <x:v>0.860655737704918</x:v>
      </x:c>
      <x:c r="K13" s="12" t="n">
        <x:f>IF(2*M13+N13+O13=0,"",2*M13/(2*M13+N13+O13))</x:f>
        <x:v>0.8015267175572519</x:v>
      </x:c>
      <x:c r="L13" s="12" t="n">
        <x:f>IF(OR(M13+O13=0,P13+N13=0),"",(J13+P13/(P13+N13))/2)</x:f>
        <x:v>0.6121460506706409</x:v>
      </x:c>
      <x:c r="M13" s="11" t="n">
        <x:v>105</x:v>
      </x:c>
      <x:c r="N13" s="11" t="n">
        <x:v>35</x:v>
      </x:c>
      <x:c r="O13" s="11" t="n">
        <x:v>17</x:v>
      </x:c>
      <x:c r="P13" s="11" t="n">
        <x:v>20</x:v>
      </x:c>
    </x:row>
    <x:row r="14" ht="26" customHeight="1">
      <x:c r="A14" s="9" t="str">
        <x:v>训练窗口</x:v>
      </x:c>
      <x:c r="B14" s="9" t="str">
        <x:v>Top3</x:v>
      </x:c>
      <x:c r="C14" s="9" t="str">
        <x:v>不判形态</x:v>
      </x:c>
      <x:c r="D14" s="11" t="n">
        <x:f>SUM(M14:P14)</x:f>
        <x:v>3451</x:v>
      </x:c>
      <x:c r="E14" s="11" t="n">
        <x:v>884</x:v>
      </x:c>
      <x:c r="F14" s="11" t="n">
        <x:f>M14+N14</x:f>
        <x:v>3451</x:v>
      </x:c>
      <x:c r="G14" s="12" t="n">
        <x:f>IF(D14=0,"",F14/D14)</x:f>
        <x:v>1</x:v>
      </x:c>
      <x:c r="H14" s="12" t="n">
        <x:f>IF(D14=0,"",(M14+P14)/D14)</x:f>
        <x:v>0.6398145465082585</x:v>
      </x:c>
      <x:c r="I14" s="12" t="n">
        <x:f>IF(F14=0,"",M14/F14)</x:f>
        <x:v>0.6398145465082585</x:v>
      </x:c>
      <x:c r="J14" s="12" t="n">
        <x:f>IF(M14+O14=0,"",M14/(M14+O14))</x:f>
        <x:v>1</x:v>
      </x:c>
      <x:c r="K14" s="12" t="n">
        <x:f>IF(2*M14+N14+O14=0,"",2*M14/(2*M14+N14+O14))</x:f>
        <x:v>0.7803498851387171</x:v>
      </x:c>
      <x:c r="L14" s="12" t="n">
        <x:f>IF(OR(M14+O14=0,P14+N14=0),"",(J14+P14/(P14+N14))/2)</x:f>
        <x:v>0.5</x:v>
      </x:c>
      <x:c r="M14" s="11" t="n">
        <x:v>2208</x:v>
      </x:c>
      <x:c r="N14" s="11" t="n">
        <x:v>1243</x:v>
      </x:c>
      <x:c r="O14" s="11" t="n">
        <x:v>0</x:v>
      </x:c>
      <x:c r="P14" s="11" t="n">
        <x:v>0</x:v>
      </x:c>
    </x:row>
    <x:row r="15" ht="26" customHeight="1">
      <x:c r="A15" s="9" t="str">
        <x:v>训练窗口</x:v>
      </x:c>
      <x:c r="B15" s="9" t="str">
        <x:v>Top3</x:v>
      </x:c>
      <x:c r="C15" s="9" t="str">
        <x:v>五K原规则</x:v>
      </x:c>
      <x:c r="D15" s="11" t="n">
        <x:f>SUM(M15:P15)</x:f>
        <x:v>3451</x:v>
      </x:c>
      <x:c r="E15" s="11" t="n">
        <x:v>884</x:v>
      </x:c>
      <x:c r="F15" s="11" t="n">
        <x:f>M15+N15</x:f>
        <x:v>2296</x:v>
      </x:c>
      <x:c r="G15" s="12" t="n">
        <x:f>IF(D15=0,"",F15/D15)</x:f>
        <x:v>0.665314401622718</x:v>
      </x:c>
      <x:c r="H15" s="12" t="n">
        <x:f>IF(D15=0,"",(M15+P15)/D15)</x:f>
        <x:v>0.746740075340481</x:v>
      </x:c>
      <x:c r="I15" s="12" t="n">
        <x:f>IF(F15=0,"",M15/F15)</x:f>
        <x:v>0.7905052264808362</x:v>
      </x:c>
      <x:c r="J15" s="12" t="n">
        <x:f>IF(M15+O15=0,"",M15/(M15+O15))</x:f>
        <x:v>0.8220108695652174</x:v>
      </x:c>
      <x:c r="K15" s="12" t="n">
        <x:f>IF(2*M15+N15+O15=0,"",2*M15/(2*M15+N15+O15))</x:f>
        <x:v>0.8059502664298401</x:v>
      </x:c>
      <x:c r="L15" s="12" t="n">
        <x:f>IF(OR(M15+O15=0,P15+N15=0),"",(J15+P15/(P15+N15))/2)</x:f>
        <x:v>0.717521927139809</x:v>
      </x:c>
      <x:c r="M15" s="11" t="n">
        <x:v>1815</x:v>
      </x:c>
      <x:c r="N15" s="11" t="n">
        <x:v>481</x:v>
      </x:c>
      <x:c r="O15" s="11" t="n">
        <x:v>393</x:v>
      </x:c>
      <x:c r="P15" s="11" t="n">
        <x:v>762</x:v>
      </x:c>
    </x:row>
    <x:row r="16" ht="26" customHeight="1">
      <x:c r="A16" s="9" t="str">
        <x:v>训练窗口</x:v>
      </x:c>
      <x:c r="B16" s="9" t="str">
        <x:v>Top3</x:v>
      </x:c>
      <x:c r="C16" s="9" t="str">
        <x:v>四K沿用门槛</x:v>
      </x:c>
      <x:c r="D16" s="11" t="n">
        <x:f>SUM(M16:P16)</x:f>
        <x:v>3451</x:v>
      </x:c>
      <x:c r="E16" s="11" t="n">
        <x:v>884</x:v>
      </x:c>
      <x:c r="F16" s="11" t="n">
        <x:f>M16+N16</x:f>
        <x:v>2316</x:v>
      </x:c>
      <x:c r="G16" s="12" t="n">
        <x:f>IF(D16=0,"",F16/D16)</x:f>
        <x:v>0.6711098232396406</x:v>
      </x:c>
      <x:c r="H16" s="12" t="n">
        <x:f>IF(D16=0,"",(M16+P16)/D16)</x:f>
        <x:v>0.7461605331787887</x:v>
      </x:c>
      <x:c r="I16" s="12" t="n">
        <x:f>IF(F16=0,"",M16/F16)</x:f>
        <x:v>0.7875647668393783</x:v>
      </x:c>
      <x:c r="J16" s="12" t="n">
        <x:f>IF(M16+O16=0,"",M16/(M16+O16))</x:f>
        <x:v>0.8260869565217391</x:v>
      </x:c>
      <x:c r="K16" s="12" t="n">
        <x:f>IF(2*M16+N16+O16=0,"",2*M16/(2*M16+N16+O16))</x:f>
        <x:v>0.8063660477453581</x:v>
      </x:c>
      <x:c r="L16" s="12" t="n">
        <x:f>IF(OR(M16+O16=0,P16+N16=0),"",(J16+P16/(P16+N16))/2)</x:f>
        <x:v>0.7151351918570079</x:v>
      </x:c>
      <x:c r="M16" s="11" t="n">
        <x:v>1824</x:v>
      </x:c>
      <x:c r="N16" s="11" t="n">
        <x:v>492</x:v>
      </x:c>
      <x:c r="O16" s="11" t="n">
        <x:v>384</x:v>
      </x:c>
      <x:c r="P16" s="11" t="n">
        <x:v>751</x:v>
      </x:c>
    </x:row>
    <x:row r="17" ht="26" customHeight="1">
      <x:c r="A17" s="9" t="str">
        <x:v>训练窗口</x:v>
      </x:c>
      <x:c r="B17" s="9" t="str">
        <x:v>Top3</x:v>
      </x:c>
      <x:c r="C17" s="9" t="str">
        <x:v>四K重选规则</x:v>
      </x:c>
      <x:c r="D17" s="11" t="n">
        <x:f>SUM(M17:P17)</x:f>
        <x:v>3451</x:v>
      </x:c>
      <x:c r="E17" s="11" t="n">
        <x:v>884</x:v>
      </x:c>
      <x:c r="F17" s="11" t="n">
        <x:f>M17+N17</x:f>
        <x:v>2649</x:v>
      </x:c>
      <x:c r="G17" s="12" t="n">
        <x:f>IF(D17=0,"",F17/D17)</x:f>
        <x:v>0.7676035931614025</x:v>
      </x:c>
      <x:c r="H17" s="12" t="n">
        <x:f>IF(D17=0,"",(M17+P17)/D17)</x:f>
        <x:v>0.7053028107794842</x:v>
      </x:c>
      <x:c r="I17" s="12" t="n">
        <x:f>IF(F17=0,"",M17/F17)</x:f>
        <x:v>0.72480181200453</x:v>
      </x:c>
      <x:c r="J17" s="12" t="n">
        <x:f>IF(M17+O17=0,"",M17/(M17+O17))</x:f>
        <x:v>0.8695652173913043</x:v>
      </x:c>
      <x:c r="K17" s="12" t="n">
        <x:f>IF(2*M17+N17+O17=0,"",2*M17/(2*M17+N17+O17))</x:f>
        <x:v>0.7906114885731933</x:v>
      </x:c>
      <x:c r="L17" s="12" t="n">
        <x:f>IF(OR(M17+O17=0,P17+N17=0),"",(J17+P17/(P17+N17))/2)</x:f>
        <x:v>0.6415404526216377</x:v>
      </x:c>
      <x:c r="M17" s="11" t="n">
        <x:v>1920</x:v>
      </x:c>
      <x:c r="N17" s="11" t="n">
        <x:v>729</x:v>
      </x:c>
      <x:c r="O17" s="11" t="n">
        <x:v>288</x:v>
      </x:c>
      <x:c r="P17" s="11" t="n">
        <x:v>514</x:v>
      </x:c>
    </x:row>
    <x:row r="18" ht="26" customHeight="1">
      <x:c r="A18" s="9" t="str">
        <x:v>训练窗口</x:v>
      </x:c>
      <x:c r="B18" s="9" t="str">
        <x:v>Top1</x:v>
      </x:c>
      <x:c r="C18" s="9" t="str">
        <x:v>不判形态</x:v>
      </x:c>
      <x:c r="D18" s="11" t="n">
        <x:f>SUM(M18:P18)</x:f>
        <x:v>1151</x:v>
      </x:c>
      <x:c r="E18" s="11" t="n">
        <x:v>293</x:v>
      </x:c>
      <x:c r="F18" s="11" t="n">
        <x:f>M18+N18</x:f>
        <x:v>1151</x:v>
      </x:c>
      <x:c r="G18" s="12" t="n">
        <x:f>IF(D18=0,"",F18/D18)</x:f>
        <x:v>1</x:v>
      </x:c>
      <x:c r="H18" s="12" t="n">
        <x:f>IF(D18=0,"",(M18+P18)/D18)</x:f>
        <x:v>0.7237185056472633</x:v>
      </x:c>
      <x:c r="I18" s="12" t="n">
        <x:f>IF(F18=0,"",M18/F18)</x:f>
        <x:v>0.7237185056472633</x:v>
      </x:c>
      <x:c r="J18" s="12" t="n">
        <x:f>IF(M18+O18=0,"",M18/(M18+O18))</x:f>
        <x:v>1</x:v>
      </x:c>
      <x:c r="K18" s="12" t="n">
        <x:f>IF(2*M18+N18+O18=0,"",2*M18/(2*M18+N18+O18))</x:f>
        <x:v>0.8397177419354839</x:v>
      </x:c>
      <x:c r="L18" s="12" t="n">
        <x:f>IF(OR(M18+O18=0,P18+N18=0),"",(J18+P18/(P18+N18))/2)</x:f>
        <x:v>0.5</x:v>
      </x:c>
      <x:c r="M18" s="11" t="n">
        <x:v>833</x:v>
      </x:c>
      <x:c r="N18" s="11" t="n">
        <x:v>318</x:v>
      </x:c>
      <x:c r="O18" s="11" t="n">
        <x:v>0</x:v>
      </x:c>
      <x:c r="P18" s="11" t="n">
        <x:v>0</x:v>
      </x:c>
    </x:row>
    <x:row r="19" ht="26" customHeight="1">
      <x:c r="A19" s="9" t="str">
        <x:v>训练窗口</x:v>
      </x:c>
      <x:c r="B19" s="9" t="str">
        <x:v>Top1</x:v>
      </x:c>
      <x:c r="C19" s="9" t="str">
        <x:v>五K原规则</x:v>
      </x:c>
      <x:c r="D19" s="11" t="n">
        <x:f>SUM(M19:P19)</x:f>
        <x:v>1151</x:v>
      </x:c>
      <x:c r="E19" s="11" t="n">
        <x:v>293</x:v>
      </x:c>
      <x:c r="F19" s="11" t="n">
        <x:f>M19+N19</x:f>
        <x:v>835</x:v>
      </x:c>
      <x:c r="G19" s="12" t="n">
        <x:f>IF(D19=0,"",F19/D19)</x:f>
        <x:v>0.7254561251086012</x:v>
      </x:c>
      <x:c r="H19" s="12" t="n">
        <x:f>IF(D19=0,"",(M19+P19)/D19)</x:f>
        <x:v>0.7845351867940921</x:v>
      </x:c>
      <x:c r="I19" s="12" t="n">
        <x:f>IF(F19=0,"",M19/F19)</x:f>
        <x:v>0.8502994011976048</x:v>
      </x:c>
      <x:c r="J19" s="12" t="n">
        <x:f>IF(M19+O19=0,"",M19/(M19+O19))</x:f>
        <x:v>0.8523409363745498</x:v>
      </x:c>
      <x:c r="K19" s="12" t="n">
        <x:f>IF(2*M19+N19+O19=0,"",2*M19/(2*M19+N19+O19))</x:f>
        <x:v>0.8513189448441247</x:v>
      </x:c>
      <x:c r="L19" s="12" t="n">
        <x:f>IF(OR(M19+O19=0,P19+N19=0),"",(J19+P19/(P19+N19))/2)</x:f>
        <x:v>0.7296295876841302</x:v>
      </x:c>
      <x:c r="M19" s="11" t="n">
        <x:v>710</x:v>
      </x:c>
      <x:c r="N19" s="11" t="n">
        <x:v>125</x:v>
      </x:c>
      <x:c r="O19" s="11" t="n">
        <x:v>123</x:v>
      </x:c>
      <x:c r="P19" s="11" t="n">
        <x:v>193</x:v>
      </x:c>
    </x:row>
    <x:row r="20" ht="26" customHeight="1">
      <x:c r="A20" s="9" t="str">
        <x:v>训练窗口</x:v>
      </x:c>
      <x:c r="B20" s="9" t="str">
        <x:v>Top1</x:v>
      </x:c>
      <x:c r="C20" s="9" t="str">
        <x:v>四K沿用门槛</x:v>
      </x:c>
      <x:c r="D20" s="11" t="n">
        <x:f>SUM(M20:P20)</x:f>
        <x:v>1151</x:v>
      </x:c>
      <x:c r="E20" s="11" t="n">
        <x:v>293</x:v>
      </x:c>
      <x:c r="F20" s="11" t="n">
        <x:f>M20+N20</x:f>
        <x:v>847</x:v>
      </x:c>
      <x:c r="G20" s="12" t="n">
        <x:f>IF(D20=0,"",F20/D20)</x:f>
        <x:v>0.735881841876629</x:v>
      </x:c>
      <x:c r="H20" s="12" t="n">
        <x:f>IF(D20=0,"",(M20+P20)/D20)</x:f>
        <x:v>0.7827975673327541</x:v>
      </x:c>
      <x:c r="I20" s="12" t="n">
        <x:f>IF(F20=0,"",M20/F20)</x:f>
        <x:v>0.8441558441558441</x:v>
      </x:c>
      <x:c r="J20" s="12" t="n">
        <x:f>IF(M20+O20=0,"",M20/(M20+O20))</x:f>
        <x:v>0.858343337334934</x:v>
      </x:c>
      <x:c r="K20" s="12" t="n">
        <x:f>IF(2*M20+N20+O20=0,"",2*M20/(2*M20+N20+O20))</x:f>
        <x:v>0.8511904761904762</x:v>
      </x:c>
      <x:c r="L20" s="12" t="n">
        <x:f>IF(OR(M20+O20=0,P20+N20=0),"",(J20+P20/(P20+N20))/2)</x:f>
        <x:v>0.7216244988561462</x:v>
      </x:c>
      <x:c r="M20" s="11" t="n">
        <x:v>715</x:v>
      </x:c>
      <x:c r="N20" s="11" t="n">
        <x:v>132</x:v>
      </x:c>
      <x:c r="O20" s="11" t="n">
        <x:v>118</x:v>
      </x:c>
      <x:c r="P20" s="11" t="n">
        <x:v>186</x:v>
      </x:c>
    </x:row>
    <x:row r="21" ht="26" customHeight="1">
      <x:c r="A21" s="9" t="str">
        <x:v>训练窗口</x:v>
      </x:c>
      <x:c r="B21" s="9" t="str">
        <x:v>Top1</x:v>
      </x:c>
      <x:c r="C21" s="9" t="str">
        <x:v>四K重选规则</x:v>
      </x:c>
      <x:c r="D21" s="11" t="n">
        <x:f>SUM(M21:P21)</x:f>
        <x:v>1151</x:v>
      </x:c>
      <x:c r="E21" s="11" t="n">
        <x:v>293</x:v>
      </x:c>
      <x:c r="F21" s="11" t="n">
        <x:f>M21+N21</x:f>
        <x:v>924</x:v>
      </x:c>
      <x:c r="G21" s="12" t="n">
        <x:f>IF(D21=0,"",F21/D21)</x:f>
        <x:v>0.8027801911381407</x:v>
      </x:c>
      <x:c r="H21" s="12" t="n">
        <x:f>IF(D21=0,"",(M21+P21)/D21)</x:f>
        <x:v>0.7610773240660296</x:v>
      </x:c>
      <x:c r="I21" s="12" t="n">
        <x:f>IF(F21=0,"",M21/F21)</x:f>
        <x:v>0.801948051948052</x:v>
      </x:c>
      <x:c r="J21" s="12" t="n">
        <x:f>IF(M21+O21=0,"",M21/(M21+O21))</x:f>
        <x:v>0.8895558223289316</x:v>
      </x:c>
      <x:c r="K21" s="12" t="n">
        <x:f>IF(2*M21+N21+O21=0,"",2*M21/(2*M21+N21+O21))</x:f>
        <x:v>0.8434832100170746</x:v>
      </x:c>
      <x:c r="L21" s="12" t="n">
        <x:f>IF(OR(M21+O21=0,P21+N21=0),"",(J21+P21/(P21+N21))/2)</x:f>
        <x:v>0.6570420621078621</x:v>
      </x:c>
      <x:c r="M21" s="11" t="n">
        <x:v>741</x:v>
      </x:c>
      <x:c r="N21" s="11" t="n">
        <x:v>183</x:v>
      </x:c>
      <x:c r="O21" s="11" t="n">
        <x:v>92</x:v>
      </x:c>
      <x:c r="P21" s="11" t="n">
        <x:v>135</x:v>
      </x:c>
    </x:row>
    <x:row r="22" ht="26" customHeight="1">
      <x:c r="A22" s="9" t="str">
        <x:v>验证窗口</x:v>
      </x:c>
      <x:c r="B22" s="9" t="str">
        <x:v>Top3</x:v>
      </x:c>
      <x:c r="C22" s="9" t="str">
        <x:v>不判形态</x:v>
      </x:c>
      <x:c r="D22" s="11" t="n">
        <x:f>SUM(M22:P22)</x:f>
        <x:v>1090</x:v>
      </x:c>
      <x:c r="E22" s="11" t="n">
        <x:v>758</x:v>
      </x:c>
      <x:c r="F22" s="11" t="n">
        <x:f>M22+N22</x:f>
        <x:v>1090</x:v>
      </x:c>
      <x:c r="G22" s="12" t="n">
        <x:f>IF(D22=0,"",F22/D22)</x:f>
        <x:v>1</x:v>
      </x:c>
      <x:c r="H22" s="12" t="n">
        <x:f>IF(D22=0,"",(M22+P22)/D22)</x:f>
        <x:v>0.6192660550458715</x:v>
      </x:c>
      <x:c r="I22" s="12" t="n">
        <x:f>IF(F22=0,"",M22/F22)</x:f>
        <x:v>0.6192660550458715</x:v>
      </x:c>
      <x:c r="J22" s="12" t="n">
        <x:f>IF(M22+O22=0,"",M22/(M22+O22))</x:f>
        <x:v>1</x:v>
      </x:c>
      <x:c r="K22" s="12" t="n">
        <x:f>IF(2*M22+N22+O22=0,"",2*M22/(2*M22+N22+O22))</x:f>
        <x:v>0.7648725212464589</x:v>
      </x:c>
      <x:c r="L22" s="12" t="n">
        <x:f>IF(OR(M22+O22=0,P22+N22=0),"",(J22+P22/(P22+N22))/2)</x:f>
        <x:v>0.5</x:v>
      </x:c>
      <x:c r="M22" s="11" t="n">
        <x:v>675</x:v>
      </x:c>
      <x:c r="N22" s="11" t="n">
        <x:v>415</x:v>
      </x:c>
      <x:c r="O22" s="11" t="n">
        <x:v>0</x:v>
      </x:c>
      <x:c r="P22" s="11" t="n">
        <x:v>0</x:v>
      </x:c>
    </x:row>
    <x:row r="23" ht="26" customHeight="1">
      <x:c r="A23" s="9" t="str">
        <x:v>验证窗口</x:v>
      </x:c>
      <x:c r="B23" s="9" t="str">
        <x:v>Top3</x:v>
      </x:c>
      <x:c r="C23" s="9" t="str">
        <x:v>五K原规则</x:v>
      </x:c>
      <x:c r="D23" s="11" t="n">
        <x:f>SUM(M23:P23)</x:f>
        <x:v>1090</x:v>
      </x:c>
      <x:c r="E23" s="11" t="n">
        <x:v>758</x:v>
      </x:c>
      <x:c r="F23" s="11" t="n">
        <x:f>M23+N23</x:f>
        <x:v>740</x:v>
      </x:c>
      <x:c r="G23" s="12" t="n">
        <x:f>IF(D23=0,"",F23/D23)</x:f>
        <x:v>0.6788990825688074</x:v>
      </x:c>
      <x:c r="H23" s="12" t="n">
        <x:f>IF(D23=0,"",(M23+P23)/D23)</x:f>
        <x:v>0.7403669724770642</x:v>
      </x:c>
      <x:c r="I23" s="12" t="n">
        <x:f>IF(F23=0,"",M23/F23)</x:f>
        <x:v>0.7648648648648648</x:v>
      </x:c>
      <x:c r="J23" s="12" t="n">
        <x:f>IF(M23+O23=0,"",M23/(M23+O23))</x:f>
        <x:v>0.8385185185185186</x:v>
      </x:c>
      <x:c r="K23" s="12" t="n">
        <x:f>IF(2*M23+N23+O23=0,"",2*M23/(2*M23+N23+O23))</x:f>
        <x:v>0.8</x:v>
      </x:c>
      <x:c r="L23" s="12" t="n">
        <x:f>IF(OR(M23+O23=0,P23+N23=0),"",(J23+P23/(P23+N23))/2)</x:f>
        <x:v>0.7096207050423918</x:v>
      </x:c>
      <x:c r="M23" s="11" t="n">
        <x:v>566</x:v>
      </x:c>
      <x:c r="N23" s="11" t="n">
        <x:v>174</x:v>
      </x:c>
      <x:c r="O23" s="11" t="n">
        <x:v>109</x:v>
      </x:c>
      <x:c r="P23" s="11" t="n">
        <x:v>241</x:v>
      </x:c>
    </x:row>
    <x:row r="24" ht="26" customHeight="1">
      <x:c r="A24" s="9" t="str">
        <x:v>验证窗口</x:v>
      </x:c>
      <x:c r="B24" s="9" t="str">
        <x:v>Top3</x:v>
      </x:c>
      <x:c r="C24" s="9" t="str">
        <x:v>四K沿用门槛</x:v>
      </x:c>
      <x:c r="D24" s="11" t="n">
        <x:f>SUM(M24:P24)</x:f>
        <x:v>1090</x:v>
      </x:c>
      <x:c r="E24" s="11" t="n">
        <x:v>758</x:v>
      </x:c>
      <x:c r="F24" s="11" t="n">
        <x:f>M24+N24</x:f>
        <x:v>744</x:v>
      </x:c>
      <x:c r="G24" s="12" t="n">
        <x:f>IF(D24=0,"",F24/D24)</x:f>
        <x:v>0.6825688073394496</x:v>
      </x:c>
      <x:c r="H24" s="12" t="n">
        <x:f>IF(D24=0,"",(M24+P24)/D24)</x:f>
        <x:v>0.7311926605504587</x:v>
      </x:c>
      <x:c r="I24" s="12" t="n">
        <x:f>IF(F24=0,"",M24/F24)</x:f>
        <x:v>0.7567204301075269</x:v>
      </x:c>
      <x:c r="J24" s="12" t="n">
        <x:f>IF(M24+O24=0,"",M24/(M24+O24))</x:f>
        <x:v>0.8340740740740741</x:v>
      </x:c>
      <x:c r="K24" s="12" t="n">
        <x:f>IF(2*M24+N24+O24=0,"",2*M24/(2*M24+N24+O24))</x:f>
        <x:v>0.7935165609584214</x:v>
      </x:c>
      <x:c r="L24" s="12" t="n">
        <x:f>IF(OR(M24+O24=0,P24+N24=0),"",(J24+P24/(P24+N24))/2)</x:f>
        <x:v>0.6989647478804105</x:v>
      </x:c>
      <x:c r="M24" s="11" t="n">
        <x:v>563</x:v>
      </x:c>
      <x:c r="N24" s="11" t="n">
        <x:v>181</x:v>
      </x:c>
      <x:c r="O24" s="11" t="n">
        <x:v>112</x:v>
      </x:c>
      <x:c r="P24" s="11" t="n">
        <x:v>234</x:v>
      </x:c>
    </x:row>
    <x:row r="25" ht="26" customHeight="1">
      <x:c r="A25" s="9" t="str">
        <x:v>验证窗口</x:v>
      </x:c>
      <x:c r="B25" s="9" t="str">
        <x:v>Top3</x:v>
      </x:c>
      <x:c r="C25" s="9" t="str">
        <x:v>四K重选规则</x:v>
      </x:c>
      <x:c r="D25" s="11" t="n">
        <x:f>SUM(M25:P25)</x:f>
        <x:v>1090</x:v>
      </x:c>
      <x:c r="E25" s="11" t="n">
        <x:v>758</x:v>
      </x:c>
      <x:c r="F25" s="11" t="n">
        <x:f>M25+N25</x:f>
        <x:v>844</x:v>
      </x:c>
      <x:c r="G25" s="12" t="n">
        <x:f>IF(D25=0,"",F25/D25)</x:f>
        <x:v>0.7743119266055046</x:v>
      </x:c>
      <x:c r="H25" s="12" t="n">
        <x:f>IF(D25=0,"",(M25+P25)/D25)</x:f>
        <x:v>0.6944954128440367</x:v>
      </x:c>
      <x:c r="I25" s="12" t="n">
        <x:f>IF(F25=0,"",M25/F25)</x:f>
        <x:v>0.70260663507109</x:v>
      </x:c>
      <x:c r="J25" s="12" t="n">
        <x:f>IF(M25+O25=0,"",M25/(M25+O25))</x:f>
        <x:v>0.8785185185185185</x:v>
      </x:c>
      <x:c r="K25" s="12" t="n">
        <x:f>IF(2*M25+N25+O25=0,"",2*M25/(2*M25+N25+O25))</x:f>
        <x:v>0.7807768268597761</x:v>
      </x:c>
      <x:c r="L25" s="12" t="n">
        <x:f>IF(OR(M25+O25=0,P25+N25=0),"",(J25+P25/(P25+N25))/2)</x:f>
        <x:v>0.6368496207050424</x:v>
      </x:c>
      <x:c r="M25" s="11" t="n">
        <x:v>593</x:v>
      </x:c>
      <x:c r="N25" s="11" t="n">
        <x:v>251</x:v>
      </x:c>
      <x:c r="O25" s="11" t="n">
        <x:v>82</x:v>
      </x:c>
      <x:c r="P25" s="11" t="n">
        <x:v>164</x:v>
      </x:c>
    </x:row>
    <x:row r="26" ht="26" customHeight="1">
      <x:c r="A26" s="9" t="str">
        <x:v>验证窗口</x:v>
      </x:c>
      <x:c r="B26" s="9" t="str">
        <x:v>Top1</x:v>
      </x:c>
      <x:c r="C26" s="9" t="str">
        <x:v>不判形态</x:v>
      </x:c>
      <x:c r="D26" s="11" t="n">
        <x:f>SUM(M26:P26)</x:f>
        <x:v>364</x:v>
      </x:c>
      <x:c r="E26" s="11" t="n">
        <x:v>270</x:v>
      </x:c>
      <x:c r="F26" s="11" t="n">
        <x:f>M26+N26</x:f>
        <x:v>364</x:v>
      </x:c>
      <x:c r="G26" s="12" t="n">
        <x:f>IF(D26=0,"",F26/D26)</x:f>
        <x:v>1</x:v>
      </x:c>
      <x:c r="H26" s="12" t="n">
        <x:f>IF(D26=0,"",(M26+P26)/D26)</x:f>
        <x:v>0.6895604395604396</x:v>
      </x:c>
      <x:c r="I26" s="12" t="n">
        <x:f>IF(F26=0,"",M26/F26)</x:f>
        <x:v>0.6895604395604396</x:v>
      </x:c>
      <x:c r="J26" s="12" t="n">
        <x:f>IF(M26+O26=0,"",M26/(M26+O26))</x:f>
        <x:v>1</x:v>
      </x:c>
      <x:c r="K26" s="12" t="n">
        <x:f>IF(2*M26+N26+O26=0,"",2*M26/(2*M26+N26+O26))</x:f>
        <x:v>0.816260162601626</x:v>
      </x:c>
      <x:c r="L26" s="12" t="n">
        <x:f>IF(OR(M26+O26=0,P26+N26=0),"",(J26+P26/(P26+N26))/2)</x:f>
        <x:v>0.5</x:v>
      </x:c>
      <x:c r="M26" s="11" t="n">
        <x:v>251</x:v>
      </x:c>
      <x:c r="N26" s="11" t="n">
        <x:v>113</x:v>
      </x:c>
      <x:c r="O26" s="11" t="n">
        <x:v>0</x:v>
      </x:c>
      <x:c r="P26" s="11" t="n">
        <x:v>0</x:v>
      </x:c>
    </x:row>
    <x:row r="27" ht="26" customHeight="1">
      <x:c r="A27" s="9" t="str">
        <x:v>验证窗口</x:v>
      </x:c>
      <x:c r="B27" s="9" t="str">
        <x:v>Top1</x:v>
      </x:c>
      <x:c r="C27" s="9" t="str">
        <x:v>五K原规则</x:v>
      </x:c>
      <x:c r="D27" s="11" t="n">
        <x:f>SUM(M27:P27)</x:f>
        <x:v>364</x:v>
      </x:c>
      <x:c r="E27" s="11" t="n">
        <x:v>270</x:v>
      </x:c>
      <x:c r="F27" s="11" t="n">
        <x:f>M27+N27</x:f>
        <x:v>270</x:v>
      </x:c>
      <x:c r="G27" s="12" t="n">
        <x:f>IF(D27=0,"",F27/D27)</x:f>
        <x:v>0.7417582417582418</x:v>
      </x:c>
      <x:c r="H27" s="12" t="n">
        <x:f>IF(D27=0,"",(M27+P27)/D27)</x:f>
        <x:v>0.8104395604395604</x:v>
      </x:c>
      <x:c r="I27" s="12" t="n">
        <x:f>IF(F27=0,"",M27/F27)</x:f>
        <x:v>0.837037037037037</x:v>
      </x:c>
      <x:c r="J27" s="12" t="n">
        <x:f>IF(M27+O27=0,"",M27/(M27+O27))</x:f>
        <x:v>0.900398406374502</x:v>
      </x:c>
      <x:c r="K27" s="12" t="n">
        <x:f>IF(2*M27+N27+O27=0,"",2*M27/(2*M27+N27+O27))</x:f>
        <x:v>0.8675623800383877</x:v>
      </x:c>
      <x:c r="L27" s="12" t="n">
        <x:f>IF(OR(M27+O27=0,P27+N27=0),"",(J27+P27/(P27+N27))/2)</x:f>
        <x:v>0.7555089377005253</x:v>
      </x:c>
      <x:c r="M27" s="11" t="n">
        <x:v>226</x:v>
      </x:c>
      <x:c r="N27" s="11" t="n">
        <x:v>44</x:v>
      </x:c>
      <x:c r="O27" s="11" t="n">
        <x:v>25</x:v>
      </x:c>
      <x:c r="P27" s="11" t="n">
        <x:v>69</x:v>
      </x:c>
    </x:row>
    <x:row r="28" ht="26" customHeight="1">
      <x:c r="A28" s="9" t="str">
        <x:v>验证窗口</x:v>
      </x:c>
      <x:c r="B28" s="9" t="str">
        <x:v>Top1</x:v>
      </x:c>
      <x:c r="C28" s="9" t="str">
        <x:v>四K沿用门槛</x:v>
      </x:c>
      <x:c r="D28" s="11" t="n">
        <x:f>SUM(M28:P28)</x:f>
        <x:v>364</x:v>
      </x:c>
      <x:c r="E28" s="11" t="n">
        <x:v>270</x:v>
      </x:c>
      <x:c r="F28" s="11" t="n">
        <x:f>M28+N28</x:f>
        <x:v>272</x:v>
      </x:c>
      <x:c r="G28" s="12" t="n">
        <x:f>IF(D28=0,"",F28/D28)</x:f>
        <x:v>0.7472527472527473</x:v>
      </x:c>
      <x:c r="H28" s="12" t="n">
        <x:f>IF(D28=0,"",(M28+P28)/D28)</x:f>
        <x:v>0.7884615384615384</x:v>
      </x:c>
      <x:c r="I28" s="12" t="n">
        <x:f>IF(F28=0,"",M28/F28)</x:f>
        <x:v>0.8198529411764706</x:v>
      </x:c>
      <x:c r="J28" s="12" t="n">
        <x:f>IF(M28+O28=0,"",M28/(M28+O28))</x:f>
        <x:v>0.8884462151394422</x:v>
      </x:c>
      <x:c r="K28" s="12" t="n">
        <x:f>IF(2*M28+N28+O28=0,"",2*M28/(2*M28+N28+O28))</x:f>
        <x:v>0.8527724665391969</x:v>
      </x:c>
      <x:c r="L28" s="12" t="n">
        <x:f>IF(OR(M28+O28=0,P28+N28=0),"",(J28+P28/(P28+N28))/2)</x:f>
        <x:v>0.7274089482776858</x:v>
      </x:c>
      <x:c r="M28" s="11" t="n">
        <x:v>223</x:v>
      </x:c>
      <x:c r="N28" s="11" t="n">
        <x:v>49</x:v>
      </x:c>
      <x:c r="O28" s="11" t="n">
        <x:v>28</x:v>
      </x:c>
      <x:c r="P28" s="11" t="n">
        <x:v>64</x:v>
      </x:c>
    </x:row>
    <x:row r="29" ht="26" customHeight="1">
      <x:c r="A29" s="9" t="str">
        <x:v>验证窗口</x:v>
      </x:c>
      <x:c r="B29" s="9" t="str">
        <x:v>Top1</x:v>
      </x:c>
      <x:c r="C29" s="9" t="str">
        <x:v>四K重选规则</x:v>
      </x:c>
      <x:c r="D29" s="11" t="n">
        <x:f>SUM(M29:P29)</x:f>
        <x:v>364</x:v>
      </x:c>
      <x:c r="E29" s="11" t="n">
        <x:v>270</x:v>
      </x:c>
      <x:c r="F29" s="11" t="n">
        <x:f>M29+N29</x:f>
        <x:v>294</x:v>
      </x:c>
      <x:c r="G29" s="12" t="n">
        <x:f>IF(D29=0,"",F29/D29)</x:f>
        <x:v>0.8076923076923077</x:v>
      </x:c>
      <x:c r="H29" s="12" t="n">
        <x:f>IF(D29=0,"",(M29+P29)/D29)</x:f>
        <x:v>0.7884615384615384</x:v>
      </x:c>
      <x:c r="I29" s="12" t="n">
        <x:f>IF(F29=0,"",M29/F29)</x:f>
        <x:v>0.7959183673469388</x:v>
      </x:c>
      <x:c r="J29" s="12" t="n">
        <x:f>IF(M29+O29=0,"",M29/(M29+O29))</x:f>
        <x:v>0.9322709163346613</x:v>
      </x:c>
      <x:c r="K29" s="12" t="n">
        <x:f>IF(2*M29+N29+O29=0,"",2*M29/(2*M29+N29+O29))</x:f>
        <x:v>0.8587155963302753</x:v>
      </x:c>
      <x:c r="L29" s="12" t="n">
        <x:f>IF(OR(M29+O29=0,P29+N29=0),"",(J29+P29/(P29+N29))/2)</x:f>
        <x:v>0.7006487325036138</x:v>
      </x:c>
      <x:c r="M29" s="11" t="n">
        <x:v>234</x:v>
      </x:c>
      <x:c r="N29" s="11" t="n">
        <x:v>60</x:v>
      </x:c>
      <x:c r="O29" s="11" t="n">
        <x:v>17</x:v>
      </x:c>
      <x:c r="P29" s="11" t="n">
        <x:v>53</x:v>
      </x:c>
    </x:row>
  </x:sheetData>
  <x:pageMargins left="0.7" right="0.7" top="0.75" bottom="0.75" header="0.3" footer="0.3"/>
  <x:tableParts count="1">
    <x:tablePart xmlns:r="http://schemas.openxmlformats.org/officeDocument/2006/relationships" r:id="Re0044957bd34429a"/>
  </x:tableParts>
</x:worksheet>
</file>

<file path=xl/worksheets/sheet2.xml><?xml version="1.0" encoding="utf-8"?>
<x:worksheet xmlns:x="http://schemas.openxmlformats.org/spreadsheetml/2006/main">
  <x:sheetPr>
    <x:tabColor rgb="FF263D53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5" hidden="0" customWidth="1"/>
    <x:col min="4" max="4" width="10" hidden="0" customWidth="1"/>
    <x:col min="5" max="5" width="2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2" ht="26" customHeight="1">
      <x:c r="A2" s="3" t="str">
        <x:v>逐月分类与混淆矩阵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6" customHeight="1">
      <x:c r="A3" s="4" t="str">
        <x:v>目标月按D0模型月份。可筛全部候选或共同可买；四方案使用同一组样本。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6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2" customHeight="1">
      <x:c r="A5" s="7" t="str">
        <x:v>目标月</x:v>
      </x:c>
      <x:c r="B5" s="7" t="str">
        <x:v>样本口径</x:v>
      </x:c>
      <x:c r="C5" s="7" t="str">
        <x:v>集合</x:v>
      </x:c>
      <x:c r="D5" s="7" t="str">
        <x:v>范围</x:v>
      </x:c>
      <x:c r="E5" s="7" t="str">
        <x:v>方案</x:v>
      </x:c>
      <x:c r="F5" s="7" t="str">
        <x:v>评估数</x:v>
      </x:c>
      <x:c r="G5" s="7" t="str">
        <x:v>独立数</x:v>
      </x:c>
      <x:c r="H5" s="7" t="str">
        <x:v>保留数</x:v>
      </x:c>
      <x:c r="I5" s="7" t="str">
        <x:v>保留率</x:v>
      </x:c>
      <x:c r="J5" s="7" t="str">
        <x:v>准确率</x:v>
      </x:c>
      <x:c r="K5" s="7" t="str">
        <x:v>命中率</x:v>
      </x:c>
      <x:c r="L5" s="7" t="str">
        <x:v>召回率</x:v>
      </x:c>
      <x:c r="M5" s="7" t="str">
        <x:v>F1</x:v>
      </x:c>
      <x:c r="N5" s="7" t="str">
        <x:v>平衡准确</x:v>
      </x:c>
      <x:c r="O5" s="7" t="str">
        <x:v>选中再板</x:v>
      </x:c>
      <x:c r="P5" s="7" t="str">
        <x:v>选中未板</x:v>
      </x:c>
      <x:c r="Q5" s="7" t="str">
        <x:v>漏掉再板</x:v>
      </x:c>
      <x:c r="R5" s="7" t="str">
        <x:v>排除未板</x:v>
      </x:c>
    </x:row>
    <x:row r="6" ht="26" customHeight="1">
      <x:c r="A6" s="13" t="n">
        <x:v>46023</x:v>
      </x:c>
      <x:c r="B6" s="9" t="str">
        <x:v>全部候选</x:v>
      </x:c>
      <x:c r="C6" s="9" t="str">
        <x:v>测试</x:v>
      </x:c>
      <x:c r="D6" s="9" t="str">
        <x:v>Top1</x:v>
      </x:c>
      <x:c r="E6" s="9" t="str">
        <x:v>不判形态</x:v>
      </x:c>
      <x:c r="F6" s="11" t="n">
        <x:f>SUM(O6:R6)</x:f>
        <x:v>20</x:v>
      </x:c>
      <x:c r="G6" s="11" t="n">
        <x:v>20</x:v>
      </x:c>
      <x:c r="H6" s="11" t="n">
        <x:f>O6+P6</x:f>
        <x:v>20</x:v>
      </x:c>
      <x:c r="I6" s="12" t="n">
        <x:f>IF(F6=0,"",H6/F6)</x:f>
        <x:v>1</x:v>
      </x:c>
      <x:c r="J6" s="12" t="n">
        <x:f>IF(F6=0,"",(O6+R6)/F6)</x:f>
        <x:v>0.65</x:v>
      </x:c>
      <x:c r="K6" s="12" t="n">
        <x:f>IF(H6=0,"",O6/H6)</x:f>
        <x:v>0.65</x:v>
      </x:c>
      <x:c r="L6" s="12" t="n">
        <x:f>IF(O6+Q6=0,"",O6/(O6+Q6))</x:f>
        <x:v>1</x:v>
      </x:c>
      <x:c r="M6" s="12" t="n">
        <x:f>IF(2*O6+P6+Q6=0,"",2*O6/(2*O6+P6+Q6))</x:f>
        <x:v>0.7878787878787878</x:v>
      </x:c>
      <x:c r="N6" s="12" t="n">
        <x:f>IF(OR(O6+Q6=0,R6+P6=0),"",(L6+R6/(R6+P6))/2)</x:f>
        <x:v>0.5</x:v>
      </x:c>
      <x:c r="O6" s="11" t="n">
        <x:v>13</x:v>
      </x:c>
      <x:c r="P6" s="11" t="n">
        <x:v>7</x:v>
      </x:c>
      <x:c r="Q6" s="11" t="n">
        <x:v>0</x:v>
      </x:c>
      <x:c r="R6" s="11" t="n">
        <x:v>0</x:v>
      </x:c>
    </x:row>
    <x:row r="7" ht="26" customHeight="1">
      <x:c r="A7" s="13" t="n">
        <x:v>46023</x:v>
      </x:c>
      <x:c r="B7" s="9" t="str">
        <x:v>全部候选</x:v>
      </x:c>
      <x:c r="C7" s="9" t="str">
        <x:v>测试</x:v>
      </x:c>
      <x:c r="D7" s="9" t="str">
        <x:v>Top1</x:v>
      </x:c>
      <x:c r="E7" s="9" t="str">
        <x:v>五K原规则</x:v>
      </x:c>
      <x:c r="F7" s="11" t="n">
        <x:f>SUM(O7:R7)</x:f>
        <x:v>20</x:v>
      </x:c>
      <x:c r="G7" s="11" t="n">
        <x:v>20</x:v>
      </x:c>
      <x:c r="H7" s="11" t="n">
        <x:f>O7+P7</x:f>
        <x:v>15</x:v>
      </x:c>
      <x:c r="I7" s="12" t="n">
        <x:f>IF(F7=0,"",H7/F7)</x:f>
        <x:v>0.75</x:v>
      </x:c>
      <x:c r="J7" s="12" t="n">
        <x:f>IF(F7=0,"",(O7+R7)/F7)</x:f>
        <x:v>0.9</x:v>
      </x:c>
      <x:c r="K7" s="12" t="n">
        <x:f>IF(H7=0,"",O7/H7)</x:f>
        <x:v>0.8666666666666667</x:v>
      </x:c>
      <x:c r="L7" s="12" t="n">
        <x:f>IF(O7+Q7=0,"",O7/(O7+Q7))</x:f>
        <x:v>1</x:v>
      </x:c>
      <x:c r="M7" s="12" t="n">
        <x:f>IF(2*O7+P7+Q7=0,"",2*O7/(2*O7+P7+Q7))</x:f>
        <x:v>0.9285714285714286</x:v>
      </x:c>
      <x:c r="N7" s="12" t="n">
        <x:f>IF(OR(O7+Q7=0,R7+P7=0),"",(L7+R7/(R7+P7))/2)</x:f>
        <x:v>0.8571428571428572</x:v>
      </x:c>
      <x:c r="O7" s="11" t="n">
        <x:v>13</x:v>
      </x:c>
      <x:c r="P7" s="11" t="n">
        <x:v>2</x:v>
      </x:c>
      <x:c r="Q7" s="11" t="n">
        <x:v>0</x:v>
      </x:c>
      <x:c r="R7" s="11" t="n">
        <x:v>5</x:v>
      </x:c>
    </x:row>
    <x:row r="8" ht="26" customHeight="1">
      <x:c r="A8" s="13" t="n">
        <x:v>46023</x:v>
      </x:c>
      <x:c r="B8" s="9" t="str">
        <x:v>全部候选</x:v>
      </x:c>
      <x:c r="C8" s="9" t="str">
        <x:v>测试</x:v>
      </x:c>
      <x:c r="D8" s="9" t="str">
        <x:v>Top1</x:v>
      </x:c>
      <x:c r="E8" s="9" t="str">
        <x:v>四K沿用门槛</x:v>
      </x:c>
      <x:c r="F8" s="11" t="n">
        <x:f>SUM(O8:R8)</x:f>
        <x:v>20</x:v>
      </x:c>
      <x:c r="G8" s="11" t="n">
        <x:v>20</x:v>
      </x:c>
      <x:c r="H8" s="11" t="n">
        <x:f>O8+P8</x:f>
        <x:v>16</x:v>
      </x:c>
      <x:c r="I8" s="12" t="n">
        <x:f>IF(F8=0,"",H8/F8)</x:f>
        <x:v>0.8</x:v>
      </x:c>
      <x:c r="J8" s="12" t="n">
        <x:f>IF(F8=0,"",(O8+R8)/F8)</x:f>
        <x:v>0.85</x:v>
      </x:c>
      <x:c r="K8" s="12" t="n">
        <x:f>IF(H8=0,"",O8/H8)</x:f>
        <x:v>0.8125</x:v>
      </x:c>
      <x:c r="L8" s="12" t="n">
        <x:f>IF(O8+Q8=0,"",O8/(O8+Q8))</x:f>
        <x:v>1</x:v>
      </x:c>
      <x:c r="M8" s="12" t="n">
        <x:f>IF(2*O8+P8+Q8=0,"",2*O8/(2*O8+P8+Q8))</x:f>
        <x:v>0.896551724137931</x:v>
      </x:c>
      <x:c r="N8" s="12" t="n">
        <x:f>IF(OR(O8+Q8=0,R8+P8=0),"",(L8+R8/(R8+P8))/2)</x:f>
        <x:v>0.7857142857142857</x:v>
      </x:c>
      <x:c r="O8" s="11" t="n">
        <x:v>13</x:v>
      </x:c>
      <x:c r="P8" s="11" t="n">
        <x:v>3</x:v>
      </x:c>
      <x:c r="Q8" s="11" t="n">
        <x:v>0</x:v>
      </x:c>
      <x:c r="R8" s="11" t="n">
        <x:v>4</x:v>
      </x:c>
    </x:row>
    <x:row r="9" ht="26" customHeight="1">
      <x:c r="A9" s="13" t="n">
        <x:v>46023</x:v>
      </x:c>
      <x:c r="B9" s="9" t="str">
        <x:v>全部候选</x:v>
      </x:c>
      <x:c r="C9" s="9" t="str">
        <x:v>测试</x:v>
      </x:c>
      <x:c r="D9" s="9" t="str">
        <x:v>Top1</x:v>
      </x:c>
      <x:c r="E9" s="9" t="str">
        <x:v>四K重选规则</x:v>
      </x:c>
      <x:c r="F9" s="11" t="n">
        <x:f>SUM(O9:R9)</x:f>
        <x:v>20</x:v>
      </x:c>
      <x:c r="G9" s="11" t="n">
        <x:v>20</x:v>
      </x:c>
      <x:c r="H9" s="11" t="n">
        <x:f>O9+P9</x:f>
        <x:v>10</x:v>
      </x:c>
      <x:c r="I9" s="12" t="n">
        <x:f>IF(F9=0,"",H9/F9)</x:f>
        <x:v>0.5</x:v>
      </x:c>
      <x:c r="J9" s="12" t="n">
        <x:f>IF(F9=0,"",(O9+R9)/F9)</x:f>
        <x:v>0.65</x:v>
      </x:c>
      <x:c r="K9" s="12" t="n">
        <x:f>IF(H9=0,"",O9/H9)</x:f>
        <x:v>0.8</x:v>
      </x:c>
      <x:c r="L9" s="12" t="n">
        <x:f>IF(O9+Q9=0,"",O9/(O9+Q9))</x:f>
        <x:v>0.6153846153846154</x:v>
      </x:c>
      <x:c r="M9" s="12" t="n">
        <x:f>IF(2*O9+P9+Q9=0,"",2*O9/(2*O9+P9+Q9))</x:f>
        <x:v>0.6956521739130435</x:v>
      </x:c>
      <x:c r="N9" s="12" t="n">
        <x:f>IF(OR(O9+Q9=0,R9+P9=0),"",(L9+R9/(R9+P9))/2)</x:f>
        <x:v>0.6648351648351649</x:v>
      </x:c>
      <x:c r="O9" s="11" t="n">
        <x:v>8</x:v>
      </x:c>
      <x:c r="P9" s="11" t="n">
        <x:v>2</x:v>
      </x:c>
      <x:c r="Q9" s="11" t="n">
        <x:v>5</x:v>
      </x:c>
      <x:c r="R9" s="11" t="n">
        <x:v>5</x:v>
      </x:c>
    </x:row>
    <x:row r="10" ht="26" customHeight="1">
      <x:c r="A10" s="13" t="n">
        <x:v>46023</x:v>
      </x:c>
      <x:c r="B10" s="9" t="str">
        <x:v>全部候选</x:v>
      </x:c>
      <x:c r="C10" s="9" t="str">
        <x:v>训练窗口</x:v>
      </x:c>
      <x:c r="D10" s="9" t="str">
        <x:v>Top1</x:v>
      </x:c>
      <x:c r="E10" s="9" t="str">
        <x:v>不判形态</x:v>
      </x:c>
      <x:c r="F10" s="11" t="n">
        <x:f>SUM(O10:R10)</x:f>
        <x:v>118</x:v>
      </x:c>
      <x:c r="G10" s="11" t="n">
        <x:v>118</x:v>
      </x:c>
      <x:c r="H10" s="11" t="n">
        <x:f>O10+P10</x:f>
        <x:v>118</x:v>
      </x:c>
      <x:c r="I10" s="12" t="n">
        <x:f>IF(F10=0,"",H10/F10)</x:f>
        <x:v>1</x:v>
      </x:c>
      <x:c r="J10" s="12" t="n">
        <x:f>IF(F10=0,"",(O10+R10)/F10)</x:f>
        <x:v>0.711864406779661</x:v>
      </x:c>
      <x:c r="K10" s="12" t="n">
        <x:f>IF(H10=0,"",O10/H10)</x:f>
        <x:v>0.711864406779661</x:v>
      </x:c>
      <x:c r="L10" s="12" t="n">
        <x:f>IF(O10+Q10=0,"",O10/(O10+Q10))</x:f>
        <x:v>1</x:v>
      </x:c>
      <x:c r="M10" s="12" t="n">
        <x:f>IF(2*O10+P10+Q10=0,"",2*O10/(2*O10+P10+Q10))</x:f>
        <x:v>0.8316831683168316</x:v>
      </x:c>
      <x:c r="N10" s="12" t="n">
        <x:f>IF(OR(O10+Q10=0,R10+P10=0),"",(L10+R10/(R10+P10))/2)</x:f>
        <x:v>0.5</x:v>
      </x:c>
      <x:c r="O10" s="11" t="n">
        <x:v>84</x:v>
      </x:c>
      <x:c r="P10" s="11" t="n">
        <x:v>34</x:v>
      </x:c>
      <x:c r="Q10" s="11" t="n">
        <x:v>0</x:v>
      </x:c>
      <x:c r="R10" s="11" t="n">
        <x:v>0</x:v>
      </x:c>
    </x:row>
    <x:row r="11" ht="26" customHeight="1">
      <x:c r="A11" s="13" t="n">
        <x:v>46023</x:v>
      </x:c>
      <x:c r="B11" s="9" t="str">
        <x:v>全部候选</x:v>
      </x:c>
      <x:c r="C11" s="9" t="str">
        <x:v>训练窗口</x:v>
      </x:c>
      <x:c r="D11" s="9" t="str">
        <x:v>Top1</x:v>
      </x:c>
      <x:c r="E11" s="9" t="str">
        <x:v>五K原规则</x:v>
      </x:c>
      <x:c r="F11" s="11" t="n">
        <x:f>SUM(O11:R11)</x:f>
        <x:v>118</x:v>
      </x:c>
      <x:c r="G11" s="11" t="n">
        <x:v>118</x:v>
      </x:c>
      <x:c r="H11" s="11" t="n">
        <x:f>O11+P11</x:f>
        <x:v>80</x:v>
      </x:c>
      <x:c r="I11" s="12" t="n">
        <x:f>IF(F11=0,"",H11/F11)</x:f>
        <x:v>0.6779661016949152</x:v>
      </x:c>
      <x:c r="J11" s="12" t="n">
        <x:f>IF(F11=0,"",(O11+R11)/F11)</x:f>
        <x:v>0.7627118644067796</x:v>
      </x:c>
      <x:c r="K11" s="12" t="n">
        <x:f>IF(H11=0,"",O11/H11)</x:f>
        <x:v>0.85</x:v>
      </x:c>
      <x:c r="L11" s="12" t="n">
        <x:f>IF(O11+Q11=0,"",O11/(O11+Q11))</x:f>
        <x:v>0.8095238095238095</x:v>
      </x:c>
      <x:c r="M11" s="12" t="n">
        <x:f>IF(2*O11+P11+Q11=0,"",2*O11/(2*O11+P11+Q11))</x:f>
        <x:v>0.8292682926829268</x:v>
      </x:c>
      <x:c r="N11" s="12" t="n">
        <x:f>IF(OR(O11+Q11=0,R11+P11=0),"",(L11+R11/(R11+P11))/2)</x:f>
        <x:v>0.7282913165266107</x:v>
      </x:c>
      <x:c r="O11" s="11" t="n">
        <x:v>68</x:v>
      </x:c>
      <x:c r="P11" s="11" t="n">
        <x:v>12</x:v>
      </x:c>
      <x:c r="Q11" s="11" t="n">
        <x:v>16</x:v>
      </x:c>
      <x:c r="R11" s="11" t="n">
        <x:v>22</x:v>
      </x:c>
    </x:row>
    <x:row r="12" ht="26" customHeight="1">
      <x:c r="A12" s="13" t="n">
        <x:v>46023</x:v>
      </x:c>
      <x:c r="B12" s="9" t="str">
        <x:v>全部候选</x:v>
      </x:c>
      <x:c r="C12" s="9" t="str">
        <x:v>训练窗口</x:v>
      </x:c>
      <x:c r="D12" s="9" t="str">
        <x:v>Top1</x:v>
      </x:c>
      <x:c r="E12" s="9" t="str">
        <x:v>四K沿用门槛</x:v>
      </x:c>
      <x:c r="F12" s="11" t="n">
        <x:f>SUM(O12:R12)</x:f>
        <x:v>118</x:v>
      </x:c>
      <x:c r="G12" s="11" t="n">
        <x:v>118</x:v>
      </x:c>
      <x:c r="H12" s="11" t="n">
        <x:f>O12+P12</x:f>
        <x:v>82</x:v>
      </x:c>
      <x:c r="I12" s="12" t="n">
        <x:f>IF(F12=0,"",H12/F12)</x:f>
        <x:v>0.6949152542372882</x:v>
      </x:c>
      <x:c r="J12" s="12" t="n">
        <x:f>IF(F12=0,"",(O12+R12)/F12)</x:f>
        <x:v>0.7627118644067796</x:v>
      </x:c>
      <x:c r="K12" s="12" t="n">
        <x:f>IF(H12=0,"",O12/H12)</x:f>
        <x:v>0.8414634146341463</x:v>
      </x:c>
      <x:c r="L12" s="12" t="n">
        <x:f>IF(O12+Q12=0,"",O12/(O12+Q12))</x:f>
        <x:v>0.8214285714285714</x:v>
      </x:c>
      <x:c r="M12" s="12" t="n">
        <x:f>IF(2*O12+P12+Q12=0,"",2*O12/(2*O12+P12+Q12))</x:f>
        <x:v>0.8313253012048193</x:v>
      </x:c>
      <x:c r="N12" s="12" t="n">
        <x:f>IF(OR(O12+Q12=0,R12+P12=0),"",(L12+R12/(R12+P12))/2)</x:f>
        <x:v>0.7195378151260504</x:v>
      </x:c>
      <x:c r="O12" s="11" t="n">
        <x:v>69</x:v>
      </x:c>
      <x:c r="P12" s="11" t="n">
        <x:v>13</x:v>
      </x:c>
      <x:c r="Q12" s="11" t="n">
        <x:v>15</x:v>
      </x:c>
      <x:c r="R12" s="11" t="n">
        <x:v>21</x:v>
      </x:c>
    </x:row>
    <x:row r="13" ht="26" customHeight="1">
      <x:c r="A13" s="13" t="n">
        <x:v>46023</x:v>
      </x:c>
      <x:c r="B13" s="9" t="str">
        <x:v>全部候选</x:v>
      </x:c>
      <x:c r="C13" s="9" t="str">
        <x:v>训练窗口</x:v>
      </x:c>
      <x:c r="D13" s="9" t="str">
        <x:v>Top1</x:v>
      </x:c>
      <x:c r="E13" s="9" t="str">
        <x:v>四K重选规则</x:v>
      </x:c>
      <x:c r="F13" s="11" t="n">
        <x:f>SUM(O13:R13)</x:f>
        <x:v>118</x:v>
      </x:c>
      <x:c r="G13" s="11" t="n">
        <x:v>118</x:v>
      </x:c>
      <x:c r="H13" s="11" t="n">
        <x:f>O13+P13</x:f>
        <x:v>82</x:v>
      </x:c>
      <x:c r="I13" s="12" t="n">
        <x:f>IF(F13=0,"",H13/F13)</x:f>
        <x:v>0.6949152542372882</x:v>
      </x:c>
      <x:c r="J13" s="12" t="n">
        <x:f>IF(F13=0,"",(O13+R13)/F13)</x:f>
        <x:v>0.7457627118644068</x:v>
      </x:c>
      <x:c r="K13" s="12" t="n">
        <x:f>IF(H13=0,"",O13/H13)</x:f>
        <x:v>0.8292682926829268</x:v>
      </x:c>
      <x:c r="L13" s="12" t="n">
        <x:f>IF(O13+Q13=0,"",O13/(O13+Q13))</x:f>
        <x:v>0.8095238095238095</x:v>
      </x:c>
      <x:c r="M13" s="12" t="n">
        <x:f>IF(2*O13+P13+Q13=0,"",2*O13/(2*O13+P13+Q13))</x:f>
        <x:v>0.8192771084337349</x:v>
      </x:c>
      <x:c r="N13" s="12" t="n">
        <x:f>IF(OR(O13+Q13=0,R13+P13=0),"",(L13+R13/(R13+P13))/2)</x:f>
        <x:v>0.6988795518207283</x:v>
      </x:c>
      <x:c r="O13" s="11" t="n">
        <x:v>68</x:v>
      </x:c>
      <x:c r="P13" s="11" t="n">
        <x:v>14</x:v>
      </x:c>
      <x:c r="Q13" s="11" t="n">
        <x:v>16</x:v>
      </x:c>
      <x:c r="R13" s="11" t="n">
        <x:v>20</x:v>
      </x:c>
    </x:row>
    <x:row r="14" ht="26" customHeight="1">
      <x:c r="A14" s="13" t="n">
        <x:v>46023</x:v>
      </x:c>
      <x:c r="B14" s="9" t="str">
        <x:v>全部候选</x:v>
      </x:c>
      <x:c r="C14" s="9" t="str">
        <x:v>验证窗口</x:v>
      </x:c>
      <x:c r="D14" s="9" t="str">
        <x:v>Top1</x:v>
      </x:c>
      <x:c r="E14" s="9" t="str">
        <x:v>不判形态</x:v>
      </x:c>
      <x:c r="F14" s="11" t="n">
        <x:f>SUM(O14:R14)</x:f>
        <x:v>39</x:v>
      </x:c>
      <x:c r="G14" s="11" t="n">
        <x:v>39</x:v>
      </x:c>
      <x:c r="H14" s="11" t="n">
        <x:f>O14+P14</x:f>
        <x:v>39</x:v>
      </x:c>
      <x:c r="I14" s="12" t="n">
        <x:f>IF(F14=0,"",H14/F14)</x:f>
        <x:v>1</x:v>
      </x:c>
      <x:c r="J14" s="12" t="n">
        <x:f>IF(F14=0,"",(O14+R14)/F14)</x:f>
        <x:v>0.8461538461538461</x:v>
      </x:c>
      <x:c r="K14" s="12" t="n">
        <x:f>IF(H14=0,"",O14/H14)</x:f>
        <x:v>0.8461538461538461</x:v>
      </x:c>
      <x:c r="L14" s="12" t="n">
        <x:f>IF(O14+Q14=0,"",O14/(O14+Q14))</x:f>
        <x:v>1</x:v>
      </x:c>
      <x:c r="M14" s="12" t="n">
        <x:f>IF(2*O14+P14+Q14=0,"",2*O14/(2*O14+P14+Q14))</x:f>
        <x:v>0.9166666666666666</x:v>
      </x:c>
      <x:c r="N14" s="12" t="n">
        <x:f>IF(OR(O14+Q14=0,R14+P14=0),"",(L14+R14/(R14+P14))/2)</x:f>
        <x:v>0.5</x:v>
      </x:c>
      <x:c r="O14" s="11" t="n">
        <x:v>33</x:v>
      </x:c>
      <x:c r="P14" s="11" t="n">
        <x:v>6</x:v>
      </x:c>
      <x:c r="Q14" s="11" t="n">
        <x:v>0</x:v>
      </x:c>
      <x:c r="R14" s="11" t="n">
        <x:v>0</x:v>
      </x:c>
    </x:row>
    <x:row r="15" ht="26" customHeight="1">
      <x:c r="A15" s="13" t="n">
        <x:v>46023</x:v>
      </x:c>
      <x:c r="B15" s="9" t="str">
        <x:v>全部候选</x:v>
      </x:c>
      <x:c r="C15" s="9" t="str">
        <x:v>验证窗口</x:v>
      </x:c>
      <x:c r="D15" s="9" t="str">
        <x:v>Top1</x:v>
      </x:c>
      <x:c r="E15" s="9" t="str">
        <x:v>五K原规则</x:v>
      </x:c>
      <x:c r="F15" s="11" t="n">
        <x:f>SUM(O15:R15)</x:f>
        <x:v>39</x:v>
      </x:c>
      <x:c r="G15" s="11" t="n">
        <x:v>39</x:v>
      </x:c>
      <x:c r="H15" s="11" t="n">
        <x:f>O15+P15</x:f>
        <x:v>31</x:v>
      </x:c>
      <x:c r="I15" s="12" t="n">
        <x:f>IF(F15=0,"",H15/F15)</x:f>
        <x:v>0.7948717948717948</x:v>
      </x:c>
      <x:c r="J15" s="12" t="n">
        <x:f>IF(F15=0,"",(O15+R15)/F15)</x:f>
        <x:v>0.8461538461538461</x:v>
      </x:c>
      <x:c r="K15" s="12" t="n">
        <x:f>IF(H15=0,"",O15/H15)</x:f>
        <x:v>0.9354838709677419</x:v>
      </x:c>
      <x:c r="L15" s="12" t="n">
        <x:f>IF(O15+Q15=0,"",O15/(O15+Q15))</x:f>
        <x:v>0.8787878787878788</x:v>
      </x:c>
      <x:c r="M15" s="12" t="n">
        <x:f>IF(2*O15+P15+Q15=0,"",2*O15/(2*O15+P15+Q15))</x:f>
        <x:v>0.90625</x:v>
      </x:c>
      <x:c r="N15" s="12" t="n">
        <x:f>IF(OR(O15+Q15=0,R15+P15=0),"",(L15+R15/(R15+P15))/2)</x:f>
        <x:v>0.7727272727272727</x:v>
      </x:c>
      <x:c r="O15" s="11" t="n">
        <x:v>29</x:v>
      </x:c>
      <x:c r="P15" s="11" t="n">
        <x:v>2</x:v>
      </x:c>
      <x:c r="Q15" s="11" t="n">
        <x:v>4</x:v>
      </x:c>
      <x:c r="R15" s="11" t="n">
        <x:v>4</x:v>
      </x:c>
    </x:row>
    <x:row r="16" ht="26" customHeight="1">
      <x:c r="A16" s="13" t="n">
        <x:v>46023</x:v>
      </x:c>
      <x:c r="B16" s="9" t="str">
        <x:v>全部候选</x:v>
      </x:c>
      <x:c r="C16" s="9" t="str">
        <x:v>验证窗口</x:v>
      </x:c>
      <x:c r="D16" s="9" t="str">
        <x:v>Top1</x:v>
      </x:c>
      <x:c r="E16" s="9" t="str">
        <x:v>四K沿用门槛</x:v>
      </x:c>
      <x:c r="F16" s="11" t="n">
        <x:f>SUM(O16:R16)</x:f>
        <x:v>39</x:v>
      </x:c>
      <x:c r="G16" s="11" t="n">
        <x:v>39</x:v>
      </x:c>
      <x:c r="H16" s="11" t="n">
        <x:f>O16+P16</x:f>
        <x:v>30</x:v>
      </x:c>
      <x:c r="I16" s="12" t="n">
        <x:f>IF(F16=0,"",H16/F16)</x:f>
        <x:v>0.7692307692307693</x:v>
      </x:c>
      <x:c r="J16" s="12" t="n">
        <x:f>IF(F16=0,"",(O16+R16)/F16)</x:f>
        <x:v>0.8205128205128205</x:v>
      </x:c>
      <x:c r="K16" s="12" t="n">
        <x:f>IF(H16=0,"",O16/H16)</x:f>
        <x:v>0.9333333333333333</x:v>
      </x:c>
      <x:c r="L16" s="12" t="n">
        <x:f>IF(O16+Q16=0,"",O16/(O16+Q16))</x:f>
        <x:v>0.8484848484848485</x:v>
      </x:c>
      <x:c r="M16" s="12" t="n">
        <x:f>IF(2*O16+P16+Q16=0,"",2*O16/(2*O16+P16+Q16))</x:f>
        <x:v>0.8888888888888888</x:v>
      </x:c>
      <x:c r="N16" s="12" t="n">
        <x:f>IF(OR(O16+Q16=0,R16+P16=0),"",(L16+R16/(R16+P16))/2)</x:f>
        <x:v>0.7575757575757576</x:v>
      </x:c>
      <x:c r="O16" s="11" t="n">
        <x:v>28</x:v>
      </x:c>
      <x:c r="P16" s="11" t="n">
        <x:v>2</x:v>
      </x:c>
      <x:c r="Q16" s="11" t="n">
        <x:v>5</x:v>
      </x:c>
      <x:c r="R16" s="11" t="n">
        <x:v>4</x:v>
      </x:c>
    </x:row>
    <x:row r="17" ht="26" customHeight="1">
      <x:c r="A17" s="13" t="n">
        <x:v>46023</x:v>
      </x:c>
      <x:c r="B17" s="9" t="str">
        <x:v>全部候选</x:v>
      </x:c>
      <x:c r="C17" s="9" t="str">
        <x:v>验证窗口</x:v>
      </x:c>
      <x:c r="D17" s="9" t="str">
        <x:v>Top1</x:v>
      </x:c>
      <x:c r="E17" s="9" t="str">
        <x:v>四K重选规则</x:v>
      </x:c>
      <x:c r="F17" s="11" t="n">
        <x:f>SUM(O17:R17)</x:f>
        <x:v>39</x:v>
      </x:c>
      <x:c r="G17" s="11" t="n">
        <x:v>39</x:v>
      </x:c>
      <x:c r="H17" s="11" t="n">
        <x:f>O17+P17</x:f>
        <x:v>29</x:v>
      </x:c>
      <x:c r="I17" s="12" t="n">
        <x:f>IF(F17=0,"",H17/F17)</x:f>
        <x:v>0.7435897435897436</x:v>
      </x:c>
      <x:c r="J17" s="12" t="n">
        <x:f>IF(F17=0,"",(O17+R17)/F17)</x:f>
        <x:v>0.8974358974358975</x:v>
      </x:c>
      <x:c r="K17" s="12" t="n">
        <x:f>IF(H17=0,"",O17/H17)</x:f>
        <x:v>1</x:v>
      </x:c>
      <x:c r="L17" s="12" t="n">
        <x:f>IF(O17+Q17=0,"",O17/(O17+Q17))</x:f>
        <x:v>0.8787878787878788</x:v>
      </x:c>
      <x:c r="M17" s="12" t="n">
        <x:f>IF(2*O17+P17+Q17=0,"",2*O17/(2*O17+P17+Q17))</x:f>
        <x:v>0.9354838709677419</x:v>
      </x:c>
      <x:c r="N17" s="12" t="n">
        <x:f>IF(OR(O17+Q17=0,R17+P17=0),"",(L17+R17/(R17+P17))/2)</x:f>
        <x:v>0.9393939393939394</x:v>
      </x:c>
      <x:c r="O17" s="11" t="n">
        <x:v>29</x:v>
      </x:c>
      <x:c r="P17" s="11" t="n">
        <x:v>0</x:v>
      </x:c>
      <x:c r="Q17" s="11" t="n">
        <x:v>4</x:v>
      </x:c>
      <x:c r="R17" s="11" t="n">
        <x:v>6</x:v>
      </x:c>
    </x:row>
    <x:row r="18" ht="26" customHeight="1">
      <x:c r="A18" s="13" t="n">
        <x:v>46054</x:v>
      </x:c>
      <x:c r="B18" s="9" t="str">
        <x:v>全部候选</x:v>
      </x:c>
      <x:c r="C18" s="9" t="str">
        <x:v>测试</x:v>
      </x:c>
      <x:c r="D18" s="9" t="str">
        <x:v>Top1</x:v>
      </x:c>
      <x:c r="E18" s="9" t="str">
        <x:v>不判形态</x:v>
      </x:c>
      <x:c r="F18" s="11" t="n">
        <x:f>SUM(O18:R18)</x:f>
        <x:v>14</x:v>
      </x:c>
      <x:c r="G18" s="11" t="n">
        <x:v>14</x:v>
      </x:c>
      <x:c r="H18" s="11" t="n">
        <x:f>O18+P18</x:f>
        <x:v>14</x:v>
      </x:c>
      <x:c r="I18" s="12" t="n">
        <x:f>IF(F18=0,"",H18/F18)</x:f>
        <x:v>1</x:v>
      </x:c>
      <x:c r="J18" s="12" t="n">
        <x:f>IF(F18=0,"",(O18+R18)/F18)</x:f>
        <x:v>0.7142857142857143</x:v>
      </x:c>
      <x:c r="K18" s="12" t="n">
        <x:f>IF(H18=0,"",O18/H18)</x:f>
        <x:v>0.7142857142857143</x:v>
      </x:c>
      <x:c r="L18" s="12" t="n">
        <x:f>IF(O18+Q18=0,"",O18/(O18+Q18))</x:f>
        <x:v>1</x:v>
      </x:c>
      <x:c r="M18" s="12" t="n">
        <x:f>IF(2*O18+P18+Q18=0,"",2*O18/(2*O18+P18+Q18))</x:f>
        <x:v>0.8333333333333334</x:v>
      </x:c>
      <x:c r="N18" s="12" t="n">
        <x:f>IF(OR(O18+Q18=0,R18+P18=0),"",(L18+R18/(R18+P18))/2)</x:f>
        <x:v>0.5</x:v>
      </x:c>
      <x:c r="O18" s="11" t="n">
        <x:v>10</x:v>
      </x:c>
      <x:c r="P18" s="11" t="n">
        <x:v>4</x:v>
      </x:c>
      <x:c r="Q18" s="11" t="n">
        <x:v>0</x:v>
      </x:c>
      <x:c r="R18" s="11" t="n">
        <x:v>0</x:v>
      </x:c>
    </x:row>
    <x:row r="19" ht="26" customHeight="1">
      <x:c r="A19" s="13" t="n">
        <x:v>46054</x:v>
      </x:c>
      <x:c r="B19" s="9" t="str">
        <x:v>全部候选</x:v>
      </x:c>
      <x:c r="C19" s="9" t="str">
        <x:v>测试</x:v>
      </x:c>
      <x:c r="D19" s="9" t="str">
        <x:v>Top1</x:v>
      </x:c>
      <x:c r="E19" s="9" t="str">
        <x:v>五K原规则</x:v>
      </x:c>
      <x:c r="F19" s="11" t="n">
        <x:f>SUM(O19:R19)</x:f>
        <x:v>14</x:v>
      </x:c>
      <x:c r="G19" s="11" t="n">
        <x:v>14</x:v>
      </x:c>
      <x:c r="H19" s="11" t="n">
        <x:f>O19+P19</x:f>
        <x:v>10</x:v>
      </x:c>
      <x:c r="I19" s="12" t="n">
        <x:f>IF(F19=0,"",H19/F19)</x:f>
        <x:v>0.7142857142857143</x:v>
      </x:c>
      <x:c r="J19" s="12" t="n">
        <x:f>IF(F19=0,"",(O19+R19)/F19)</x:f>
        <x:v>0.7142857142857143</x:v>
      </x:c>
      <x:c r="K19" s="12" t="n">
        <x:f>IF(H19=0,"",O19/H19)</x:f>
        <x:v>0.8</x:v>
      </x:c>
      <x:c r="L19" s="12" t="n">
        <x:f>IF(O19+Q19=0,"",O19/(O19+Q19))</x:f>
        <x:v>0.8</x:v>
      </x:c>
      <x:c r="M19" s="12" t="n">
        <x:f>IF(2*O19+P19+Q19=0,"",2*O19/(2*O19+P19+Q19))</x:f>
        <x:v>0.8</x:v>
      </x:c>
      <x:c r="N19" s="12" t="n">
        <x:f>IF(OR(O19+Q19=0,R19+P19=0),"",(L19+R19/(R19+P19))/2)</x:f>
        <x:v>0.65</x:v>
      </x:c>
      <x:c r="O19" s="11" t="n">
        <x:v>8</x:v>
      </x:c>
      <x:c r="P19" s="11" t="n">
        <x:v>2</x:v>
      </x:c>
      <x:c r="Q19" s="11" t="n">
        <x:v>2</x:v>
      </x:c>
      <x:c r="R19" s="11" t="n">
        <x:v>2</x:v>
      </x:c>
    </x:row>
    <x:row r="20" ht="26" customHeight="1">
      <x:c r="A20" s="13" t="n">
        <x:v>46054</x:v>
      </x:c>
      <x:c r="B20" s="9" t="str">
        <x:v>全部候选</x:v>
      </x:c>
      <x:c r="C20" s="9" t="str">
        <x:v>测试</x:v>
      </x:c>
      <x:c r="D20" s="9" t="str">
        <x:v>Top1</x:v>
      </x:c>
      <x:c r="E20" s="9" t="str">
        <x:v>四K沿用门槛</x:v>
      </x:c>
      <x:c r="F20" s="11" t="n">
        <x:f>SUM(O20:R20)</x:f>
        <x:v>14</x:v>
      </x:c>
      <x:c r="G20" s="11" t="n">
        <x:v>14</x:v>
      </x:c>
      <x:c r="H20" s="11" t="n">
        <x:f>O20+P20</x:f>
        <x:v>10</x:v>
      </x:c>
      <x:c r="I20" s="12" t="n">
        <x:f>IF(F20=0,"",H20/F20)</x:f>
        <x:v>0.7142857142857143</x:v>
      </x:c>
      <x:c r="J20" s="12" t="n">
        <x:f>IF(F20=0,"",(O20+R20)/F20)</x:f>
        <x:v>0.7142857142857143</x:v>
      </x:c>
      <x:c r="K20" s="12" t="n">
        <x:f>IF(H20=0,"",O20/H20)</x:f>
        <x:v>0.8</x:v>
      </x:c>
      <x:c r="L20" s="12" t="n">
        <x:f>IF(O20+Q20=0,"",O20/(O20+Q20))</x:f>
        <x:v>0.8</x:v>
      </x:c>
      <x:c r="M20" s="12" t="n">
        <x:f>IF(2*O20+P20+Q20=0,"",2*O20/(2*O20+P20+Q20))</x:f>
        <x:v>0.8</x:v>
      </x:c>
      <x:c r="N20" s="12" t="n">
        <x:f>IF(OR(O20+Q20=0,R20+P20=0),"",(L20+R20/(R20+P20))/2)</x:f>
        <x:v>0.65</x:v>
      </x:c>
      <x:c r="O20" s="11" t="n">
        <x:v>8</x:v>
      </x:c>
      <x:c r="P20" s="11" t="n">
        <x:v>2</x:v>
      </x:c>
      <x:c r="Q20" s="11" t="n">
        <x:v>2</x:v>
      </x:c>
      <x:c r="R20" s="11" t="n">
        <x:v>2</x:v>
      </x:c>
    </x:row>
    <x:row r="21" ht="26" customHeight="1">
      <x:c r="A21" s="13" t="n">
        <x:v>46054</x:v>
      </x:c>
      <x:c r="B21" s="9" t="str">
        <x:v>全部候选</x:v>
      </x:c>
      <x:c r="C21" s="9" t="str">
        <x:v>测试</x:v>
      </x:c>
      <x:c r="D21" s="9" t="str">
        <x:v>Top1</x:v>
      </x:c>
      <x:c r="E21" s="9" t="str">
        <x:v>四K重选规则</x:v>
      </x:c>
      <x:c r="F21" s="11" t="n">
        <x:f>SUM(O21:R21)</x:f>
        <x:v>14</x:v>
      </x:c>
      <x:c r="G21" s="11" t="n">
        <x:v>14</x:v>
      </x:c>
      <x:c r="H21" s="11" t="n">
        <x:f>O21+P21</x:f>
        <x:v>14</x:v>
      </x:c>
      <x:c r="I21" s="12" t="n">
        <x:f>IF(F21=0,"",H21/F21)</x:f>
        <x:v>1</x:v>
      </x:c>
      <x:c r="J21" s="12" t="n">
        <x:f>IF(F21=0,"",(O21+R21)/F21)</x:f>
        <x:v>0.7142857142857143</x:v>
      </x:c>
      <x:c r="K21" s="12" t="n">
        <x:f>IF(H21=0,"",O21/H21)</x:f>
        <x:v>0.7142857142857143</x:v>
      </x:c>
      <x:c r="L21" s="12" t="n">
        <x:f>IF(O21+Q21=0,"",O21/(O21+Q21))</x:f>
        <x:v>1</x:v>
      </x:c>
      <x:c r="M21" s="12" t="n">
        <x:f>IF(2*O21+P21+Q21=0,"",2*O21/(2*O21+P21+Q21))</x:f>
        <x:v>0.8333333333333334</x:v>
      </x:c>
      <x:c r="N21" s="12" t="n">
        <x:f>IF(OR(O21+Q21=0,R21+P21=0),"",(L21+R21/(R21+P21))/2)</x:f>
        <x:v>0.5</x:v>
      </x:c>
      <x:c r="O21" s="11" t="n">
        <x:v>10</x:v>
      </x:c>
      <x:c r="P21" s="11" t="n">
        <x:v>4</x:v>
      </x:c>
      <x:c r="Q21" s="11" t="n">
        <x:v>0</x:v>
      </x:c>
      <x:c r="R21" s="11" t="n">
        <x:v>0</x:v>
      </x:c>
    </x:row>
    <x:row r="22" ht="26" customHeight="1">
      <x:c r="A22" s="13" t="n">
        <x:v>46054</x:v>
      </x:c>
      <x:c r="B22" s="9" t="str">
        <x:v>全部候选</x:v>
      </x:c>
      <x:c r="C22" s="9" t="str">
        <x:v>训练窗口</x:v>
      </x:c>
      <x:c r="D22" s="9" t="str">
        <x:v>Top1</x:v>
      </x:c>
      <x:c r="E22" s="9" t="str">
        <x:v>不判形态</x:v>
      </x:c>
      <x:c r="F22" s="11" t="n">
        <x:f>SUM(O22:R22)</x:f>
        <x:v>119</x:v>
      </x:c>
      <x:c r="G22" s="11" t="n">
        <x:v>119</x:v>
      </x:c>
      <x:c r="H22" s="11" t="n">
        <x:f>O22+P22</x:f>
        <x:v>119</x:v>
      </x:c>
      <x:c r="I22" s="12" t="n">
        <x:f>IF(F22=0,"",H22/F22)</x:f>
        <x:v>1</x:v>
      </x:c>
      <x:c r="J22" s="12" t="n">
        <x:f>IF(F22=0,"",(O22+R22)/F22)</x:f>
        <x:v>0.7142857142857143</x:v>
      </x:c>
      <x:c r="K22" s="12" t="n">
        <x:f>IF(H22=0,"",O22/H22)</x:f>
        <x:v>0.7142857142857143</x:v>
      </x:c>
      <x:c r="L22" s="12" t="n">
        <x:f>IF(O22+Q22=0,"",O22/(O22+Q22))</x:f>
        <x:v>1</x:v>
      </x:c>
      <x:c r="M22" s="12" t="n">
        <x:f>IF(2*O22+P22+Q22=0,"",2*O22/(2*O22+P22+Q22))</x:f>
        <x:v>0.8333333333333334</x:v>
      </x:c>
      <x:c r="N22" s="12" t="n">
        <x:f>IF(OR(O22+Q22=0,R22+P22=0),"",(L22+R22/(R22+P22))/2)</x:f>
        <x:v>0.5</x:v>
      </x:c>
      <x:c r="O22" s="11" t="n">
        <x:v>85</x:v>
      </x:c>
      <x:c r="P22" s="11" t="n">
        <x:v>34</x:v>
      </x:c>
      <x:c r="Q22" s="11" t="n">
        <x:v>0</x:v>
      </x:c>
      <x:c r="R22" s="11" t="n">
        <x:v>0</x:v>
      </x:c>
    </x:row>
    <x:row r="23" ht="26" customHeight="1">
      <x:c r="A23" s="13" t="n">
        <x:v>46054</x:v>
      </x:c>
      <x:c r="B23" s="9" t="str">
        <x:v>全部候选</x:v>
      </x:c>
      <x:c r="C23" s="9" t="str">
        <x:v>训练窗口</x:v>
      </x:c>
      <x:c r="D23" s="9" t="str">
        <x:v>Top1</x:v>
      </x:c>
      <x:c r="E23" s="9" t="str">
        <x:v>五K原规则</x:v>
      </x:c>
      <x:c r="F23" s="11" t="n">
        <x:f>SUM(O23:R23)</x:f>
        <x:v>119</x:v>
      </x:c>
      <x:c r="G23" s="11" t="n">
        <x:v>119</x:v>
      </x:c>
      <x:c r="H23" s="11" t="n">
        <x:f>O23+P23</x:f>
        <x:v>80</x:v>
      </x:c>
      <x:c r="I23" s="12" t="n">
        <x:f>IF(F23=0,"",H23/F23)</x:f>
        <x:v>0.6722689075630253</x:v>
      </x:c>
      <x:c r="J23" s="12" t="n">
        <x:f>IF(F23=0,"",(O23+R23)/F23)</x:f>
        <x:v>0.7899159663865546</x:v>
      </x:c>
      <x:c r="K23" s="12" t="n">
        <x:f>IF(H23=0,"",O23/H23)</x:f>
        <x:v>0.875</x:v>
      </x:c>
      <x:c r="L23" s="12" t="n">
        <x:f>IF(O23+Q23=0,"",O23/(O23+Q23))</x:f>
        <x:v>0.8235294117647058</x:v>
      </x:c>
      <x:c r="M23" s="12" t="n">
        <x:f>IF(2*O23+P23+Q23=0,"",2*O23/(2*O23+P23+Q23))</x:f>
        <x:v>0.8484848484848485</x:v>
      </x:c>
      <x:c r="N23" s="12" t="n">
        <x:f>IF(OR(O23+Q23=0,R23+P23=0),"",(L23+R23/(R23+P23))/2)</x:f>
        <x:v>0.7647058823529411</x:v>
      </x:c>
      <x:c r="O23" s="11" t="n">
        <x:v>70</x:v>
      </x:c>
      <x:c r="P23" s="11" t="n">
        <x:v>10</x:v>
      </x:c>
      <x:c r="Q23" s="11" t="n">
        <x:v>15</x:v>
      </x:c>
      <x:c r="R23" s="11" t="n">
        <x:v>24</x:v>
      </x:c>
    </x:row>
    <x:row r="24" ht="26" customHeight="1">
      <x:c r="A24" s="13" t="n">
        <x:v>46054</x:v>
      </x:c>
      <x:c r="B24" s="9" t="str">
        <x:v>全部候选</x:v>
      </x:c>
      <x:c r="C24" s="9" t="str">
        <x:v>训练窗口</x:v>
      </x:c>
      <x:c r="D24" s="9" t="str">
        <x:v>Top1</x:v>
      </x:c>
      <x:c r="E24" s="9" t="str">
        <x:v>四K沿用门槛</x:v>
      </x:c>
      <x:c r="F24" s="11" t="n">
        <x:f>SUM(O24:R24)</x:f>
        <x:v>119</x:v>
      </x:c>
      <x:c r="G24" s="11" t="n">
        <x:v>119</x:v>
      </x:c>
      <x:c r="H24" s="11" t="n">
        <x:f>O24+P24</x:f>
        <x:v>82</x:v>
      </x:c>
      <x:c r="I24" s="12" t="n">
        <x:f>IF(F24=0,"",H24/F24)</x:f>
        <x:v>0.6890756302521008</x:v>
      </x:c>
      <x:c r="J24" s="12" t="n">
        <x:f>IF(F24=0,"",(O24+R24)/F24)</x:f>
        <x:v>0.7899159663865546</x:v>
      </x:c>
      <x:c r="K24" s="12" t="n">
        <x:f>IF(H24=0,"",O24/H24)</x:f>
        <x:v>0.8658536585365854</x:v>
      </x:c>
      <x:c r="L24" s="12" t="n">
        <x:f>IF(O24+Q24=0,"",O24/(O24+Q24))</x:f>
        <x:v>0.8352941176470589</x:v>
      </x:c>
      <x:c r="M24" s="12" t="n">
        <x:f>IF(2*O24+P24+Q24=0,"",2*O24/(2*O24+P24+Q24))</x:f>
        <x:v>0.8502994011976048</x:v>
      </x:c>
      <x:c r="N24" s="12" t="n">
        <x:f>IF(OR(O24+Q24=0,R24+P24=0),"",(L24+R24/(R24+P24))/2)</x:f>
        <x:v>0.7558823529411764</x:v>
      </x:c>
      <x:c r="O24" s="11" t="n">
        <x:v>71</x:v>
      </x:c>
      <x:c r="P24" s="11" t="n">
        <x:v>11</x:v>
      </x:c>
      <x:c r="Q24" s="11" t="n">
        <x:v>14</x:v>
      </x:c>
      <x:c r="R24" s="11" t="n">
        <x:v>23</x:v>
      </x:c>
    </x:row>
    <x:row r="25" ht="26" customHeight="1">
      <x:c r="A25" s="13" t="n">
        <x:v>46054</x:v>
      </x:c>
      <x:c r="B25" s="9" t="str">
        <x:v>全部候选</x:v>
      </x:c>
      <x:c r="C25" s="9" t="str">
        <x:v>训练窗口</x:v>
      </x:c>
      <x:c r="D25" s="9" t="str">
        <x:v>Top1</x:v>
      </x:c>
      <x:c r="E25" s="9" t="str">
        <x:v>四K重选规则</x:v>
      </x:c>
      <x:c r="F25" s="11" t="n">
        <x:f>SUM(O25:R25)</x:f>
        <x:v>119</x:v>
      </x:c>
      <x:c r="G25" s="11" t="n">
        <x:v>119</x:v>
      </x:c>
      <x:c r="H25" s="11" t="n">
        <x:f>O25+P25</x:f>
        <x:v>119</x:v>
      </x:c>
      <x:c r="I25" s="12" t="n">
        <x:f>IF(F25=0,"",H25/F25)</x:f>
        <x:v>1</x:v>
      </x:c>
      <x:c r="J25" s="12" t="n">
        <x:f>IF(F25=0,"",(O25+R25)/F25)</x:f>
        <x:v>0.7142857142857143</x:v>
      </x:c>
      <x:c r="K25" s="12" t="n">
        <x:f>IF(H25=0,"",O25/H25)</x:f>
        <x:v>0.7142857142857143</x:v>
      </x:c>
      <x:c r="L25" s="12" t="n">
        <x:f>IF(O25+Q25=0,"",O25/(O25+Q25))</x:f>
        <x:v>1</x:v>
      </x:c>
      <x:c r="M25" s="12" t="n">
        <x:f>IF(2*O25+P25+Q25=0,"",2*O25/(2*O25+P25+Q25))</x:f>
        <x:v>0.8333333333333334</x:v>
      </x:c>
      <x:c r="N25" s="12" t="n">
        <x:f>IF(OR(O25+Q25=0,R25+P25=0),"",(L25+R25/(R25+P25))/2)</x:f>
        <x:v>0.5</x:v>
      </x:c>
      <x:c r="O25" s="11" t="n">
        <x:v>85</x:v>
      </x:c>
      <x:c r="P25" s="11" t="n">
        <x:v>34</x:v>
      </x:c>
      <x:c r="Q25" s="11" t="n">
        <x:v>0</x:v>
      </x:c>
      <x:c r="R25" s="11" t="n">
        <x:v>0</x:v>
      </x:c>
    </x:row>
    <x:row r="26" ht="26" customHeight="1">
      <x:c r="A26" s="13" t="n">
        <x:v>46054</x:v>
      </x:c>
      <x:c r="B26" s="9" t="str">
        <x:v>全部候选</x:v>
      </x:c>
      <x:c r="C26" s="9" t="str">
        <x:v>验证窗口</x:v>
      </x:c>
      <x:c r="D26" s="9" t="str">
        <x:v>Top1</x:v>
      </x:c>
      <x:c r="E26" s="9" t="str">
        <x:v>不判形态</x:v>
      </x:c>
      <x:c r="F26" s="11" t="n">
        <x:f>SUM(O26:R26)</x:f>
        <x:v>39</x:v>
      </x:c>
      <x:c r="G26" s="11" t="n">
        <x:v>39</x:v>
      </x:c>
      <x:c r="H26" s="11" t="n">
        <x:f>O26+P26</x:f>
        <x:v>39</x:v>
      </x:c>
      <x:c r="I26" s="12" t="n">
        <x:f>IF(F26=0,"",H26/F26)</x:f>
        <x:v>1</x:v>
      </x:c>
      <x:c r="J26" s="12" t="n">
        <x:f>IF(F26=0,"",(O26+R26)/F26)</x:f>
        <x:v>0.6923076923076923</x:v>
      </x:c>
      <x:c r="K26" s="12" t="n">
        <x:f>IF(H26=0,"",O26/H26)</x:f>
        <x:v>0.6923076923076923</x:v>
      </x:c>
      <x:c r="L26" s="12" t="n">
        <x:f>IF(O26+Q26=0,"",O26/(O26+Q26))</x:f>
        <x:v>1</x:v>
      </x:c>
      <x:c r="M26" s="12" t="n">
        <x:f>IF(2*O26+P26+Q26=0,"",2*O26/(2*O26+P26+Q26))</x:f>
        <x:v>0.8181818181818182</x:v>
      </x:c>
      <x:c r="N26" s="12" t="n">
        <x:f>IF(OR(O26+Q26=0,R26+P26=0),"",(L26+R26/(R26+P26))/2)</x:f>
        <x:v>0.5</x:v>
      </x:c>
      <x:c r="O26" s="11" t="n">
        <x:v>27</x:v>
      </x:c>
      <x:c r="P26" s="11" t="n">
        <x:v>12</x:v>
      </x:c>
      <x:c r="Q26" s="11" t="n">
        <x:v>0</x:v>
      </x:c>
      <x:c r="R26" s="11" t="n">
        <x:v>0</x:v>
      </x:c>
    </x:row>
    <x:row r="27" ht="26" customHeight="1">
      <x:c r="A27" s="13" t="n">
        <x:v>46054</x:v>
      </x:c>
      <x:c r="B27" s="9" t="str">
        <x:v>全部候选</x:v>
      </x:c>
      <x:c r="C27" s="9" t="str">
        <x:v>验证窗口</x:v>
      </x:c>
      <x:c r="D27" s="9" t="str">
        <x:v>Top1</x:v>
      </x:c>
      <x:c r="E27" s="9" t="str">
        <x:v>五K原规则</x:v>
      </x:c>
      <x:c r="F27" s="11" t="n">
        <x:f>SUM(O27:R27)</x:f>
        <x:v>39</x:v>
      </x:c>
      <x:c r="G27" s="11" t="n">
        <x:v>39</x:v>
      </x:c>
      <x:c r="H27" s="11" t="n">
        <x:f>O27+P27</x:f>
        <x:v>27</x:v>
      </x:c>
      <x:c r="I27" s="12" t="n">
        <x:f>IF(F27=0,"",H27/F27)</x:f>
        <x:v>0.6923076923076923</x:v>
      </x:c>
      <x:c r="J27" s="12" t="n">
        <x:f>IF(F27=0,"",(O27+R27)/F27)</x:f>
        <x:v>0.8974358974358975</x:v>
      </x:c>
      <x:c r="K27" s="12" t="n">
        <x:f>IF(H27=0,"",O27/H27)</x:f>
        <x:v>0.9259259259259259</x:v>
      </x:c>
      <x:c r="L27" s="12" t="n">
        <x:f>IF(O27+Q27=0,"",O27/(O27+Q27))</x:f>
        <x:v>0.9259259259259259</x:v>
      </x:c>
      <x:c r="M27" s="12" t="n">
        <x:f>IF(2*O27+P27+Q27=0,"",2*O27/(2*O27+P27+Q27))</x:f>
        <x:v>0.9259259259259259</x:v>
      </x:c>
      <x:c r="N27" s="12" t="n">
        <x:f>IF(OR(O27+Q27=0,R27+P27=0),"",(L27+R27/(R27+P27))/2)</x:f>
        <x:v>0.8796296296296297</x:v>
      </x:c>
      <x:c r="O27" s="11" t="n">
        <x:v>25</x:v>
      </x:c>
      <x:c r="P27" s="11" t="n">
        <x:v>2</x:v>
      </x:c>
      <x:c r="Q27" s="11" t="n">
        <x:v>2</x:v>
      </x:c>
      <x:c r="R27" s="11" t="n">
        <x:v>10</x:v>
      </x:c>
    </x:row>
    <x:row r="28" ht="26" customHeight="1">
      <x:c r="A28" s="13" t="n">
        <x:v>46054</x:v>
      </x:c>
      <x:c r="B28" s="9" t="str">
        <x:v>全部候选</x:v>
      </x:c>
      <x:c r="C28" s="9" t="str">
        <x:v>验证窗口</x:v>
      </x:c>
      <x:c r="D28" s="9" t="str">
        <x:v>Top1</x:v>
      </x:c>
      <x:c r="E28" s="9" t="str">
        <x:v>四K沿用门槛</x:v>
      </x:c>
      <x:c r="F28" s="11" t="n">
        <x:f>SUM(O28:R28)</x:f>
        <x:v>39</x:v>
      </x:c>
      <x:c r="G28" s="11" t="n">
        <x:v>39</x:v>
      </x:c>
      <x:c r="H28" s="11" t="n">
        <x:f>O28+P28</x:f>
        <x:v>28</x:v>
      </x:c>
      <x:c r="I28" s="12" t="n">
        <x:f>IF(F28=0,"",H28/F28)</x:f>
        <x:v>0.717948717948718</x:v>
      </x:c>
      <x:c r="J28" s="12" t="n">
        <x:f>IF(F28=0,"",(O28+R28)/F28)</x:f>
        <x:v>0.8717948717948718</x:v>
      </x:c>
      <x:c r="K28" s="12" t="n">
        <x:f>IF(H28=0,"",O28/H28)</x:f>
        <x:v>0.8928571428571429</x:v>
      </x:c>
      <x:c r="L28" s="12" t="n">
        <x:f>IF(O28+Q28=0,"",O28/(O28+Q28))</x:f>
        <x:v>0.9259259259259259</x:v>
      </x:c>
      <x:c r="M28" s="12" t="n">
        <x:f>IF(2*O28+P28+Q28=0,"",2*O28/(2*O28+P28+Q28))</x:f>
        <x:v>0.9090909090909091</x:v>
      </x:c>
      <x:c r="N28" s="12" t="n">
        <x:f>IF(OR(O28+Q28=0,R28+P28=0),"",(L28+R28/(R28+P28))/2)</x:f>
        <x:v>0.837962962962963</x:v>
      </x:c>
      <x:c r="O28" s="11" t="n">
        <x:v>25</x:v>
      </x:c>
      <x:c r="P28" s="11" t="n">
        <x:v>3</x:v>
      </x:c>
      <x:c r="Q28" s="11" t="n">
        <x:v>2</x:v>
      </x:c>
      <x:c r="R28" s="11" t="n">
        <x:v>9</x:v>
      </x:c>
    </x:row>
    <x:row r="29" ht="26" customHeight="1">
      <x:c r="A29" s="13" t="n">
        <x:v>46054</x:v>
      </x:c>
      <x:c r="B29" s="9" t="str">
        <x:v>全部候选</x:v>
      </x:c>
      <x:c r="C29" s="9" t="str">
        <x:v>验证窗口</x:v>
      </x:c>
      <x:c r="D29" s="9" t="str">
        <x:v>Top1</x:v>
      </x:c>
      <x:c r="E29" s="9" t="str">
        <x:v>四K重选规则</x:v>
      </x:c>
      <x:c r="F29" s="11" t="n">
        <x:f>SUM(O29:R29)</x:f>
        <x:v>39</x:v>
      </x:c>
      <x:c r="G29" s="11" t="n">
        <x:v>39</x:v>
      </x:c>
      <x:c r="H29" s="11" t="n">
        <x:f>O29+P29</x:f>
        <x:v>39</x:v>
      </x:c>
      <x:c r="I29" s="12" t="n">
        <x:f>IF(F29=0,"",H29/F29)</x:f>
        <x:v>1</x:v>
      </x:c>
      <x:c r="J29" s="12" t="n">
        <x:f>IF(F29=0,"",(O29+R29)/F29)</x:f>
        <x:v>0.6923076923076923</x:v>
      </x:c>
      <x:c r="K29" s="12" t="n">
        <x:f>IF(H29=0,"",O29/H29)</x:f>
        <x:v>0.6923076923076923</x:v>
      </x:c>
      <x:c r="L29" s="12" t="n">
        <x:f>IF(O29+Q29=0,"",O29/(O29+Q29))</x:f>
        <x:v>1</x:v>
      </x:c>
      <x:c r="M29" s="12" t="n">
        <x:f>IF(2*O29+P29+Q29=0,"",2*O29/(2*O29+P29+Q29))</x:f>
        <x:v>0.8181818181818182</x:v>
      </x:c>
      <x:c r="N29" s="12" t="n">
        <x:f>IF(OR(O29+Q29=0,R29+P29=0),"",(L29+R29/(R29+P29))/2)</x:f>
        <x:v>0.5</x:v>
      </x:c>
      <x:c r="O29" s="11" t="n">
        <x:v>27</x:v>
      </x:c>
      <x:c r="P29" s="11" t="n">
        <x:v>12</x:v>
      </x:c>
      <x:c r="Q29" s="11" t="n">
        <x:v>0</x:v>
      </x:c>
      <x:c r="R29" s="11" t="n">
        <x:v>0</x:v>
      </x:c>
    </x:row>
    <x:row r="30" ht="26" customHeight="1">
      <x:c r="A30" s="13" t="n">
        <x:v>46082</x:v>
      </x:c>
      <x:c r="B30" s="9" t="str">
        <x:v>全部候选</x:v>
      </x:c>
      <x:c r="C30" s="9" t="str">
        <x:v>测试</x:v>
      </x:c>
      <x:c r="D30" s="9" t="str">
        <x:v>Top1</x:v>
      </x:c>
      <x:c r="E30" s="9" t="str">
        <x:v>不判形态</x:v>
      </x:c>
      <x:c r="F30" s="11" t="n">
        <x:f>SUM(O30:R30)</x:f>
        <x:v>22</x:v>
      </x:c>
      <x:c r="G30" s="11" t="n">
        <x:v>22</x:v>
      </x:c>
      <x:c r="H30" s="11" t="n">
        <x:f>O30+P30</x:f>
        <x:v>22</x:v>
      </x:c>
      <x:c r="I30" s="12" t="n">
        <x:f>IF(F30=0,"",H30/F30)</x:f>
        <x:v>1</x:v>
      </x:c>
      <x:c r="J30" s="12" t="n">
        <x:f>IF(F30=0,"",(O30+R30)/F30)</x:f>
        <x:v>0.7727272727272727</x:v>
      </x:c>
      <x:c r="K30" s="12" t="n">
        <x:f>IF(H30=0,"",O30/H30)</x:f>
        <x:v>0.7727272727272727</x:v>
      </x:c>
      <x:c r="L30" s="12" t="n">
        <x:f>IF(O30+Q30=0,"",O30/(O30+Q30))</x:f>
        <x:v>1</x:v>
      </x:c>
      <x:c r="M30" s="12" t="n">
        <x:f>IF(2*O30+P30+Q30=0,"",2*O30/(2*O30+P30+Q30))</x:f>
        <x:v>0.8717948717948718</x:v>
      </x:c>
      <x:c r="N30" s="12" t="n">
        <x:f>IF(OR(O30+Q30=0,R30+P30=0),"",(L30+R30/(R30+P30))/2)</x:f>
        <x:v>0.5</x:v>
      </x:c>
      <x:c r="O30" s="11" t="n">
        <x:v>17</x:v>
      </x:c>
      <x:c r="P30" s="11" t="n">
        <x:v>5</x:v>
      </x:c>
      <x:c r="Q30" s="11" t="n">
        <x:v>0</x:v>
      </x:c>
      <x:c r="R30" s="11" t="n">
        <x:v>0</x:v>
      </x:c>
    </x:row>
    <x:row r="31" ht="26" customHeight="1">
      <x:c r="A31" s="13" t="n">
        <x:v>46082</x:v>
      </x:c>
      <x:c r="B31" s="9" t="str">
        <x:v>全部候选</x:v>
      </x:c>
      <x:c r="C31" s="9" t="str">
        <x:v>测试</x:v>
      </x:c>
      <x:c r="D31" s="9" t="str">
        <x:v>Top1</x:v>
      </x:c>
      <x:c r="E31" s="9" t="str">
        <x:v>五K原规则</x:v>
      </x:c>
      <x:c r="F31" s="11" t="n">
        <x:f>SUM(O31:R31)</x:f>
        <x:v>22</x:v>
      </x:c>
      <x:c r="G31" s="11" t="n">
        <x:v>22</x:v>
      </x:c>
      <x:c r="H31" s="11" t="n">
        <x:f>O31+P31</x:f>
        <x:v>16</x:v>
      </x:c>
      <x:c r="I31" s="12" t="n">
        <x:f>IF(F31=0,"",H31/F31)</x:f>
        <x:v>0.7272727272727273</x:v>
      </x:c>
      <x:c r="J31" s="12" t="n">
        <x:f>IF(F31=0,"",(O31+R31)/F31)</x:f>
        <x:v>0.8636363636363636</x:v>
      </x:c>
      <x:c r="K31" s="12" t="n">
        <x:f>IF(H31=0,"",O31/H31)</x:f>
        <x:v>0.9375</x:v>
      </x:c>
      <x:c r="L31" s="12" t="n">
        <x:f>IF(O31+Q31=0,"",O31/(O31+Q31))</x:f>
        <x:v>0.8823529411764706</x:v>
      </x:c>
      <x:c r="M31" s="12" t="n">
        <x:f>IF(2*O31+P31+Q31=0,"",2*O31/(2*O31+P31+Q31))</x:f>
        <x:v>0.9090909090909091</x:v>
      </x:c>
      <x:c r="N31" s="12" t="n">
        <x:f>IF(OR(O31+Q31=0,R31+P31=0),"",(L31+R31/(R31+P31))/2)</x:f>
        <x:v>0.8411764705882353</x:v>
      </x:c>
      <x:c r="O31" s="11" t="n">
        <x:v>15</x:v>
      </x:c>
      <x:c r="P31" s="11" t="n">
        <x:v>1</x:v>
      </x:c>
      <x:c r="Q31" s="11" t="n">
        <x:v>2</x:v>
      </x:c>
      <x:c r="R31" s="11" t="n">
        <x:v>4</x:v>
      </x:c>
    </x:row>
    <x:row r="32" ht="26" customHeight="1">
      <x:c r="A32" s="13" t="n">
        <x:v>46082</x:v>
      </x:c>
      <x:c r="B32" s="9" t="str">
        <x:v>全部候选</x:v>
      </x:c>
      <x:c r="C32" s="9" t="str">
        <x:v>测试</x:v>
      </x:c>
      <x:c r="D32" s="9" t="str">
        <x:v>Top1</x:v>
      </x:c>
      <x:c r="E32" s="9" t="str">
        <x:v>四K沿用门槛</x:v>
      </x:c>
      <x:c r="F32" s="11" t="n">
        <x:f>SUM(O32:R32)</x:f>
        <x:v>22</x:v>
      </x:c>
      <x:c r="G32" s="11" t="n">
        <x:v>22</x:v>
      </x:c>
      <x:c r="H32" s="11" t="n">
        <x:f>O32+P32</x:f>
        <x:v>16</x:v>
      </x:c>
      <x:c r="I32" s="12" t="n">
        <x:f>IF(F32=0,"",H32/F32)</x:f>
        <x:v>0.7272727272727273</x:v>
      </x:c>
      <x:c r="J32" s="12" t="n">
        <x:f>IF(F32=0,"",(O32+R32)/F32)</x:f>
        <x:v>0.8636363636363636</x:v>
      </x:c>
      <x:c r="K32" s="12" t="n">
        <x:f>IF(H32=0,"",O32/H32)</x:f>
        <x:v>0.9375</x:v>
      </x:c>
      <x:c r="L32" s="12" t="n">
        <x:f>IF(O32+Q32=0,"",O32/(O32+Q32))</x:f>
        <x:v>0.8823529411764706</x:v>
      </x:c>
      <x:c r="M32" s="12" t="n">
        <x:f>IF(2*O32+P32+Q32=0,"",2*O32/(2*O32+P32+Q32))</x:f>
        <x:v>0.9090909090909091</x:v>
      </x:c>
      <x:c r="N32" s="12" t="n">
        <x:f>IF(OR(O32+Q32=0,R32+P32=0),"",(L32+R32/(R32+P32))/2)</x:f>
        <x:v>0.8411764705882353</x:v>
      </x:c>
      <x:c r="O32" s="11" t="n">
        <x:v>15</x:v>
      </x:c>
      <x:c r="P32" s="11" t="n">
        <x:v>1</x:v>
      </x:c>
      <x:c r="Q32" s="11" t="n">
        <x:v>2</x:v>
      </x:c>
      <x:c r="R32" s="11" t="n">
        <x:v>4</x:v>
      </x:c>
    </x:row>
    <x:row r="33" ht="26" customHeight="1">
      <x:c r="A33" s="13" t="n">
        <x:v>46082</x:v>
      </x:c>
      <x:c r="B33" s="9" t="str">
        <x:v>全部候选</x:v>
      </x:c>
      <x:c r="C33" s="9" t="str">
        <x:v>测试</x:v>
      </x:c>
      <x:c r="D33" s="9" t="str">
        <x:v>Top1</x:v>
      </x:c>
      <x:c r="E33" s="9" t="str">
        <x:v>四K重选规则</x:v>
      </x:c>
      <x:c r="F33" s="11" t="n">
        <x:f>SUM(O33:R33)</x:f>
        <x:v>22</x:v>
      </x:c>
      <x:c r="G33" s="11" t="n">
        <x:v>22</x:v>
      </x:c>
      <x:c r="H33" s="11" t="n">
        <x:f>O33+P33</x:f>
        <x:v>17</x:v>
      </x:c>
      <x:c r="I33" s="12" t="n">
        <x:f>IF(F33=0,"",H33/F33)</x:f>
        <x:v>0.7727272727272727</x:v>
      </x:c>
      <x:c r="J33" s="12" t="n">
        <x:f>IF(F33=0,"",(O33+R33)/F33)</x:f>
        <x:v>0.8181818181818182</x:v>
      </x:c>
      <x:c r="K33" s="12" t="n">
        <x:f>IF(H33=0,"",O33/H33)</x:f>
        <x:v>0.8823529411764706</x:v>
      </x:c>
      <x:c r="L33" s="12" t="n">
        <x:f>IF(O33+Q33=0,"",O33/(O33+Q33))</x:f>
        <x:v>0.8823529411764706</x:v>
      </x:c>
      <x:c r="M33" s="12" t="n">
        <x:f>IF(2*O33+P33+Q33=0,"",2*O33/(2*O33+P33+Q33))</x:f>
        <x:v>0.8823529411764706</x:v>
      </x:c>
      <x:c r="N33" s="12" t="n">
        <x:f>IF(OR(O33+Q33=0,R33+P33=0),"",(L33+R33/(R33+P33))/2)</x:f>
        <x:v>0.7411764705882353</x:v>
      </x:c>
      <x:c r="O33" s="11" t="n">
        <x:v>15</x:v>
      </x:c>
      <x:c r="P33" s="11" t="n">
        <x:v>2</x:v>
      </x:c>
      <x:c r="Q33" s="11" t="n">
        <x:v>2</x:v>
      </x:c>
      <x:c r="R33" s="11" t="n">
        <x:v>3</x:v>
      </x:c>
    </x:row>
    <x:row r="34" ht="26" customHeight="1">
      <x:c r="A34" s="13" t="n">
        <x:v>46082</x:v>
      </x:c>
      <x:c r="B34" s="9" t="str">
        <x:v>全部候选</x:v>
      </x:c>
      <x:c r="C34" s="9" t="str">
        <x:v>训练窗口</x:v>
      </x:c>
      <x:c r="D34" s="9" t="str">
        <x:v>Top1</x:v>
      </x:c>
      <x:c r="E34" s="9" t="str">
        <x:v>不判形态</x:v>
      </x:c>
      <x:c r="F34" s="11" t="n">
        <x:f>SUM(O34:R34)</x:f>
        <x:v>122</x:v>
      </x:c>
      <x:c r="G34" s="11" t="n">
        <x:v>122</x:v>
      </x:c>
      <x:c r="H34" s="11" t="n">
        <x:f>O34+P34</x:f>
        <x:v>122</x:v>
      </x:c>
      <x:c r="I34" s="12" t="n">
        <x:f>IF(F34=0,"",H34/F34)</x:f>
        <x:v>1</x:v>
      </x:c>
      <x:c r="J34" s="12" t="n">
        <x:f>IF(F34=0,"",(O34+R34)/F34)</x:f>
        <x:v>0.7377049180327869</x:v>
      </x:c>
      <x:c r="K34" s="12" t="n">
        <x:f>IF(H34=0,"",O34/H34)</x:f>
        <x:v>0.7377049180327869</x:v>
      </x:c>
      <x:c r="L34" s="12" t="n">
        <x:f>IF(O34+Q34=0,"",O34/(O34+Q34))</x:f>
        <x:v>1</x:v>
      </x:c>
      <x:c r="M34" s="12" t="n">
        <x:f>IF(2*O34+P34+Q34=0,"",2*O34/(2*O34+P34+Q34))</x:f>
        <x:v>0.8490566037735849</x:v>
      </x:c>
      <x:c r="N34" s="12" t="n">
        <x:f>IF(OR(O34+Q34=0,R34+P34=0),"",(L34+R34/(R34+P34))/2)</x:f>
        <x:v>0.5</x:v>
      </x:c>
      <x:c r="O34" s="11" t="n">
        <x:v>90</x:v>
      </x:c>
      <x:c r="P34" s="11" t="n">
        <x:v>32</x:v>
      </x:c>
      <x:c r="Q34" s="11" t="n">
        <x:v>0</x:v>
      </x:c>
      <x:c r="R34" s="11" t="n">
        <x:v>0</x:v>
      </x:c>
    </x:row>
    <x:row r="35" ht="26" customHeight="1">
      <x:c r="A35" s="13" t="n">
        <x:v>46082</x:v>
      </x:c>
      <x:c r="B35" s="9" t="str">
        <x:v>全部候选</x:v>
      </x:c>
      <x:c r="C35" s="9" t="str">
        <x:v>训练窗口</x:v>
      </x:c>
      <x:c r="D35" s="9" t="str">
        <x:v>Top1</x:v>
      </x:c>
      <x:c r="E35" s="9" t="str">
        <x:v>五K原规则</x:v>
      </x:c>
      <x:c r="F35" s="11" t="n">
        <x:f>SUM(O35:R35)</x:f>
        <x:v>122</x:v>
      </x:c>
      <x:c r="G35" s="11" t="n">
        <x:v>122</x:v>
      </x:c>
      <x:c r="H35" s="11" t="n">
        <x:f>O35+P35</x:f>
        <x:v>84</x:v>
      </x:c>
      <x:c r="I35" s="12" t="n">
        <x:f>IF(F35=0,"",H35/F35)</x:f>
        <x:v>0.6885245901639344</x:v>
      </x:c>
      <x:c r="J35" s="12" t="n">
        <x:f>IF(F35=0,"",(O35+R35)/F35)</x:f>
        <x:v>0.7868852459016393</x:v>
      </x:c>
      <x:c r="K35" s="12" t="n">
        <x:f>IF(H35=0,"",O35/H35)</x:f>
        <x:v>0.8809523809523809</x:v>
      </x:c>
      <x:c r="L35" s="12" t="n">
        <x:f>IF(O35+Q35=0,"",O35/(O35+Q35))</x:f>
        <x:v>0.8222222222222222</x:v>
      </x:c>
      <x:c r="M35" s="12" t="n">
        <x:f>IF(2*O35+P35+Q35=0,"",2*O35/(2*O35+P35+Q35))</x:f>
        <x:v>0.8505747126436781</x:v>
      </x:c>
      <x:c r="N35" s="12" t="n">
        <x:f>IF(OR(O35+Q35=0,R35+P35=0),"",(L35+R35/(R35+P35))/2)</x:f>
        <x:v>0.7548611111111111</x:v>
      </x:c>
      <x:c r="O35" s="11" t="n">
        <x:v>74</x:v>
      </x:c>
      <x:c r="P35" s="11" t="n">
        <x:v>10</x:v>
      </x:c>
      <x:c r="Q35" s="11" t="n">
        <x:v>16</x:v>
      </x:c>
      <x:c r="R35" s="11" t="n">
        <x:v>22</x:v>
      </x:c>
    </x:row>
    <x:row r="36" ht="26" customHeight="1">
      <x:c r="A36" s="13" t="n">
        <x:v>46082</x:v>
      </x:c>
      <x:c r="B36" s="9" t="str">
        <x:v>全部候选</x:v>
      </x:c>
      <x:c r="C36" s="9" t="str">
        <x:v>训练窗口</x:v>
      </x:c>
      <x:c r="D36" s="9" t="str">
        <x:v>Top1</x:v>
      </x:c>
      <x:c r="E36" s="9" t="str">
        <x:v>四K沿用门槛</x:v>
      </x:c>
      <x:c r="F36" s="11" t="n">
        <x:f>SUM(O36:R36)</x:f>
        <x:v>122</x:v>
      </x:c>
      <x:c r="G36" s="11" t="n">
        <x:v>122</x:v>
      </x:c>
      <x:c r="H36" s="11" t="n">
        <x:f>O36+P36</x:f>
        <x:v>85</x:v>
      </x:c>
      <x:c r="I36" s="12" t="n">
        <x:f>IF(F36=0,"",H36/F36)</x:f>
        <x:v>0.6967213114754098</x:v>
      </x:c>
      <x:c r="J36" s="12" t="n">
        <x:f>IF(F36=0,"",(O36+R36)/F36)</x:f>
        <x:v>0.7786885245901639</x:v>
      </x:c>
      <x:c r="K36" s="12" t="n">
        <x:f>IF(H36=0,"",O36/H36)</x:f>
        <x:v>0.8705882352941177</x:v>
      </x:c>
      <x:c r="L36" s="12" t="n">
        <x:f>IF(O36+Q36=0,"",O36/(O36+Q36))</x:f>
        <x:v>0.8222222222222222</x:v>
      </x:c>
      <x:c r="M36" s="12" t="n">
        <x:f>IF(2*O36+P36+Q36=0,"",2*O36/(2*O36+P36+Q36))</x:f>
        <x:v>0.8457142857142858</x:v>
      </x:c>
      <x:c r="N36" s="12" t="n">
        <x:f>IF(OR(O36+Q36=0,R36+P36=0),"",(L36+R36/(R36+P36))/2)</x:f>
        <x:v>0.7392361111111111</x:v>
      </x:c>
      <x:c r="O36" s="11" t="n">
        <x:v>74</x:v>
      </x:c>
      <x:c r="P36" s="11" t="n">
        <x:v>11</x:v>
      </x:c>
      <x:c r="Q36" s="11" t="n">
        <x:v>16</x:v>
      </x:c>
      <x:c r="R36" s="11" t="n">
        <x:v>21</x:v>
      </x:c>
    </x:row>
    <x:row r="37" ht="26" customHeight="1">
      <x:c r="A37" s="13" t="n">
        <x:v>46082</x:v>
      </x:c>
      <x:c r="B37" s="9" t="str">
        <x:v>全部候选</x:v>
      </x:c>
      <x:c r="C37" s="9" t="str">
        <x:v>训练窗口</x:v>
      </x:c>
      <x:c r="D37" s="9" t="str">
        <x:v>Top1</x:v>
      </x:c>
      <x:c r="E37" s="9" t="str">
        <x:v>四K重选规则</x:v>
      </x:c>
      <x:c r="F37" s="11" t="n">
        <x:f>SUM(O37:R37)</x:f>
        <x:v>122</x:v>
      </x:c>
      <x:c r="G37" s="11" t="n">
        <x:v>122</x:v>
      </x:c>
      <x:c r="H37" s="11" t="n">
        <x:f>O37+P37</x:f>
        <x:v>80</x:v>
      </x:c>
      <x:c r="I37" s="12" t="n">
        <x:f>IF(F37=0,"",H37/F37)</x:f>
        <x:v>0.6557377049180327</x:v>
      </x:c>
      <x:c r="J37" s="12" t="n">
        <x:f>IF(F37=0,"",(O37+R37)/F37)</x:f>
        <x:v>0.7704918032786885</x:v>
      </x:c>
      <x:c r="K37" s="12" t="n">
        <x:f>IF(H37=0,"",O37/H37)</x:f>
        <x:v>0.8875</x:v>
      </x:c>
      <x:c r="L37" s="12" t="n">
        <x:f>IF(O37+Q37=0,"",O37/(O37+Q37))</x:f>
        <x:v>0.7888888888888889</x:v>
      </x:c>
      <x:c r="M37" s="12" t="n">
        <x:f>IF(2*O37+P37+Q37=0,"",2*O37/(2*O37+P37+Q37))</x:f>
        <x:v>0.8352941176470589</x:v>
      </x:c>
      <x:c r="N37" s="12" t="n">
        <x:f>IF(OR(O37+Q37=0,R37+P37=0),"",(L37+R37/(R37+P37))/2)</x:f>
        <x:v>0.7538194444444444</x:v>
      </x:c>
      <x:c r="O37" s="11" t="n">
        <x:v>71</x:v>
      </x:c>
      <x:c r="P37" s="11" t="n">
        <x:v>9</x:v>
      </x:c>
      <x:c r="Q37" s="11" t="n">
        <x:v>19</x:v>
      </x:c>
      <x:c r="R37" s="11" t="n">
        <x:v>23</x:v>
      </x:c>
    </x:row>
    <x:row r="38" ht="26" customHeight="1">
      <x:c r="A38" s="13" t="n">
        <x:v>46082</x:v>
      </x:c>
      <x:c r="B38" s="9" t="str">
        <x:v>全部候选</x:v>
      </x:c>
      <x:c r="C38" s="9" t="str">
        <x:v>验证窗口</x:v>
      </x:c>
      <x:c r="D38" s="9" t="str">
        <x:v>Top1</x:v>
      </x:c>
      <x:c r="E38" s="9" t="str">
        <x:v>不判形态</x:v>
      </x:c>
      <x:c r="F38" s="11" t="n">
        <x:f>SUM(O38:R38)</x:f>
        <x:v>30</x:v>
      </x:c>
      <x:c r="G38" s="11" t="n">
        <x:v>30</x:v>
      </x:c>
      <x:c r="H38" s="11" t="n">
        <x:f>O38+P38</x:f>
        <x:v>30</x:v>
      </x:c>
      <x:c r="I38" s="12" t="n">
        <x:f>IF(F38=0,"",H38/F38)</x:f>
        <x:v>1</x:v>
      </x:c>
      <x:c r="J38" s="12" t="n">
        <x:f>IF(F38=0,"",(O38+R38)/F38)</x:f>
        <x:v>0.7333333333333333</x:v>
      </x:c>
      <x:c r="K38" s="12" t="n">
        <x:f>IF(H38=0,"",O38/H38)</x:f>
        <x:v>0.7333333333333333</x:v>
      </x:c>
      <x:c r="L38" s="12" t="n">
        <x:f>IF(O38+Q38=0,"",O38/(O38+Q38))</x:f>
        <x:v>1</x:v>
      </x:c>
      <x:c r="M38" s="12" t="n">
        <x:f>IF(2*O38+P38+Q38=0,"",2*O38/(2*O38+P38+Q38))</x:f>
        <x:v>0.8461538461538461</x:v>
      </x:c>
      <x:c r="N38" s="12" t="n">
        <x:f>IF(OR(O38+Q38=0,R38+P38=0),"",(L38+R38/(R38+P38))/2)</x:f>
        <x:v>0.5</x:v>
      </x:c>
      <x:c r="O38" s="11" t="n">
        <x:v>22</x:v>
      </x:c>
      <x:c r="P38" s="11" t="n">
        <x:v>8</x:v>
      </x:c>
      <x:c r="Q38" s="11" t="n">
        <x:v>0</x:v>
      </x:c>
      <x:c r="R38" s="11" t="n">
        <x:v>0</x:v>
      </x:c>
    </x:row>
    <x:row r="39" ht="26" customHeight="1">
      <x:c r="A39" s="13" t="n">
        <x:v>46082</x:v>
      </x:c>
      <x:c r="B39" s="9" t="str">
        <x:v>全部候选</x:v>
      </x:c>
      <x:c r="C39" s="9" t="str">
        <x:v>验证窗口</x:v>
      </x:c>
      <x:c r="D39" s="9" t="str">
        <x:v>Top1</x:v>
      </x:c>
      <x:c r="E39" s="9" t="str">
        <x:v>五K原规则</x:v>
      </x:c>
      <x:c r="F39" s="11" t="n">
        <x:f>SUM(O39:R39)</x:f>
        <x:v>30</x:v>
      </x:c>
      <x:c r="G39" s="11" t="n">
        <x:v>30</x:v>
      </x:c>
      <x:c r="H39" s="11" t="n">
        <x:f>O39+P39</x:f>
        <x:v>23</x:v>
      </x:c>
      <x:c r="I39" s="12" t="n">
        <x:f>IF(F39=0,"",H39/F39)</x:f>
        <x:v>0.7666666666666667</x:v>
      </x:c>
      <x:c r="J39" s="12" t="n">
        <x:f>IF(F39=0,"",(O39+R39)/F39)</x:f>
        <x:v>0.8333333333333334</x:v>
      </x:c>
      <x:c r="K39" s="12" t="n">
        <x:f>IF(H39=0,"",O39/H39)</x:f>
        <x:v>0.8695652173913043</x:v>
      </x:c>
      <x:c r="L39" s="12" t="n">
        <x:f>IF(O39+Q39=0,"",O39/(O39+Q39))</x:f>
        <x:v>0.9090909090909091</x:v>
      </x:c>
      <x:c r="M39" s="12" t="n">
        <x:f>IF(2*O39+P39+Q39=0,"",2*O39/(2*O39+P39+Q39))</x:f>
        <x:v>0.8888888888888888</x:v>
      </x:c>
      <x:c r="N39" s="12" t="n">
        <x:f>IF(OR(O39+Q39=0,R39+P39=0),"",(L39+R39/(R39+P39))/2)</x:f>
        <x:v>0.7670454545454546</x:v>
      </x:c>
      <x:c r="O39" s="11" t="n">
        <x:v>20</x:v>
      </x:c>
      <x:c r="P39" s="11" t="n">
        <x:v>3</x:v>
      </x:c>
      <x:c r="Q39" s="11" t="n">
        <x:v>2</x:v>
      </x:c>
      <x:c r="R39" s="11" t="n">
        <x:v>5</x:v>
      </x:c>
    </x:row>
    <x:row r="40" ht="26" customHeight="1">
      <x:c r="A40" s="13" t="n">
        <x:v>46082</x:v>
      </x:c>
      <x:c r="B40" s="9" t="str">
        <x:v>全部候选</x:v>
      </x:c>
      <x:c r="C40" s="9" t="str">
        <x:v>验证窗口</x:v>
      </x:c>
      <x:c r="D40" s="9" t="str">
        <x:v>Top1</x:v>
      </x:c>
      <x:c r="E40" s="9" t="str">
        <x:v>四K沿用门槛</x:v>
      </x:c>
      <x:c r="F40" s="11" t="n">
        <x:f>SUM(O40:R40)</x:f>
        <x:v>30</x:v>
      </x:c>
      <x:c r="G40" s="11" t="n">
        <x:v>30</x:v>
      </x:c>
      <x:c r="H40" s="11" t="n">
        <x:f>O40+P40</x:f>
        <x:v>24</x:v>
      </x:c>
      <x:c r="I40" s="12" t="n">
        <x:f>IF(F40=0,"",H40/F40)</x:f>
        <x:v>0.8</x:v>
      </x:c>
      <x:c r="J40" s="12" t="n">
        <x:f>IF(F40=0,"",(O40+R40)/F40)</x:f>
        <x:v>0.8</x:v>
      </x:c>
      <x:c r="K40" s="12" t="n">
        <x:f>IF(H40=0,"",O40/H40)</x:f>
        <x:v>0.8333333333333334</x:v>
      </x:c>
      <x:c r="L40" s="12" t="n">
        <x:f>IF(O40+Q40=0,"",O40/(O40+Q40))</x:f>
        <x:v>0.9090909090909091</x:v>
      </x:c>
      <x:c r="M40" s="12" t="n">
        <x:f>IF(2*O40+P40+Q40=0,"",2*O40/(2*O40+P40+Q40))</x:f>
        <x:v>0.8695652173913043</x:v>
      </x:c>
      <x:c r="N40" s="12" t="n">
        <x:f>IF(OR(O40+Q40=0,R40+P40=0),"",(L40+R40/(R40+P40))/2)</x:f>
        <x:v>0.7045454545454546</x:v>
      </x:c>
      <x:c r="O40" s="11" t="n">
        <x:v>20</x:v>
      </x:c>
      <x:c r="P40" s="11" t="n">
        <x:v>4</x:v>
      </x:c>
      <x:c r="Q40" s="11" t="n">
        <x:v>2</x:v>
      </x:c>
      <x:c r="R40" s="11" t="n">
        <x:v>4</x:v>
      </x:c>
    </x:row>
    <x:row r="41" ht="26" customHeight="1">
      <x:c r="A41" s="13" t="n">
        <x:v>46082</x:v>
      </x:c>
      <x:c r="B41" s="9" t="str">
        <x:v>全部候选</x:v>
      </x:c>
      <x:c r="C41" s="9" t="str">
        <x:v>验证窗口</x:v>
      </x:c>
      <x:c r="D41" s="9" t="str">
        <x:v>Top1</x:v>
      </x:c>
      <x:c r="E41" s="9" t="str">
        <x:v>四K重选规则</x:v>
      </x:c>
      <x:c r="F41" s="11" t="n">
        <x:f>SUM(O41:R41)</x:f>
        <x:v>30</x:v>
      </x:c>
      <x:c r="G41" s="11" t="n">
        <x:v>30</x:v>
      </x:c>
      <x:c r="H41" s="11" t="n">
        <x:f>O41+P41</x:f>
        <x:v>21</x:v>
      </x:c>
      <x:c r="I41" s="12" t="n">
        <x:f>IF(F41=0,"",H41/F41)</x:f>
        <x:v>0.7</x:v>
      </x:c>
      <x:c r="J41" s="12" t="n">
        <x:f>IF(F41=0,"",(O41+R41)/F41)</x:f>
        <x:v>0.7666666666666667</x:v>
      </x:c>
      <x:c r="K41" s="12" t="n">
        <x:f>IF(H41=0,"",O41/H41)</x:f>
        <x:v>0.8571428571428571</x:v>
      </x:c>
      <x:c r="L41" s="12" t="n">
        <x:f>IF(O41+Q41=0,"",O41/(O41+Q41))</x:f>
        <x:v>0.8181818181818182</x:v>
      </x:c>
      <x:c r="M41" s="12" t="n">
        <x:f>IF(2*O41+P41+Q41=0,"",2*O41/(2*O41+P41+Q41))</x:f>
        <x:v>0.8372093023255814</x:v>
      </x:c>
      <x:c r="N41" s="12" t="n">
        <x:f>IF(OR(O41+Q41=0,R41+P41=0),"",(L41+R41/(R41+P41))/2)</x:f>
        <x:v>0.7215909090909092</x:v>
      </x:c>
      <x:c r="O41" s="11" t="n">
        <x:v>18</x:v>
      </x:c>
      <x:c r="P41" s="11" t="n">
        <x:v>3</x:v>
      </x:c>
      <x:c r="Q41" s="11" t="n">
        <x:v>4</x:v>
      </x:c>
      <x:c r="R41" s="11" t="n">
        <x:v>5</x:v>
      </x:c>
    </x:row>
    <x:row r="42" ht="26" customHeight="1">
      <x:c r="A42" s="13" t="n">
        <x:v>46113</x:v>
      </x:c>
      <x:c r="B42" s="9" t="str">
        <x:v>全部候选</x:v>
      </x:c>
      <x:c r="C42" s="9" t="str">
        <x:v>测试</x:v>
      </x:c>
      <x:c r="D42" s="9" t="str">
        <x:v>Top1</x:v>
      </x:c>
      <x:c r="E42" s="9" t="str">
        <x:v>不判形态</x:v>
      </x:c>
      <x:c r="F42" s="11" t="n">
        <x:f>SUM(O42:R42)</x:f>
        <x:v>21</x:v>
      </x:c>
      <x:c r="G42" s="11" t="n">
        <x:v>21</x:v>
      </x:c>
      <x:c r="H42" s="11" t="n">
        <x:f>O42+P42</x:f>
        <x:v>21</x:v>
      </x:c>
      <x:c r="I42" s="12" t="n">
        <x:f>IF(F42=0,"",H42/F42)</x:f>
        <x:v>1</x:v>
      </x:c>
      <x:c r="J42" s="12" t="n">
        <x:f>IF(F42=0,"",(O42+R42)/F42)</x:f>
        <x:v>0.6666666666666666</x:v>
      </x:c>
      <x:c r="K42" s="12" t="n">
        <x:f>IF(H42=0,"",O42/H42)</x:f>
        <x:v>0.6666666666666666</x:v>
      </x:c>
      <x:c r="L42" s="12" t="n">
        <x:f>IF(O42+Q42=0,"",O42/(O42+Q42))</x:f>
        <x:v>1</x:v>
      </x:c>
      <x:c r="M42" s="12" t="n">
        <x:f>IF(2*O42+P42+Q42=0,"",2*O42/(2*O42+P42+Q42))</x:f>
        <x:v>0.8</x:v>
      </x:c>
      <x:c r="N42" s="12" t="n">
        <x:f>IF(OR(O42+Q42=0,R42+P42=0),"",(L42+R42/(R42+P42))/2)</x:f>
        <x:v>0.5</x:v>
      </x:c>
      <x:c r="O42" s="11" t="n">
        <x:v>14</x:v>
      </x:c>
      <x:c r="P42" s="11" t="n">
        <x:v>7</x:v>
      </x:c>
      <x:c r="Q42" s="11" t="n">
        <x:v>0</x:v>
      </x:c>
      <x:c r="R42" s="11" t="n">
        <x:v>0</x:v>
      </x:c>
    </x:row>
    <x:row r="43" ht="26" customHeight="1">
      <x:c r="A43" s="13" t="n">
        <x:v>46113</x:v>
      </x:c>
      <x:c r="B43" s="9" t="str">
        <x:v>全部候选</x:v>
      </x:c>
      <x:c r="C43" s="9" t="str">
        <x:v>测试</x:v>
      </x:c>
      <x:c r="D43" s="9" t="str">
        <x:v>Top1</x:v>
      </x:c>
      <x:c r="E43" s="9" t="str">
        <x:v>五K原规则</x:v>
      </x:c>
      <x:c r="F43" s="11" t="n">
        <x:f>SUM(O43:R43)</x:f>
        <x:v>21</x:v>
      </x:c>
      <x:c r="G43" s="11" t="n">
        <x:v>21</x:v>
      </x:c>
      <x:c r="H43" s="11" t="n">
        <x:f>O43+P43</x:f>
        <x:v>13</x:v>
      </x:c>
      <x:c r="I43" s="12" t="n">
        <x:f>IF(F43=0,"",H43/F43)</x:f>
        <x:v>0.6190476190476191</x:v>
      </x:c>
      <x:c r="J43" s="12" t="n">
        <x:f>IF(F43=0,"",(O43+R43)/F43)</x:f>
        <x:v>0.7619047619047619</x:v>
      </x:c>
      <x:c r="K43" s="12" t="n">
        <x:f>IF(H43=0,"",O43/H43)</x:f>
        <x:v>0.8461538461538461</x:v>
      </x:c>
      <x:c r="L43" s="12" t="n">
        <x:f>IF(O43+Q43=0,"",O43/(O43+Q43))</x:f>
        <x:v>0.7857142857142857</x:v>
      </x:c>
      <x:c r="M43" s="12" t="n">
        <x:f>IF(2*O43+P43+Q43=0,"",2*O43/(2*O43+P43+Q43))</x:f>
        <x:v>0.8148148148148148</x:v>
      </x:c>
      <x:c r="N43" s="12" t="n">
        <x:f>IF(OR(O43+Q43=0,R43+P43=0),"",(L43+R43/(R43+P43))/2)</x:f>
        <x:v>0.75</x:v>
      </x:c>
      <x:c r="O43" s="11" t="n">
        <x:v>11</x:v>
      </x:c>
      <x:c r="P43" s="11" t="n">
        <x:v>2</x:v>
      </x:c>
      <x:c r="Q43" s="11" t="n">
        <x:v>3</x:v>
      </x:c>
      <x:c r="R43" s="11" t="n">
        <x:v>5</x:v>
      </x:c>
    </x:row>
    <x:row r="44" ht="26" customHeight="1">
      <x:c r="A44" s="13" t="n">
        <x:v>46113</x:v>
      </x:c>
      <x:c r="B44" s="9" t="str">
        <x:v>全部候选</x:v>
      </x:c>
      <x:c r="C44" s="9" t="str">
        <x:v>测试</x:v>
      </x:c>
      <x:c r="D44" s="9" t="str">
        <x:v>Top1</x:v>
      </x:c>
      <x:c r="E44" s="9" t="str">
        <x:v>四K沿用门槛</x:v>
      </x:c>
      <x:c r="F44" s="11" t="n">
        <x:f>SUM(O44:R44)</x:f>
        <x:v>21</x:v>
      </x:c>
      <x:c r="G44" s="11" t="n">
        <x:v>21</x:v>
      </x:c>
      <x:c r="H44" s="11" t="n">
        <x:f>O44+P44</x:f>
        <x:v>13</x:v>
      </x:c>
      <x:c r="I44" s="12" t="n">
        <x:f>IF(F44=0,"",H44/F44)</x:f>
        <x:v>0.6190476190476191</x:v>
      </x:c>
      <x:c r="J44" s="12" t="n">
        <x:f>IF(F44=0,"",(O44+R44)/F44)</x:f>
        <x:v>0.7619047619047619</x:v>
      </x:c>
      <x:c r="K44" s="12" t="n">
        <x:f>IF(H44=0,"",O44/H44)</x:f>
        <x:v>0.8461538461538461</x:v>
      </x:c>
      <x:c r="L44" s="12" t="n">
        <x:f>IF(O44+Q44=0,"",O44/(O44+Q44))</x:f>
        <x:v>0.7857142857142857</x:v>
      </x:c>
      <x:c r="M44" s="12" t="n">
        <x:f>IF(2*O44+P44+Q44=0,"",2*O44/(2*O44+P44+Q44))</x:f>
        <x:v>0.8148148148148148</x:v>
      </x:c>
      <x:c r="N44" s="12" t="n">
        <x:f>IF(OR(O44+Q44=0,R44+P44=0),"",(L44+R44/(R44+P44))/2)</x:f>
        <x:v>0.75</x:v>
      </x:c>
      <x:c r="O44" s="11" t="n">
        <x:v>11</x:v>
      </x:c>
      <x:c r="P44" s="11" t="n">
        <x:v>2</x:v>
      </x:c>
      <x:c r="Q44" s="11" t="n">
        <x:v>3</x:v>
      </x:c>
      <x:c r="R44" s="11" t="n">
        <x:v>5</x:v>
      </x:c>
    </x:row>
    <x:row r="45" ht="26" customHeight="1">
      <x:c r="A45" s="13" t="n">
        <x:v>46113</x:v>
      </x:c>
      <x:c r="B45" s="9" t="str">
        <x:v>全部候选</x:v>
      </x:c>
      <x:c r="C45" s="9" t="str">
        <x:v>测试</x:v>
      </x:c>
      <x:c r="D45" s="9" t="str">
        <x:v>Top1</x:v>
      </x:c>
      <x:c r="E45" s="9" t="str">
        <x:v>四K重选规则</x:v>
      </x:c>
      <x:c r="F45" s="11" t="n">
        <x:f>SUM(O45:R45)</x:f>
        <x:v>21</x:v>
      </x:c>
      <x:c r="G45" s="11" t="n">
        <x:v>21</x:v>
      </x:c>
      <x:c r="H45" s="11" t="n">
        <x:f>O45+P45</x:f>
        <x:v>12</x:v>
      </x:c>
      <x:c r="I45" s="12" t="n">
        <x:f>IF(F45=0,"",H45/F45)</x:f>
        <x:v>0.5714285714285714</x:v>
      </x:c>
      <x:c r="J45" s="12" t="n">
        <x:f>IF(F45=0,"",(O45+R45)/F45)</x:f>
        <x:v>0.8095238095238095</x:v>
      </x:c>
      <x:c r="K45" s="12" t="n">
        <x:f>IF(H45=0,"",O45/H45)</x:f>
        <x:v>0.9166666666666666</x:v>
      </x:c>
      <x:c r="L45" s="12" t="n">
        <x:f>IF(O45+Q45=0,"",O45/(O45+Q45))</x:f>
        <x:v>0.7857142857142857</x:v>
      </x:c>
      <x:c r="M45" s="12" t="n">
        <x:f>IF(2*O45+P45+Q45=0,"",2*O45/(2*O45+P45+Q45))</x:f>
        <x:v>0.8461538461538461</x:v>
      </x:c>
      <x:c r="N45" s="12" t="n">
        <x:f>IF(OR(O45+Q45=0,R45+P45=0),"",(L45+R45/(R45+P45))/2)</x:f>
        <x:v>0.8214285714285714</x:v>
      </x:c>
      <x:c r="O45" s="11" t="n">
        <x:v>11</x:v>
      </x:c>
      <x:c r="P45" s="11" t="n">
        <x:v>1</x:v>
      </x:c>
      <x:c r="Q45" s="11" t="n">
        <x:v>3</x:v>
      </x:c>
      <x:c r="R45" s="11" t="n">
        <x:v>6</x:v>
      </x:c>
    </x:row>
    <x:row r="46" ht="26" customHeight="1">
      <x:c r="A46" s="13" t="n">
        <x:v>46113</x:v>
      </x:c>
      <x:c r="B46" s="9" t="str">
        <x:v>全部候选</x:v>
      </x:c>
      <x:c r="C46" s="9" t="str">
        <x:v>训练窗口</x:v>
      </x:c>
      <x:c r="D46" s="9" t="str">
        <x:v>Top1</x:v>
      </x:c>
      <x:c r="E46" s="9" t="str">
        <x:v>不判形态</x:v>
      </x:c>
      <x:c r="F46" s="11" t="n">
        <x:f>SUM(O46:R46)</x:f>
        <x:v>119</x:v>
      </x:c>
      <x:c r="G46" s="11" t="n">
        <x:v>119</x:v>
      </x:c>
      <x:c r="H46" s="11" t="n">
        <x:f>O46+P46</x:f>
        <x:v>119</x:v>
      </x:c>
      <x:c r="I46" s="12" t="n">
        <x:f>IF(F46=0,"",H46/F46)</x:f>
        <x:v>1</x:v>
      </x:c>
      <x:c r="J46" s="12" t="n">
        <x:f>IF(F46=0,"",(O46+R46)/F46)</x:f>
        <x:v>0.7478991596638656</x:v>
      </x:c>
      <x:c r="K46" s="12" t="n">
        <x:f>IF(H46=0,"",O46/H46)</x:f>
        <x:v>0.7478991596638656</x:v>
      </x:c>
      <x:c r="L46" s="12" t="n">
        <x:f>IF(O46+Q46=0,"",O46/(O46+Q46))</x:f>
        <x:v>1</x:v>
      </x:c>
      <x:c r="M46" s="12" t="n">
        <x:f>IF(2*O46+P46+Q46=0,"",2*O46/(2*O46+P46+Q46))</x:f>
        <x:v>0.8557692307692307</x:v>
      </x:c>
      <x:c r="N46" s="12" t="n">
        <x:f>IF(OR(O46+Q46=0,R46+P46=0),"",(L46+R46/(R46+P46))/2)</x:f>
        <x:v>0.5</x:v>
      </x:c>
      <x:c r="O46" s="11" t="n">
        <x:v>89</x:v>
      </x:c>
      <x:c r="P46" s="11" t="n">
        <x:v>30</x:v>
      </x:c>
      <x:c r="Q46" s="11" t="n">
        <x:v>0</x:v>
      </x:c>
      <x:c r="R46" s="11" t="n">
        <x:v>0</x:v>
      </x:c>
    </x:row>
    <x:row r="47" ht="26" customHeight="1">
      <x:c r="A47" s="13" t="n">
        <x:v>46113</x:v>
      </x:c>
      <x:c r="B47" s="9" t="str">
        <x:v>全部候选</x:v>
      </x:c>
      <x:c r="C47" s="9" t="str">
        <x:v>训练窗口</x:v>
      </x:c>
      <x:c r="D47" s="9" t="str">
        <x:v>Top1</x:v>
      </x:c>
      <x:c r="E47" s="9" t="str">
        <x:v>五K原规则</x:v>
      </x:c>
      <x:c r="F47" s="11" t="n">
        <x:f>SUM(O47:R47)</x:f>
        <x:v>119</x:v>
      </x:c>
      <x:c r="G47" s="11" t="n">
        <x:v>119</x:v>
      </x:c>
      <x:c r="H47" s="11" t="n">
        <x:f>O47+P47</x:f>
        <x:v>83</x:v>
      </x:c>
      <x:c r="I47" s="12" t="n">
        <x:f>IF(F47=0,"",H47/F47)</x:f>
        <x:v>0.6974789915966386</x:v>
      </x:c>
      <x:c r="J47" s="12" t="n">
        <x:f>IF(F47=0,"",(O47+R47)/F47)</x:f>
        <x:v>0.8151260504201681</x:v>
      </x:c>
      <x:c r="K47" s="12" t="n">
        <x:f>IF(H47=0,"",O47/H47)</x:f>
        <x:v>0.9036144578313253</x:v>
      </x:c>
      <x:c r="L47" s="12" t="n">
        <x:f>IF(O47+Q47=0,"",O47/(O47+Q47))</x:f>
        <x:v>0.8426966292134831</x:v>
      </x:c>
      <x:c r="M47" s="12" t="n">
        <x:f>IF(2*O47+P47+Q47=0,"",2*O47/(2*O47+P47+Q47))</x:f>
        <x:v>0.872093023255814</x:v>
      </x:c>
      <x:c r="N47" s="12" t="n">
        <x:f>IF(OR(O47+Q47=0,R47+P47=0),"",(L47+R47/(R47+P47))/2)</x:f>
        <x:v>0.7880149812734082</x:v>
      </x:c>
      <x:c r="O47" s="11" t="n">
        <x:v>75</x:v>
      </x:c>
      <x:c r="P47" s="11" t="n">
        <x:v>8</x:v>
      </x:c>
      <x:c r="Q47" s="11" t="n">
        <x:v>14</x:v>
      </x:c>
      <x:c r="R47" s="11" t="n">
        <x:v>22</x:v>
      </x:c>
    </x:row>
    <x:row r="48" ht="26" customHeight="1">
      <x:c r="A48" s="13" t="n">
        <x:v>46113</x:v>
      </x:c>
      <x:c r="B48" s="9" t="str">
        <x:v>全部候选</x:v>
      </x:c>
      <x:c r="C48" s="9" t="str">
        <x:v>训练窗口</x:v>
      </x:c>
      <x:c r="D48" s="9" t="str">
        <x:v>Top1</x:v>
      </x:c>
      <x:c r="E48" s="9" t="str">
        <x:v>四K沿用门槛</x:v>
      </x:c>
      <x:c r="F48" s="11" t="n">
        <x:f>SUM(O48:R48)</x:f>
        <x:v>119</x:v>
      </x:c>
      <x:c r="G48" s="11" t="n">
        <x:v>119</x:v>
      </x:c>
      <x:c r="H48" s="11" t="n">
        <x:f>O48+P48</x:f>
        <x:v>84</x:v>
      </x:c>
      <x:c r="I48" s="12" t="n">
        <x:f>IF(F48=0,"",H48/F48)</x:f>
        <x:v>0.7058823529411765</x:v>
      </x:c>
      <x:c r="J48" s="12" t="n">
        <x:f>IF(F48=0,"",(O48+R48)/F48)</x:f>
        <x:v>0.8067226890756303</x:v>
      </x:c>
      <x:c r="K48" s="12" t="n">
        <x:f>IF(H48=0,"",O48/H48)</x:f>
        <x:v>0.8928571428571429</x:v>
      </x:c>
      <x:c r="L48" s="12" t="n">
        <x:f>IF(O48+Q48=0,"",O48/(O48+Q48))</x:f>
        <x:v>0.8426966292134831</x:v>
      </x:c>
      <x:c r="M48" s="12" t="n">
        <x:f>IF(2*O48+P48+Q48=0,"",2*O48/(2*O48+P48+Q48))</x:f>
        <x:v>0.8670520231213873</x:v>
      </x:c>
      <x:c r="N48" s="12" t="n">
        <x:f>IF(OR(O48+Q48=0,R48+P48=0),"",(L48+R48/(R48+P48))/2)</x:f>
        <x:v>0.7713483146067415</x:v>
      </x:c>
      <x:c r="O48" s="11" t="n">
        <x:v>75</x:v>
      </x:c>
      <x:c r="P48" s="11" t="n">
        <x:v>9</x:v>
      </x:c>
      <x:c r="Q48" s="11" t="n">
        <x:v>14</x:v>
      </x:c>
      <x:c r="R48" s="11" t="n">
        <x:v>21</x:v>
      </x:c>
    </x:row>
    <x:row r="49" ht="26" customHeight="1">
      <x:c r="A49" s="13" t="n">
        <x:v>46113</x:v>
      </x:c>
      <x:c r="B49" s="9" t="str">
        <x:v>全部候选</x:v>
      </x:c>
      <x:c r="C49" s="9" t="str">
        <x:v>训练窗口</x:v>
      </x:c>
      <x:c r="D49" s="9" t="str">
        <x:v>Top1</x:v>
      </x:c>
      <x:c r="E49" s="9" t="str">
        <x:v>四K重选规则</x:v>
      </x:c>
      <x:c r="F49" s="11" t="n">
        <x:f>SUM(O49:R49)</x:f>
        <x:v>119</x:v>
      </x:c>
      <x:c r="G49" s="11" t="n">
        <x:v>119</x:v>
      </x:c>
      <x:c r="H49" s="11" t="n">
        <x:f>O49+P49</x:f>
        <x:v>77</x:v>
      </x:c>
      <x:c r="I49" s="12" t="n">
        <x:f>IF(F49=0,"",H49/F49)</x:f>
        <x:v>0.6470588235294118</x:v>
      </x:c>
      <x:c r="J49" s="12" t="n">
        <x:f>IF(F49=0,"",(O49+R49)/F49)</x:f>
        <x:v>0.7983193277310925</x:v>
      </x:c>
      <x:c r="K49" s="12" t="n">
        <x:f>IF(H49=0,"",O49/H49)</x:f>
        <x:v>0.922077922077922</x:v>
      </x:c>
      <x:c r="L49" s="12" t="n">
        <x:f>IF(O49+Q49=0,"",O49/(O49+Q49))</x:f>
        <x:v>0.797752808988764</x:v>
      </x:c>
      <x:c r="M49" s="12" t="n">
        <x:f>IF(2*O49+P49+Q49=0,"",2*O49/(2*O49+P49+Q49))</x:f>
        <x:v>0.8554216867469879</x:v>
      </x:c>
      <x:c r="N49" s="12" t="n">
        <x:f>IF(OR(O49+Q49=0,R49+P49=0),"",(L49+R49/(R49+P49))/2)</x:f>
        <x:v>0.798876404494382</x:v>
      </x:c>
      <x:c r="O49" s="11" t="n">
        <x:v>71</x:v>
      </x:c>
      <x:c r="P49" s="11" t="n">
        <x:v>6</x:v>
      </x:c>
      <x:c r="Q49" s="11" t="n">
        <x:v>18</x:v>
      </x:c>
      <x:c r="R49" s="11" t="n">
        <x:v>24</x:v>
      </x:c>
    </x:row>
    <x:row r="50" ht="26" customHeight="1">
      <x:c r="A50" s="13" t="n">
        <x:v>46113</x:v>
      </x:c>
      <x:c r="B50" s="9" t="str">
        <x:v>全部候选</x:v>
      </x:c>
      <x:c r="C50" s="9" t="str">
        <x:v>验证窗口</x:v>
      </x:c>
      <x:c r="D50" s="9" t="str">
        <x:v>Top1</x:v>
      </x:c>
      <x:c r="E50" s="9" t="str">
        <x:v>不判形态</x:v>
      </x:c>
      <x:c r="F50" s="11" t="n">
        <x:f>SUM(O50:R50)</x:f>
        <x:v>32</x:v>
      </x:c>
      <x:c r="G50" s="11" t="n">
        <x:v>32</x:v>
      </x:c>
      <x:c r="H50" s="11" t="n">
        <x:f>O50+P50</x:f>
        <x:v>32</x:v>
      </x:c>
      <x:c r="I50" s="12" t="n">
        <x:f>IF(F50=0,"",H50/F50)</x:f>
        <x:v>1</x:v>
      </x:c>
      <x:c r="J50" s="12" t="n">
        <x:f>IF(F50=0,"",(O50+R50)/F50)</x:f>
        <x:v>0.71875</x:v>
      </x:c>
      <x:c r="K50" s="12" t="n">
        <x:f>IF(H50=0,"",O50/H50)</x:f>
        <x:v>0.71875</x:v>
      </x:c>
      <x:c r="L50" s="12" t="n">
        <x:f>IF(O50+Q50=0,"",O50/(O50+Q50))</x:f>
        <x:v>1</x:v>
      </x:c>
      <x:c r="M50" s="12" t="n">
        <x:f>IF(2*O50+P50+Q50=0,"",2*O50/(2*O50+P50+Q50))</x:f>
        <x:v>0.8363636363636363</x:v>
      </x:c>
      <x:c r="N50" s="12" t="n">
        <x:f>IF(OR(O50+Q50=0,R50+P50=0),"",(L50+R50/(R50+P50))/2)</x:f>
        <x:v>0.5</x:v>
      </x:c>
      <x:c r="O50" s="11" t="n">
        <x:v>23</x:v>
      </x:c>
      <x:c r="P50" s="11" t="n">
        <x:v>9</x:v>
      </x:c>
      <x:c r="Q50" s="11" t="n">
        <x:v>0</x:v>
      </x:c>
      <x:c r="R50" s="11" t="n">
        <x:v>0</x:v>
      </x:c>
    </x:row>
    <x:row r="51" ht="26" customHeight="1">
      <x:c r="A51" s="13" t="n">
        <x:v>46113</x:v>
      </x:c>
      <x:c r="B51" s="9" t="str">
        <x:v>全部候选</x:v>
      </x:c>
      <x:c r="C51" s="9" t="str">
        <x:v>验证窗口</x:v>
      </x:c>
      <x:c r="D51" s="9" t="str">
        <x:v>Top1</x:v>
      </x:c>
      <x:c r="E51" s="9" t="str">
        <x:v>五K原规则</x:v>
      </x:c>
      <x:c r="F51" s="11" t="n">
        <x:f>SUM(O51:R51)</x:f>
        <x:v>32</x:v>
      </x:c>
      <x:c r="G51" s="11" t="n">
        <x:v>32</x:v>
      </x:c>
      <x:c r="H51" s="11" t="n">
        <x:f>O51+P51</x:f>
        <x:v>23</x:v>
      </x:c>
      <x:c r="I51" s="12" t="n">
        <x:f>IF(F51=0,"",H51/F51)</x:f>
        <x:v>0.71875</x:v>
      </x:c>
      <x:c r="J51" s="12" t="n">
        <x:f>IF(F51=0,"",(O51+R51)/F51)</x:f>
        <x:v>0.875</x:v>
      </x:c>
      <x:c r="K51" s="12" t="n">
        <x:f>IF(H51=0,"",O51/H51)</x:f>
        <x:v>0.9130434782608695</x:v>
      </x:c>
      <x:c r="L51" s="12" t="n">
        <x:f>IF(O51+Q51=0,"",O51/(O51+Q51))</x:f>
        <x:v>0.9130434782608695</x:v>
      </x:c>
      <x:c r="M51" s="12" t="n">
        <x:f>IF(2*O51+P51+Q51=0,"",2*O51/(2*O51+P51+Q51))</x:f>
        <x:v>0.9130434782608695</x:v>
      </x:c>
      <x:c r="N51" s="12" t="n">
        <x:f>IF(OR(O51+Q51=0,R51+P51=0),"",(L51+R51/(R51+P51))/2)</x:f>
        <x:v>0.8454106280193237</x:v>
      </x:c>
      <x:c r="O51" s="11" t="n">
        <x:v>21</x:v>
      </x:c>
      <x:c r="P51" s="11" t="n">
        <x:v>2</x:v>
      </x:c>
      <x:c r="Q51" s="11" t="n">
        <x:v>2</x:v>
      </x:c>
      <x:c r="R51" s="11" t="n">
        <x:v>7</x:v>
      </x:c>
    </x:row>
    <x:row r="52" ht="26" customHeight="1">
      <x:c r="A52" s="13" t="n">
        <x:v>46113</x:v>
      </x:c>
      <x:c r="B52" s="9" t="str">
        <x:v>全部候选</x:v>
      </x:c>
      <x:c r="C52" s="9" t="str">
        <x:v>验证窗口</x:v>
      </x:c>
      <x:c r="D52" s="9" t="str">
        <x:v>Top1</x:v>
      </x:c>
      <x:c r="E52" s="9" t="str">
        <x:v>四K沿用门槛</x:v>
      </x:c>
      <x:c r="F52" s="11" t="n">
        <x:f>SUM(O52:R52)</x:f>
        <x:v>32</x:v>
      </x:c>
      <x:c r="G52" s="11" t="n">
        <x:v>32</x:v>
      </x:c>
      <x:c r="H52" s="11" t="n">
        <x:f>O52+P52</x:f>
        <x:v>23</x:v>
      </x:c>
      <x:c r="I52" s="12" t="n">
        <x:f>IF(F52=0,"",H52/F52)</x:f>
        <x:v>0.71875</x:v>
      </x:c>
      <x:c r="J52" s="12" t="n">
        <x:f>IF(F52=0,"",(O52+R52)/F52)</x:f>
        <x:v>0.875</x:v>
      </x:c>
      <x:c r="K52" s="12" t="n">
        <x:f>IF(H52=0,"",O52/H52)</x:f>
        <x:v>0.9130434782608695</x:v>
      </x:c>
      <x:c r="L52" s="12" t="n">
        <x:f>IF(O52+Q52=0,"",O52/(O52+Q52))</x:f>
        <x:v>0.9130434782608695</x:v>
      </x:c>
      <x:c r="M52" s="12" t="n">
        <x:f>IF(2*O52+P52+Q52=0,"",2*O52/(2*O52+P52+Q52))</x:f>
        <x:v>0.9130434782608695</x:v>
      </x:c>
      <x:c r="N52" s="12" t="n">
        <x:f>IF(OR(O52+Q52=0,R52+P52=0),"",(L52+R52/(R52+P52))/2)</x:f>
        <x:v>0.8454106280193237</x:v>
      </x:c>
      <x:c r="O52" s="11" t="n">
        <x:v>21</x:v>
      </x:c>
      <x:c r="P52" s="11" t="n">
        <x:v>2</x:v>
      </x:c>
      <x:c r="Q52" s="11" t="n">
        <x:v>2</x:v>
      </x:c>
      <x:c r="R52" s="11" t="n">
        <x:v>7</x:v>
      </x:c>
    </x:row>
    <x:row r="53" ht="26" customHeight="1">
      <x:c r="A53" s="13" t="n">
        <x:v>46113</x:v>
      </x:c>
      <x:c r="B53" s="9" t="str">
        <x:v>全部候选</x:v>
      </x:c>
      <x:c r="C53" s="9" t="str">
        <x:v>验证窗口</x:v>
      </x:c>
      <x:c r="D53" s="9" t="str">
        <x:v>Top1</x:v>
      </x:c>
      <x:c r="E53" s="9" t="str">
        <x:v>四K重选规则</x:v>
      </x:c>
      <x:c r="F53" s="11" t="n">
        <x:f>SUM(O53:R53)</x:f>
        <x:v>32</x:v>
      </x:c>
      <x:c r="G53" s="11" t="n">
        <x:v>32</x:v>
      </x:c>
      <x:c r="H53" s="11" t="n">
        <x:f>O53+P53</x:f>
        <x:v>22</x:v>
      </x:c>
      <x:c r="I53" s="12" t="n">
        <x:f>IF(F53=0,"",H53/F53)</x:f>
        <x:v>0.6875</x:v>
      </x:c>
      <x:c r="J53" s="12" t="n">
        <x:f>IF(F53=0,"",(O53+R53)/F53)</x:f>
        <x:v>0.90625</x:v>
      </x:c>
      <x:c r="K53" s="12" t="n">
        <x:f>IF(H53=0,"",O53/H53)</x:f>
        <x:v>0.9545454545454546</x:v>
      </x:c>
      <x:c r="L53" s="12" t="n">
        <x:f>IF(O53+Q53=0,"",O53/(O53+Q53))</x:f>
        <x:v>0.9130434782608695</x:v>
      </x:c>
      <x:c r="M53" s="12" t="n">
        <x:f>IF(2*O53+P53+Q53=0,"",2*O53/(2*O53+P53+Q53))</x:f>
        <x:v>0.9333333333333333</x:v>
      </x:c>
      <x:c r="N53" s="12" t="n">
        <x:f>IF(OR(O53+Q53=0,R53+P53=0),"",(L53+R53/(R53+P53))/2)</x:f>
        <x:v>0.9009661835748792</x:v>
      </x:c>
      <x:c r="O53" s="11" t="n">
        <x:v>21</x:v>
      </x:c>
      <x:c r="P53" s="11" t="n">
        <x:v>1</x:v>
      </x:c>
      <x:c r="Q53" s="11" t="n">
        <x:v>2</x:v>
      </x:c>
      <x:c r="R53" s="11" t="n">
        <x:v>8</x:v>
      </x:c>
    </x:row>
    <x:row r="54" ht="26" customHeight="1">
      <x:c r="A54" s="13" t="n">
        <x:v>46143</x:v>
      </x:c>
      <x:c r="B54" s="9" t="str">
        <x:v>全部候选</x:v>
      </x:c>
      <x:c r="C54" s="9" t="str">
        <x:v>测试</x:v>
      </x:c>
      <x:c r="D54" s="9" t="str">
        <x:v>Top1</x:v>
      </x:c>
      <x:c r="E54" s="9" t="str">
        <x:v>不判形态</x:v>
      </x:c>
      <x:c r="F54" s="11" t="n">
        <x:f>SUM(O54:R54)</x:f>
        <x:v>18</x:v>
      </x:c>
      <x:c r="G54" s="11" t="n">
        <x:v>18</x:v>
      </x:c>
      <x:c r="H54" s="11" t="n">
        <x:f>O54+P54</x:f>
        <x:v>18</x:v>
      </x:c>
      <x:c r="I54" s="12" t="n">
        <x:f>IF(F54=0,"",H54/F54)</x:f>
        <x:v>1</x:v>
      </x:c>
      <x:c r="J54" s="12" t="n">
        <x:f>IF(F54=0,"",(O54+R54)/F54)</x:f>
        <x:v>0.5555555555555556</x:v>
      </x:c>
      <x:c r="K54" s="12" t="n">
        <x:f>IF(H54=0,"",O54/H54)</x:f>
        <x:v>0.5555555555555556</x:v>
      </x:c>
      <x:c r="L54" s="12" t="n">
        <x:f>IF(O54+Q54=0,"",O54/(O54+Q54))</x:f>
        <x:v>1</x:v>
      </x:c>
      <x:c r="M54" s="12" t="n">
        <x:f>IF(2*O54+P54+Q54=0,"",2*O54/(2*O54+P54+Q54))</x:f>
        <x:v>0.7142857142857143</x:v>
      </x:c>
      <x:c r="N54" s="12" t="n">
        <x:f>IF(OR(O54+Q54=0,R54+P54=0),"",(L54+R54/(R54+P54))/2)</x:f>
        <x:v>0.5</x:v>
      </x:c>
      <x:c r="O54" s="11" t="n">
        <x:v>10</x:v>
      </x:c>
      <x:c r="P54" s="11" t="n">
        <x:v>8</x:v>
      </x:c>
      <x:c r="Q54" s="11" t="n">
        <x:v>0</x:v>
      </x:c>
      <x:c r="R54" s="11" t="n">
        <x:v>0</x:v>
      </x:c>
    </x:row>
    <x:row r="55" ht="26" customHeight="1">
      <x:c r="A55" s="13" t="n">
        <x:v>46143</x:v>
      </x:c>
      <x:c r="B55" s="9" t="str">
        <x:v>全部候选</x:v>
      </x:c>
      <x:c r="C55" s="9" t="str">
        <x:v>测试</x:v>
      </x:c>
      <x:c r="D55" s="9" t="str">
        <x:v>Top1</x:v>
      </x:c>
      <x:c r="E55" s="9" t="str">
        <x:v>五K原规则</x:v>
      </x:c>
      <x:c r="F55" s="11" t="n">
        <x:f>SUM(O55:R55)</x:f>
        <x:v>18</x:v>
      </x:c>
      <x:c r="G55" s="11" t="n">
        <x:v>18</x:v>
      </x:c>
      <x:c r="H55" s="11" t="n">
        <x:f>O55+P55</x:f>
        <x:v>18</x:v>
      </x:c>
      <x:c r="I55" s="12" t="n">
        <x:f>IF(F55=0,"",H55/F55)</x:f>
        <x:v>1</x:v>
      </x:c>
      <x:c r="J55" s="12" t="n">
        <x:f>IF(F55=0,"",(O55+R55)/F55)</x:f>
        <x:v>0.5555555555555556</x:v>
      </x:c>
      <x:c r="K55" s="12" t="n">
        <x:f>IF(H55=0,"",O55/H55)</x:f>
        <x:v>0.5555555555555556</x:v>
      </x:c>
      <x:c r="L55" s="12" t="n">
        <x:f>IF(O55+Q55=0,"",O55/(O55+Q55))</x:f>
        <x:v>1</x:v>
      </x:c>
      <x:c r="M55" s="12" t="n">
        <x:f>IF(2*O55+P55+Q55=0,"",2*O55/(2*O55+P55+Q55))</x:f>
        <x:v>0.7142857142857143</x:v>
      </x:c>
      <x:c r="N55" s="12" t="n">
        <x:f>IF(OR(O55+Q55=0,R55+P55=0),"",(L55+R55/(R55+P55))/2)</x:f>
        <x:v>0.5</x:v>
      </x:c>
      <x:c r="O55" s="11" t="n">
        <x:v>10</x:v>
      </x:c>
      <x:c r="P55" s="11" t="n">
        <x:v>8</x:v>
      </x:c>
      <x:c r="Q55" s="11" t="n">
        <x:v>0</x:v>
      </x:c>
      <x:c r="R55" s="11" t="n">
        <x:v>0</x:v>
      </x:c>
    </x:row>
    <x:row r="56" ht="26" customHeight="1">
      <x:c r="A56" s="13" t="n">
        <x:v>46143</x:v>
      </x:c>
      <x:c r="B56" s="9" t="str">
        <x:v>全部候选</x:v>
      </x:c>
      <x:c r="C56" s="9" t="str">
        <x:v>测试</x:v>
      </x:c>
      <x:c r="D56" s="9" t="str">
        <x:v>Top1</x:v>
      </x:c>
      <x:c r="E56" s="9" t="str">
        <x:v>四K沿用门槛</x:v>
      </x:c>
      <x:c r="F56" s="11" t="n">
        <x:f>SUM(O56:R56)</x:f>
        <x:v>18</x:v>
      </x:c>
      <x:c r="G56" s="11" t="n">
        <x:v>18</x:v>
      </x:c>
      <x:c r="H56" s="11" t="n">
        <x:f>O56+P56</x:f>
        <x:v>18</x:v>
      </x:c>
      <x:c r="I56" s="12" t="n">
        <x:f>IF(F56=0,"",H56/F56)</x:f>
        <x:v>1</x:v>
      </x:c>
      <x:c r="J56" s="12" t="n">
        <x:f>IF(F56=0,"",(O56+R56)/F56)</x:f>
        <x:v>0.5555555555555556</x:v>
      </x:c>
      <x:c r="K56" s="12" t="n">
        <x:f>IF(H56=0,"",O56/H56)</x:f>
        <x:v>0.5555555555555556</x:v>
      </x:c>
      <x:c r="L56" s="12" t="n">
        <x:f>IF(O56+Q56=0,"",O56/(O56+Q56))</x:f>
        <x:v>1</x:v>
      </x:c>
      <x:c r="M56" s="12" t="n">
        <x:f>IF(2*O56+P56+Q56=0,"",2*O56/(2*O56+P56+Q56))</x:f>
        <x:v>0.7142857142857143</x:v>
      </x:c>
      <x:c r="N56" s="12" t="n">
        <x:f>IF(OR(O56+Q56=0,R56+P56=0),"",(L56+R56/(R56+P56))/2)</x:f>
        <x:v>0.5</x:v>
      </x:c>
      <x:c r="O56" s="11" t="n">
        <x:v>10</x:v>
      </x:c>
      <x:c r="P56" s="11" t="n">
        <x:v>8</x:v>
      </x:c>
      <x:c r="Q56" s="11" t="n">
        <x:v>0</x:v>
      </x:c>
      <x:c r="R56" s="11" t="n">
        <x:v>0</x:v>
      </x:c>
    </x:row>
    <x:row r="57" ht="26" customHeight="1">
      <x:c r="A57" s="13" t="n">
        <x:v>46143</x:v>
      </x:c>
      <x:c r="B57" s="9" t="str">
        <x:v>全部候选</x:v>
      </x:c>
      <x:c r="C57" s="9" t="str">
        <x:v>测试</x:v>
      </x:c>
      <x:c r="D57" s="9" t="str">
        <x:v>Top1</x:v>
      </x:c>
      <x:c r="E57" s="9" t="str">
        <x:v>四K重选规则</x:v>
      </x:c>
      <x:c r="F57" s="11" t="n">
        <x:f>SUM(O57:R57)</x:f>
        <x:v>18</x:v>
      </x:c>
      <x:c r="G57" s="11" t="n">
        <x:v>18</x:v>
      </x:c>
      <x:c r="H57" s="11" t="n">
        <x:f>O57+P57</x:f>
        <x:v>18</x:v>
      </x:c>
      <x:c r="I57" s="12" t="n">
        <x:f>IF(F57=0,"",H57/F57)</x:f>
        <x:v>1</x:v>
      </x:c>
      <x:c r="J57" s="12" t="n">
        <x:f>IF(F57=0,"",(O57+R57)/F57)</x:f>
        <x:v>0.5555555555555556</x:v>
      </x:c>
      <x:c r="K57" s="12" t="n">
        <x:f>IF(H57=0,"",O57/H57)</x:f>
        <x:v>0.5555555555555556</x:v>
      </x:c>
      <x:c r="L57" s="12" t="n">
        <x:f>IF(O57+Q57=0,"",O57/(O57+Q57))</x:f>
        <x:v>1</x:v>
      </x:c>
      <x:c r="M57" s="12" t="n">
        <x:f>IF(2*O57+P57+Q57=0,"",2*O57/(2*O57+P57+Q57))</x:f>
        <x:v>0.7142857142857143</x:v>
      </x:c>
      <x:c r="N57" s="12" t="n">
        <x:f>IF(OR(O57+Q57=0,R57+P57=0),"",(L57+R57/(R57+P57))/2)</x:f>
        <x:v>0.5</x:v>
      </x:c>
      <x:c r="O57" s="11" t="n">
        <x:v>10</x:v>
      </x:c>
      <x:c r="P57" s="11" t="n">
        <x:v>8</x:v>
      </x:c>
      <x:c r="Q57" s="11" t="n">
        <x:v>0</x:v>
      </x:c>
      <x:c r="R57" s="11" t="n">
        <x:v>0</x:v>
      </x:c>
    </x:row>
    <x:row r="58" ht="26" customHeight="1">
      <x:c r="A58" s="13" t="n">
        <x:v>46143</x:v>
      </x:c>
      <x:c r="B58" s="9" t="str">
        <x:v>全部候选</x:v>
      </x:c>
      <x:c r="C58" s="9" t="str">
        <x:v>训练窗口</x:v>
      </x:c>
      <x:c r="D58" s="9" t="str">
        <x:v>Top1</x:v>
      </x:c>
      <x:c r="E58" s="9" t="str">
        <x:v>不判形态</x:v>
      </x:c>
      <x:c r="F58" s="11" t="n">
        <x:f>SUM(O58:R58)</x:f>
        <x:v>111</x:v>
      </x:c>
      <x:c r="G58" s="11" t="n">
        <x:v>111</x:v>
      </x:c>
      <x:c r="H58" s="11" t="n">
        <x:f>O58+P58</x:f>
        <x:v>111</x:v>
      </x:c>
      <x:c r="I58" s="12" t="n">
        <x:f>IF(F58=0,"",H58/F58)</x:f>
        <x:v>1</x:v>
      </x:c>
      <x:c r="J58" s="12" t="n">
        <x:f>IF(F58=0,"",(O58+R58)/F58)</x:f>
        <x:v>0.7387387387387387</x:v>
      </x:c>
      <x:c r="K58" s="12" t="n">
        <x:f>IF(H58=0,"",O58/H58)</x:f>
        <x:v>0.7387387387387387</x:v>
      </x:c>
      <x:c r="L58" s="12" t="n">
        <x:f>IF(O58+Q58=0,"",O58/(O58+Q58))</x:f>
        <x:v>1</x:v>
      </x:c>
      <x:c r="M58" s="12" t="n">
        <x:f>IF(2*O58+P58+Q58=0,"",2*O58/(2*O58+P58+Q58))</x:f>
        <x:v>0.8497409326424871</x:v>
      </x:c>
      <x:c r="N58" s="12" t="n">
        <x:f>IF(OR(O58+Q58=0,R58+P58=0),"",(L58+R58/(R58+P58))/2)</x:f>
        <x:v>0.5</x:v>
      </x:c>
      <x:c r="O58" s="11" t="n">
        <x:v>82</x:v>
      </x:c>
      <x:c r="P58" s="11" t="n">
        <x:v>29</x:v>
      </x:c>
      <x:c r="Q58" s="11" t="n">
        <x:v>0</x:v>
      </x:c>
      <x:c r="R58" s="11" t="n">
        <x:v>0</x:v>
      </x:c>
    </x:row>
    <x:row r="59" ht="26" customHeight="1">
      <x:c r="A59" s="13" t="n">
        <x:v>46143</x:v>
      </x:c>
      <x:c r="B59" s="9" t="str">
        <x:v>全部候选</x:v>
      </x:c>
      <x:c r="C59" s="9" t="str">
        <x:v>训练窗口</x:v>
      </x:c>
      <x:c r="D59" s="9" t="str">
        <x:v>Top1</x:v>
      </x:c>
      <x:c r="E59" s="9" t="str">
        <x:v>五K原规则</x:v>
      </x:c>
      <x:c r="F59" s="11" t="n">
        <x:f>SUM(O59:R59)</x:f>
        <x:v>111</x:v>
      </x:c>
      <x:c r="G59" s="11" t="n">
        <x:v>111</x:v>
      </x:c>
      <x:c r="H59" s="11" t="n">
        <x:f>O59+P59</x:f>
        <x:v>111</x:v>
      </x:c>
      <x:c r="I59" s="12" t="n">
        <x:f>IF(F59=0,"",H59/F59)</x:f>
        <x:v>1</x:v>
      </x:c>
      <x:c r="J59" s="12" t="n">
        <x:f>IF(F59=0,"",(O59+R59)/F59)</x:f>
        <x:v>0.7387387387387387</x:v>
      </x:c>
      <x:c r="K59" s="12" t="n">
        <x:f>IF(H59=0,"",O59/H59)</x:f>
        <x:v>0.7387387387387387</x:v>
      </x:c>
      <x:c r="L59" s="12" t="n">
        <x:f>IF(O59+Q59=0,"",O59/(O59+Q59))</x:f>
        <x:v>1</x:v>
      </x:c>
      <x:c r="M59" s="12" t="n">
        <x:f>IF(2*O59+P59+Q59=0,"",2*O59/(2*O59+P59+Q59))</x:f>
        <x:v>0.8497409326424871</x:v>
      </x:c>
      <x:c r="N59" s="12" t="n">
        <x:f>IF(OR(O59+Q59=0,R59+P59=0),"",(L59+R59/(R59+P59))/2)</x:f>
        <x:v>0.5</x:v>
      </x:c>
      <x:c r="O59" s="11" t="n">
        <x:v>82</x:v>
      </x:c>
      <x:c r="P59" s="11" t="n">
        <x:v>29</x:v>
      </x:c>
      <x:c r="Q59" s="11" t="n">
        <x:v>0</x:v>
      </x:c>
      <x:c r="R59" s="11" t="n">
        <x:v>0</x:v>
      </x:c>
    </x:row>
    <x:row r="60" ht="26" customHeight="1">
      <x:c r="A60" s="13" t="n">
        <x:v>46143</x:v>
      </x:c>
      <x:c r="B60" s="9" t="str">
        <x:v>全部候选</x:v>
      </x:c>
      <x:c r="C60" s="9" t="str">
        <x:v>训练窗口</x:v>
      </x:c>
      <x:c r="D60" s="9" t="str">
        <x:v>Top1</x:v>
      </x:c>
      <x:c r="E60" s="9" t="str">
        <x:v>四K沿用门槛</x:v>
      </x:c>
      <x:c r="F60" s="11" t="n">
        <x:f>SUM(O60:R60)</x:f>
        <x:v>111</x:v>
      </x:c>
      <x:c r="G60" s="11" t="n">
        <x:v>111</x:v>
      </x:c>
      <x:c r="H60" s="11" t="n">
        <x:f>O60+P60</x:f>
        <x:v>111</x:v>
      </x:c>
      <x:c r="I60" s="12" t="n">
        <x:f>IF(F60=0,"",H60/F60)</x:f>
        <x:v>1</x:v>
      </x:c>
      <x:c r="J60" s="12" t="n">
        <x:f>IF(F60=0,"",(O60+R60)/F60)</x:f>
        <x:v>0.7387387387387387</x:v>
      </x:c>
      <x:c r="K60" s="12" t="n">
        <x:f>IF(H60=0,"",O60/H60)</x:f>
        <x:v>0.7387387387387387</x:v>
      </x:c>
      <x:c r="L60" s="12" t="n">
        <x:f>IF(O60+Q60=0,"",O60/(O60+Q60))</x:f>
        <x:v>1</x:v>
      </x:c>
      <x:c r="M60" s="12" t="n">
        <x:f>IF(2*O60+P60+Q60=0,"",2*O60/(2*O60+P60+Q60))</x:f>
        <x:v>0.8497409326424871</x:v>
      </x:c>
      <x:c r="N60" s="12" t="n">
        <x:f>IF(OR(O60+Q60=0,R60+P60=0),"",(L60+R60/(R60+P60))/2)</x:f>
        <x:v>0.5</x:v>
      </x:c>
      <x:c r="O60" s="11" t="n">
        <x:v>82</x:v>
      </x:c>
      <x:c r="P60" s="11" t="n">
        <x:v>29</x:v>
      </x:c>
      <x:c r="Q60" s="11" t="n">
        <x:v>0</x:v>
      </x:c>
      <x:c r="R60" s="11" t="n">
        <x:v>0</x:v>
      </x:c>
    </x:row>
    <x:row r="61" ht="26" customHeight="1">
      <x:c r="A61" s="13" t="n">
        <x:v>46143</x:v>
      </x:c>
      <x:c r="B61" s="9" t="str">
        <x:v>全部候选</x:v>
      </x:c>
      <x:c r="C61" s="9" t="str">
        <x:v>训练窗口</x:v>
      </x:c>
      <x:c r="D61" s="9" t="str">
        <x:v>Top1</x:v>
      </x:c>
      <x:c r="E61" s="9" t="str">
        <x:v>四K重选规则</x:v>
      </x:c>
      <x:c r="F61" s="11" t="n">
        <x:f>SUM(O61:R61)</x:f>
        <x:v>111</x:v>
      </x:c>
      <x:c r="G61" s="11" t="n">
        <x:v>111</x:v>
      </x:c>
      <x:c r="H61" s="11" t="n">
        <x:f>O61+P61</x:f>
        <x:v>111</x:v>
      </x:c>
      <x:c r="I61" s="12" t="n">
        <x:f>IF(F61=0,"",H61/F61)</x:f>
        <x:v>1</x:v>
      </x:c>
      <x:c r="J61" s="12" t="n">
        <x:f>IF(F61=0,"",(O61+R61)/F61)</x:f>
        <x:v>0.7387387387387387</x:v>
      </x:c>
      <x:c r="K61" s="12" t="n">
        <x:f>IF(H61=0,"",O61/H61)</x:f>
        <x:v>0.7387387387387387</x:v>
      </x:c>
      <x:c r="L61" s="12" t="n">
        <x:f>IF(O61+Q61=0,"",O61/(O61+Q61))</x:f>
        <x:v>1</x:v>
      </x:c>
      <x:c r="M61" s="12" t="n">
        <x:f>IF(2*O61+P61+Q61=0,"",2*O61/(2*O61+P61+Q61))</x:f>
        <x:v>0.8497409326424871</x:v>
      </x:c>
      <x:c r="N61" s="12" t="n">
        <x:f>IF(OR(O61+Q61=0,R61+P61=0),"",(L61+R61/(R61+P61))/2)</x:f>
        <x:v>0.5</x:v>
      </x:c>
      <x:c r="O61" s="11" t="n">
        <x:v>82</x:v>
      </x:c>
      <x:c r="P61" s="11" t="n">
        <x:v>29</x:v>
      </x:c>
      <x:c r="Q61" s="11" t="n">
        <x:v>0</x:v>
      </x:c>
      <x:c r="R61" s="11" t="n">
        <x:v>0</x:v>
      </x:c>
    </x:row>
    <x:row r="62" ht="26" customHeight="1">
      <x:c r="A62" s="13" t="n">
        <x:v>46143</x:v>
      </x:c>
      <x:c r="B62" s="9" t="str">
        <x:v>全部候选</x:v>
      </x:c>
      <x:c r="C62" s="9" t="str">
        <x:v>验证窗口</x:v>
      </x:c>
      <x:c r="D62" s="9" t="str">
        <x:v>Top1</x:v>
      </x:c>
      <x:c r="E62" s="9" t="str">
        <x:v>不判形态</x:v>
      </x:c>
      <x:c r="F62" s="11" t="n">
        <x:f>SUM(O62:R62)</x:f>
        <x:v>39</x:v>
      </x:c>
      <x:c r="G62" s="11" t="n">
        <x:v>39</x:v>
      </x:c>
      <x:c r="H62" s="11" t="n">
        <x:f>O62+P62</x:f>
        <x:v>39</x:v>
      </x:c>
      <x:c r="I62" s="12" t="n">
        <x:f>IF(F62=0,"",H62/F62)</x:f>
        <x:v>1</x:v>
      </x:c>
      <x:c r="J62" s="12" t="n">
        <x:f>IF(F62=0,"",(O62+R62)/F62)</x:f>
        <x:v>0.6666666666666666</x:v>
      </x:c>
      <x:c r="K62" s="12" t="n">
        <x:f>IF(H62=0,"",O62/H62)</x:f>
        <x:v>0.6666666666666666</x:v>
      </x:c>
      <x:c r="L62" s="12" t="n">
        <x:f>IF(O62+Q62=0,"",O62/(O62+Q62))</x:f>
        <x:v>1</x:v>
      </x:c>
      <x:c r="M62" s="12" t="n">
        <x:f>IF(2*O62+P62+Q62=0,"",2*O62/(2*O62+P62+Q62))</x:f>
        <x:v>0.8</x:v>
      </x:c>
      <x:c r="N62" s="12" t="n">
        <x:f>IF(OR(O62+Q62=0,R62+P62=0),"",(L62+R62/(R62+P62))/2)</x:f>
        <x:v>0.5</x:v>
      </x:c>
      <x:c r="O62" s="11" t="n">
        <x:v>26</x:v>
      </x:c>
      <x:c r="P62" s="11" t="n">
        <x:v>13</x:v>
      </x:c>
      <x:c r="Q62" s="11" t="n">
        <x:v>0</x:v>
      </x:c>
      <x:c r="R62" s="11" t="n">
        <x:v>0</x:v>
      </x:c>
    </x:row>
    <x:row r="63" ht="26" customHeight="1">
      <x:c r="A63" s="13" t="n">
        <x:v>46143</x:v>
      </x:c>
      <x:c r="B63" s="9" t="str">
        <x:v>全部候选</x:v>
      </x:c>
      <x:c r="C63" s="9" t="str">
        <x:v>验证窗口</x:v>
      </x:c>
      <x:c r="D63" s="9" t="str">
        <x:v>Top1</x:v>
      </x:c>
      <x:c r="E63" s="9" t="str">
        <x:v>五K原规则</x:v>
      </x:c>
      <x:c r="F63" s="11" t="n">
        <x:f>SUM(O63:R63)</x:f>
        <x:v>39</x:v>
      </x:c>
      <x:c r="G63" s="11" t="n">
        <x:v>39</x:v>
      </x:c>
      <x:c r="H63" s="11" t="n">
        <x:f>O63+P63</x:f>
        <x:v>39</x:v>
      </x:c>
      <x:c r="I63" s="12" t="n">
        <x:f>IF(F63=0,"",H63/F63)</x:f>
        <x:v>1</x:v>
      </x:c>
      <x:c r="J63" s="12" t="n">
        <x:f>IF(F63=0,"",(O63+R63)/F63)</x:f>
        <x:v>0.6666666666666666</x:v>
      </x:c>
      <x:c r="K63" s="12" t="n">
        <x:f>IF(H63=0,"",O63/H63)</x:f>
        <x:v>0.6666666666666666</x:v>
      </x:c>
      <x:c r="L63" s="12" t="n">
        <x:f>IF(O63+Q63=0,"",O63/(O63+Q63))</x:f>
        <x:v>1</x:v>
      </x:c>
      <x:c r="M63" s="12" t="n">
        <x:f>IF(2*O63+P63+Q63=0,"",2*O63/(2*O63+P63+Q63))</x:f>
        <x:v>0.8</x:v>
      </x:c>
      <x:c r="N63" s="12" t="n">
        <x:f>IF(OR(O63+Q63=0,R63+P63=0),"",(L63+R63/(R63+P63))/2)</x:f>
        <x:v>0.5</x:v>
      </x:c>
      <x:c r="O63" s="11" t="n">
        <x:v>26</x:v>
      </x:c>
      <x:c r="P63" s="11" t="n">
        <x:v>13</x:v>
      </x:c>
      <x:c r="Q63" s="11" t="n">
        <x:v>0</x:v>
      </x:c>
      <x:c r="R63" s="11" t="n">
        <x:v>0</x:v>
      </x:c>
    </x:row>
    <x:row r="64" ht="26" customHeight="1">
      <x:c r="A64" s="13" t="n">
        <x:v>46143</x:v>
      </x:c>
      <x:c r="B64" s="9" t="str">
        <x:v>全部候选</x:v>
      </x:c>
      <x:c r="C64" s="9" t="str">
        <x:v>验证窗口</x:v>
      </x:c>
      <x:c r="D64" s="9" t="str">
        <x:v>Top1</x:v>
      </x:c>
      <x:c r="E64" s="9" t="str">
        <x:v>四K沿用门槛</x:v>
      </x:c>
      <x:c r="F64" s="11" t="n">
        <x:f>SUM(O64:R64)</x:f>
        <x:v>39</x:v>
      </x:c>
      <x:c r="G64" s="11" t="n">
        <x:v>39</x:v>
      </x:c>
      <x:c r="H64" s="11" t="n">
        <x:f>O64+P64</x:f>
        <x:v>39</x:v>
      </x:c>
      <x:c r="I64" s="12" t="n">
        <x:f>IF(F64=0,"",H64/F64)</x:f>
        <x:v>1</x:v>
      </x:c>
      <x:c r="J64" s="12" t="n">
        <x:f>IF(F64=0,"",(O64+R64)/F64)</x:f>
        <x:v>0.6666666666666666</x:v>
      </x:c>
      <x:c r="K64" s="12" t="n">
        <x:f>IF(H64=0,"",O64/H64)</x:f>
        <x:v>0.6666666666666666</x:v>
      </x:c>
      <x:c r="L64" s="12" t="n">
        <x:f>IF(O64+Q64=0,"",O64/(O64+Q64))</x:f>
        <x:v>1</x:v>
      </x:c>
      <x:c r="M64" s="12" t="n">
        <x:f>IF(2*O64+P64+Q64=0,"",2*O64/(2*O64+P64+Q64))</x:f>
        <x:v>0.8</x:v>
      </x:c>
      <x:c r="N64" s="12" t="n">
        <x:f>IF(OR(O64+Q64=0,R64+P64=0),"",(L64+R64/(R64+P64))/2)</x:f>
        <x:v>0.5</x:v>
      </x:c>
      <x:c r="O64" s="11" t="n">
        <x:v>26</x:v>
      </x:c>
      <x:c r="P64" s="11" t="n">
        <x:v>13</x:v>
      </x:c>
      <x:c r="Q64" s="11" t="n">
        <x:v>0</x:v>
      </x:c>
      <x:c r="R64" s="11" t="n">
        <x:v>0</x:v>
      </x:c>
    </x:row>
    <x:row r="65" ht="26" customHeight="1">
      <x:c r="A65" s="13" t="n">
        <x:v>46143</x:v>
      </x:c>
      <x:c r="B65" s="9" t="str">
        <x:v>全部候选</x:v>
      </x:c>
      <x:c r="C65" s="9" t="str">
        <x:v>验证窗口</x:v>
      </x:c>
      <x:c r="D65" s="9" t="str">
        <x:v>Top1</x:v>
      </x:c>
      <x:c r="E65" s="9" t="str">
        <x:v>四K重选规则</x:v>
      </x:c>
      <x:c r="F65" s="11" t="n">
        <x:f>SUM(O65:R65)</x:f>
        <x:v>39</x:v>
      </x:c>
      <x:c r="G65" s="11" t="n">
        <x:v>39</x:v>
      </x:c>
      <x:c r="H65" s="11" t="n">
        <x:f>O65+P65</x:f>
        <x:v>39</x:v>
      </x:c>
      <x:c r="I65" s="12" t="n">
        <x:f>IF(F65=0,"",H65/F65)</x:f>
        <x:v>1</x:v>
      </x:c>
      <x:c r="J65" s="12" t="n">
        <x:f>IF(F65=0,"",(O65+R65)/F65)</x:f>
        <x:v>0.6666666666666666</x:v>
      </x:c>
      <x:c r="K65" s="12" t="n">
        <x:f>IF(H65=0,"",O65/H65)</x:f>
        <x:v>0.6666666666666666</x:v>
      </x:c>
      <x:c r="L65" s="12" t="n">
        <x:f>IF(O65+Q65=0,"",O65/(O65+Q65))</x:f>
        <x:v>1</x:v>
      </x:c>
      <x:c r="M65" s="12" t="n">
        <x:f>IF(2*O65+P65+Q65=0,"",2*O65/(2*O65+P65+Q65))</x:f>
        <x:v>0.8</x:v>
      </x:c>
      <x:c r="N65" s="12" t="n">
        <x:f>IF(OR(O65+Q65=0,R65+P65=0),"",(L65+R65/(R65+P65))/2)</x:f>
        <x:v>0.5</x:v>
      </x:c>
      <x:c r="O65" s="11" t="n">
        <x:v>26</x:v>
      </x:c>
      <x:c r="P65" s="11" t="n">
        <x:v>13</x:v>
      </x:c>
      <x:c r="Q65" s="11" t="n">
        <x:v>0</x:v>
      </x:c>
      <x:c r="R65" s="11" t="n">
        <x:v>0</x:v>
      </x:c>
    </x:row>
    <x:row r="66" ht="26" customHeight="1">
      <x:c r="A66" s="13" t="n">
        <x:v>46174</x:v>
      </x:c>
      <x:c r="B66" s="9" t="str">
        <x:v>全部候选</x:v>
      </x:c>
      <x:c r="C66" s="9" t="str">
        <x:v>测试</x:v>
      </x:c>
      <x:c r="D66" s="9" t="str">
        <x:v>Top1</x:v>
      </x:c>
      <x:c r="E66" s="9" t="str">
        <x:v>不判形态</x:v>
      </x:c>
      <x:c r="F66" s="11" t="n">
        <x:f>SUM(O66:R66)</x:f>
        <x:v>20</x:v>
      </x:c>
      <x:c r="G66" s="11" t="n">
        <x:v>20</x:v>
      </x:c>
      <x:c r="H66" s="11" t="n">
        <x:f>O66+P66</x:f>
        <x:v>20</x:v>
      </x:c>
      <x:c r="I66" s="12" t="n">
        <x:f>IF(F66=0,"",H66/F66)</x:f>
        <x:v>1</x:v>
      </x:c>
      <x:c r="J66" s="12" t="n">
        <x:f>IF(F66=0,"",(O66+R66)/F66)</x:f>
        <x:v>0.65</x:v>
      </x:c>
      <x:c r="K66" s="12" t="n">
        <x:f>IF(H66=0,"",O66/H66)</x:f>
        <x:v>0.65</x:v>
      </x:c>
      <x:c r="L66" s="12" t="n">
        <x:f>IF(O66+Q66=0,"",O66/(O66+Q66))</x:f>
        <x:v>1</x:v>
      </x:c>
      <x:c r="M66" s="12" t="n">
        <x:f>IF(2*O66+P66+Q66=0,"",2*O66/(2*O66+P66+Q66))</x:f>
        <x:v>0.7878787878787878</x:v>
      </x:c>
      <x:c r="N66" s="12" t="n">
        <x:f>IF(OR(O66+Q66=0,R66+P66=0),"",(L66+R66/(R66+P66))/2)</x:f>
        <x:v>0.5</x:v>
      </x:c>
      <x:c r="O66" s="11" t="n">
        <x:v>13</x:v>
      </x:c>
      <x:c r="P66" s="11" t="n">
        <x:v>7</x:v>
      </x:c>
      <x:c r="Q66" s="11" t="n">
        <x:v>0</x:v>
      </x:c>
      <x:c r="R66" s="11" t="n">
        <x:v>0</x:v>
      </x:c>
    </x:row>
    <x:row r="67" ht="26" customHeight="1">
      <x:c r="A67" s="13" t="n">
        <x:v>46174</x:v>
      </x:c>
      <x:c r="B67" s="9" t="str">
        <x:v>全部候选</x:v>
      </x:c>
      <x:c r="C67" s="9" t="str">
        <x:v>测试</x:v>
      </x:c>
      <x:c r="D67" s="9" t="str">
        <x:v>Top1</x:v>
      </x:c>
      <x:c r="E67" s="9" t="str">
        <x:v>五K原规则</x:v>
      </x:c>
      <x:c r="F67" s="11" t="n">
        <x:f>SUM(O67:R67)</x:f>
        <x:v>20</x:v>
      </x:c>
      <x:c r="G67" s="11" t="n">
        <x:v>20</x:v>
      </x:c>
      <x:c r="H67" s="11" t="n">
        <x:f>O67+P67</x:f>
        <x:v>10</x:v>
      </x:c>
      <x:c r="I67" s="12" t="n">
        <x:f>IF(F67=0,"",H67/F67)</x:f>
        <x:v>0.5</x:v>
      </x:c>
      <x:c r="J67" s="12" t="n">
        <x:f>IF(F67=0,"",(O67+R67)/F67)</x:f>
        <x:v>0.75</x:v>
      </x:c>
      <x:c r="K67" s="12" t="n">
        <x:f>IF(H67=0,"",O67/H67)</x:f>
        <x:v>0.9</x:v>
      </x:c>
      <x:c r="L67" s="12" t="n">
        <x:f>IF(O67+Q67=0,"",O67/(O67+Q67))</x:f>
        <x:v>0.6923076923076923</x:v>
      </x:c>
      <x:c r="M67" s="12" t="n">
        <x:f>IF(2*O67+P67+Q67=0,"",2*O67/(2*O67+P67+Q67))</x:f>
        <x:v>0.782608695652174</x:v>
      </x:c>
      <x:c r="N67" s="12" t="n">
        <x:f>IF(OR(O67+Q67=0,R67+P67=0),"",(L67+R67/(R67+P67))/2)</x:f>
        <x:v>0.7747252747252746</x:v>
      </x:c>
      <x:c r="O67" s="11" t="n">
        <x:v>9</x:v>
      </x:c>
      <x:c r="P67" s="11" t="n">
        <x:v>1</x:v>
      </x:c>
      <x:c r="Q67" s="11" t="n">
        <x:v>4</x:v>
      </x:c>
      <x:c r="R67" s="11" t="n">
        <x:v>6</x:v>
      </x:c>
    </x:row>
    <x:row r="68" ht="26" customHeight="1">
      <x:c r="A68" s="13" t="n">
        <x:v>46174</x:v>
      </x:c>
      <x:c r="B68" s="9" t="str">
        <x:v>全部候选</x:v>
      </x:c>
      <x:c r="C68" s="9" t="str">
        <x:v>测试</x:v>
      </x:c>
      <x:c r="D68" s="9" t="str">
        <x:v>Top1</x:v>
      </x:c>
      <x:c r="E68" s="9" t="str">
        <x:v>四K沿用门槛</x:v>
      </x:c>
      <x:c r="F68" s="11" t="n">
        <x:f>SUM(O68:R68)</x:f>
        <x:v>20</x:v>
      </x:c>
      <x:c r="G68" s="11" t="n">
        <x:v>20</x:v>
      </x:c>
      <x:c r="H68" s="11" t="n">
        <x:f>O68+P68</x:f>
        <x:v>12</x:v>
      </x:c>
      <x:c r="I68" s="12" t="n">
        <x:f>IF(F68=0,"",H68/F68)</x:f>
        <x:v>0.6</x:v>
      </x:c>
      <x:c r="J68" s="12" t="n">
        <x:f>IF(F68=0,"",(O68+R68)/F68)</x:f>
        <x:v>0.65</x:v>
      </x:c>
      <x:c r="K68" s="12" t="n">
        <x:f>IF(H68=0,"",O68/H68)</x:f>
        <x:v>0.75</x:v>
      </x:c>
      <x:c r="L68" s="12" t="n">
        <x:f>IF(O68+Q68=0,"",O68/(O68+Q68))</x:f>
        <x:v>0.6923076923076923</x:v>
      </x:c>
      <x:c r="M68" s="12" t="n">
        <x:f>IF(2*O68+P68+Q68=0,"",2*O68/(2*O68+P68+Q68))</x:f>
        <x:v>0.72</x:v>
      </x:c>
      <x:c r="N68" s="12" t="n">
        <x:f>IF(OR(O68+Q68=0,R68+P68=0),"",(L68+R68/(R68+P68))/2)</x:f>
        <x:v>0.6318681318681318</x:v>
      </x:c>
      <x:c r="O68" s="11" t="n">
        <x:v>9</x:v>
      </x:c>
      <x:c r="P68" s="11" t="n">
        <x:v>3</x:v>
      </x:c>
      <x:c r="Q68" s="11" t="n">
        <x:v>4</x:v>
      </x:c>
      <x:c r="R68" s="11" t="n">
        <x:v>4</x:v>
      </x:c>
    </x:row>
    <x:row r="69" ht="26" customHeight="1">
      <x:c r="A69" s="13" t="n">
        <x:v>46174</x:v>
      </x:c>
      <x:c r="B69" s="9" t="str">
        <x:v>全部候选</x:v>
      </x:c>
      <x:c r="C69" s="9" t="str">
        <x:v>测试</x:v>
      </x:c>
      <x:c r="D69" s="9" t="str">
        <x:v>Top1</x:v>
      </x:c>
      <x:c r="E69" s="9" t="str">
        <x:v>四K重选规则</x:v>
      </x:c>
      <x:c r="F69" s="11" t="n">
        <x:f>SUM(O69:R69)</x:f>
        <x:v>20</x:v>
      </x:c>
      <x:c r="G69" s="11" t="n">
        <x:v>20</x:v>
      </x:c>
      <x:c r="H69" s="11" t="n">
        <x:f>O69+P69</x:f>
        <x:v>11</x:v>
      </x:c>
      <x:c r="I69" s="12" t="n">
        <x:f>IF(F69=0,"",H69/F69)</x:f>
        <x:v>0.55</x:v>
      </x:c>
      <x:c r="J69" s="12" t="n">
        <x:f>IF(F69=0,"",(O69+R69)/F69)</x:f>
        <x:v>0.6</x:v>
      </x:c>
      <x:c r="K69" s="12" t="n">
        <x:f>IF(H69=0,"",O69/H69)</x:f>
        <x:v>0.7272727272727273</x:v>
      </x:c>
      <x:c r="L69" s="12" t="n">
        <x:f>IF(O69+Q69=0,"",O69/(O69+Q69))</x:f>
        <x:v>0.6153846153846154</x:v>
      </x:c>
      <x:c r="M69" s="12" t="n">
        <x:f>IF(2*O69+P69+Q69=0,"",2*O69/(2*O69+P69+Q69))</x:f>
        <x:v>0.6666666666666666</x:v>
      </x:c>
      <x:c r="N69" s="12" t="n">
        <x:f>IF(OR(O69+Q69=0,R69+P69=0),"",(L69+R69/(R69+P69))/2)</x:f>
        <x:v>0.5934065934065934</x:v>
      </x:c>
      <x:c r="O69" s="11" t="n">
        <x:v>8</x:v>
      </x:c>
      <x:c r="P69" s="11" t="n">
        <x:v>3</x:v>
      </x:c>
      <x:c r="Q69" s="11" t="n">
        <x:v>5</x:v>
      </x:c>
      <x:c r="R69" s="11" t="n">
        <x:v>4</x:v>
      </x:c>
    </x:row>
    <x:row r="70" ht="26" customHeight="1">
      <x:c r="A70" s="13" t="n">
        <x:v>46174</x:v>
      </x:c>
      <x:c r="B70" s="9" t="str">
        <x:v>全部候选</x:v>
      </x:c>
      <x:c r="C70" s="9" t="str">
        <x:v>训练窗口</x:v>
      </x:c>
      <x:c r="D70" s="9" t="str">
        <x:v>Top1</x:v>
      </x:c>
      <x:c r="E70" s="9" t="str">
        <x:v>不判形态</x:v>
      </x:c>
      <x:c r="F70" s="11" t="n">
        <x:f>SUM(O70:R70)</x:f>
        <x:v>112</x:v>
      </x:c>
      <x:c r="G70" s="11" t="n">
        <x:v>112</x:v>
      </x:c>
      <x:c r="H70" s="11" t="n">
        <x:f>O70+P70</x:f>
        <x:v>112</x:v>
      </x:c>
      <x:c r="I70" s="12" t="n">
        <x:f>IF(F70=0,"",H70/F70)</x:f>
        <x:v>1</x:v>
      </x:c>
      <x:c r="J70" s="12" t="n">
        <x:f>IF(F70=0,"",(O70+R70)/F70)</x:f>
        <x:v>0.7946428571428571</x:v>
      </x:c>
      <x:c r="K70" s="12" t="n">
        <x:f>IF(H70=0,"",O70/H70)</x:f>
        <x:v>0.7946428571428571</x:v>
      </x:c>
      <x:c r="L70" s="12" t="n">
        <x:f>IF(O70+Q70=0,"",O70/(O70+Q70))</x:f>
        <x:v>1</x:v>
      </x:c>
      <x:c r="M70" s="12" t="n">
        <x:f>IF(2*O70+P70+Q70=0,"",2*O70/(2*O70+P70+Q70))</x:f>
        <x:v>0.8855721393034826</x:v>
      </x:c>
      <x:c r="N70" s="12" t="n">
        <x:f>IF(OR(O70+Q70=0,R70+P70=0),"",(L70+R70/(R70+P70))/2)</x:f>
        <x:v>0.5</x:v>
      </x:c>
      <x:c r="O70" s="11" t="n">
        <x:v>89</x:v>
      </x:c>
      <x:c r="P70" s="11" t="n">
        <x:v>23</x:v>
      </x:c>
      <x:c r="Q70" s="11" t="n">
        <x:v>0</x:v>
      </x:c>
      <x:c r="R70" s="11" t="n">
        <x:v>0</x:v>
      </x:c>
    </x:row>
    <x:row r="71" ht="26" customHeight="1">
      <x:c r="A71" s="13" t="n">
        <x:v>46174</x:v>
      </x:c>
      <x:c r="B71" s="9" t="str">
        <x:v>全部候选</x:v>
      </x:c>
      <x:c r="C71" s="9" t="str">
        <x:v>训练窗口</x:v>
      </x:c>
      <x:c r="D71" s="9" t="str">
        <x:v>Top1</x:v>
      </x:c>
      <x:c r="E71" s="9" t="str">
        <x:v>五K原规则</x:v>
      </x:c>
      <x:c r="F71" s="11" t="n">
        <x:f>SUM(O71:R71)</x:f>
        <x:v>112</x:v>
      </x:c>
      <x:c r="G71" s="11" t="n">
        <x:v>112</x:v>
      </x:c>
      <x:c r="H71" s="11" t="n">
        <x:f>O71+P71</x:f>
        <x:v>79</x:v>
      </x:c>
      <x:c r="I71" s="12" t="n">
        <x:f>IF(F71=0,"",H71/F71)</x:f>
        <x:v>0.7053571428571429</x:v>
      </x:c>
      <x:c r="J71" s="12" t="n">
        <x:f>IF(F71=0,"",(O71+R71)/F71)</x:f>
        <x:v>0.8214285714285714</x:v>
      </x:c>
      <x:c r="K71" s="12" t="n">
        <x:f>IF(H71=0,"",O71/H71)</x:f>
        <x:v>0.9367088607594937</x:v>
      </x:c>
      <x:c r="L71" s="12" t="n">
        <x:f>IF(O71+Q71=0,"",O71/(O71+Q71))</x:f>
        <x:v>0.8314606741573034</x:v>
      </x:c>
      <x:c r="M71" s="12" t="n">
        <x:f>IF(2*O71+P71+Q71=0,"",2*O71/(2*O71+P71+Q71))</x:f>
        <x:v>0.8809523809523809</x:v>
      </x:c>
      <x:c r="N71" s="12" t="n">
        <x:f>IF(OR(O71+Q71=0,R71+P71=0),"",(L71+R71/(R71+P71))/2)</x:f>
        <x:v>0.8070346849047387</x:v>
      </x:c>
      <x:c r="O71" s="11" t="n">
        <x:v>74</x:v>
      </x:c>
      <x:c r="P71" s="11" t="n">
        <x:v>5</x:v>
      </x:c>
      <x:c r="Q71" s="11" t="n">
        <x:v>15</x:v>
      </x:c>
      <x:c r="R71" s="11" t="n">
        <x:v>18</x:v>
      </x:c>
    </x:row>
    <x:row r="72" ht="26" customHeight="1">
      <x:c r="A72" s="13" t="n">
        <x:v>46174</x:v>
      </x:c>
      <x:c r="B72" s="9" t="str">
        <x:v>全部候选</x:v>
      </x:c>
      <x:c r="C72" s="9" t="str">
        <x:v>训练窗口</x:v>
      </x:c>
      <x:c r="D72" s="9" t="str">
        <x:v>Top1</x:v>
      </x:c>
      <x:c r="E72" s="9" t="str">
        <x:v>四K沿用门槛</x:v>
      </x:c>
      <x:c r="F72" s="11" t="n">
        <x:f>SUM(O72:R72)</x:f>
        <x:v>112</x:v>
      </x:c>
      <x:c r="G72" s="11" t="n">
        <x:v>112</x:v>
      </x:c>
      <x:c r="H72" s="11" t="n">
        <x:f>O72+P72</x:f>
        <x:v>82</x:v>
      </x:c>
      <x:c r="I72" s="12" t="n">
        <x:f>IF(F72=0,"",H72/F72)</x:f>
        <x:v>0.7321428571428571</x:v>
      </x:c>
      <x:c r="J72" s="12" t="n">
        <x:f>IF(F72=0,"",(O72+R72)/F72)</x:f>
        <x:v>0.8303571428571429</x:v>
      </x:c>
      <x:c r="K72" s="12" t="n">
        <x:f>IF(H72=0,"",O72/H72)</x:f>
        <x:v>0.926829268292683</x:v>
      </x:c>
      <x:c r="L72" s="12" t="n">
        <x:f>IF(O72+Q72=0,"",O72/(O72+Q72))</x:f>
        <x:v>0.8539325842696629</x:v>
      </x:c>
      <x:c r="M72" s="12" t="n">
        <x:f>IF(2*O72+P72+Q72=0,"",2*O72/(2*O72+P72+Q72))</x:f>
        <x:v>0.8888888888888888</x:v>
      </x:c>
      <x:c r="N72" s="12" t="n">
        <x:f>IF(OR(O72+Q72=0,R72+P72=0),"",(L72+R72/(R72+P72))/2)</x:f>
        <x:v>0.7965315095261358</x:v>
      </x:c>
      <x:c r="O72" s="11" t="n">
        <x:v>76</x:v>
      </x:c>
      <x:c r="P72" s="11" t="n">
        <x:v>6</x:v>
      </x:c>
      <x:c r="Q72" s="11" t="n">
        <x:v>13</x:v>
      </x:c>
      <x:c r="R72" s="11" t="n">
        <x:v>17</x:v>
      </x:c>
    </x:row>
    <x:row r="73" ht="26" customHeight="1">
      <x:c r="A73" s="13" t="n">
        <x:v>46174</x:v>
      </x:c>
      <x:c r="B73" s="9" t="str">
        <x:v>全部候选</x:v>
      </x:c>
      <x:c r="C73" s="9" t="str">
        <x:v>训练窗口</x:v>
      </x:c>
      <x:c r="D73" s="9" t="str">
        <x:v>Top1</x:v>
      </x:c>
      <x:c r="E73" s="9" t="str">
        <x:v>四K重选规则</x:v>
      </x:c>
      <x:c r="F73" s="11" t="n">
        <x:f>SUM(O73:R73)</x:f>
        <x:v>112</x:v>
      </x:c>
      <x:c r="G73" s="11" t="n">
        <x:v>112</x:v>
      </x:c>
      <x:c r="H73" s="11" t="n">
        <x:f>O73+P73</x:f>
        <x:v>78</x:v>
      </x:c>
      <x:c r="I73" s="12" t="n">
        <x:f>IF(F73=0,"",H73/F73)</x:f>
        <x:v>0.6964285714285714</x:v>
      </x:c>
      <x:c r="J73" s="12" t="n">
        <x:f>IF(F73=0,"",(O73+R73)/F73)</x:f>
        <x:v>0.8125</x:v>
      </x:c>
      <x:c r="K73" s="12" t="n">
        <x:f>IF(H73=0,"",O73/H73)</x:f>
        <x:v>0.9358974358974359</x:v>
      </x:c>
      <x:c r="L73" s="12" t="n">
        <x:f>IF(O73+Q73=0,"",O73/(O73+Q73))</x:f>
        <x:v>0.8202247191011236</x:v>
      </x:c>
      <x:c r="M73" s="12" t="n">
        <x:f>IF(2*O73+P73+Q73=0,"",2*O73/(2*O73+P73+Q73))</x:f>
        <x:v>0.874251497005988</x:v>
      </x:c>
      <x:c r="N73" s="12" t="n">
        <x:f>IF(OR(O73+Q73=0,R73+P73=0),"",(L73+R73/(R73+P73))/2)</x:f>
        <x:v>0.8014167073766487</x:v>
      </x:c>
      <x:c r="O73" s="11" t="n">
        <x:v>73</x:v>
      </x:c>
      <x:c r="P73" s="11" t="n">
        <x:v>5</x:v>
      </x:c>
      <x:c r="Q73" s="11" t="n">
        <x:v>16</x:v>
      </x:c>
      <x:c r="R73" s="11" t="n">
        <x:v>18</x:v>
      </x:c>
    </x:row>
    <x:row r="74" ht="26" customHeight="1">
      <x:c r="A74" s="13" t="n">
        <x:v>46174</x:v>
      </x:c>
      <x:c r="B74" s="9" t="str">
        <x:v>全部候选</x:v>
      </x:c>
      <x:c r="C74" s="9" t="str">
        <x:v>验证窗口</x:v>
      </x:c>
      <x:c r="D74" s="9" t="str">
        <x:v>Top1</x:v>
      </x:c>
      <x:c r="E74" s="9" t="str">
        <x:v>不判形态</x:v>
      </x:c>
      <x:c r="F74" s="11" t="n">
        <x:f>SUM(O74:R74)</x:f>
        <x:v>35</x:v>
      </x:c>
      <x:c r="G74" s="11" t="n">
        <x:v>35</x:v>
      </x:c>
      <x:c r="H74" s="11" t="n">
        <x:f>O74+P74</x:f>
        <x:v>35</x:v>
      </x:c>
      <x:c r="I74" s="12" t="n">
        <x:f>IF(F74=0,"",H74/F74)</x:f>
        <x:v>1</x:v>
      </x:c>
      <x:c r="J74" s="12" t="n">
        <x:f>IF(F74=0,"",(O74+R74)/F74)</x:f>
        <x:v>0.6285714285714286</x:v>
      </x:c>
      <x:c r="K74" s="12" t="n">
        <x:f>IF(H74=0,"",O74/H74)</x:f>
        <x:v>0.6285714285714286</x:v>
      </x:c>
      <x:c r="L74" s="12" t="n">
        <x:f>IF(O74+Q74=0,"",O74/(O74+Q74))</x:f>
        <x:v>1</x:v>
      </x:c>
      <x:c r="M74" s="12" t="n">
        <x:f>IF(2*O74+P74+Q74=0,"",2*O74/(2*O74+P74+Q74))</x:f>
        <x:v>0.7719298245614035</x:v>
      </x:c>
      <x:c r="N74" s="12" t="n">
        <x:f>IF(OR(O74+Q74=0,R74+P74=0),"",(L74+R74/(R74+P74))/2)</x:f>
        <x:v>0.5</x:v>
      </x:c>
      <x:c r="O74" s="11" t="n">
        <x:v>22</x:v>
      </x:c>
      <x:c r="P74" s="11" t="n">
        <x:v>13</x:v>
      </x:c>
      <x:c r="Q74" s="11" t="n">
        <x:v>0</x:v>
      </x:c>
      <x:c r="R74" s="11" t="n">
        <x:v>0</x:v>
      </x:c>
    </x:row>
    <x:row r="75" ht="26" customHeight="1">
      <x:c r="A75" s="13" t="n">
        <x:v>46174</x:v>
      </x:c>
      <x:c r="B75" s="9" t="str">
        <x:v>全部候选</x:v>
      </x:c>
      <x:c r="C75" s="9" t="str">
        <x:v>验证窗口</x:v>
      </x:c>
      <x:c r="D75" s="9" t="str">
        <x:v>Top1</x:v>
      </x:c>
      <x:c r="E75" s="9" t="str">
        <x:v>五K原规则</x:v>
      </x:c>
      <x:c r="F75" s="11" t="n">
        <x:f>SUM(O75:R75)</x:f>
        <x:v>35</x:v>
      </x:c>
      <x:c r="G75" s="11" t="n">
        <x:v>35</x:v>
      </x:c>
      <x:c r="H75" s="11" t="n">
        <x:f>O75+P75</x:f>
        <x:v>23</x:v>
      </x:c>
      <x:c r="I75" s="12" t="n">
        <x:f>IF(F75=0,"",H75/F75)</x:f>
        <x:v>0.6571428571428571</x:v>
      </x:c>
      <x:c r="J75" s="12" t="n">
        <x:f>IF(F75=0,"",(O75+R75)/F75)</x:f>
        <x:v>0.8</x:v>
      </x:c>
      <x:c r="K75" s="12" t="n">
        <x:f>IF(H75=0,"",O75/H75)</x:f>
        <x:v>0.8260869565217391</x:v>
      </x:c>
      <x:c r="L75" s="12" t="n">
        <x:f>IF(O75+Q75=0,"",O75/(O75+Q75))</x:f>
        <x:v>0.8636363636363636</x:v>
      </x:c>
      <x:c r="M75" s="12" t="n">
        <x:f>IF(2*O75+P75+Q75=0,"",2*O75/(2*O75+P75+Q75))</x:f>
        <x:v>0.8444444444444444</x:v>
      </x:c>
      <x:c r="N75" s="12" t="n">
        <x:f>IF(OR(O75+Q75=0,R75+P75=0),"",(L75+R75/(R75+P75))/2)</x:f>
        <x:v>0.7779720279720279</x:v>
      </x:c>
      <x:c r="O75" s="11" t="n">
        <x:v>19</x:v>
      </x:c>
      <x:c r="P75" s="11" t="n">
        <x:v>4</x:v>
      </x:c>
      <x:c r="Q75" s="11" t="n">
        <x:v>3</x:v>
      </x:c>
      <x:c r="R75" s="11" t="n">
        <x:v>9</x:v>
      </x:c>
    </x:row>
    <x:row r="76" ht="26" customHeight="1">
      <x:c r="A76" s="13" t="n">
        <x:v>46174</x:v>
      </x:c>
      <x:c r="B76" s="9" t="str">
        <x:v>全部候选</x:v>
      </x:c>
      <x:c r="C76" s="9" t="str">
        <x:v>验证窗口</x:v>
      </x:c>
      <x:c r="D76" s="9" t="str">
        <x:v>Top1</x:v>
      </x:c>
      <x:c r="E76" s="9" t="str">
        <x:v>四K沿用门槛</x:v>
      </x:c>
      <x:c r="F76" s="11" t="n">
        <x:f>SUM(O76:R76)</x:f>
        <x:v>35</x:v>
      </x:c>
      <x:c r="G76" s="11" t="n">
        <x:v>35</x:v>
      </x:c>
      <x:c r="H76" s="11" t="n">
        <x:f>O76+P76</x:f>
        <x:v>23</x:v>
      </x:c>
      <x:c r="I76" s="12" t="n">
        <x:f>IF(F76=0,"",H76/F76)</x:f>
        <x:v>0.6571428571428571</x:v>
      </x:c>
      <x:c r="J76" s="12" t="n">
        <x:f>IF(F76=0,"",(O76+R76)/F76)</x:f>
        <x:v>0.7428571428571429</x:v>
      </x:c>
      <x:c r="K76" s="12" t="n">
        <x:f>IF(H76=0,"",O76/H76)</x:f>
        <x:v>0.782608695652174</x:v>
      </x:c>
      <x:c r="L76" s="12" t="n">
        <x:f>IF(O76+Q76=0,"",O76/(O76+Q76))</x:f>
        <x:v>0.8181818181818182</x:v>
      </x:c>
      <x:c r="M76" s="12" t="n">
        <x:f>IF(2*O76+P76+Q76=0,"",2*O76/(2*O76+P76+Q76))</x:f>
        <x:v>0.8</x:v>
      </x:c>
      <x:c r="N76" s="12" t="n">
        <x:f>IF(OR(O76+Q76=0,R76+P76=0),"",(L76+R76/(R76+P76))/2)</x:f>
        <x:v>0.7167832167832169</x:v>
      </x:c>
      <x:c r="O76" s="11" t="n">
        <x:v>18</x:v>
      </x:c>
      <x:c r="P76" s="11" t="n">
        <x:v>5</x:v>
      </x:c>
      <x:c r="Q76" s="11" t="n">
        <x:v>4</x:v>
      </x:c>
      <x:c r="R76" s="11" t="n">
        <x:v>8</x:v>
      </x:c>
    </x:row>
    <x:row r="77" ht="26" customHeight="1">
      <x:c r="A77" s="13" t="n">
        <x:v>46174</x:v>
      </x:c>
      <x:c r="B77" s="9" t="str">
        <x:v>全部候选</x:v>
      </x:c>
      <x:c r="C77" s="9" t="str">
        <x:v>验证窗口</x:v>
      </x:c>
      <x:c r="D77" s="9" t="str">
        <x:v>Top1</x:v>
      </x:c>
      <x:c r="E77" s="9" t="str">
        <x:v>四K重选规则</x:v>
      </x:c>
      <x:c r="F77" s="11" t="n">
        <x:f>SUM(O77:R77)</x:f>
        <x:v>35</x:v>
      </x:c>
      <x:c r="G77" s="11" t="n">
        <x:v>35</x:v>
      </x:c>
      <x:c r="H77" s="11" t="n">
        <x:f>O77+P77</x:f>
        <x:v>20</x:v>
      </x:c>
      <x:c r="I77" s="12" t="n">
        <x:f>IF(F77=0,"",H77/F77)</x:f>
        <x:v>0.5714285714285714</x:v>
      </x:c>
      <x:c r="J77" s="12" t="n">
        <x:f>IF(F77=0,"",(O77+R77)/F77)</x:f>
        <x:v>0.8285714285714286</x:v>
      </x:c>
      <x:c r="K77" s="12" t="n">
        <x:f>IF(H77=0,"",O77/H77)</x:f>
        <x:v>0.9</x:v>
      </x:c>
      <x:c r="L77" s="12" t="n">
        <x:f>IF(O77+Q77=0,"",O77/(O77+Q77))</x:f>
        <x:v>0.8181818181818182</x:v>
      </x:c>
      <x:c r="M77" s="12" t="n">
        <x:f>IF(2*O77+P77+Q77=0,"",2*O77/(2*O77+P77+Q77))</x:f>
        <x:v>0.8571428571428571</x:v>
      </x:c>
      <x:c r="N77" s="12" t="n">
        <x:f>IF(OR(O77+Q77=0,R77+P77=0),"",(L77+R77/(R77+P77))/2)</x:f>
        <x:v>0.8321678321678322</x:v>
      </x:c>
      <x:c r="O77" s="11" t="n">
        <x:v>18</x:v>
      </x:c>
      <x:c r="P77" s="11" t="n">
        <x:v>2</x:v>
      </x:c>
      <x:c r="Q77" s="11" t="n">
        <x:v>4</x:v>
      </x:c>
      <x:c r="R77" s="11" t="n">
        <x:v>11</x:v>
      </x:c>
    </x:row>
    <x:row r="78" ht="26" customHeight="1">
      <x:c r="A78" s="13" t="n">
        <x:v>46204</x:v>
      </x:c>
      <x:c r="B78" s="9" t="str">
        <x:v>全部候选</x:v>
      </x:c>
      <x:c r="C78" s="9" t="str">
        <x:v>测试</x:v>
      </x:c>
      <x:c r="D78" s="9" t="str">
        <x:v>Top1</x:v>
      </x:c>
      <x:c r="E78" s="9" t="str">
        <x:v>不判形态</x:v>
      </x:c>
      <x:c r="F78" s="11" t="n">
        <x:f>SUM(O78:R78)</x:f>
        <x:v>18</x:v>
      </x:c>
      <x:c r="G78" s="11" t="n">
        <x:v>18</x:v>
      </x:c>
      <x:c r="H78" s="11" t="n">
        <x:f>O78+P78</x:f>
        <x:v>18</x:v>
      </x:c>
      <x:c r="I78" s="12" t="n">
        <x:f>IF(F78=0,"",H78/F78)</x:f>
        <x:v>1</x:v>
      </x:c>
      <x:c r="J78" s="12" t="n">
        <x:f>IF(F78=0,"",(O78+R78)/F78)</x:f>
        <x:v>0.6666666666666666</x:v>
      </x:c>
      <x:c r="K78" s="12" t="n">
        <x:f>IF(H78=0,"",O78/H78)</x:f>
        <x:v>0.6666666666666666</x:v>
      </x:c>
      <x:c r="L78" s="12" t="n">
        <x:f>IF(O78+Q78=0,"",O78/(O78+Q78))</x:f>
        <x:v>1</x:v>
      </x:c>
      <x:c r="M78" s="12" t="n">
        <x:f>IF(2*O78+P78+Q78=0,"",2*O78/(2*O78+P78+Q78))</x:f>
        <x:v>0.8</x:v>
      </x:c>
      <x:c r="N78" s="12" t="n">
        <x:f>IF(OR(O78+Q78=0,R78+P78=0),"",(L78+R78/(R78+P78))/2)</x:f>
        <x:v>0.5</x:v>
      </x:c>
      <x:c r="O78" s="11" t="n">
        <x:v>12</x:v>
      </x:c>
      <x:c r="P78" s="11" t="n">
        <x:v>6</x:v>
      </x:c>
      <x:c r="Q78" s="11" t="n">
        <x:v>0</x:v>
      </x:c>
      <x:c r="R78" s="11" t="n">
        <x:v>0</x:v>
      </x:c>
    </x:row>
    <x:row r="79" ht="26" customHeight="1">
      <x:c r="A79" s="13" t="n">
        <x:v>46204</x:v>
      </x:c>
      <x:c r="B79" s="9" t="str">
        <x:v>全部候选</x:v>
      </x:c>
      <x:c r="C79" s="9" t="str">
        <x:v>测试</x:v>
      </x:c>
      <x:c r="D79" s="9" t="str">
        <x:v>Top1</x:v>
      </x:c>
      <x:c r="E79" s="9" t="str">
        <x:v>五K原规则</x:v>
      </x:c>
      <x:c r="F79" s="11" t="n">
        <x:f>SUM(O79:R79)</x:f>
        <x:v>18</x:v>
      </x:c>
      <x:c r="G79" s="11" t="n">
        <x:v>18</x:v>
      </x:c>
      <x:c r="H79" s="11" t="n">
        <x:f>O79+P79</x:f>
        <x:v>13</x:v>
      </x:c>
      <x:c r="I79" s="12" t="n">
        <x:f>IF(F79=0,"",H79/F79)</x:f>
        <x:v>0.7222222222222222</x:v>
      </x:c>
      <x:c r="J79" s="12" t="n">
        <x:f>IF(F79=0,"",(O79+R79)/F79)</x:f>
        <x:v>0.8333333333333334</x:v>
      </x:c>
      <x:c r="K79" s="12" t="n">
        <x:f>IF(H79=0,"",O79/H79)</x:f>
        <x:v>0.8461538461538461</x:v>
      </x:c>
      <x:c r="L79" s="12" t="n">
        <x:f>IF(O79+Q79=0,"",O79/(O79+Q79))</x:f>
        <x:v>0.9166666666666666</x:v>
      </x:c>
      <x:c r="M79" s="12" t="n">
        <x:f>IF(2*O79+P79+Q79=0,"",2*O79/(2*O79+P79+Q79))</x:f>
        <x:v>0.88</x:v>
      </x:c>
      <x:c r="N79" s="12" t="n">
        <x:f>IF(OR(O79+Q79=0,R79+P79=0),"",(L79+R79/(R79+P79))/2)</x:f>
        <x:v>0.7916666666666666</x:v>
      </x:c>
      <x:c r="O79" s="11" t="n">
        <x:v>11</x:v>
      </x:c>
      <x:c r="P79" s="11" t="n">
        <x:v>2</x:v>
      </x:c>
      <x:c r="Q79" s="11" t="n">
        <x:v>1</x:v>
      </x:c>
      <x:c r="R79" s="11" t="n">
        <x:v>4</x:v>
      </x:c>
    </x:row>
    <x:row r="80" ht="26" customHeight="1">
      <x:c r="A80" s="13" t="n">
        <x:v>46204</x:v>
      </x:c>
      <x:c r="B80" s="9" t="str">
        <x:v>全部候选</x:v>
      </x:c>
      <x:c r="C80" s="9" t="str">
        <x:v>测试</x:v>
      </x:c>
      <x:c r="D80" s="9" t="str">
        <x:v>Top1</x:v>
      </x:c>
      <x:c r="E80" s="9" t="str">
        <x:v>四K沿用门槛</x:v>
      </x:c>
      <x:c r="F80" s="11" t="n">
        <x:f>SUM(O80:R80)</x:f>
        <x:v>18</x:v>
      </x:c>
      <x:c r="G80" s="11" t="n">
        <x:v>18</x:v>
      </x:c>
      <x:c r="H80" s="11" t="n">
        <x:f>O80+P80</x:f>
        <x:v>13</x:v>
      </x:c>
      <x:c r="I80" s="12" t="n">
        <x:f>IF(F80=0,"",H80/F80)</x:f>
        <x:v>0.7222222222222222</x:v>
      </x:c>
      <x:c r="J80" s="12" t="n">
        <x:f>IF(F80=0,"",(O80+R80)/F80)</x:f>
        <x:v>0.8333333333333334</x:v>
      </x:c>
      <x:c r="K80" s="12" t="n">
        <x:f>IF(H80=0,"",O80/H80)</x:f>
        <x:v>0.8461538461538461</x:v>
      </x:c>
      <x:c r="L80" s="12" t="n">
        <x:f>IF(O80+Q80=0,"",O80/(O80+Q80))</x:f>
        <x:v>0.9166666666666666</x:v>
      </x:c>
      <x:c r="M80" s="12" t="n">
        <x:f>IF(2*O80+P80+Q80=0,"",2*O80/(2*O80+P80+Q80))</x:f>
        <x:v>0.88</x:v>
      </x:c>
      <x:c r="N80" s="12" t="n">
        <x:f>IF(OR(O80+Q80=0,R80+P80=0),"",(L80+R80/(R80+P80))/2)</x:f>
        <x:v>0.7916666666666666</x:v>
      </x:c>
      <x:c r="O80" s="11" t="n">
        <x:v>11</x:v>
      </x:c>
      <x:c r="P80" s="11" t="n">
        <x:v>2</x:v>
      </x:c>
      <x:c r="Q80" s="11" t="n">
        <x:v>1</x:v>
      </x:c>
      <x:c r="R80" s="11" t="n">
        <x:v>4</x:v>
      </x:c>
    </x:row>
    <x:row r="81" ht="26" customHeight="1">
      <x:c r="A81" s="13" t="n">
        <x:v>46204</x:v>
      </x:c>
      <x:c r="B81" s="9" t="str">
        <x:v>全部候选</x:v>
      </x:c>
      <x:c r="C81" s="9" t="str">
        <x:v>测试</x:v>
      </x:c>
      <x:c r="D81" s="9" t="str">
        <x:v>Top1</x:v>
      </x:c>
      <x:c r="E81" s="9" t="str">
        <x:v>四K重选规则</x:v>
      </x:c>
      <x:c r="F81" s="11" t="n">
        <x:f>SUM(O81:R81)</x:f>
        <x:v>18</x:v>
      </x:c>
      <x:c r="G81" s="11" t="n">
        <x:v>18</x:v>
      </x:c>
      <x:c r="H81" s="11" t="n">
        <x:f>O81+P81</x:f>
        <x:v>18</x:v>
      </x:c>
      <x:c r="I81" s="12" t="n">
        <x:f>IF(F81=0,"",H81/F81)</x:f>
        <x:v>1</x:v>
      </x:c>
      <x:c r="J81" s="12" t="n">
        <x:f>IF(F81=0,"",(O81+R81)/F81)</x:f>
        <x:v>0.6666666666666666</x:v>
      </x:c>
      <x:c r="K81" s="12" t="n">
        <x:f>IF(H81=0,"",O81/H81)</x:f>
        <x:v>0.6666666666666666</x:v>
      </x:c>
      <x:c r="L81" s="12" t="n">
        <x:f>IF(O81+Q81=0,"",O81/(O81+Q81))</x:f>
        <x:v>1</x:v>
      </x:c>
      <x:c r="M81" s="12" t="n">
        <x:f>IF(2*O81+P81+Q81=0,"",2*O81/(2*O81+P81+Q81))</x:f>
        <x:v>0.8</x:v>
      </x:c>
      <x:c r="N81" s="12" t="n">
        <x:f>IF(OR(O81+Q81=0,R81+P81=0),"",(L81+R81/(R81+P81))/2)</x:f>
        <x:v>0.5</x:v>
      </x:c>
      <x:c r="O81" s="11" t="n">
        <x:v>12</x:v>
      </x:c>
      <x:c r="P81" s="11" t="n">
        <x:v>6</x:v>
      </x:c>
      <x:c r="Q81" s="11" t="n">
        <x:v>0</x:v>
      </x:c>
      <x:c r="R81" s="11" t="n">
        <x:v>0</x:v>
      </x:c>
    </x:row>
    <x:row r="82" ht="26" customHeight="1">
      <x:c r="A82" s="13" t="n">
        <x:v>46204</x:v>
      </x:c>
      <x:c r="B82" s="9" t="str">
        <x:v>全部候选</x:v>
      </x:c>
      <x:c r="C82" s="9" t="str">
        <x:v>训练窗口</x:v>
      </x:c>
      <x:c r="D82" s="9" t="str">
        <x:v>Top1</x:v>
      </x:c>
      <x:c r="E82" s="9" t="str">
        <x:v>不判形态</x:v>
      </x:c>
      <x:c r="F82" s="11" t="n">
        <x:f>SUM(O82:R82)</x:f>
        <x:v>116</x:v>
      </x:c>
      <x:c r="G82" s="11" t="n">
        <x:v>116</x:v>
      </x:c>
      <x:c r="H82" s="11" t="n">
        <x:f>O82+P82</x:f>
        <x:v>116</x:v>
      </x:c>
      <x:c r="I82" s="12" t="n">
        <x:f>IF(F82=0,"",H82/F82)</x:f>
        <x:v>1</x:v>
      </x:c>
      <x:c r="J82" s="12" t="n">
        <x:f>IF(F82=0,"",(O82+R82)/F82)</x:f>
        <x:v>0.7586206896551724</x:v>
      </x:c>
      <x:c r="K82" s="12" t="n">
        <x:f>IF(H82=0,"",O82/H82)</x:f>
        <x:v>0.7586206896551724</x:v>
      </x:c>
      <x:c r="L82" s="12" t="n">
        <x:f>IF(O82+Q82=0,"",O82/(O82+Q82))</x:f>
        <x:v>1</x:v>
      </x:c>
      <x:c r="M82" s="12" t="n">
        <x:f>IF(2*O82+P82+Q82=0,"",2*O82/(2*O82+P82+Q82))</x:f>
        <x:v>0.8627450980392157</x:v>
      </x:c>
      <x:c r="N82" s="12" t="n">
        <x:f>IF(OR(O82+Q82=0,R82+P82=0),"",(L82+R82/(R82+P82))/2)</x:f>
        <x:v>0.5</x:v>
      </x:c>
      <x:c r="O82" s="11" t="n">
        <x:v>88</x:v>
      </x:c>
      <x:c r="P82" s="11" t="n">
        <x:v>28</x:v>
      </x:c>
      <x:c r="Q82" s="11" t="n">
        <x:v>0</x:v>
      </x:c>
      <x:c r="R82" s="11" t="n">
        <x:v>0</x:v>
      </x:c>
    </x:row>
    <x:row r="83" ht="26" customHeight="1">
      <x:c r="A83" s="13" t="n">
        <x:v>46204</x:v>
      </x:c>
      <x:c r="B83" s="9" t="str">
        <x:v>全部候选</x:v>
      </x:c>
      <x:c r="C83" s="9" t="str">
        <x:v>训练窗口</x:v>
      </x:c>
      <x:c r="D83" s="9" t="str">
        <x:v>Top1</x:v>
      </x:c>
      <x:c r="E83" s="9" t="str">
        <x:v>五K原规则</x:v>
      </x:c>
      <x:c r="F83" s="11" t="n">
        <x:f>SUM(O83:R83)</x:f>
        <x:v>116</x:v>
      </x:c>
      <x:c r="G83" s="11" t="n">
        <x:v>116</x:v>
      </x:c>
      <x:c r="H83" s="11" t="n">
        <x:f>O83+P83</x:f>
        <x:v>84</x:v>
      </x:c>
      <x:c r="I83" s="12" t="n">
        <x:f>IF(F83=0,"",H83/F83)</x:f>
        <x:v>0.7241379310344828</x:v>
      </x:c>
      <x:c r="J83" s="12" t="n">
        <x:f>IF(F83=0,"",(O83+R83)/F83)</x:f>
        <x:v>0.8275862068965517</x:v>
      </x:c>
      <x:c r="K83" s="12" t="n">
        <x:f>IF(H83=0,"",O83/H83)</x:f>
        <x:v>0.9047619047619048</x:v>
      </x:c>
      <x:c r="L83" s="12" t="n">
        <x:f>IF(O83+Q83=0,"",O83/(O83+Q83))</x:f>
        <x:v>0.8636363636363636</x:v>
      </x:c>
      <x:c r="M83" s="12" t="n">
        <x:f>IF(2*O83+P83+Q83=0,"",2*O83/(2*O83+P83+Q83))</x:f>
        <x:v>0.8837209302325582</x:v>
      </x:c>
      <x:c r="N83" s="12" t="n">
        <x:f>IF(OR(O83+Q83=0,R83+P83=0),"",(L83+R83/(R83+P83))/2)</x:f>
        <x:v>0.788961038961039</x:v>
      </x:c>
      <x:c r="O83" s="11" t="n">
        <x:v>76</x:v>
      </x:c>
      <x:c r="P83" s="11" t="n">
        <x:v>8</x:v>
      </x:c>
      <x:c r="Q83" s="11" t="n">
        <x:v>12</x:v>
      </x:c>
      <x:c r="R83" s="11" t="n">
        <x:v>20</x:v>
      </x:c>
    </x:row>
    <x:row r="84" ht="26" customHeight="1">
      <x:c r="A84" s="13" t="n">
        <x:v>46204</x:v>
      </x:c>
      <x:c r="B84" s="9" t="str">
        <x:v>全部候选</x:v>
      </x:c>
      <x:c r="C84" s="9" t="str">
        <x:v>训练窗口</x:v>
      </x:c>
      <x:c r="D84" s="9" t="str">
        <x:v>Top1</x:v>
      </x:c>
      <x:c r="E84" s="9" t="str">
        <x:v>四K沿用门槛</x:v>
      </x:c>
      <x:c r="F84" s="11" t="n">
        <x:f>SUM(O84:R84)</x:f>
        <x:v>116</x:v>
      </x:c>
      <x:c r="G84" s="11" t="n">
        <x:v>116</x:v>
      </x:c>
      <x:c r="H84" s="11" t="n">
        <x:f>O84+P84</x:f>
        <x:v>84</x:v>
      </x:c>
      <x:c r="I84" s="12" t="n">
        <x:f>IF(F84=0,"",H84/F84)</x:f>
        <x:v>0.7241379310344828</x:v>
      </x:c>
      <x:c r="J84" s="12" t="n">
        <x:f>IF(F84=0,"",(O84+R84)/F84)</x:f>
        <x:v>0.8103448275862069</x:v>
      </x:c>
      <x:c r="K84" s="12" t="n">
        <x:f>IF(H84=0,"",O84/H84)</x:f>
        <x:v>0.8928571428571429</x:v>
      </x:c>
      <x:c r="L84" s="12" t="n">
        <x:f>IF(O84+Q84=0,"",O84/(O84+Q84))</x:f>
        <x:v>0.8522727272727273</x:v>
      </x:c>
      <x:c r="M84" s="12" t="n">
        <x:f>IF(2*O84+P84+Q84=0,"",2*O84/(2*O84+P84+Q84))</x:f>
        <x:v>0.872093023255814</x:v>
      </x:c>
      <x:c r="N84" s="12" t="n">
        <x:f>IF(OR(O84+Q84=0,R84+P84=0),"",(L84+R84/(R84+P84))/2)</x:f>
        <x:v>0.765422077922078</x:v>
      </x:c>
      <x:c r="O84" s="11" t="n">
        <x:v>75</x:v>
      </x:c>
      <x:c r="P84" s="11" t="n">
        <x:v>9</x:v>
      </x:c>
      <x:c r="Q84" s="11" t="n">
        <x:v>13</x:v>
      </x:c>
      <x:c r="R84" s="11" t="n">
        <x:v>19</x:v>
      </x:c>
    </x:row>
    <x:row r="85" ht="26" customHeight="1">
      <x:c r="A85" s="13" t="n">
        <x:v>46204</x:v>
      </x:c>
      <x:c r="B85" s="9" t="str">
        <x:v>全部候选</x:v>
      </x:c>
      <x:c r="C85" s="9" t="str">
        <x:v>训练窗口</x:v>
      </x:c>
      <x:c r="D85" s="9" t="str">
        <x:v>Top1</x:v>
      </x:c>
      <x:c r="E85" s="9" t="str">
        <x:v>四K重选规则</x:v>
      </x:c>
      <x:c r="F85" s="11" t="n">
        <x:f>SUM(O85:R85)</x:f>
        <x:v>116</x:v>
      </x:c>
      <x:c r="G85" s="11" t="n">
        <x:v>116</x:v>
      </x:c>
      <x:c r="H85" s="11" t="n">
        <x:f>O85+P85</x:f>
        <x:v>116</x:v>
      </x:c>
      <x:c r="I85" s="12" t="n">
        <x:f>IF(F85=0,"",H85/F85)</x:f>
        <x:v>1</x:v>
      </x:c>
      <x:c r="J85" s="12" t="n">
        <x:f>IF(F85=0,"",(O85+R85)/F85)</x:f>
        <x:v>0.7586206896551724</x:v>
      </x:c>
      <x:c r="K85" s="12" t="n">
        <x:f>IF(H85=0,"",O85/H85)</x:f>
        <x:v>0.7586206896551724</x:v>
      </x:c>
      <x:c r="L85" s="12" t="n">
        <x:f>IF(O85+Q85=0,"",O85/(O85+Q85))</x:f>
        <x:v>1</x:v>
      </x:c>
      <x:c r="M85" s="12" t="n">
        <x:f>IF(2*O85+P85+Q85=0,"",2*O85/(2*O85+P85+Q85))</x:f>
        <x:v>0.8627450980392157</x:v>
      </x:c>
      <x:c r="N85" s="12" t="n">
        <x:f>IF(OR(O85+Q85=0,R85+P85=0),"",(L85+R85/(R85+P85))/2)</x:f>
        <x:v>0.5</x:v>
      </x:c>
      <x:c r="O85" s="11" t="n">
        <x:v>88</x:v>
      </x:c>
      <x:c r="P85" s="11" t="n">
        <x:v>28</x:v>
      </x:c>
      <x:c r="Q85" s="11" t="n">
        <x:v>0</x:v>
      </x:c>
      <x:c r="R85" s="11" t="n">
        <x:v>0</x:v>
      </x:c>
    </x:row>
    <x:row r="86" ht="26" customHeight="1">
      <x:c r="A86" s="13" t="n">
        <x:v>46204</x:v>
      </x:c>
      <x:c r="B86" s="9" t="str">
        <x:v>全部候选</x:v>
      </x:c>
      <x:c r="C86" s="9" t="str">
        <x:v>验证窗口</x:v>
      </x:c>
      <x:c r="D86" s="9" t="str">
        <x:v>Top1</x:v>
      </x:c>
      <x:c r="E86" s="9" t="str">
        <x:v>不判形态</x:v>
      </x:c>
      <x:c r="F86" s="11" t="n">
        <x:f>SUM(O86:R86)</x:f>
        <x:v>35</x:v>
      </x:c>
      <x:c r="G86" s="11" t="n">
        <x:v>35</x:v>
      </x:c>
      <x:c r="H86" s="11" t="n">
        <x:f>O86+P86</x:f>
        <x:v>35</x:v>
      </x:c>
      <x:c r="I86" s="12" t="n">
        <x:f>IF(F86=0,"",H86/F86)</x:f>
        <x:v>1</x:v>
      </x:c>
      <x:c r="J86" s="12" t="n">
        <x:f>IF(F86=0,"",(O86+R86)/F86)</x:f>
        <x:v>0.6571428571428571</x:v>
      </x:c>
      <x:c r="K86" s="12" t="n">
        <x:f>IF(H86=0,"",O86/H86)</x:f>
        <x:v>0.6571428571428571</x:v>
      </x:c>
      <x:c r="L86" s="12" t="n">
        <x:f>IF(O86+Q86=0,"",O86/(O86+Q86))</x:f>
        <x:v>1</x:v>
      </x:c>
      <x:c r="M86" s="12" t="n">
        <x:f>IF(2*O86+P86+Q86=0,"",2*O86/(2*O86+P86+Q86))</x:f>
        <x:v>0.7931034482758621</x:v>
      </x:c>
      <x:c r="N86" s="12" t="n">
        <x:f>IF(OR(O86+Q86=0,R86+P86=0),"",(L86+R86/(R86+P86))/2)</x:f>
        <x:v>0.5</x:v>
      </x:c>
      <x:c r="O86" s="11" t="n">
        <x:v>23</x:v>
      </x:c>
      <x:c r="P86" s="11" t="n">
        <x:v>12</x:v>
      </x:c>
      <x:c r="Q86" s="11" t="n">
        <x:v>0</x:v>
      </x:c>
      <x:c r="R86" s="11" t="n">
        <x:v>0</x:v>
      </x:c>
    </x:row>
    <x:row r="87" ht="26" customHeight="1">
      <x:c r="A87" s="13" t="n">
        <x:v>46204</x:v>
      </x:c>
      <x:c r="B87" s="9" t="str">
        <x:v>全部候选</x:v>
      </x:c>
      <x:c r="C87" s="9" t="str">
        <x:v>验证窗口</x:v>
      </x:c>
      <x:c r="D87" s="9" t="str">
        <x:v>Top1</x:v>
      </x:c>
      <x:c r="E87" s="9" t="str">
        <x:v>五K原规则</x:v>
      </x:c>
      <x:c r="F87" s="11" t="n">
        <x:f>SUM(O87:R87)</x:f>
        <x:v>35</x:v>
      </x:c>
      <x:c r="G87" s="11" t="n">
        <x:v>35</x:v>
      </x:c>
      <x:c r="H87" s="11" t="n">
        <x:f>O87+P87</x:f>
        <x:v>26</x:v>
      </x:c>
      <x:c r="I87" s="12" t="n">
        <x:f>IF(F87=0,"",H87/F87)</x:f>
        <x:v>0.7428571428571429</x:v>
      </x:c>
      <x:c r="J87" s="12" t="n">
        <x:f>IF(F87=0,"",(O87+R87)/F87)</x:f>
        <x:v>0.7428571428571429</x:v>
      </x:c>
      <x:c r="K87" s="12" t="n">
        <x:f>IF(H87=0,"",O87/H87)</x:f>
        <x:v>0.7692307692307693</x:v>
      </x:c>
      <x:c r="L87" s="12" t="n">
        <x:f>IF(O87+Q87=0,"",O87/(O87+Q87))</x:f>
        <x:v>0.8695652173913043</x:v>
      </x:c>
      <x:c r="M87" s="12" t="n">
        <x:f>IF(2*O87+P87+Q87=0,"",2*O87/(2*O87+P87+Q87))</x:f>
        <x:v>0.8163265306122449</x:v>
      </x:c>
      <x:c r="N87" s="12" t="n">
        <x:f>IF(OR(O87+Q87=0,R87+P87=0),"",(L87+R87/(R87+P87))/2)</x:f>
        <x:v>0.6847826086956521</x:v>
      </x:c>
      <x:c r="O87" s="11" t="n">
        <x:v>20</x:v>
      </x:c>
      <x:c r="P87" s="11" t="n">
        <x:v>6</x:v>
      </x:c>
      <x:c r="Q87" s="11" t="n">
        <x:v>3</x:v>
      </x:c>
      <x:c r="R87" s="11" t="n">
        <x:v>6</x:v>
      </x:c>
    </x:row>
    <x:row r="88" ht="26" customHeight="1">
      <x:c r="A88" s="13" t="n">
        <x:v>46204</x:v>
      </x:c>
      <x:c r="B88" s="9" t="str">
        <x:v>全部候选</x:v>
      </x:c>
      <x:c r="C88" s="9" t="str">
        <x:v>验证窗口</x:v>
      </x:c>
      <x:c r="D88" s="9" t="str">
        <x:v>Top1</x:v>
      </x:c>
      <x:c r="E88" s="9" t="str">
        <x:v>四K沿用门槛</x:v>
      </x:c>
      <x:c r="F88" s="11" t="n">
        <x:f>SUM(O88:R88)</x:f>
        <x:v>35</x:v>
      </x:c>
      <x:c r="G88" s="11" t="n">
        <x:v>35</x:v>
      </x:c>
      <x:c r="H88" s="11" t="n">
        <x:f>O88+P88</x:f>
        <x:v>26</x:v>
      </x:c>
      <x:c r="I88" s="12" t="n">
        <x:f>IF(F88=0,"",H88/F88)</x:f>
        <x:v>0.7428571428571429</x:v>
      </x:c>
      <x:c r="J88" s="12" t="n">
        <x:f>IF(F88=0,"",(O88+R88)/F88)</x:f>
        <x:v>0.7428571428571429</x:v>
      </x:c>
      <x:c r="K88" s="12" t="n">
        <x:f>IF(H88=0,"",O88/H88)</x:f>
        <x:v>0.7692307692307693</x:v>
      </x:c>
      <x:c r="L88" s="12" t="n">
        <x:f>IF(O88+Q88=0,"",O88/(O88+Q88))</x:f>
        <x:v>0.8695652173913043</x:v>
      </x:c>
      <x:c r="M88" s="12" t="n">
        <x:f>IF(2*O88+P88+Q88=0,"",2*O88/(2*O88+P88+Q88))</x:f>
        <x:v>0.8163265306122449</x:v>
      </x:c>
      <x:c r="N88" s="12" t="n">
        <x:f>IF(OR(O88+Q88=0,R88+P88=0),"",(L88+R88/(R88+P88))/2)</x:f>
        <x:v>0.6847826086956521</x:v>
      </x:c>
      <x:c r="O88" s="11" t="n">
        <x:v>20</x:v>
      </x:c>
      <x:c r="P88" s="11" t="n">
        <x:v>6</x:v>
      </x:c>
      <x:c r="Q88" s="11" t="n">
        <x:v>3</x:v>
      </x:c>
      <x:c r="R88" s="11" t="n">
        <x:v>6</x:v>
      </x:c>
    </x:row>
    <x:row r="89" ht="26" customHeight="1">
      <x:c r="A89" s="13" t="n">
        <x:v>46204</x:v>
      </x:c>
      <x:c r="B89" s="9" t="str">
        <x:v>全部候选</x:v>
      </x:c>
      <x:c r="C89" s="9" t="str">
        <x:v>验证窗口</x:v>
      </x:c>
      <x:c r="D89" s="9" t="str">
        <x:v>Top1</x:v>
      </x:c>
      <x:c r="E89" s="9" t="str">
        <x:v>四K重选规则</x:v>
      </x:c>
      <x:c r="F89" s="11" t="n">
        <x:f>SUM(O89:R89)</x:f>
        <x:v>35</x:v>
      </x:c>
      <x:c r="G89" s="11" t="n">
        <x:v>35</x:v>
      </x:c>
      <x:c r="H89" s="11" t="n">
        <x:f>O89+P89</x:f>
        <x:v>35</x:v>
      </x:c>
      <x:c r="I89" s="12" t="n">
        <x:f>IF(F89=0,"",H89/F89)</x:f>
        <x:v>1</x:v>
      </x:c>
      <x:c r="J89" s="12" t="n">
        <x:f>IF(F89=0,"",(O89+R89)/F89)</x:f>
        <x:v>0.6571428571428571</x:v>
      </x:c>
      <x:c r="K89" s="12" t="n">
        <x:f>IF(H89=0,"",O89/H89)</x:f>
        <x:v>0.6571428571428571</x:v>
      </x:c>
      <x:c r="L89" s="12" t="n">
        <x:f>IF(O89+Q89=0,"",O89/(O89+Q89))</x:f>
        <x:v>1</x:v>
      </x:c>
      <x:c r="M89" s="12" t="n">
        <x:f>IF(2*O89+P89+Q89=0,"",2*O89/(2*O89+P89+Q89))</x:f>
        <x:v>0.7931034482758621</x:v>
      </x:c>
      <x:c r="N89" s="12" t="n">
        <x:f>IF(OR(O89+Q89=0,R89+P89=0),"",(L89+R89/(R89+P89))/2)</x:f>
        <x:v>0.5</x:v>
      </x:c>
      <x:c r="O89" s="11" t="n">
        <x:v>23</x:v>
      </x:c>
      <x:c r="P89" s="11" t="n">
        <x:v>12</x:v>
      </x:c>
      <x:c r="Q89" s="11" t="n">
        <x:v>0</x:v>
      </x:c>
      <x:c r="R89" s="11" t="n">
        <x:v>0</x:v>
      </x:c>
    </x:row>
    <x:row r="90" ht="26" customHeight="1">
      <x:c r="A90" s="13" t="n">
        <x:v>46235</x:v>
      </x:c>
      <x:c r="B90" s="9" t="str">
        <x:v>全部候选</x:v>
      </x:c>
      <x:c r="C90" s="9" t="str">
        <x:v>测试</x:v>
      </x:c>
      <x:c r="D90" s="9" t="str">
        <x:v>Top1</x:v>
      </x:c>
      <x:c r="E90" s="9" t="str">
        <x:v>不判形态</x:v>
      </x:c>
      <x:c r="F90" s="11" t="n">
        <x:f>SUM(O90:R90)</x:f>
        <x:v>21</x:v>
      </x:c>
      <x:c r="G90" s="11" t="n">
        <x:v>21</x:v>
      </x:c>
      <x:c r="H90" s="11" t="n">
        <x:f>O90+P90</x:f>
        <x:v>21</x:v>
      </x:c>
      <x:c r="I90" s="12" t="n">
        <x:f>IF(F90=0,"",H90/F90)</x:f>
        <x:v>1</x:v>
      </x:c>
      <x:c r="J90" s="12" t="n">
        <x:f>IF(F90=0,"",(O90+R90)/F90)</x:f>
        <x:v>0.7619047619047619</x:v>
      </x:c>
      <x:c r="K90" s="12" t="n">
        <x:f>IF(H90=0,"",O90/H90)</x:f>
        <x:v>0.7619047619047619</x:v>
      </x:c>
      <x:c r="L90" s="12" t="n">
        <x:f>IF(O90+Q90=0,"",O90/(O90+Q90))</x:f>
        <x:v>1</x:v>
      </x:c>
      <x:c r="M90" s="12" t="n">
        <x:f>IF(2*O90+P90+Q90=0,"",2*O90/(2*O90+P90+Q90))</x:f>
        <x:v>0.8648648648648649</x:v>
      </x:c>
      <x:c r="N90" s="12" t="n">
        <x:f>IF(OR(O90+Q90=0,R90+P90=0),"",(L90+R90/(R90+P90))/2)</x:f>
        <x:v>0.5</x:v>
      </x:c>
      <x:c r="O90" s="11" t="n">
        <x:v>16</x:v>
      </x:c>
      <x:c r="P90" s="11" t="n">
        <x:v>5</x:v>
      </x:c>
      <x:c r="Q90" s="11" t="n">
        <x:v>0</x:v>
      </x:c>
      <x:c r="R90" s="11" t="n">
        <x:v>0</x:v>
      </x:c>
    </x:row>
    <x:row r="91" ht="26" customHeight="1">
      <x:c r="A91" s="13" t="n">
        <x:v>46235</x:v>
      </x:c>
      <x:c r="B91" s="9" t="str">
        <x:v>全部候选</x:v>
      </x:c>
      <x:c r="C91" s="9" t="str">
        <x:v>测试</x:v>
      </x:c>
      <x:c r="D91" s="9" t="str">
        <x:v>Top1</x:v>
      </x:c>
      <x:c r="E91" s="9" t="str">
        <x:v>五K原规则</x:v>
      </x:c>
      <x:c r="F91" s="11" t="n">
        <x:f>SUM(O91:R91)</x:f>
        <x:v>21</x:v>
      </x:c>
      <x:c r="G91" s="11" t="n">
        <x:v>21</x:v>
      </x:c>
      <x:c r="H91" s="11" t="n">
        <x:f>O91+P91</x:f>
        <x:v>16</x:v>
      </x:c>
      <x:c r="I91" s="12" t="n">
        <x:f>IF(F91=0,"",H91/F91)</x:f>
        <x:v>0.7619047619047619</x:v>
      </x:c>
      <x:c r="J91" s="12" t="n">
        <x:f>IF(F91=0,"",(O91+R91)/F91)</x:f>
        <x:v>0.9047619047619048</x:v>
      </x:c>
      <x:c r="K91" s="12" t="n">
        <x:f>IF(H91=0,"",O91/H91)</x:f>
        <x:v>0.9375</x:v>
      </x:c>
      <x:c r="L91" s="12" t="n">
        <x:f>IF(O91+Q91=0,"",O91/(O91+Q91))</x:f>
        <x:v>0.9375</x:v>
      </x:c>
      <x:c r="M91" s="12" t="n">
        <x:f>IF(2*O91+P91+Q91=0,"",2*O91/(2*O91+P91+Q91))</x:f>
        <x:v>0.9375</x:v>
      </x:c>
      <x:c r="N91" s="12" t="n">
        <x:f>IF(OR(O91+Q91=0,R91+P91=0),"",(L91+R91/(R91+P91))/2)</x:f>
        <x:v>0.86875</x:v>
      </x:c>
      <x:c r="O91" s="11" t="n">
        <x:v>15</x:v>
      </x:c>
      <x:c r="P91" s="11" t="n">
        <x:v>1</x:v>
      </x:c>
      <x:c r="Q91" s="11" t="n">
        <x:v>1</x:v>
      </x:c>
      <x:c r="R91" s="11" t="n">
        <x:v>4</x:v>
      </x:c>
    </x:row>
    <x:row r="92" ht="26" customHeight="1">
      <x:c r="A92" s="13" t="n">
        <x:v>46235</x:v>
      </x:c>
      <x:c r="B92" s="9" t="str">
        <x:v>全部候选</x:v>
      </x:c>
      <x:c r="C92" s="9" t="str">
        <x:v>测试</x:v>
      </x:c>
      <x:c r="D92" s="9" t="str">
        <x:v>Top1</x:v>
      </x:c>
      <x:c r="E92" s="9" t="str">
        <x:v>四K沿用门槛</x:v>
      </x:c>
      <x:c r="F92" s="11" t="n">
        <x:f>SUM(O92:R92)</x:f>
        <x:v>21</x:v>
      </x:c>
      <x:c r="G92" s="11" t="n">
        <x:v>21</x:v>
      </x:c>
      <x:c r="H92" s="11" t="n">
        <x:f>O92+P92</x:f>
        <x:v>15</x:v>
      </x:c>
      <x:c r="I92" s="12" t="n">
        <x:f>IF(F92=0,"",H92/F92)</x:f>
        <x:v>0.7142857142857143</x:v>
      </x:c>
      <x:c r="J92" s="12" t="n">
        <x:f>IF(F92=0,"",(O92+R92)/F92)</x:f>
        <x:v>0.8571428571428571</x:v>
      </x:c>
      <x:c r="K92" s="12" t="n">
        <x:f>IF(H92=0,"",O92/H92)</x:f>
        <x:v>0.9333333333333333</x:v>
      </x:c>
      <x:c r="L92" s="12" t="n">
        <x:f>IF(O92+Q92=0,"",O92/(O92+Q92))</x:f>
        <x:v>0.875</x:v>
      </x:c>
      <x:c r="M92" s="12" t="n">
        <x:f>IF(2*O92+P92+Q92=0,"",2*O92/(2*O92+P92+Q92))</x:f>
        <x:v>0.9032258064516129</x:v>
      </x:c>
      <x:c r="N92" s="12" t="n">
        <x:f>IF(OR(O92+Q92=0,R92+P92=0),"",(L92+R92/(R92+P92))/2)</x:f>
        <x:v>0.8375</x:v>
      </x:c>
      <x:c r="O92" s="11" t="n">
        <x:v>14</x:v>
      </x:c>
      <x:c r="P92" s="11" t="n">
        <x:v>1</x:v>
      </x:c>
      <x:c r="Q92" s="11" t="n">
        <x:v>2</x:v>
      </x:c>
      <x:c r="R92" s="11" t="n">
        <x:v>4</x:v>
      </x:c>
    </x:row>
    <x:row r="93" ht="26" customHeight="1">
      <x:c r="A93" s="13" t="n">
        <x:v>46235</x:v>
      </x:c>
      <x:c r="B93" s="9" t="str">
        <x:v>全部候选</x:v>
      </x:c>
      <x:c r="C93" s="9" t="str">
        <x:v>测试</x:v>
      </x:c>
      <x:c r="D93" s="9" t="str">
        <x:v>Top1</x:v>
      </x:c>
      <x:c r="E93" s="9" t="str">
        <x:v>四K重选规则</x:v>
      </x:c>
      <x:c r="F93" s="11" t="n">
        <x:f>SUM(O93:R93)</x:f>
        <x:v>21</x:v>
      </x:c>
      <x:c r="G93" s="11" t="n">
        <x:v>21</x:v>
      </x:c>
      <x:c r="H93" s="11" t="n">
        <x:f>O93+P93</x:f>
        <x:v>18</x:v>
      </x:c>
      <x:c r="I93" s="12" t="n">
        <x:f>IF(F93=0,"",H93/F93)</x:f>
        <x:v>0.8571428571428571</x:v>
      </x:c>
      <x:c r="J93" s="12" t="n">
        <x:f>IF(F93=0,"",(O93+R93)/F93)</x:f>
        <x:v>0.8095238095238095</x:v>
      </x:c>
      <x:c r="K93" s="12" t="n">
        <x:f>IF(H93=0,"",O93/H93)</x:f>
        <x:v>0.8333333333333334</x:v>
      </x:c>
      <x:c r="L93" s="12" t="n">
        <x:f>IF(O93+Q93=0,"",O93/(O93+Q93))</x:f>
        <x:v>0.9375</x:v>
      </x:c>
      <x:c r="M93" s="12" t="n">
        <x:f>IF(2*O93+P93+Q93=0,"",2*O93/(2*O93+P93+Q93))</x:f>
        <x:v>0.8823529411764706</x:v>
      </x:c>
      <x:c r="N93" s="12" t="n">
        <x:f>IF(OR(O93+Q93=0,R93+P93=0),"",(L93+R93/(R93+P93))/2)</x:f>
        <x:v>0.66875</x:v>
      </x:c>
      <x:c r="O93" s="11" t="n">
        <x:v>15</x:v>
      </x:c>
      <x:c r="P93" s="11" t="n">
        <x:v>3</x:v>
      </x:c>
      <x:c r="Q93" s="11" t="n">
        <x:v>1</x:v>
      </x:c>
      <x:c r="R93" s="11" t="n">
        <x:v>2</x:v>
      </x:c>
    </x:row>
    <x:row r="94" ht="26" customHeight="1">
      <x:c r="A94" s="13" t="n">
        <x:v>46235</x:v>
      </x:c>
      <x:c r="B94" s="9" t="str">
        <x:v>全部候选</x:v>
      </x:c>
      <x:c r="C94" s="9" t="str">
        <x:v>训练窗口</x:v>
      </x:c>
      <x:c r="D94" s="9" t="str">
        <x:v>Top1</x:v>
      </x:c>
      <x:c r="E94" s="9" t="str">
        <x:v>不判形态</x:v>
      </x:c>
      <x:c r="F94" s="11" t="n">
        <x:f>SUM(O94:R94)</x:f>
        <x:v>114</x:v>
      </x:c>
      <x:c r="G94" s="11" t="n">
        <x:v>114</x:v>
      </x:c>
      <x:c r="H94" s="11" t="n">
        <x:f>O94+P94</x:f>
        <x:v>114</x:v>
      </x:c>
      <x:c r="I94" s="12" t="n">
        <x:f>IF(F94=0,"",H94/F94)</x:f>
        <x:v>1</x:v>
      </x:c>
      <x:c r="J94" s="12" t="n">
        <x:f>IF(F94=0,"",(O94+R94)/F94)</x:f>
        <x:v>0.7017543859649122</x:v>
      </x:c>
      <x:c r="K94" s="12" t="n">
        <x:f>IF(H94=0,"",O94/H94)</x:f>
        <x:v>0.7017543859649122</x:v>
      </x:c>
      <x:c r="L94" s="12" t="n">
        <x:f>IF(O94+Q94=0,"",O94/(O94+Q94))</x:f>
        <x:v>1</x:v>
      </x:c>
      <x:c r="M94" s="12" t="n">
        <x:f>IF(2*O94+P94+Q94=0,"",2*O94/(2*O94+P94+Q94))</x:f>
        <x:v>0.8247422680412371</x:v>
      </x:c>
      <x:c r="N94" s="12" t="n">
        <x:f>IF(OR(O94+Q94=0,R94+P94=0),"",(L94+R94/(R94+P94))/2)</x:f>
        <x:v>0.5</x:v>
      </x:c>
      <x:c r="O94" s="11" t="n">
        <x:v>80</x:v>
      </x:c>
      <x:c r="P94" s="11" t="n">
        <x:v>34</x:v>
      </x:c>
      <x:c r="Q94" s="11" t="n">
        <x:v>0</x:v>
      </x:c>
      <x:c r="R94" s="11" t="n">
        <x:v>0</x:v>
      </x:c>
    </x:row>
    <x:row r="95" ht="26" customHeight="1">
      <x:c r="A95" s="13" t="n">
        <x:v>46235</x:v>
      </x:c>
      <x:c r="B95" s="9" t="str">
        <x:v>全部候选</x:v>
      </x:c>
      <x:c r="C95" s="9" t="str">
        <x:v>训练窗口</x:v>
      </x:c>
      <x:c r="D95" s="9" t="str">
        <x:v>Top1</x:v>
      </x:c>
      <x:c r="E95" s="9" t="str">
        <x:v>五K原规则</x:v>
      </x:c>
      <x:c r="F95" s="11" t="n">
        <x:f>SUM(O95:R95)</x:f>
        <x:v>114</x:v>
      </x:c>
      <x:c r="G95" s="11" t="n">
        <x:v>114</x:v>
      </x:c>
      <x:c r="H95" s="11" t="n">
        <x:f>O95+P95</x:f>
        <x:v>76</x:v>
      </x:c>
      <x:c r="I95" s="12" t="n">
        <x:f>IF(F95=0,"",H95/F95)</x:f>
        <x:v>0.6666666666666666</x:v>
      </x:c>
      <x:c r="J95" s="12" t="n">
        <x:f>IF(F95=0,"",(O95+R95)/F95)</x:f>
        <x:v>0.7543859649122807</x:v>
      </x:c>
      <x:c r="K95" s="12" t="n">
        <x:f>IF(H95=0,"",O95/H95)</x:f>
        <x:v>0.8421052631578947</x:v>
      </x:c>
      <x:c r="L95" s="12" t="n">
        <x:f>IF(O95+Q95=0,"",O95/(O95+Q95))</x:f>
        <x:v>0.8</x:v>
      </x:c>
      <x:c r="M95" s="12" t="n">
        <x:f>IF(2*O95+P95+Q95=0,"",2*O95/(2*O95+P95+Q95))</x:f>
        <x:v>0.8205128205128205</x:v>
      </x:c>
      <x:c r="N95" s="12" t="n">
        <x:f>IF(OR(O95+Q95=0,R95+P95=0),"",(L95+R95/(R95+P95))/2)</x:f>
        <x:v>0.723529411764706</x:v>
      </x:c>
      <x:c r="O95" s="11" t="n">
        <x:v>64</x:v>
      </x:c>
      <x:c r="P95" s="11" t="n">
        <x:v>12</x:v>
      </x:c>
      <x:c r="Q95" s="11" t="n">
        <x:v>16</x:v>
      </x:c>
      <x:c r="R95" s="11" t="n">
        <x:v>22</x:v>
      </x:c>
    </x:row>
    <x:row r="96" ht="26" customHeight="1">
      <x:c r="A96" s="13" t="n">
        <x:v>46235</x:v>
      </x:c>
      <x:c r="B96" s="9" t="str">
        <x:v>全部候选</x:v>
      </x:c>
      <x:c r="C96" s="9" t="str">
        <x:v>训练窗口</x:v>
      </x:c>
      <x:c r="D96" s="9" t="str">
        <x:v>Top1</x:v>
      </x:c>
      <x:c r="E96" s="9" t="str">
        <x:v>四K沿用门槛</x:v>
      </x:c>
      <x:c r="F96" s="11" t="n">
        <x:f>SUM(O96:R96)</x:f>
        <x:v>114</x:v>
      </x:c>
      <x:c r="G96" s="11" t="n">
        <x:v>114</x:v>
      </x:c>
      <x:c r="H96" s="11" t="n">
        <x:f>O96+P96</x:f>
        <x:v>76</x:v>
      </x:c>
      <x:c r="I96" s="12" t="n">
        <x:f>IF(F96=0,"",H96/F96)</x:f>
        <x:v>0.6666666666666666</x:v>
      </x:c>
      <x:c r="J96" s="12" t="n">
        <x:f>IF(F96=0,"",(O96+R96)/F96)</x:f>
        <x:v>0.7719298245614035</x:v>
      </x:c>
      <x:c r="K96" s="12" t="n">
        <x:f>IF(H96=0,"",O96/H96)</x:f>
        <x:v>0.8552631578947368</x:v>
      </x:c>
      <x:c r="L96" s="12" t="n">
        <x:f>IF(O96+Q96=0,"",O96/(O96+Q96))</x:f>
        <x:v>0.8125</x:v>
      </x:c>
      <x:c r="M96" s="12" t="n">
        <x:f>IF(2*O96+P96+Q96=0,"",2*O96/(2*O96+P96+Q96))</x:f>
        <x:v>0.8333333333333334</x:v>
      </x:c>
      <x:c r="N96" s="12" t="n">
        <x:f>IF(OR(O96+Q96=0,R96+P96=0),"",(L96+R96/(R96+P96))/2)</x:f>
        <x:v>0.7444852941176471</x:v>
      </x:c>
      <x:c r="O96" s="11" t="n">
        <x:v>65</x:v>
      </x:c>
      <x:c r="P96" s="11" t="n">
        <x:v>11</x:v>
      </x:c>
      <x:c r="Q96" s="11" t="n">
        <x:v>15</x:v>
      </x:c>
      <x:c r="R96" s="11" t="n">
        <x:v>23</x:v>
      </x:c>
    </x:row>
    <x:row r="97" ht="26" customHeight="1">
      <x:c r="A97" s="13" t="n">
        <x:v>46235</x:v>
      </x:c>
      <x:c r="B97" s="9" t="str">
        <x:v>全部候选</x:v>
      </x:c>
      <x:c r="C97" s="9" t="str">
        <x:v>训练窗口</x:v>
      </x:c>
      <x:c r="D97" s="9" t="str">
        <x:v>Top1</x:v>
      </x:c>
      <x:c r="E97" s="9" t="str">
        <x:v>四K重选规则</x:v>
      </x:c>
      <x:c r="F97" s="11" t="n">
        <x:f>SUM(O97:R97)</x:f>
        <x:v>114</x:v>
      </x:c>
      <x:c r="G97" s="11" t="n">
        <x:v>114</x:v>
      </x:c>
      <x:c r="H97" s="11" t="n">
        <x:f>O97+P97</x:f>
        <x:v>85</x:v>
      </x:c>
      <x:c r="I97" s="12" t="n">
        <x:f>IF(F97=0,"",H97/F97)</x:f>
        <x:v>0.7456140350877193</x:v>
      </x:c>
      <x:c r="J97" s="12" t="n">
        <x:f>IF(F97=0,"",(O97+R97)/F97)</x:f>
        <x:v>0.7631578947368421</x:v>
      </x:c>
      <x:c r="K97" s="12" t="n">
        <x:f>IF(H97=0,"",O97/H97)</x:f>
        <x:v>0.8117647058823529</x:v>
      </x:c>
      <x:c r="L97" s="12" t="n">
        <x:f>IF(O97+Q97=0,"",O97/(O97+Q97))</x:f>
        <x:v>0.8625</x:v>
      </x:c>
      <x:c r="M97" s="12" t="n">
        <x:f>IF(2*O97+P97+Q97=0,"",2*O97/(2*O97+P97+Q97))</x:f>
        <x:v>0.8363636363636363</x:v>
      </x:c>
      <x:c r="N97" s="12" t="n">
        <x:f>IF(OR(O97+Q97=0,R97+P97=0),"",(L97+R97/(R97+P97))/2)</x:f>
        <x:v>0.6959558823529413</x:v>
      </x:c>
      <x:c r="O97" s="11" t="n">
        <x:v>69</x:v>
      </x:c>
      <x:c r="P97" s="11" t="n">
        <x:v>16</x:v>
      </x:c>
      <x:c r="Q97" s="11" t="n">
        <x:v>11</x:v>
      </x:c>
      <x:c r="R97" s="11" t="n">
        <x:v>18</x:v>
      </x:c>
    </x:row>
    <x:row r="98" ht="26" customHeight="1">
      <x:c r="A98" s="13" t="n">
        <x:v>46235</x:v>
      </x:c>
      <x:c r="B98" s="9" t="str">
        <x:v>全部候选</x:v>
      </x:c>
      <x:c r="C98" s="9" t="str">
        <x:v>验证窗口</x:v>
      </x:c>
      <x:c r="D98" s="9" t="str">
        <x:v>Top1</x:v>
      </x:c>
      <x:c r="E98" s="9" t="str">
        <x:v>不判形态</x:v>
      </x:c>
      <x:c r="F98" s="11" t="n">
        <x:f>SUM(O98:R98)</x:f>
        <x:v>39</x:v>
      </x:c>
      <x:c r="G98" s="11" t="n">
        <x:v>39</x:v>
      </x:c>
      <x:c r="H98" s="11" t="n">
        <x:f>O98+P98</x:f>
        <x:v>39</x:v>
      </x:c>
      <x:c r="I98" s="12" t="n">
        <x:f>IF(F98=0,"",H98/F98)</x:f>
        <x:v>1</x:v>
      </x:c>
      <x:c r="J98" s="12" t="n">
        <x:f>IF(F98=0,"",(O98+R98)/F98)</x:f>
        <x:v>0.6153846153846154</x:v>
      </x:c>
      <x:c r="K98" s="12" t="n">
        <x:f>IF(H98=0,"",O98/H98)</x:f>
        <x:v>0.6153846153846154</x:v>
      </x:c>
      <x:c r="L98" s="12" t="n">
        <x:f>IF(O98+Q98=0,"",O98/(O98+Q98))</x:f>
        <x:v>1</x:v>
      </x:c>
      <x:c r="M98" s="12" t="n">
        <x:f>IF(2*O98+P98+Q98=0,"",2*O98/(2*O98+P98+Q98))</x:f>
        <x:v>0.7619047619047619</x:v>
      </x:c>
      <x:c r="N98" s="12" t="n">
        <x:f>IF(OR(O98+Q98=0,R98+P98=0),"",(L98+R98/(R98+P98))/2)</x:f>
        <x:v>0.5</x:v>
      </x:c>
      <x:c r="O98" s="11" t="n">
        <x:v>24</x:v>
      </x:c>
      <x:c r="P98" s="11" t="n">
        <x:v>15</x:v>
      </x:c>
      <x:c r="Q98" s="11" t="n">
        <x:v>0</x:v>
      </x:c>
      <x:c r="R98" s="11" t="n">
        <x:v>0</x:v>
      </x:c>
    </x:row>
    <x:row r="99" ht="26" customHeight="1">
      <x:c r="A99" s="13" t="n">
        <x:v>46235</x:v>
      </x:c>
      <x:c r="B99" s="9" t="str">
        <x:v>全部候选</x:v>
      </x:c>
      <x:c r="C99" s="9" t="str">
        <x:v>验证窗口</x:v>
      </x:c>
      <x:c r="D99" s="9" t="str">
        <x:v>Top1</x:v>
      </x:c>
      <x:c r="E99" s="9" t="str">
        <x:v>五K原规则</x:v>
      </x:c>
      <x:c r="F99" s="11" t="n">
        <x:f>SUM(O99:R99)</x:f>
        <x:v>39</x:v>
      </x:c>
      <x:c r="G99" s="11" t="n">
        <x:v>39</x:v>
      </x:c>
      <x:c r="H99" s="11" t="n">
        <x:f>O99+P99</x:f>
        <x:v>23</x:v>
      </x:c>
      <x:c r="I99" s="12" t="n">
        <x:f>IF(F99=0,"",H99/F99)</x:f>
        <x:v>0.5897435897435898</x:v>
      </x:c>
      <x:c r="J99" s="12" t="n">
        <x:f>IF(F99=0,"",(O99+R99)/F99)</x:f>
        <x:v>0.8205128205128205</x:v>
      </x:c>
      <x:c r="K99" s="12" t="n">
        <x:f>IF(H99=0,"",O99/H99)</x:f>
        <x:v>0.8695652173913043</x:v>
      </x:c>
      <x:c r="L99" s="12" t="n">
        <x:f>IF(O99+Q99=0,"",O99/(O99+Q99))</x:f>
        <x:v>0.8333333333333334</x:v>
      </x:c>
      <x:c r="M99" s="12" t="n">
        <x:f>IF(2*O99+P99+Q99=0,"",2*O99/(2*O99+P99+Q99))</x:f>
        <x:v>0.851063829787234</x:v>
      </x:c>
      <x:c r="N99" s="12" t="n">
        <x:f>IF(OR(O99+Q99=0,R99+P99=0),"",(L99+R99/(R99+P99))/2)</x:f>
        <x:v>0.8166666666666667</x:v>
      </x:c>
      <x:c r="O99" s="11" t="n">
        <x:v>20</x:v>
      </x:c>
      <x:c r="P99" s="11" t="n">
        <x:v>3</x:v>
      </x:c>
      <x:c r="Q99" s="11" t="n">
        <x:v>4</x:v>
      </x:c>
      <x:c r="R99" s="11" t="n">
        <x:v>12</x:v>
      </x:c>
    </x:row>
    <x:row r="100" ht="26" customHeight="1">
      <x:c r="A100" s="13" t="n">
        <x:v>46235</x:v>
      </x:c>
      <x:c r="B100" s="9" t="str">
        <x:v>全部候选</x:v>
      </x:c>
      <x:c r="C100" s="9" t="str">
        <x:v>验证窗口</x:v>
      </x:c>
      <x:c r="D100" s="9" t="str">
        <x:v>Top1</x:v>
      </x:c>
      <x:c r="E100" s="9" t="str">
        <x:v>四K沿用门槛</x:v>
      </x:c>
      <x:c r="F100" s="11" t="n">
        <x:f>SUM(O100:R100)</x:f>
        <x:v>39</x:v>
      </x:c>
      <x:c r="G100" s="11" t="n">
        <x:v>39</x:v>
      </x:c>
      <x:c r="H100" s="11" t="n">
        <x:f>O100+P100</x:f>
        <x:v>22</x:v>
      </x:c>
      <x:c r="I100" s="12" t="n">
        <x:f>IF(F100=0,"",H100/F100)</x:f>
        <x:v>0.5641025641025641</x:v>
      </x:c>
      <x:c r="J100" s="12" t="n">
        <x:f>IF(F100=0,"",(O100+R100)/F100)</x:f>
        <x:v>0.7948717948717948</x:v>
      </x:c>
      <x:c r="K100" s="12" t="n">
        <x:f>IF(H100=0,"",O100/H100)</x:f>
        <x:v>0.8636363636363636</x:v>
      </x:c>
      <x:c r="L100" s="12" t="n">
        <x:f>IF(O100+Q100=0,"",O100/(O100+Q100))</x:f>
        <x:v>0.7916666666666666</x:v>
      </x:c>
      <x:c r="M100" s="12" t="n">
        <x:f>IF(2*O100+P100+Q100=0,"",2*O100/(2*O100+P100+Q100))</x:f>
        <x:v>0.8260869565217391</x:v>
      </x:c>
      <x:c r="N100" s="12" t="n">
        <x:f>IF(OR(O100+Q100=0,R100+P100=0),"",(L100+R100/(R100+P100))/2)</x:f>
        <x:v>0.7958333333333334</x:v>
      </x:c>
      <x:c r="O100" s="11" t="n">
        <x:v>19</x:v>
      </x:c>
      <x:c r="P100" s="11" t="n">
        <x:v>3</x:v>
      </x:c>
      <x:c r="Q100" s="11" t="n">
        <x:v>5</x:v>
      </x:c>
      <x:c r="R100" s="11" t="n">
        <x:v>12</x:v>
      </x:c>
    </x:row>
    <x:row r="101" ht="26" customHeight="1">
      <x:c r="A101" s="13" t="n">
        <x:v>46235</x:v>
      </x:c>
      <x:c r="B101" s="9" t="str">
        <x:v>全部候选</x:v>
      </x:c>
      <x:c r="C101" s="9" t="str">
        <x:v>验证窗口</x:v>
      </x:c>
      <x:c r="D101" s="9" t="str">
        <x:v>Top1</x:v>
      </x:c>
      <x:c r="E101" s="9" t="str">
        <x:v>四K重选规则</x:v>
      </x:c>
      <x:c r="F101" s="11" t="n">
        <x:f>SUM(O101:R101)</x:f>
        <x:v>39</x:v>
      </x:c>
      <x:c r="G101" s="11" t="n">
        <x:v>39</x:v>
      </x:c>
      <x:c r="H101" s="11" t="n">
        <x:f>O101+P101</x:f>
        <x:v>28</x:v>
      </x:c>
      <x:c r="I101" s="12" t="n">
        <x:f>IF(F101=0,"",H101/F101)</x:f>
        <x:v>0.717948717948718</x:v>
      </x:c>
      <x:c r="J101" s="12" t="n">
        <x:f>IF(F101=0,"",(O101+R101)/F101)</x:f>
        <x:v>0.8461538461538461</x:v>
      </x:c>
      <x:c r="K101" s="12" t="n">
        <x:f>IF(H101=0,"",O101/H101)</x:f>
        <x:v>0.8214285714285714</x:v>
      </x:c>
      <x:c r="L101" s="12" t="n">
        <x:f>IF(O101+Q101=0,"",O101/(O101+Q101))</x:f>
        <x:v>0.9583333333333334</x:v>
      </x:c>
      <x:c r="M101" s="12" t="n">
        <x:f>IF(2*O101+P101+Q101=0,"",2*O101/(2*O101+P101+Q101))</x:f>
        <x:v>0.8846153846153846</x:v>
      </x:c>
      <x:c r="N101" s="12" t="n">
        <x:f>IF(OR(O101+Q101=0,R101+P101=0),"",(L101+R101/(R101+P101))/2)</x:f>
        <x:v>0.8125</x:v>
      </x:c>
      <x:c r="O101" s="11" t="n">
        <x:v>23</x:v>
      </x:c>
      <x:c r="P101" s="11" t="n">
        <x:v>5</x:v>
      </x:c>
      <x:c r="Q101" s="11" t="n">
        <x:v>1</x:v>
      </x:c>
      <x:c r="R101" s="11" t="n">
        <x:v>10</x:v>
      </x:c>
    </x:row>
    <x:row r="102" ht="26" customHeight="1">
      <x:c r="A102" s="13" t="n">
        <x:v>46266</x:v>
      </x:c>
      <x:c r="B102" s="9" t="str">
        <x:v>全部候选</x:v>
      </x:c>
      <x:c r="C102" s="9" t="str">
        <x:v>测试</x:v>
      </x:c>
      <x:c r="D102" s="9" t="str">
        <x:v>Top1</x:v>
      </x:c>
      <x:c r="E102" s="9" t="str">
        <x:v>不判形态</x:v>
      </x:c>
      <x:c r="F102" s="11" t="n">
        <x:f>SUM(O102:R102)</x:f>
        <x:v>21</x:v>
      </x:c>
      <x:c r="G102" s="11" t="n">
        <x:v>21</x:v>
      </x:c>
      <x:c r="H102" s="11" t="n">
        <x:f>O102+P102</x:f>
        <x:v>21</x:v>
      </x:c>
      <x:c r="I102" s="12" t="n">
        <x:f>IF(F102=0,"",H102/F102)</x:f>
        <x:v>1</x:v>
      </x:c>
      <x:c r="J102" s="12" t="n">
        <x:f>IF(F102=0,"",(O102+R102)/F102)</x:f>
        <x:v>0.7142857142857143</x:v>
      </x:c>
      <x:c r="K102" s="12" t="n">
        <x:f>IF(H102=0,"",O102/H102)</x:f>
        <x:v>0.7142857142857143</x:v>
      </x:c>
      <x:c r="L102" s="12" t="n">
        <x:f>IF(O102+Q102=0,"",O102/(O102+Q102))</x:f>
        <x:v>1</x:v>
      </x:c>
      <x:c r="M102" s="12" t="n">
        <x:f>IF(2*O102+P102+Q102=0,"",2*O102/(2*O102+P102+Q102))</x:f>
        <x:v>0.8333333333333334</x:v>
      </x:c>
      <x:c r="N102" s="12" t="n">
        <x:f>IF(OR(O102+Q102=0,R102+P102=0),"",(L102+R102/(R102+P102))/2)</x:f>
        <x:v>0.5</x:v>
      </x:c>
      <x:c r="O102" s="11" t="n">
        <x:v>15</x:v>
      </x:c>
      <x:c r="P102" s="11" t="n">
        <x:v>6</x:v>
      </x:c>
      <x:c r="Q102" s="11" t="n">
        <x:v>0</x:v>
      </x:c>
      <x:c r="R102" s="11" t="n">
        <x:v>0</x:v>
      </x:c>
    </x:row>
    <x:row r="103" ht="26" customHeight="1">
      <x:c r="A103" s="13" t="n">
        <x:v>46266</x:v>
      </x:c>
      <x:c r="B103" s="9" t="str">
        <x:v>全部候选</x:v>
      </x:c>
      <x:c r="C103" s="9" t="str">
        <x:v>测试</x:v>
      </x:c>
      <x:c r="D103" s="9" t="str">
        <x:v>Top1</x:v>
      </x:c>
      <x:c r="E103" s="9" t="str">
        <x:v>五K原规则</x:v>
      </x:c>
      <x:c r="F103" s="11" t="n">
        <x:f>SUM(O103:R103)</x:f>
        <x:v>21</x:v>
      </x:c>
      <x:c r="G103" s="11" t="n">
        <x:v>21</x:v>
      </x:c>
      <x:c r="H103" s="11" t="n">
        <x:f>O103+P103</x:f>
        <x:v>14</x:v>
      </x:c>
      <x:c r="I103" s="12" t="n">
        <x:f>IF(F103=0,"",H103/F103)</x:f>
        <x:v>0.6666666666666666</x:v>
      </x:c>
      <x:c r="J103" s="12" t="n">
        <x:f>IF(F103=0,"",(O103+R103)/F103)</x:f>
        <x:v>0.7619047619047619</x:v>
      </x:c>
      <x:c r="K103" s="12" t="n">
        <x:f>IF(H103=0,"",O103/H103)</x:f>
        <x:v>0.8571428571428571</x:v>
      </x:c>
      <x:c r="L103" s="12" t="n">
        <x:f>IF(O103+Q103=0,"",O103/(O103+Q103))</x:f>
        <x:v>0.8</x:v>
      </x:c>
      <x:c r="M103" s="12" t="n">
        <x:f>IF(2*O103+P103+Q103=0,"",2*O103/(2*O103+P103+Q103))</x:f>
        <x:v>0.8275862068965517</x:v>
      </x:c>
      <x:c r="N103" s="12" t="n">
        <x:f>IF(OR(O103+Q103=0,R103+P103=0),"",(L103+R103/(R103+P103))/2)</x:f>
        <x:v>0.7333333333333334</x:v>
      </x:c>
      <x:c r="O103" s="11" t="n">
        <x:v>12</x:v>
      </x:c>
      <x:c r="P103" s="11" t="n">
        <x:v>2</x:v>
      </x:c>
      <x:c r="Q103" s="11" t="n">
        <x:v>3</x:v>
      </x:c>
      <x:c r="R103" s="11" t="n">
        <x:v>4</x:v>
      </x:c>
    </x:row>
    <x:row r="104" ht="26" customHeight="1">
      <x:c r="A104" s="13" t="n">
        <x:v>46266</x:v>
      </x:c>
      <x:c r="B104" s="9" t="str">
        <x:v>全部候选</x:v>
      </x:c>
      <x:c r="C104" s="9" t="str">
        <x:v>测试</x:v>
      </x:c>
      <x:c r="D104" s="9" t="str">
        <x:v>Top1</x:v>
      </x:c>
      <x:c r="E104" s="9" t="str">
        <x:v>四K沿用门槛</x:v>
      </x:c>
      <x:c r="F104" s="11" t="n">
        <x:f>SUM(O104:R104)</x:f>
        <x:v>21</x:v>
      </x:c>
      <x:c r="G104" s="11" t="n">
        <x:v>21</x:v>
      </x:c>
      <x:c r="H104" s="11" t="n">
        <x:f>O104+P104</x:f>
        <x:v>14</x:v>
      </x:c>
      <x:c r="I104" s="12" t="n">
        <x:f>IF(F104=0,"",H104/F104)</x:f>
        <x:v>0.6666666666666666</x:v>
      </x:c>
      <x:c r="J104" s="12" t="n">
        <x:f>IF(F104=0,"",(O104+R104)/F104)</x:f>
        <x:v>0.7619047619047619</x:v>
      </x:c>
      <x:c r="K104" s="12" t="n">
        <x:f>IF(H104=0,"",O104/H104)</x:f>
        <x:v>0.8571428571428571</x:v>
      </x:c>
      <x:c r="L104" s="12" t="n">
        <x:f>IF(O104+Q104=0,"",O104/(O104+Q104))</x:f>
        <x:v>0.8</x:v>
      </x:c>
      <x:c r="M104" s="12" t="n">
        <x:f>IF(2*O104+P104+Q104=0,"",2*O104/(2*O104+P104+Q104))</x:f>
        <x:v>0.8275862068965517</x:v>
      </x:c>
      <x:c r="N104" s="12" t="n">
        <x:f>IF(OR(O104+Q104=0,R104+P104=0),"",(L104+R104/(R104+P104))/2)</x:f>
        <x:v>0.7333333333333334</x:v>
      </x:c>
      <x:c r="O104" s="11" t="n">
        <x:v>12</x:v>
      </x:c>
      <x:c r="P104" s="11" t="n">
        <x:v>2</x:v>
      </x:c>
      <x:c r="Q104" s="11" t="n">
        <x:v>3</x:v>
      </x:c>
      <x:c r="R104" s="11" t="n">
        <x:v>4</x:v>
      </x:c>
    </x:row>
    <x:row r="105" ht="26" customHeight="1">
      <x:c r="A105" s="13" t="n">
        <x:v>46266</x:v>
      </x:c>
      <x:c r="B105" s="9" t="str">
        <x:v>全部候选</x:v>
      </x:c>
      <x:c r="C105" s="9" t="str">
        <x:v>测试</x:v>
      </x:c>
      <x:c r="D105" s="9" t="str">
        <x:v>Top1</x:v>
      </x:c>
      <x:c r="E105" s="9" t="str">
        <x:v>四K重选规则</x:v>
      </x:c>
      <x:c r="F105" s="11" t="n">
        <x:f>SUM(O105:R105)</x:f>
        <x:v>21</x:v>
      </x:c>
      <x:c r="G105" s="11" t="n">
        <x:v>21</x:v>
      </x:c>
      <x:c r="H105" s="11" t="n">
        <x:f>O105+P105</x:f>
        <x:v>20</x:v>
      </x:c>
      <x:c r="I105" s="12" t="n">
        <x:f>IF(F105=0,"",H105/F105)</x:f>
        <x:v>0.9523809523809523</x:v>
      </x:c>
      <x:c r="J105" s="12" t="n">
        <x:f>IF(F105=0,"",(O105+R105)/F105)</x:f>
        <x:v>0.6666666666666666</x:v>
      </x:c>
      <x:c r="K105" s="12" t="n">
        <x:f>IF(H105=0,"",O105/H105)</x:f>
        <x:v>0.7</x:v>
      </x:c>
      <x:c r="L105" s="12" t="n">
        <x:f>IF(O105+Q105=0,"",O105/(O105+Q105))</x:f>
        <x:v>0.9333333333333333</x:v>
      </x:c>
      <x:c r="M105" s="12" t="n">
        <x:f>IF(2*O105+P105+Q105=0,"",2*O105/(2*O105+P105+Q105))</x:f>
        <x:v>0.8</x:v>
      </x:c>
      <x:c r="N105" s="12" t="n">
        <x:f>IF(OR(O105+Q105=0,R105+P105=0),"",(L105+R105/(R105+P105))/2)</x:f>
        <x:v>0.4666666666666667</x:v>
      </x:c>
      <x:c r="O105" s="11" t="n">
        <x:v>14</x:v>
      </x:c>
      <x:c r="P105" s="11" t="n">
        <x:v>6</x:v>
      </x:c>
      <x:c r="Q105" s="11" t="n">
        <x:v>1</x:v>
      </x:c>
      <x:c r="R105" s="11" t="n">
        <x:v>0</x:v>
      </x:c>
    </x:row>
    <x:row r="106" ht="26" customHeight="1">
      <x:c r="A106" s="13" t="n">
        <x:v>46266</x:v>
      </x:c>
      <x:c r="B106" s="9" t="str">
        <x:v>全部候选</x:v>
      </x:c>
      <x:c r="C106" s="9" t="str">
        <x:v>训练窗口</x:v>
      </x:c>
      <x:c r="D106" s="9" t="str">
        <x:v>Top1</x:v>
      </x:c>
      <x:c r="E106" s="9" t="str">
        <x:v>不判形态</x:v>
      </x:c>
      <x:c r="F106" s="11" t="n">
        <x:f>SUM(O106:R106)</x:f>
        <x:v>112</x:v>
      </x:c>
      <x:c r="G106" s="11" t="n">
        <x:v>112</x:v>
      </x:c>
      <x:c r="H106" s="11" t="n">
        <x:f>O106+P106</x:f>
        <x:v>112</x:v>
      </x:c>
      <x:c r="I106" s="12" t="n">
        <x:f>IF(F106=0,"",H106/F106)</x:f>
        <x:v>1</x:v>
      </x:c>
      <x:c r="J106" s="12" t="n">
        <x:f>IF(F106=0,"",(O106+R106)/F106)</x:f>
        <x:v>0.6696428571428571</x:v>
      </x:c>
      <x:c r="K106" s="12" t="n">
        <x:f>IF(H106=0,"",O106/H106)</x:f>
        <x:v>0.6696428571428571</x:v>
      </x:c>
      <x:c r="L106" s="12" t="n">
        <x:f>IF(O106+Q106=0,"",O106/(O106+Q106))</x:f>
        <x:v>1</x:v>
      </x:c>
      <x:c r="M106" s="12" t="n">
        <x:f>IF(2*O106+P106+Q106=0,"",2*O106/(2*O106+P106+Q106))</x:f>
        <x:v>0.8021390374331551</x:v>
      </x:c>
      <x:c r="N106" s="12" t="n">
        <x:f>IF(OR(O106+Q106=0,R106+P106=0),"",(L106+R106/(R106+P106))/2)</x:f>
        <x:v>0.5</x:v>
      </x:c>
      <x:c r="O106" s="11" t="n">
        <x:v>75</x:v>
      </x:c>
      <x:c r="P106" s="11" t="n">
        <x:v>37</x:v>
      </x:c>
      <x:c r="Q106" s="11" t="n">
        <x:v>0</x:v>
      </x:c>
      <x:c r="R106" s="11" t="n">
        <x:v>0</x:v>
      </x:c>
    </x:row>
    <x:row r="107" ht="26" customHeight="1">
      <x:c r="A107" s="13" t="n">
        <x:v>46266</x:v>
      </x:c>
      <x:c r="B107" s="9" t="str">
        <x:v>全部候选</x:v>
      </x:c>
      <x:c r="C107" s="9" t="str">
        <x:v>训练窗口</x:v>
      </x:c>
      <x:c r="D107" s="9" t="str">
        <x:v>Top1</x:v>
      </x:c>
      <x:c r="E107" s="9" t="str">
        <x:v>五K原规则</x:v>
      </x:c>
      <x:c r="F107" s="11" t="n">
        <x:f>SUM(O107:R107)</x:f>
        <x:v>112</x:v>
      </x:c>
      <x:c r="G107" s="11" t="n">
        <x:v>112</x:v>
      </x:c>
      <x:c r="H107" s="11" t="n">
        <x:f>O107+P107</x:f>
        <x:v>78</x:v>
      </x:c>
      <x:c r="I107" s="12" t="n">
        <x:f>IF(F107=0,"",H107/F107)</x:f>
        <x:v>0.6964285714285714</x:v>
      </x:c>
      <x:c r="J107" s="12" t="n">
        <x:f>IF(F107=0,"",(O107+R107)/F107)</x:f>
        <x:v>0.7767857142857143</x:v>
      </x:c>
      <x:c r="K107" s="12" t="n">
        <x:f>IF(H107=0,"",O107/H107)</x:f>
        <x:v>0.8205128205128205</x:v>
      </x:c>
      <x:c r="L107" s="12" t="n">
        <x:f>IF(O107+Q107=0,"",O107/(O107+Q107))</x:f>
        <x:v>0.8533333333333334</x:v>
      </x:c>
      <x:c r="M107" s="12" t="n">
        <x:f>IF(2*O107+P107+Q107=0,"",2*O107/(2*O107+P107+Q107))</x:f>
        <x:v>0.8366013071895425</x:v>
      </x:c>
      <x:c r="N107" s="12" t="n">
        <x:f>IF(OR(O107+Q107=0,R107+P107=0),"",(L107+R107/(R107+P107))/2)</x:f>
        <x:v>0.7374774774774775</x:v>
      </x:c>
      <x:c r="O107" s="11" t="n">
        <x:v>64</x:v>
      </x:c>
      <x:c r="P107" s="11" t="n">
        <x:v>14</x:v>
      </x:c>
      <x:c r="Q107" s="11" t="n">
        <x:v>11</x:v>
      </x:c>
      <x:c r="R107" s="11" t="n">
        <x:v>23</x:v>
      </x:c>
    </x:row>
    <x:row r="108" ht="26" customHeight="1">
      <x:c r="A108" s="13" t="n">
        <x:v>46266</x:v>
      </x:c>
      <x:c r="B108" s="9" t="str">
        <x:v>全部候选</x:v>
      </x:c>
      <x:c r="C108" s="9" t="str">
        <x:v>训练窗口</x:v>
      </x:c>
      <x:c r="D108" s="9" t="str">
        <x:v>Top1</x:v>
      </x:c>
      <x:c r="E108" s="9" t="str">
        <x:v>四K沿用门槛</x:v>
      </x:c>
      <x:c r="F108" s="11" t="n">
        <x:f>SUM(O108:R108)</x:f>
        <x:v>112</x:v>
      </x:c>
      <x:c r="G108" s="11" t="n">
        <x:v>112</x:v>
      </x:c>
      <x:c r="H108" s="11" t="n">
        <x:f>O108+P108</x:f>
        <x:v>80</x:v>
      </x:c>
      <x:c r="I108" s="12" t="n">
        <x:f>IF(F108=0,"",H108/F108)</x:f>
        <x:v>0.7142857142857143</x:v>
      </x:c>
      <x:c r="J108" s="12" t="n">
        <x:f>IF(F108=0,"",(O108+R108)/F108)</x:f>
        <x:v>0.7767857142857143</x:v>
      </x:c>
      <x:c r="K108" s="12" t="n">
        <x:f>IF(H108=0,"",O108/H108)</x:f>
        <x:v>0.8125</x:v>
      </x:c>
      <x:c r="L108" s="12" t="n">
        <x:f>IF(O108+Q108=0,"",O108/(O108+Q108))</x:f>
        <x:v>0.8666666666666667</x:v>
      </x:c>
      <x:c r="M108" s="12" t="n">
        <x:f>IF(2*O108+P108+Q108=0,"",2*O108/(2*O108+P108+Q108))</x:f>
        <x:v>0.8387096774193549</x:v>
      </x:c>
      <x:c r="N108" s="12" t="n">
        <x:f>IF(OR(O108+Q108=0,R108+P108=0),"",(L108+R108/(R108+P108))/2)</x:f>
        <x:v>0.7306306306306307</x:v>
      </x:c>
      <x:c r="O108" s="11" t="n">
        <x:v>65</x:v>
      </x:c>
      <x:c r="P108" s="11" t="n">
        <x:v>15</x:v>
      </x:c>
      <x:c r="Q108" s="11" t="n">
        <x:v>10</x:v>
      </x:c>
      <x:c r="R108" s="11" t="n">
        <x:v>22</x:v>
      </x:c>
    </x:row>
    <x:row r="109" ht="26" customHeight="1">
      <x:c r="A109" s="13" t="n">
        <x:v>46266</x:v>
      </x:c>
      <x:c r="B109" s="9" t="str">
        <x:v>全部候选</x:v>
      </x:c>
      <x:c r="C109" s="9" t="str">
        <x:v>训练窗口</x:v>
      </x:c>
      <x:c r="D109" s="9" t="str">
        <x:v>Top1</x:v>
      </x:c>
      <x:c r="E109" s="9" t="str">
        <x:v>四K重选规则</x:v>
      </x:c>
      <x:c r="F109" s="11" t="n">
        <x:f>SUM(O109:R109)</x:f>
        <x:v>112</x:v>
      </x:c>
      <x:c r="G109" s="11" t="n">
        <x:v>112</x:v>
      </x:c>
      <x:c r="H109" s="11" t="n">
        <x:f>O109+P109</x:f>
        <x:v>102</x:v>
      </x:c>
      <x:c r="I109" s="12" t="n">
        <x:f>IF(F109=0,"",H109/F109)</x:f>
        <x:v>0.9107142857142857</x:v>
      </x:c>
      <x:c r="J109" s="12" t="n">
        <x:f>IF(F109=0,"",(O109+R109)/F109)</x:f>
        <x:v>0.7410714285714286</x:v>
      </x:c>
      <x:c r="K109" s="12" t="n">
        <x:f>IF(H109=0,"",O109/H109)</x:f>
        <x:v>0.7254901960784313</x:v>
      </x:c>
      <x:c r="L109" s="12" t="n">
        <x:f>IF(O109+Q109=0,"",O109/(O109+Q109))</x:f>
        <x:v>0.9866666666666667</x:v>
      </x:c>
      <x:c r="M109" s="12" t="n">
        <x:f>IF(2*O109+P109+Q109=0,"",2*O109/(2*O109+P109+Q109))</x:f>
        <x:v>0.8361581920903954</x:v>
      </x:c>
      <x:c r="N109" s="12" t="n">
        <x:f>IF(OR(O109+Q109=0,R109+P109=0),"",(L109+R109/(R109+P109))/2)</x:f>
        <x:v>0.614954954954955</x:v>
      </x:c>
      <x:c r="O109" s="11" t="n">
        <x:v>74</x:v>
      </x:c>
      <x:c r="P109" s="11" t="n">
        <x:v>28</x:v>
      </x:c>
      <x:c r="Q109" s="11" t="n">
        <x:v>1</x:v>
      </x:c>
      <x:c r="R109" s="11" t="n">
        <x:v>9</x:v>
      </x:c>
    </x:row>
    <x:row r="110" ht="26" customHeight="1">
      <x:c r="A110" s="13" t="n">
        <x:v>46266</x:v>
      </x:c>
      <x:c r="B110" s="9" t="str">
        <x:v>全部候选</x:v>
      </x:c>
      <x:c r="C110" s="9" t="str">
        <x:v>验证窗口</x:v>
      </x:c>
      <x:c r="D110" s="9" t="str">
        <x:v>Top1</x:v>
      </x:c>
      <x:c r="E110" s="9" t="str">
        <x:v>不判形态</x:v>
      </x:c>
      <x:c r="F110" s="11" t="n">
        <x:f>SUM(O110:R110)</x:f>
        <x:v>38</x:v>
      </x:c>
      <x:c r="G110" s="11" t="n">
        <x:v>38</x:v>
      </x:c>
      <x:c r="H110" s="11" t="n">
        <x:f>O110+P110</x:f>
        <x:v>38</x:v>
      </x:c>
      <x:c r="I110" s="12" t="n">
        <x:f>IF(F110=0,"",H110/F110)</x:f>
        <x:v>1</x:v>
      </x:c>
      <x:c r="J110" s="12" t="n">
        <x:f>IF(F110=0,"",(O110+R110)/F110)</x:f>
        <x:v>0.7105263157894737</x:v>
      </x:c>
      <x:c r="K110" s="12" t="n">
        <x:f>IF(H110=0,"",O110/H110)</x:f>
        <x:v>0.7105263157894737</x:v>
      </x:c>
      <x:c r="L110" s="12" t="n">
        <x:f>IF(O110+Q110=0,"",O110/(O110+Q110))</x:f>
        <x:v>1</x:v>
      </x:c>
      <x:c r="M110" s="12" t="n">
        <x:f>IF(2*O110+P110+Q110=0,"",2*O110/(2*O110+P110+Q110))</x:f>
        <x:v>0.8307692307692308</x:v>
      </x:c>
      <x:c r="N110" s="12" t="n">
        <x:f>IF(OR(O110+Q110=0,R110+P110=0),"",(L110+R110/(R110+P110))/2)</x:f>
        <x:v>0.5</x:v>
      </x:c>
      <x:c r="O110" s="11" t="n">
        <x:v>27</x:v>
      </x:c>
      <x:c r="P110" s="11" t="n">
        <x:v>11</x:v>
      </x:c>
      <x:c r="Q110" s="11" t="n">
        <x:v>0</x:v>
      </x:c>
      <x:c r="R110" s="11" t="n">
        <x:v>0</x:v>
      </x:c>
    </x:row>
    <x:row r="111" ht="26" customHeight="1">
      <x:c r="A111" s="13" t="n">
        <x:v>46266</x:v>
      </x:c>
      <x:c r="B111" s="9" t="str">
        <x:v>全部候选</x:v>
      </x:c>
      <x:c r="C111" s="9" t="str">
        <x:v>验证窗口</x:v>
      </x:c>
      <x:c r="D111" s="9" t="str">
        <x:v>Top1</x:v>
      </x:c>
      <x:c r="E111" s="9" t="str">
        <x:v>五K原规则</x:v>
      </x:c>
      <x:c r="F111" s="11" t="n">
        <x:f>SUM(O111:R111)</x:f>
        <x:v>38</x:v>
      </x:c>
      <x:c r="G111" s="11" t="n">
        <x:v>38</x:v>
      </x:c>
      <x:c r="H111" s="11" t="n">
        <x:f>O111+P111</x:f>
        <x:v>27</x:v>
      </x:c>
      <x:c r="I111" s="12" t="n">
        <x:f>IF(F111=0,"",H111/F111)</x:f>
        <x:v>0.7105263157894737</x:v>
      </x:c>
      <x:c r="J111" s="12" t="n">
        <x:f>IF(F111=0,"",(O111+R111)/F111)</x:f>
        <x:v>0.8421052631578947</x:v>
      </x:c>
      <x:c r="K111" s="12" t="n">
        <x:f>IF(H111=0,"",O111/H111)</x:f>
        <x:v>0.8888888888888888</x:v>
      </x:c>
      <x:c r="L111" s="12" t="n">
        <x:f>IF(O111+Q111=0,"",O111/(O111+Q111))</x:f>
        <x:v>0.8888888888888888</x:v>
      </x:c>
      <x:c r="M111" s="12" t="n">
        <x:f>IF(2*O111+P111+Q111=0,"",2*O111/(2*O111+P111+Q111))</x:f>
        <x:v>0.8888888888888888</x:v>
      </x:c>
      <x:c r="N111" s="12" t="n">
        <x:f>IF(OR(O111+Q111=0,R111+P111=0),"",(L111+R111/(R111+P111))/2)</x:f>
        <x:v>0.8080808080808081</x:v>
      </x:c>
      <x:c r="O111" s="11" t="n">
        <x:v>24</x:v>
      </x:c>
      <x:c r="P111" s="11" t="n">
        <x:v>3</x:v>
      </x:c>
      <x:c r="Q111" s="11" t="n">
        <x:v>3</x:v>
      </x:c>
      <x:c r="R111" s="11" t="n">
        <x:v>8</x:v>
      </x:c>
    </x:row>
    <x:row r="112" ht="26" customHeight="1">
      <x:c r="A112" s="13" t="n">
        <x:v>46266</x:v>
      </x:c>
      <x:c r="B112" s="9" t="str">
        <x:v>全部候选</x:v>
      </x:c>
      <x:c r="C112" s="9" t="str">
        <x:v>验证窗口</x:v>
      </x:c>
      <x:c r="D112" s="9" t="str">
        <x:v>Top1</x:v>
      </x:c>
      <x:c r="E112" s="9" t="str">
        <x:v>四K沿用门槛</x:v>
      </x:c>
      <x:c r="F112" s="11" t="n">
        <x:f>SUM(O112:R112)</x:f>
        <x:v>38</x:v>
      </x:c>
      <x:c r="G112" s="11" t="n">
        <x:v>38</x:v>
      </x:c>
      <x:c r="H112" s="11" t="n">
        <x:f>O112+P112</x:f>
        <x:v>28</x:v>
      </x:c>
      <x:c r="I112" s="12" t="n">
        <x:f>IF(F112=0,"",H112/F112)</x:f>
        <x:v>0.7368421052631579</x:v>
      </x:c>
      <x:c r="J112" s="12" t="n">
        <x:f>IF(F112=0,"",(O112+R112)/F112)</x:f>
        <x:v>0.868421052631579</x:v>
      </x:c>
      <x:c r="K112" s="12" t="n">
        <x:f>IF(H112=0,"",O112/H112)</x:f>
        <x:v>0.8928571428571429</x:v>
      </x:c>
      <x:c r="L112" s="12" t="n">
        <x:f>IF(O112+Q112=0,"",O112/(O112+Q112))</x:f>
        <x:v>0.9259259259259259</x:v>
      </x:c>
      <x:c r="M112" s="12" t="n">
        <x:f>IF(2*O112+P112+Q112=0,"",2*O112/(2*O112+P112+Q112))</x:f>
        <x:v>0.9090909090909091</x:v>
      </x:c>
      <x:c r="N112" s="12" t="n">
        <x:f>IF(OR(O112+Q112=0,R112+P112=0),"",(L112+R112/(R112+P112))/2)</x:f>
        <x:v>0.8265993265993266</x:v>
      </x:c>
      <x:c r="O112" s="11" t="n">
        <x:v>25</x:v>
      </x:c>
      <x:c r="P112" s="11" t="n">
        <x:v>3</x:v>
      </x:c>
      <x:c r="Q112" s="11" t="n">
        <x:v>2</x:v>
      </x:c>
      <x:c r="R112" s="11" t="n">
        <x:v>8</x:v>
      </x:c>
    </x:row>
    <x:row r="113" ht="26" customHeight="1">
      <x:c r="A113" s="13" t="n">
        <x:v>46266</x:v>
      </x:c>
      <x:c r="B113" s="9" t="str">
        <x:v>全部候选</x:v>
      </x:c>
      <x:c r="C113" s="9" t="str">
        <x:v>验证窗口</x:v>
      </x:c>
      <x:c r="D113" s="9" t="str">
        <x:v>Top1</x:v>
      </x:c>
      <x:c r="E113" s="9" t="str">
        <x:v>四K重选规则</x:v>
      </x:c>
      <x:c r="F113" s="11" t="n">
        <x:f>SUM(O113:R113)</x:f>
        <x:v>38</x:v>
      </x:c>
      <x:c r="G113" s="11" t="n">
        <x:v>38</x:v>
      </x:c>
      <x:c r="H113" s="11" t="n">
        <x:f>O113+P113</x:f>
        <x:v>34</x:v>
      </x:c>
      <x:c r="I113" s="12" t="n">
        <x:f>IF(F113=0,"",H113/F113)</x:f>
        <x:v>0.8947368421052632</x:v>
      </x:c>
      <x:c r="J113" s="12" t="n">
        <x:f>IF(F113=0,"",(O113+R113)/F113)</x:f>
        <x:v>0.8157894736842105</x:v>
      </x:c>
      <x:c r="K113" s="12" t="n">
        <x:f>IF(H113=0,"",O113/H113)</x:f>
        <x:v>0.7941176470588235</x:v>
      </x:c>
      <x:c r="L113" s="12" t="n">
        <x:f>IF(O113+Q113=0,"",O113/(O113+Q113))</x:f>
        <x:v>1</x:v>
      </x:c>
      <x:c r="M113" s="12" t="n">
        <x:f>IF(2*O113+P113+Q113=0,"",2*O113/(2*O113+P113+Q113))</x:f>
        <x:v>0.8852459016393442</x:v>
      </x:c>
      <x:c r="N113" s="12" t="n">
        <x:f>IF(OR(O113+Q113=0,R113+P113=0),"",(L113+R113/(R113+P113))/2)</x:f>
        <x:v>0.6818181818181819</x:v>
      </x:c>
      <x:c r="O113" s="11" t="n">
        <x:v>27</x:v>
      </x:c>
      <x:c r="P113" s="11" t="n">
        <x:v>7</x:v>
      </x:c>
      <x:c r="Q113" s="11" t="n">
        <x:v>0</x:v>
      </x:c>
      <x:c r="R113" s="11" t="n">
        <x:v>4</x:v>
      </x:c>
    </x:row>
    <x:row r="114" ht="26" customHeight="1">
      <x:c r="A114" s="13" t="n">
        <x:v>46296</x:v>
      </x:c>
      <x:c r="B114" s="9" t="str">
        <x:v>全部候选</x:v>
      </x:c>
      <x:c r="C114" s="9" t="str">
        <x:v>测试</x:v>
      </x:c>
      <x:c r="D114" s="9" t="str">
        <x:v>Top1</x:v>
      </x:c>
      <x:c r="E114" s="9" t="str">
        <x:v>不判形态</x:v>
      </x:c>
      <x:c r="F114" s="11" t="n">
        <x:f>SUM(O114:R114)</x:f>
        <x:v>2</x:v>
      </x:c>
      <x:c r="G114" s="11" t="n">
        <x:v>2</x:v>
      </x:c>
      <x:c r="H114" s="11" t="n">
        <x:f>O114+P114</x:f>
        <x:v>2</x:v>
      </x:c>
      <x:c r="I114" s="12" t="n">
        <x:f>IF(F114=0,"",H114/F114)</x:f>
        <x:v>1</x:v>
      </x:c>
      <x:c r="J114" s="12" t="n">
        <x:f>IF(F114=0,"",(O114+R114)/F114)</x:f>
        <x:v>1</x:v>
      </x:c>
      <x:c r="K114" s="12" t="n">
        <x:f>IF(H114=0,"",O114/H114)</x:f>
        <x:v>1</x:v>
      </x:c>
      <x:c r="L114" s="12" t="n">
        <x:f>IF(O114+Q114=0,"",O114/(O114+Q114))</x:f>
        <x:v>1</x:v>
      </x:c>
      <x:c r="M114" s="12" t="n">
        <x:f>IF(2*O114+P114+Q114=0,"",2*O114/(2*O114+P114+Q114))</x:f>
        <x:v>1</x:v>
      </x:c>
      <x:c r="N114" s="12" t="str">
        <x:f>IF(OR(O114+Q114=0,R114+P114=0),"",(L114+R114/(R114+P114))/2)</x:f>
      </x:c>
      <x:c r="O114" s="11" t="n">
        <x:v>2</x:v>
      </x:c>
      <x:c r="P114" s="11" t="n">
        <x:v>0</x:v>
      </x:c>
      <x:c r="Q114" s="11" t="n">
        <x:v>0</x:v>
      </x:c>
      <x:c r="R114" s="11" t="n">
        <x:v>0</x:v>
      </x:c>
    </x:row>
    <x:row r="115" ht="26" customHeight="1">
      <x:c r="A115" s="13" t="n">
        <x:v>46296</x:v>
      </x:c>
      <x:c r="B115" s="9" t="str">
        <x:v>全部候选</x:v>
      </x:c>
      <x:c r="C115" s="9" t="str">
        <x:v>测试</x:v>
      </x:c>
      <x:c r="D115" s="9" t="str">
        <x:v>Top1</x:v>
      </x:c>
      <x:c r="E115" s="9" t="str">
        <x:v>五K原规则</x:v>
      </x:c>
      <x:c r="F115" s="11" t="n">
        <x:f>SUM(O115:R115)</x:f>
        <x:v>2</x:v>
      </x:c>
      <x:c r="G115" s="11" t="n">
        <x:v>2</x:v>
      </x:c>
      <x:c r="H115" s="11" t="n">
        <x:f>O115+P115</x:f>
        <x:v>2</x:v>
      </x:c>
      <x:c r="I115" s="12" t="n">
        <x:f>IF(F115=0,"",H115/F115)</x:f>
        <x:v>1</x:v>
      </x:c>
      <x:c r="J115" s="12" t="n">
        <x:f>IF(F115=0,"",(O115+R115)/F115)</x:f>
        <x:v>1</x:v>
      </x:c>
      <x:c r="K115" s="12" t="n">
        <x:f>IF(H115=0,"",O115/H115)</x:f>
        <x:v>1</x:v>
      </x:c>
      <x:c r="L115" s="12" t="n">
        <x:f>IF(O115+Q115=0,"",O115/(O115+Q115))</x:f>
        <x:v>1</x:v>
      </x:c>
      <x:c r="M115" s="12" t="n">
        <x:f>IF(2*O115+P115+Q115=0,"",2*O115/(2*O115+P115+Q115))</x:f>
        <x:v>1</x:v>
      </x:c>
      <x:c r="N115" s="12" t="str">
        <x:f>IF(OR(O115+Q115=0,R115+P115=0),"",(L115+R115/(R115+P115))/2)</x:f>
      </x:c>
      <x:c r="O115" s="11" t="n">
        <x:v>2</x:v>
      </x:c>
      <x:c r="P115" s="11" t="n">
        <x:v>0</x:v>
      </x:c>
      <x:c r="Q115" s="11" t="n">
        <x:v>0</x:v>
      </x:c>
      <x:c r="R115" s="11" t="n">
        <x:v>0</x:v>
      </x:c>
    </x:row>
    <x:row r="116" ht="26" customHeight="1">
      <x:c r="A116" s="13" t="n">
        <x:v>46296</x:v>
      </x:c>
      <x:c r="B116" s="9" t="str">
        <x:v>全部候选</x:v>
      </x:c>
      <x:c r="C116" s="9" t="str">
        <x:v>测试</x:v>
      </x:c>
      <x:c r="D116" s="9" t="str">
        <x:v>Top1</x:v>
      </x:c>
      <x:c r="E116" s="9" t="str">
        <x:v>四K沿用门槛</x:v>
      </x:c>
      <x:c r="F116" s="11" t="n">
        <x:f>SUM(O116:R116)</x:f>
        <x:v>2</x:v>
      </x:c>
      <x:c r="G116" s="11" t="n">
        <x:v>2</x:v>
      </x:c>
      <x:c r="H116" s="11" t="n">
        <x:f>O116+P116</x:f>
        <x:v>2</x:v>
      </x:c>
      <x:c r="I116" s="12" t="n">
        <x:f>IF(F116=0,"",H116/F116)</x:f>
        <x:v>1</x:v>
      </x:c>
      <x:c r="J116" s="12" t="n">
        <x:f>IF(F116=0,"",(O116+R116)/F116)</x:f>
        <x:v>1</x:v>
      </x:c>
      <x:c r="K116" s="12" t="n">
        <x:f>IF(H116=0,"",O116/H116)</x:f>
        <x:v>1</x:v>
      </x:c>
      <x:c r="L116" s="12" t="n">
        <x:f>IF(O116+Q116=0,"",O116/(O116+Q116))</x:f>
        <x:v>1</x:v>
      </x:c>
      <x:c r="M116" s="12" t="n">
        <x:f>IF(2*O116+P116+Q116=0,"",2*O116/(2*O116+P116+Q116))</x:f>
        <x:v>1</x:v>
      </x:c>
      <x:c r="N116" s="12" t="str">
        <x:f>IF(OR(O116+Q116=0,R116+P116=0),"",(L116+R116/(R116+P116))/2)</x:f>
      </x:c>
      <x:c r="O116" s="11" t="n">
        <x:v>2</x:v>
      </x:c>
      <x:c r="P116" s="11" t="n">
        <x:v>0</x:v>
      </x:c>
      <x:c r="Q116" s="11" t="n">
        <x:v>0</x:v>
      </x:c>
      <x:c r="R116" s="11" t="n">
        <x:v>0</x:v>
      </x:c>
    </x:row>
    <x:row r="117" ht="26" customHeight="1">
      <x:c r="A117" s="13" t="n">
        <x:v>46296</x:v>
      </x:c>
      <x:c r="B117" s="9" t="str">
        <x:v>全部候选</x:v>
      </x:c>
      <x:c r="C117" s="9" t="str">
        <x:v>测试</x:v>
      </x:c>
      <x:c r="D117" s="9" t="str">
        <x:v>Top1</x:v>
      </x:c>
      <x:c r="E117" s="9" t="str">
        <x:v>四K重选规则</x:v>
      </x:c>
      <x:c r="F117" s="11" t="n">
        <x:f>SUM(O117:R117)</x:f>
        <x:v>2</x:v>
      </x:c>
      <x:c r="G117" s="11" t="n">
        <x:v>2</x:v>
      </x:c>
      <x:c r="H117" s="11" t="n">
        <x:f>O117+P117</x:f>
        <x:v>2</x:v>
      </x:c>
      <x:c r="I117" s="12" t="n">
        <x:f>IF(F117=0,"",H117/F117)</x:f>
        <x:v>1</x:v>
      </x:c>
      <x:c r="J117" s="12" t="n">
        <x:f>IF(F117=0,"",(O117+R117)/F117)</x:f>
        <x:v>1</x:v>
      </x:c>
      <x:c r="K117" s="12" t="n">
        <x:f>IF(H117=0,"",O117/H117)</x:f>
        <x:v>1</x:v>
      </x:c>
      <x:c r="L117" s="12" t="n">
        <x:f>IF(O117+Q117=0,"",O117/(O117+Q117))</x:f>
        <x:v>1</x:v>
      </x:c>
      <x:c r="M117" s="12" t="n">
        <x:f>IF(2*O117+P117+Q117=0,"",2*O117/(2*O117+P117+Q117))</x:f>
        <x:v>1</x:v>
      </x:c>
      <x:c r="N117" s="12" t="str">
        <x:f>IF(OR(O117+Q117=0,R117+P117=0),"",(L117+R117/(R117+P117))/2)</x:f>
      </x:c>
      <x:c r="O117" s="11" t="n">
        <x:v>2</x:v>
      </x:c>
      <x:c r="P117" s="11" t="n">
        <x:v>0</x:v>
      </x:c>
      <x:c r="Q117" s="11" t="n">
        <x:v>0</x:v>
      </x:c>
      <x:c r="R117" s="11" t="n">
        <x:v>0</x:v>
      </x:c>
    </x:row>
    <x:row r="118" ht="26" customHeight="1">
      <x:c r="A118" s="13" t="n">
        <x:v>46296</x:v>
      </x:c>
      <x:c r="B118" s="9" t="str">
        <x:v>全部候选</x:v>
      </x:c>
      <x:c r="C118" s="9" t="str">
        <x:v>训练窗口</x:v>
      </x:c>
      <x:c r="D118" s="9" t="str">
        <x:v>Top1</x:v>
      </x:c>
      <x:c r="E118" s="9" t="str">
        <x:v>不判形态</x:v>
      </x:c>
      <x:c r="F118" s="11" t="n">
        <x:f>SUM(O118:R118)</x:f>
        <x:v>108</x:v>
      </x:c>
      <x:c r="G118" s="11" t="n">
        <x:v>108</x:v>
      </x:c>
      <x:c r="H118" s="11" t="n">
        <x:f>O118+P118</x:f>
        <x:v>108</x:v>
      </x:c>
      <x:c r="I118" s="12" t="n">
        <x:f>IF(F118=0,"",H118/F118)</x:f>
        <x:v>1</x:v>
      </x:c>
      <x:c r="J118" s="12" t="n">
        <x:f>IF(F118=0,"",(O118+R118)/F118)</x:f>
        <x:v>0.6574074074074074</x:v>
      </x:c>
      <x:c r="K118" s="12" t="n">
        <x:f>IF(H118=0,"",O118/H118)</x:f>
        <x:v>0.6574074074074074</x:v>
      </x:c>
      <x:c r="L118" s="12" t="n">
        <x:f>IF(O118+Q118=0,"",O118/(O118+Q118))</x:f>
        <x:v>1</x:v>
      </x:c>
      <x:c r="M118" s="12" t="n">
        <x:f>IF(2*O118+P118+Q118=0,"",2*O118/(2*O118+P118+Q118))</x:f>
        <x:v>0.7932960893854749</x:v>
      </x:c>
      <x:c r="N118" s="12" t="n">
        <x:f>IF(OR(O118+Q118=0,R118+P118=0),"",(L118+R118/(R118+P118))/2)</x:f>
        <x:v>0.5</x:v>
      </x:c>
      <x:c r="O118" s="11" t="n">
        <x:v>71</x:v>
      </x:c>
      <x:c r="P118" s="11" t="n">
        <x:v>37</x:v>
      </x:c>
      <x:c r="Q118" s="11" t="n">
        <x:v>0</x:v>
      </x:c>
      <x:c r="R118" s="11" t="n">
        <x:v>0</x:v>
      </x:c>
    </x:row>
    <x:row r="119" ht="26" customHeight="1">
      <x:c r="A119" s="13" t="n">
        <x:v>46296</x:v>
      </x:c>
      <x:c r="B119" s="9" t="str">
        <x:v>全部候选</x:v>
      </x:c>
      <x:c r="C119" s="9" t="str">
        <x:v>训练窗口</x:v>
      </x:c>
      <x:c r="D119" s="9" t="str">
        <x:v>Top1</x:v>
      </x:c>
      <x:c r="E119" s="9" t="str">
        <x:v>五K原规则</x:v>
      </x:c>
      <x:c r="F119" s="11" t="n">
        <x:f>SUM(O119:R119)</x:f>
        <x:v>108</x:v>
      </x:c>
      <x:c r="G119" s="11" t="n">
        <x:v>108</x:v>
      </x:c>
      <x:c r="H119" s="11" t="n">
        <x:f>O119+P119</x:f>
        <x:v>80</x:v>
      </x:c>
      <x:c r="I119" s="12" t="n">
        <x:f>IF(F119=0,"",H119/F119)</x:f>
        <x:v>0.7407407407407407</x:v>
      </x:c>
      <x:c r="J119" s="12" t="n">
        <x:f>IF(F119=0,"",(O119+R119)/F119)</x:f>
        <x:v>0.7685185185185185</x:v>
      </x:c>
      <x:c r="K119" s="12" t="n">
        <x:f>IF(H119=0,"",O119/H119)</x:f>
        <x:v>0.7875</x:v>
      </x:c>
      <x:c r="L119" s="12" t="n">
        <x:f>IF(O119+Q119=0,"",O119/(O119+Q119))</x:f>
        <x:v>0.8873239436619719</x:v>
      </x:c>
      <x:c r="M119" s="12" t="n">
        <x:f>IF(2*O119+P119+Q119=0,"",2*O119/(2*O119+P119+Q119))</x:f>
        <x:v>0.8344370860927153</x:v>
      </x:c>
      <x:c r="N119" s="12" t="n">
        <x:f>IF(OR(O119+Q119=0,R119+P119=0),"",(L119+R119/(R119+P119))/2)</x:f>
        <x:v>0.7139322421012562</x:v>
      </x:c>
      <x:c r="O119" s="11" t="n">
        <x:v>63</x:v>
      </x:c>
      <x:c r="P119" s="11" t="n">
        <x:v>17</x:v>
      </x:c>
      <x:c r="Q119" s="11" t="n">
        <x:v>8</x:v>
      </x:c>
      <x:c r="R119" s="11" t="n">
        <x:v>20</x:v>
      </x:c>
    </x:row>
    <x:row r="120" ht="26" customHeight="1">
      <x:c r="A120" s="13" t="n">
        <x:v>46296</x:v>
      </x:c>
      <x:c r="B120" s="9" t="str">
        <x:v>全部候选</x:v>
      </x:c>
      <x:c r="C120" s="9" t="str">
        <x:v>训练窗口</x:v>
      </x:c>
      <x:c r="D120" s="9" t="str">
        <x:v>Top1</x:v>
      </x:c>
      <x:c r="E120" s="9" t="str">
        <x:v>四K沿用门槛</x:v>
      </x:c>
      <x:c r="F120" s="11" t="n">
        <x:f>SUM(O120:R120)</x:f>
        <x:v>108</x:v>
      </x:c>
      <x:c r="G120" s="11" t="n">
        <x:v>108</x:v>
      </x:c>
      <x:c r="H120" s="11" t="n">
        <x:f>O120+P120</x:f>
        <x:v>81</x:v>
      </x:c>
      <x:c r="I120" s="12" t="n">
        <x:f>IF(F120=0,"",H120/F120)</x:f>
        <x:v>0.75</x:v>
      </x:c>
      <x:c r="J120" s="12" t="n">
        <x:f>IF(F120=0,"",(O120+R120)/F120)</x:f>
        <x:v>0.7592592592592593</x:v>
      </x:c>
      <x:c r="K120" s="12" t="n">
        <x:f>IF(H120=0,"",O120/H120)</x:f>
        <x:v>0.7777777777777778</x:v>
      </x:c>
      <x:c r="L120" s="12" t="n">
        <x:f>IF(O120+Q120=0,"",O120/(O120+Q120))</x:f>
        <x:v>0.8873239436619719</x:v>
      </x:c>
      <x:c r="M120" s="12" t="n">
        <x:f>IF(2*O120+P120+Q120=0,"",2*O120/(2*O120+P120+Q120))</x:f>
        <x:v>0.8289473684210527</x:v>
      </x:c>
      <x:c r="N120" s="12" t="n">
        <x:f>IF(OR(O120+Q120=0,R120+P120=0),"",(L120+R120/(R120+P120))/2)</x:f>
        <x:v>0.7004187285877427</x:v>
      </x:c>
      <x:c r="O120" s="11" t="n">
        <x:v>63</x:v>
      </x:c>
      <x:c r="P120" s="11" t="n">
        <x:v>18</x:v>
      </x:c>
      <x:c r="Q120" s="11" t="n">
        <x:v>8</x:v>
      </x:c>
      <x:c r="R120" s="11" t="n">
        <x:v>19</x:v>
      </x:c>
    </x:row>
    <x:row r="121" ht="26" customHeight="1">
      <x:c r="A121" s="13" t="n">
        <x:v>46296</x:v>
      </x:c>
      <x:c r="B121" s="9" t="str">
        <x:v>全部候选</x:v>
      </x:c>
      <x:c r="C121" s="9" t="str">
        <x:v>训练窗口</x:v>
      </x:c>
      <x:c r="D121" s="9" t="str">
        <x:v>Top1</x:v>
      </x:c>
      <x:c r="E121" s="9" t="str">
        <x:v>四K重选规则</x:v>
      </x:c>
      <x:c r="F121" s="11" t="n">
        <x:f>SUM(O121:R121)</x:f>
        <x:v>108</x:v>
      </x:c>
      <x:c r="G121" s="11" t="n">
        <x:v>108</x:v>
      </x:c>
      <x:c r="H121" s="11" t="n">
        <x:f>O121+P121</x:f>
        <x:v>74</x:v>
      </x:c>
      <x:c r="I121" s="12" t="n">
        <x:f>IF(F121=0,"",H121/F121)</x:f>
        <x:v>0.6851851851851852</x:v>
      </x:c>
      <x:c r="J121" s="12" t="n">
        <x:f>IF(F121=0,"",(O121+R121)/F121)</x:f>
        <x:v>0.7685185185185185</x:v>
      </x:c>
      <x:c r="K121" s="12" t="n">
        <x:f>IF(H121=0,"",O121/H121)</x:f>
        <x:v>0.8108108108108109</x:v>
      </x:c>
      <x:c r="L121" s="12" t="n">
        <x:f>IF(O121+Q121=0,"",O121/(O121+Q121))</x:f>
        <x:v>0.8450704225352113</x:v>
      </x:c>
      <x:c r="M121" s="12" t="n">
        <x:f>IF(2*O121+P121+Q121=0,"",2*O121/(2*O121+P121+Q121))</x:f>
        <x:v>0.8275862068965517</x:v>
      </x:c>
      <x:c r="N121" s="12" t="n">
        <x:f>IF(OR(O121+Q121=0,R121+P121=0),"",(L121+R121/(R121+P121))/2)</x:f>
        <x:v>0.7333460220784165</x:v>
      </x:c>
      <x:c r="O121" s="11" t="n">
        <x:v>60</x:v>
      </x:c>
      <x:c r="P121" s="11" t="n">
        <x:v>14</x:v>
      </x:c>
      <x:c r="Q121" s="11" t="n">
        <x:v>11</x:v>
      </x:c>
      <x:c r="R121" s="11" t="n">
        <x:v>23</x:v>
      </x:c>
    </x:row>
    <x:row r="122" ht="26" customHeight="1">
      <x:c r="A122" s="13" t="n">
        <x:v>46296</x:v>
      </x:c>
      <x:c r="B122" s="9" t="str">
        <x:v>全部候选</x:v>
      </x:c>
      <x:c r="C122" s="9" t="str">
        <x:v>验证窗口</x:v>
      </x:c>
      <x:c r="D122" s="9" t="str">
        <x:v>Top1</x:v>
      </x:c>
      <x:c r="E122" s="9" t="str">
        <x:v>不判形态</x:v>
      </x:c>
      <x:c r="F122" s="11" t="n">
        <x:f>SUM(O122:R122)</x:f>
        <x:v>38</x:v>
      </x:c>
      <x:c r="G122" s="11" t="n">
        <x:v>38</x:v>
      </x:c>
      <x:c r="H122" s="11" t="n">
        <x:f>O122+P122</x:f>
        <x:v>38</x:v>
      </x:c>
      <x:c r="I122" s="12" t="n">
        <x:f>IF(F122=0,"",H122/F122)</x:f>
        <x:v>1</x:v>
      </x:c>
      <x:c r="J122" s="12" t="n">
        <x:f>IF(F122=0,"",(O122+R122)/F122)</x:f>
        <x:v>0.631578947368421</x:v>
      </x:c>
      <x:c r="K122" s="12" t="n">
        <x:f>IF(H122=0,"",O122/H122)</x:f>
        <x:v>0.631578947368421</x:v>
      </x:c>
      <x:c r="L122" s="12" t="n">
        <x:f>IF(O122+Q122=0,"",O122/(O122+Q122))</x:f>
        <x:v>1</x:v>
      </x:c>
      <x:c r="M122" s="12" t="n">
        <x:f>IF(2*O122+P122+Q122=0,"",2*O122/(2*O122+P122+Q122))</x:f>
        <x:v>0.7741935483870968</x:v>
      </x:c>
      <x:c r="N122" s="12" t="n">
        <x:f>IF(OR(O122+Q122=0,R122+P122=0),"",(L122+R122/(R122+P122))/2)</x:f>
        <x:v>0.5</x:v>
      </x:c>
      <x:c r="O122" s="11" t="n">
        <x:v>24</x:v>
      </x:c>
      <x:c r="P122" s="11" t="n">
        <x:v>14</x:v>
      </x:c>
      <x:c r="Q122" s="11" t="n">
        <x:v>0</x:v>
      </x:c>
      <x:c r="R122" s="11" t="n">
        <x:v>0</x:v>
      </x:c>
    </x:row>
    <x:row r="123" ht="26" customHeight="1">
      <x:c r="A123" s="13" t="n">
        <x:v>46296</x:v>
      </x:c>
      <x:c r="B123" s="9" t="str">
        <x:v>全部候选</x:v>
      </x:c>
      <x:c r="C123" s="9" t="str">
        <x:v>验证窗口</x:v>
      </x:c>
      <x:c r="D123" s="9" t="str">
        <x:v>Top1</x:v>
      </x:c>
      <x:c r="E123" s="9" t="str">
        <x:v>五K原规则</x:v>
      </x:c>
      <x:c r="F123" s="11" t="n">
        <x:f>SUM(O123:R123)</x:f>
        <x:v>38</x:v>
      </x:c>
      <x:c r="G123" s="11" t="n">
        <x:v>38</x:v>
      </x:c>
      <x:c r="H123" s="11" t="n">
        <x:f>O123+P123</x:f>
        <x:v>28</x:v>
      </x:c>
      <x:c r="I123" s="12" t="n">
        <x:f>IF(F123=0,"",H123/F123)</x:f>
        <x:v>0.7368421052631579</x:v>
      </x:c>
      <x:c r="J123" s="12" t="n">
        <x:f>IF(F123=0,"",(O123+R123)/F123)</x:f>
        <x:v>0.7894736842105263</x:v>
      </x:c>
      <x:c r="K123" s="12" t="n">
        <x:f>IF(H123=0,"",O123/H123)</x:f>
        <x:v>0.7857142857142857</x:v>
      </x:c>
      <x:c r="L123" s="12" t="n">
        <x:f>IF(O123+Q123=0,"",O123/(O123+Q123))</x:f>
        <x:v>0.9166666666666666</x:v>
      </x:c>
      <x:c r="M123" s="12" t="n">
        <x:f>IF(2*O123+P123+Q123=0,"",2*O123/(2*O123+P123+Q123))</x:f>
        <x:v>0.8461538461538461</x:v>
      </x:c>
      <x:c r="N123" s="12" t="n">
        <x:f>IF(OR(O123+Q123=0,R123+P123=0),"",(L123+R123/(R123+P123))/2)</x:f>
        <x:v>0.7440476190476191</x:v>
      </x:c>
      <x:c r="O123" s="11" t="n">
        <x:v>22</x:v>
      </x:c>
      <x:c r="P123" s="11" t="n">
        <x:v>6</x:v>
      </x:c>
      <x:c r="Q123" s="11" t="n">
        <x:v>2</x:v>
      </x:c>
      <x:c r="R123" s="11" t="n">
        <x:v>8</x:v>
      </x:c>
    </x:row>
    <x:row r="124" ht="26" customHeight="1">
      <x:c r="A124" s="13" t="n">
        <x:v>46296</x:v>
      </x:c>
      <x:c r="B124" s="9" t="str">
        <x:v>全部候选</x:v>
      </x:c>
      <x:c r="C124" s="9" t="str">
        <x:v>验证窗口</x:v>
      </x:c>
      <x:c r="D124" s="9" t="str">
        <x:v>Top1</x:v>
      </x:c>
      <x:c r="E124" s="9" t="str">
        <x:v>四K沿用门槛</x:v>
      </x:c>
      <x:c r="F124" s="11" t="n">
        <x:f>SUM(O124:R124)</x:f>
        <x:v>38</x:v>
      </x:c>
      <x:c r="G124" s="11" t="n">
        <x:v>38</x:v>
      </x:c>
      <x:c r="H124" s="11" t="n">
        <x:f>O124+P124</x:f>
        <x:v>29</x:v>
      </x:c>
      <x:c r="I124" s="12" t="n">
        <x:f>IF(F124=0,"",H124/F124)</x:f>
        <x:v>0.7631578947368421</x:v>
      </x:c>
      <x:c r="J124" s="12" t="n">
        <x:f>IF(F124=0,"",(O124+R124)/F124)</x:f>
        <x:v>0.7105263157894737</x:v>
      </x:c>
      <x:c r="K124" s="12" t="n">
        <x:f>IF(H124=0,"",O124/H124)</x:f>
        <x:v>0.7241379310344828</x:v>
      </x:c>
      <x:c r="L124" s="12" t="n">
        <x:f>IF(O124+Q124=0,"",O124/(O124+Q124))</x:f>
        <x:v>0.875</x:v>
      </x:c>
      <x:c r="M124" s="12" t="n">
        <x:f>IF(2*O124+P124+Q124=0,"",2*O124/(2*O124+P124+Q124))</x:f>
        <x:v>0.7924528301886793</x:v>
      </x:c>
      <x:c r="N124" s="12" t="n">
        <x:f>IF(OR(O124+Q124=0,R124+P124=0),"",(L124+R124/(R124+P124))/2)</x:f>
        <x:v>0.6517857142857143</x:v>
      </x:c>
      <x:c r="O124" s="11" t="n">
        <x:v>21</x:v>
      </x:c>
      <x:c r="P124" s="11" t="n">
        <x:v>8</x:v>
      </x:c>
      <x:c r="Q124" s="11" t="n">
        <x:v>3</x:v>
      </x:c>
      <x:c r="R124" s="11" t="n">
        <x:v>6</x:v>
      </x:c>
    </x:row>
    <x:row r="125" ht="26" customHeight="1">
      <x:c r="A125" s="13" t="n">
        <x:v>46296</x:v>
      </x:c>
      <x:c r="B125" s="9" t="str">
        <x:v>全部候选</x:v>
      </x:c>
      <x:c r="C125" s="9" t="str">
        <x:v>验证窗口</x:v>
      </x:c>
      <x:c r="D125" s="9" t="str">
        <x:v>Top1</x:v>
      </x:c>
      <x:c r="E125" s="9" t="str">
        <x:v>四K重选规则</x:v>
      </x:c>
      <x:c r="F125" s="11" t="n">
        <x:f>SUM(O125:R125)</x:f>
        <x:v>38</x:v>
      </x:c>
      <x:c r="G125" s="11" t="n">
        <x:v>38</x:v>
      </x:c>
      <x:c r="H125" s="11" t="n">
        <x:f>O125+P125</x:f>
        <x:v>27</x:v>
      </x:c>
      <x:c r="I125" s="12" t="n">
        <x:f>IF(F125=0,"",H125/F125)</x:f>
        <x:v>0.7105263157894737</x:v>
      </x:c>
      <x:c r="J125" s="12" t="n">
        <x:f>IF(F125=0,"",(O125+R125)/F125)</x:f>
        <x:v>0.8157894736842105</x:v>
      </x:c>
      <x:c r="K125" s="12" t="n">
        <x:f>IF(H125=0,"",O125/H125)</x:f>
        <x:v>0.8148148148148148</x:v>
      </x:c>
      <x:c r="L125" s="12" t="n">
        <x:f>IF(O125+Q125=0,"",O125/(O125+Q125))</x:f>
        <x:v>0.9166666666666666</x:v>
      </x:c>
      <x:c r="M125" s="12" t="n">
        <x:f>IF(2*O125+P125+Q125=0,"",2*O125/(2*O125+P125+Q125))</x:f>
        <x:v>0.8627450980392157</x:v>
      </x:c>
      <x:c r="N125" s="12" t="n">
        <x:f>IF(OR(O125+Q125=0,R125+P125=0),"",(L125+R125/(R125+P125))/2)</x:f>
        <x:v>0.7797619047619048</x:v>
      </x:c>
      <x:c r="O125" s="11" t="n">
        <x:v>22</x:v>
      </x:c>
      <x:c r="P125" s="11" t="n">
        <x:v>5</x:v>
      </x:c>
      <x:c r="Q125" s="11" t="n">
        <x:v>2</x:v>
      </x:c>
      <x:c r="R125" s="11" t="n">
        <x:v>9</x:v>
      </x:c>
    </x:row>
    <x:row r="126" ht="26" customHeight="1">
      <x:c r="A126" s="13" t="n">
        <x:v>46023</x:v>
      </x:c>
      <x:c r="B126" s="9" t="str">
        <x:v>全部候选</x:v>
      </x:c>
      <x:c r="C126" s="9" t="str">
        <x:v>测试</x:v>
      </x:c>
      <x:c r="D126" s="9" t="str">
        <x:v>Top3</x:v>
      </x:c>
      <x:c r="E126" s="9" t="str">
        <x:v>不判形态</x:v>
      </x:c>
      <x:c r="F126" s="11" t="n">
        <x:f>SUM(O126:R126)</x:f>
        <x:v>60</x:v>
      </x:c>
      <x:c r="G126" s="11" t="n">
        <x:v>60</x:v>
      </x:c>
      <x:c r="H126" s="11" t="n">
        <x:f>O126+P126</x:f>
        <x:v>60</x:v>
      </x:c>
      <x:c r="I126" s="12" t="n">
        <x:f>IF(F126=0,"",H126/F126)</x:f>
        <x:v>1</x:v>
      </x:c>
      <x:c r="J126" s="12" t="n">
        <x:f>IF(F126=0,"",(O126+R126)/F126)</x:f>
        <x:v>0.5833333333333334</x:v>
      </x:c>
      <x:c r="K126" s="12" t="n">
        <x:f>IF(H126=0,"",O126/H126)</x:f>
        <x:v>0.5833333333333334</x:v>
      </x:c>
      <x:c r="L126" s="12" t="n">
        <x:f>IF(O126+Q126=0,"",O126/(O126+Q126))</x:f>
        <x:v>1</x:v>
      </x:c>
      <x:c r="M126" s="12" t="n">
        <x:f>IF(2*O126+P126+Q126=0,"",2*O126/(2*O126+P126+Q126))</x:f>
        <x:v>0.7368421052631579</x:v>
      </x:c>
      <x:c r="N126" s="12" t="n">
        <x:f>IF(OR(O126+Q126=0,R126+P126=0),"",(L126+R126/(R126+P126))/2)</x:f>
        <x:v>0.5</x:v>
      </x:c>
      <x:c r="O126" s="11" t="n">
        <x:v>35</x:v>
      </x:c>
      <x:c r="P126" s="11" t="n">
        <x:v>25</x:v>
      </x:c>
      <x:c r="Q126" s="11" t="n">
        <x:v>0</x:v>
      </x:c>
      <x:c r="R126" s="11" t="n">
        <x:v>0</x:v>
      </x:c>
    </x:row>
    <x:row r="127" ht="26" customHeight="1">
      <x:c r="A127" s="13" t="n">
        <x:v>46023</x:v>
      </x:c>
      <x:c r="B127" s="9" t="str">
        <x:v>全部候选</x:v>
      </x:c>
      <x:c r="C127" s="9" t="str">
        <x:v>测试</x:v>
      </x:c>
      <x:c r="D127" s="9" t="str">
        <x:v>Top3</x:v>
      </x:c>
      <x:c r="E127" s="9" t="str">
        <x:v>五K原规则</x:v>
      </x:c>
      <x:c r="F127" s="11" t="n">
        <x:f>SUM(O127:R127)</x:f>
        <x:v>60</x:v>
      </x:c>
      <x:c r="G127" s="11" t="n">
        <x:v>60</x:v>
      </x:c>
      <x:c r="H127" s="11" t="n">
        <x:f>O127+P127</x:f>
        <x:v>36</x:v>
      </x:c>
      <x:c r="I127" s="12" t="n">
        <x:f>IF(F127=0,"",H127/F127)</x:f>
        <x:v>0.6</x:v>
      </x:c>
      <x:c r="J127" s="12" t="n">
        <x:f>IF(F127=0,"",(O127+R127)/F127)</x:f>
        <x:v>0.8166666666666667</x:v>
      </x:c>
      <x:c r="K127" s="12" t="n">
        <x:f>IF(H127=0,"",O127/H127)</x:f>
        <x:v>0.8333333333333334</x:v>
      </x:c>
      <x:c r="L127" s="12" t="n">
        <x:f>IF(O127+Q127=0,"",O127/(O127+Q127))</x:f>
        <x:v>0.8571428571428571</x:v>
      </x:c>
      <x:c r="M127" s="12" t="n">
        <x:f>IF(2*O127+P127+Q127=0,"",2*O127/(2*O127+P127+Q127))</x:f>
        <x:v>0.8450704225352113</x:v>
      </x:c>
      <x:c r="N127" s="12" t="n">
        <x:f>IF(OR(O127+Q127=0,R127+P127=0),"",(L127+R127/(R127+P127))/2)</x:f>
        <x:v>0.8085714285714285</x:v>
      </x:c>
      <x:c r="O127" s="11" t="n">
        <x:v>30</x:v>
      </x:c>
      <x:c r="P127" s="11" t="n">
        <x:v>6</x:v>
      </x:c>
      <x:c r="Q127" s="11" t="n">
        <x:v>5</x:v>
      </x:c>
      <x:c r="R127" s="11" t="n">
        <x:v>19</x:v>
      </x:c>
    </x:row>
    <x:row r="128" ht="26" customHeight="1">
      <x:c r="A128" s="13" t="n">
        <x:v>46023</x:v>
      </x:c>
      <x:c r="B128" s="9" t="str">
        <x:v>全部候选</x:v>
      </x:c>
      <x:c r="C128" s="9" t="str">
        <x:v>测试</x:v>
      </x:c>
      <x:c r="D128" s="9" t="str">
        <x:v>Top3</x:v>
      </x:c>
      <x:c r="E128" s="9" t="str">
        <x:v>四K沿用门槛</x:v>
      </x:c>
      <x:c r="F128" s="11" t="n">
        <x:f>SUM(O128:R128)</x:f>
        <x:v>60</x:v>
      </x:c>
      <x:c r="G128" s="11" t="n">
        <x:v>60</x:v>
      </x:c>
      <x:c r="H128" s="11" t="n">
        <x:f>O128+P128</x:f>
        <x:v>38</x:v>
      </x:c>
      <x:c r="I128" s="12" t="n">
        <x:f>IF(F128=0,"",H128/F128)</x:f>
        <x:v>0.6333333333333333</x:v>
      </x:c>
      <x:c r="J128" s="12" t="n">
        <x:f>IF(F128=0,"",(O128+R128)/F128)</x:f>
        <x:v>0.7833333333333333</x:v>
      </x:c>
      <x:c r="K128" s="12" t="n">
        <x:f>IF(H128=0,"",O128/H128)</x:f>
        <x:v>0.7894736842105263</x:v>
      </x:c>
      <x:c r="L128" s="12" t="n">
        <x:f>IF(O128+Q128=0,"",O128/(O128+Q128))</x:f>
        <x:v>0.8571428571428571</x:v>
      </x:c>
      <x:c r="M128" s="12" t="n">
        <x:f>IF(2*O128+P128+Q128=0,"",2*O128/(2*O128+P128+Q128))</x:f>
        <x:v>0.821917808219178</x:v>
      </x:c>
      <x:c r="N128" s="12" t="n">
        <x:f>IF(OR(O128+Q128=0,R128+P128=0),"",(L128+R128/(R128+P128))/2)</x:f>
        <x:v>0.7685714285714286</x:v>
      </x:c>
      <x:c r="O128" s="11" t="n">
        <x:v>30</x:v>
      </x:c>
      <x:c r="P128" s="11" t="n">
        <x:v>8</x:v>
      </x:c>
      <x:c r="Q128" s="11" t="n">
        <x:v>5</x:v>
      </x:c>
      <x:c r="R128" s="11" t="n">
        <x:v>17</x:v>
      </x:c>
    </x:row>
    <x:row r="129" ht="26" customHeight="1">
      <x:c r="A129" s="13" t="n">
        <x:v>46023</x:v>
      </x:c>
      <x:c r="B129" s="9" t="str">
        <x:v>全部候选</x:v>
      </x:c>
      <x:c r="C129" s="9" t="str">
        <x:v>测试</x:v>
      </x:c>
      <x:c r="D129" s="9" t="str">
        <x:v>Top3</x:v>
      </x:c>
      <x:c r="E129" s="9" t="str">
        <x:v>四K重选规则</x:v>
      </x:c>
      <x:c r="F129" s="11" t="n">
        <x:f>SUM(O129:R129)</x:f>
        <x:v>60</x:v>
      </x:c>
      <x:c r="G129" s="11" t="n">
        <x:v>60</x:v>
      </x:c>
      <x:c r="H129" s="11" t="n">
        <x:f>O129+P129</x:f>
        <x:v>33</x:v>
      </x:c>
      <x:c r="I129" s="12" t="n">
        <x:f>IF(F129=0,"",H129/F129)</x:f>
        <x:v>0.55</x:v>
      </x:c>
      <x:c r="J129" s="12" t="n">
        <x:f>IF(F129=0,"",(O129+R129)/F129)</x:f>
        <x:v>0.7</x:v>
      </x:c>
      <x:c r="K129" s="12" t="n">
        <x:f>IF(H129=0,"",O129/H129)</x:f>
        <x:v>0.7575757575757576</x:v>
      </x:c>
      <x:c r="L129" s="12" t="n">
        <x:f>IF(O129+Q129=0,"",O129/(O129+Q129))</x:f>
        <x:v>0.7142857142857143</x:v>
      </x:c>
      <x:c r="M129" s="12" t="n">
        <x:f>IF(2*O129+P129+Q129=0,"",2*O129/(2*O129+P129+Q129))</x:f>
        <x:v>0.7352941176470589</x:v>
      </x:c>
      <x:c r="N129" s="12" t="n">
        <x:f>IF(OR(O129+Q129=0,R129+P129=0),"",(L129+R129/(R129+P129))/2)</x:f>
        <x:v>0.6971428571428572</x:v>
      </x:c>
      <x:c r="O129" s="11" t="n">
        <x:v>25</x:v>
      </x:c>
      <x:c r="P129" s="11" t="n">
        <x:v>8</x:v>
      </x:c>
      <x:c r="Q129" s="11" t="n">
        <x:v>10</x:v>
      </x:c>
      <x:c r="R129" s="11" t="n">
        <x:v>17</x:v>
      </x:c>
    </x:row>
    <x:row r="130" ht="26" customHeight="1">
      <x:c r="A130" s="13" t="n">
        <x:v>46023</x:v>
      </x:c>
      <x:c r="B130" s="9" t="str">
        <x:v>全部候选</x:v>
      </x:c>
      <x:c r="C130" s="9" t="str">
        <x:v>训练窗口</x:v>
      </x:c>
      <x:c r="D130" s="9" t="str">
        <x:v>Top3</x:v>
      </x:c>
      <x:c r="E130" s="9" t="str">
        <x:v>不判形态</x:v>
      </x:c>
      <x:c r="F130" s="11" t="n">
        <x:f>SUM(O130:R130)</x:f>
        <x:v>352</x:v>
      </x:c>
      <x:c r="G130" s="11" t="n">
        <x:v>352</x:v>
      </x:c>
      <x:c r="H130" s="11" t="n">
        <x:f>O130+P130</x:f>
        <x:v>352</x:v>
      </x:c>
      <x:c r="I130" s="12" t="n">
        <x:f>IF(F130=0,"",H130/F130)</x:f>
        <x:v>1</x:v>
      </x:c>
      <x:c r="J130" s="12" t="n">
        <x:f>IF(F130=0,"",(O130+R130)/F130)</x:f>
        <x:v>0.65625</x:v>
      </x:c>
      <x:c r="K130" s="12" t="n">
        <x:f>IF(H130=0,"",O130/H130)</x:f>
        <x:v>0.65625</x:v>
      </x:c>
      <x:c r="L130" s="12" t="n">
        <x:f>IF(O130+Q130=0,"",O130/(O130+Q130))</x:f>
        <x:v>1</x:v>
      </x:c>
      <x:c r="M130" s="12" t="n">
        <x:f>IF(2*O130+P130+Q130=0,"",2*O130/(2*O130+P130+Q130))</x:f>
        <x:v>0.7924528301886793</x:v>
      </x:c>
      <x:c r="N130" s="12" t="n">
        <x:f>IF(OR(O130+Q130=0,R130+P130=0),"",(L130+R130/(R130+P130))/2)</x:f>
        <x:v>0.5</x:v>
      </x:c>
      <x:c r="O130" s="11" t="n">
        <x:v>231</x:v>
      </x:c>
      <x:c r="P130" s="11" t="n">
        <x:v>121</x:v>
      </x:c>
      <x:c r="Q130" s="11" t="n">
        <x:v>0</x:v>
      </x:c>
      <x:c r="R130" s="11" t="n">
        <x:v>0</x:v>
      </x:c>
    </x:row>
    <x:row r="131" ht="26" customHeight="1">
      <x:c r="A131" s="13" t="n">
        <x:v>46023</x:v>
      </x:c>
      <x:c r="B131" s="9" t="str">
        <x:v>全部候选</x:v>
      </x:c>
      <x:c r="C131" s="9" t="str">
        <x:v>训练窗口</x:v>
      </x:c>
      <x:c r="D131" s="9" t="str">
        <x:v>Top3</x:v>
      </x:c>
      <x:c r="E131" s="9" t="str">
        <x:v>五K原规则</x:v>
      </x:c>
      <x:c r="F131" s="11" t="n">
        <x:f>SUM(O131:R131)</x:f>
        <x:v>352</x:v>
      </x:c>
      <x:c r="G131" s="11" t="n">
        <x:v>352</x:v>
      </x:c>
      <x:c r="H131" s="11" t="n">
        <x:f>O131+P131</x:f>
        <x:v>214</x:v>
      </x:c>
      <x:c r="I131" s="12" t="n">
        <x:f>IF(F131=0,"",H131/F131)</x:f>
        <x:v>0.6079545454545454</x:v>
      </x:c>
      <x:c r="J131" s="12" t="n">
        <x:f>IF(F131=0,"",(O131+R131)/F131)</x:f>
        <x:v>0.7755681818181818</x:v>
      </x:c>
      <x:c r="K131" s="12" t="n">
        <x:f>IF(H131=0,"",O131/H131)</x:f>
        <x:v>0.8551401869158879</x:v>
      </x:c>
      <x:c r="L131" s="12" t="n">
        <x:f>IF(O131+Q131=0,"",O131/(O131+Q131))</x:f>
        <x:v>0.7922077922077922</x:v>
      </x:c>
      <x:c r="M131" s="12" t="n">
        <x:f>IF(2*O131+P131+Q131=0,"",2*O131/(2*O131+P131+Q131))</x:f>
        <x:v>0.8224719101123595</x:v>
      </x:c>
      <x:c r="N131" s="12" t="n">
        <x:f>IF(OR(O131+Q131=0,R131+P131=0),"",(L131+R131/(R131+P131))/2)</x:f>
        <x:v>0.7680047225501772</x:v>
      </x:c>
      <x:c r="O131" s="11" t="n">
        <x:v>183</x:v>
      </x:c>
      <x:c r="P131" s="11" t="n">
        <x:v>31</x:v>
      </x:c>
      <x:c r="Q131" s="11" t="n">
        <x:v>48</x:v>
      </x:c>
      <x:c r="R131" s="11" t="n">
        <x:v>90</x:v>
      </x:c>
    </x:row>
    <x:row r="132" ht="26" customHeight="1">
      <x:c r="A132" s="13" t="n">
        <x:v>46023</x:v>
      </x:c>
      <x:c r="B132" s="9" t="str">
        <x:v>全部候选</x:v>
      </x:c>
      <x:c r="C132" s="9" t="str">
        <x:v>训练窗口</x:v>
      </x:c>
      <x:c r="D132" s="9" t="str">
        <x:v>Top3</x:v>
      </x:c>
      <x:c r="E132" s="9" t="str">
        <x:v>四K沿用门槛</x:v>
      </x:c>
      <x:c r="F132" s="11" t="n">
        <x:f>SUM(O132:R132)</x:f>
        <x:v>352</x:v>
      </x:c>
      <x:c r="G132" s="11" t="n">
        <x:v>352</x:v>
      </x:c>
      <x:c r="H132" s="11" t="n">
        <x:f>O132+P132</x:f>
        <x:v>218</x:v>
      </x:c>
      <x:c r="I132" s="12" t="n">
        <x:f>IF(F132=0,"",H132/F132)</x:f>
        <x:v>0.6193181818181818</x:v>
      </x:c>
      <x:c r="J132" s="12" t="n">
        <x:f>IF(F132=0,"",(O132+R132)/F132)</x:f>
        <x:v>0.7755681818181818</x:v>
      </x:c>
      <x:c r="K132" s="12" t="n">
        <x:f>IF(H132=0,"",O132/H132)</x:f>
        <x:v>0.8486238532110092</x:v>
      </x:c>
      <x:c r="L132" s="12" t="n">
        <x:f>IF(O132+Q132=0,"",O132/(O132+Q132))</x:f>
        <x:v>0.8008658008658008</x:v>
      </x:c>
      <x:c r="M132" s="12" t="n">
        <x:f>IF(2*O132+P132+Q132=0,"",2*O132/(2*O132+P132+Q132))</x:f>
        <x:v>0.8240534521158129</x:v>
      </x:c>
      <x:c r="N132" s="12" t="n">
        <x:f>IF(OR(O132+Q132=0,R132+P132=0),"",(L132+R132/(R132+P132))/2)</x:f>
        <x:v>0.7640692640692641</x:v>
      </x:c>
      <x:c r="O132" s="11" t="n">
        <x:v>185</x:v>
      </x:c>
      <x:c r="P132" s="11" t="n">
        <x:v>33</x:v>
      </x:c>
      <x:c r="Q132" s="11" t="n">
        <x:v>46</x:v>
      </x:c>
      <x:c r="R132" s="11" t="n">
        <x:v>88</x:v>
      </x:c>
    </x:row>
    <x:row r="133" ht="26" customHeight="1">
      <x:c r="A133" s="13" t="n">
        <x:v>46023</x:v>
      </x:c>
      <x:c r="B133" s="9" t="str">
        <x:v>全部候选</x:v>
      </x:c>
      <x:c r="C133" s="9" t="str">
        <x:v>训练窗口</x:v>
      </x:c>
      <x:c r="D133" s="9" t="str">
        <x:v>Top3</x:v>
      </x:c>
      <x:c r="E133" s="9" t="str">
        <x:v>四K重选规则</x:v>
      </x:c>
      <x:c r="F133" s="11" t="n">
        <x:f>SUM(O133:R133)</x:f>
        <x:v>352</x:v>
      </x:c>
      <x:c r="G133" s="11" t="n">
        <x:v>352</x:v>
      </x:c>
      <x:c r="H133" s="11" t="n">
        <x:f>O133+P133</x:f>
        <x:v>232</x:v>
      </x:c>
      <x:c r="I133" s="12" t="n">
        <x:f>IF(F133=0,"",H133/F133)</x:f>
        <x:v>0.6590909090909091</x:v>
      </x:c>
      <x:c r="J133" s="12" t="n">
        <x:f>IF(F133=0,"",(O133+R133)/F133)</x:f>
        <x:v>0.7244318181818182</x:v>
      </x:c>
      <x:c r="K133" s="12" t="n">
        <x:f>IF(H133=0,"",O133/H133)</x:f>
        <x:v>0.7887931034482759</x:v>
      </x:c>
      <x:c r="L133" s="12" t="n">
        <x:f>IF(O133+Q133=0,"",O133/(O133+Q133))</x:f>
        <x:v>0.7922077922077922</x:v>
      </x:c>
      <x:c r="M133" s="12" t="n">
        <x:f>IF(2*O133+P133+Q133=0,"",2*O133/(2*O133+P133+Q133))</x:f>
        <x:v>0.7904967602591793</x:v>
      </x:c>
      <x:c r="N133" s="12" t="n">
        <x:f>IF(OR(O133+Q133=0,R133+P133=0),"",(L133+R133/(R133+P133))/2)</x:f>
        <x:v>0.693624557260921</x:v>
      </x:c>
      <x:c r="O133" s="11" t="n">
        <x:v>183</x:v>
      </x:c>
      <x:c r="P133" s="11" t="n">
        <x:v>49</x:v>
      </x:c>
      <x:c r="Q133" s="11" t="n">
        <x:v>48</x:v>
      </x:c>
      <x:c r="R133" s="11" t="n">
        <x:v>72</x:v>
      </x:c>
    </x:row>
    <x:row r="134" ht="26" customHeight="1">
      <x:c r="A134" s="13" t="n">
        <x:v>46023</x:v>
      </x:c>
      <x:c r="B134" s="9" t="str">
        <x:v>全部候选</x:v>
      </x:c>
      <x:c r="C134" s="9" t="str">
        <x:v>验证窗口</x:v>
      </x:c>
      <x:c r="D134" s="9" t="str">
        <x:v>Top3</x:v>
      </x:c>
      <x:c r="E134" s="9" t="str">
        <x:v>不判形态</x:v>
      </x:c>
      <x:c r="F134" s="11" t="n">
        <x:f>SUM(O134:R134)</x:f>
        <x:v>117</x:v>
      </x:c>
      <x:c r="G134" s="11" t="n">
        <x:v>117</x:v>
      </x:c>
      <x:c r="H134" s="11" t="n">
        <x:f>O134+P134</x:f>
        <x:v>117</x:v>
      </x:c>
      <x:c r="I134" s="12" t="n">
        <x:f>IF(F134=0,"",H134/F134)</x:f>
        <x:v>1</x:v>
      </x:c>
      <x:c r="J134" s="12" t="n">
        <x:f>IF(F134=0,"",(O134+R134)/F134)</x:f>
        <x:v>0.7264957264957265</x:v>
      </x:c>
      <x:c r="K134" s="12" t="n">
        <x:f>IF(H134=0,"",O134/H134)</x:f>
        <x:v>0.7264957264957265</x:v>
      </x:c>
      <x:c r="L134" s="12" t="n">
        <x:f>IF(O134+Q134=0,"",O134/(O134+Q134))</x:f>
        <x:v>1</x:v>
      </x:c>
      <x:c r="M134" s="12" t="n">
        <x:f>IF(2*O134+P134+Q134=0,"",2*O134/(2*O134+P134+Q134))</x:f>
        <x:v>0.8415841584158416</x:v>
      </x:c>
      <x:c r="N134" s="12" t="n">
        <x:f>IF(OR(O134+Q134=0,R134+P134=0),"",(L134+R134/(R134+P134))/2)</x:f>
        <x:v>0.5</x:v>
      </x:c>
      <x:c r="O134" s="11" t="n">
        <x:v>85</x:v>
      </x:c>
      <x:c r="P134" s="11" t="n">
        <x:v>32</x:v>
      </x:c>
      <x:c r="Q134" s="11" t="n">
        <x:v>0</x:v>
      </x:c>
      <x:c r="R134" s="11" t="n">
        <x:v>0</x:v>
      </x:c>
    </x:row>
    <x:row r="135" ht="26" customHeight="1">
      <x:c r="A135" s="13" t="n">
        <x:v>46023</x:v>
      </x:c>
      <x:c r="B135" s="9" t="str">
        <x:v>全部候选</x:v>
      </x:c>
      <x:c r="C135" s="9" t="str">
        <x:v>验证窗口</x:v>
      </x:c>
      <x:c r="D135" s="9" t="str">
        <x:v>Top3</x:v>
      </x:c>
      <x:c r="E135" s="9" t="str">
        <x:v>五K原规则</x:v>
      </x:c>
      <x:c r="F135" s="11" t="n">
        <x:f>SUM(O135:R135)</x:f>
        <x:v>117</x:v>
      </x:c>
      <x:c r="G135" s="11" t="n">
        <x:v>117</x:v>
      </x:c>
      <x:c r="H135" s="11" t="n">
        <x:f>O135+P135</x:f>
        <x:v>82</x:v>
      </x:c>
      <x:c r="I135" s="12" t="n">
        <x:f>IF(F135=0,"",H135/F135)</x:f>
        <x:v>0.7008547008547008</x:v>
      </x:c>
      <x:c r="J135" s="12" t="n">
        <x:f>IF(F135=0,"",(O135+R135)/F135)</x:f>
        <x:v>0.7521367521367521</x:v>
      </x:c>
      <x:c r="K135" s="12" t="n">
        <x:f>IF(H135=0,"",O135/H135)</x:f>
        <x:v>0.8414634146341463</x:v>
      </x:c>
      <x:c r="L135" s="12" t="n">
        <x:f>IF(O135+Q135=0,"",O135/(O135+Q135))</x:f>
        <x:v>0.8117647058823529</x:v>
      </x:c>
      <x:c r="M135" s="12" t="n">
        <x:f>IF(2*O135+P135+Q135=0,"",2*O135/(2*O135+P135+Q135))</x:f>
        <x:v>0.8263473053892215</x:v>
      </x:c>
      <x:c r="N135" s="12" t="n">
        <x:f>IF(OR(O135+Q135=0,R135+P135=0),"",(L135+R135/(R135+P135))/2)</x:f>
        <x:v>0.7027573529411765</x:v>
      </x:c>
      <x:c r="O135" s="11" t="n">
        <x:v>69</x:v>
      </x:c>
      <x:c r="P135" s="11" t="n">
        <x:v>13</x:v>
      </x:c>
      <x:c r="Q135" s="11" t="n">
        <x:v>16</x:v>
      </x:c>
      <x:c r="R135" s="11" t="n">
        <x:v>19</x:v>
      </x:c>
    </x:row>
    <x:row r="136" ht="26" customHeight="1">
      <x:c r="A136" s="13" t="n">
        <x:v>46023</x:v>
      </x:c>
      <x:c r="B136" s="9" t="str">
        <x:v>全部候选</x:v>
      </x:c>
      <x:c r="C136" s="9" t="str">
        <x:v>验证窗口</x:v>
      </x:c>
      <x:c r="D136" s="9" t="str">
        <x:v>Top3</x:v>
      </x:c>
      <x:c r="E136" s="9" t="str">
        <x:v>四K沿用门槛</x:v>
      </x:c>
      <x:c r="F136" s="11" t="n">
        <x:f>SUM(O136:R136)</x:f>
        <x:v>117</x:v>
      </x:c>
      <x:c r="G136" s="11" t="n">
        <x:v>117</x:v>
      </x:c>
      <x:c r="H136" s="11" t="n">
        <x:f>O136+P136</x:f>
        <x:v>80</x:v>
      </x:c>
      <x:c r="I136" s="12" t="n">
        <x:f>IF(F136=0,"",H136/F136)</x:f>
        <x:v>0.6837606837606838</x:v>
      </x:c>
      <x:c r="J136" s="12" t="n">
        <x:f>IF(F136=0,"",(O136+R136)/F136)</x:f>
        <x:v>0.7521367521367521</x:v>
      </x:c>
      <x:c r="K136" s="12" t="n">
        <x:f>IF(H136=0,"",O136/H136)</x:f>
        <x:v>0.85</x:v>
      </x:c>
      <x:c r="L136" s="12" t="n">
        <x:f>IF(O136+Q136=0,"",O136/(O136+Q136))</x:f>
        <x:v>0.8</x:v>
      </x:c>
      <x:c r="M136" s="12" t="n">
        <x:f>IF(2*O136+P136+Q136=0,"",2*O136/(2*O136+P136+Q136))</x:f>
        <x:v>0.8242424242424242</x:v>
      </x:c>
      <x:c r="N136" s="12" t="n">
        <x:f>IF(OR(O136+Q136=0,R136+P136=0),"",(L136+R136/(R136+P136))/2)</x:f>
        <x:v>0.7125</x:v>
      </x:c>
      <x:c r="O136" s="11" t="n">
        <x:v>68</x:v>
      </x:c>
      <x:c r="P136" s="11" t="n">
        <x:v>12</x:v>
      </x:c>
      <x:c r="Q136" s="11" t="n">
        <x:v>17</x:v>
      </x:c>
      <x:c r="R136" s="11" t="n">
        <x:v>20</x:v>
      </x:c>
    </x:row>
    <x:row r="137" ht="26" customHeight="1">
      <x:c r="A137" s="13" t="n">
        <x:v>46023</x:v>
      </x:c>
      <x:c r="B137" s="9" t="str">
        <x:v>全部候选</x:v>
      </x:c>
      <x:c r="C137" s="9" t="str">
        <x:v>验证窗口</x:v>
      </x:c>
      <x:c r="D137" s="9" t="str">
        <x:v>Top3</x:v>
      </x:c>
      <x:c r="E137" s="9" t="str">
        <x:v>四K重选规则</x:v>
      </x:c>
      <x:c r="F137" s="11" t="n">
        <x:f>SUM(O137:R137)</x:f>
        <x:v>117</x:v>
      </x:c>
      <x:c r="G137" s="11" t="n">
        <x:v>117</x:v>
      </x:c>
      <x:c r="H137" s="11" t="n">
        <x:f>O137+P137</x:f>
        <x:v>79</x:v>
      </x:c>
      <x:c r="I137" s="12" t="n">
        <x:f>IF(F137=0,"",H137/F137)</x:f>
        <x:v>0.6752136752136753</x:v>
      </x:c>
      <x:c r="J137" s="12" t="n">
        <x:f>IF(F137=0,"",(O137+R137)/F137)</x:f>
        <x:v>0.7264957264957265</x:v>
      </x:c>
      <x:c r="K137" s="12" t="n">
        <x:f>IF(H137=0,"",O137/H137)</x:f>
        <x:v>0.8354430379746836</x:v>
      </x:c>
      <x:c r="L137" s="12" t="n">
        <x:f>IF(O137+Q137=0,"",O137/(O137+Q137))</x:f>
        <x:v>0.7764705882352941</x:v>
      </x:c>
      <x:c r="M137" s="12" t="n">
        <x:f>IF(2*O137+P137+Q137=0,"",2*O137/(2*O137+P137+Q137))</x:f>
        <x:v>0.8048780487804879</x:v>
      </x:c>
      <x:c r="N137" s="12" t="n">
        <x:f>IF(OR(O137+Q137=0,R137+P137=0),"",(L137+R137/(R137+P137))/2)</x:f>
        <x:v>0.685110294117647</x:v>
      </x:c>
      <x:c r="O137" s="11" t="n">
        <x:v>66</x:v>
      </x:c>
      <x:c r="P137" s="11" t="n">
        <x:v>13</x:v>
      </x:c>
      <x:c r="Q137" s="11" t="n">
        <x:v>19</x:v>
      </x:c>
      <x:c r="R137" s="11" t="n">
        <x:v>19</x:v>
      </x:c>
    </x:row>
    <x:row r="138" ht="26" customHeight="1">
      <x:c r="A138" s="13" t="n">
        <x:v>46054</x:v>
      </x:c>
      <x:c r="B138" s="9" t="str">
        <x:v>全部候选</x:v>
      </x:c>
      <x:c r="C138" s="9" t="str">
        <x:v>测试</x:v>
      </x:c>
      <x:c r="D138" s="9" t="str">
        <x:v>Top3</x:v>
      </x:c>
      <x:c r="E138" s="9" t="str">
        <x:v>不判形态</x:v>
      </x:c>
      <x:c r="F138" s="11" t="n">
        <x:f>SUM(O138:R138)</x:f>
        <x:v>42</x:v>
      </x:c>
      <x:c r="G138" s="11" t="n">
        <x:v>42</x:v>
      </x:c>
      <x:c r="H138" s="11" t="n">
        <x:f>O138+P138</x:f>
        <x:v>42</x:v>
      </x:c>
      <x:c r="I138" s="12" t="n">
        <x:f>IF(F138=0,"",H138/F138)</x:f>
        <x:v>1</x:v>
      </x:c>
      <x:c r="J138" s="12" t="n">
        <x:f>IF(F138=0,"",(O138+R138)/F138)</x:f>
        <x:v>0.6190476190476191</x:v>
      </x:c>
      <x:c r="K138" s="12" t="n">
        <x:f>IF(H138=0,"",O138/H138)</x:f>
        <x:v>0.6190476190476191</x:v>
      </x:c>
      <x:c r="L138" s="12" t="n">
        <x:f>IF(O138+Q138=0,"",O138/(O138+Q138))</x:f>
        <x:v>1</x:v>
      </x:c>
      <x:c r="M138" s="12" t="n">
        <x:f>IF(2*O138+P138+Q138=0,"",2*O138/(2*O138+P138+Q138))</x:f>
        <x:v>0.7647058823529411</x:v>
      </x:c>
      <x:c r="N138" s="12" t="n">
        <x:f>IF(OR(O138+Q138=0,R138+P138=0),"",(L138+R138/(R138+P138))/2)</x:f>
        <x:v>0.5</x:v>
      </x:c>
      <x:c r="O138" s="11" t="n">
        <x:v>26</x:v>
      </x:c>
      <x:c r="P138" s="11" t="n">
        <x:v>16</x:v>
      </x:c>
      <x:c r="Q138" s="11" t="n">
        <x:v>0</x:v>
      </x:c>
      <x:c r="R138" s="11" t="n">
        <x:v>0</x:v>
      </x:c>
    </x:row>
    <x:row r="139" ht="26" customHeight="1">
      <x:c r="A139" s="13" t="n">
        <x:v>46054</x:v>
      </x:c>
      <x:c r="B139" s="9" t="str">
        <x:v>全部候选</x:v>
      </x:c>
      <x:c r="C139" s="9" t="str">
        <x:v>测试</x:v>
      </x:c>
      <x:c r="D139" s="9" t="str">
        <x:v>Top3</x:v>
      </x:c>
      <x:c r="E139" s="9" t="str">
        <x:v>五K原规则</x:v>
      </x:c>
      <x:c r="F139" s="11" t="n">
        <x:f>SUM(O139:R139)</x:f>
        <x:v>42</x:v>
      </x:c>
      <x:c r="G139" s="11" t="n">
        <x:v>42</x:v>
      </x:c>
      <x:c r="H139" s="11" t="n">
        <x:f>O139+P139</x:f>
        <x:v>25</x:v>
      </x:c>
      <x:c r="I139" s="12" t="n">
        <x:f>IF(F139=0,"",H139/F139)</x:f>
        <x:v>0.5952380952380952</x:v>
      </x:c>
      <x:c r="J139" s="12" t="n">
        <x:f>IF(F139=0,"",(O139+R139)/F139)</x:f>
        <x:v>0.7380952380952381</x:v>
      </x:c>
      <x:c r="K139" s="12" t="n">
        <x:f>IF(H139=0,"",O139/H139)</x:f>
        <x:v>0.8</x:v>
      </x:c>
      <x:c r="L139" s="12" t="n">
        <x:f>IF(O139+Q139=0,"",O139/(O139+Q139))</x:f>
        <x:v>0.7692307692307693</x:v>
      </x:c>
      <x:c r="M139" s="12" t="n">
        <x:f>IF(2*O139+P139+Q139=0,"",2*O139/(2*O139+P139+Q139))</x:f>
        <x:v>0.7843137254901961</x:v>
      </x:c>
      <x:c r="N139" s="12" t="n">
        <x:f>IF(OR(O139+Q139=0,R139+P139=0),"",(L139+R139/(R139+P139))/2)</x:f>
        <x:v>0.7283653846153846</x:v>
      </x:c>
      <x:c r="O139" s="11" t="n">
        <x:v>20</x:v>
      </x:c>
      <x:c r="P139" s="11" t="n">
        <x:v>5</x:v>
      </x:c>
      <x:c r="Q139" s="11" t="n">
        <x:v>6</x:v>
      </x:c>
      <x:c r="R139" s="11" t="n">
        <x:v>11</x:v>
      </x:c>
    </x:row>
    <x:row r="140" ht="26" customHeight="1">
      <x:c r="A140" s="13" t="n">
        <x:v>46054</x:v>
      </x:c>
      <x:c r="B140" s="9" t="str">
        <x:v>全部候选</x:v>
      </x:c>
      <x:c r="C140" s="9" t="str">
        <x:v>测试</x:v>
      </x:c>
      <x:c r="D140" s="9" t="str">
        <x:v>Top3</x:v>
      </x:c>
      <x:c r="E140" s="9" t="str">
        <x:v>四K沿用门槛</x:v>
      </x:c>
      <x:c r="F140" s="11" t="n">
        <x:f>SUM(O140:R140)</x:f>
        <x:v>42</x:v>
      </x:c>
      <x:c r="G140" s="11" t="n">
        <x:v>42</x:v>
      </x:c>
      <x:c r="H140" s="11" t="n">
        <x:f>O140+P140</x:f>
        <x:v>25</x:v>
      </x:c>
      <x:c r="I140" s="12" t="n">
        <x:f>IF(F140=0,"",H140/F140)</x:f>
        <x:v>0.5952380952380952</x:v>
      </x:c>
      <x:c r="J140" s="12" t="n">
        <x:f>IF(F140=0,"",(O140+R140)/F140)</x:f>
        <x:v>0.7380952380952381</x:v>
      </x:c>
      <x:c r="K140" s="12" t="n">
        <x:f>IF(H140=0,"",O140/H140)</x:f>
        <x:v>0.8</x:v>
      </x:c>
      <x:c r="L140" s="12" t="n">
        <x:f>IF(O140+Q140=0,"",O140/(O140+Q140))</x:f>
        <x:v>0.7692307692307693</x:v>
      </x:c>
      <x:c r="M140" s="12" t="n">
        <x:f>IF(2*O140+P140+Q140=0,"",2*O140/(2*O140+P140+Q140))</x:f>
        <x:v>0.7843137254901961</x:v>
      </x:c>
      <x:c r="N140" s="12" t="n">
        <x:f>IF(OR(O140+Q140=0,R140+P140=0),"",(L140+R140/(R140+P140))/2)</x:f>
        <x:v>0.7283653846153846</x:v>
      </x:c>
      <x:c r="O140" s="11" t="n">
        <x:v>20</x:v>
      </x:c>
      <x:c r="P140" s="11" t="n">
        <x:v>5</x:v>
      </x:c>
      <x:c r="Q140" s="11" t="n">
        <x:v>6</x:v>
      </x:c>
      <x:c r="R140" s="11" t="n">
        <x:v>11</x:v>
      </x:c>
    </x:row>
    <x:row r="141" ht="26" customHeight="1">
      <x:c r="A141" s="13" t="n">
        <x:v>46054</x:v>
      </x:c>
      <x:c r="B141" s="9" t="str">
        <x:v>全部候选</x:v>
      </x:c>
      <x:c r="C141" s="9" t="str">
        <x:v>测试</x:v>
      </x:c>
      <x:c r="D141" s="9" t="str">
        <x:v>Top3</x:v>
      </x:c>
      <x:c r="E141" s="9" t="str">
        <x:v>四K重选规则</x:v>
      </x:c>
      <x:c r="F141" s="11" t="n">
        <x:f>SUM(O141:R141)</x:f>
        <x:v>42</x:v>
      </x:c>
      <x:c r="G141" s="11" t="n">
        <x:v>42</x:v>
      </x:c>
      <x:c r="H141" s="11" t="n">
        <x:f>O141+P141</x:f>
        <x:v>42</x:v>
      </x:c>
      <x:c r="I141" s="12" t="n">
        <x:f>IF(F141=0,"",H141/F141)</x:f>
        <x:v>1</x:v>
      </x:c>
      <x:c r="J141" s="12" t="n">
        <x:f>IF(F141=0,"",(O141+R141)/F141)</x:f>
        <x:v>0.6190476190476191</x:v>
      </x:c>
      <x:c r="K141" s="12" t="n">
        <x:f>IF(H141=0,"",O141/H141)</x:f>
        <x:v>0.6190476190476191</x:v>
      </x:c>
      <x:c r="L141" s="12" t="n">
        <x:f>IF(O141+Q141=0,"",O141/(O141+Q141))</x:f>
        <x:v>1</x:v>
      </x:c>
      <x:c r="M141" s="12" t="n">
        <x:f>IF(2*O141+P141+Q141=0,"",2*O141/(2*O141+P141+Q141))</x:f>
        <x:v>0.7647058823529411</x:v>
      </x:c>
      <x:c r="N141" s="12" t="n">
        <x:f>IF(OR(O141+Q141=0,R141+P141=0),"",(L141+R141/(R141+P141))/2)</x:f>
        <x:v>0.5</x:v>
      </x:c>
      <x:c r="O141" s="11" t="n">
        <x:v>26</x:v>
      </x:c>
      <x:c r="P141" s="11" t="n">
        <x:v>16</x:v>
      </x:c>
      <x:c r="Q141" s="11" t="n">
        <x:v>0</x:v>
      </x:c>
      <x:c r="R141" s="11" t="n">
        <x:v>0</x:v>
      </x:c>
    </x:row>
    <x:row r="142" ht="26" customHeight="1">
      <x:c r="A142" s="13" t="n">
        <x:v>46054</x:v>
      </x:c>
      <x:c r="B142" s="9" t="str">
        <x:v>全部候选</x:v>
      </x:c>
      <x:c r="C142" s="9" t="str">
        <x:v>训练窗口</x:v>
      </x:c>
      <x:c r="D142" s="9" t="str">
        <x:v>Top3</x:v>
      </x:c>
      <x:c r="E142" s="9" t="str">
        <x:v>不判形态</x:v>
      </x:c>
      <x:c r="F142" s="11" t="n">
        <x:f>SUM(O142:R142)</x:f>
        <x:v>355</x:v>
      </x:c>
      <x:c r="G142" s="11" t="n">
        <x:v>355</x:v>
      </x:c>
      <x:c r="H142" s="11" t="n">
        <x:f>O142+P142</x:f>
        <x:v>355</x:v>
      </x:c>
      <x:c r="I142" s="12" t="n">
        <x:f>IF(F142=0,"",H142/F142)</x:f>
        <x:v>1</x:v>
      </x:c>
      <x:c r="J142" s="12" t="n">
        <x:f>IF(F142=0,"",(O142+R142)/F142)</x:f>
        <x:v>0.6563380281690141</x:v>
      </x:c>
      <x:c r="K142" s="12" t="n">
        <x:f>IF(H142=0,"",O142/H142)</x:f>
        <x:v>0.6563380281690141</x:v>
      </x:c>
      <x:c r="L142" s="12" t="n">
        <x:f>IF(O142+Q142=0,"",O142/(O142+Q142))</x:f>
        <x:v>1</x:v>
      </x:c>
      <x:c r="M142" s="12" t="n">
        <x:f>IF(2*O142+P142+Q142=0,"",2*O142/(2*O142+P142+Q142))</x:f>
        <x:v>0.7925170068027211</x:v>
      </x:c>
      <x:c r="N142" s="12" t="n">
        <x:f>IF(OR(O142+Q142=0,R142+P142=0),"",(L142+R142/(R142+P142))/2)</x:f>
        <x:v>0.5</x:v>
      </x:c>
      <x:c r="O142" s="11" t="n">
        <x:v>233</x:v>
      </x:c>
      <x:c r="P142" s="11" t="n">
        <x:v>122</x:v>
      </x:c>
      <x:c r="Q142" s="11" t="n">
        <x:v>0</x:v>
      </x:c>
      <x:c r="R142" s="11" t="n">
        <x:v>0</x:v>
      </x:c>
    </x:row>
    <x:row r="143" ht="26" customHeight="1">
      <x:c r="A143" s="13" t="n">
        <x:v>46054</x:v>
      </x:c>
      <x:c r="B143" s="9" t="str">
        <x:v>全部候选</x:v>
      </x:c>
      <x:c r="C143" s="9" t="str">
        <x:v>训练窗口</x:v>
      </x:c>
      <x:c r="D143" s="9" t="str">
        <x:v>Top3</x:v>
      </x:c>
      <x:c r="E143" s="9" t="str">
        <x:v>五K原规则</x:v>
      </x:c>
      <x:c r="F143" s="11" t="n">
        <x:f>SUM(O143:R143)</x:f>
        <x:v>355</x:v>
      </x:c>
      <x:c r="G143" s="11" t="n">
        <x:v>355</x:v>
      </x:c>
      <x:c r="H143" s="11" t="n">
        <x:f>O143+P143</x:f>
        <x:v>214</x:v>
      </x:c>
      <x:c r="I143" s="12" t="n">
        <x:f>IF(F143=0,"",H143/F143)</x:f>
        <x:v>0.6028169014084507</x:v>
      </x:c>
      <x:c r="J143" s="12" t="n">
        <x:f>IF(F143=0,"",(O143+R143)/F143)</x:f>
        <x:v>0.7774647887323943</x:v>
      </x:c>
      <x:c r="K143" s="12" t="n">
        <x:f>IF(H143=0,"",O143/H143)</x:f>
        <x:v>0.8598130841121495</x:v>
      </x:c>
      <x:c r="L143" s="12" t="n">
        <x:f>IF(O143+Q143=0,"",O143/(O143+Q143))</x:f>
        <x:v>0.7896995708154506</x:v>
      </x:c>
      <x:c r="M143" s="12" t="n">
        <x:f>IF(2*O143+P143+Q143=0,"",2*O143/(2*O143+P143+Q143))</x:f>
        <x:v>0.8232662192393736</x:v>
      </x:c>
      <x:c r="N143" s="12" t="n">
        <x:f>IF(OR(O143+Q143=0,R143+P143=0),"",(L143+R143/(R143+P143))/2)</x:f>
        <x:v>0.7718989657355941</x:v>
      </x:c>
      <x:c r="O143" s="11" t="n">
        <x:v>184</x:v>
      </x:c>
      <x:c r="P143" s="11" t="n">
        <x:v>30</x:v>
      </x:c>
      <x:c r="Q143" s="11" t="n">
        <x:v>49</x:v>
      </x:c>
      <x:c r="R143" s="11" t="n">
        <x:v>92</x:v>
      </x:c>
    </x:row>
    <x:row r="144" ht="26" customHeight="1">
      <x:c r="A144" s="13" t="n">
        <x:v>46054</x:v>
      </x:c>
      <x:c r="B144" s="9" t="str">
        <x:v>全部候选</x:v>
      </x:c>
      <x:c r="C144" s="9" t="str">
        <x:v>训练窗口</x:v>
      </x:c>
      <x:c r="D144" s="9" t="str">
        <x:v>Top3</x:v>
      </x:c>
      <x:c r="E144" s="9" t="str">
        <x:v>四K沿用门槛</x:v>
      </x:c>
      <x:c r="F144" s="11" t="n">
        <x:f>SUM(O144:R144)</x:f>
        <x:v>355</x:v>
      </x:c>
      <x:c r="G144" s="11" t="n">
        <x:v>355</x:v>
      </x:c>
      <x:c r="H144" s="11" t="n">
        <x:f>O144+P144</x:f>
        <x:v>217</x:v>
      </x:c>
      <x:c r="I144" s="12" t="n">
        <x:f>IF(F144=0,"",H144/F144)</x:f>
        <x:v>0.6112676056338028</x:v>
      </x:c>
      <x:c r="J144" s="12" t="n">
        <x:f>IF(F144=0,"",(O144+R144)/F144)</x:f>
        <x:v>0.7746478873239436</x:v>
      </x:c>
      <x:c r="K144" s="12" t="n">
        <x:f>IF(H144=0,"",O144/H144)</x:f>
        <x:v>0.8525345622119815</x:v>
      </x:c>
      <x:c r="L144" s="12" t="n">
        <x:f>IF(O144+Q144=0,"",O144/(O144+Q144))</x:f>
        <x:v>0.7939914163090128</x:v>
      </x:c>
      <x:c r="M144" s="12" t="n">
        <x:f>IF(2*O144+P144+Q144=0,"",2*O144/(2*O144+P144+Q144))</x:f>
        <x:v>0.8222222222222222</x:v>
      </x:c>
      <x:c r="N144" s="12" t="n">
        <x:f>IF(OR(O144+Q144=0,R144+P144=0),"",(L144+R144/(R144+P144))/2)</x:f>
        <x:v>0.7658481671708999</x:v>
      </x:c>
      <x:c r="O144" s="11" t="n">
        <x:v>185</x:v>
      </x:c>
      <x:c r="P144" s="11" t="n">
        <x:v>32</x:v>
      </x:c>
      <x:c r="Q144" s="11" t="n">
        <x:v>48</x:v>
      </x:c>
      <x:c r="R144" s="11" t="n">
        <x:v>90</x:v>
      </x:c>
    </x:row>
    <x:row r="145" ht="26" customHeight="1">
      <x:c r="A145" s="13" t="n">
        <x:v>46054</x:v>
      </x:c>
      <x:c r="B145" s="9" t="str">
        <x:v>全部候选</x:v>
      </x:c>
      <x:c r="C145" s="9" t="str">
        <x:v>训练窗口</x:v>
      </x:c>
      <x:c r="D145" s="9" t="str">
        <x:v>Top3</x:v>
      </x:c>
      <x:c r="E145" s="9" t="str">
        <x:v>四K重选规则</x:v>
      </x:c>
      <x:c r="F145" s="11" t="n">
        <x:f>SUM(O145:R145)</x:f>
        <x:v>355</x:v>
      </x:c>
      <x:c r="G145" s="11" t="n">
        <x:v>355</x:v>
      </x:c>
      <x:c r="H145" s="11" t="n">
        <x:f>O145+P145</x:f>
        <x:v>355</x:v>
      </x:c>
      <x:c r="I145" s="12" t="n">
        <x:f>IF(F145=0,"",H145/F145)</x:f>
        <x:v>1</x:v>
      </x:c>
      <x:c r="J145" s="12" t="n">
        <x:f>IF(F145=0,"",(O145+R145)/F145)</x:f>
        <x:v>0.6563380281690141</x:v>
      </x:c>
      <x:c r="K145" s="12" t="n">
        <x:f>IF(H145=0,"",O145/H145)</x:f>
        <x:v>0.6563380281690141</x:v>
      </x:c>
      <x:c r="L145" s="12" t="n">
        <x:f>IF(O145+Q145=0,"",O145/(O145+Q145))</x:f>
        <x:v>1</x:v>
      </x:c>
      <x:c r="M145" s="12" t="n">
        <x:f>IF(2*O145+P145+Q145=0,"",2*O145/(2*O145+P145+Q145))</x:f>
        <x:v>0.7925170068027211</x:v>
      </x:c>
      <x:c r="N145" s="12" t="n">
        <x:f>IF(OR(O145+Q145=0,R145+P145=0),"",(L145+R145/(R145+P145))/2)</x:f>
        <x:v>0.5</x:v>
      </x:c>
      <x:c r="O145" s="11" t="n">
        <x:v>233</x:v>
      </x:c>
      <x:c r="P145" s="11" t="n">
        <x:v>122</x:v>
      </x:c>
      <x:c r="Q145" s="11" t="n">
        <x:v>0</x:v>
      </x:c>
      <x:c r="R145" s="11" t="n">
        <x:v>0</x:v>
      </x:c>
    </x:row>
    <x:row r="146" ht="26" customHeight="1">
      <x:c r="A146" s="13" t="n">
        <x:v>46054</x:v>
      </x:c>
      <x:c r="B146" s="9" t="str">
        <x:v>全部候选</x:v>
      </x:c>
      <x:c r="C146" s="9" t="str">
        <x:v>验证窗口</x:v>
      </x:c>
      <x:c r="D146" s="9" t="str">
        <x:v>Top3</x:v>
      </x:c>
      <x:c r="E146" s="9" t="str">
        <x:v>不判形态</x:v>
      </x:c>
      <x:c r="F146" s="11" t="n">
        <x:f>SUM(O146:R146)</x:f>
        <x:v>116</x:v>
      </x:c>
      <x:c r="G146" s="11" t="n">
        <x:v>116</x:v>
      </x:c>
      <x:c r="H146" s="11" t="n">
        <x:f>O146+P146</x:f>
        <x:v>116</x:v>
      </x:c>
      <x:c r="I146" s="12" t="n">
        <x:f>IF(F146=0,"",H146/F146)</x:f>
        <x:v>1</x:v>
      </x:c>
      <x:c r="J146" s="12" t="n">
        <x:f>IF(F146=0,"",(O146+R146)/F146)</x:f>
        <x:v>0.6206896551724138</x:v>
      </x:c>
      <x:c r="K146" s="12" t="n">
        <x:f>IF(H146=0,"",O146/H146)</x:f>
        <x:v>0.6206896551724138</x:v>
      </x:c>
      <x:c r="L146" s="12" t="n">
        <x:f>IF(O146+Q146=0,"",O146/(O146+Q146))</x:f>
        <x:v>1</x:v>
      </x:c>
      <x:c r="M146" s="12" t="n">
        <x:f>IF(2*O146+P146+Q146=0,"",2*O146/(2*O146+P146+Q146))</x:f>
        <x:v>0.7659574468085106</x:v>
      </x:c>
      <x:c r="N146" s="12" t="n">
        <x:f>IF(OR(O146+Q146=0,R146+P146=0),"",(L146+R146/(R146+P146))/2)</x:f>
        <x:v>0.5</x:v>
      </x:c>
      <x:c r="O146" s="11" t="n">
        <x:v>72</x:v>
      </x:c>
      <x:c r="P146" s="11" t="n">
        <x:v>44</x:v>
      </x:c>
      <x:c r="Q146" s="11" t="n">
        <x:v>0</x:v>
      </x:c>
      <x:c r="R146" s="11" t="n">
        <x:v>0</x:v>
      </x:c>
    </x:row>
    <x:row r="147" ht="26" customHeight="1">
      <x:c r="A147" s="13" t="n">
        <x:v>46054</x:v>
      </x:c>
      <x:c r="B147" s="9" t="str">
        <x:v>全部候选</x:v>
      </x:c>
      <x:c r="C147" s="9" t="str">
        <x:v>验证窗口</x:v>
      </x:c>
      <x:c r="D147" s="9" t="str">
        <x:v>Top3</x:v>
      </x:c>
      <x:c r="E147" s="9" t="str">
        <x:v>五K原规则</x:v>
      </x:c>
      <x:c r="F147" s="11" t="n">
        <x:f>SUM(O147:R147)</x:f>
        <x:v>116</x:v>
      </x:c>
      <x:c r="G147" s="11" t="n">
        <x:v>116</x:v>
      </x:c>
      <x:c r="H147" s="11" t="n">
        <x:f>O147+P147</x:f>
        <x:v>69</x:v>
      </x:c>
      <x:c r="I147" s="12" t="n">
        <x:f>IF(F147=0,"",H147/F147)</x:f>
        <x:v>0.5948275862068966</x:v>
      </x:c>
      <x:c r="J147" s="12" t="n">
        <x:f>IF(F147=0,"",(O147+R147)/F147)</x:f>
        <x:v>0.75</x:v>
      </x:c>
      <x:c r="K147" s="12" t="n">
        <x:f>IF(H147=0,"",O147/H147)</x:f>
        <x:v>0.8115942028985508</x:v>
      </x:c>
      <x:c r="L147" s="12" t="n">
        <x:f>IF(O147+Q147=0,"",O147/(O147+Q147))</x:f>
        <x:v>0.7777777777777778</x:v>
      </x:c>
      <x:c r="M147" s="12" t="n">
        <x:f>IF(2*O147+P147+Q147=0,"",2*O147/(2*O147+P147+Q147))</x:f>
        <x:v>0.7943262411347518</x:v>
      </x:c>
      <x:c r="N147" s="12" t="n">
        <x:f>IF(OR(O147+Q147=0,R147+P147=0),"",(L147+R147/(R147+P147))/2)</x:f>
        <x:v>0.7411616161616161</x:v>
      </x:c>
      <x:c r="O147" s="11" t="n">
        <x:v>56</x:v>
      </x:c>
      <x:c r="P147" s="11" t="n">
        <x:v>13</x:v>
      </x:c>
      <x:c r="Q147" s="11" t="n">
        <x:v>16</x:v>
      </x:c>
      <x:c r="R147" s="11" t="n">
        <x:v>31</x:v>
      </x:c>
    </x:row>
    <x:row r="148" ht="26" customHeight="1">
      <x:c r="A148" s="13" t="n">
        <x:v>46054</x:v>
      </x:c>
      <x:c r="B148" s="9" t="str">
        <x:v>全部候选</x:v>
      </x:c>
      <x:c r="C148" s="9" t="str">
        <x:v>验证窗口</x:v>
      </x:c>
      <x:c r="D148" s="9" t="str">
        <x:v>Top3</x:v>
      </x:c>
      <x:c r="E148" s="9" t="str">
        <x:v>四K沿用门槛</x:v>
      </x:c>
      <x:c r="F148" s="11" t="n">
        <x:f>SUM(O148:R148)</x:f>
        <x:v>116</x:v>
      </x:c>
      <x:c r="G148" s="11" t="n">
        <x:v>116</x:v>
      </x:c>
      <x:c r="H148" s="11" t="n">
        <x:f>O148+P148</x:f>
        <x:v>70</x:v>
      </x:c>
      <x:c r="I148" s="12" t="n">
        <x:f>IF(F148=0,"",H148/F148)</x:f>
        <x:v>0.603448275862069</x:v>
      </x:c>
      <x:c r="J148" s="12" t="n">
        <x:f>IF(F148=0,"",(O148+R148)/F148)</x:f>
        <x:v>0.7241379310344828</x:v>
      </x:c>
      <x:c r="K148" s="12" t="n">
        <x:f>IF(H148=0,"",O148/H148)</x:f>
        <x:v>0.7857142857142857</x:v>
      </x:c>
      <x:c r="L148" s="12" t="n">
        <x:f>IF(O148+Q148=0,"",O148/(O148+Q148))</x:f>
        <x:v>0.7638888888888888</x:v>
      </x:c>
      <x:c r="M148" s="12" t="n">
        <x:f>IF(2*O148+P148+Q148=0,"",2*O148/(2*O148+P148+Q148))</x:f>
        <x:v>0.7746478873239436</x:v>
      </x:c>
      <x:c r="N148" s="12" t="n">
        <x:f>IF(OR(O148+Q148=0,R148+P148=0),"",(L148+R148/(R148+P148))/2)</x:f>
        <x:v>0.711489898989899</x:v>
      </x:c>
      <x:c r="O148" s="11" t="n">
        <x:v>55</x:v>
      </x:c>
      <x:c r="P148" s="11" t="n">
        <x:v>15</x:v>
      </x:c>
      <x:c r="Q148" s="11" t="n">
        <x:v>17</x:v>
      </x:c>
      <x:c r="R148" s="11" t="n">
        <x:v>29</x:v>
      </x:c>
    </x:row>
    <x:row r="149" ht="26" customHeight="1">
      <x:c r="A149" s="13" t="n">
        <x:v>46054</x:v>
      </x:c>
      <x:c r="B149" s="9" t="str">
        <x:v>全部候选</x:v>
      </x:c>
      <x:c r="C149" s="9" t="str">
        <x:v>验证窗口</x:v>
      </x:c>
      <x:c r="D149" s="9" t="str">
        <x:v>Top3</x:v>
      </x:c>
      <x:c r="E149" s="9" t="str">
        <x:v>四K重选规则</x:v>
      </x:c>
      <x:c r="F149" s="11" t="n">
        <x:f>SUM(O149:R149)</x:f>
        <x:v>116</x:v>
      </x:c>
      <x:c r="G149" s="11" t="n">
        <x:v>116</x:v>
      </x:c>
      <x:c r="H149" s="11" t="n">
        <x:f>O149+P149</x:f>
        <x:v>116</x:v>
      </x:c>
      <x:c r="I149" s="12" t="n">
        <x:f>IF(F149=0,"",H149/F149)</x:f>
        <x:v>1</x:v>
      </x:c>
      <x:c r="J149" s="12" t="n">
        <x:f>IF(F149=0,"",(O149+R149)/F149)</x:f>
        <x:v>0.6206896551724138</x:v>
      </x:c>
      <x:c r="K149" s="12" t="n">
        <x:f>IF(H149=0,"",O149/H149)</x:f>
        <x:v>0.6206896551724138</x:v>
      </x:c>
      <x:c r="L149" s="12" t="n">
        <x:f>IF(O149+Q149=0,"",O149/(O149+Q149))</x:f>
        <x:v>1</x:v>
      </x:c>
      <x:c r="M149" s="12" t="n">
        <x:f>IF(2*O149+P149+Q149=0,"",2*O149/(2*O149+P149+Q149))</x:f>
        <x:v>0.7659574468085106</x:v>
      </x:c>
      <x:c r="N149" s="12" t="n">
        <x:f>IF(OR(O149+Q149=0,R149+P149=0),"",(L149+R149/(R149+P149))/2)</x:f>
        <x:v>0.5</x:v>
      </x:c>
      <x:c r="O149" s="11" t="n">
        <x:v>72</x:v>
      </x:c>
      <x:c r="P149" s="11" t="n">
        <x:v>44</x:v>
      </x:c>
      <x:c r="Q149" s="11" t="n">
        <x:v>0</x:v>
      </x:c>
      <x:c r="R149" s="11" t="n">
        <x:v>0</x:v>
      </x:c>
    </x:row>
    <x:row r="150" ht="26" customHeight="1">
      <x:c r="A150" s="13" t="n">
        <x:v>46082</x:v>
      </x:c>
      <x:c r="B150" s="9" t="str">
        <x:v>全部候选</x:v>
      </x:c>
      <x:c r="C150" s="9" t="str">
        <x:v>测试</x:v>
      </x:c>
      <x:c r="D150" s="9" t="str">
        <x:v>Top3</x:v>
      </x:c>
      <x:c r="E150" s="9" t="str">
        <x:v>不判形态</x:v>
      </x:c>
      <x:c r="F150" s="11" t="n">
        <x:f>SUM(O150:R150)</x:f>
        <x:v>66</x:v>
      </x:c>
      <x:c r="G150" s="11" t="n">
        <x:v>66</x:v>
      </x:c>
      <x:c r="H150" s="11" t="n">
        <x:f>O150+P150</x:f>
        <x:v>66</x:v>
      </x:c>
      <x:c r="I150" s="12" t="n">
        <x:f>IF(F150=0,"",H150/F150)</x:f>
        <x:v>1</x:v>
      </x:c>
      <x:c r="J150" s="12" t="n">
        <x:f>IF(F150=0,"",(O150+R150)/F150)</x:f>
        <x:v>0.6515151515151515</x:v>
      </x:c>
      <x:c r="K150" s="12" t="n">
        <x:f>IF(H150=0,"",O150/H150)</x:f>
        <x:v>0.6515151515151515</x:v>
      </x:c>
      <x:c r="L150" s="12" t="n">
        <x:f>IF(O150+Q150=0,"",O150/(O150+Q150))</x:f>
        <x:v>1</x:v>
      </x:c>
      <x:c r="M150" s="12" t="n">
        <x:f>IF(2*O150+P150+Q150=0,"",2*O150/(2*O150+P150+Q150))</x:f>
        <x:v>0.7889908256880734</x:v>
      </x:c>
      <x:c r="N150" s="12" t="n">
        <x:f>IF(OR(O150+Q150=0,R150+P150=0),"",(L150+R150/(R150+P150))/2)</x:f>
        <x:v>0.5</x:v>
      </x:c>
      <x:c r="O150" s="11" t="n">
        <x:v>43</x:v>
      </x:c>
      <x:c r="P150" s="11" t="n">
        <x:v>23</x:v>
      </x:c>
      <x:c r="Q150" s="11" t="n">
        <x:v>0</x:v>
      </x:c>
      <x:c r="R150" s="11" t="n">
        <x:v>0</x:v>
      </x:c>
    </x:row>
    <x:row r="151" ht="26" customHeight="1">
      <x:c r="A151" s="13" t="n">
        <x:v>46082</x:v>
      </x:c>
      <x:c r="B151" s="9" t="str">
        <x:v>全部候选</x:v>
      </x:c>
      <x:c r="C151" s="9" t="str">
        <x:v>测试</x:v>
      </x:c>
      <x:c r="D151" s="9" t="str">
        <x:v>Top3</x:v>
      </x:c>
      <x:c r="E151" s="9" t="str">
        <x:v>五K原规则</x:v>
      </x:c>
      <x:c r="F151" s="11" t="n">
        <x:f>SUM(O151:R151)</x:f>
        <x:v>66</x:v>
      </x:c>
      <x:c r="G151" s="11" t="n">
        <x:v>66</x:v>
      </x:c>
      <x:c r="H151" s="11" t="n">
        <x:f>O151+P151</x:f>
        <x:v>40</x:v>
      </x:c>
      <x:c r="I151" s="12" t="n">
        <x:f>IF(F151=0,"",H151/F151)</x:f>
        <x:v>0.6060606060606061</x:v>
      </x:c>
      <x:c r="J151" s="12" t="n">
        <x:f>IF(F151=0,"",(O151+R151)/F151)</x:f>
        <x:v>0.7727272727272727</x:v>
      </x:c>
      <x:c r="K151" s="12" t="n">
        <x:f>IF(H151=0,"",O151/H151)</x:f>
        <x:v>0.85</x:v>
      </x:c>
      <x:c r="L151" s="12" t="n">
        <x:f>IF(O151+Q151=0,"",O151/(O151+Q151))</x:f>
        <x:v>0.7906976744186046</x:v>
      </x:c>
      <x:c r="M151" s="12" t="n">
        <x:f>IF(2*O151+P151+Q151=0,"",2*O151/(2*O151+P151+Q151))</x:f>
        <x:v>0.8192771084337349</x:v>
      </x:c>
      <x:c r="N151" s="12" t="n">
        <x:f>IF(OR(O151+Q151=0,R151+P151=0),"",(L151+R151/(R151+P151))/2)</x:f>
        <x:v>0.7649140546006066</x:v>
      </x:c>
      <x:c r="O151" s="11" t="n">
        <x:v>34</x:v>
      </x:c>
      <x:c r="P151" s="11" t="n">
        <x:v>6</x:v>
      </x:c>
      <x:c r="Q151" s="11" t="n">
        <x:v>9</x:v>
      </x:c>
      <x:c r="R151" s="11" t="n">
        <x:v>17</x:v>
      </x:c>
    </x:row>
    <x:row r="152" ht="26" customHeight="1">
      <x:c r="A152" s="13" t="n">
        <x:v>46082</x:v>
      </x:c>
      <x:c r="B152" s="9" t="str">
        <x:v>全部候选</x:v>
      </x:c>
      <x:c r="C152" s="9" t="str">
        <x:v>测试</x:v>
      </x:c>
      <x:c r="D152" s="9" t="str">
        <x:v>Top3</x:v>
      </x:c>
      <x:c r="E152" s="9" t="str">
        <x:v>四K沿用门槛</x:v>
      </x:c>
      <x:c r="F152" s="11" t="n">
        <x:f>SUM(O152:R152)</x:f>
        <x:v>66</x:v>
      </x:c>
      <x:c r="G152" s="11" t="n">
        <x:v>66</x:v>
      </x:c>
      <x:c r="H152" s="11" t="n">
        <x:f>O152+P152</x:f>
        <x:v>40</x:v>
      </x:c>
      <x:c r="I152" s="12" t="n">
        <x:f>IF(F152=0,"",H152/F152)</x:f>
        <x:v>0.6060606060606061</x:v>
      </x:c>
      <x:c r="J152" s="12" t="n">
        <x:f>IF(F152=0,"",(O152+R152)/F152)</x:f>
        <x:v>0.7727272727272727</x:v>
      </x:c>
      <x:c r="K152" s="12" t="n">
        <x:f>IF(H152=0,"",O152/H152)</x:f>
        <x:v>0.85</x:v>
      </x:c>
      <x:c r="L152" s="12" t="n">
        <x:f>IF(O152+Q152=0,"",O152/(O152+Q152))</x:f>
        <x:v>0.7906976744186046</x:v>
      </x:c>
      <x:c r="M152" s="12" t="n">
        <x:f>IF(2*O152+P152+Q152=0,"",2*O152/(2*O152+P152+Q152))</x:f>
        <x:v>0.8192771084337349</x:v>
      </x:c>
      <x:c r="N152" s="12" t="n">
        <x:f>IF(OR(O152+Q152=0,R152+P152=0),"",(L152+R152/(R152+P152))/2)</x:f>
        <x:v>0.7649140546006066</x:v>
      </x:c>
      <x:c r="O152" s="11" t="n">
        <x:v>34</x:v>
      </x:c>
      <x:c r="P152" s="11" t="n">
        <x:v>6</x:v>
      </x:c>
      <x:c r="Q152" s="11" t="n">
        <x:v>9</x:v>
      </x:c>
      <x:c r="R152" s="11" t="n">
        <x:v>17</x:v>
      </x:c>
    </x:row>
    <x:row r="153" ht="26" customHeight="1">
      <x:c r="A153" s="13" t="n">
        <x:v>46082</x:v>
      </x:c>
      <x:c r="B153" s="9" t="str">
        <x:v>全部候选</x:v>
      </x:c>
      <x:c r="C153" s="9" t="str">
        <x:v>测试</x:v>
      </x:c>
      <x:c r="D153" s="9" t="str">
        <x:v>Top3</x:v>
      </x:c>
      <x:c r="E153" s="9" t="str">
        <x:v>四K重选规则</x:v>
      </x:c>
      <x:c r="F153" s="11" t="n">
        <x:f>SUM(O153:R153)</x:f>
        <x:v>66</x:v>
      </x:c>
      <x:c r="G153" s="11" t="n">
        <x:v>66</x:v>
      </x:c>
      <x:c r="H153" s="11" t="n">
        <x:f>O153+P153</x:f>
        <x:v>48</x:v>
      </x:c>
      <x:c r="I153" s="12" t="n">
        <x:f>IF(F153=0,"",H153/F153)</x:f>
        <x:v>0.7272727272727273</x:v>
      </x:c>
      <x:c r="J153" s="12" t="n">
        <x:f>IF(F153=0,"",(O153+R153)/F153)</x:f>
        <x:v>0.7121212121212122</x:v>
      </x:c>
      <x:c r="K153" s="12" t="n">
        <x:f>IF(H153=0,"",O153/H153)</x:f>
        <x:v>0.75</x:v>
      </x:c>
      <x:c r="L153" s="12" t="n">
        <x:f>IF(O153+Q153=0,"",O153/(O153+Q153))</x:f>
        <x:v>0.8372093023255814</x:v>
      </x:c>
      <x:c r="M153" s="12" t="n">
        <x:f>IF(2*O153+P153+Q153=0,"",2*O153/(2*O153+P153+Q153))</x:f>
        <x:v>0.7912087912087912</x:v>
      </x:c>
      <x:c r="N153" s="12" t="n">
        <x:f>IF(OR(O153+Q153=0,R153+P153=0),"",(L153+R153/(R153+P153))/2)</x:f>
        <x:v>0.6577350859453994</x:v>
      </x:c>
      <x:c r="O153" s="11" t="n">
        <x:v>36</x:v>
      </x:c>
      <x:c r="P153" s="11" t="n">
        <x:v>12</x:v>
      </x:c>
      <x:c r="Q153" s="11" t="n">
        <x:v>7</x:v>
      </x:c>
      <x:c r="R153" s="11" t="n">
        <x:v>11</x:v>
      </x:c>
    </x:row>
    <x:row r="154" ht="26" customHeight="1">
      <x:c r="A154" s="13" t="n">
        <x:v>46082</x:v>
      </x:c>
      <x:c r="B154" s="9" t="str">
        <x:v>全部候选</x:v>
      </x:c>
      <x:c r="C154" s="9" t="str">
        <x:v>训练窗口</x:v>
      </x:c>
      <x:c r="D154" s="9" t="str">
        <x:v>Top3</x:v>
      </x:c>
      <x:c r="E154" s="9" t="str">
        <x:v>不判形态</x:v>
      </x:c>
      <x:c r="F154" s="11" t="n">
        <x:f>SUM(O154:R154)</x:f>
        <x:v>365</x:v>
      </x:c>
      <x:c r="G154" s="11" t="n">
        <x:v>365</x:v>
      </x:c>
      <x:c r="H154" s="11" t="n">
        <x:f>O154+P154</x:f>
        <x:v>365</x:v>
      </x:c>
      <x:c r="I154" s="12" t="n">
        <x:f>IF(F154=0,"",H154/F154)</x:f>
        <x:v>1</x:v>
      </x:c>
      <x:c r="J154" s="12" t="n">
        <x:f>IF(F154=0,"",(O154+R154)/F154)</x:f>
        <x:v>0.6520547945205479</x:v>
      </x:c>
      <x:c r="K154" s="12" t="n">
        <x:f>IF(H154=0,"",O154/H154)</x:f>
        <x:v>0.6520547945205479</x:v>
      </x:c>
      <x:c r="L154" s="12" t="n">
        <x:f>IF(O154+Q154=0,"",O154/(O154+Q154))</x:f>
        <x:v>1</x:v>
      </x:c>
      <x:c r="M154" s="12" t="n">
        <x:f>IF(2*O154+P154+Q154=0,"",2*O154/(2*O154+P154+Q154))</x:f>
        <x:v>0.7893864013266998</x:v>
      </x:c>
      <x:c r="N154" s="12" t="n">
        <x:f>IF(OR(O154+Q154=0,R154+P154=0),"",(L154+R154/(R154+P154))/2)</x:f>
        <x:v>0.5</x:v>
      </x:c>
      <x:c r="O154" s="11" t="n">
        <x:v>238</x:v>
      </x:c>
      <x:c r="P154" s="11" t="n">
        <x:v>127</x:v>
      </x:c>
      <x:c r="Q154" s="11" t="n">
        <x:v>0</x:v>
      </x:c>
      <x:c r="R154" s="11" t="n">
        <x:v>0</x:v>
      </x:c>
    </x:row>
    <x:row r="155" ht="26" customHeight="1">
      <x:c r="A155" s="13" t="n">
        <x:v>46082</x:v>
      </x:c>
      <x:c r="B155" s="9" t="str">
        <x:v>全部候选</x:v>
      </x:c>
      <x:c r="C155" s="9" t="str">
        <x:v>训练窗口</x:v>
      </x:c>
      <x:c r="D155" s="9" t="str">
        <x:v>Top3</x:v>
      </x:c>
      <x:c r="E155" s="9" t="str">
        <x:v>五K原规则</x:v>
      </x:c>
      <x:c r="F155" s="11" t="n">
        <x:f>SUM(O155:R155)</x:f>
        <x:v>365</x:v>
      </x:c>
      <x:c r="G155" s="11" t="n">
        <x:v>365</x:v>
      </x:c>
      <x:c r="H155" s="11" t="n">
        <x:f>O155+P155</x:f>
        <x:v>223</x:v>
      </x:c>
      <x:c r="I155" s="12" t="n">
        <x:f>IF(F155=0,"",H155/F155)</x:f>
        <x:v>0.6109589041095891</x:v>
      </x:c>
      <x:c r="J155" s="12" t="n">
        <x:f>IF(F155=0,"",(O155+R155)/F155)</x:f>
        <x:v>0.7671232876712328</x:v>
      </x:c>
      <x:c r="K155" s="12" t="n">
        <x:f>IF(H155=0,"",O155/H155)</x:f>
        <x:v>0.8430493273542601</x:v>
      </x:c>
      <x:c r="L155" s="12" t="n">
        <x:f>IF(O155+Q155=0,"",O155/(O155+Q155))</x:f>
        <x:v>0.7899159663865546</x:v>
      </x:c>
      <x:c r="M155" s="12" t="n">
        <x:f>IF(2*O155+P155+Q155=0,"",2*O155/(2*O155+P155+Q155))</x:f>
        <x:v>0.8156182212581344</x:v>
      </x:c>
      <x:c r="N155" s="12" t="n">
        <x:f>IF(OR(O155+Q155=0,R155+P155=0),"",(L155+R155/(R155+P155))/2)</x:f>
        <x:v>0.7571627076027261</x:v>
      </x:c>
      <x:c r="O155" s="11" t="n">
        <x:v>188</x:v>
      </x:c>
      <x:c r="P155" s="11" t="n">
        <x:v>35</x:v>
      </x:c>
      <x:c r="Q155" s="11" t="n">
        <x:v>50</x:v>
      </x:c>
      <x:c r="R155" s="11" t="n">
        <x:v>92</x:v>
      </x:c>
    </x:row>
    <x:row r="156" ht="26" customHeight="1">
      <x:c r="A156" s="13" t="n">
        <x:v>46082</x:v>
      </x:c>
      <x:c r="B156" s="9" t="str">
        <x:v>全部候选</x:v>
      </x:c>
      <x:c r="C156" s="9" t="str">
        <x:v>训练窗口</x:v>
      </x:c>
      <x:c r="D156" s="9" t="str">
        <x:v>Top3</x:v>
      </x:c>
      <x:c r="E156" s="9" t="str">
        <x:v>四K沿用门槛</x:v>
      </x:c>
      <x:c r="F156" s="11" t="n">
        <x:f>SUM(O156:R156)</x:f>
        <x:v>365</x:v>
      </x:c>
      <x:c r="G156" s="11" t="n">
        <x:v>365</x:v>
      </x:c>
      <x:c r="H156" s="11" t="n">
        <x:f>O156+P156</x:f>
        <x:v>226</x:v>
      </x:c>
      <x:c r="I156" s="12" t="n">
        <x:f>IF(F156=0,"",H156/F156)</x:f>
        <x:v>0.6191780821917808</x:v>
      </x:c>
      <x:c r="J156" s="12" t="n">
        <x:f>IF(F156=0,"",(O156+R156)/F156)</x:f>
        <x:v>0.7643835616438356</x:v>
      </x:c>
      <x:c r="K156" s="12" t="n">
        <x:f>IF(H156=0,"",O156/H156)</x:f>
        <x:v>0.8362831858407079</x:v>
      </x:c>
      <x:c r="L156" s="12" t="n">
        <x:f>IF(O156+Q156=0,"",O156/(O156+Q156))</x:f>
        <x:v>0.7941176470588235</x:v>
      </x:c>
      <x:c r="M156" s="12" t="n">
        <x:f>IF(2*O156+P156+Q156=0,"",2*O156/(2*O156+P156+Q156))</x:f>
        <x:v>0.8146551724137931</x:v>
      </x:c>
      <x:c r="N156" s="12" t="n">
        <x:f>IF(OR(O156+Q156=0,R156+P156=0),"",(L156+R156/(R156+P156))/2)</x:f>
        <x:v>0.751389532190829</x:v>
      </x:c>
      <x:c r="O156" s="11" t="n">
        <x:v>189</x:v>
      </x:c>
      <x:c r="P156" s="11" t="n">
        <x:v>37</x:v>
      </x:c>
      <x:c r="Q156" s="11" t="n">
        <x:v>49</x:v>
      </x:c>
      <x:c r="R156" s="11" t="n">
        <x:v>90</x:v>
      </x:c>
    </x:row>
    <x:row r="157" ht="26" customHeight="1">
      <x:c r="A157" s="13" t="n">
        <x:v>46082</x:v>
      </x:c>
      <x:c r="B157" s="9" t="str">
        <x:v>全部候选</x:v>
      </x:c>
      <x:c r="C157" s="9" t="str">
        <x:v>训练窗口</x:v>
      </x:c>
      <x:c r="D157" s="9" t="str">
        <x:v>Top3</x:v>
      </x:c>
      <x:c r="E157" s="9" t="str">
        <x:v>四K重选规则</x:v>
      </x:c>
      <x:c r="F157" s="11" t="n">
        <x:f>SUM(O157:R157)</x:f>
        <x:v>365</x:v>
      </x:c>
      <x:c r="G157" s="11" t="n">
        <x:v>365</x:v>
      </x:c>
      <x:c r="H157" s="11" t="n">
        <x:f>O157+P157</x:f>
        <x:v>228</x:v>
      </x:c>
      <x:c r="I157" s="12" t="n">
        <x:f>IF(F157=0,"",H157/F157)</x:f>
        <x:v>0.6246575342465753</x:v>
      </x:c>
      <x:c r="J157" s="12" t="n">
        <x:f>IF(F157=0,"",(O157+R157)/F157)</x:f>
        <x:v>0.7205479452054795</x:v>
      </x:c>
      <x:c r="K157" s="12" t="n">
        <x:f>IF(H157=0,"",O157/H157)</x:f>
        <x:v>0.7982456140350878</x:v>
      </x:c>
      <x:c r="L157" s="12" t="n">
        <x:f>IF(O157+Q157=0,"",O157/(O157+Q157))</x:f>
        <x:v>0.7647058823529411</x:v>
      </x:c>
      <x:c r="M157" s="12" t="n">
        <x:f>IF(2*O157+P157+Q157=0,"",2*O157/(2*O157+P157+Q157))</x:f>
        <x:v>0.7811158798283262</x:v>
      </x:c>
      <x:c r="N157" s="12" t="n">
        <x:f>IF(OR(O157+Q157=0,R157+P157=0),"",(L157+R157/(R157+P157))/2)</x:f>
        <x:v>0.7012505789717461</x:v>
      </x:c>
      <x:c r="O157" s="11" t="n">
        <x:v>182</x:v>
      </x:c>
      <x:c r="P157" s="11" t="n">
        <x:v>46</x:v>
      </x:c>
      <x:c r="Q157" s="11" t="n">
        <x:v>56</x:v>
      </x:c>
      <x:c r="R157" s="11" t="n">
        <x:v>81</x:v>
      </x:c>
    </x:row>
    <x:row r="158" ht="26" customHeight="1">
      <x:c r="A158" s="13" t="n">
        <x:v>46082</x:v>
      </x:c>
      <x:c r="B158" s="9" t="str">
        <x:v>全部候选</x:v>
      </x:c>
      <x:c r="C158" s="9" t="str">
        <x:v>验证窗口</x:v>
      </x:c>
      <x:c r="D158" s="9" t="str">
        <x:v>Top3</x:v>
      </x:c>
      <x:c r="E158" s="9" t="str">
        <x:v>不判形态</x:v>
      </x:c>
      <x:c r="F158" s="11" t="n">
        <x:f>SUM(O158:R158)</x:f>
        <x:v>90</x:v>
      </x:c>
      <x:c r="G158" s="11" t="n">
        <x:v>90</x:v>
      </x:c>
      <x:c r="H158" s="11" t="n">
        <x:f>O158+P158</x:f>
        <x:v>90</x:v>
      </x:c>
      <x:c r="I158" s="12" t="n">
        <x:f>IF(F158=0,"",H158/F158)</x:f>
        <x:v>1</x:v>
      </x:c>
      <x:c r="J158" s="12" t="n">
        <x:f>IF(F158=0,"",(O158+R158)/F158)</x:f>
        <x:v>0.6333333333333333</x:v>
      </x:c>
      <x:c r="K158" s="12" t="n">
        <x:f>IF(H158=0,"",O158/H158)</x:f>
        <x:v>0.6333333333333333</x:v>
      </x:c>
      <x:c r="L158" s="12" t="n">
        <x:f>IF(O158+Q158=0,"",O158/(O158+Q158))</x:f>
        <x:v>1</x:v>
      </x:c>
      <x:c r="M158" s="12" t="n">
        <x:f>IF(2*O158+P158+Q158=0,"",2*O158/(2*O158+P158+Q158))</x:f>
        <x:v>0.7755102040816326</x:v>
      </x:c>
      <x:c r="N158" s="12" t="n">
        <x:f>IF(OR(O158+Q158=0,R158+P158=0),"",(L158+R158/(R158+P158))/2)</x:f>
        <x:v>0.5</x:v>
      </x:c>
      <x:c r="O158" s="11" t="n">
        <x:v>57</x:v>
      </x:c>
      <x:c r="P158" s="11" t="n">
        <x:v>33</x:v>
      </x:c>
      <x:c r="Q158" s="11" t="n">
        <x:v>0</x:v>
      </x:c>
      <x:c r="R158" s="11" t="n">
        <x:v>0</x:v>
      </x:c>
    </x:row>
    <x:row r="159" ht="26" customHeight="1">
      <x:c r="A159" s="13" t="n">
        <x:v>46082</x:v>
      </x:c>
      <x:c r="B159" s="9" t="str">
        <x:v>全部候选</x:v>
      </x:c>
      <x:c r="C159" s="9" t="str">
        <x:v>验证窗口</x:v>
      </x:c>
      <x:c r="D159" s="9" t="str">
        <x:v>Top3</x:v>
      </x:c>
      <x:c r="E159" s="9" t="str">
        <x:v>五K原规则</x:v>
      </x:c>
      <x:c r="F159" s="11" t="n">
        <x:f>SUM(O159:R159)</x:f>
        <x:v>90</x:v>
      </x:c>
      <x:c r="G159" s="11" t="n">
        <x:v>90</x:v>
      </x:c>
      <x:c r="H159" s="11" t="n">
        <x:f>O159+P159</x:f>
        <x:v>57</x:v>
      </x:c>
      <x:c r="I159" s="12" t="n">
        <x:f>IF(F159=0,"",H159/F159)</x:f>
        <x:v>0.6333333333333333</x:v>
      </x:c>
      <x:c r="J159" s="12" t="n">
        <x:f>IF(F159=0,"",(O159+R159)/F159)</x:f>
        <x:v>0.8</x:v>
      </x:c>
      <x:c r="K159" s="12" t="n">
        <x:f>IF(H159=0,"",O159/H159)</x:f>
        <x:v>0.8421052631578947</x:v>
      </x:c>
      <x:c r="L159" s="12" t="n">
        <x:f>IF(O159+Q159=0,"",O159/(O159+Q159))</x:f>
        <x:v>0.8421052631578947</x:v>
      </x:c>
      <x:c r="M159" s="12" t="n">
        <x:f>IF(2*O159+P159+Q159=0,"",2*O159/(2*O159+P159+Q159))</x:f>
        <x:v>0.8421052631578947</x:v>
      </x:c>
      <x:c r="N159" s="12" t="n">
        <x:f>IF(OR(O159+Q159=0,R159+P159=0),"",(L159+R159/(R159+P159))/2)</x:f>
        <x:v>0.784688995215311</x:v>
      </x:c>
      <x:c r="O159" s="11" t="n">
        <x:v>48</x:v>
      </x:c>
      <x:c r="P159" s="11" t="n">
        <x:v>9</x:v>
      </x:c>
      <x:c r="Q159" s="11" t="n">
        <x:v>9</x:v>
      </x:c>
      <x:c r="R159" s="11" t="n">
        <x:v>24</x:v>
      </x:c>
    </x:row>
    <x:row r="160" ht="26" customHeight="1">
      <x:c r="A160" s="13" t="n">
        <x:v>46082</x:v>
      </x:c>
      <x:c r="B160" s="9" t="str">
        <x:v>全部候选</x:v>
      </x:c>
      <x:c r="C160" s="9" t="str">
        <x:v>验证窗口</x:v>
      </x:c>
      <x:c r="D160" s="9" t="str">
        <x:v>Top3</x:v>
      </x:c>
      <x:c r="E160" s="9" t="str">
        <x:v>四K沿用门槛</x:v>
      </x:c>
      <x:c r="F160" s="11" t="n">
        <x:f>SUM(O160:R160)</x:f>
        <x:v>90</x:v>
      </x:c>
      <x:c r="G160" s="11" t="n">
        <x:v>90</x:v>
      </x:c>
      <x:c r="H160" s="11" t="n">
        <x:f>O160+P160</x:f>
        <x:v>59</x:v>
      </x:c>
      <x:c r="I160" s="12" t="n">
        <x:f>IF(F160=0,"",H160/F160)</x:f>
        <x:v>0.6555555555555556</x:v>
      </x:c>
      <x:c r="J160" s="12" t="n">
        <x:f>IF(F160=0,"",(O160+R160)/F160)</x:f>
        <x:v>0.7777777777777778</x:v>
      </x:c>
      <x:c r="K160" s="12" t="n">
        <x:f>IF(H160=0,"",O160/H160)</x:f>
        <x:v>0.8135593220338984</x:v>
      </x:c>
      <x:c r="L160" s="12" t="n">
        <x:f>IF(O160+Q160=0,"",O160/(O160+Q160))</x:f>
        <x:v>0.8421052631578947</x:v>
      </x:c>
      <x:c r="M160" s="12" t="n">
        <x:f>IF(2*O160+P160+Q160=0,"",2*O160/(2*O160+P160+Q160))</x:f>
        <x:v>0.8275862068965517</x:v>
      </x:c>
      <x:c r="N160" s="12" t="n">
        <x:f>IF(OR(O160+Q160=0,R160+P160=0),"",(L160+R160/(R160+P160))/2)</x:f>
        <x:v>0.7543859649122806</x:v>
      </x:c>
      <x:c r="O160" s="11" t="n">
        <x:v>48</x:v>
      </x:c>
      <x:c r="P160" s="11" t="n">
        <x:v>11</x:v>
      </x:c>
      <x:c r="Q160" s="11" t="n">
        <x:v>9</x:v>
      </x:c>
      <x:c r="R160" s="11" t="n">
        <x:v>22</x:v>
      </x:c>
    </x:row>
    <x:row r="161" ht="26" customHeight="1">
      <x:c r="A161" s="13" t="n">
        <x:v>46082</x:v>
      </x:c>
      <x:c r="B161" s="9" t="str">
        <x:v>全部候选</x:v>
      </x:c>
      <x:c r="C161" s="9" t="str">
        <x:v>验证窗口</x:v>
      </x:c>
      <x:c r="D161" s="9" t="str">
        <x:v>Top3</x:v>
      </x:c>
      <x:c r="E161" s="9" t="str">
        <x:v>四K重选规则</x:v>
      </x:c>
      <x:c r="F161" s="11" t="n">
        <x:f>SUM(O161:R161)</x:f>
        <x:v>90</x:v>
      </x:c>
      <x:c r="G161" s="11" t="n">
        <x:v>90</x:v>
      </x:c>
      <x:c r="H161" s="11" t="n">
        <x:f>O161+P161</x:f>
        <x:v>56</x:v>
      </x:c>
      <x:c r="I161" s="12" t="n">
        <x:f>IF(F161=0,"",H161/F161)</x:f>
        <x:v>0.6222222222222222</x:v>
      </x:c>
      <x:c r="J161" s="12" t="n">
        <x:f>IF(F161=0,"",(O161+R161)/F161)</x:f>
        <x:v>0.7</x:v>
      </x:c>
      <x:c r="K161" s="12" t="n">
        <x:f>IF(H161=0,"",O161/H161)</x:f>
        <x:v>0.7678571428571429</x:v>
      </x:c>
      <x:c r="L161" s="12" t="n">
        <x:f>IF(O161+Q161=0,"",O161/(O161+Q161))</x:f>
        <x:v>0.7543859649122807</x:v>
      </x:c>
      <x:c r="M161" s="12" t="n">
        <x:f>IF(2*O161+P161+Q161=0,"",2*O161/(2*O161+P161+Q161))</x:f>
        <x:v>0.7610619469026548</x:v>
      </x:c>
      <x:c r="N161" s="12" t="n">
        <x:f>IF(OR(O161+Q161=0,R161+P161=0),"",(L161+R161/(R161+P161))/2)</x:f>
        <x:v>0.6802232854864434</x:v>
      </x:c>
      <x:c r="O161" s="11" t="n">
        <x:v>43</x:v>
      </x:c>
      <x:c r="P161" s="11" t="n">
        <x:v>13</x:v>
      </x:c>
      <x:c r="Q161" s="11" t="n">
        <x:v>14</x:v>
      </x:c>
      <x:c r="R161" s="11" t="n">
        <x:v>20</x:v>
      </x:c>
    </x:row>
    <x:row r="162" ht="26" customHeight="1">
      <x:c r="A162" s="13" t="n">
        <x:v>46113</x:v>
      </x:c>
      <x:c r="B162" s="9" t="str">
        <x:v>全部候选</x:v>
      </x:c>
      <x:c r="C162" s="9" t="str">
        <x:v>测试</x:v>
      </x:c>
      <x:c r="D162" s="9" t="str">
        <x:v>Top3</x:v>
      </x:c>
      <x:c r="E162" s="9" t="str">
        <x:v>不判形态</x:v>
      </x:c>
      <x:c r="F162" s="11" t="n">
        <x:f>SUM(O162:R162)</x:f>
        <x:v>61</x:v>
      </x:c>
      <x:c r="G162" s="11" t="n">
        <x:v>61</x:v>
      </x:c>
      <x:c r="H162" s="11" t="n">
        <x:f>O162+P162</x:f>
        <x:v>61</x:v>
      </x:c>
      <x:c r="I162" s="12" t="n">
        <x:f>IF(F162=0,"",H162/F162)</x:f>
        <x:v>1</x:v>
      </x:c>
      <x:c r="J162" s="12" t="n">
        <x:f>IF(F162=0,"",(O162+R162)/F162)</x:f>
        <x:v>0.639344262295082</x:v>
      </x:c>
      <x:c r="K162" s="12" t="n">
        <x:f>IF(H162=0,"",O162/H162)</x:f>
        <x:v>0.639344262295082</x:v>
      </x:c>
      <x:c r="L162" s="12" t="n">
        <x:f>IF(O162+Q162=0,"",O162/(O162+Q162))</x:f>
        <x:v>1</x:v>
      </x:c>
      <x:c r="M162" s="12" t="n">
        <x:f>IF(2*O162+P162+Q162=0,"",2*O162/(2*O162+P162+Q162))</x:f>
        <x:v>0.78</x:v>
      </x:c>
      <x:c r="N162" s="12" t="n">
        <x:f>IF(OR(O162+Q162=0,R162+P162=0),"",(L162+R162/(R162+P162))/2)</x:f>
        <x:v>0.5</x:v>
      </x:c>
      <x:c r="O162" s="11" t="n">
        <x:v>39</x:v>
      </x:c>
      <x:c r="P162" s="11" t="n">
        <x:v>22</x:v>
      </x:c>
      <x:c r="Q162" s="11" t="n">
        <x:v>0</x:v>
      </x:c>
      <x:c r="R162" s="11" t="n">
        <x:v>0</x:v>
      </x:c>
    </x:row>
    <x:row r="163" ht="26" customHeight="1">
      <x:c r="A163" s="13" t="n">
        <x:v>46113</x:v>
      </x:c>
      <x:c r="B163" s="9" t="str">
        <x:v>全部候选</x:v>
      </x:c>
      <x:c r="C163" s="9" t="str">
        <x:v>测试</x:v>
      </x:c>
      <x:c r="D163" s="9" t="str">
        <x:v>Top3</x:v>
      </x:c>
      <x:c r="E163" s="9" t="str">
        <x:v>五K原规则</x:v>
      </x:c>
      <x:c r="F163" s="11" t="n">
        <x:f>SUM(O163:R163)</x:f>
        <x:v>61</x:v>
      </x:c>
      <x:c r="G163" s="11" t="n">
        <x:v>61</x:v>
      </x:c>
      <x:c r="H163" s="11" t="n">
        <x:f>O163+P163</x:f>
        <x:v>38</x:v>
      </x:c>
      <x:c r="I163" s="12" t="n">
        <x:f>IF(F163=0,"",H163/F163)</x:f>
        <x:v>0.6229508196721312</x:v>
      </x:c>
      <x:c r="J163" s="12" t="n">
        <x:f>IF(F163=0,"",(O163+R163)/F163)</x:f>
        <x:v>0.6557377049180327</x:v>
      </x:c>
      <x:c r="K163" s="12" t="n">
        <x:f>IF(H163=0,"",O163/H163)</x:f>
        <x:v>0.7368421052631579</x:v>
      </x:c>
      <x:c r="L163" s="12" t="n">
        <x:f>IF(O163+Q163=0,"",O163/(O163+Q163))</x:f>
        <x:v>0.717948717948718</x:v>
      </x:c>
      <x:c r="M163" s="12" t="n">
        <x:f>IF(2*O163+P163+Q163=0,"",2*O163/(2*O163+P163+Q163))</x:f>
        <x:v>0.7272727272727273</x:v>
      </x:c>
      <x:c r="N163" s="12" t="n">
        <x:f>IF(OR(O163+Q163=0,R163+P163=0),"",(L163+R163/(R163+P163))/2)</x:f>
        <x:v>0.6317016317016317</x:v>
      </x:c>
      <x:c r="O163" s="11" t="n">
        <x:v>28</x:v>
      </x:c>
      <x:c r="P163" s="11" t="n">
        <x:v>10</x:v>
      </x:c>
      <x:c r="Q163" s="11" t="n">
        <x:v>11</x:v>
      </x:c>
      <x:c r="R163" s="11" t="n">
        <x:v>12</x:v>
      </x:c>
    </x:row>
    <x:row r="164" ht="26" customHeight="1">
      <x:c r="A164" s="13" t="n">
        <x:v>46113</x:v>
      </x:c>
      <x:c r="B164" s="9" t="str">
        <x:v>全部候选</x:v>
      </x:c>
      <x:c r="C164" s="9" t="str">
        <x:v>测试</x:v>
      </x:c>
      <x:c r="D164" s="9" t="str">
        <x:v>Top3</x:v>
      </x:c>
      <x:c r="E164" s="9" t="str">
        <x:v>四K沿用门槛</x:v>
      </x:c>
      <x:c r="F164" s="11" t="n">
        <x:f>SUM(O164:R164)</x:f>
        <x:v>61</x:v>
      </x:c>
      <x:c r="G164" s="11" t="n">
        <x:v>61</x:v>
      </x:c>
      <x:c r="H164" s="11" t="n">
        <x:f>O164+P164</x:f>
        <x:v>38</x:v>
      </x:c>
      <x:c r="I164" s="12" t="n">
        <x:f>IF(F164=0,"",H164/F164)</x:f>
        <x:v>0.6229508196721312</x:v>
      </x:c>
      <x:c r="J164" s="12" t="n">
        <x:f>IF(F164=0,"",(O164+R164)/F164)</x:f>
        <x:v>0.6557377049180327</x:v>
      </x:c>
      <x:c r="K164" s="12" t="n">
        <x:f>IF(H164=0,"",O164/H164)</x:f>
        <x:v>0.7368421052631579</x:v>
      </x:c>
      <x:c r="L164" s="12" t="n">
        <x:f>IF(O164+Q164=0,"",O164/(O164+Q164))</x:f>
        <x:v>0.717948717948718</x:v>
      </x:c>
      <x:c r="M164" s="12" t="n">
        <x:f>IF(2*O164+P164+Q164=0,"",2*O164/(2*O164+P164+Q164))</x:f>
        <x:v>0.7272727272727273</x:v>
      </x:c>
      <x:c r="N164" s="12" t="n">
        <x:f>IF(OR(O164+Q164=0,R164+P164=0),"",(L164+R164/(R164+P164))/2)</x:f>
        <x:v>0.6317016317016317</x:v>
      </x:c>
      <x:c r="O164" s="11" t="n">
        <x:v>28</x:v>
      </x:c>
      <x:c r="P164" s="11" t="n">
        <x:v>10</x:v>
      </x:c>
      <x:c r="Q164" s="11" t="n">
        <x:v>11</x:v>
      </x:c>
      <x:c r="R164" s="11" t="n">
        <x:v>12</x:v>
      </x:c>
    </x:row>
    <x:row r="165" ht="26" customHeight="1">
      <x:c r="A165" s="13" t="n">
        <x:v>46113</x:v>
      </x:c>
      <x:c r="B165" s="9" t="str">
        <x:v>全部候选</x:v>
      </x:c>
      <x:c r="C165" s="9" t="str">
        <x:v>测试</x:v>
      </x:c>
      <x:c r="D165" s="9" t="str">
        <x:v>Top3</x:v>
      </x:c>
      <x:c r="E165" s="9" t="str">
        <x:v>四K重选规则</x:v>
      </x:c>
      <x:c r="F165" s="11" t="n">
        <x:f>SUM(O165:R165)</x:f>
        <x:v>61</x:v>
      </x:c>
      <x:c r="G165" s="11" t="n">
        <x:v>61</x:v>
      </x:c>
      <x:c r="H165" s="11" t="n">
        <x:f>O165+P165</x:f>
        <x:v>37</x:v>
      </x:c>
      <x:c r="I165" s="12" t="n">
        <x:f>IF(F165=0,"",H165/F165)</x:f>
        <x:v>0.6065573770491803</x:v>
      </x:c>
      <x:c r="J165" s="12" t="n">
        <x:f>IF(F165=0,"",(O165+R165)/F165)</x:f>
        <x:v>0.6721311475409836</x:v>
      </x:c>
      <x:c r="K165" s="12" t="n">
        <x:f>IF(H165=0,"",O165/H165)</x:f>
        <x:v>0.7567567567567568</x:v>
      </x:c>
      <x:c r="L165" s="12" t="n">
        <x:f>IF(O165+Q165=0,"",O165/(O165+Q165))</x:f>
        <x:v>0.717948717948718</x:v>
      </x:c>
      <x:c r="M165" s="12" t="n">
        <x:f>IF(2*O165+P165+Q165=0,"",2*O165/(2*O165+P165+Q165))</x:f>
        <x:v>0.7368421052631579</x:v>
      </x:c>
      <x:c r="N165" s="12" t="n">
        <x:f>IF(OR(O165+Q165=0,R165+P165=0),"",(L165+R165/(R165+P165))/2)</x:f>
        <x:v>0.6544289044289044</x:v>
      </x:c>
      <x:c r="O165" s="11" t="n">
        <x:v>28</x:v>
      </x:c>
      <x:c r="P165" s="11" t="n">
        <x:v>9</x:v>
      </x:c>
      <x:c r="Q165" s="11" t="n">
        <x:v>11</x:v>
      </x:c>
      <x:c r="R165" s="11" t="n">
        <x:v>13</x:v>
      </x:c>
    </x:row>
    <x:row r="166" ht="26" customHeight="1">
      <x:c r="A166" s="13" t="n">
        <x:v>46113</x:v>
      </x:c>
      <x:c r="B166" s="9" t="str">
        <x:v>全部候选</x:v>
      </x:c>
      <x:c r="C166" s="9" t="str">
        <x:v>训练窗口</x:v>
      </x:c>
      <x:c r="D166" s="9" t="str">
        <x:v>Top3</x:v>
      </x:c>
      <x:c r="E166" s="9" t="str">
        <x:v>不判形态</x:v>
      </x:c>
      <x:c r="F166" s="11" t="n">
        <x:f>SUM(O166:R166)</x:f>
        <x:v>356</x:v>
      </x:c>
      <x:c r="G166" s="11" t="n">
        <x:v>356</x:v>
      </x:c>
      <x:c r="H166" s="11" t="n">
        <x:f>O166+P166</x:f>
        <x:v>356</x:v>
      </x:c>
      <x:c r="I166" s="12" t="n">
        <x:f>IF(F166=0,"",H166/F166)</x:f>
        <x:v>1</x:v>
      </x:c>
      <x:c r="J166" s="12" t="n">
        <x:f>IF(F166=0,"",(O166+R166)/F166)</x:f>
        <x:v>0.651685393258427</x:v>
      </x:c>
      <x:c r="K166" s="12" t="n">
        <x:f>IF(H166=0,"",O166/H166)</x:f>
        <x:v>0.651685393258427</x:v>
      </x:c>
      <x:c r="L166" s="12" t="n">
        <x:f>IF(O166+Q166=0,"",O166/(O166+Q166))</x:f>
        <x:v>1</x:v>
      </x:c>
      <x:c r="M166" s="12" t="n">
        <x:f>IF(2*O166+P166+Q166=0,"",2*O166/(2*O166+P166+Q166))</x:f>
        <x:v>0.7891156462585034</x:v>
      </x:c>
      <x:c r="N166" s="12" t="n">
        <x:f>IF(OR(O166+Q166=0,R166+P166=0),"",(L166+R166/(R166+P166))/2)</x:f>
        <x:v>0.5</x:v>
      </x:c>
      <x:c r="O166" s="11" t="n">
        <x:v>232</x:v>
      </x:c>
      <x:c r="P166" s="11" t="n">
        <x:v>124</x:v>
      </x:c>
      <x:c r="Q166" s="11" t="n">
        <x:v>0</x:v>
      </x:c>
      <x:c r="R166" s="11" t="n">
        <x:v>0</x:v>
      </x:c>
    </x:row>
    <x:row r="167" ht="26" customHeight="1">
      <x:c r="A167" s="13" t="n">
        <x:v>46113</x:v>
      </x:c>
      <x:c r="B167" s="9" t="str">
        <x:v>全部候选</x:v>
      </x:c>
      <x:c r="C167" s="9" t="str">
        <x:v>训练窗口</x:v>
      </x:c>
      <x:c r="D167" s="9" t="str">
        <x:v>Top3</x:v>
      </x:c>
      <x:c r="E167" s="9" t="str">
        <x:v>五K原规则</x:v>
      </x:c>
      <x:c r="F167" s="11" t="n">
        <x:f>SUM(O167:R167)</x:f>
        <x:v>356</x:v>
      </x:c>
      <x:c r="G167" s="11" t="n">
        <x:v>356</x:v>
      </x:c>
      <x:c r="H167" s="11" t="n">
        <x:f>O167+P167</x:f>
        <x:v>224</x:v>
      </x:c>
      <x:c r="I167" s="12" t="n">
        <x:f>IF(F167=0,"",H167/F167)</x:f>
        <x:v>0.6292134831460674</x:v>
      </x:c>
      <x:c r="J167" s="12" t="n">
        <x:f>IF(F167=0,"",(O167+R167)/F167)</x:f>
        <x:v>0.7865168539325843</x:v>
      </x:c>
      <x:c r="K167" s="12" t="n">
        <x:f>IF(H167=0,"",O167/H167)</x:f>
        <x:v>0.8482142857142857</x:v>
      </x:c>
      <x:c r="L167" s="12" t="n">
        <x:f>IF(O167+Q167=0,"",O167/(O167+Q167))</x:f>
        <x:v>0.8189655172413793</x:v>
      </x:c>
      <x:c r="M167" s="12" t="n">
        <x:f>IF(2*O167+P167+Q167=0,"",2*O167/(2*O167+P167+Q167))</x:f>
        <x:v>0.8333333333333334</x:v>
      </x:c>
      <x:c r="N167" s="12" t="n">
        <x:f>IF(OR(O167+Q167=0,R167+P167=0),"",(L167+R167/(R167+P167))/2)</x:f>
        <x:v>0.7723859844271412</x:v>
      </x:c>
      <x:c r="O167" s="11" t="n">
        <x:v>190</x:v>
      </x:c>
      <x:c r="P167" s="11" t="n">
        <x:v>34</x:v>
      </x:c>
      <x:c r="Q167" s="11" t="n">
        <x:v>42</x:v>
      </x:c>
      <x:c r="R167" s="11" t="n">
        <x:v>90</x:v>
      </x:c>
    </x:row>
    <x:row r="168" ht="26" customHeight="1">
      <x:c r="A168" s="13" t="n">
        <x:v>46113</x:v>
      </x:c>
      <x:c r="B168" s="9" t="str">
        <x:v>全部候选</x:v>
      </x:c>
      <x:c r="C168" s="9" t="str">
        <x:v>训练窗口</x:v>
      </x:c>
      <x:c r="D168" s="9" t="str">
        <x:v>Top3</x:v>
      </x:c>
      <x:c r="E168" s="9" t="str">
        <x:v>四K沿用门槛</x:v>
      </x:c>
      <x:c r="F168" s="11" t="n">
        <x:f>SUM(O168:R168)</x:f>
        <x:v>356</x:v>
      </x:c>
      <x:c r="G168" s="11" t="n">
        <x:v>356</x:v>
      </x:c>
      <x:c r="H168" s="11" t="n">
        <x:f>O168+P168</x:f>
        <x:v>228</x:v>
      </x:c>
      <x:c r="I168" s="12" t="n">
        <x:f>IF(F168=0,"",H168/F168)</x:f>
        <x:v>0.6404494382022472</x:v>
      </x:c>
      <x:c r="J168" s="12" t="n">
        <x:f>IF(F168=0,"",(O168+R168)/F168)</x:f>
        <x:v>0.7808988764044944</x:v>
      </x:c>
      <x:c r="K168" s="12" t="n">
        <x:f>IF(H168=0,"",O168/H168)</x:f>
        <x:v>0.8377192982456141</x:v>
      </x:c>
      <x:c r="L168" s="12" t="n">
        <x:f>IF(O168+Q168=0,"",O168/(O168+Q168))</x:f>
        <x:v>0.8232758620689655</x:v>
      </x:c>
      <x:c r="M168" s="12" t="n">
        <x:f>IF(2*O168+P168+Q168=0,"",2*O168/(2*O168+P168+Q168))</x:f>
        <x:v>0.8304347826086956</x:v>
      </x:c>
      <x:c r="N168" s="12" t="n">
        <x:f>IF(OR(O168+Q168=0,R168+P168=0),"",(L168+R168/(R168+P168))/2)</x:f>
        <x:v>0.762444382647386</x:v>
      </x:c>
      <x:c r="O168" s="11" t="n">
        <x:v>191</x:v>
      </x:c>
      <x:c r="P168" s="11" t="n">
        <x:v>37</x:v>
      </x:c>
      <x:c r="Q168" s="11" t="n">
        <x:v>41</x:v>
      </x:c>
      <x:c r="R168" s="11" t="n">
        <x:v>87</x:v>
      </x:c>
    </x:row>
    <x:row r="169" ht="26" customHeight="1">
      <x:c r="A169" s="13" t="n">
        <x:v>46113</x:v>
      </x:c>
      <x:c r="B169" s="9" t="str">
        <x:v>全部候选</x:v>
      </x:c>
      <x:c r="C169" s="9" t="str">
        <x:v>训练窗口</x:v>
      </x:c>
      <x:c r="D169" s="9" t="str">
        <x:v>Top3</x:v>
      </x:c>
      <x:c r="E169" s="9" t="str">
        <x:v>四K重选规则</x:v>
      </x:c>
      <x:c r="F169" s="11" t="n">
        <x:f>SUM(O169:R169)</x:f>
        <x:v>356</x:v>
      </x:c>
      <x:c r="G169" s="11" t="n">
        <x:v>356</x:v>
      </x:c>
      <x:c r="H169" s="11" t="n">
        <x:f>O169+P169</x:f>
        <x:v>213</x:v>
      </x:c>
      <x:c r="I169" s="12" t="n">
        <x:f>IF(F169=0,"",H169/F169)</x:f>
        <x:v>0.598314606741573</x:v>
      </x:c>
      <x:c r="J169" s="12" t="n">
        <x:f>IF(F169=0,"",(O169+R169)/F169)</x:f>
        <x:v>0.7556179775280899</x:v>
      </x:c>
      <x:c r="K169" s="12" t="n">
        <x:f>IF(H169=0,"",O169/H169)</x:f>
        <x:v>0.8403755868544601</x:v>
      </x:c>
      <x:c r="L169" s="12" t="n">
        <x:f>IF(O169+Q169=0,"",O169/(O169+Q169))</x:f>
        <x:v>0.771551724137931</x:v>
      </x:c>
      <x:c r="M169" s="12" t="n">
        <x:f>IF(2*O169+P169+Q169=0,"",2*O169/(2*O169+P169+Q169))</x:f>
        <x:v>0.8044943820224719</x:v>
      </x:c>
      <x:c r="N169" s="12" t="n">
        <x:f>IF(OR(O169+Q169=0,R169+P169=0),"",(L169+R169/(R169+P169))/2)</x:f>
        <x:v>0.7486790878754171</x:v>
      </x:c>
      <x:c r="O169" s="11" t="n">
        <x:v>179</x:v>
      </x:c>
      <x:c r="P169" s="11" t="n">
        <x:v>34</x:v>
      </x:c>
      <x:c r="Q169" s="11" t="n">
        <x:v>53</x:v>
      </x:c>
      <x:c r="R169" s="11" t="n">
        <x:v>90</x:v>
      </x:c>
    </x:row>
    <x:row r="170" ht="26" customHeight="1">
      <x:c r="A170" s="13" t="n">
        <x:v>46113</x:v>
      </x:c>
      <x:c r="B170" s="9" t="str">
        <x:v>全部候选</x:v>
      </x:c>
      <x:c r="C170" s="9" t="str">
        <x:v>验证窗口</x:v>
      </x:c>
      <x:c r="D170" s="9" t="str">
        <x:v>Top3</x:v>
      </x:c>
      <x:c r="E170" s="9" t="str">
        <x:v>不判形态</x:v>
      </x:c>
      <x:c r="F170" s="11" t="n">
        <x:f>SUM(O170:R170)</x:f>
        <x:v>96</x:v>
      </x:c>
      <x:c r="G170" s="11" t="n">
        <x:v>96</x:v>
      </x:c>
      <x:c r="H170" s="11" t="n">
        <x:f>O170+P170</x:f>
        <x:v>96</x:v>
      </x:c>
      <x:c r="I170" s="12" t="n">
        <x:f>IF(F170=0,"",H170/F170)</x:f>
        <x:v>1</x:v>
      </x:c>
      <x:c r="J170" s="12" t="n">
        <x:f>IF(F170=0,"",(O170+R170)/F170)</x:f>
        <x:v>0.6770833333333334</x:v>
      </x:c>
      <x:c r="K170" s="12" t="n">
        <x:f>IF(H170=0,"",O170/H170)</x:f>
        <x:v>0.6770833333333334</x:v>
      </x:c>
      <x:c r="L170" s="12" t="n">
        <x:f>IF(O170+Q170=0,"",O170/(O170+Q170))</x:f>
        <x:v>1</x:v>
      </x:c>
      <x:c r="M170" s="12" t="n">
        <x:f>IF(2*O170+P170+Q170=0,"",2*O170/(2*O170+P170+Q170))</x:f>
        <x:v>0.8074534161490683</x:v>
      </x:c>
      <x:c r="N170" s="12" t="n">
        <x:f>IF(OR(O170+Q170=0,R170+P170=0),"",(L170+R170/(R170+P170))/2)</x:f>
        <x:v>0.5</x:v>
      </x:c>
      <x:c r="O170" s="11" t="n">
        <x:v>65</x:v>
      </x:c>
      <x:c r="P170" s="11" t="n">
        <x:v>31</x:v>
      </x:c>
      <x:c r="Q170" s="11" t="n">
        <x:v>0</x:v>
      </x:c>
      <x:c r="R170" s="11" t="n">
        <x:v>0</x:v>
      </x:c>
    </x:row>
    <x:row r="171" ht="26" customHeight="1">
      <x:c r="A171" s="13" t="n">
        <x:v>46113</x:v>
      </x:c>
      <x:c r="B171" s="9" t="str">
        <x:v>全部候选</x:v>
      </x:c>
      <x:c r="C171" s="9" t="str">
        <x:v>验证窗口</x:v>
      </x:c>
      <x:c r="D171" s="9" t="str">
        <x:v>Top3</x:v>
      </x:c>
      <x:c r="E171" s="9" t="str">
        <x:v>五K原规则</x:v>
      </x:c>
      <x:c r="F171" s="11" t="n">
        <x:f>SUM(O171:R171)</x:f>
        <x:v>96</x:v>
      </x:c>
      <x:c r="G171" s="11" t="n">
        <x:v>96</x:v>
      </x:c>
      <x:c r="H171" s="11" t="n">
        <x:f>O171+P171</x:f>
        <x:v>61</x:v>
      </x:c>
      <x:c r="I171" s="12" t="n">
        <x:f>IF(F171=0,"",H171/F171)</x:f>
        <x:v>0.6354166666666666</x:v>
      </x:c>
      <x:c r="J171" s="12" t="n">
        <x:f>IF(F171=0,"",(O171+R171)/F171)</x:f>
        <x:v>0.7708333333333334</x:v>
      </x:c>
      <x:c r="K171" s="12" t="n">
        <x:f>IF(H171=0,"",O171/H171)</x:f>
        <x:v>0.8524590163934426</x:v>
      </x:c>
      <x:c r="L171" s="12" t="n">
        <x:f>IF(O171+Q171=0,"",O171/(O171+Q171))</x:f>
        <x:v>0.8</x:v>
      </x:c>
      <x:c r="M171" s="12" t="n">
        <x:f>IF(2*O171+P171+Q171=0,"",2*O171/(2*O171+P171+Q171))</x:f>
        <x:v>0.8253968253968254</x:v>
      </x:c>
      <x:c r="N171" s="12" t="n">
        <x:f>IF(OR(O171+Q171=0,R171+P171=0),"",(L171+R171/(R171+P171))/2)</x:f>
        <x:v>0.7548387096774194</x:v>
      </x:c>
      <x:c r="O171" s="11" t="n">
        <x:v>52</x:v>
      </x:c>
      <x:c r="P171" s="11" t="n">
        <x:v>9</x:v>
      </x:c>
      <x:c r="Q171" s="11" t="n">
        <x:v>13</x:v>
      </x:c>
      <x:c r="R171" s="11" t="n">
        <x:v>22</x:v>
      </x:c>
    </x:row>
    <x:row r="172" ht="26" customHeight="1">
      <x:c r="A172" s="13" t="n">
        <x:v>46113</x:v>
      </x:c>
      <x:c r="B172" s="9" t="str">
        <x:v>全部候选</x:v>
      </x:c>
      <x:c r="C172" s="9" t="str">
        <x:v>验证窗口</x:v>
      </x:c>
      <x:c r="D172" s="9" t="str">
        <x:v>Top3</x:v>
      </x:c>
      <x:c r="E172" s="9" t="str">
        <x:v>四K沿用门槛</x:v>
      </x:c>
      <x:c r="F172" s="11" t="n">
        <x:f>SUM(O172:R172)</x:f>
        <x:v>96</x:v>
      </x:c>
      <x:c r="G172" s="11" t="n">
        <x:v>96</x:v>
      </x:c>
      <x:c r="H172" s="11" t="n">
        <x:f>O172+P172</x:f>
        <x:v>61</x:v>
      </x:c>
      <x:c r="I172" s="12" t="n">
        <x:f>IF(F172=0,"",H172/F172)</x:f>
        <x:v>0.6354166666666666</x:v>
      </x:c>
      <x:c r="J172" s="12" t="n">
        <x:f>IF(F172=0,"",(O172+R172)/F172)</x:f>
        <x:v>0.7708333333333334</x:v>
      </x:c>
      <x:c r="K172" s="12" t="n">
        <x:f>IF(H172=0,"",O172/H172)</x:f>
        <x:v>0.8524590163934426</x:v>
      </x:c>
      <x:c r="L172" s="12" t="n">
        <x:f>IF(O172+Q172=0,"",O172/(O172+Q172))</x:f>
        <x:v>0.8</x:v>
      </x:c>
      <x:c r="M172" s="12" t="n">
        <x:f>IF(2*O172+P172+Q172=0,"",2*O172/(2*O172+P172+Q172))</x:f>
        <x:v>0.8253968253968254</x:v>
      </x:c>
      <x:c r="N172" s="12" t="n">
        <x:f>IF(OR(O172+Q172=0,R172+P172=0),"",(L172+R172/(R172+P172))/2)</x:f>
        <x:v>0.7548387096774194</x:v>
      </x:c>
      <x:c r="O172" s="11" t="n">
        <x:v>52</x:v>
      </x:c>
      <x:c r="P172" s="11" t="n">
        <x:v>9</x:v>
      </x:c>
      <x:c r="Q172" s="11" t="n">
        <x:v>13</x:v>
      </x:c>
      <x:c r="R172" s="11" t="n">
        <x:v>22</x:v>
      </x:c>
    </x:row>
    <x:row r="173" ht="26" customHeight="1">
      <x:c r="A173" s="13" t="n">
        <x:v>46113</x:v>
      </x:c>
      <x:c r="B173" s="9" t="str">
        <x:v>全部候选</x:v>
      </x:c>
      <x:c r="C173" s="9" t="str">
        <x:v>验证窗口</x:v>
      </x:c>
      <x:c r="D173" s="9" t="str">
        <x:v>Top3</x:v>
      </x:c>
      <x:c r="E173" s="9" t="str">
        <x:v>四K重选规则</x:v>
      </x:c>
      <x:c r="F173" s="11" t="n">
        <x:f>SUM(O173:R173)</x:f>
        <x:v>96</x:v>
      </x:c>
      <x:c r="G173" s="11" t="n">
        <x:v>96</x:v>
      </x:c>
      <x:c r="H173" s="11" t="n">
        <x:f>O173+P173</x:f>
        <x:v>57</x:v>
      </x:c>
      <x:c r="I173" s="12" t="n">
        <x:f>IF(F173=0,"",H173/F173)</x:f>
        <x:v>0.59375</x:v>
      </x:c>
      <x:c r="J173" s="12" t="n">
        <x:f>IF(F173=0,"",(O173+R173)/F173)</x:f>
        <x:v>0.75</x:v>
      </x:c>
      <x:c r="K173" s="12" t="n">
        <x:f>IF(H173=0,"",O173/H173)</x:f>
        <x:v>0.8596491228070176</x:v>
      </x:c>
      <x:c r="L173" s="12" t="n">
        <x:f>IF(O173+Q173=0,"",O173/(O173+Q173))</x:f>
        <x:v>0.7538461538461538</x:v>
      </x:c>
      <x:c r="M173" s="12" t="n">
        <x:f>IF(2*O173+P173+Q173=0,"",2*O173/(2*O173+P173+Q173))</x:f>
        <x:v>0.8032786885245902</x:v>
      </x:c>
      <x:c r="N173" s="12" t="n">
        <x:f>IF(OR(O173+Q173=0,R173+P173=0),"",(L173+R173/(R173+P173))/2)</x:f>
        <x:v>0.7478908188585608</x:v>
      </x:c>
      <x:c r="O173" s="11" t="n">
        <x:v>49</x:v>
      </x:c>
      <x:c r="P173" s="11" t="n">
        <x:v>8</x:v>
      </x:c>
      <x:c r="Q173" s="11" t="n">
        <x:v>16</x:v>
      </x:c>
      <x:c r="R173" s="11" t="n">
        <x:v>23</x:v>
      </x:c>
    </x:row>
    <x:row r="174" ht="26" customHeight="1">
      <x:c r="A174" s="13" t="n">
        <x:v>46143</x:v>
      </x:c>
      <x:c r="B174" s="9" t="str">
        <x:v>全部候选</x:v>
      </x:c>
      <x:c r="C174" s="9" t="str">
        <x:v>测试</x:v>
      </x:c>
      <x:c r="D174" s="9" t="str">
        <x:v>Top3</x:v>
      </x:c>
      <x:c r="E174" s="9" t="str">
        <x:v>不判形态</x:v>
      </x:c>
      <x:c r="F174" s="11" t="n">
        <x:f>SUM(O174:R174)</x:f>
        <x:v>54</x:v>
      </x:c>
      <x:c r="G174" s="11" t="n">
        <x:v>54</x:v>
      </x:c>
      <x:c r="H174" s="11" t="n">
        <x:f>O174+P174</x:f>
        <x:v>54</x:v>
      </x:c>
      <x:c r="I174" s="12" t="n">
        <x:f>IF(F174=0,"",H174/F174)</x:f>
        <x:v>1</x:v>
      </x:c>
      <x:c r="J174" s="12" t="n">
        <x:f>IF(F174=0,"",(O174+R174)/F174)</x:f>
        <x:v>0.5185185185185185</x:v>
      </x:c>
      <x:c r="K174" s="12" t="n">
        <x:f>IF(H174=0,"",O174/H174)</x:f>
        <x:v>0.5185185185185185</x:v>
      </x:c>
      <x:c r="L174" s="12" t="n">
        <x:f>IF(O174+Q174=0,"",O174/(O174+Q174))</x:f>
        <x:v>1</x:v>
      </x:c>
      <x:c r="M174" s="12" t="n">
        <x:f>IF(2*O174+P174+Q174=0,"",2*O174/(2*O174+P174+Q174))</x:f>
        <x:v>0.6829268292682927</x:v>
      </x:c>
      <x:c r="N174" s="12" t="n">
        <x:f>IF(OR(O174+Q174=0,R174+P174=0),"",(L174+R174/(R174+P174))/2)</x:f>
        <x:v>0.5</x:v>
      </x:c>
      <x:c r="O174" s="11" t="n">
        <x:v>28</x:v>
      </x:c>
      <x:c r="P174" s="11" t="n">
        <x:v>26</x:v>
      </x:c>
      <x:c r="Q174" s="11" t="n">
        <x:v>0</x:v>
      </x:c>
      <x:c r="R174" s="11" t="n">
        <x:v>0</x:v>
      </x:c>
    </x:row>
    <x:row r="175" ht="26" customHeight="1">
      <x:c r="A175" s="13" t="n">
        <x:v>46143</x:v>
      </x:c>
      <x:c r="B175" s="9" t="str">
        <x:v>全部候选</x:v>
      </x:c>
      <x:c r="C175" s="9" t="str">
        <x:v>测试</x:v>
      </x:c>
      <x:c r="D175" s="9" t="str">
        <x:v>Top3</x:v>
      </x:c>
      <x:c r="E175" s="9" t="str">
        <x:v>五K原规则</x:v>
      </x:c>
      <x:c r="F175" s="11" t="n">
        <x:f>SUM(O175:R175)</x:f>
        <x:v>54</x:v>
      </x:c>
      <x:c r="G175" s="11" t="n">
        <x:v>54</x:v>
      </x:c>
      <x:c r="H175" s="11" t="n">
        <x:f>O175+P175</x:f>
        <x:v>54</x:v>
      </x:c>
      <x:c r="I175" s="12" t="n">
        <x:f>IF(F175=0,"",H175/F175)</x:f>
        <x:v>1</x:v>
      </x:c>
      <x:c r="J175" s="12" t="n">
        <x:f>IF(F175=0,"",(O175+R175)/F175)</x:f>
        <x:v>0.5185185185185185</x:v>
      </x:c>
      <x:c r="K175" s="12" t="n">
        <x:f>IF(H175=0,"",O175/H175)</x:f>
        <x:v>0.5185185185185185</x:v>
      </x:c>
      <x:c r="L175" s="12" t="n">
        <x:f>IF(O175+Q175=0,"",O175/(O175+Q175))</x:f>
        <x:v>1</x:v>
      </x:c>
      <x:c r="M175" s="12" t="n">
        <x:f>IF(2*O175+P175+Q175=0,"",2*O175/(2*O175+P175+Q175))</x:f>
        <x:v>0.6829268292682927</x:v>
      </x:c>
      <x:c r="N175" s="12" t="n">
        <x:f>IF(OR(O175+Q175=0,R175+P175=0),"",(L175+R175/(R175+P175))/2)</x:f>
        <x:v>0.5</x:v>
      </x:c>
      <x:c r="O175" s="11" t="n">
        <x:v>28</x:v>
      </x:c>
      <x:c r="P175" s="11" t="n">
        <x:v>26</x:v>
      </x:c>
      <x:c r="Q175" s="11" t="n">
        <x:v>0</x:v>
      </x:c>
      <x:c r="R175" s="11" t="n">
        <x:v>0</x:v>
      </x:c>
    </x:row>
    <x:row r="176" ht="26" customHeight="1">
      <x:c r="A176" s="13" t="n">
        <x:v>46143</x:v>
      </x:c>
      <x:c r="B176" s="9" t="str">
        <x:v>全部候选</x:v>
      </x:c>
      <x:c r="C176" s="9" t="str">
        <x:v>测试</x:v>
      </x:c>
      <x:c r="D176" s="9" t="str">
        <x:v>Top3</x:v>
      </x:c>
      <x:c r="E176" s="9" t="str">
        <x:v>四K沿用门槛</x:v>
      </x:c>
      <x:c r="F176" s="11" t="n">
        <x:f>SUM(O176:R176)</x:f>
        <x:v>54</x:v>
      </x:c>
      <x:c r="G176" s="11" t="n">
        <x:v>54</x:v>
      </x:c>
      <x:c r="H176" s="11" t="n">
        <x:f>O176+P176</x:f>
        <x:v>54</x:v>
      </x:c>
      <x:c r="I176" s="12" t="n">
        <x:f>IF(F176=0,"",H176/F176)</x:f>
        <x:v>1</x:v>
      </x:c>
      <x:c r="J176" s="12" t="n">
        <x:f>IF(F176=0,"",(O176+R176)/F176)</x:f>
        <x:v>0.5185185185185185</x:v>
      </x:c>
      <x:c r="K176" s="12" t="n">
        <x:f>IF(H176=0,"",O176/H176)</x:f>
        <x:v>0.5185185185185185</x:v>
      </x:c>
      <x:c r="L176" s="12" t="n">
        <x:f>IF(O176+Q176=0,"",O176/(O176+Q176))</x:f>
        <x:v>1</x:v>
      </x:c>
      <x:c r="M176" s="12" t="n">
        <x:f>IF(2*O176+P176+Q176=0,"",2*O176/(2*O176+P176+Q176))</x:f>
        <x:v>0.6829268292682927</x:v>
      </x:c>
      <x:c r="N176" s="12" t="n">
        <x:f>IF(OR(O176+Q176=0,R176+P176=0),"",(L176+R176/(R176+P176))/2)</x:f>
        <x:v>0.5</x:v>
      </x:c>
      <x:c r="O176" s="11" t="n">
        <x:v>28</x:v>
      </x:c>
      <x:c r="P176" s="11" t="n">
        <x:v>26</x:v>
      </x:c>
      <x:c r="Q176" s="11" t="n">
        <x:v>0</x:v>
      </x:c>
      <x:c r="R176" s="11" t="n">
        <x:v>0</x:v>
      </x:c>
    </x:row>
    <x:row r="177" ht="26" customHeight="1">
      <x:c r="A177" s="13" t="n">
        <x:v>46143</x:v>
      </x:c>
      <x:c r="B177" s="9" t="str">
        <x:v>全部候选</x:v>
      </x:c>
      <x:c r="C177" s="9" t="str">
        <x:v>测试</x:v>
      </x:c>
      <x:c r="D177" s="9" t="str">
        <x:v>Top3</x:v>
      </x:c>
      <x:c r="E177" s="9" t="str">
        <x:v>四K重选规则</x:v>
      </x:c>
      <x:c r="F177" s="11" t="n">
        <x:f>SUM(O177:R177)</x:f>
        <x:v>54</x:v>
      </x:c>
      <x:c r="G177" s="11" t="n">
        <x:v>54</x:v>
      </x:c>
      <x:c r="H177" s="11" t="n">
        <x:f>O177+P177</x:f>
        <x:v>54</x:v>
      </x:c>
      <x:c r="I177" s="12" t="n">
        <x:f>IF(F177=0,"",H177/F177)</x:f>
        <x:v>1</x:v>
      </x:c>
      <x:c r="J177" s="12" t="n">
        <x:f>IF(F177=0,"",(O177+R177)/F177)</x:f>
        <x:v>0.5185185185185185</x:v>
      </x:c>
      <x:c r="K177" s="12" t="n">
        <x:f>IF(H177=0,"",O177/H177)</x:f>
        <x:v>0.5185185185185185</x:v>
      </x:c>
      <x:c r="L177" s="12" t="n">
        <x:f>IF(O177+Q177=0,"",O177/(O177+Q177))</x:f>
        <x:v>1</x:v>
      </x:c>
      <x:c r="M177" s="12" t="n">
        <x:f>IF(2*O177+P177+Q177=0,"",2*O177/(2*O177+P177+Q177))</x:f>
        <x:v>0.6829268292682927</x:v>
      </x:c>
      <x:c r="N177" s="12" t="n">
        <x:f>IF(OR(O177+Q177=0,R177+P177=0),"",(L177+R177/(R177+P177))/2)</x:f>
        <x:v>0.5</x:v>
      </x:c>
      <x:c r="O177" s="11" t="n">
        <x:v>28</x:v>
      </x:c>
      <x:c r="P177" s="11" t="n">
        <x:v>26</x:v>
      </x:c>
      <x:c r="Q177" s="11" t="n">
        <x:v>0</x:v>
      </x:c>
      <x:c r="R177" s="11" t="n">
        <x:v>0</x:v>
      </x:c>
    </x:row>
    <x:row r="178" ht="26" customHeight="1">
      <x:c r="A178" s="13" t="n">
        <x:v>46143</x:v>
      </x:c>
      <x:c r="B178" s="9" t="str">
        <x:v>全部候选</x:v>
      </x:c>
      <x:c r="C178" s="9" t="str">
        <x:v>训练窗口</x:v>
      </x:c>
      <x:c r="D178" s="9" t="str">
        <x:v>Top3</x:v>
      </x:c>
      <x:c r="E178" s="9" t="str">
        <x:v>不判形态</x:v>
      </x:c>
      <x:c r="F178" s="11" t="n">
        <x:f>SUM(O178:R178)</x:f>
        <x:v>334</x:v>
      </x:c>
      <x:c r="G178" s="11" t="n">
        <x:v>334</x:v>
      </x:c>
      <x:c r="H178" s="11" t="n">
        <x:f>O178+P178</x:f>
        <x:v>334</x:v>
      </x:c>
      <x:c r="I178" s="12" t="n">
        <x:f>IF(F178=0,"",H178/F178)</x:f>
        <x:v>1</x:v>
      </x:c>
      <x:c r="J178" s="12" t="n">
        <x:f>IF(F178=0,"",(O178+R178)/F178)</x:f>
        <x:v>0.6497005988023952</x:v>
      </x:c>
      <x:c r="K178" s="12" t="n">
        <x:f>IF(H178=0,"",O178/H178)</x:f>
        <x:v>0.6497005988023952</x:v>
      </x:c>
      <x:c r="L178" s="12" t="n">
        <x:f>IF(O178+Q178=0,"",O178/(O178+Q178))</x:f>
        <x:v>1</x:v>
      </x:c>
      <x:c r="M178" s="12" t="n">
        <x:f>IF(2*O178+P178+Q178=0,"",2*O178/(2*O178+P178+Q178))</x:f>
        <x:v>0.7876588021778584</x:v>
      </x:c>
      <x:c r="N178" s="12" t="n">
        <x:f>IF(OR(O178+Q178=0,R178+P178=0),"",(L178+R178/(R178+P178))/2)</x:f>
        <x:v>0.5</x:v>
      </x:c>
      <x:c r="O178" s="11" t="n">
        <x:v>217</x:v>
      </x:c>
      <x:c r="P178" s="11" t="n">
        <x:v>117</x:v>
      </x:c>
      <x:c r="Q178" s="11" t="n">
        <x:v>0</x:v>
      </x:c>
      <x:c r="R178" s="11" t="n">
        <x:v>0</x:v>
      </x:c>
    </x:row>
    <x:row r="179" ht="26" customHeight="1">
      <x:c r="A179" s="13" t="n">
        <x:v>46143</x:v>
      </x:c>
      <x:c r="B179" s="9" t="str">
        <x:v>全部候选</x:v>
      </x:c>
      <x:c r="C179" s="9" t="str">
        <x:v>训练窗口</x:v>
      </x:c>
      <x:c r="D179" s="9" t="str">
        <x:v>Top3</x:v>
      </x:c>
      <x:c r="E179" s="9" t="str">
        <x:v>五K原规则</x:v>
      </x:c>
      <x:c r="F179" s="11" t="n">
        <x:f>SUM(O179:R179)</x:f>
        <x:v>334</x:v>
      </x:c>
      <x:c r="G179" s="11" t="n">
        <x:v>334</x:v>
      </x:c>
      <x:c r="H179" s="11" t="n">
        <x:f>O179+P179</x:f>
        <x:v>334</x:v>
      </x:c>
      <x:c r="I179" s="12" t="n">
        <x:f>IF(F179=0,"",H179/F179)</x:f>
        <x:v>1</x:v>
      </x:c>
      <x:c r="J179" s="12" t="n">
        <x:f>IF(F179=0,"",(O179+R179)/F179)</x:f>
        <x:v>0.6497005988023952</x:v>
      </x:c>
      <x:c r="K179" s="12" t="n">
        <x:f>IF(H179=0,"",O179/H179)</x:f>
        <x:v>0.6497005988023952</x:v>
      </x:c>
      <x:c r="L179" s="12" t="n">
        <x:f>IF(O179+Q179=0,"",O179/(O179+Q179))</x:f>
        <x:v>1</x:v>
      </x:c>
      <x:c r="M179" s="12" t="n">
        <x:f>IF(2*O179+P179+Q179=0,"",2*O179/(2*O179+P179+Q179))</x:f>
        <x:v>0.7876588021778584</x:v>
      </x:c>
      <x:c r="N179" s="12" t="n">
        <x:f>IF(OR(O179+Q179=0,R179+P179=0),"",(L179+R179/(R179+P179))/2)</x:f>
        <x:v>0.5</x:v>
      </x:c>
      <x:c r="O179" s="11" t="n">
        <x:v>217</x:v>
      </x:c>
      <x:c r="P179" s="11" t="n">
        <x:v>117</x:v>
      </x:c>
      <x:c r="Q179" s="11" t="n">
        <x:v>0</x:v>
      </x:c>
      <x:c r="R179" s="11" t="n">
        <x:v>0</x:v>
      </x:c>
    </x:row>
    <x:row r="180" ht="26" customHeight="1">
      <x:c r="A180" s="13" t="n">
        <x:v>46143</x:v>
      </x:c>
      <x:c r="B180" s="9" t="str">
        <x:v>全部候选</x:v>
      </x:c>
      <x:c r="C180" s="9" t="str">
        <x:v>训练窗口</x:v>
      </x:c>
      <x:c r="D180" s="9" t="str">
        <x:v>Top3</x:v>
      </x:c>
      <x:c r="E180" s="9" t="str">
        <x:v>四K沿用门槛</x:v>
      </x:c>
      <x:c r="F180" s="11" t="n">
        <x:f>SUM(O180:R180)</x:f>
        <x:v>334</x:v>
      </x:c>
      <x:c r="G180" s="11" t="n">
        <x:v>334</x:v>
      </x:c>
      <x:c r="H180" s="11" t="n">
        <x:f>O180+P180</x:f>
        <x:v>334</x:v>
      </x:c>
      <x:c r="I180" s="12" t="n">
        <x:f>IF(F180=0,"",H180/F180)</x:f>
        <x:v>1</x:v>
      </x:c>
      <x:c r="J180" s="12" t="n">
        <x:f>IF(F180=0,"",(O180+R180)/F180)</x:f>
        <x:v>0.6497005988023952</x:v>
      </x:c>
      <x:c r="K180" s="12" t="n">
        <x:f>IF(H180=0,"",O180/H180)</x:f>
        <x:v>0.6497005988023952</x:v>
      </x:c>
      <x:c r="L180" s="12" t="n">
        <x:f>IF(O180+Q180=0,"",O180/(O180+Q180))</x:f>
        <x:v>1</x:v>
      </x:c>
      <x:c r="M180" s="12" t="n">
        <x:f>IF(2*O180+P180+Q180=0,"",2*O180/(2*O180+P180+Q180))</x:f>
        <x:v>0.7876588021778584</x:v>
      </x:c>
      <x:c r="N180" s="12" t="n">
        <x:f>IF(OR(O180+Q180=0,R180+P180=0),"",(L180+R180/(R180+P180))/2)</x:f>
        <x:v>0.5</x:v>
      </x:c>
      <x:c r="O180" s="11" t="n">
        <x:v>217</x:v>
      </x:c>
      <x:c r="P180" s="11" t="n">
        <x:v>117</x:v>
      </x:c>
      <x:c r="Q180" s="11" t="n">
        <x:v>0</x:v>
      </x:c>
      <x:c r="R180" s="11" t="n">
        <x:v>0</x:v>
      </x:c>
    </x:row>
    <x:row r="181" ht="26" customHeight="1">
      <x:c r="A181" s="13" t="n">
        <x:v>46143</x:v>
      </x:c>
      <x:c r="B181" s="9" t="str">
        <x:v>全部候选</x:v>
      </x:c>
      <x:c r="C181" s="9" t="str">
        <x:v>训练窗口</x:v>
      </x:c>
      <x:c r="D181" s="9" t="str">
        <x:v>Top3</x:v>
      </x:c>
      <x:c r="E181" s="9" t="str">
        <x:v>四K重选规则</x:v>
      </x:c>
      <x:c r="F181" s="11" t="n">
        <x:f>SUM(O181:R181)</x:f>
        <x:v>334</x:v>
      </x:c>
      <x:c r="G181" s="11" t="n">
        <x:v>334</x:v>
      </x:c>
      <x:c r="H181" s="11" t="n">
        <x:f>O181+P181</x:f>
        <x:v>334</x:v>
      </x:c>
      <x:c r="I181" s="12" t="n">
        <x:f>IF(F181=0,"",H181/F181)</x:f>
        <x:v>1</x:v>
      </x:c>
      <x:c r="J181" s="12" t="n">
        <x:f>IF(F181=0,"",(O181+R181)/F181)</x:f>
        <x:v>0.6497005988023952</x:v>
      </x:c>
      <x:c r="K181" s="12" t="n">
        <x:f>IF(H181=0,"",O181/H181)</x:f>
        <x:v>0.6497005988023952</x:v>
      </x:c>
      <x:c r="L181" s="12" t="n">
        <x:f>IF(O181+Q181=0,"",O181/(O181+Q181))</x:f>
        <x:v>1</x:v>
      </x:c>
      <x:c r="M181" s="12" t="n">
        <x:f>IF(2*O181+P181+Q181=0,"",2*O181/(2*O181+P181+Q181))</x:f>
        <x:v>0.7876588021778584</x:v>
      </x:c>
      <x:c r="N181" s="12" t="n">
        <x:f>IF(OR(O181+Q181=0,R181+P181=0),"",(L181+R181/(R181+P181))/2)</x:f>
        <x:v>0.5</x:v>
      </x:c>
      <x:c r="O181" s="11" t="n">
        <x:v>217</x:v>
      </x:c>
      <x:c r="P181" s="11" t="n">
        <x:v>117</x:v>
      </x:c>
      <x:c r="Q181" s="11" t="n">
        <x:v>0</x:v>
      </x:c>
      <x:c r="R181" s="11" t="n">
        <x:v>0</x:v>
      </x:c>
    </x:row>
    <x:row r="182" ht="26" customHeight="1">
      <x:c r="A182" s="13" t="n">
        <x:v>46143</x:v>
      </x:c>
      <x:c r="B182" s="9" t="str">
        <x:v>全部候选</x:v>
      </x:c>
      <x:c r="C182" s="9" t="str">
        <x:v>验证窗口</x:v>
      </x:c>
      <x:c r="D182" s="9" t="str">
        <x:v>Top3</x:v>
      </x:c>
      <x:c r="E182" s="9" t="str">
        <x:v>不判形态</x:v>
      </x:c>
      <x:c r="F182" s="11" t="n">
        <x:f>SUM(O182:R182)</x:f>
        <x:v>117</x:v>
      </x:c>
      <x:c r="G182" s="11" t="n">
        <x:v>117</x:v>
      </x:c>
      <x:c r="H182" s="11" t="n">
        <x:f>O182+P182</x:f>
        <x:v>117</x:v>
      </x:c>
      <x:c r="I182" s="12" t="n">
        <x:f>IF(F182=0,"",H182/F182)</x:f>
        <x:v>1</x:v>
      </x:c>
      <x:c r="J182" s="12" t="n">
        <x:f>IF(F182=0,"",(O182+R182)/F182)</x:f>
        <x:v>0.6068376068376068</x:v>
      </x:c>
      <x:c r="K182" s="12" t="n">
        <x:f>IF(H182=0,"",O182/H182)</x:f>
        <x:v>0.6068376068376068</x:v>
      </x:c>
      <x:c r="L182" s="12" t="n">
        <x:f>IF(O182+Q182=0,"",O182/(O182+Q182))</x:f>
        <x:v>1</x:v>
      </x:c>
      <x:c r="M182" s="12" t="n">
        <x:f>IF(2*O182+P182+Q182=0,"",2*O182/(2*O182+P182+Q182))</x:f>
        <x:v>0.7553191489361702</x:v>
      </x:c>
      <x:c r="N182" s="12" t="n">
        <x:f>IF(OR(O182+Q182=0,R182+P182=0),"",(L182+R182/(R182+P182))/2)</x:f>
        <x:v>0.5</x:v>
      </x:c>
      <x:c r="O182" s="11" t="n">
        <x:v>71</x:v>
      </x:c>
      <x:c r="P182" s="11" t="n">
        <x:v>46</x:v>
      </x:c>
      <x:c r="Q182" s="11" t="n">
        <x:v>0</x:v>
      </x:c>
      <x:c r="R182" s="11" t="n">
        <x:v>0</x:v>
      </x:c>
    </x:row>
    <x:row r="183" ht="26" customHeight="1">
      <x:c r="A183" s="13" t="n">
        <x:v>46143</x:v>
      </x:c>
      <x:c r="B183" s="9" t="str">
        <x:v>全部候选</x:v>
      </x:c>
      <x:c r="C183" s="9" t="str">
        <x:v>验证窗口</x:v>
      </x:c>
      <x:c r="D183" s="9" t="str">
        <x:v>Top3</x:v>
      </x:c>
      <x:c r="E183" s="9" t="str">
        <x:v>五K原规则</x:v>
      </x:c>
      <x:c r="F183" s="11" t="n">
        <x:f>SUM(O183:R183)</x:f>
        <x:v>117</x:v>
      </x:c>
      <x:c r="G183" s="11" t="n">
        <x:v>117</x:v>
      </x:c>
      <x:c r="H183" s="11" t="n">
        <x:f>O183+P183</x:f>
        <x:v>117</x:v>
      </x:c>
      <x:c r="I183" s="12" t="n">
        <x:f>IF(F183=0,"",H183/F183)</x:f>
        <x:v>1</x:v>
      </x:c>
      <x:c r="J183" s="12" t="n">
        <x:f>IF(F183=0,"",(O183+R183)/F183)</x:f>
        <x:v>0.6068376068376068</x:v>
      </x:c>
      <x:c r="K183" s="12" t="n">
        <x:f>IF(H183=0,"",O183/H183)</x:f>
        <x:v>0.6068376068376068</x:v>
      </x:c>
      <x:c r="L183" s="12" t="n">
        <x:f>IF(O183+Q183=0,"",O183/(O183+Q183))</x:f>
        <x:v>1</x:v>
      </x:c>
      <x:c r="M183" s="12" t="n">
        <x:f>IF(2*O183+P183+Q183=0,"",2*O183/(2*O183+P183+Q183))</x:f>
        <x:v>0.7553191489361702</x:v>
      </x:c>
      <x:c r="N183" s="12" t="n">
        <x:f>IF(OR(O183+Q183=0,R183+P183=0),"",(L183+R183/(R183+P183))/2)</x:f>
        <x:v>0.5</x:v>
      </x:c>
      <x:c r="O183" s="11" t="n">
        <x:v>71</x:v>
      </x:c>
      <x:c r="P183" s="11" t="n">
        <x:v>46</x:v>
      </x:c>
      <x:c r="Q183" s="11" t="n">
        <x:v>0</x:v>
      </x:c>
      <x:c r="R183" s="11" t="n">
        <x:v>0</x:v>
      </x:c>
    </x:row>
    <x:row r="184" ht="26" customHeight="1">
      <x:c r="A184" s="13" t="n">
        <x:v>46143</x:v>
      </x:c>
      <x:c r="B184" s="9" t="str">
        <x:v>全部候选</x:v>
      </x:c>
      <x:c r="C184" s="9" t="str">
        <x:v>验证窗口</x:v>
      </x:c>
      <x:c r="D184" s="9" t="str">
        <x:v>Top3</x:v>
      </x:c>
      <x:c r="E184" s="9" t="str">
        <x:v>四K沿用门槛</x:v>
      </x:c>
      <x:c r="F184" s="11" t="n">
        <x:f>SUM(O184:R184)</x:f>
        <x:v>117</x:v>
      </x:c>
      <x:c r="G184" s="11" t="n">
        <x:v>117</x:v>
      </x:c>
      <x:c r="H184" s="11" t="n">
        <x:f>O184+P184</x:f>
        <x:v>117</x:v>
      </x:c>
      <x:c r="I184" s="12" t="n">
        <x:f>IF(F184=0,"",H184/F184)</x:f>
        <x:v>1</x:v>
      </x:c>
      <x:c r="J184" s="12" t="n">
        <x:f>IF(F184=0,"",(O184+R184)/F184)</x:f>
        <x:v>0.6068376068376068</x:v>
      </x:c>
      <x:c r="K184" s="12" t="n">
        <x:f>IF(H184=0,"",O184/H184)</x:f>
        <x:v>0.6068376068376068</x:v>
      </x:c>
      <x:c r="L184" s="12" t="n">
        <x:f>IF(O184+Q184=0,"",O184/(O184+Q184))</x:f>
        <x:v>1</x:v>
      </x:c>
      <x:c r="M184" s="12" t="n">
        <x:f>IF(2*O184+P184+Q184=0,"",2*O184/(2*O184+P184+Q184))</x:f>
        <x:v>0.7553191489361702</x:v>
      </x:c>
      <x:c r="N184" s="12" t="n">
        <x:f>IF(OR(O184+Q184=0,R184+P184=0),"",(L184+R184/(R184+P184))/2)</x:f>
        <x:v>0.5</x:v>
      </x:c>
      <x:c r="O184" s="11" t="n">
        <x:v>71</x:v>
      </x:c>
      <x:c r="P184" s="11" t="n">
        <x:v>46</x:v>
      </x:c>
      <x:c r="Q184" s="11" t="n">
        <x:v>0</x:v>
      </x:c>
      <x:c r="R184" s="11" t="n">
        <x:v>0</x:v>
      </x:c>
    </x:row>
    <x:row r="185" ht="26" customHeight="1">
      <x:c r="A185" s="13" t="n">
        <x:v>46143</x:v>
      </x:c>
      <x:c r="B185" s="9" t="str">
        <x:v>全部候选</x:v>
      </x:c>
      <x:c r="C185" s="9" t="str">
        <x:v>验证窗口</x:v>
      </x:c>
      <x:c r="D185" s="9" t="str">
        <x:v>Top3</x:v>
      </x:c>
      <x:c r="E185" s="9" t="str">
        <x:v>四K重选规则</x:v>
      </x:c>
      <x:c r="F185" s="11" t="n">
        <x:f>SUM(O185:R185)</x:f>
        <x:v>117</x:v>
      </x:c>
      <x:c r="G185" s="11" t="n">
        <x:v>117</x:v>
      </x:c>
      <x:c r="H185" s="11" t="n">
        <x:f>O185+P185</x:f>
        <x:v>117</x:v>
      </x:c>
      <x:c r="I185" s="12" t="n">
        <x:f>IF(F185=0,"",H185/F185)</x:f>
        <x:v>1</x:v>
      </x:c>
      <x:c r="J185" s="12" t="n">
        <x:f>IF(F185=0,"",(O185+R185)/F185)</x:f>
        <x:v>0.6068376068376068</x:v>
      </x:c>
      <x:c r="K185" s="12" t="n">
        <x:f>IF(H185=0,"",O185/H185)</x:f>
        <x:v>0.6068376068376068</x:v>
      </x:c>
      <x:c r="L185" s="12" t="n">
        <x:f>IF(O185+Q185=0,"",O185/(O185+Q185))</x:f>
        <x:v>1</x:v>
      </x:c>
      <x:c r="M185" s="12" t="n">
        <x:f>IF(2*O185+P185+Q185=0,"",2*O185/(2*O185+P185+Q185))</x:f>
        <x:v>0.7553191489361702</x:v>
      </x:c>
      <x:c r="N185" s="12" t="n">
        <x:f>IF(OR(O185+Q185=0,R185+P185=0),"",(L185+R185/(R185+P185))/2)</x:f>
        <x:v>0.5</x:v>
      </x:c>
      <x:c r="O185" s="11" t="n">
        <x:v>71</x:v>
      </x:c>
      <x:c r="P185" s="11" t="n">
        <x:v>46</x:v>
      </x:c>
      <x:c r="Q185" s="11" t="n">
        <x:v>0</x:v>
      </x:c>
      <x:c r="R185" s="11" t="n">
        <x:v>0</x:v>
      </x:c>
    </x:row>
    <x:row r="186" ht="26" customHeight="1">
      <x:c r="A186" s="13" t="n">
        <x:v>46174</x:v>
      </x:c>
      <x:c r="B186" s="9" t="str">
        <x:v>全部候选</x:v>
      </x:c>
      <x:c r="C186" s="9" t="str">
        <x:v>测试</x:v>
      </x:c>
      <x:c r="D186" s="9" t="str">
        <x:v>Top3</x:v>
      </x:c>
      <x:c r="E186" s="9" t="str">
        <x:v>不判形态</x:v>
      </x:c>
      <x:c r="F186" s="11" t="n">
        <x:f>SUM(O186:R186)</x:f>
        <x:v>62</x:v>
      </x:c>
      <x:c r="G186" s="11" t="n">
        <x:v>62</x:v>
      </x:c>
      <x:c r="H186" s="11" t="n">
        <x:f>O186+P186</x:f>
        <x:v>62</x:v>
      </x:c>
      <x:c r="I186" s="12" t="n">
        <x:f>IF(F186=0,"",H186/F186)</x:f>
        <x:v>1</x:v>
      </x:c>
      <x:c r="J186" s="12" t="n">
        <x:f>IF(F186=0,"",(O186+R186)/F186)</x:f>
        <x:v>0.532258064516129</x:v>
      </x:c>
      <x:c r="K186" s="12" t="n">
        <x:f>IF(H186=0,"",O186/H186)</x:f>
        <x:v>0.532258064516129</x:v>
      </x:c>
      <x:c r="L186" s="12" t="n">
        <x:f>IF(O186+Q186=0,"",O186/(O186+Q186))</x:f>
        <x:v>1</x:v>
      </x:c>
      <x:c r="M186" s="12" t="n">
        <x:f>IF(2*O186+P186+Q186=0,"",2*O186/(2*O186+P186+Q186))</x:f>
        <x:v>0.6947368421052632</x:v>
      </x:c>
      <x:c r="N186" s="12" t="n">
        <x:f>IF(OR(O186+Q186=0,R186+P186=0),"",(L186+R186/(R186+P186))/2)</x:f>
        <x:v>0.5</x:v>
      </x:c>
      <x:c r="O186" s="11" t="n">
        <x:v>33</x:v>
      </x:c>
      <x:c r="P186" s="11" t="n">
        <x:v>29</x:v>
      </x:c>
      <x:c r="Q186" s="11" t="n">
        <x:v>0</x:v>
      </x:c>
      <x:c r="R186" s="11" t="n">
        <x:v>0</x:v>
      </x:c>
    </x:row>
    <x:row r="187" ht="26" customHeight="1">
      <x:c r="A187" s="13" t="n">
        <x:v>46174</x:v>
      </x:c>
      <x:c r="B187" s="9" t="str">
        <x:v>全部候选</x:v>
      </x:c>
      <x:c r="C187" s="9" t="str">
        <x:v>测试</x:v>
      </x:c>
      <x:c r="D187" s="9" t="str">
        <x:v>Top3</x:v>
      </x:c>
      <x:c r="E187" s="9" t="str">
        <x:v>五K原规则</x:v>
      </x:c>
      <x:c r="F187" s="11" t="n">
        <x:f>SUM(O187:R187)</x:f>
        <x:v>62</x:v>
      </x:c>
      <x:c r="G187" s="11" t="n">
        <x:v>62</x:v>
      </x:c>
      <x:c r="H187" s="11" t="n">
        <x:f>O187+P187</x:f>
        <x:v>36</x:v>
      </x:c>
      <x:c r="I187" s="12" t="n">
        <x:f>IF(F187=0,"",H187/F187)</x:f>
        <x:v>0.5806451612903226</x:v>
      </x:c>
      <x:c r="J187" s="12" t="n">
        <x:f>IF(F187=0,"",(O187+R187)/F187)</x:f>
        <x:v>0.7903225806451613</x:v>
      </x:c>
      <x:c r="K187" s="12" t="n">
        <x:f>IF(H187=0,"",O187/H187)</x:f>
        <x:v>0.7777777777777778</x:v>
      </x:c>
      <x:c r="L187" s="12" t="n">
        <x:f>IF(O187+Q187=0,"",O187/(O187+Q187))</x:f>
        <x:v>0.8484848484848485</x:v>
      </x:c>
      <x:c r="M187" s="12" t="n">
        <x:f>IF(2*O187+P187+Q187=0,"",2*O187/(2*O187+P187+Q187))</x:f>
        <x:v>0.8115942028985508</x:v>
      </x:c>
      <x:c r="N187" s="12" t="n">
        <x:f>IF(OR(O187+Q187=0,R187+P187=0),"",(L187+R187/(R187+P187))/2)</x:f>
        <x:v>0.7863113897596656</x:v>
      </x:c>
      <x:c r="O187" s="11" t="n">
        <x:v>28</x:v>
      </x:c>
      <x:c r="P187" s="11" t="n">
        <x:v>8</x:v>
      </x:c>
      <x:c r="Q187" s="11" t="n">
        <x:v>5</x:v>
      </x:c>
      <x:c r="R187" s="11" t="n">
        <x:v>21</x:v>
      </x:c>
    </x:row>
    <x:row r="188" ht="26" customHeight="1">
      <x:c r="A188" s="13" t="n">
        <x:v>46174</x:v>
      </x:c>
      <x:c r="B188" s="9" t="str">
        <x:v>全部候选</x:v>
      </x:c>
      <x:c r="C188" s="9" t="str">
        <x:v>测试</x:v>
      </x:c>
      <x:c r="D188" s="9" t="str">
        <x:v>Top3</x:v>
      </x:c>
      <x:c r="E188" s="9" t="str">
        <x:v>四K沿用门槛</x:v>
      </x:c>
      <x:c r="F188" s="11" t="n">
        <x:f>SUM(O188:R188)</x:f>
        <x:v>62</x:v>
      </x:c>
      <x:c r="G188" s="11" t="n">
        <x:v>62</x:v>
      </x:c>
      <x:c r="H188" s="11" t="n">
        <x:f>O188+P188</x:f>
        <x:v>37</x:v>
      </x:c>
      <x:c r="I188" s="12" t="n">
        <x:f>IF(F188=0,"",H188/F188)</x:f>
        <x:v>0.5967741935483871</x:v>
      </x:c>
      <x:c r="J188" s="12" t="n">
        <x:f>IF(F188=0,"",(O188+R188)/F188)</x:f>
        <x:v>0.7419354838709677</x:v>
      </x:c>
      <x:c r="K188" s="12" t="n">
        <x:f>IF(H188=0,"",O188/H188)</x:f>
        <x:v>0.7297297297297297</x:v>
      </x:c>
      <x:c r="L188" s="12" t="n">
        <x:f>IF(O188+Q188=0,"",O188/(O188+Q188))</x:f>
        <x:v>0.8181818181818182</x:v>
      </x:c>
      <x:c r="M188" s="12" t="n">
        <x:f>IF(2*O188+P188+Q188=0,"",2*O188/(2*O188+P188+Q188))</x:f>
        <x:v>0.7714285714285715</x:v>
      </x:c>
      <x:c r="N188" s="12" t="n">
        <x:f>IF(OR(O188+Q188=0,R188+P188=0),"",(L188+R188/(R188+P188))/2)</x:f>
        <x:v>0.7366771159874608</x:v>
      </x:c>
      <x:c r="O188" s="11" t="n">
        <x:v>27</x:v>
      </x:c>
      <x:c r="P188" s="11" t="n">
        <x:v>10</x:v>
      </x:c>
      <x:c r="Q188" s="11" t="n">
        <x:v>6</x:v>
      </x:c>
      <x:c r="R188" s="11" t="n">
        <x:v>19</x:v>
      </x:c>
    </x:row>
    <x:row r="189" ht="26" customHeight="1">
      <x:c r="A189" s="13" t="n">
        <x:v>46174</x:v>
      </x:c>
      <x:c r="B189" s="9" t="str">
        <x:v>全部候选</x:v>
      </x:c>
      <x:c r="C189" s="9" t="str">
        <x:v>测试</x:v>
      </x:c>
      <x:c r="D189" s="9" t="str">
        <x:v>Top3</x:v>
      </x:c>
      <x:c r="E189" s="9" t="str">
        <x:v>四K重选规则</x:v>
      </x:c>
      <x:c r="F189" s="11" t="n">
        <x:f>SUM(O189:R189)</x:f>
        <x:v>62</x:v>
      </x:c>
      <x:c r="G189" s="11" t="n">
        <x:v>62</x:v>
      </x:c>
      <x:c r="H189" s="11" t="n">
        <x:f>O189+P189</x:f>
        <x:v>32</x:v>
      </x:c>
      <x:c r="I189" s="12" t="n">
        <x:f>IF(F189=0,"",H189/F189)</x:f>
        <x:v>0.5161290322580645</x:v>
      </x:c>
      <x:c r="J189" s="12" t="n">
        <x:f>IF(F189=0,"",(O189+R189)/F189)</x:f>
        <x:v>0.7903225806451613</x:v>
      </x:c>
      <x:c r="K189" s="12" t="n">
        <x:f>IF(H189=0,"",O189/H189)</x:f>
        <x:v>0.8125</x:v>
      </x:c>
      <x:c r="L189" s="12" t="n">
        <x:f>IF(O189+Q189=0,"",O189/(O189+Q189))</x:f>
        <x:v>0.7878787878787878</x:v>
      </x:c>
      <x:c r="M189" s="12" t="n">
        <x:f>IF(2*O189+P189+Q189=0,"",2*O189/(2*O189+P189+Q189))</x:f>
        <x:v>0.8</x:v>
      </x:c>
      <x:c r="N189" s="12" t="n">
        <x:f>IF(OR(O189+Q189=0,R189+P189=0),"",(L189+R189/(R189+P189))/2)</x:f>
        <x:v>0.790491118077325</x:v>
      </x:c>
      <x:c r="O189" s="11" t="n">
        <x:v>26</x:v>
      </x:c>
      <x:c r="P189" s="11" t="n">
        <x:v>6</x:v>
      </x:c>
      <x:c r="Q189" s="11" t="n">
        <x:v>7</x:v>
      </x:c>
      <x:c r="R189" s="11" t="n">
        <x:v>23</x:v>
      </x:c>
    </x:row>
    <x:row r="190" ht="26" customHeight="1">
      <x:c r="A190" s="13" t="n">
        <x:v>46174</x:v>
      </x:c>
      <x:c r="B190" s="9" t="str">
        <x:v>全部候选</x:v>
      </x:c>
      <x:c r="C190" s="9" t="str">
        <x:v>训练窗口</x:v>
      </x:c>
      <x:c r="D190" s="9" t="str">
        <x:v>Top3</x:v>
      </x:c>
      <x:c r="E190" s="9" t="str">
        <x:v>不判形态</x:v>
      </x:c>
      <x:c r="F190" s="11" t="n">
        <x:f>SUM(O190:R190)</x:f>
        <x:v>336</x:v>
      </x:c>
      <x:c r="G190" s="11" t="n">
        <x:v>336</x:v>
      </x:c>
      <x:c r="H190" s="11" t="n">
        <x:f>O190+P190</x:f>
        <x:v>336</x:v>
      </x:c>
      <x:c r="I190" s="12" t="n">
        <x:f>IF(F190=0,"",H190/F190)</x:f>
        <x:v>1</x:v>
      </x:c>
      <x:c r="J190" s="12" t="n">
        <x:f>IF(F190=0,"",(O190+R190)/F190)</x:f>
        <x:v>0.6726190476190477</x:v>
      </x:c>
      <x:c r="K190" s="12" t="n">
        <x:f>IF(H190=0,"",O190/H190)</x:f>
        <x:v>0.6726190476190477</x:v>
      </x:c>
      <x:c r="L190" s="12" t="n">
        <x:f>IF(O190+Q190=0,"",O190/(O190+Q190))</x:f>
        <x:v>1</x:v>
      </x:c>
      <x:c r="M190" s="12" t="n">
        <x:f>IF(2*O190+P190+Q190=0,"",2*O190/(2*O190+P190+Q190))</x:f>
        <x:v>0.8042704626334519</x:v>
      </x:c>
      <x:c r="N190" s="12" t="n">
        <x:f>IF(OR(O190+Q190=0,R190+P190=0),"",(L190+R190/(R190+P190))/2)</x:f>
        <x:v>0.5</x:v>
      </x:c>
      <x:c r="O190" s="11" t="n">
        <x:v>226</x:v>
      </x:c>
      <x:c r="P190" s="11" t="n">
        <x:v>110</x:v>
      </x:c>
      <x:c r="Q190" s="11" t="n">
        <x:v>0</x:v>
      </x:c>
      <x:c r="R190" s="11" t="n">
        <x:v>0</x:v>
      </x:c>
    </x:row>
    <x:row r="191" ht="26" customHeight="1">
      <x:c r="A191" s="13" t="n">
        <x:v>46174</x:v>
      </x:c>
      <x:c r="B191" s="9" t="str">
        <x:v>全部候选</x:v>
      </x:c>
      <x:c r="C191" s="9" t="str">
        <x:v>训练窗口</x:v>
      </x:c>
      <x:c r="D191" s="9" t="str">
        <x:v>Top3</x:v>
      </x:c>
      <x:c r="E191" s="9" t="str">
        <x:v>五K原规则</x:v>
      </x:c>
      <x:c r="F191" s="11" t="n">
        <x:f>SUM(O191:R191)</x:f>
        <x:v>336</x:v>
      </x:c>
      <x:c r="G191" s="11" t="n">
        <x:v>336</x:v>
      </x:c>
      <x:c r="H191" s="11" t="n">
        <x:f>O191+P191</x:f>
        <x:v>207</x:v>
      </x:c>
      <x:c r="I191" s="12" t="n">
        <x:f>IF(F191=0,"",H191/F191)</x:f>
        <x:v>0.6160714285714286</x:v>
      </x:c>
      <x:c r="J191" s="12" t="n">
        <x:f>IF(F191=0,"",(O191+R191)/F191)</x:f>
        <x:v>0.7708333333333334</x:v>
      </x:c>
      <x:c r="K191" s="12" t="n">
        <x:f>IF(H191=0,"",O191/H191)</x:f>
        <x:v>0.8599033816425121</x:v>
      </x:c>
      <x:c r="L191" s="12" t="n">
        <x:f>IF(O191+Q191=0,"",O191/(O191+Q191))</x:f>
        <x:v>0.7876106194690266</x:v>
      </x:c>
      <x:c r="M191" s="12" t="n">
        <x:f>IF(2*O191+P191+Q191=0,"",2*O191/(2*O191+P191+Q191))</x:f>
        <x:v>0.8221709006928406</x:v>
      </x:c>
      <x:c r="N191" s="12" t="n">
        <x:f>IF(OR(O191+Q191=0,R191+P191=0),"",(L191+R191/(R191+P191))/2)</x:f>
        <x:v>0.7619871279163315</x:v>
      </x:c>
      <x:c r="O191" s="11" t="n">
        <x:v>178</x:v>
      </x:c>
      <x:c r="P191" s="11" t="n">
        <x:v>29</x:v>
      </x:c>
      <x:c r="Q191" s="11" t="n">
        <x:v>48</x:v>
      </x:c>
      <x:c r="R191" s="11" t="n">
        <x:v>81</x:v>
      </x:c>
    </x:row>
    <x:row r="192" ht="26" customHeight="1">
      <x:c r="A192" s="13" t="n">
        <x:v>46174</x:v>
      </x:c>
      <x:c r="B192" s="9" t="str">
        <x:v>全部候选</x:v>
      </x:c>
      <x:c r="C192" s="9" t="str">
        <x:v>训练窗口</x:v>
      </x:c>
      <x:c r="D192" s="9" t="str">
        <x:v>Top3</x:v>
      </x:c>
      <x:c r="E192" s="9" t="str">
        <x:v>四K沿用门槛</x:v>
      </x:c>
      <x:c r="F192" s="11" t="n">
        <x:f>SUM(O192:R192)</x:f>
        <x:v>336</x:v>
      </x:c>
      <x:c r="G192" s="11" t="n">
        <x:v>336</x:v>
      </x:c>
      <x:c r="H192" s="11" t="n">
        <x:f>O192+P192</x:f>
        <x:v>212</x:v>
      </x:c>
      <x:c r="I192" s="12" t="n">
        <x:f>IF(F192=0,"",H192/F192)</x:f>
        <x:v>0.6309523809523809</x:v>
      </x:c>
      <x:c r="J192" s="12" t="n">
        <x:f>IF(F192=0,"",(O192+R192)/F192)</x:f>
        <x:v>0.7857142857142857</x:v>
      </x:c>
      <x:c r="K192" s="12" t="n">
        <x:f>IF(H192=0,"",O192/H192)</x:f>
        <x:v>0.8632075471698113</x:v>
      </x:c>
      <x:c r="L192" s="12" t="n">
        <x:f>IF(O192+Q192=0,"",O192/(O192+Q192))</x:f>
        <x:v>0.8097345132743363</x:v>
      </x:c>
      <x:c r="M192" s="12" t="n">
        <x:f>IF(2*O192+P192+Q192=0,"",2*O192/(2*O192+P192+Q192))</x:f>
        <x:v>0.8356164383561644</x:v>
      </x:c>
      <x:c r="N192" s="12" t="n">
        <x:f>IF(OR(O192+Q192=0,R192+P192=0),"",(L192+R192/(R192+P192))/2)</x:f>
        <x:v>0.7730490748189863</x:v>
      </x:c>
      <x:c r="O192" s="11" t="n">
        <x:v>183</x:v>
      </x:c>
      <x:c r="P192" s="11" t="n">
        <x:v>29</x:v>
      </x:c>
      <x:c r="Q192" s="11" t="n">
        <x:v>43</x:v>
      </x:c>
      <x:c r="R192" s="11" t="n">
        <x:v>81</x:v>
      </x:c>
    </x:row>
    <x:row r="193" ht="26" customHeight="1">
      <x:c r="A193" s="13" t="n">
        <x:v>46174</x:v>
      </x:c>
      <x:c r="B193" s="9" t="str">
        <x:v>全部候选</x:v>
      </x:c>
      <x:c r="C193" s="9" t="str">
        <x:v>训练窗口</x:v>
      </x:c>
      <x:c r="D193" s="9" t="str">
        <x:v>Top3</x:v>
      </x:c>
      <x:c r="E193" s="9" t="str">
        <x:v>四K重选规则</x:v>
      </x:c>
      <x:c r="F193" s="11" t="n">
        <x:f>SUM(O193:R193)</x:f>
        <x:v>336</x:v>
      </x:c>
      <x:c r="G193" s="11" t="n">
        <x:v>336</x:v>
      </x:c>
      <x:c r="H193" s="11" t="n">
        <x:f>O193+P193</x:f>
        <x:v>205</x:v>
      </x:c>
      <x:c r="I193" s="12" t="n">
        <x:f>IF(F193=0,"",H193/F193)</x:f>
        <x:v>0.6101190476190477</x:v>
      </x:c>
      <x:c r="J193" s="12" t="n">
        <x:f>IF(F193=0,"",(O193+R193)/F193)</x:f>
        <x:v>0.7529761904761905</x:v>
      </x:c>
      <x:c r="K193" s="12" t="n">
        <x:f>IF(H193=0,"",O193/H193)</x:f>
        <x:v>0.848780487804878</x:v>
      </x:c>
      <x:c r="L193" s="12" t="n">
        <x:f>IF(O193+Q193=0,"",O193/(O193+Q193))</x:f>
        <x:v>0.7699115044247787</x:v>
      </x:c>
      <x:c r="M193" s="12" t="n">
        <x:f>IF(2*O193+P193+Q193=0,"",2*O193/(2*O193+P193+Q193))</x:f>
        <x:v>0.8074245939675174</x:v>
      </x:c>
      <x:c r="N193" s="12" t="n">
        <x:f>IF(OR(O193+Q193=0,R193+P193=0),"",(L193+R193/(R193+P193))/2)</x:f>
        <x:v>0.7440466613032984</x:v>
      </x:c>
      <x:c r="O193" s="11" t="n">
        <x:v>174</x:v>
      </x:c>
      <x:c r="P193" s="11" t="n">
        <x:v>31</x:v>
      </x:c>
      <x:c r="Q193" s="11" t="n">
        <x:v>52</x:v>
      </x:c>
      <x:c r="R193" s="11" t="n">
        <x:v>79</x:v>
      </x:c>
    </x:row>
    <x:row r="194" ht="26" customHeight="1">
      <x:c r="A194" s="13" t="n">
        <x:v>46174</x:v>
      </x:c>
      <x:c r="B194" s="9" t="str">
        <x:v>全部候选</x:v>
      </x:c>
      <x:c r="C194" s="9" t="str">
        <x:v>验证窗口</x:v>
      </x:c>
      <x:c r="D194" s="9" t="str">
        <x:v>Top3</x:v>
      </x:c>
      <x:c r="E194" s="9" t="str">
        <x:v>不判形态</x:v>
      </x:c>
      <x:c r="F194" s="11" t="n">
        <x:f>SUM(O194:R194)</x:f>
        <x:v>104</x:v>
      </x:c>
      <x:c r="G194" s="11" t="n">
        <x:v>104</x:v>
      </x:c>
      <x:c r="H194" s="11" t="n">
        <x:f>O194+P194</x:f>
        <x:v>104</x:v>
      </x:c>
      <x:c r="I194" s="12" t="n">
        <x:f>IF(F194=0,"",H194/F194)</x:f>
        <x:v>1</x:v>
      </x:c>
      <x:c r="J194" s="12" t="n">
        <x:f>IF(F194=0,"",(O194+R194)/F194)</x:f>
        <x:v>0.5961538461538461</x:v>
      </x:c>
      <x:c r="K194" s="12" t="n">
        <x:f>IF(H194=0,"",O194/H194)</x:f>
        <x:v>0.5961538461538461</x:v>
      </x:c>
      <x:c r="L194" s="12" t="n">
        <x:f>IF(O194+Q194=0,"",O194/(O194+Q194))</x:f>
        <x:v>1</x:v>
      </x:c>
      <x:c r="M194" s="12" t="n">
        <x:f>IF(2*O194+P194+Q194=0,"",2*O194/(2*O194+P194+Q194))</x:f>
        <x:v>0.7469879518072289</x:v>
      </x:c>
      <x:c r="N194" s="12" t="n">
        <x:f>IF(OR(O194+Q194=0,R194+P194=0),"",(L194+R194/(R194+P194))/2)</x:f>
        <x:v>0.5</x:v>
      </x:c>
      <x:c r="O194" s="11" t="n">
        <x:v>62</x:v>
      </x:c>
      <x:c r="P194" s="11" t="n">
        <x:v>42</x:v>
      </x:c>
      <x:c r="Q194" s="11" t="n">
        <x:v>0</x:v>
      </x:c>
      <x:c r="R194" s="11" t="n">
        <x:v>0</x:v>
      </x:c>
    </x:row>
    <x:row r="195" ht="26" customHeight="1">
      <x:c r="A195" s="13" t="n">
        <x:v>46174</x:v>
      </x:c>
      <x:c r="B195" s="9" t="str">
        <x:v>全部候选</x:v>
      </x:c>
      <x:c r="C195" s="9" t="str">
        <x:v>验证窗口</x:v>
      </x:c>
      <x:c r="D195" s="9" t="str">
        <x:v>Top3</x:v>
      </x:c>
      <x:c r="E195" s="9" t="str">
        <x:v>五K原规则</x:v>
      </x:c>
      <x:c r="F195" s="11" t="n">
        <x:f>SUM(O195:R195)</x:f>
        <x:v>104</x:v>
      </x:c>
      <x:c r="G195" s="11" t="n">
        <x:v>104</x:v>
      </x:c>
      <x:c r="H195" s="11" t="n">
        <x:f>O195+P195</x:f>
        <x:v>62</x:v>
      </x:c>
      <x:c r="I195" s="12" t="n">
        <x:f>IF(F195=0,"",H195/F195)</x:f>
        <x:v>0.5961538461538461</x:v>
      </x:c>
      <x:c r="J195" s="12" t="n">
        <x:f>IF(F195=0,"",(O195+R195)/F195)</x:f>
        <x:v>0.7115384615384616</x:v>
      </x:c>
      <x:c r="K195" s="12" t="n">
        <x:f>IF(H195=0,"",O195/H195)</x:f>
        <x:v>0.7580645161290323</x:v>
      </x:c>
      <x:c r="L195" s="12" t="n">
        <x:f>IF(O195+Q195=0,"",O195/(O195+Q195))</x:f>
        <x:v>0.7580645161290323</x:v>
      </x:c>
      <x:c r="M195" s="12" t="n">
        <x:f>IF(2*O195+P195+Q195=0,"",2*O195/(2*O195+P195+Q195))</x:f>
        <x:v>0.7580645161290323</x:v>
      </x:c>
      <x:c r="N195" s="12" t="n">
        <x:f>IF(OR(O195+Q195=0,R195+P195=0),"",(L195+R195/(R195+P195))/2)</x:f>
        <x:v>0.7004608294930876</x:v>
      </x:c>
      <x:c r="O195" s="11" t="n">
        <x:v>47</x:v>
      </x:c>
      <x:c r="P195" s="11" t="n">
        <x:v>15</x:v>
      </x:c>
      <x:c r="Q195" s="11" t="n">
        <x:v>15</x:v>
      </x:c>
      <x:c r="R195" s="11" t="n">
        <x:v>27</x:v>
      </x:c>
    </x:row>
    <x:row r="196" ht="26" customHeight="1">
      <x:c r="A196" s="13" t="n">
        <x:v>46174</x:v>
      </x:c>
      <x:c r="B196" s="9" t="str">
        <x:v>全部候选</x:v>
      </x:c>
      <x:c r="C196" s="9" t="str">
        <x:v>验证窗口</x:v>
      </x:c>
      <x:c r="D196" s="9" t="str">
        <x:v>Top3</x:v>
      </x:c>
      <x:c r="E196" s="9" t="str">
        <x:v>四K沿用门槛</x:v>
      </x:c>
      <x:c r="F196" s="11" t="n">
        <x:f>SUM(O196:R196)</x:f>
        <x:v>104</x:v>
      </x:c>
      <x:c r="G196" s="11" t="n">
        <x:v>104</x:v>
      </x:c>
      <x:c r="H196" s="11" t="n">
        <x:f>O196+P196</x:f>
        <x:v>63</x:v>
      </x:c>
      <x:c r="I196" s="12" t="n">
        <x:f>IF(F196=0,"",H196/F196)</x:f>
        <x:v>0.6057692307692307</x:v>
      </x:c>
      <x:c r="J196" s="12" t="n">
        <x:f>IF(F196=0,"",(O196+R196)/F196)</x:f>
        <x:v>0.6826923076923077</x:v>
      </x:c>
      <x:c r="K196" s="12" t="n">
        <x:f>IF(H196=0,"",O196/H196)</x:f>
        <x:v>0.7301587301587301</x:v>
      </x:c>
      <x:c r="L196" s="12" t="n">
        <x:f>IF(O196+Q196=0,"",O196/(O196+Q196))</x:f>
        <x:v>0.7419354838709677</x:v>
      </x:c>
      <x:c r="M196" s="12" t="n">
        <x:f>IF(2*O196+P196+Q196=0,"",2*O196/(2*O196+P196+Q196))</x:f>
        <x:v>0.736</x:v>
      </x:c>
      <x:c r="N196" s="12" t="n">
        <x:f>IF(OR(O196+Q196=0,R196+P196=0),"",(L196+R196/(R196+P196))/2)</x:f>
        <x:v>0.6685867895545314</x:v>
      </x:c>
      <x:c r="O196" s="11" t="n">
        <x:v>46</x:v>
      </x:c>
      <x:c r="P196" s="11" t="n">
        <x:v>17</x:v>
      </x:c>
      <x:c r="Q196" s="11" t="n">
        <x:v>16</x:v>
      </x:c>
      <x:c r="R196" s="11" t="n">
        <x:v>25</x:v>
      </x:c>
    </x:row>
    <x:row r="197" ht="26" customHeight="1">
      <x:c r="A197" s="13" t="n">
        <x:v>46174</x:v>
      </x:c>
      <x:c r="B197" s="9" t="str">
        <x:v>全部候选</x:v>
      </x:c>
      <x:c r="C197" s="9" t="str">
        <x:v>验证窗口</x:v>
      </x:c>
      <x:c r="D197" s="9" t="str">
        <x:v>Top3</x:v>
      </x:c>
      <x:c r="E197" s="9" t="str">
        <x:v>四K重选规则</x:v>
      </x:c>
      <x:c r="F197" s="11" t="n">
        <x:f>SUM(O197:R197)</x:f>
        <x:v>104</x:v>
      </x:c>
      <x:c r="G197" s="11" t="n">
        <x:v>104</x:v>
      </x:c>
      <x:c r="H197" s="11" t="n">
        <x:f>O197+P197</x:f>
        <x:v>60</x:v>
      </x:c>
      <x:c r="I197" s="12" t="n">
        <x:f>IF(F197=0,"",H197/F197)</x:f>
        <x:v>0.5769230769230769</x:v>
      </x:c>
      <x:c r="J197" s="12" t="n">
        <x:f>IF(F197=0,"",(O197+R197)/F197)</x:f>
        <x:v>0.7307692307692307</x:v>
      </x:c>
      <x:c r="K197" s="12" t="n">
        <x:f>IF(H197=0,"",O197/H197)</x:f>
        <x:v>0.7833333333333333</x:v>
      </x:c>
      <x:c r="L197" s="12" t="n">
        <x:f>IF(O197+Q197=0,"",O197/(O197+Q197))</x:f>
        <x:v>0.7580645161290323</x:v>
      </x:c>
      <x:c r="M197" s="12" t="n">
        <x:f>IF(2*O197+P197+Q197=0,"",2*O197/(2*O197+P197+Q197))</x:f>
        <x:v>0.7704918032786885</x:v>
      </x:c>
      <x:c r="N197" s="12" t="n">
        <x:f>IF(OR(O197+Q197=0,R197+P197=0),"",(L197+R197/(R197+P197))/2)</x:f>
        <x:v>0.7242703533026114</x:v>
      </x:c>
      <x:c r="O197" s="11" t="n">
        <x:v>47</x:v>
      </x:c>
      <x:c r="P197" s="11" t="n">
        <x:v>13</x:v>
      </x:c>
      <x:c r="Q197" s="11" t="n">
        <x:v>15</x:v>
      </x:c>
      <x:c r="R197" s="11" t="n">
        <x:v>29</x:v>
      </x:c>
    </x:row>
    <x:row r="198" ht="26" customHeight="1">
      <x:c r="A198" s="13" t="n">
        <x:v>46204</x:v>
      </x:c>
      <x:c r="B198" s="9" t="str">
        <x:v>全部候选</x:v>
      </x:c>
      <x:c r="C198" s="9" t="str">
        <x:v>测试</x:v>
      </x:c>
      <x:c r="D198" s="9" t="str">
        <x:v>Top3</x:v>
      </x:c>
      <x:c r="E198" s="9" t="str">
        <x:v>不判形态</x:v>
      </x:c>
      <x:c r="F198" s="11" t="n">
        <x:f>SUM(O198:R198)</x:f>
        <x:v>61</x:v>
      </x:c>
      <x:c r="G198" s="11" t="n">
        <x:v>61</x:v>
      </x:c>
      <x:c r="H198" s="11" t="n">
        <x:f>O198+P198</x:f>
        <x:v>61</x:v>
      </x:c>
      <x:c r="I198" s="12" t="n">
        <x:f>IF(F198=0,"",H198/F198)</x:f>
        <x:v>1</x:v>
      </x:c>
      <x:c r="J198" s="12" t="n">
        <x:f>IF(F198=0,"",(O198+R198)/F198)</x:f>
        <x:v>0.5901639344262295</x:v>
      </x:c>
      <x:c r="K198" s="12" t="n">
        <x:f>IF(H198=0,"",O198/H198)</x:f>
        <x:v>0.5901639344262295</x:v>
      </x:c>
      <x:c r="L198" s="12" t="n">
        <x:f>IF(O198+Q198=0,"",O198/(O198+Q198))</x:f>
        <x:v>1</x:v>
      </x:c>
      <x:c r="M198" s="12" t="n">
        <x:f>IF(2*O198+P198+Q198=0,"",2*O198/(2*O198+P198+Q198))</x:f>
        <x:v>0.7422680412371134</x:v>
      </x:c>
      <x:c r="N198" s="12" t="n">
        <x:f>IF(OR(O198+Q198=0,R198+P198=0),"",(L198+R198/(R198+P198))/2)</x:f>
        <x:v>0.5</x:v>
      </x:c>
      <x:c r="O198" s="11" t="n">
        <x:v>36</x:v>
      </x:c>
      <x:c r="P198" s="11" t="n">
        <x:v>25</x:v>
      </x:c>
      <x:c r="Q198" s="11" t="n">
        <x:v>0</x:v>
      </x:c>
      <x:c r="R198" s="11" t="n">
        <x:v>0</x:v>
      </x:c>
    </x:row>
    <x:row r="199" ht="26" customHeight="1">
      <x:c r="A199" s="13" t="n">
        <x:v>46204</x:v>
      </x:c>
      <x:c r="B199" s="9" t="str">
        <x:v>全部候选</x:v>
      </x:c>
      <x:c r="C199" s="9" t="str">
        <x:v>测试</x:v>
      </x:c>
      <x:c r="D199" s="9" t="str">
        <x:v>Top3</x:v>
      </x:c>
      <x:c r="E199" s="9" t="str">
        <x:v>五K原规则</x:v>
      </x:c>
      <x:c r="F199" s="11" t="n">
        <x:f>SUM(O199:R199)</x:f>
        <x:v>61</x:v>
      </x:c>
      <x:c r="G199" s="11" t="n">
        <x:v>61</x:v>
      </x:c>
      <x:c r="H199" s="11" t="n">
        <x:f>O199+P199</x:f>
        <x:v>35</x:v>
      </x:c>
      <x:c r="I199" s="12" t="n">
        <x:f>IF(F199=0,"",H199/F199)</x:f>
        <x:v>0.5737704918032787</x:v>
      </x:c>
      <x:c r="J199" s="12" t="n">
        <x:f>IF(F199=0,"",(O199+R199)/F199)</x:f>
        <x:v>0.819672131147541</x:v>
      </x:c>
      <x:c r="K199" s="12" t="n">
        <x:f>IF(H199=0,"",O199/H199)</x:f>
        <x:v>0.8571428571428571</x:v>
      </x:c>
      <x:c r="L199" s="12" t="n">
        <x:f>IF(O199+Q199=0,"",O199/(O199+Q199))</x:f>
        <x:v>0.8333333333333334</x:v>
      </x:c>
      <x:c r="M199" s="12" t="n">
        <x:f>IF(2*O199+P199+Q199=0,"",2*O199/(2*O199+P199+Q199))</x:f>
        <x:v>0.8450704225352113</x:v>
      </x:c>
      <x:c r="N199" s="12" t="n">
        <x:f>IF(OR(O199+Q199=0,R199+P199=0),"",(L199+R199/(R199+P199))/2)</x:f>
        <x:v>0.8166666666666667</x:v>
      </x:c>
      <x:c r="O199" s="11" t="n">
        <x:v>30</x:v>
      </x:c>
      <x:c r="P199" s="11" t="n">
        <x:v>5</x:v>
      </x:c>
      <x:c r="Q199" s="11" t="n">
        <x:v>6</x:v>
      </x:c>
      <x:c r="R199" s="11" t="n">
        <x:v>20</x:v>
      </x:c>
    </x:row>
    <x:row r="200" ht="26" customHeight="1">
      <x:c r="A200" s="13" t="n">
        <x:v>46204</x:v>
      </x:c>
      <x:c r="B200" s="9" t="str">
        <x:v>全部候选</x:v>
      </x:c>
      <x:c r="C200" s="9" t="str">
        <x:v>测试</x:v>
      </x:c>
      <x:c r="D200" s="9" t="str">
        <x:v>Top3</x:v>
      </x:c>
      <x:c r="E200" s="9" t="str">
        <x:v>四K沿用门槛</x:v>
      </x:c>
      <x:c r="F200" s="11" t="n">
        <x:f>SUM(O200:R200)</x:f>
        <x:v>61</x:v>
      </x:c>
      <x:c r="G200" s="11" t="n">
        <x:v>61</x:v>
      </x:c>
      <x:c r="H200" s="11" t="n">
        <x:f>O200+P200</x:f>
        <x:v>35</x:v>
      </x:c>
      <x:c r="I200" s="12" t="n">
        <x:f>IF(F200=0,"",H200/F200)</x:f>
        <x:v>0.5737704918032787</x:v>
      </x:c>
      <x:c r="J200" s="12" t="n">
        <x:f>IF(F200=0,"",(O200+R200)/F200)</x:f>
        <x:v>0.819672131147541</x:v>
      </x:c>
      <x:c r="K200" s="12" t="n">
        <x:f>IF(H200=0,"",O200/H200)</x:f>
        <x:v>0.8571428571428571</x:v>
      </x:c>
      <x:c r="L200" s="12" t="n">
        <x:f>IF(O200+Q200=0,"",O200/(O200+Q200))</x:f>
        <x:v>0.8333333333333334</x:v>
      </x:c>
      <x:c r="M200" s="12" t="n">
        <x:f>IF(2*O200+P200+Q200=0,"",2*O200/(2*O200+P200+Q200))</x:f>
        <x:v>0.8450704225352113</x:v>
      </x:c>
      <x:c r="N200" s="12" t="n">
        <x:f>IF(OR(O200+Q200=0,R200+P200=0),"",(L200+R200/(R200+P200))/2)</x:f>
        <x:v>0.8166666666666667</x:v>
      </x:c>
      <x:c r="O200" s="11" t="n">
        <x:v>30</x:v>
      </x:c>
      <x:c r="P200" s="11" t="n">
        <x:v>5</x:v>
      </x:c>
      <x:c r="Q200" s="11" t="n">
        <x:v>6</x:v>
      </x:c>
      <x:c r="R200" s="11" t="n">
        <x:v>20</x:v>
      </x:c>
    </x:row>
    <x:row r="201" ht="26" customHeight="1">
      <x:c r="A201" s="13" t="n">
        <x:v>46204</x:v>
      </x:c>
      <x:c r="B201" s="9" t="str">
        <x:v>全部候选</x:v>
      </x:c>
      <x:c r="C201" s="9" t="str">
        <x:v>测试</x:v>
      </x:c>
      <x:c r="D201" s="9" t="str">
        <x:v>Top3</x:v>
      </x:c>
      <x:c r="E201" s="9" t="str">
        <x:v>四K重选规则</x:v>
      </x:c>
      <x:c r="F201" s="11" t="n">
        <x:f>SUM(O201:R201)</x:f>
        <x:v>61</x:v>
      </x:c>
      <x:c r="G201" s="11" t="n">
        <x:v>61</x:v>
      </x:c>
      <x:c r="H201" s="11" t="n">
        <x:f>O201+P201</x:f>
        <x:v>61</x:v>
      </x:c>
      <x:c r="I201" s="12" t="n">
        <x:f>IF(F201=0,"",H201/F201)</x:f>
        <x:v>1</x:v>
      </x:c>
      <x:c r="J201" s="12" t="n">
        <x:f>IF(F201=0,"",(O201+R201)/F201)</x:f>
        <x:v>0.5901639344262295</x:v>
      </x:c>
      <x:c r="K201" s="12" t="n">
        <x:f>IF(H201=0,"",O201/H201)</x:f>
        <x:v>0.5901639344262295</x:v>
      </x:c>
      <x:c r="L201" s="12" t="n">
        <x:f>IF(O201+Q201=0,"",O201/(O201+Q201))</x:f>
        <x:v>1</x:v>
      </x:c>
      <x:c r="M201" s="12" t="n">
        <x:f>IF(2*O201+P201+Q201=0,"",2*O201/(2*O201+P201+Q201))</x:f>
        <x:v>0.7422680412371134</x:v>
      </x:c>
      <x:c r="N201" s="12" t="n">
        <x:f>IF(OR(O201+Q201=0,R201+P201=0),"",(L201+R201/(R201+P201))/2)</x:f>
        <x:v>0.5</x:v>
      </x:c>
      <x:c r="O201" s="11" t="n">
        <x:v>36</x:v>
      </x:c>
      <x:c r="P201" s="11" t="n">
        <x:v>25</x:v>
      </x:c>
      <x:c r="Q201" s="11" t="n">
        <x:v>0</x:v>
      </x:c>
      <x:c r="R201" s="11" t="n">
        <x:v>0</x:v>
      </x:c>
    </x:row>
    <x:row r="202" ht="26" customHeight="1">
      <x:c r="A202" s="13" t="n">
        <x:v>46204</x:v>
      </x:c>
      <x:c r="B202" s="9" t="str">
        <x:v>全部候选</x:v>
      </x:c>
      <x:c r="C202" s="9" t="str">
        <x:v>训练窗口</x:v>
      </x:c>
      <x:c r="D202" s="9" t="str">
        <x:v>Top3</x:v>
      </x:c>
      <x:c r="E202" s="9" t="str">
        <x:v>不判形态</x:v>
      </x:c>
      <x:c r="F202" s="11" t="n">
        <x:f>SUM(O202:R202)</x:f>
        <x:v>348</x:v>
      </x:c>
      <x:c r="G202" s="11" t="n">
        <x:v>348</x:v>
      </x:c>
      <x:c r="H202" s="11" t="n">
        <x:f>O202+P202</x:f>
        <x:v>348</x:v>
      </x:c>
      <x:c r="I202" s="12" t="n">
        <x:f>IF(F202=0,"",H202/F202)</x:f>
        <x:v>1</x:v>
      </x:c>
      <x:c r="J202" s="12" t="n">
        <x:f>IF(F202=0,"",(O202+R202)/F202)</x:f>
        <x:v>0.6551724137931034</x:v>
      </x:c>
      <x:c r="K202" s="12" t="n">
        <x:f>IF(H202=0,"",O202/H202)</x:f>
        <x:v>0.6551724137931034</x:v>
      </x:c>
      <x:c r="L202" s="12" t="n">
        <x:f>IF(O202+Q202=0,"",O202/(O202+Q202))</x:f>
        <x:v>1</x:v>
      </x:c>
      <x:c r="M202" s="12" t="n">
        <x:f>IF(2*O202+P202+Q202=0,"",2*O202/(2*O202+P202+Q202))</x:f>
        <x:v>0.7916666666666666</x:v>
      </x:c>
      <x:c r="N202" s="12" t="n">
        <x:f>IF(OR(O202+Q202=0,R202+P202=0),"",(L202+R202/(R202+P202))/2)</x:f>
        <x:v>0.5</x:v>
      </x:c>
      <x:c r="O202" s="11" t="n">
        <x:v>228</x:v>
      </x:c>
      <x:c r="P202" s="11" t="n">
        <x:v>120</x:v>
      </x:c>
      <x:c r="Q202" s="11" t="n">
        <x:v>0</x:v>
      </x:c>
      <x:c r="R202" s="11" t="n">
        <x:v>0</x:v>
      </x:c>
    </x:row>
    <x:row r="203" ht="26" customHeight="1">
      <x:c r="A203" s="13" t="n">
        <x:v>46204</x:v>
      </x:c>
      <x:c r="B203" s="9" t="str">
        <x:v>全部候选</x:v>
      </x:c>
      <x:c r="C203" s="9" t="str">
        <x:v>训练窗口</x:v>
      </x:c>
      <x:c r="D203" s="9" t="str">
        <x:v>Top3</x:v>
      </x:c>
      <x:c r="E203" s="9" t="str">
        <x:v>五K原规则</x:v>
      </x:c>
      <x:c r="F203" s="11" t="n">
        <x:f>SUM(O203:R203)</x:f>
        <x:v>348</x:v>
      </x:c>
      <x:c r="G203" s="11" t="n">
        <x:v>348</x:v>
      </x:c>
      <x:c r="H203" s="11" t="n">
        <x:f>O203+P203</x:f>
        <x:v>225</x:v>
      </x:c>
      <x:c r="I203" s="12" t="n">
        <x:f>IF(F203=0,"",H203/F203)</x:f>
        <x:v>0.646551724137931</x:v>
      </x:c>
      <x:c r="J203" s="12" t="n">
        <x:f>IF(F203=0,"",(O203+R203)/F203)</x:f>
        <x:v>0.7614942528735632</x:v>
      </x:c>
      <x:c r="K203" s="12" t="n">
        <x:f>IF(H203=0,"",O203/H203)</x:f>
        <x:v>0.8222222222222222</x:v>
      </x:c>
      <x:c r="L203" s="12" t="n">
        <x:f>IF(O203+Q203=0,"",O203/(O203+Q203))</x:f>
        <x:v>0.8114035087719298</x:v>
      </x:c>
      <x:c r="M203" s="12" t="n">
        <x:f>IF(2*O203+P203+Q203=0,"",2*O203/(2*O203+P203+Q203))</x:f>
        <x:v>0.8167770419426048</x:v>
      </x:c>
      <x:c r="N203" s="12" t="n">
        <x:f>IF(OR(O203+Q203=0,R203+P203=0),"",(L203+R203/(R203+P203))/2)</x:f>
        <x:v>0.7390350877192982</x:v>
      </x:c>
      <x:c r="O203" s="11" t="n">
        <x:v>185</x:v>
      </x:c>
      <x:c r="P203" s="11" t="n">
        <x:v>40</x:v>
      </x:c>
      <x:c r="Q203" s="11" t="n">
        <x:v>43</x:v>
      </x:c>
      <x:c r="R203" s="11" t="n">
        <x:v>80</x:v>
      </x:c>
    </x:row>
    <x:row r="204" ht="26" customHeight="1">
      <x:c r="A204" s="13" t="n">
        <x:v>46204</x:v>
      </x:c>
      <x:c r="B204" s="9" t="str">
        <x:v>全部候选</x:v>
      </x:c>
      <x:c r="C204" s="9" t="str">
        <x:v>训练窗口</x:v>
      </x:c>
      <x:c r="D204" s="9" t="str">
        <x:v>Top3</x:v>
      </x:c>
      <x:c r="E204" s="9" t="str">
        <x:v>四K沿用门槛</x:v>
      </x:c>
      <x:c r="F204" s="11" t="n">
        <x:f>SUM(O204:R204)</x:f>
        <x:v>348</x:v>
      </x:c>
      <x:c r="G204" s="11" t="n">
        <x:v>348</x:v>
      </x:c>
      <x:c r="H204" s="11" t="n">
        <x:f>O204+P204</x:f>
        <x:v>225</x:v>
      </x:c>
      <x:c r="I204" s="12" t="n">
        <x:f>IF(F204=0,"",H204/F204)</x:f>
        <x:v>0.646551724137931</x:v>
      </x:c>
      <x:c r="J204" s="12" t="n">
        <x:f>IF(F204=0,"",(O204+R204)/F204)</x:f>
        <x:v>0.75</x:v>
      </x:c>
      <x:c r="K204" s="12" t="n">
        <x:f>IF(H204=0,"",O204/H204)</x:f>
        <x:v>0.8133333333333334</x:v>
      </x:c>
      <x:c r="L204" s="12" t="n">
        <x:f>IF(O204+Q204=0,"",O204/(O204+Q204))</x:f>
        <x:v>0.8026315789473685</x:v>
      </x:c>
      <x:c r="M204" s="12" t="n">
        <x:f>IF(2*O204+P204+Q204=0,"",2*O204/(2*O204+P204+Q204))</x:f>
        <x:v>0.8079470198675497</x:v>
      </x:c>
      <x:c r="N204" s="12" t="n">
        <x:f>IF(OR(O204+Q204=0,R204+P204=0),"",(L204+R204/(R204+P204))/2)</x:f>
        <x:v>0.7263157894736842</x:v>
      </x:c>
      <x:c r="O204" s="11" t="n">
        <x:v>183</x:v>
      </x:c>
      <x:c r="P204" s="11" t="n">
        <x:v>42</x:v>
      </x:c>
      <x:c r="Q204" s="11" t="n">
        <x:v>45</x:v>
      </x:c>
      <x:c r="R204" s="11" t="n">
        <x:v>78</x:v>
      </x:c>
    </x:row>
    <x:row r="205" ht="26" customHeight="1">
      <x:c r="A205" s="13" t="n">
        <x:v>46204</x:v>
      </x:c>
      <x:c r="B205" s="9" t="str">
        <x:v>全部候选</x:v>
      </x:c>
      <x:c r="C205" s="9" t="str">
        <x:v>训练窗口</x:v>
      </x:c>
      <x:c r="D205" s="9" t="str">
        <x:v>Top3</x:v>
      </x:c>
      <x:c r="E205" s="9" t="str">
        <x:v>四K重选规则</x:v>
      </x:c>
      <x:c r="F205" s="11" t="n">
        <x:f>SUM(O205:R205)</x:f>
        <x:v>348</x:v>
      </x:c>
      <x:c r="G205" s="11" t="n">
        <x:v>348</x:v>
      </x:c>
      <x:c r="H205" s="11" t="n">
        <x:f>O205+P205</x:f>
        <x:v>348</x:v>
      </x:c>
      <x:c r="I205" s="12" t="n">
        <x:f>IF(F205=0,"",H205/F205)</x:f>
        <x:v>1</x:v>
      </x:c>
      <x:c r="J205" s="12" t="n">
        <x:f>IF(F205=0,"",(O205+R205)/F205)</x:f>
        <x:v>0.6551724137931034</x:v>
      </x:c>
      <x:c r="K205" s="12" t="n">
        <x:f>IF(H205=0,"",O205/H205)</x:f>
        <x:v>0.6551724137931034</x:v>
      </x:c>
      <x:c r="L205" s="12" t="n">
        <x:f>IF(O205+Q205=0,"",O205/(O205+Q205))</x:f>
        <x:v>1</x:v>
      </x:c>
      <x:c r="M205" s="12" t="n">
        <x:f>IF(2*O205+P205+Q205=0,"",2*O205/(2*O205+P205+Q205))</x:f>
        <x:v>0.7916666666666666</x:v>
      </x:c>
      <x:c r="N205" s="12" t="n">
        <x:f>IF(OR(O205+Q205=0,R205+P205=0),"",(L205+R205/(R205+P205))/2)</x:f>
        <x:v>0.5</x:v>
      </x:c>
      <x:c r="O205" s="11" t="n">
        <x:v>228</x:v>
      </x:c>
      <x:c r="P205" s="11" t="n">
        <x:v>120</x:v>
      </x:c>
      <x:c r="Q205" s="11" t="n">
        <x:v>0</x:v>
      </x:c>
      <x:c r="R205" s="11" t="n">
        <x:v>0</x:v>
      </x:c>
    </x:row>
    <x:row r="206" ht="26" customHeight="1">
      <x:c r="A206" s="13" t="n">
        <x:v>46204</x:v>
      </x:c>
      <x:c r="B206" s="9" t="str">
        <x:v>全部候选</x:v>
      </x:c>
      <x:c r="C206" s="9" t="str">
        <x:v>验证窗口</x:v>
      </x:c>
      <x:c r="D206" s="9" t="str">
        <x:v>Top3</x:v>
      </x:c>
      <x:c r="E206" s="9" t="str">
        <x:v>不判形态</x:v>
      </x:c>
      <x:c r="F206" s="11" t="n">
        <x:f>SUM(O206:R206)</x:f>
        <x:v>105</x:v>
      </x:c>
      <x:c r="G206" s="11" t="n">
        <x:v>105</x:v>
      </x:c>
      <x:c r="H206" s="11" t="n">
        <x:f>O206+P206</x:f>
        <x:v>105</x:v>
      </x:c>
      <x:c r="I206" s="12" t="n">
        <x:f>IF(F206=0,"",H206/F206)</x:f>
        <x:v>1</x:v>
      </x:c>
      <x:c r="J206" s="12" t="n">
        <x:f>IF(F206=0,"",(O206+R206)/F206)</x:f>
        <x:v>0.5904761904761905</x:v>
      </x:c>
      <x:c r="K206" s="12" t="n">
        <x:f>IF(H206=0,"",O206/H206)</x:f>
        <x:v>0.5904761904761905</x:v>
      </x:c>
      <x:c r="L206" s="12" t="n">
        <x:f>IF(O206+Q206=0,"",O206/(O206+Q206))</x:f>
        <x:v>1</x:v>
      </x:c>
      <x:c r="M206" s="12" t="n">
        <x:f>IF(2*O206+P206+Q206=0,"",2*O206/(2*O206+P206+Q206))</x:f>
        <x:v>0.7425149700598802</x:v>
      </x:c>
      <x:c r="N206" s="12" t="n">
        <x:f>IF(OR(O206+Q206=0,R206+P206=0),"",(L206+R206/(R206+P206))/2)</x:f>
        <x:v>0.5</x:v>
      </x:c>
      <x:c r="O206" s="11" t="n">
        <x:v>62</x:v>
      </x:c>
      <x:c r="P206" s="11" t="n">
        <x:v>43</x:v>
      </x:c>
      <x:c r="Q206" s="11" t="n">
        <x:v>0</x:v>
      </x:c>
      <x:c r="R206" s="11" t="n">
        <x:v>0</x:v>
      </x:c>
    </x:row>
    <x:row r="207" ht="26" customHeight="1">
      <x:c r="A207" s="13" t="n">
        <x:v>46204</x:v>
      </x:c>
      <x:c r="B207" s="9" t="str">
        <x:v>全部候选</x:v>
      </x:c>
      <x:c r="C207" s="9" t="str">
        <x:v>验证窗口</x:v>
      </x:c>
      <x:c r="D207" s="9" t="str">
        <x:v>Top3</x:v>
      </x:c>
      <x:c r="E207" s="9" t="str">
        <x:v>五K原规则</x:v>
      </x:c>
      <x:c r="F207" s="11" t="n">
        <x:f>SUM(O207:R207)</x:f>
        <x:v>105</x:v>
      </x:c>
      <x:c r="G207" s="11" t="n">
        <x:v>105</x:v>
      </x:c>
      <x:c r="H207" s="11" t="n">
        <x:f>O207+P207</x:f>
        <x:v>66</x:v>
      </x:c>
      <x:c r="I207" s="12" t="n">
        <x:f>IF(F207=0,"",H207/F207)</x:f>
        <x:v>0.6285714285714286</x:v>
      </x:c>
      <x:c r="J207" s="12" t="n">
        <x:f>IF(F207=0,"",(O207+R207)/F207)</x:f>
        <x:v>0.7714285714285715</x:v>
      </x:c>
      <x:c r="K207" s="12" t="n">
        <x:f>IF(H207=0,"",O207/H207)</x:f>
        <x:v>0.7878787878787878</x:v>
      </x:c>
      <x:c r="L207" s="12" t="n">
        <x:f>IF(O207+Q207=0,"",O207/(O207+Q207))</x:f>
        <x:v>0.8387096774193549</x:v>
      </x:c>
      <x:c r="M207" s="12" t="n">
        <x:f>IF(2*O207+P207+Q207=0,"",2*O207/(2*O207+P207+Q207))</x:f>
        <x:v>0.8125</x:v>
      </x:c>
      <x:c r="N207" s="12" t="n">
        <x:f>IF(OR(O207+Q207=0,R207+P207=0),"",(L207+R207/(R207+P207))/2)</x:f>
        <x:v>0.7565641410352588</x:v>
      </x:c>
      <x:c r="O207" s="11" t="n">
        <x:v>52</x:v>
      </x:c>
      <x:c r="P207" s="11" t="n">
        <x:v>14</x:v>
      </x:c>
      <x:c r="Q207" s="11" t="n">
        <x:v>10</x:v>
      </x:c>
      <x:c r="R207" s="11" t="n">
        <x:v>29</x:v>
      </x:c>
    </x:row>
    <x:row r="208" ht="26" customHeight="1">
      <x:c r="A208" s="13" t="n">
        <x:v>46204</x:v>
      </x:c>
      <x:c r="B208" s="9" t="str">
        <x:v>全部候选</x:v>
      </x:c>
      <x:c r="C208" s="9" t="str">
        <x:v>验证窗口</x:v>
      </x:c>
      <x:c r="D208" s="9" t="str">
        <x:v>Top3</x:v>
      </x:c>
      <x:c r="E208" s="9" t="str">
        <x:v>四K沿用门槛</x:v>
      </x:c>
      <x:c r="F208" s="11" t="n">
        <x:f>SUM(O208:R208)</x:f>
        <x:v>105</x:v>
      </x:c>
      <x:c r="G208" s="11" t="n">
        <x:v>105</x:v>
      </x:c>
      <x:c r="H208" s="11" t="n">
        <x:f>O208+P208</x:f>
        <x:v>67</x:v>
      </x:c>
      <x:c r="I208" s="12" t="n">
        <x:f>IF(F208=0,"",H208/F208)</x:f>
        <x:v>0.638095238095238</x:v>
      </x:c>
      <x:c r="J208" s="12" t="n">
        <x:f>IF(F208=0,"",(O208+R208)/F208)</x:f>
        <x:v>0.780952380952381</x:v>
      </x:c>
      <x:c r="K208" s="12" t="n">
        <x:f>IF(H208=0,"",O208/H208)</x:f>
        <x:v>0.7910447761194029</x:v>
      </x:c>
      <x:c r="L208" s="12" t="n">
        <x:f>IF(O208+Q208=0,"",O208/(O208+Q208))</x:f>
        <x:v>0.8548387096774194</x:v>
      </x:c>
      <x:c r="M208" s="12" t="n">
        <x:f>IF(2*O208+P208+Q208=0,"",2*O208/(2*O208+P208+Q208))</x:f>
        <x:v>0.8217054263565892</x:v>
      </x:c>
      <x:c r="N208" s="12" t="n">
        <x:f>IF(OR(O208+Q208=0,R208+P208=0),"",(L208+R208/(R208+P208))/2)</x:f>
        <x:v>0.7646286571642911</x:v>
      </x:c>
      <x:c r="O208" s="11" t="n">
        <x:v>53</x:v>
      </x:c>
      <x:c r="P208" s="11" t="n">
        <x:v>14</x:v>
      </x:c>
      <x:c r="Q208" s="11" t="n">
        <x:v>9</x:v>
      </x:c>
      <x:c r="R208" s="11" t="n">
        <x:v>29</x:v>
      </x:c>
    </x:row>
    <x:row r="209" ht="26" customHeight="1">
      <x:c r="A209" s="13" t="n">
        <x:v>46204</x:v>
      </x:c>
      <x:c r="B209" s="9" t="str">
        <x:v>全部候选</x:v>
      </x:c>
      <x:c r="C209" s="9" t="str">
        <x:v>验证窗口</x:v>
      </x:c>
      <x:c r="D209" s="9" t="str">
        <x:v>Top3</x:v>
      </x:c>
      <x:c r="E209" s="9" t="str">
        <x:v>四K重选规则</x:v>
      </x:c>
      <x:c r="F209" s="11" t="n">
        <x:f>SUM(O209:R209)</x:f>
        <x:v>105</x:v>
      </x:c>
      <x:c r="G209" s="11" t="n">
        <x:v>105</x:v>
      </x:c>
      <x:c r="H209" s="11" t="n">
        <x:f>O209+P209</x:f>
        <x:v>105</x:v>
      </x:c>
      <x:c r="I209" s="12" t="n">
        <x:f>IF(F209=0,"",H209/F209)</x:f>
        <x:v>1</x:v>
      </x:c>
      <x:c r="J209" s="12" t="n">
        <x:f>IF(F209=0,"",(O209+R209)/F209)</x:f>
        <x:v>0.5904761904761905</x:v>
      </x:c>
      <x:c r="K209" s="12" t="n">
        <x:f>IF(H209=0,"",O209/H209)</x:f>
        <x:v>0.5904761904761905</x:v>
      </x:c>
      <x:c r="L209" s="12" t="n">
        <x:f>IF(O209+Q209=0,"",O209/(O209+Q209))</x:f>
        <x:v>1</x:v>
      </x:c>
      <x:c r="M209" s="12" t="n">
        <x:f>IF(2*O209+P209+Q209=0,"",2*O209/(2*O209+P209+Q209))</x:f>
        <x:v>0.7425149700598802</x:v>
      </x:c>
      <x:c r="N209" s="12" t="n">
        <x:f>IF(OR(O209+Q209=0,R209+P209=0),"",(L209+R209/(R209+P209))/2)</x:f>
        <x:v>0.5</x:v>
      </x:c>
      <x:c r="O209" s="11" t="n">
        <x:v>62</x:v>
      </x:c>
      <x:c r="P209" s="11" t="n">
        <x:v>43</x:v>
      </x:c>
      <x:c r="Q209" s="11" t="n">
        <x:v>0</x:v>
      </x:c>
      <x:c r="R209" s="11" t="n">
        <x:v>0</x:v>
      </x:c>
    </x:row>
    <x:row r="210" ht="26" customHeight="1">
      <x:c r="A210" s="13" t="n">
        <x:v>46235</x:v>
      </x:c>
      <x:c r="B210" s="9" t="str">
        <x:v>全部候选</x:v>
      </x:c>
      <x:c r="C210" s="9" t="str">
        <x:v>测试</x:v>
      </x:c>
      <x:c r="D210" s="9" t="str">
        <x:v>Top3</x:v>
      </x:c>
      <x:c r="E210" s="9" t="str">
        <x:v>不判形态</x:v>
      </x:c>
      <x:c r="F210" s="11" t="n">
        <x:f>SUM(O210:R210)</x:f>
        <x:v>63</x:v>
      </x:c>
      <x:c r="G210" s="11" t="n">
        <x:v>63</x:v>
      </x:c>
      <x:c r="H210" s="11" t="n">
        <x:f>O210+P210</x:f>
        <x:v>63</x:v>
      </x:c>
      <x:c r="I210" s="12" t="n">
        <x:f>IF(F210=0,"",H210/F210)</x:f>
        <x:v>1</x:v>
      </x:c>
      <x:c r="J210" s="12" t="n">
        <x:f>IF(F210=0,"",(O210+R210)/F210)</x:f>
        <x:v>0.7301587301587301</x:v>
      </x:c>
      <x:c r="K210" s="12" t="n">
        <x:f>IF(H210=0,"",O210/H210)</x:f>
        <x:v>0.7301587301587301</x:v>
      </x:c>
      <x:c r="L210" s="12" t="n">
        <x:f>IF(O210+Q210=0,"",O210/(O210+Q210))</x:f>
        <x:v>1</x:v>
      </x:c>
      <x:c r="M210" s="12" t="n">
        <x:f>IF(2*O210+P210+Q210=0,"",2*O210/(2*O210+P210+Q210))</x:f>
        <x:v>0.8440366972477065</x:v>
      </x:c>
      <x:c r="N210" s="12" t="n">
        <x:f>IF(OR(O210+Q210=0,R210+P210=0),"",(L210+R210/(R210+P210))/2)</x:f>
        <x:v>0.5</x:v>
      </x:c>
      <x:c r="O210" s="11" t="n">
        <x:v>46</x:v>
      </x:c>
      <x:c r="P210" s="11" t="n">
        <x:v>17</x:v>
      </x:c>
      <x:c r="Q210" s="11" t="n">
        <x:v>0</x:v>
      </x:c>
      <x:c r="R210" s="11" t="n">
        <x:v>0</x:v>
      </x:c>
    </x:row>
    <x:row r="211" ht="26" customHeight="1">
      <x:c r="A211" s="13" t="n">
        <x:v>46235</x:v>
      </x:c>
      <x:c r="B211" s="9" t="str">
        <x:v>全部候选</x:v>
      </x:c>
      <x:c r="C211" s="9" t="str">
        <x:v>测试</x:v>
      </x:c>
      <x:c r="D211" s="9" t="str">
        <x:v>Top3</x:v>
      </x:c>
      <x:c r="E211" s="9" t="str">
        <x:v>五K原规则</x:v>
      </x:c>
      <x:c r="F211" s="11" t="n">
        <x:f>SUM(O211:R211)</x:f>
        <x:v>63</x:v>
      </x:c>
      <x:c r="G211" s="11" t="n">
        <x:v>63</x:v>
      </x:c>
      <x:c r="H211" s="11" t="n">
        <x:f>O211+P211</x:f>
        <x:v>43</x:v>
      </x:c>
      <x:c r="I211" s="12" t="n">
        <x:f>IF(F211=0,"",H211/F211)</x:f>
        <x:v>0.6825396825396826</x:v>
      </x:c>
      <x:c r="J211" s="12" t="n">
        <x:f>IF(F211=0,"",(O211+R211)/F211)</x:f>
        <x:v>0.7301587301587301</x:v>
      </x:c>
      <x:c r="K211" s="12" t="n">
        <x:f>IF(H211=0,"",O211/H211)</x:f>
        <x:v>0.8372093023255814</x:v>
      </x:c>
      <x:c r="L211" s="12" t="n">
        <x:f>IF(O211+Q211=0,"",O211/(O211+Q211))</x:f>
        <x:v>0.782608695652174</x:v>
      </x:c>
      <x:c r="M211" s="12" t="n">
        <x:f>IF(2*O211+P211+Q211=0,"",2*O211/(2*O211+P211+Q211))</x:f>
        <x:v>0.8089887640449438</x:v>
      </x:c>
      <x:c r="N211" s="12" t="n">
        <x:f>IF(OR(O211+Q211=0,R211+P211=0),"",(L211+R211/(R211+P211))/2)</x:f>
        <x:v>0.6854219948849105</x:v>
      </x:c>
      <x:c r="O211" s="11" t="n">
        <x:v>36</x:v>
      </x:c>
      <x:c r="P211" s="11" t="n">
        <x:v>7</x:v>
      </x:c>
      <x:c r="Q211" s="11" t="n">
        <x:v>10</x:v>
      </x:c>
      <x:c r="R211" s="11" t="n">
        <x:v>10</x:v>
      </x:c>
    </x:row>
    <x:row r="212" ht="26" customHeight="1">
      <x:c r="A212" s="13" t="n">
        <x:v>46235</x:v>
      </x:c>
      <x:c r="B212" s="9" t="str">
        <x:v>全部候选</x:v>
      </x:c>
      <x:c r="C212" s="9" t="str">
        <x:v>测试</x:v>
      </x:c>
      <x:c r="D212" s="9" t="str">
        <x:v>Top3</x:v>
      </x:c>
      <x:c r="E212" s="9" t="str">
        <x:v>四K沿用门槛</x:v>
      </x:c>
      <x:c r="F212" s="11" t="n">
        <x:f>SUM(O212:R212)</x:f>
        <x:v>63</x:v>
      </x:c>
      <x:c r="G212" s="11" t="n">
        <x:v>63</x:v>
      </x:c>
      <x:c r="H212" s="11" t="n">
        <x:f>O212+P212</x:f>
        <x:v>43</x:v>
      </x:c>
      <x:c r="I212" s="12" t="n">
        <x:f>IF(F212=0,"",H212/F212)</x:f>
        <x:v>0.6825396825396826</x:v>
      </x:c>
      <x:c r="J212" s="12" t="n">
        <x:f>IF(F212=0,"",(O212+R212)/F212)</x:f>
        <x:v>0.6984126984126984</x:v>
      </x:c>
      <x:c r="K212" s="12" t="n">
        <x:f>IF(H212=0,"",O212/H212)</x:f>
        <x:v>0.813953488372093</x:v>
      </x:c>
      <x:c r="L212" s="12" t="n">
        <x:f>IF(O212+Q212=0,"",O212/(O212+Q212))</x:f>
        <x:v>0.7608695652173914</x:v>
      </x:c>
      <x:c r="M212" s="12" t="n">
        <x:f>IF(2*O212+P212+Q212=0,"",2*O212/(2*O212+P212+Q212))</x:f>
        <x:v>0.7865168539325843</x:v>
      </x:c>
      <x:c r="N212" s="12" t="n">
        <x:f>IF(OR(O212+Q212=0,R212+P212=0),"",(L212+R212/(R212+P212))/2)</x:f>
        <x:v>0.6451406649616369</x:v>
      </x:c>
      <x:c r="O212" s="11" t="n">
        <x:v>35</x:v>
      </x:c>
      <x:c r="P212" s="11" t="n">
        <x:v>8</x:v>
      </x:c>
      <x:c r="Q212" s="11" t="n">
        <x:v>11</x:v>
      </x:c>
      <x:c r="R212" s="11" t="n">
        <x:v>9</x:v>
      </x:c>
    </x:row>
    <x:row r="213" ht="26" customHeight="1">
      <x:c r="A213" s="13" t="n">
        <x:v>46235</x:v>
      </x:c>
      <x:c r="B213" s="9" t="str">
        <x:v>全部候选</x:v>
      </x:c>
      <x:c r="C213" s="9" t="str">
        <x:v>测试</x:v>
      </x:c>
      <x:c r="D213" s="9" t="str">
        <x:v>Top3</x:v>
      </x:c>
      <x:c r="E213" s="9" t="str">
        <x:v>四K重选规则</x:v>
      </x:c>
      <x:c r="F213" s="11" t="n">
        <x:f>SUM(O213:R213)</x:f>
        <x:v>63</x:v>
      </x:c>
      <x:c r="G213" s="11" t="n">
        <x:v>63</x:v>
      </x:c>
      <x:c r="H213" s="11" t="n">
        <x:f>O213+P213</x:f>
        <x:v>50</x:v>
      </x:c>
      <x:c r="I213" s="12" t="n">
        <x:f>IF(F213=0,"",H213/F213)</x:f>
        <x:v>0.7936507936507936</x:v>
      </x:c>
      <x:c r="J213" s="12" t="n">
        <x:f>IF(F213=0,"",(O213+R213)/F213)</x:f>
        <x:v>0.7142857142857143</x:v>
      </x:c>
      <x:c r="K213" s="12" t="n">
        <x:f>IF(H213=0,"",O213/H213)</x:f>
        <x:v>0.78</x:v>
      </x:c>
      <x:c r="L213" s="12" t="n">
        <x:f>IF(O213+Q213=0,"",O213/(O213+Q213))</x:f>
        <x:v>0.8478260869565217</x:v>
      </x:c>
      <x:c r="M213" s="12" t="n">
        <x:f>IF(2*O213+P213+Q213=0,"",2*O213/(2*O213+P213+Q213))</x:f>
        <x:v>0.8125</x:v>
      </x:c>
      <x:c r="N213" s="12" t="n">
        <x:f>IF(OR(O213+Q213=0,R213+P213=0),"",(L213+R213/(R213+P213))/2)</x:f>
        <x:v>0.600383631713555</x:v>
      </x:c>
      <x:c r="O213" s="11" t="n">
        <x:v>39</x:v>
      </x:c>
      <x:c r="P213" s="11" t="n">
        <x:v>11</x:v>
      </x:c>
      <x:c r="Q213" s="11" t="n">
        <x:v>7</x:v>
      </x:c>
      <x:c r="R213" s="11" t="n">
        <x:v>6</x:v>
      </x:c>
    </x:row>
    <x:row r="214" ht="26" customHeight="1">
      <x:c r="A214" s="13" t="n">
        <x:v>46235</x:v>
      </x:c>
      <x:c r="B214" s="9" t="str">
        <x:v>全部候选</x:v>
      </x:c>
      <x:c r="C214" s="9" t="str">
        <x:v>训练窗口</x:v>
      </x:c>
      <x:c r="D214" s="9" t="str">
        <x:v>Top3</x:v>
      </x:c>
      <x:c r="E214" s="9" t="str">
        <x:v>不判形态</x:v>
      </x:c>
      <x:c r="F214" s="11" t="n">
        <x:f>SUM(O214:R214)</x:f>
        <x:v>340</x:v>
      </x:c>
      <x:c r="G214" s="11" t="n">
        <x:v>340</x:v>
      </x:c>
      <x:c r="H214" s="11" t="n">
        <x:f>O214+P214</x:f>
        <x:v>340</x:v>
      </x:c>
      <x:c r="I214" s="12" t="n">
        <x:f>IF(F214=0,"",H214/F214)</x:f>
        <x:v>1</x:v>
      </x:c>
      <x:c r="J214" s="12" t="n">
        <x:f>IF(F214=0,"",(O214+R214)/F214)</x:f>
        <x:v>0.6176470588235294</x:v>
      </x:c>
      <x:c r="K214" s="12" t="n">
        <x:f>IF(H214=0,"",O214/H214)</x:f>
        <x:v>0.6176470588235294</x:v>
      </x:c>
      <x:c r="L214" s="12" t="n">
        <x:f>IF(O214+Q214=0,"",O214/(O214+Q214))</x:f>
        <x:v>1</x:v>
      </x:c>
      <x:c r="M214" s="12" t="n">
        <x:f>IF(2*O214+P214+Q214=0,"",2*O214/(2*O214+P214+Q214))</x:f>
        <x:v>0.7636363636363637</x:v>
      </x:c>
      <x:c r="N214" s="12" t="n">
        <x:f>IF(OR(O214+Q214=0,R214+P214=0),"",(L214+R214/(R214+P214))/2)</x:f>
        <x:v>0.5</x:v>
      </x:c>
      <x:c r="O214" s="11" t="n">
        <x:v>210</x:v>
      </x:c>
      <x:c r="P214" s="11" t="n">
        <x:v>130</x:v>
      </x:c>
      <x:c r="Q214" s="11" t="n">
        <x:v>0</x:v>
      </x:c>
      <x:c r="R214" s="11" t="n">
        <x:v>0</x:v>
      </x:c>
    </x:row>
    <x:row r="215" ht="26" customHeight="1">
      <x:c r="A215" s="13" t="n">
        <x:v>46235</x:v>
      </x:c>
      <x:c r="B215" s="9" t="str">
        <x:v>全部候选</x:v>
      </x:c>
      <x:c r="C215" s="9" t="str">
        <x:v>训练窗口</x:v>
      </x:c>
      <x:c r="D215" s="9" t="str">
        <x:v>Top3</x:v>
      </x:c>
      <x:c r="E215" s="9" t="str">
        <x:v>五K原规则</x:v>
      </x:c>
      <x:c r="F215" s="11" t="n">
        <x:f>SUM(O215:R215)</x:f>
        <x:v>340</x:v>
      </x:c>
      <x:c r="G215" s="11" t="n">
        <x:v>340</x:v>
      </x:c>
      <x:c r="H215" s="11" t="n">
        <x:f>O215+P215</x:f>
        <x:v>216</x:v>
      </x:c>
      <x:c r="I215" s="12" t="n">
        <x:f>IF(F215=0,"",H215/F215)</x:f>
        <x:v>0.6352941176470588</x:v>
      </x:c>
      <x:c r="J215" s="12" t="n">
        <x:f>IF(F215=0,"",(O215+R215)/F215)</x:f>
        <x:v>0.7352941176470589</x:v>
      </x:c>
      <x:c r="K215" s="12" t="n">
        <x:f>IF(H215=0,"",O215/H215)</x:f>
        <x:v>0.7777777777777778</x:v>
      </x:c>
      <x:c r="L215" s="12" t="n">
        <x:f>IF(O215+Q215=0,"",O215/(O215+Q215))</x:f>
        <x:v>0.8</x:v>
      </x:c>
      <x:c r="M215" s="12" t="n">
        <x:f>IF(2*O215+P215+Q215=0,"",2*O215/(2*O215+P215+Q215))</x:f>
        <x:v>0.7887323943661971</x:v>
      </x:c>
      <x:c r="N215" s="12" t="n">
        <x:f>IF(OR(O215+Q215=0,R215+P215=0),"",(L215+R215/(R215+P215))/2)</x:f>
        <x:v>0.7153846153846154</x:v>
      </x:c>
      <x:c r="O215" s="11" t="n">
        <x:v>168</x:v>
      </x:c>
      <x:c r="P215" s="11" t="n">
        <x:v>48</x:v>
      </x:c>
      <x:c r="Q215" s="11" t="n">
        <x:v>42</x:v>
      </x:c>
      <x:c r="R215" s="11" t="n">
        <x:v>82</x:v>
      </x:c>
    </x:row>
    <x:row r="216" ht="26" customHeight="1">
      <x:c r="A216" s="13" t="n">
        <x:v>46235</x:v>
      </x:c>
      <x:c r="B216" s="9" t="str">
        <x:v>全部候选</x:v>
      </x:c>
      <x:c r="C216" s="9" t="str">
        <x:v>训练窗口</x:v>
      </x:c>
      <x:c r="D216" s="9" t="str">
        <x:v>Top3</x:v>
      </x:c>
      <x:c r="E216" s="9" t="str">
        <x:v>四K沿用门槛</x:v>
      </x:c>
      <x:c r="F216" s="11" t="n">
        <x:f>SUM(O216:R216)</x:f>
        <x:v>340</x:v>
      </x:c>
      <x:c r="G216" s="11" t="n">
        <x:v>340</x:v>
      </x:c>
      <x:c r="H216" s="11" t="n">
        <x:f>O216+P216</x:f>
        <x:v>214</x:v>
      </x:c>
      <x:c r="I216" s="12" t="n">
        <x:f>IF(F216=0,"",H216/F216)</x:f>
        <x:v>0.6294117647058823</x:v>
      </x:c>
      <x:c r="J216" s="12" t="n">
        <x:f>IF(F216=0,"",(O216+R216)/F216)</x:f>
        <x:v>0.7352941176470589</x:v>
      </x:c>
      <x:c r="K216" s="12" t="n">
        <x:f>IF(H216=0,"",O216/H216)</x:f>
        <x:v>0.780373831775701</x:v>
      </x:c>
      <x:c r="L216" s="12" t="n">
        <x:f>IF(O216+Q216=0,"",O216/(O216+Q216))</x:f>
        <x:v>0.7952380952380952</x:v>
      </x:c>
      <x:c r="M216" s="12" t="n">
        <x:f>IF(2*O216+P216+Q216=0,"",2*O216/(2*O216+P216+Q216))</x:f>
        <x:v>0.7877358490566038</x:v>
      </x:c>
      <x:c r="N216" s="12" t="n">
        <x:f>IF(OR(O216+Q216=0,R216+P216=0),"",(L216+R216/(R216+P216))/2)</x:f>
        <x:v>0.7168498168498167</x:v>
      </x:c>
      <x:c r="O216" s="11" t="n">
        <x:v>167</x:v>
      </x:c>
      <x:c r="P216" s="11" t="n">
        <x:v>47</x:v>
      </x:c>
      <x:c r="Q216" s="11" t="n">
        <x:v>43</x:v>
      </x:c>
      <x:c r="R216" s="11" t="n">
        <x:v>83</x:v>
      </x:c>
    </x:row>
    <x:row r="217" ht="26" customHeight="1">
      <x:c r="A217" s="13" t="n">
        <x:v>46235</x:v>
      </x:c>
      <x:c r="B217" s="9" t="str">
        <x:v>全部候选</x:v>
      </x:c>
      <x:c r="C217" s="9" t="str">
        <x:v>训练窗口</x:v>
      </x:c>
      <x:c r="D217" s="9" t="str">
        <x:v>Top3</x:v>
      </x:c>
      <x:c r="E217" s="9" t="str">
        <x:v>四K重选规则</x:v>
      </x:c>
      <x:c r="F217" s="11" t="n">
        <x:f>SUM(O217:R217)</x:f>
        <x:v>340</x:v>
      </x:c>
      <x:c r="G217" s="11" t="n">
        <x:v>340</x:v>
      </x:c>
      <x:c r="H217" s="11" t="n">
        <x:f>O217+P217</x:f>
        <x:v>238</x:v>
      </x:c>
      <x:c r="I217" s="12" t="n">
        <x:f>IF(F217=0,"",H217/F217)</x:f>
        <x:v>0.7</x:v>
      </x:c>
      <x:c r="J217" s="12" t="n">
        <x:f>IF(F217=0,"",(O217+R217)/F217)</x:f>
        <x:v>0.7294117647058823</x:v>
      </x:c>
      <x:c r="K217" s="12" t="n">
        <x:f>IF(H217=0,"",O217/H217)</x:f>
        <x:v>0.7478991596638656</x:v>
      </x:c>
      <x:c r="L217" s="12" t="n">
        <x:f>IF(O217+Q217=0,"",O217/(O217+Q217))</x:f>
        <x:v>0.8476190476190476</x:v>
      </x:c>
      <x:c r="M217" s="12" t="n">
        <x:f>IF(2*O217+P217+Q217=0,"",2*O217/(2*O217+P217+Q217))</x:f>
        <x:v>0.7946428571428571</x:v>
      </x:c>
      <x:c r="N217" s="12" t="n">
        <x:f>IF(OR(O217+Q217=0,R217+P217=0),"",(L217+R217/(R217+P217))/2)</x:f>
        <x:v>0.693040293040293</x:v>
      </x:c>
      <x:c r="O217" s="11" t="n">
        <x:v>178</x:v>
      </x:c>
      <x:c r="P217" s="11" t="n">
        <x:v>60</x:v>
      </x:c>
      <x:c r="Q217" s="11" t="n">
        <x:v>32</x:v>
      </x:c>
      <x:c r="R217" s="11" t="n">
        <x:v>70</x:v>
      </x:c>
    </x:row>
    <x:row r="218" ht="26" customHeight="1">
      <x:c r="A218" s="13" t="n">
        <x:v>46235</x:v>
      </x:c>
      <x:c r="B218" s="9" t="str">
        <x:v>全部候选</x:v>
      </x:c>
      <x:c r="C218" s="9" t="str">
        <x:v>验证窗口</x:v>
      </x:c>
      <x:c r="D218" s="9" t="str">
        <x:v>Top3</x:v>
      </x:c>
      <x:c r="E218" s="9" t="str">
        <x:v>不判形态</x:v>
      </x:c>
      <x:c r="F218" s="11" t="n">
        <x:f>SUM(O218:R218)</x:f>
        <x:v>115</x:v>
      </x:c>
      <x:c r="G218" s="11" t="n">
        <x:v>115</x:v>
      </x:c>
      <x:c r="H218" s="11" t="n">
        <x:f>O218+P218</x:f>
        <x:v>115</x:v>
      </x:c>
      <x:c r="I218" s="12" t="n">
        <x:f>IF(F218=0,"",H218/F218)</x:f>
        <x:v>1</x:v>
      </x:c>
      <x:c r="J218" s="12" t="n">
        <x:f>IF(F218=0,"",(O218+R218)/F218)</x:f>
        <x:v>0.5565217391304348</x:v>
      </x:c>
      <x:c r="K218" s="12" t="n">
        <x:f>IF(H218=0,"",O218/H218)</x:f>
        <x:v>0.5565217391304348</x:v>
      </x:c>
      <x:c r="L218" s="12" t="n">
        <x:f>IF(O218+Q218=0,"",O218/(O218+Q218))</x:f>
        <x:v>1</x:v>
      </x:c>
      <x:c r="M218" s="12" t="n">
        <x:f>IF(2*O218+P218+Q218=0,"",2*O218/(2*O218+P218+Q218))</x:f>
        <x:v>0.7150837988826816</x:v>
      </x:c>
      <x:c r="N218" s="12" t="n">
        <x:f>IF(OR(O218+Q218=0,R218+P218=0),"",(L218+R218/(R218+P218))/2)</x:f>
        <x:v>0.5</x:v>
      </x:c>
      <x:c r="O218" s="11" t="n">
        <x:v>64</x:v>
      </x:c>
      <x:c r="P218" s="11" t="n">
        <x:v>51</x:v>
      </x:c>
      <x:c r="Q218" s="11" t="n">
        <x:v>0</x:v>
      </x:c>
      <x:c r="R218" s="11" t="n">
        <x:v>0</x:v>
      </x:c>
    </x:row>
    <x:row r="219" ht="26" customHeight="1">
      <x:c r="A219" s="13" t="n">
        <x:v>46235</x:v>
      </x:c>
      <x:c r="B219" s="9" t="str">
        <x:v>全部候选</x:v>
      </x:c>
      <x:c r="C219" s="9" t="str">
        <x:v>验证窗口</x:v>
      </x:c>
      <x:c r="D219" s="9" t="str">
        <x:v>Top3</x:v>
      </x:c>
      <x:c r="E219" s="9" t="str">
        <x:v>五K原规则</x:v>
      </x:c>
      <x:c r="F219" s="11" t="n">
        <x:f>SUM(O219:R219)</x:f>
        <x:v>115</x:v>
      </x:c>
      <x:c r="G219" s="11" t="n">
        <x:v>115</x:v>
      </x:c>
      <x:c r="H219" s="11" t="n">
        <x:f>O219+P219</x:f>
        <x:v>71</x:v>
      </x:c>
      <x:c r="I219" s="12" t="n">
        <x:f>IF(F219=0,"",H219/F219)</x:f>
        <x:v>0.6173913043478261</x:v>
      </x:c>
      <x:c r="J219" s="12" t="n">
        <x:f>IF(F219=0,"",(O219+R219)/F219)</x:f>
        <x:v>0.7130434782608696</x:v>
      </x:c>
      <x:c r="K219" s="12" t="n">
        <x:f>IF(H219=0,"",O219/H219)</x:f>
        <x:v>0.7183098591549296</x:v>
      </x:c>
      <x:c r="L219" s="12" t="n">
        <x:f>IF(O219+Q219=0,"",O219/(O219+Q219))</x:f>
        <x:v>0.796875</x:v>
      </x:c>
      <x:c r="M219" s="12" t="n">
        <x:f>IF(2*O219+P219+Q219=0,"",2*O219/(2*O219+P219+Q219))</x:f>
        <x:v>0.7555555555555555</x:v>
      </x:c>
      <x:c r="N219" s="12" t="n">
        <x:f>IF(OR(O219+Q219=0,R219+P219=0),"",(L219+R219/(R219+P219))/2)</x:f>
        <x:v>0.702359068627451</x:v>
      </x:c>
      <x:c r="O219" s="11" t="n">
        <x:v>51</x:v>
      </x:c>
      <x:c r="P219" s="11" t="n">
        <x:v>20</x:v>
      </x:c>
      <x:c r="Q219" s="11" t="n">
        <x:v>13</x:v>
      </x:c>
      <x:c r="R219" s="11" t="n">
        <x:v>31</x:v>
      </x:c>
    </x:row>
    <x:row r="220" ht="26" customHeight="1">
      <x:c r="A220" s="13" t="n">
        <x:v>46235</x:v>
      </x:c>
      <x:c r="B220" s="9" t="str">
        <x:v>全部候选</x:v>
      </x:c>
      <x:c r="C220" s="9" t="str">
        <x:v>验证窗口</x:v>
      </x:c>
      <x:c r="D220" s="9" t="str">
        <x:v>Top3</x:v>
      </x:c>
      <x:c r="E220" s="9" t="str">
        <x:v>四K沿用门槛</x:v>
      </x:c>
      <x:c r="F220" s="11" t="n">
        <x:f>SUM(O220:R220)</x:f>
        <x:v>115</x:v>
      </x:c>
      <x:c r="G220" s="11" t="n">
        <x:v>115</x:v>
      </x:c>
      <x:c r="H220" s="11" t="n">
        <x:f>O220+P220</x:f>
        <x:v>70</x:v>
      </x:c>
      <x:c r="I220" s="12" t="n">
        <x:f>IF(F220=0,"",H220/F220)</x:f>
        <x:v>0.6086956521739131</x:v>
      </x:c>
      <x:c r="J220" s="12" t="n">
        <x:f>IF(F220=0,"",(O220+R220)/F220)</x:f>
        <x:v>0.7217391304347827</x:v>
      </x:c>
      <x:c r="K220" s="12" t="n">
        <x:f>IF(H220=0,"",O220/H220)</x:f>
        <x:v>0.7285714285714285</x:v>
      </x:c>
      <x:c r="L220" s="12" t="n">
        <x:f>IF(O220+Q220=0,"",O220/(O220+Q220))</x:f>
        <x:v>0.796875</x:v>
      </x:c>
      <x:c r="M220" s="12" t="n">
        <x:f>IF(2*O220+P220+Q220=0,"",2*O220/(2*O220+P220+Q220))</x:f>
        <x:v>0.7611940298507462</x:v>
      </x:c>
      <x:c r="N220" s="12" t="n">
        <x:f>IF(OR(O220+Q220=0,R220+P220=0),"",(L220+R220/(R220+P220))/2)</x:f>
        <x:v>0.7121629901960784</x:v>
      </x:c>
      <x:c r="O220" s="11" t="n">
        <x:v>51</x:v>
      </x:c>
      <x:c r="P220" s="11" t="n">
        <x:v>19</x:v>
      </x:c>
      <x:c r="Q220" s="11" t="n">
        <x:v>13</x:v>
      </x:c>
      <x:c r="R220" s="11" t="n">
        <x:v>32</x:v>
      </x:c>
    </x:row>
    <x:row r="221" ht="26" customHeight="1">
      <x:c r="A221" s="13" t="n">
        <x:v>46235</x:v>
      </x:c>
      <x:c r="B221" s="9" t="str">
        <x:v>全部候选</x:v>
      </x:c>
      <x:c r="C221" s="9" t="str">
        <x:v>验证窗口</x:v>
      </x:c>
      <x:c r="D221" s="9" t="str">
        <x:v>Top3</x:v>
      </x:c>
      <x:c r="E221" s="9" t="str">
        <x:v>四K重选规则</x:v>
      </x:c>
      <x:c r="F221" s="11" t="n">
        <x:f>SUM(O221:R221)</x:f>
        <x:v>115</x:v>
      </x:c>
      <x:c r="G221" s="11" t="n">
        <x:v>115</x:v>
      </x:c>
      <x:c r="H221" s="11" t="n">
        <x:f>O221+P221</x:f>
        <x:v>86</x:v>
      </x:c>
      <x:c r="I221" s="12" t="n">
        <x:f>IF(F221=0,"",H221/F221)</x:f>
        <x:v>0.7478260869565218</x:v>
      </x:c>
      <x:c r="J221" s="12" t="n">
        <x:f>IF(F221=0,"",(O221+R221)/F221)</x:f>
        <x:v>0.6869565217391305</x:v>
      </x:c>
      <x:c r="K221" s="12" t="n">
        <x:f>IF(H221=0,"",O221/H221)</x:f>
        <x:v>0.6627906976744186</x:v>
      </x:c>
      <x:c r="L221" s="12" t="n">
        <x:f>IF(O221+Q221=0,"",O221/(O221+Q221))</x:f>
        <x:v>0.890625</x:v>
      </x:c>
      <x:c r="M221" s="12" t="n">
        <x:f>IF(2*O221+P221+Q221=0,"",2*O221/(2*O221+P221+Q221))</x:f>
        <x:v>0.76</x:v>
      </x:c>
      <x:c r="N221" s="12" t="n">
        <x:f>IF(OR(O221+Q221=0,R221+P221=0),"",(L221+R221/(R221+P221))/2)</x:f>
        <x:v>0.6609987745098039</x:v>
      </x:c>
      <x:c r="O221" s="11" t="n">
        <x:v>57</x:v>
      </x:c>
      <x:c r="P221" s="11" t="n">
        <x:v>29</x:v>
      </x:c>
      <x:c r="Q221" s="11" t="n">
        <x:v>7</x:v>
      </x:c>
      <x:c r="R221" s="11" t="n">
        <x:v>22</x:v>
      </x:c>
    </x:row>
    <x:row r="222" ht="26" customHeight="1">
      <x:c r="A222" s="13" t="n">
        <x:v>46266</x:v>
      </x:c>
      <x:c r="B222" s="9" t="str">
        <x:v>全部候选</x:v>
      </x:c>
      <x:c r="C222" s="9" t="str">
        <x:v>测试</x:v>
      </x:c>
      <x:c r="D222" s="9" t="str">
        <x:v>Top3</x:v>
      </x:c>
      <x:c r="E222" s="9" t="str">
        <x:v>不判形态</x:v>
      </x:c>
      <x:c r="F222" s="11" t="n">
        <x:f>SUM(O222:R222)</x:f>
        <x:v>63</x:v>
      </x:c>
      <x:c r="G222" s="11" t="n">
        <x:v>63</x:v>
      </x:c>
      <x:c r="H222" s="11" t="n">
        <x:f>O222+P222</x:f>
        <x:v>63</x:v>
      </x:c>
      <x:c r="I222" s="12" t="n">
        <x:f>IF(F222=0,"",H222/F222)</x:f>
        <x:v>1</x:v>
      </x:c>
      <x:c r="J222" s="12" t="n">
        <x:f>IF(F222=0,"",(O222+R222)/F222)</x:f>
        <x:v>0.5396825396825397</x:v>
      </x:c>
      <x:c r="K222" s="12" t="n">
        <x:f>IF(H222=0,"",O222/H222)</x:f>
        <x:v>0.5396825396825397</x:v>
      </x:c>
      <x:c r="L222" s="12" t="n">
        <x:f>IF(O222+Q222=0,"",O222/(O222+Q222))</x:f>
        <x:v>1</x:v>
      </x:c>
      <x:c r="M222" s="12" t="n">
        <x:f>IF(2*O222+P222+Q222=0,"",2*O222/(2*O222+P222+Q222))</x:f>
        <x:v>0.7010309278350515</x:v>
      </x:c>
      <x:c r="N222" s="12" t="n">
        <x:f>IF(OR(O222+Q222=0,R222+P222=0),"",(L222+R222/(R222+P222))/2)</x:f>
        <x:v>0.5</x:v>
      </x:c>
      <x:c r="O222" s="11" t="n">
        <x:v>34</x:v>
      </x:c>
      <x:c r="P222" s="11" t="n">
        <x:v>29</x:v>
      </x:c>
      <x:c r="Q222" s="11" t="n">
        <x:v>0</x:v>
      </x:c>
      <x:c r="R222" s="11" t="n">
        <x:v>0</x:v>
      </x:c>
    </x:row>
    <x:row r="223" ht="26" customHeight="1">
      <x:c r="A223" s="13" t="n">
        <x:v>46266</x:v>
      </x:c>
      <x:c r="B223" s="9" t="str">
        <x:v>全部候选</x:v>
      </x:c>
      <x:c r="C223" s="9" t="str">
        <x:v>测试</x:v>
      </x:c>
      <x:c r="D223" s="9" t="str">
        <x:v>Top3</x:v>
      </x:c>
      <x:c r="E223" s="9" t="str">
        <x:v>五K原规则</x:v>
      </x:c>
      <x:c r="F223" s="11" t="n">
        <x:f>SUM(O223:R223)</x:f>
        <x:v>63</x:v>
      </x:c>
      <x:c r="G223" s="11" t="n">
        <x:v>63</x:v>
      </x:c>
      <x:c r="H223" s="11" t="n">
        <x:f>O223+P223</x:f>
        <x:v>38</x:v>
      </x:c>
      <x:c r="I223" s="12" t="n">
        <x:f>IF(F223=0,"",H223/F223)</x:f>
        <x:v>0.6031746031746031</x:v>
      </x:c>
      <x:c r="J223" s="12" t="n">
        <x:f>IF(F223=0,"",(O223+R223)/F223)</x:f>
        <x:v>0.7142857142857143</x:v>
      </x:c>
      <x:c r="K223" s="12" t="n">
        <x:f>IF(H223=0,"",O223/H223)</x:f>
        <x:v>0.7105263157894737</x:v>
      </x:c>
      <x:c r="L223" s="12" t="n">
        <x:f>IF(O223+Q223=0,"",O223/(O223+Q223))</x:f>
        <x:v>0.7941176470588235</x:v>
      </x:c>
      <x:c r="M223" s="12" t="n">
        <x:f>IF(2*O223+P223+Q223=0,"",2*O223/(2*O223+P223+Q223))</x:f>
        <x:v>0.75</x:v>
      </x:c>
      <x:c r="N223" s="12" t="n">
        <x:f>IF(OR(O223+Q223=0,R223+P223=0),"",(L223+R223/(R223+P223))/2)</x:f>
        <x:v>0.7074036511156186</x:v>
      </x:c>
      <x:c r="O223" s="11" t="n">
        <x:v>27</x:v>
      </x:c>
      <x:c r="P223" s="11" t="n">
        <x:v>11</x:v>
      </x:c>
      <x:c r="Q223" s="11" t="n">
        <x:v>7</x:v>
      </x:c>
      <x:c r="R223" s="11" t="n">
        <x:v>18</x:v>
      </x:c>
    </x:row>
    <x:row r="224" ht="26" customHeight="1">
      <x:c r="A224" s="13" t="n">
        <x:v>46266</x:v>
      </x:c>
      <x:c r="B224" s="9" t="str">
        <x:v>全部候选</x:v>
      </x:c>
      <x:c r="C224" s="9" t="str">
        <x:v>测试</x:v>
      </x:c>
      <x:c r="D224" s="9" t="str">
        <x:v>Top3</x:v>
      </x:c>
      <x:c r="E224" s="9" t="str">
        <x:v>四K沿用门槛</x:v>
      </x:c>
      <x:c r="F224" s="11" t="n">
        <x:f>SUM(O224:R224)</x:f>
        <x:v>63</x:v>
      </x:c>
      <x:c r="G224" s="11" t="n">
        <x:v>63</x:v>
      </x:c>
      <x:c r="H224" s="11" t="n">
        <x:f>O224+P224</x:f>
        <x:v>37</x:v>
      </x:c>
      <x:c r="I224" s="12" t="n">
        <x:f>IF(F224=0,"",H224/F224)</x:f>
        <x:v>0.5873015873015873</x:v>
      </x:c>
      <x:c r="J224" s="12" t="n">
        <x:f>IF(F224=0,"",(O224+R224)/F224)</x:f>
        <x:v>0.6984126984126984</x:v>
      </x:c>
      <x:c r="K224" s="12" t="n">
        <x:f>IF(H224=0,"",O224/H224)</x:f>
        <x:v>0.7027027027027027</x:v>
      </x:c>
      <x:c r="L224" s="12" t="n">
        <x:f>IF(O224+Q224=0,"",O224/(O224+Q224))</x:f>
        <x:v>0.7647058823529411</x:v>
      </x:c>
      <x:c r="M224" s="12" t="n">
        <x:f>IF(2*O224+P224+Q224=0,"",2*O224/(2*O224+P224+Q224))</x:f>
        <x:v>0.7323943661971831</x:v>
      </x:c>
      <x:c r="N224" s="12" t="n">
        <x:f>IF(OR(O224+Q224=0,R224+P224=0),"",(L224+R224/(R224+P224))/2)</x:f>
        <x:v>0.6926977687626774</x:v>
      </x:c>
      <x:c r="O224" s="11" t="n">
        <x:v>26</x:v>
      </x:c>
      <x:c r="P224" s="11" t="n">
        <x:v>11</x:v>
      </x:c>
      <x:c r="Q224" s="11" t="n">
        <x:v>8</x:v>
      </x:c>
      <x:c r="R224" s="11" t="n">
        <x:v>18</x:v>
      </x:c>
    </x:row>
    <x:row r="225" ht="26" customHeight="1">
      <x:c r="A225" s="13" t="n">
        <x:v>46266</x:v>
      </x:c>
      <x:c r="B225" s="9" t="str">
        <x:v>全部候选</x:v>
      </x:c>
      <x:c r="C225" s="9" t="str">
        <x:v>测试</x:v>
      </x:c>
      <x:c r="D225" s="9" t="str">
        <x:v>Top3</x:v>
      </x:c>
      <x:c r="E225" s="9" t="str">
        <x:v>四K重选规则</x:v>
      </x:c>
      <x:c r="F225" s="11" t="n">
        <x:f>SUM(O225:R225)</x:f>
        <x:v>63</x:v>
      </x:c>
      <x:c r="G225" s="11" t="n">
        <x:v>63</x:v>
      </x:c>
      <x:c r="H225" s="11" t="n">
        <x:f>O225+P225</x:f>
        <x:v>58</x:v>
      </x:c>
      <x:c r="I225" s="12" t="n">
        <x:f>IF(F225=0,"",H225/F225)</x:f>
        <x:v>0.9206349206349206</x:v>
      </x:c>
      <x:c r="J225" s="12" t="n">
        <x:f>IF(F225=0,"",(O225+R225)/F225)</x:f>
        <x:v>0.5238095238095238</x:v>
      </x:c>
      <x:c r="K225" s="12" t="n">
        <x:f>IF(H225=0,"",O225/H225)</x:f>
        <x:v>0.5344827586206896</x:v>
      </x:c>
      <x:c r="L225" s="12" t="n">
        <x:f>IF(O225+Q225=0,"",O225/(O225+Q225))</x:f>
        <x:v>0.9117647058823529</x:v>
      </x:c>
      <x:c r="M225" s="12" t="n">
        <x:f>IF(2*O225+P225+Q225=0,"",2*O225/(2*O225+P225+Q225))</x:f>
        <x:v>0.6739130434782609</x:v>
      </x:c>
      <x:c r="N225" s="12" t="n">
        <x:f>IF(OR(O225+Q225=0,R225+P225=0),"",(L225+R225/(R225+P225))/2)</x:f>
        <x:v>0.49036511156186613</x:v>
      </x:c>
      <x:c r="O225" s="11" t="n">
        <x:v>31</x:v>
      </x:c>
      <x:c r="P225" s="11" t="n">
        <x:v>27</x:v>
      </x:c>
      <x:c r="Q225" s="11" t="n">
        <x:v>3</x:v>
      </x:c>
      <x:c r="R225" s="11" t="n">
        <x:v>2</x:v>
      </x:c>
    </x:row>
    <x:row r="226" ht="26" customHeight="1">
      <x:c r="A226" s="13" t="n">
        <x:v>46266</x:v>
      </x:c>
      <x:c r="B226" s="9" t="str">
        <x:v>全部候选</x:v>
      </x:c>
      <x:c r="C226" s="9" t="str">
        <x:v>训练窗口</x:v>
      </x:c>
      <x:c r="D226" s="9" t="str">
        <x:v>Top3</x:v>
      </x:c>
      <x:c r="E226" s="9" t="str">
        <x:v>不判形态</x:v>
      </x:c>
      <x:c r="F226" s="11" t="n">
        <x:f>SUM(O226:R226)</x:f>
        <x:v>334</x:v>
      </x:c>
      <x:c r="G226" s="11" t="n">
        <x:v>334</x:v>
      </x:c>
      <x:c r="H226" s="11" t="n">
        <x:f>O226+P226</x:f>
        <x:v>334</x:v>
      </x:c>
      <x:c r="I226" s="12" t="n">
        <x:f>IF(F226=0,"",H226/F226)</x:f>
        <x:v>1</x:v>
      </x:c>
      <x:c r="J226" s="12" t="n">
        <x:f>IF(F226=0,"",(O226+R226)/F226)</x:f>
        <x:v>0.6017964071856288</x:v>
      </x:c>
      <x:c r="K226" s="12" t="n">
        <x:f>IF(H226=0,"",O226/H226)</x:f>
        <x:v>0.6017964071856288</x:v>
      </x:c>
      <x:c r="L226" s="12" t="n">
        <x:f>IF(O226+Q226=0,"",O226/(O226+Q226))</x:f>
        <x:v>1</x:v>
      </x:c>
      <x:c r="M226" s="12" t="n">
        <x:f>IF(2*O226+P226+Q226=0,"",2*O226/(2*O226+P226+Q226))</x:f>
        <x:v>0.7514018691588785</x:v>
      </x:c>
      <x:c r="N226" s="12" t="n">
        <x:f>IF(OR(O226+Q226=0,R226+P226=0),"",(L226+R226/(R226+P226))/2)</x:f>
        <x:v>0.5</x:v>
      </x:c>
      <x:c r="O226" s="11" t="n">
        <x:v>201</x:v>
      </x:c>
      <x:c r="P226" s="11" t="n">
        <x:v>133</x:v>
      </x:c>
      <x:c r="Q226" s="11" t="n">
        <x:v>0</x:v>
      </x:c>
      <x:c r="R226" s="11" t="n">
        <x:v>0</x:v>
      </x:c>
    </x:row>
    <x:row r="227" ht="26" customHeight="1">
      <x:c r="A227" s="13" t="n">
        <x:v>46266</x:v>
      </x:c>
      <x:c r="B227" s="9" t="str">
        <x:v>全部候选</x:v>
      </x:c>
      <x:c r="C227" s="9" t="str">
        <x:v>训练窗口</x:v>
      </x:c>
      <x:c r="D227" s="9" t="str">
        <x:v>Top3</x:v>
      </x:c>
      <x:c r="E227" s="9" t="str">
        <x:v>五K原规则</x:v>
      </x:c>
      <x:c r="F227" s="11" t="n">
        <x:f>SUM(O227:R227)</x:f>
        <x:v>334</x:v>
      </x:c>
      <x:c r="G227" s="11" t="n">
        <x:v>334</x:v>
      </x:c>
      <x:c r="H227" s="11" t="n">
        <x:f>O227+P227</x:f>
        <x:v>200</x:v>
      </x:c>
      <x:c r="I227" s="12" t="n">
        <x:f>IF(F227=0,"",H227/F227)</x:f>
        <x:v>0.5988023952095808</x:v>
      </x:c>
      <x:c r="J227" s="12" t="n">
        <x:f>IF(F227=0,"",(O227+R227)/F227)</x:f>
        <x:v>0.7455089820359282</x:v>
      </x:c>
      <x:c r="K227" s="12" t="n">
        <x:f>IF(H227=0,"",O227/H227)</x:f>
        <x:v>0.79</x:v>
      </x:c>
      <x:c r="L227" s="12" t="n">
        <x:f>IF(O227+Q227=0,"",O227/(O227+Q227))</x:f>
        <x:v>0.7860696517412935</x:v>
      </x:c>
      <x:c r="M227" s="12" t="n">
        <x:f>IF(2*O227+P227+Q227=0,"",2*O227/(2*O227+P227+Q227))</x:f>
        <x:v>0.7880299251870324</x:v>
      </x:c>
      <x:c r="N227" s="12" t="n">
        <x:f>IF(OR(O227+Q227=0,R227+P227=0),"",(L227+R227/(R227+P227))/2)</x:f>
        <x:v>0.7351400890285416</x:v>
      </x:c>
      <x:c r="O227" s="11" t="n">
        <x:v>158</x:v>
      </x:c>
      <x:c r="P227" s="11" t="n">
        <x:v>42</x:v>
      </x:c>
      <x:c r="Q227" s="11" t="n">
        <x:v>43</x:v>
      </x:c>
      <x:c r="R227" s="11" t="n">
        <x:v>91</x:v>
      </x:c>
    </x:row>
    <x:row r="228" ht="26" customHeight="1">
      <x:c r="A228" s="13" t="n">
        <x:v>46266</x:v>
      </x:c>
      <x:c r="B228" s="9" t="str">
        <x:v>全部候选</x:v>
      </x:c>
      <x:c r="C228" s="9" t="str">
        <x:v>训练窗口</x:v>
      </x:c>
      <x:c r="D228" s="9" t="str">
        <x:v>Top3</x:v>
      </x:c>
      <x:c r="E228" s="9" t="str">
        <x:v>四K沿用门槛</x:v>
      </x:c>
      <x:c r="F228" s="11" t="n">
        <x:f>SUM(O228:R228)</x:f>
        <x:v>334</x:v>
      </x:c>
      <x:c r="G228" s="11" t="n">
        <x:v>334</x:v>
      </x:c>
      <x:c r="H228" s="11" t="n">
        <x:f>O228+P228</x:f>
        <x:v>202</x:v>
      </x:c>
      <x:c r="I228" s="12" t="n">
        <x:f>IF(F228=0,"",H228/F228)</x:f>
        <x:v>0.6047904191616766</x:v>
      </x:c>
      <x:c r="J228" s="12" t="n">
        <x:f>IF(F228=0,"",(O228+R228)/F228)</x:f>
        <x:v>0.7455089820359282</x:v>
      </x:c>
      <x:c r="K228" s="12" t="n">
        <x:f>IF(H228=0,"",O228/H228)</x:f>
        <x:v>0.7871287128712872</x:v>
      </x:c>
      <x:c r="L228" s="12" t="n">
        <x:f>IF(O228+Q228=0,"",O228/(O228+Q228))</x:f>
        <x:v>0.7910447761194029</x:v>
      </x:c>
      <x:c r="M228" s="12" t="n">
        <x:f>IF(2*O228+P228+Q228=0,"",2*O228/(2*O228+P228+Q228))</x:f>
        <x:v>0.7890818858560794</x:v>
      </x:c>
      <x:c r="N228" s="12" t="n">
        <x:f>IF(OR(O228+Q228=0,R228+P228=0),"",(L228+R228/(R228+P228))/2)</x:f>
        <x:v>0.7338682527213556</x:v>
      </x:c>
      <x:c r="O228" s="11" t="n">
        <x:v>159</x:v>
      </x:c>
      <x:c r="P228" s="11" t="n">
        <x:v>43</x:v>
      </x:c>
      <x:c r="Q228" s="11" t="n">
        <x:v>42</x:v>
      </x:c>
      <x:c r="R228" s="11" t="n">
        <x:v>90</x:v>
      </x:c>
    </x:row>
    <x:row r="229" ht="26" customHeight="1">
      <x:c r="A229" s="13" t="n">
        <x:v>46266</x:v>
      </x:c>
      <x:c r="B229" s="9" t="str">
        <x:v>全部候选</x:v>
      </x:c>
      <x:c r="C229" s="9" t="str">
        <x:v>训练窗口</x:v>
      </x:c>
      <x:c r="D229" s="9" t="str">
        <x:v>Top3</x:v>
      </x:c>
      <x:c r="E229" s="9" t="str">
        <x:v>四K重选规则</x:v>
      </x:c>
      <x:c r="F229" s="11" t="n">
        <x:f>SUM(O229:R229)</x:f>
        <x:v>334</x:v>
      </x:c>
      <x:c r="G229" s="11" t="n">
        <x:v>334</x:v>
      </x:c>
      <x:c r="H229" s="11" t="n">
        <x:f>O229+P229</x:f>
        <x:v>306</x:v>
      </x:c>
      <x:c r="I229" s="12" t="n">
        <x:f>IF(F229=0,"",H229/F229)</x:f>
        <x:v>0.9161676646706587</x:v>
      </x:c>
      <x:c r="J229" s="12" t="n">
        <x:f>IF(F229=0,"",(O229+R229)/F229)</x:f>
        <x:v>0.6616766467065869</x:v>
      </x:c>
      <x:c r="K229" s="12" t="n">
        <x:f>IF(H229=0,"",O229/H229)</x:f>
        <x:v>0.6437908496732027</x:v>
      </x:c>
      <x:c r="L229" s="12" t="n">
        <x:f>IF(O229+Q229=0,"",O229/(O229+Q229))</x:f>
        <x:v>0.9800995024875622</x:v>
      </x:c>
      <x:c r="M229" s="12" t="n">
        <x:f>IF(2*O229+P229+Q229=0,"",2*O229/(2*O229+P229+Q229))</x:f>
        <x:v>0.777120315581854</x:v>
      </x:c>
      <x:c r="N229" s="12" t="n">
        <x:f>IF(OR(O229+Q229=0,R229+P229=0),"",(L229+R229/(R229+P229))/2)</x:f>
        <x:v>0.5802753151535556</x:v>
      </x:c>
      <x:c r="O229" s="11" t="n">
        <x:v>197</x:v>
      </x:c>
      <x:c r="P229" s="11" t="n">
        <x:v>109</x:v>
      </x:c>
      <x:c r="Q229" s="11" t="n">
        <x:v>4</x:v>
      </x:c>
      <x:c r="R229" s="11" t="n">
        <x:v>24</x:v>
      </x:c>
    </x:row>
    <x:row r="230" ht="26" customHeight="1">
      <x:c r="A230" s="13" t="n">
        <x:v>46266</x:v>
      </x:c>
      <x:c r="B230" s="9" t="str">
        <x:v>全部候选</x:v>
      </x:c>
      <x:c r="C230" s="9" t="str">
        <x:v>验证窗口</x:v>
      </x:c>
      <x:c r="D230" s="9" t="str">
        <x:v>Top3</x:v>
      </x:c>
      <x:c r="E230" s="9" t="str">
        <x:v>不判形态</x:v>
      </x:c>
      <x:c r="F230" s="11" t="n">
        <x:f>SUM(O230:R230)</x:f>
        <x:v>116</x:v>
      </x:c>
      <x:c r="G230" s="11" t="n">
        <x:v>116</x:v>
      </x:c>
      <x:c r="H230" s="11" t="n">
        <x:f>O230+P230</x:f>
        <x:v>116</x:v>
      </x:c>
      <x:c r="I230" s="12" t="n">
        <x:f>IF(F230=0,"",H230/F230)</x:f>
        <x:v>1</x:v>
      </x:c>
      <x:c r="J230" s="12" t="n">
        <x:f>IF(F230=0,"",(O230+R230)/F230)</x:f>
        <x:v>0.5948275862068966</x:v>
      </x:c>
      <x:c r="K230" s="12" t="n">
        <x:f>IF(H230=0,"",O230/H230)</x:f>
        <x:v>0.5948275862068966</x:v>
      </x:c>
      <x:c r="L230" s="12" t="n">
        <x:f>IF(O230+Q230=0,"",O230/(O230+Q230))</x:f>
        <x:v>1</x:v>
      </x:c>
      <x:c r="M230" s="12" t="n">
        <x:f>IF(2*O230+P230+Q230=0,"",2*O230/(2*O230+P230+Q230))</x:f>
        <x:v>0.745945945945946</x:v>
      </x:c>
      <x:c r="N230" s="12" t="n">
        <x:f>IF(OR(O230+Q230=0,R230+P230=0),"",(L230+R230/(R230+P230))/2)</x:f>
        <x:v>0.5</x:v>
      </x:c>
      <x:c r="O230" s="11" t="n">
        <x:v>69</x:v>
      </x:c>
      <x:c r="P230" s="11" t="n">
        <x:v>47</x:v>
      </x:c>
      <x:c r="Q230" s="11" t="n">
        <x:v>0</x:v>
      </x:c>
      <x:c r="R230" s="11" t="n">
        <x:v>0</x:v>
      </x:c>
    </x:row>
    <x:row r="231" ht="26" customHeight="1">
      <x:c r="A231" s="13" t="n">
        <x:v>46266</x:v>
      </x:c>
      <x:c r="B231" s="9" t="str">
        <x:v>全部候选</x:v>
      </x:c>
      <x:c r="C231" s="9" t="str">
        <x:v>验证窗口</x:v>
      </x:c>
      <x:c r="D231" s="9" t="str">
        <x:v>Top3</x:v>
      </x:c>
      <x:c r="E231" s="9" t="str">
        <x:v>五K原规则</x:v>
      </x:c>
      <x:c r="F231" s="11" t="n">
        <x:f>SUM(O231:R231)</x:f>
        <x:v>116</x:v>
      </x:c>
      <x:c r="G231" s="11" t="n">
        <x:v>116</x:v>
      </x:c>
      <x:c r="H231" s="11" t="n">
        <x:f>O231+P231</x:f>
        <x:v>70</x:v>
      </x:c>
      <x:c r="I231" s="12" t="n">
        <x:f>IF(F231=0,"",H231/F231)</x:f>
        <x:v>0.603448275862069</x:v>
      </x:c>
      <x:c r="J231" s="12" t="n">
        <x:f>IF(F231=0,"",(O231+R231)/F231)</x:f>
        <x:v>0.8189655172413793</x:v>
      </x:c>
      <x:c r="K231" s="12" t="n">
        <x:f>IF(H231=0,"",O231/H231)</x:f>
        <x:v>0.8428571428571429</x:v>
      </x:c>
      <x:c r="L231" s="12" t="n">
        <x:f>IF(O231+Q231=0,"",O231/(O231+Q231))</x:f>
        <x:v>0.855072463768116</x:v>
      </x:c>
      <x:c r="M231" s="12" t="n">
        <x:f>IF(2*O231+P231+Q231=0,"",2*O231/(2*O231+P231+Q231))</x:f>
        <x:v>0.8489208633093526</x:v>
      </x:c>
      <x:c r="N231" s="12" t="n">
        <x:f>IF(OR(O231+Q231=0,R231+P231=0),"",(L231+R231/(R231+P231))/2)</x:f>
        <x:v>0.8105149552883133</x:v>
      </x:c>
      <x:c r="O231" s="11" t="n">
        <x:v>59</x:v>
      </x:c>
      <x:c r="P231" s="11" t="n">
        <x:v>11</x:v>
      </x:c>
      <x:c r="Q231" s="11" t="n">
        <x:v>10</x:v>
      </x:c>
      <x:c r="R231" s="11" t="n">
        <x:v>36</x:v>
      </x:c>
    </x:row>
    <x:row r="232" ht="26" customHeight="1">
      <x:c r="A232" s="13" t="n">
        <x:v>46266</x:v>
      </x:c>
      <x:c r="B232" s="9" t="str">
        <x:v>全部候选</x:v>
      </x:c>
      <x:c r="C232" s="9" t="str">
        <x:v>验证窗口</x:v>
      </x:c>
      <x:c r="D232" s="9" t="str">
        <x:v>Top3</x:v>
      </x:c>
      <x:c r="E232" s="9" t="str">
        <x:v>四K沿用门槛</x:v>
      </x:c>
      <x:c r="F232" s="11" t="n">
        <x:f>SUM(O232:R232)</x:f>
        <x:v>116</x:v>
      </x:c>
      <x:c r="G232" s="11" t="n">
        <x:v>116</x:v>
      </x:c>
      <x:c r="H232" s="11" t="n">
        <x:f>O232+P232</x:f>
        <x:v>71</x:v>
      </x:c>
      <x:c r="I232" s="12" t="n">
        <x:f>IF(F232=0,"",H232/F232)</x:f>
        <x:v>0.6120689655172413</x:v>
      </x:c>
      <x:c r="J232" s="12" t="n">
        <x:f>IF(F232=0,"",(O232+R232)/F232)</x:f>
        <x:v>0.8275862068965517</x:v>
      </x:c>
      <x:c r="K232" s="12" t="n">
        <x:f>IF(H232=0,"",O232/H232)</x:f>
        <x:v>0.8450704225352113</x:v>
      </x:c>
      <x:c r="L232" s="12" t="n">
        <x:f>IF(O232+Q232=0,"",O232/(O232+Q232))</x:f>
        <x:v>0.8695652173913043</x:v>
      </x:c>
      <x:c r="M232" s="12" t="n">
        <x:f>IF(2*O232+P232+Q232=0,"",2*O232/(2*O232+P232+Q232))</x:f>
        <x:v>0.8571428571428571</x:v>
      </x:c>
      <x:c r="N232" s="12" t="n">
        <x:f>IF(OR(O232+Q232=0,R232+P232=0),"",(L232+R232/(R232+P232))/2)</x:f>
        <x:v>0.8177613320999075</x:v>
      </x:c>
      <x:c r="O232" s="11" t="n">
        <x:v>60</x:v>
      </x:c>
      <x:c r="P232" s="11" t="n">
        <x:v>11</x:v>
      </x:c>
      <x:c r="Q232" s="11" t="n">
        <x:v>9</x:v>
      </x:c>
      <x:c r="R232" s="11" t="n">
        <x:v>36</x:v>
      </x:c>
    </x:row>
    <x:row r="233" ht="26" customHeight="1">
      <x:c r="A233" s="13" t="n">
        <x:v>46266</x:v>
      </x:c>
      <x:c r="B233" s="9" t="str">
        <x:v>全部候选</x:v>
      </x:c>
      <x:c r="C233" s="9" t="str">
        <x:v>验证窗口</x:v>
      </x:c>
      <x:c r="D233" s="9" t="str">
        <x:v>Top3</x:v>
      </x:c>
      <x:c r="E233" s="9" t="str">
        <x:v>四K重选规则</x:v>
      </x:c>
      <x:c r="F233" s="11" t="n">
        <x:f>SUM(O233:R233)</x:f>
        <x:v>116</x:v>
      </x:c>
      <x:c r="G233" s="11" t="n">
        <x:v>116</x:v>
      </x:c>
      <x:c r="H233" s="11" t="n">
        <x:f>O233+P233</x:f>
        <x:v>95</x:v>
      </x:c>
      <x:c r="I233" s="12" t="n">
        <x:f>IF(F233=0,"",H233/F233)</x:f>
        <x:v>0.8189655172413793</x:v>
      </x:c>
      <x:c r="J233" s="12" t="n">
        <x:f>IF(F233=0,"",(O233+R233)/F233)</x:f>
        <x:v>0.7413793103448276</x:v>
      </x:c>
      <x:c r="K233" s="12" t="n">
        <x:f>IF(H233=0,"",O233/H233)</x:f>
        <x:v>0.7052631578947368</x:v>
      </x:c>
      <x:c r="L233" s="12" t="n">
        <x:f>IF(O233+Q233=0,"",O233/(O233+Q233))</x:f>
        <x:v>0.9710144927536232</x:v>
      </x:c>
      <x:c r="M233" s="12" t="n">
        <x:f>IF(2*O233+P233+Q233=0,"",2*O233/(2*O233+P233+Q233))</x:f>
        <x:v>0.8170731707317073</x:v>
      </x:c>
      <x:c r="N233" s="12" t="n">
        <x:f>IF(OR(O233+Q233=0,R233+P233=0),"",(L233+R233/(R233+P233))/2)</x:f>
        <x:v>0.6876349059512796</x:v>
      </x:c>
      <x:c r="O233" s="11" t="n">
        <x:v>67</x:v>
      </x:c>
      <x:c r="P233" s="11" t="n">
        <x:v>28</x:v>
      </x:c>
      <x:c r="Q233" s="11" t="n">
        <x:v>2</x:v>
      </x:c>
      <x:c r="R233" s="11" t="n">
        <x:v>19</x:v>
      </x:c>
    </x:row>
    <x:row r="234" ht="26" customHeight="1">
      <x:c r="A234" s="13" t="n">
        <x:v>46296</x:v>
      </x:c>
      <x:c r="B234" s="9" t="str">
        <x:v>全部候选</x:v>
      </x:c>
      <x:c r="C234" s="9" t="str">
        <x:v>测试</x:v>
      </x:c>
      <x:c r="D234" s="9" t="str">
        <x:v>Top3</x:v>
      </x:c>
      <x:c r="E234" s="9" t="str">
        <x:v>不判形态</x:v>
      </x:c>
      <x:c r="F234" s="11" t="n">
        <x:f>SUM(O234:R234)</x:f>
        <x:v>6</x:v>
      </x:c>
      <x:c r="G234" s="11" t="n">
        <x:v>6</x:v>
      </x:c>
      <x:c r="H234" s="11" t="n">
        <x:f>O234+P234</x:f>
        <x:v>6</x:v>
      </x:c>
      <x:c r="I234" s="12" t="n">
        <x:f>IF(F234=0,"",H234/F234)</x:f>
        <x:v>1</x:v>
      </x:c>
      <x:c r="J234" s="12" t="n">
        <x:f>IF(F234=0,"",(O234+R234)/F234)</x:f>
        <x:v>0.6666666666666666</x:v>
      </x:c>
      <x:c r="K234" s="12" t="n">
        <x:f>IF(H234=0,"",O234/H234)</x:f>
        <x:v>0.6666666666666666</x:v>
      </x:c>
      <x:c r="L234" s="12" t="n">
        <x:f>IF(O234+Q234=0,"",O234/(O234+Q234))</x:f>
        <x:v>1</x:v>
      </x:c>
      <x:c r="M234" s="12" t="n">
        <x:f>IF(2*O234+P234+Q234=0,"",2*O234/(2*O234+P234+Q234))</x:f>
        <x:v>0.8</x:v>
      </x:c>
      <x:c r="N234" s="12" t="n">
        <x:f>IF(OR(O234+Q234=0,R234+P234=0),"",(L234+R234/(R234+P234))/2)</x:f>
        <x:v>0.5</x:v>
      </x:c>
      <x:c r="O234" s="11" t="n">
        <x:v>4</x:v>
      </x:c>
      <x:c r="P234" s="11" t="n">
        <x:v>2</x:v>
      </x:c>
      <x:c r="Q234" s="11" t="n">
        <x:v>0</x:v>
      </x:c>
      <x:c r="R234" s="11" t="n">
        <x:v>0</x:v>
      </x:c>
    </x:row>
    <x:row r="235" ht="26" customHeight="1">
      <x:c r="A235" s="13" t="n">
        <x:v>46296</x:v>
      </x:c>
      <x:c r="B235" s="9" t="str">
        <x:v>全部候选</x:v>
      </x:c>
      <x:c r="C235" s="9" t="str">
        <x:v>测试</x:v>
      </x:c>
      <x:c r="D235" s="9" t="str">
        <x:v>Top3</x:v>
      </x:c>
      <x:c r="E235" s="9" t="str">
        <x:v>五K原规则</x:v>
      </x:c>
      <x:c r="F235" s="11" t="n">
        <x:f>SUM(O235:R235)</x:f>
        <x:v>6</x:v>
      </x:c>
      <x:c r="G235" s="11" t="n">
        <x:v>6</x:v>
      </x:c>
      <x:c r="H235" s="11" t="n">
        <x:f>O235+P235</x:f>
        <x:v>5</x:v>
      </x:c>
      <x:c r="I235" s="12" t="n">
        <x:f>IF(F235=0,"",H235/F235)</x:f>
        <x:v>0.8333333333333334</x:v>
      </x:c>
      <x:c r="J235" s="12" t="n">
        <x:f>IF(F235=0,"",(O235+R235)/F235)</x:f>
        <x:v>0.8333333333333334</x:v>
      </x:c>
      <x:c r="K235" s="12" t="n">
        <x:f>IF(H235=0,"",O235/H235)</x:f>
        <x:v>0.8</x:v>
      </x:c>
      <x:c r="L235" s="12" t="n">
        <x:f>IF(O235+Q235=0,"",O235/(O235+Q235))</x:f>
        <x:v>1</x:v>
      </x:c>
      <x:c r="M235" s="12" t="n">
        <x:f>IF(2*O235+P235+Q235=0,"",2*O235/(2*O235+P235+Q235))</x:f>
        <x:v>0.8888888888888888</x:v>
      </x:c>
      <x:c r="N235" s="12" t="n">
        <x:f>IF(OR(O235+Q235=0,R235+P235=0),"",(L235+R235/(R235+P235))/2)</x:f>
        <x:v>0.75</x:v>
      </x:c>
      <x:c r="O235" s="11" t="n">
        <x:v>4</x:v>
      </x:c>
      <x:c r="P235" s="11" t="n">
        <x:v>1</x:v>
      </x:c>
      <x:c r="Q235" s="11" t="n">
        <x:v>0</x:v>
      </x:c>
      <x:c r="R235" s="11" t="n">
        <x:v>1</x:v>
      </x:c>
    </x:row>
    <x:row r="236" ht="26" customHeight="1">
      <x:c r="A236" s="13" t="n">
        <x:v>46296</x:v>
      </x:c>
      <x:c r="B236" s="9" t="str">
        <x:v>全部候选</x:v>
      </x:c>
      <x:c r="C236" s="9" t="str">
        <x:v>测试</x:v>
      </x:c>
      <x:c r="D236" s="9" t="str">
        <x:v>Top3</x:v>
      </x:c>
      <x:c r="E236" s="9" t="str">
        <x:v>四K沿用门槛</x:v>
      </x:c>
      <x:c r="F236" s="11" t="n">
        <x:f>SUM(O236:R236)</x:f>
        <x:v>6</x:v>
      </x:c>
      <x:c r="G236" s="11" t="n">
        <x:v>6</x:v>
      </x:c>
      <x:c r="H236" s="11" t="n">
        <x:f>O236+P236</x:f>
        <x:v>5</x:v>
      </x:c>
      <x:c r="I236" s="12" t="n">
        <x:f>IF(F236=0,"",H236/F236)</x:f>
        <x:v>0.8333333333333334</x:v>
      </x:c>
      <x:c r="J236" s="12" t="n">
        <x:f>IF(F236=0,"",(O236+R236)/F236)</x:f>
        <x:v>0.8333333333333334</x:v>
      </x:c>
      <x:c r="K236" s="12" t="n">
        <x:f>IF(H236=0,"",O236/H236)</x:f>
        <x:v>0.8</x:v>
      </x:c>
      <x:c r="L236" s="12" t="n">
        <x:f>IF(O236+Q236=0,"",O236/(O236+Q236))</x:f>
        <x:v>1</x:v>
      </x:c>
      <x:c r="M236" s="12" t="n">
        <x:f>IF(2*O236+P236+Q236=0,"",2*O236/(2*O236+P236+Q236))</x:f>
        <x:v>0.8888888888888888</x:v>
      </x:c>
      <x:c r="N236" s="12" t="n">
        <x:f>IF(OR(O236+Q236=0,R236+P236=0),"",(L236+R236/(R236+P236))/2)</x:f>
        <x:v>0.75</x:v>
      </x:c>
      <x:c r="O236" s="11" t="n">
        <x:v>4</x:v>
      </x:c>
      <x:c r="P236" s="11" t="n">
        <x:v>1</x:v>
      </x:c>
      <x:c r="Q236" s="11" t="n">
        <x:v>0</x:v>
      </x:c>
      <x:c r="R236" s="11" t="n">
        <x:v>1</x:v>
      </x:c>
    </x:row>
    <x:row r="237" ht="26" customHeight="1">
      <x:c r="A237" s="13" t="n">
        <x:v>46296</x:v>
      </x:c>
      <x:c r="B237" s="9" t="str">
        <x:v>全部候选</x:v>
      </x:c>
      <x:c r="C237" s="9" t="str">
        <x:v>测试</x:v>
      </x:c>
      <x:c r="D237" s="9" t="str">
        <x:v>Top3</x:v>
      </x:c>
      <x:c r="E237" s="9" t="str">
        <x:v>四K重选规则</x:v>
      </x:c>
      <x:c r="F237" s="11" t="n">
        <x:f>SUM(O237:R237)</x:f>
        <x:v>6</x:v>
      </x:c>
      <x:c r="G237" s="11" t="n">
        <x:v>6</x:v>
      </x:c>
      <x:c r="H237" s="11" t="n">
        <x:f>O237+P237</x:f>
        <x:v>5</x:v>
      </x:c>
      <x:c r="I237" s="12" t="n">
        <x:f>IF(F237=0,"",H237/F237)</x:f>
        <x:v>0.8333333333333334</x:v>
      </x:c>
      <x:c r="J237" s="12" t="n">
        <x:f>IF(F237=0,"",(O237+R237)/F237)</x:f>
        <x:v>0.8333333333333334</x:v>
      </x:c>
      <x:c r="K237" s="12" t="n">
        <x:f>IF(H237=0,"",O237/H237)</x:f>
        <x:v>0.8</x:v>
      </x:c>
      <x:c r="L237" s="12" t="n">
        <x:f>IF(O237+Q237=0,"",O237/(O237+Q237))</x:f>
        <x:v>1</x:v>
      </x:c>
      <x:c r="M237" s="12" t="n">
        <x:f>IF(2*O237+P237+Q237=0,"",2*O237/(2*O237+P237+Q237))</x:f>
        <x:v>0.8888888888888888</x:v>
      </x:c>
      <x:c r="N237" s="12" t="n">
        <x:f>IF(OR(O237+Q237=0,R237+P237=0),"",(L237+R237/(R237+P237))/2)</x:f>
        <x:v>0.75</x:v>
      </x:c>
      <x:c r="O237" s="11" t="n">
        <x:v>4</x:v>
      </x:c>
      <x:c r="P237" s="11" t="n">
        <x:v>1</x:v>
      </x:c>
      <x:c r="Q237" s="11" t="n">
        <x:v>0</x:v>
      </x:c>
      <x:c r="R237" s="11" t="n">
        <x:v>1</x:v>
      </x:c>
    </x:row>
    <x:row r="238" ht="26" customHeight="1">
      <x:c r="A238" s="13" t="n">
        <x:v>46296</x:v>
      </x:c>
      <x:c r="B238" s="9" t="str">
        <x:v>全部候选</x:v>
      </x:c>
      <x:c r="C238" s="9" t="str">
        <x:v>训练窗口</x:v>
      </x:c>
      <x:c r="D238" s="9" t="str">
        <x:v>Top3</x:v>
      </x:c>
      <x:c r="E238" s="9" t="str">
        <x:v>不判形态</x:v>
      </x:c>
      <x:c r="F238" s="11" t="n">
        <x:f>SUM(O238:R238)</x:f>
        <x:v>331</x:v>
      </x:c>
      <x:c r="G238" s="11" t="n">
        <x:v>331</x:v>
      </x:c>
      <x:c r="H238" s="11" t="n">
        <x:f>O238+P238</x:f>
        <x:v>331</x:v>
      </x:c>
      <x:c r="I238" s="12" t="n">
        <x:f>IF(F238=0,"",H238/F238)</x:f>
        <x:v>1</x:v>
      </x:c>
      <x:c r="J238" s="12" t="n">
        <x:f>IF(F238=0,"",(O238+R238)/F238)</x:f>
        <x:v>0.5800604229607251</x:v>
      </x:c>
      <x:c r="K238" s="12" t="n">
        <x:f>IF(H238=0,"",O238/H238)</x:f>
        <x:v>0.5800604229607251</x:v>
      </x:c>
      <x:c r="L238" s="12" t="n">
        <x:f>IF(O238+Q238=0,"",O238/(O238+Q238))</x:f>
        <x:v>1</x:v>
      </x:c>
      <x:c r="M238" s="12" t="n">
        <x:f>IF(2*O238+P238+Q238=0,"",2*O238/(2*O238+P238+Q238))</x:f>
        <x:v>0.734225621414914</x:v>
      </x:c>
      <x:c r="N238" s="12" t="n">
        <x:f>IF(OR(O238+Q238=0,R238+P238=0),"",(L238+R238/(R238+P238))/2)</x:f>
        <x:v>0.5</x:v>
      </x:c>
      <x:c r="O238" s="11" t="n">
        <x:v>192</x:v>
      </x:c>
      <x:c r="P238" s="11" t="n">
        <x:v>139</x:v>
      </x:c>
      <x:c r="Q238" s="11" t="n">
        <x:v>0</x:v>
      </x:c>
      <x:c r="R238" s="11" t="n">
        <x:v>0</x:v>
      </x:c>
    </x:row>
    <x:row r="239" ht="26" customHeight="1">
      <x:c r="A239" s="13" t="n">
        <x:v>46296</x:v>
      </x:c>
      <x:c r="B239" s="9" t="str">
        <x:v>全部候选</x:v>
      </x:c>
      <x:c r="C239" s="9" t="str">
        <x:v>训练窗口</x:v>
      </x:c>
      <x:c r="D239" s="9" t="str">
        <x:v>Top3</x:v>
      </x:c>
      <x:c r="E239" s="9" t="str">
        <x:v>五K原规则</x:v>
      </x:c>
      <x:c r="F239" s="11" t="n">
        <x:f>SUM(O239:R239)</x:f>
        <x:v>331</x:v>
      </x:c>
      <x:c r="G239" s="11" t="n">
        <x:v>331</x:v>
      </x:c>
      <x:c r="H239" s="11" t="n">
        <x:f>O239+P239</x:f>
        <x:v>239</x:v>
      </x:c>
      <x:c r="I239" s="12" t="n">
        <x:f>IF(F239=0,"",H239/F239)</x:f>
        <x:v>0.7220543806646526</x:v>
      </x:c>
      <x:c r="J239" s="12" t="n">
        <x:f>IF(F239=0,"",(O239+R239)/F239)</x:f>
        <x:v>0.6888217522658611</x:v>
      </x:c>
      <x:c r="K239" s="12" t="n">
        <x:f>IF(H239=0,"",O239/H239)</x:f>
        <x:v>0.6861924686192469</x:v>
      </x:c>
      <x:c r="L239" s="12" t="n">
        <x:f>IF(O239+Q239=0,"",O239/(O239+Q239))</x:f>
        <x:v>0.8541666666666666</x:v>
      </x:c>
      <x:c r="M239" s="12" t="n">
        <x:f>IF(2*O239+P239+Q239=0,"",2*O239/(2*O239+P239+Q239))</x:f>
        <x:v>0.7610208816705336</x:v>
      </x:c>
      <x:c r="N239" s="12" t="n">
        <x:f>IF(OR(O239+Q239=0,R239+P239=0),"",(L239+R239/(R239+P239))/2)</x:f>
        <x:v>0.6572991606714629</x:v>
      </x:c>
      <x:c r="O239" s="11" t="n">
        <x:v>164</x:v>
      </x:c>
      <x:c r="P239" s="11" t="n">
        <x:v>75</x:v>
      </x:c>
      <x:c r="Q239" s="11" t="n">
        <x:v>28</x:v>
      </x:c>
      <x:c r="R239" s="11" t="n">
        <x:v>64</x:v>
      </x:c>
    </x:row>
    <x:row r="240" ht="26" customHeight="1">
      <x:c r="A240" s="13" t="n">
        <x:v>46296</x:v>
      </x:c>
      <x:c r="B240" s="9" t="str">
        <x:v>全部候选</x:v>
      </x:c>
      <x:c r="C240" s="9" t="str">
        <x:v>训练窗口</x:v>
      </x:c>
      <x:c r="D240" s="9" t="str">
        <x:v>Top3</x:v>
      </x:c>
      <x:c r="E240" s="9" t="str">
        <x:v>四K沿用门槛</x:v>
      </x:c>
      <x:c r="F240" s="11" t="n">
        <x:f>SUM(O240:R240)</x:f>
        <x:v>331</x:v>
      </x:c>
      <x:c r="G240" s="11" t="n">
        <x:v>331</x:v>
      </x:c>
      <x:c r="H240" s="11" t="n">
        <x:f>O240+P240</x:f>
        <x:v>240</x:v>
      </x:c>
      <x:c r="I240" s="12" t="n">
        <x:f>IF(F240=0,"",H240/F240)</x:f>
        <x:v>0.7250755287009063</x:v>
      </x:c>
      <x:c r="J240" s="12" t="n">
        <x:f>IF(F240=0,"",(O240+R240)/F240)</x:f>
        <x:v>0.6918429003021148</x:v>
      </x:c>
      <x:c r="K240" s="12" t="n">
        <x:f>IF(H240=0,"",O240/H240)</x:f>
        <x:v>0.6875</x:v>
      </x:c>
      <x:c r="L240" s="12" t="n">
        <x:f>IF(O240+Q240=0,"",O240/(O240+Q240))</x:f>
        <x:v>0.859375</x:v>
      </x:c>
      <x:c r="M240" s="12" t="n">
        <x:f>IF(2*O240+P240+Q240=0,"",2*O240/(2*O240+P240+Q240))</x:f>
        <x:v>0.7638888888888888</x:v>
      </x:c>
      <x:c r="N240" s="12" t="n">
        <x:f>IF(OR(O240+Q240=0,R240+P240=0),"",(L240+R240/(R240+P240))/2)</x:f>
        <x:v>0.6599033273381295</x:v>
      </x:c>
      <x:c r="O240" s="11" t="n">
        <x:v>165</x:v>
      </x:c>
      <x:c r="P240" s="11" t="n">
        <x:v>75</x:v>
      </x:c>
      <x:c r="Q240" s="11" t="n">
        <x:v>27</x:v>
      </x:c>
      <x:c r="R240" s="11" t="n">
        <x:v>64</x:v>
      </x:c>
    </x:row>
    <x:row r="241" ht="26" customHeight="1">
      <x:c r="A241" s="13" t="n">
        <x:v>46296</x:v>
      </x:c>
      <x:c r="B241" s="9" t="str">
        <x:v>全部候选</x:v>
      </x:c>
      <x:c r="C241" s="9" t="str">
        <x:v>训练窗口</x:v>
      </x:c>
      <x:c r="D241" s="9" t="str">
        <x:v>Top3</x:v>
      </x:c>
      <x:c r="E241" s="9" t="str">
        <x:v>四K重选规则</x:v>
      </x:c>
      <x:c r="F241" s="11" t="n">
        <x:f>SUM(O241:R241)</x:f>
        <x:v>331</x:v>
      </x:c>
      <x:c r="G241" s="11" t="n">
        <x:v>331</x:v>
      </x:c>
      <x:c r="H241" s="11" t="n">
        <x:f>O241+P241</x:f>
        <x:v>190</x:v>
      </x:c>
      <x:c r="I241" s="12" t="n">
        <x:f>IF(F241=0,"",H241/F241)</x:f>
        <x:v>0.5740181268882175</x:v>
      </x:c>
      <x:c r="J241" s="12" t="n">
        <x:f>IF(F241=0,"",(O241+R241)/F241)</x:f>
        <x:v>0.7462235649546828</x:v>
      </x:c>
      <x:c r="K241" s="12" t="n">
        <x:f>IF(H241=0,"",O241/H241)</x:f>
        <x:v>0.7842105263157895</x:v>
      </x:c>
      <x:c r="L241" s="12" t="n">
        <x:f>IF(O241+Q241=0,"",O241/(O241+Q241))</x:f>
        <x:v>0.7760416666666666</x:v>
      </x:c>
      <x:c r="M241" s="12" t="n">
        <x:f>IF(2*O241+P241+Q241=0,"",2*O241/(2*O241+P241+Q241))</x:f>
        <x:v>0.7801047120418848</x:v>
      </x:c>
      <x:c r="N241" s="12" t="n">
        <x:f>IF(OR(O241+Q241=0,R241+P241=0),"",(L241+R241/(R241+P241))/2)</x:f>
        <x:v>0.7405388189448441</x:v>
      </x:c>
      <x:c r="O241" s="11" t="n">
        <x:v>149</x:v>
      </x:c>
      <x:c r="P241" s="11" t="n">
        <x:v>41</x:v>
      </x:c>
      <x:c r="Q241" s="11" t="n">
        <x:v>43</x:v>
      </x:c>
      <x:c r="R241" s="11" t="n">
        <x:v>98</x:v>
      </x:c>
    </x:row>
    <x:row r="242" ht="26" customHeight="1">
      <x:c r="A242" s="13" t="n">
        <x:v>46296</x:v>
      </x:c>
      <x:c r="B242" s="9" t="str">
        <x:v>全部候选</x:v>
      </x:c>
      <x:c r="C242" s="9" t="str">
        <x:v>验证窗口</x:v>
      </x:c>
      <x:c r="D242" s="9" t="str">
        <x:v>Top3</x:v>
      </x:c>
      <x:c r="E242" s="9" t="str">
        <x:v>不判形态</x:v>
      </x:c>
      <x:c r="F242" s="11" t="n">
        <x:f>SUM(O242:R242)</x:f>
        <x:v>114</x:v>
      </x:c>
      <x:c r="G242" s="11" t="n">
        <x:v>114</x:v>
      </x:c>
      <x:c r="H242" s="11" t="n">
        <x:f>O242+P242</x:f>
        <x:v>114</x:v>
      </x:c>
      <x:c r="I242" s="12" t="n">
        <x:f>IF(F242=0,"",H242/F242)</x:f>
        <x:v>1</x:v>
      </x:c>
      <x:c r="J242" s="12" t="n">
        <x:f>IF(F242=0,"",(O242+R242)/F242)</x:f>
        <x:v>0.5964912280701754</x:v>
      </x:c>
      <x:c r="K242" s="12" t="n">
        <x:f>IF(H242=0,"",O242/H242)</x:f>
        <x:v>0.5964912280701754</x:v>
      </x:c>
      <x:c r="L242" s="12" t="n">
        <x:f>IF(O242+Q242=0,"",O242/(O242+Q242))</x:f>
        <x:v>1</x:v>
      </x:c>
      <x:c r="M242" s="12" t="n">
        <x:f>IF(2*O242+P242+Q242=0,"",2*O242/(2*O242+P242+Q242))</x:f>
        <x:v>0.7472527472527473</x:v>
      </x:c>
      <x:c r="N242" s="12" t="n">
        <x:f>IF(OR(O242+Q242=0,R242+P242=0),"",(L242+R242/(R242+P242))/2)</x:f>
        <x:v>0.5</x:v>
      </x:c>
      <x:c r="O242" s="11" t="n">
        <x:v>68</x:v>
      </x:c>
      <x:c r="P242" s="11" t="n">
        <x:v>46</x:v>
      </x:c>
      <x:c r="Q242" s="11" t="n">
        <x:v>0</x:v>
      </x:c>
      <x:c r="R242" s="11" t="n">
        <x:v>0</x:v>
      </x:c>
    </x:row>
    <x:row r="243" ht="26" customHeight="1">
      <x:c r="A243" s="13" t="n">
        <x:v>46296</x:v>
      </x:c>
      <x:c r="B243" s="9" t="str">
        <x:v>全部候选</x:v>
      </x:c>
      <x:c r="C243" s="9" t="str">
        <x:v>验证窗口</x:v>
      </x:c>
      <x:c r="D243" s="9" t="str">
        <x:v>Top3</x:v>
      </x:c>
      <x:c r="E243" s="9" t="str">
        <x:v>五K原规则</x:v>
      </x:c>
      <x:c r="F243" s="11" t="n">
        <x:f>SUM(O243:R243)</x:f>
        <x:v>114</x:v>
      </x:c>
      <x:c r="G243" s="11" t="n">
        <x:v>114</x:v>
      </x:c>
      <x:c r="H243" s="11" t="n">
        <x:f>O243+P243</x:f>
        <x:v>85</x:v>
      </x:c>
      <x:c r="I243" s="12" t="n">
        <x:f>IF(F243=0,"",H243/F243)</x:f>
        <x:v>0.7456140350877193</x:v>
      </x:c>
      <x:c r="J243" s="12" t="n">
        <x:f>IF(F243=0,"",(O243+R243)/F243)</x:f>
        <x:v>0.7280701754385965</x:v>
      </x:c>
      <x:c r="K243" s="12" t="n">
        <x:f>IF(H243=0,"",O243/H243)</x:f>
        <x:v>0.7176470588235294</x:v>
      </x:c>
      <x:c r="L243" s="12" t="n">
        <x:f>IF(O243+Q243=0,"",O243/(O243+Q243))</x:f>
        <x:v>0.8970588235294118</x:v>
      </x:c>
      <x:c r="M243" s="12" t="n">
        <x:f>IF(2*O243+P243+Q243=0,"",2*O243/(2*O243+P243+Q243))</x:f>
        <x:v>0.7973856209150327</x:v>
      </x:c>
      <x:c r="N243" s="12" t="n">
        <x:f>IF(OR(O243+Q243=0,R243+P243=0),"",(L243+R243/(R243+P243))/2)</x:f>
        <x:v>0.6876598465473146</x:v>
      </x:c>
      <x:c r="O243" s="11" t="n">
        <x:v>61</x:v>
      </x:c>
      <x:c r="P243" s="11" t="n">
        <x:v>24</x:v>
      </x:c>
      <x:c r="Q243" s="11" t="n">
        <x:v>7</x:v>
      </x:c>
      <x:c r="R243" s="11" t="n">
        <x:v>22</x:v>
      </x:c>
    </x:row>
    <x:row r="244" ht="26" customHeight="1">
      <x:c r="A244" s="13" t="n">
        <x:v>46296</x:v>
      </x:c>
      <x:c r="B244" s="9" t="str">
        <x:v>全部候选</x:v>
      </x:c>
      <x:c r="C244" s="9" t="str">
        <x:v>验证窗口</x:v>
      </x:c>
      <x:c r="D244" s="9" t="str">
        <x:v>Top3</x:v>
      </x:c>
      <x:c r="E244" s="9" t="str">
        <x:v>四K沿用门槛</x:v>
      </x:c>
      <x:c r="F244" s="11" t="n">
        <x:f>SUM(O244:R244)</x:f>
        <x:v>114</x:v>
      </x:c>
      <x:c r="G244" s="11" t="n">
        <x:v>114</x:v>
      </x:c>
      <x:c r="H244" s="11" t="n">
        <x:f>O244+P244</x:f>
        <x:v>86</x:v>
      </x:c>
      <x:c r="I244" s="12" t="n">
        <x:f>IF(F244=0,"",H244/F244)</x:f>
        <x:v>0.7543859649122807</x:v>
      </x:c>
      <x:c r="J244" s="12" t="n">
        <x:f>IF(F244=0,"",(O244+R244)/F244)</x:f>
        <x:v>0.6842105263157895</x:v>
      </x:c>
      <x:c r="K244" s="12" t="n">
        <x:f>IF(H244=0,"",O244/H244)</x:f>
        <x:v>0.686046511627907</x:v>
      </x:c>
      <x:c r="L244" s="12" t="n">
        <x:f>IF(O244+Q244=0,"",O244/(O244+Q244))</x:f>
        <x:v>0.8676470588235294</x:v>
      </x:c>
      <x:c r="M244" s="12" t="n">
        <x:f>IF(2*O244+P244+Q244=0,"",2*O244/(2*O244+P244+Q244))</x:f>
        <x:v>0.7662337662337663</x:v>
      </x:c>
      <x:c r="N244" s="12" t="n">
        <x:f>IF(OR(O244+Q244=0,R244+P244=0),"",(L244+R244/(R244+P244))/2)</x:f>
        <x:v>0.6403452685421995</x:v>
      </x:c>
      <x:c r="O244" s="11" t="n">
        <x:v>59</x:v>
      </x:c>
      <x:c r="P244" s="11" t="n">
        <x:v>27</x:v>
      </x:c>
      <x:c r="Q244" s="11" t="n">
        <x:v>9</x:v>
      </x:c>
      <x:c r="R244" s="11" t="n">
        <x:v>19</x:v>
      </x:c>
    </x:row>
    <x:row r="245" ht="26" customHeight="1">
      <x:c r="A245" s="13" t="n">
        <x:v>46296</x:v>
      </x:c>
      <x:c r="B245" s="9" t="str">
        <x:v>全部候选</x:v>
      </x:c>
      <x:c r="C245" s="9" t="str">
        <x:v>验证窗口</x:v>
      </x:c>
      <x:c r="D245" s="9" t="str">
        <x:v>Top3</x:v>
      </x:c>
      <x:c r="E245" s="9" t="str">
        <x:v>四K重选规则</x:v>
      </x:c>
      <x:c r="F245" s="11" t="n">
        <x:f>SUM(O245:R245)</x:f>
        <x:v>114</x:v>
      </x:c>
      <x:c r="G245" s="11" t="n">
        <x:v>114</x:v>
      </x:c>
      <x:c r="H245" s="11" t="n">
        <x:f>O245+P245</x:f>
        <x:v>73</x:v>
      </x:c>
      <x:c r="I245" s="12" t="n">
        <x:f>IF(F245=0,"",H245/F245)</x:f>
        <x:v>0.6403508771929824</x:v>
      </x:c>
      <x:c r="J245" s="12" t="n">
        <x:f>IF(F245=0,"",(O245+R245)/F245)</x:f>
        <x:v>0.7982456140350878</x:v>
      </x:c>
      <x:c r="K245" s="12" t="n">
        <x:f>IF(H245=0,"",O245/H245)</x:f>
        <x:v>0.8082191780821918</x:v>
      </x:c>
      <x:c r="L245" s="12" t="n">
        <x:f>IF(O245+Q245=0,"",O245/(O245+Q245))</x:f>
        <x:v>0.8676470588235294</x:v>
      </x:c>
      <x:c r="M245" s="12" t="n">
        <x:f>IF(2*O245+P245+Q245=0,"",2*O245/(2*O245+P245+Q245))</x:f>
        <x:v>0.8368794326241135</x:v>
      </x:c>
      <x:c r="N245" s="12" t="n">
        <x:f>IF(OR(O245+Q245=0,R245+P245=0),"",(L245+R245/(R245+P245))/2)</x:f>
        <x:v>0.7816496163682864</x:v>
      </x:c>
      <x:c r="O245" s="11" t="n">
        <x:v>59</x:v>
      </x:c>
      <x:c r="P245" s="11" t="n">
        <x:v>14</x:v>
      </x:c>
      <x:c r="Q245" s="11" t="n">
        <x:v>9</x:v>
      </x:c>
      <x:c r="R245" s="11" t="n">
        <x:v>32</x:v>
      </x:c>
    </x:row>
    <x:row r="246" ht="26" customHeight="1">
      <x:c r="A246" s="13" t="n">
        <x:v>46023</x:v>
      </x:c>
      <x:c r="B246" s="9" t="str">
        <x:v>共同可买</x:v>
      </x:c>
      <x:c r="C246" s="9" t="str">
        <x:v>测试</x:v>
      </x:c>
      <x:c r="D246" s="9" t="str">
        <x:v>Top1</x:v>
      </x:c>
      <x:c r="E246" s="9" t="str">
        <x:v>不判形态</x:v>
      </x:c>
      <x:c r="F246" s="11" t="n">
        <x:f>SUM(O246:R246)</x:f>
        <x:v>14</x:v>
      </x:c>
      <x:c r="G246" s="11" t="n">
        <x:v>14</x:v>
      </x:c>
      <x:c r="H246" s="11" t="n">
        <x:f>O246+P246</x:f>
        <x:v>14</x:v>
      </x:c>
      <x:c r="I246" s="12" t="n">
        <x:f>IF(F246=0,"",H246/F246)</x:f>
        <x:v>1</x:v>
      </x:c>
      <x:c r="J246" s="12" t="n">
        <x:f>IF(F246=0,"",(O246+R246)/F246)</x:f>
        <x:v>0.5714285714285714</x:v>
      </x:c>
      <x:c r="K246" s="12" t="n">
        <x:f>IF(H246=0,"",O246/H246)</x:f>
        <x:v>0.5714285714285714</x:v>
      </x:c>
      <x:c r="L246" s="12" t="n">
        <x:f>IF(O246+Q246=0,"",O246/(O246+Q246))</x:f>
        <x:v>1</x:v>
      </x:c>
      <x:c r="M246" s="12" t="n">
        <x:f>IF(2*O246+P246+Q246=0,"",2*O246/(2*O246+P246+Q246))</x:f>
        <x:v>0.7272727272727273</x:v>
      </x:c>
      <x:c r="N246" s="12" t="n">
        <x:f>IF(OR(O246+Q246=0,R246+P246=0),"",(L246+R246/(R246+P246))/2)</x:f>
        <x:v>0.5</x:v>
      </x:c>
      <x:c r="O246" s="11" t="n">
        <x:v>8</x:v>
      </x:c>
      <x:c r="P246" s="11" t="n">
        <x:v>6</x:v>
      </x:c>
      <x:c r="Q246" s="11" t="n">
        <x:v>0</x:v>
      </x:c>
      <x:c r="R246" s="11" t="n">
        <x:v>0</x:v>
      </x:c>
    </x:row>
    <x:row r="247" ht="26" customHeight="1">
      <x:c r="A247" s="13" t="n">
        <x:v>46023</x:v>
      </x:c>
      <x:c r="B247" s="9" t="str">
        <x:v>共同可买</x:v>
      </x:c>
      <x:c r="C247" s="9" t="str">
        <x:v>测试</x:v>
      </x:c>
      <x:c r="D247" s="9" t="str">
        <x:v>Top1</x:v>
      </x:c>
      <x:c r="E247" s="9" t="str">
        <x:v>五K原规则</x:v>
      </x:c>
      <x:c r="F247" s="11" t="n">
        <x:f>SUM(O247:R247)</x:f>
        <x:v>14</x:v>
      </x:c>
      <x:c r="G247" s="11" t="n">
        <x:v>14</x:v>
      </x:c>
      <x:c r="H247" s="11" t="n">
        <x:f>O247+P247</x:f>
        <x:v>9</x:v>
      </x:c>
      <x:c r="I247" s="12" t="n">
        <x:f>IF(F247=0,"",H247/F247)</x:f>
        <x:v>0.6428571428571429</x:v>
      </x:c>
      <x:c r="J247" s="12" t="n">
        <x:f>IF(F247=0,"",(O247+R247)/F247)</x:f>
        <x:v>0.9285714285714286</x:v>
      </x:c>
      <x:c r="K247" s="12" t="n">
        <x:f>IF(H247=0,"",O247/H247)</x:f>
        <x:v>0.8888888888888888</x:v>
      </x:c>
      <x:c r="L247" s="12" t="n">
        <x:f>IF(O247+Q247=0,"",O247/(O247+Q247))</x:f>
        <x:v>1</x:v>
      </x:c>
      <x:c r="M247" s="12" t="n">
        <x:f>IF(2*O247+P247+Q247=0,"",2*O247/(2*O247+P247+Q247))</x:f>
        <x:v>0.9411764705882353</x:v>
      </x:c>
      <x:c r="N247" s="12" t="n">
        <x:f>IF(OR(O247+Q247=0,R247+P247=0),"",(L247+R247/(R247+P247))/2)</x:f>
        <x:v>0.9166666666666667</x:v>
      </x:c>
      <x:c r="O247" s="11" t="n">
        <x:v>8</x:v>
      </x:c>
      <x:c r="P247" s="11" t="n">
        <x:v>1</x:v>
      </x:c>
      <x:c r="Q247" s="11" t="n">
        <x:v>0</x:v>
      </x:c>
      <x:c r="R247" s="11" t="n">
        <x:v>5</x:v>
      </x:c>
    </x:row>
    <x:row r="248" ht="26" customHeight="1">
      <x:c r="A248" s="13" t="n">
        <x:v>46023</x:v>
      </x:c>
      <x:c r="B248" s="9" t="str">
        <x:v>共同可买</x:v>
      </x:c>
      <x:c r="C248" s="9" t="str">
        <x:v>测试</x:v>
      </x:c>
      <x:c r="D248" s="9" t="str">
        <x:v>Top1</x:v>
      </x:c>
      <x:c r="E248" s="9" t="str">
        <x:v>四K沿用门槛</x:v>
      </x:c>
      <x:c r="F248" s="11" t="n">
        <x:f>SUM(O248:R248)</x:f>
        <x:v>14</x:v>
      </x:c>
      <x:c r="G248" s="11" t="n">
        <x:v>14</x:v>
      </x:c>
      <x:c r="H248" s="11" t="n">
        <x:f>O248+P248</x:f>
        <x:v>10</x:v>
      </x:c>
      <x:c r="I248" s="12" t="n">
        <x:f>IF(F248=0,"",H248/F248)</x:f>
        <x:v>0.7142857142857143</x:v>
      </x:c>
      <x:c r="J248" s="12" t="n">
        <x:f>IF(F248=0,"",(O248+R248)/F248)</x:f>
        <x:v>0.8571428571428571</x:v>
      </x:c>
      <x:c r="K248" s="12" t="n">
        <x:f>IF(H248=0,"",O248/H248)</x:f>
        <x:v>0.8</x:v>
      </x:c>
      <x:c r="L248" s="12" t="n">
        <x:f>IF(O248+Q248=0,"",O248/(O248+Q248))</x:f>
        <x:v>1</x:v>
      </x:c>
      <x:c r="M248" s="12" t="n">
        <x:f>IF(2*O248+P248+Q248=0,"",2*O248/(2*O248+P248+Q248))</x:f>
        <x:v>0.8888888888888888</x:v>
      </x:c>
      <x:c r="N248" s="12" t="n">
        <x:f>IF(OR(O248+Q248=0,R248+P248=0),"",(L248+R248/(R248+P248))/2)</x:f>
        <x:v>0.8333333333333333</x:v>
      </x:c>
      <x:c r="O248" s="11" t="n">
        <x:v>8</x:v>
      </x:c>
      <x:c r="P248" s="11" t="n">
        <x:v>2</x:v>
      </x:c>
      <x:c r="Q248" s="11" t="n">
        <x:v>0</x:v>
      </x:c>
      <x:c r="R248" s="11" t="n">
        <x:v>4</x:v>
      </x:c>
    </x:row>
    <x:row r="249" ht="26" customHeight="1">
      <x:c r="A249" s="13" t="n">
        <x:v>46023</x:v>
      </x:c>
      <x:c r="B249" s="9" t="str">
        <x:v>共同可买</x:v>
      </x:c>
      <x:c r="C249" s="9" t="str">
        <x:v>测试</x:v>
      </x:c>
      <x:c r="D249" s="9" t="str">
        <x:v>Top1</x:v>
      </x:c>
      <x:c r="E249" s="9" t="str">
        <x:v>四K重选规则</x:v>
      </x:c>
      <x:c r="F249" s="11" t="n">
        <x:f>SUM(O249:R249)</x:f>
        <x:v>14</x:v>
      </x:c>
      <x:c r="G249" s="11" t="n">
        <x:v>14</x:v>
      </x:c>
      <x:c r="H249" s="11" t="n">
        <x:f>O249+P249</x:f>
        <x:v>4</x:v>
      </x:c>
      <x:c r="I249" s="12" t="n">
        <x:f>IF(F249=0,"",H249/F249)</x:f>
        <x:v>0.2857142857142857</x:v>
      </x:c>
      <x:c r="J249" s="12" t="n">
        <x:f>IF(F249=0,"",(O249+R249)/F249)</x:f>
        <x:v>0.5714285714285714</x:v>
      </x:c>
      <x:c r="K249" s="12" t="n">
        <x:f>IF(H249=0,"",O249/H249)</x:f>
        <x:v>0.75</x:v>
      </x:c>
      <x:c r="L249" s="12" t="n">
        <x:f>IF(O249+Q249=0,"",O249/(O249+Q249))</x:f>
        <x:v>0.375</x:v>
      </x:c>
      <x:c r="M249" s="12" t="n">
        <x:f>IF(2*O249+P249+Q249=0,"",2*O249/(2*O249+P249+Q249))</x:f>
        <x:v>0.5</x:v>
      </x:c>
      <x:c r="N249" s="12" t="n">
        <x:f>IF(OR(O249+Q249=0,R249+P249=0),"",(L249+R249/(R249+P249))/2)</x:f>
        <x:v>0.6041666666666667</x:v>
      </x:c>
      <x:c r="O249" s="11" t="n">
        <x:v>3</x:v>
      </x:c>
      <x:c r="P249" s="11" t="n">
        <x:v>1</x:v>
      </x:c>
      <x:c r="Q249" s="11" t="n">
        <x:v>5</x:v>
      </x:c>
      <x:c r="R249" s="11" t="n">
        <x:v>5</x:v>
      </x:c>
    </x:row>
    <x:row r="250" ht="26" customHeight="1">
      <x:c r="A250" s="13" t="n">
        <x:v>46023</x:v>
      </x:c>
      <x:c r="B250" s="9" t="str">
        <x:v>共同可买</x:v>
      </x:c>
      <x:c r="C250" s="9" t="str">
        <x:v>训练窗口</x:v>
      </x:c>
      <x:c r="D250" s="9" t="str">
        <x:v>Top1</x:v>
      </x:c>
      <x:c r="E250" s="9" t="str">
        <x:v>不判形态</x:v>
      </x:c>
      <x:c r="F250" s="11" t="n">
        <x:f>SUM(O250:R250)</x:f>
        <x:v>69</x:v>
      </x:c>
      <x:c r="G250" s="11" t="n">
        <x:v>69</x:v>
      </x:c>
      <x:c r="H250" s="11" t="n">
        <x:f>O250+P250</x:f>
        <x:v>69</x:v>
      </x:c>
      <x:c r="I250" s="12" t="n">
        <x:f>IF(F250=0,"",H250/F250)</x:f>
        <x:v>1</x:v>
      </x:c>
      <x:c r="J250" s="12" t="n">
        <x:f>IF(F250=0,"",(O250+R250)/F250)</x:f>
        <x:v>0.5362318840579711</x:v>
      </x:c>
      <x:c r="K250" s="12" t="n">
        <x:f>IF(H250=0,"",O250/H250)</x:f>
        <x:v>0.5362318840579711</x:v>
      </x:c>
      <x:c r="L250" s="12" t="n">
        <x:f>IF(O250+Q250=0,"",O250/(O250+Q250))</x:f>
        <x:v>1</x:v>
      </x:c>
      <x:c r="M250" s="12" t="n">
        <x:f>IF(2*O250+P250+Q250=0,"",2*O250/(2*O250+P250+Q250))</x:f>
        <x:v>0.6981132075471698</x:v>
      </x:c>
      <x:c r="N250" s="12" t="n">
        <x:f>IF(OR(O250+Q250=0,R250+P250=0),"",(L250+R250/(R250+P250))/2)</x:f>
        <x:v>0.5</x:v>
      </x:c>
      <x:c r="O250" s="11" t="n">
        <x:v>37</x:v>
      </x:c>
      <x:c r="P250" s="11" t="n">
        <x:v>32</x:v>
      </x:c>
      <x:c r="Q250" s="11" t="n">
        <x:v>0</x:v>
      </x:c>
      <x:c r="R250" s="11" t="n">
        <x:v>0</x:v>
      </x:c>
    </x:row>
    <x:row r="251" ht="26" customHeight="1">
      <x:c r="A251" s="13" t="n">
        <x:v>46023</x:v>
      </x:c>
      <x:c r="B251" s="9" t="str">
        <x:v>共同可买</x:v>
      </x:c>
      <x:c r="C251" s="9" t="str">
        <x:v>训练窗口</x:v>
      </x:c>
      <x:c r="D251" s="9" t="str">
        <x:v>Top1</x:v>
      </x:c>
      <x:c r="E251" s="9" t="str">
        <x:v>五K原规则</x:v>
      </x:c>
      <x:c r="F251" s="11" t="n">
        <x:f>SUM(O251:R251)</x:f>
        <x:v>69</x:v>
      </x:c>
      <x:c r="G251" s="11" t="n">
        <x:v>69</x:v>
      </x:c>
      <x:c r="H251" s="11" t="n">
        <x:f>O251+P251</x:f>
        <x:v>31</x:v>
      </x:c>
      <x:c r="I251" s="12" t="n">
        <x:f>IF(F251=0,"",H251/F251)</x:f>
        <x:v>0.4492753623188406</x:v>
      </x:c>
      <x:c r="J251" s="12" t="n">
        <x:f>IF(F251=0,"",(O251+R251)/F251)</x:f>
        <x:v>0.6231884057971014</x:v>
      </x:c>
      <x:c r="K251" s="12" t="n">
        <x:f>IF(H251=0,"",O251/H251)</x:f>
        <x:v>0.6774193548387096</x:v>
      </x:c>
      <x:c r="L251" s="12" t="n">
        <x:f>IF(O251+Q251=0,"",O251/(O251+Q251))</x:f>
        <x:v>0.5675675675675675</x:v>
      </x:c>
      <x:c r="M251" s="12" t="n">
        <x:f>IF(2*O251+P251+Q251=0,"",2*O251/(2*O251+P251+Q251))</x:f>
        <x:v>0.6176470588235294</x:v>
      </x:c>
      <x:c r="N251" s="12" t="n">
        <x:f>IF(OR(O251+Q251=0,R251+P251=0),"",(L251+R251/(R251+P251))/2)</x:f>
        <x:v>0.6275337837837838</x:v>
      </x:c>
      <x:c r="O251" s="11" t="n">
        <x:v>21</x:v>
      </x:c>
      <x:c r="P251" s="11" t="n">
        <x:v>10</x:v>
      </x:c>
      <x:c r="Q251" s="11" t="n">
        <x:v>16</x:v>
      </x:c>
      <x:c r="R251" s="11" t="n">
        <x:v>22</x:v>
      </x:c>
    </x:row>
    <x:row r="252" ht="26" customHeight="1">
      <x:c r="A252" s="13" t="n">
        <x:v>46023</x:v>
      </x:c>
      <x:c r="B252" s="9" t="str">
        <x:v>共同可买</x:v>
      </x:c>
      <x:c r="C252" s="9" t="str">
        <x:v>训练窗口</x:v>
      </x:c>
      <x:c r="D252" s="9" t="str">
        <x:v>Top1</x:v>
      </x:c>
      <x:c r="E252" s="9" t="str">
        <x:v>四K沿用门槛</x:v>
      </x:c>
      <x:c r="F252" s="11" t="n">
        <x:f>SUM(O252:R252)</x:f>
        <x:v>69</x:v>
      </x:c>
      <x:c r="G252" s="11" t="n">
        <x:v>69</x:v>
      </x:c>
      <x:c r="H252" s="11" t="n">
        <x:f>O252+P252</x:f>
        <x:v>33</x:v>
      </x:c>
      <x:c r="I252" s="12" t="n">
        <x:f>IF(F252=0,"",H252/F252)</x:f>
        <x:v>0.4782608695652174</x:v>
      </x:c>
      <x:c r="J252" s="12" t="n">
        <x:f>IF(F252=0,"",(O252+R252)/F252)</x:f>
        <x:v>0.6231884057971014</x:v>
      </x:c>
      <x:c r="K252" s="12" t="n">
        <x:f>IF(H252=0,"",O252/H252)</x:f>
        <x:v>0.6666666666666666</x:v>
      </x:c>
      <x:c r="L252" s="12" t="n">
        <x:f>IF(O252+Q252=0,"",O252/(O252+Q252))</x:f>
        <x:v>0.5945945945945946</x:v>
      </x:c>
      <x:c r="M252" s="12" t="n">
        <x:f>IF(2*O252+P252+Q252=0,"",2*O252/(2*O252+P252+Q252))</x:f>
        <x:v>0.6285714285714286</x:v>
      </x:c>
      <x:c r="N252" s="12" t="n">
        <x:f>IF(OR(O252+Q252=0,R252+P252=0),"",(L252+R252/(R252+P252))/2)</x:f>
        <x:v>0.6254222972972974</x:v>
      </x:c>
      <x:c r="O252" s="11" t="n">
        <x:v>22</x:v>
      </x:c>
      <x:c r="P252" s="11" t="n">
        <x:v>11</x:v>
      </x:c>
      <x:c r="Q252" s="11" t="n">
        <x:v>15</x:v>
      </x:c>
      <x:c r="R252" s="11" t="n">
        <x:v>21</x:v>
      </x:c>
    </x:row>
    <x:row r="253" ht="26" customHeight="1">
      <x:c r="A253" s="13" t="n">
        <x:v>46023</x:v>
      </x:c>
      <x:c r="B253" s="9" t="str">
        <x:v>共同可买</x:v>
      </x:c>
      <x:c r="C253" s="9" t="str">
        <x:v>训练窗口</x:v>
      </x:c>
      <x:c r="D253" s="9" t="str">
        <x:v>Top1</x:v>
      </x:c>
      <x:c r="E253" s="9" t="str">
        <x:v>四K重选规则</x:v>
      </x:c>
      <x:c r="F253" s="11" t="n">
        <x:f>SUM(O253:R253)</x:f>
        <x:v>69</x:v>
      </x:c>
      <x:c r="G253" s="11" t="n">
        <x:v>69</x:v>
      </x:c>
      <x:c r="H253" s="11" t="n">
        <x:f>O253+P253</x:f>
        <x:v>33</x:v>
      </x:c>
      <x:c r="I253" s="12" t="n">
        <x:f>IF(F253=0,"",H253/F253)</x:f>
        <x:v>0.4782608695652174</x:v>
      </x:c>
      <x:c r="J253" s="12" t="n">
        <x:f>IF(F253=0,"",(O253+R253)/F253)</x:f>
        <x:v>0.5942028985507246</x:v>
      </x:c>
      <x:c r="K253" s="12" t="n">
        <x:f>IF(H253=0,"",O253/H253)</x:f>
        <x:v>0.6363636363636364</x:v>
      </x:c>
      <x:c r="L253" s="12" t="n">
        <x:f>IF(O253+Q253=0,"",O253/(O253+Q253))</x:f>
        <x:v>0.5675675675675675</x:v>
      </x:c>
      <x:c r="M253" s="12" t="n">
        <x:f>IF(2*O253+P253+Q253=0,"",2*O253/(2*O253+P253+Q253))</x:f>
        <x:v>0.6</x:v>
      </x:c>
      <x:c r="N253" s="12" t="n">
        <x:f>IF(OR(O253+Q253=0,R253+P253=0),"",(L253+R253/(R253+P253))/2)</x:f>
        <x:v>0.5962837837837838</x:v>
      </x:c>
      <x:c r="O253" s="11" t="n">
        <x:v>21</x:v>
      </x:c>
      <x:c r="P253" s="11" t="n">
        <x:v>12</x:v>
      </x:c>
      <x:c r="Q253" s="11" t="n">
        <x:v>16</x:v>
      </x:c>
      <x:c r="R253" s="11" t="n">
        <x:v>20</x:v>
      </x:c>
    </x:row>
    <x:row r="254" ht="26" customHeight="1">
      <x:c r="A254" s="13" t="n">
        <x:v>46023</x:v>
      </x:c>
      <x:c r="B254" s="9" t="str">
        <x:v>共同可买</x:v>
      </x:c>
      <x:c r="C254" s="9" t="str">
        <x:v>验证窗口</x:v>
      </x:c>
      <x:c r="D254" s="9" t="str">
        <x:v>Top1</x:v>
      </x:c>
      <x:c r="E254" s="9" t="str">
        <x:v>不判形态</x:v>
      </x:c>
      <x:c r="F254" s="11" t="n">
        <x:f>SUM(O254:R254)</x:f>
        <x:v>17</x:v>
      </x:c>
      <x:c r="G254" s="11" t="n">
        <x:v>17</x:v>
      </x:c>
      <x:c r="H254" s="11" t="n">
        <x:f>O254+P254</x:f>
        <x:v>17</x:v>
      </x:c>
      <x:c r="I254" s="12" t="n">
        <x:f>IF(F254=0,"",H254/F254)</x:f>
        <x:v>1</x:v>
      </x:c>
      <x:c r="J254" s="12" t="n">
        <x:f>IF(F254=0,"",(O254+R254)/F254)</x:f>
        <x:v>0.6470588235294118</x:v>
      </x:c>
      <x:c r="K254" s="12" t="n">
        <x:f>IF(H254=0,"",O254/H254)</x:f>
        <x:v>0.6470588235294118</x:v>
      </x:c>
      <x:c r="L254" s="12" t="n">
        <x:f>IF(O254+Q254=0,"",O254/(O254+Q254))</x:f>
        <x:v>1</x:v>
      </x:c>
      <x:c r="M254" s="12" t="n">
        <x:f>IF(2*O254+P254+Q254=0,"",2*O254/(2*O254+P254+Q254))</x:f>
        <x:v>0.7857142857142857</x:v>
      </x:c>
      <x:c r="N254" s="12" t="n">
        <x:f>IF(OR(O254+Q254=0,R254+P254=0),"",(L254+R254/(R254+P254))/2)</x:f>
        <x:v>0.5</x:v>
      </x:c>
      <x:c r="O254" s="11" t="n">
        <x:v>11</x:v>
      </x:c>
      <x:c r="P254" s="11" t="n">
        <x:v>6</x:v>
      </x:c>
      <x:c r="Q254" s="11" t="n">
        <x:v>0</x:v>
      </x:c>
      <x:c r="R254" s="11" t="n">
        <x:v>0</x:v>
      </x:c>
    </x:row>
    <x:row r="255" ht="26" customHeight="1">
      <x:c r="A255" s="13" t="n">
        <x:v>46023</x:v>
      </x:c>
      <x:c r="B255" s="9" t="str">
        <x:v>共同可买</x:v>
      </x:c>
      <x:c r="C255" s="9" t="str">
        <x:v>验证窗口</x:v>
      </x:c>
      <x:c r="D255" s="9" t="str">
        <x:v>Top1</x:v>
      </x:c>
      <x:c r="E255" s="9" t="str">
        <x:v>五K原规则</x:v>
      </x:c>
      <x:c r="F255" s="11" t="n">
        <x:f>SUM(O255:R255)</x:f>
        <x:v>17</x:v>
      </x:c>
      <x:c r="G255" s="11" t="n">
        <x:v>17</x:v>
      </x:c>
      <x:c r="H255" s="11" t="n">
        <x:f>O255+P255</x:f>
        <x:v>10</x:v>
      </x:c>
      <x:c r="I255" s="12" t="n">
        <x:f>IF(F255=0,"",H255/F255)</x:f>
        <x:v>0.5882352941176471</x:v>
      </x:c>
      <x:c r="J255" s="12" t="n">
        <x:f>IF(F255=0,"",(O255+R255)/F255)</x:f>
        <x:v>0.7058823529411765</x:v>
      </x:c>
      <x:c r="K255" s="12" t="n">
        <x:f>IF(H255=0,"",O255/H255)</x:f>
        <x:v>0.8</x:v>
      </x:c>
      <x:c r="L255" s="12" t="n">
        <x:f>IF(O255+Q255=0,"",O255/(O255+Q255))</x:f>
        <x:v>0.7272727272727273</x:v>
      </x:c>
      <x:c r="M255" s="12" t="n">
        <x:f>IF(2*O255+P255+Q255=0,"",2*O255/(2*O255+P255+Q255))</x:f>
        <x:v>0.7619047619047619</x:v>
      </x:c>
      <x:c r="N255" s="12" t="n">
        <x:f>IF(OR(O255+Q255=0,R255+P255=0),"",(L255+R255/(R255+P255))/2)</x:f>
        <x:v>0.696969696969697</x:v>
      </x:c>
      <x:c r="O255" s="11" t="n">
        <x:v>8</x:v>
      </x:c>
      <x:c r="P255" s="11" t="n">
        <x:v>2</x:v>
      </x:c>
      <x:c r="Q255" s="11" t="n">
        <x:v>3</x:v>
      </x:c>
      <x:c r="R255" s="11" t="n">
        <x:v>4</x:v>
      </x:c>
    </x:row>
    <x:row r="256" ht="26" customHeight="1">
      <x:c r="A256" s="13" t="n">
        <x:v>46023</x:v>
      </x:c>
      <x:c r="B256" s="9" t="str">
        <x:v>共同可买</x:v>
      </x:c>
      <x:c r="C256" s="9" t="str">
        <x:v>验证窗口</x:v>
      </x:c>
      <x:c r="D256" s="9" t="str">
        <x:v>Top1</x:v>
      </x:c>
      <x:c r="E256" s="9" t="str">
        <x:v>四K沿用门槛</x:v>
      </x:c>
      <x:c r="F256" s="11" t="n">
        <x:f>SUM(O256:R256)</x:f>
        <x:v>17</x:v>
      </x:c>
      <x:c r="G256" s="11" t="n">
        <x:v>17</x:v>
      </x:c>
      <x:c r="H256" s="11" t="n">
        <x:f>O256+P256</x:f>
        <x:v>9</x:v>
      </x:c>
      <x:c r="I256" s="12" t="n">
        <x:f>IF(F256=0,"",H256/F256)</x:f>
        <x:v>0.5294117647058824</x:v>
      </x:c>
      <x:c r="J256" s="12" t="n">
        <x:f>IF(F256=0,"",(O256+R256)/F256)</x:f>
        <x:v>0.6470588235294118</x:v>
      </x:c>
      <x:c r="K256" s="12" t="n">
        <x:f>IF(H256=0,"",O256/H256)</x:f>
        <x:v>0.7777777777777778</x:v>
      </x:c>
      <x:c r="L256" s="12" t="n">
        <x:f>IF(O256+Q256=0,"",O256/(O256+Q256))</x:f>
        <x:v>0.6363636363636364</x:v>
      </x:c>
      <x:c r="M256" s="12" t="n">
        <x:f>IF(2*O256+P256+Q256=0,"",2*O256/(2*O256+P256+Q256))</x:f>
        <x:v>0.7</x:v>
      </x:c>
      <x:c r="N256" s="12" t="n">
        <x:f>IF(OR(O256+Q256=0,R256+P256=0),"",(L256+R256/(R256+P256))/2)</x:f>
        <x:v>0.6515151515151515</x:v>
      </x:c>
      <x:c r="O256" s="11" t="n">
        <x:v>7</x:v>
      </x:c>
      <x:c r="P256" s="11" t="n">
        <x:v>2</x:v>
      </x:c>
      <x:c r="Q256" s="11" t="n">
        <x:v>4</x:v>
      </x:c>
      <x:c r="R256" s="11" t="n">
        <x:v>4</x:v>
      </x:c>
    </x:row>
    <x:row r="257" ht="26" customHeight="1">
      <x:c r="A257" s="13" t="n">
        <x:v>46023</x:v>
      </x:c>
      <x:c r="B257" s="9" t="str">
        <x:v>共同可买</x:v>
      </x:c>
      <x:c r="C257" s="9" t="str">
        <x:v>验证窗口</x:v>
      </x:c>
      <x:c r="D257" s="9" t="str">
        <x:v>Top1</x:v>
      </x:c>
      <x:c r="E257" s="9" t="str">
        <x:v>四K重选规则</x:v>
      </x:c>
      <x:c r="F257" s="11" t="n">
        <x:f>SUM(O257:R257)</x:f>
        <x:v>17</x:v>
      </x:c>
      <x:c r="G257" s="11" t="n">
        <x:v>17</x:v>
      </x:c>
      <x:c r="H257" s="11" t="n">
        <x:f>O257+P257</x:f>
        <x:v>8</x:v>
      </x:c>
      <x:c r="I257" s="12" t="n">
        <x:f>IF(F257=0,"",H257/F257)</x:f>
        <x:v>0.47058823529411764</x:v>
      </x:c>
      <x:c r="J257" s="12" t="n">
        <x:f>IF(F257=0,"",(O257+R257)/F257)</x:f>
        <x:v>0.8235294117647058</x:v>
      </x:c>
      <x:c r="K257" s="12" t="n">
        <x:f>IF(H257=0,"",O257/H257)</x:f>
        <x:v>1</x:v>
      </x:c>
      <x:c r="L257" s="12" t="n">
        <x:f>IF(O257+Q257=0,"",O257/(O257+Q257))</x:f>
        <x:v>0.7272727272727273</x:v>
      </x:c>
      <x:c r="M257" s="12" t="n">
        <x:f>IF(2*O257+P257+Q257=0,"",2*O257/(2*O257+P257+Q257))</x:f>
        <x:v>0.8421052631578947</x:v>
      </x:c>
      <x:c r="N257" s="12" t="n">
        <x:f>IF(OR(O257+Q257=0,R257+P257=0),"",(L257+R257/(R257+P257))/2)</x:f>
        <x:v>0.8636363636363636</x:v>
      </x:c>
      <x:c r="O257" s="11" t="n">
        <x:v>8</x:v>
      </x:c>
      <x:c r="P257" s="11" t="n">
        <x:v>0</x:v>
      </x:c>
      <x:c r="Q257" s="11" t="n">
        <x:v>3</x:v>
      </x:c>
      <x:c r="R257" s="11" t="n">
        <x:v>6</x:v>
      </x:c>
    </x:row>
    <x:row r="258" ht="26" customHeight="1">
      <x:c r="A258" s="13" t="n">
        <x:v>46054</x:v>
      </x:c>
      <x:c r="B258" s="9" t="str">
        <x:v>共同可买</x:v>
      </x:c>
      <x:c r="C258" s="9" t="str">
        <x:v>测试</x:v>
      </x:c>
      <x:c r="D258" s="9" t="str">
        <x:v>Top1</x:v>
      </x:c>
      <x:c r="E258" s="9" t="str">
        <x:v>不判形态</x:v>
      </x:c>
      <x:c r="F258" s="11" t="n">
        <x:f>SUM(O258:R258)</x:f>
        <x:v>9</x:v>
      </x:c>
      <x:c r="G258" s="11" t="n">
        <x:v>9</x:v>
      </x:c>
      <x:c r="H258" s="11" t="n">
        <x:f>O258+P258</x:f>
        <x:v>9</x:v>
      </x:c>
      <x:c r="I258" s="12" t="n">
        <x:f>IF(F258=0,"",H258/F258)</x:f>
        <x:v>1</x:v>
      </x:c>
      <x:c r="J258" s="12" t="n">
        <x:f>IF(F258=0,"",(O258+R258)/F258)</x:f>
        <x:v>0.5555555555555556</x:v>
      </x:c>
      <x:c r="K258" s="12" t="n">
        <x:f>IF(H258=0,"",O258/H258)</x:f>
        <x:v>0.5555555555555556</x:v>
      </x:c>
      <x:c r="L258" s="12" t="n">
        <x:f>IF(O258+Q258=0,"",O258/(O258+Q258))</x:f>
        <x:v>1</x:v>
      </x:c>
      <x:c r="M258" s="12" t="n">
        <x:f>IF(2*O258+P258+Q258=0,"",2*O258/(2*O258+P258+Q258))</x:f>
        <x:v>0.7142857142857143</x:v>
      </x:c>
      <x:c r="N258" s="12" t="n">
        <x:f>IF(OR(O258+Q258=0,R258+P258=0),"",(L258+R258/(R258+P258))/2)</x:f>
        <x:v>0.5</x:v>
      </x:c>
      <x:c r="O258" s="11" t="n">
        <x:v>5</x:v>
      </x:c>
      <x:c r="P258" s="11" t="n">
        <x:v>4</x:v>
      </x:c>
      <x:c r="Q258" s="11" t="n">
        <x:v>0</x:v>
      </x:c>
      <x:c r="R258" s="11" t="n">
        <x:v>0</x:v>
      </x:c>
    </x:row>
    <x:row r="259" ht="26" customHeight="1">
      <x:c r="A259" s="13" t="n">
        <x:v>46054</x:v>
      </x:c>
      <x:c r="B259" s="9" t="str">
        <x:v>共同可买</x:v>
      </x:c>
      <x:c r="C259" s="9" t="str">
        <x:v>测试</x:v>
      </x:c>
      <x:c r="D259" s="9" t="str">
        <x:v>Top1</x:v>
      </x:c>
      <x:c r="E259" s="9" t="str">
        <x:v>五K原规则</x:v>
      </x:c>
      <x:c r="F259" s="11" t="n">
        <x:f>SUM(O259:R259)</x:f>
        <x:v>9</x:v>
      </x:c>
      <x:c r="G259" s="11" t="n">
        <x:v>9</x:v>
      </x:c>
      <x:c r="H259" s="11" t="n">
        <x:f>O259+P259</x:f>
        <x:v>5</x:v>
      </x:c>
      <x:c r="I259" s="12" t="n">
        <x:f>IF(F259=0,"",H259/F259)</x:f>
        <x:v>0.5555555555555556</x:v>
      </x:c>
      <x:c r="J259" s="12" t="n">
        <x:f>IF(F259=0,"",(O259+R259)/F259)</x:f>
        <x:v>0.5555555555555556</x:v>
      </x:c>
      <x:c r="K259" s="12" t="n">
        <x:f>IF(H259=0,"",O259/H259)</x:f>
        <x:v>0.6</x:v>
      </x:c>
      <x:c r="L259" s="12" t="n">
        <x:f>IF(O259+Q259=0,"",O259/(O259+Q259))</x:f>
        <x:v>0.6</x:v>
      </x:c>
      <x:c r="M259" s="12" t="n">
        <x:f>IF(2*O259+P259+Q259=0,"",2*O259/(2*O259+P259+Q259))</x:f>
        <x:v>0.6</x:v>
      </x:c>
      <x:c r="N259" s="12" t="n">
        <x:f>IF(OR(O259+Q259=0,R259+P259=0),"",(L259+R259/(R259+P259))/2)</x:f>
        <x:v>0.55</x:v>
      </x:c>
      <x:c r="O259" s="11" t="n">
        <x:v>3</x:v>
      </x:c>
      <x:c r="P259" s="11" t="n">
        <x:v>2</x:v>
      </x:c>
      <x:c r="Q259" s="11" t="n">
        <x:v>2</x:v>
      </x:c>
      <x:c r="R259" s="11" t="n">
        <x:v>2</x:v>
      </x:c>
    </x:row>
    <x:row r="260" ht="26" customHeight="1">
      <x:c r="A260" s="13" t="n">
        <x:v>46054</x:v>
      </x:c>
      <x:c r="B260" s="9" t="str">
        <x:v>共同可买</x:v>
      </x:c>
      <x:c r="C260" s="9" t="str">
        <x:v>测试</x:v>
      </x:c>
      <x:c r="D260" s="9" t="str">
        <x:v>Top1</x:v>
      </x:c>
      <x:c r="E260" s="9" t="str">
        <x:v>四K沿用门槛</x:v>
      </x:c>
      <x:c r="F260" s="11" t="n">
        <x:f>SUM(O260:R260)</x:f>
        <x:v>9</x:v>
      </x:c>
      <x:c r="G260" s="11" t="n">
        <x:v>9</x:v>
      </x:c>
      <x:c r="H260" s="11" t="n">
        <x:f>O260+P260</x:f>
        <x:v>5</x:v>
      </x:c>
      <x:c r="I260" s="12" t="n">
        <x:f>IF(F260=0,"",H260/F260)</x:f>
        <x:v>0.5555555555555556</x:v>
      </x:c>
      <x:c r="J260" s="12" t="n">
        <x:f>IF(F260=0,"",(O260+R260)/F260)</x:f>
        <x:v>0.5555555555555556</x:v>
      </x:c>
      <x:c r="K260" s="12" t="n">
        <x:f>IF(H260=0,"",O260/H260)</x:f>
        <x:v>0.6</x:v>
      </x:c>
      <x:c r="L260" s="12" t="n">
        <x:f>IF(O260+Q260=0,"",O260/(O260+Q260))</x:f>
        <x:v>0.6</x:v>
      </x:c>
      <x:c r="M260" s="12" t="n">
        <x:f>IF(2*O260+P260+Q260=0,"",2*O260/(2*O260+P260+Q260))</x:f>
        <x:v>0.6</x:v>
      </x:c>
      <x:c r="N260" s="12" t="n">
        <x:f>IF(OR(O260+Q260=0,R260+P260=0),"",(L260+R260/(R260+P260))/2)</x:f>
        <x:v>0.55</x:v>
      </x:c>
      <x:c r="O260" s="11" t="n">
        <x:v>3</x:v>
      </x:c>
      <x:c r="P260" s="11" t="n">
        <x:v>2</x:v>
      </x:c>
      <x:c r="Q260" s="11" t="n">
        <x:v>2</x:v>
      </x:c>
      <x:c r="R260" s="11" t="n">
        <x:v>2</x:v>
      </x:c>
    </x:row>
    <x:row r="261" ht="26" customHeight="1">
      <x:c r="A261" s="13" t="n">
        <x:v>46054</x:v>
      </x:c>
      <x:c r="B261" s="9" t="str">
        <x:v>共同可买</x:v>
      </x:c>
      <x:c r="C261" s="9" t="str">
        <x:v>测试</x:v>
      </x:c>
      <x:c r="D261" s="9" t="str">
        <x:v>Top1</x:v>
      </x:c>
      <x:c r="E261" s="9" t="str">
        <x:v>四K重选规则</x:v>
      </x:c>
      <x:c r="F261" s="11" t="n">
        <x:f>SUM(O261:R261)</x:f>
        <x:v>9</x:v>
      </x:c>
      <x:c r="G261" s="11" t="n">
        <x:v>9</x:v>
      </x:c>
      <x:c r="H261" s="11" t="n">
        <x:f>O261+P261</x:f>
        <x:v>9</x:v>
      </x:c>
      <x:c r="I261" s="12" t="n">
        <x:f>IF(F261=0,"",H261/F261)</x:f>
        <x:v>1</x:v>
      </x:c>
      <x:c r="J261" s="12" t="n">
        <x:f>IF(F261=0,"",(O261+R261)/F261)</x:f>
        <x:v>0.5555555555555556</x:v>
      </x:c>
      <x:c r="K261" s="12" t="n">
        <x:f>IF(H261=0,"",O261/H261)</x:f>
        <x:v>0.5555555555555556</x:v>
      </x:c>
      <x:c r="L261" s="12" t="n">
        <x:f>IF(O261+Q261=0,"",O261/(O261+Q261))</x:f>
        <x:v>1</x:v>
      </x:c>
      <x:c r="M261" s="12" t="n">
        <x:f>IF(2*O261+P261+Q261=0,"",2*O261/(2*O261+P261+Q261))</x:f>
        <x:v>0.7142857142857143</x:v>
      </x:c>
      <x:c r="N261" s="12" t="n">
        <x:f>IF(OR(O261+Q261=0,R261+P261=0),"",(L261+R261/(R261+P261))/2)</x:f>
        <x:v>0.5</x:v>
      </x:c>
      <x:c r="O261" s="11" t="n">
        <x:v>5</x:v>
      </x:c>
      <x:c r="P261" s="11" t="n">
        <x:v>4</x:v>
      </x:c>
      <x:c r="Q261" s="11" t="n">
        <x:v>0</x:v>
      </x:c>
      <x:c r="R261" s="11" t="n">
        <x:v>0</x:v>
      </x:c>
    </x:row>
    <x:row r="262" ht="26" customHeight="1">
      <x:c r="A262" s="13" t="n">
        <x:v>46054</x:v>
      </x:c>
      <x:c r="B262" s="9" t="str">
        <x:v>共同可买</x:v>
      </x:c>
      <x:c r="C262" s="9" t="str">
        <x:v>训练窗口</x:v>
      </x:c>
      <x:c r="D262" s="9" t="str">
        <x:v>Top1</x:v>
      </x:c>
      <x:c r="E262" s="9" t="str">
        <x:v>不判形态</x:v>
      </x:c>
      <x:c r="F262" s="11" t="n">
        <x:f>SUM(O262:R262)</x:f>
        <x:v>70</x:v>
      </x:c>
      <x:c r="G262" s="11" t="n">
        <x:v>70</x:v>
      </x:c>
      <x:c r="H262" s="11" t="n">
        <x:f>O262+P262</x:f>
        <x:v>70</x:v>
      </x:c>
      <x:c r="I262" s="12" t="n">
        <x:f>IF(F262=0,"",H262/F262)</x:f>
        <x:v>1</x:v>
      </x:c>
      <x:c r="J262" s="12" t="n">
        <x:f>IF(F262=0,"",(O262+R262)/F262)</x:f>
        <x:v>0.5428571428571428</x:v>
      </x:c>
      <x:c r="K262" s="12" t="n">
        <x:f>IF(H262=0,"",O262/H262)</x:f>
        <x:v>0.5428571428571428</x:v>
      </x:c>
      <x:c r="L262" s="12" t="n">
        <x:f>IF(O262+Q262=0,"",O262/(O262+Q262))</x:f>
        <x:v>1</x:v>
      </x:c>
      <x:c r="M262" s="12" t="n">
        <x:f>IF(2*O262+P262+Q262=0,"",2*O262/(2*O262+P262+Q262))</x:f>
        <x:v>0.7037037037037037</x:v>
      </x:c>
      <x:c r="N262" s="12" t="n">
        <x:f>IF(OR(O262+Q262=0,R262+P262=0),"",(L262+R262/(R262+P262))/2)</x:f>
        <x:v>0.5</x:v>
      </x:c>
      <x:c r="O262" s="11" t="n">
        <x:v>38</x:v>
      </x:c>
      <x:c r="P262" s="11" t="n">
        <x:v>32</x:v>
      </x:c>
      <x:c r="Q262" s="11" t="n">
        <x:v>0</x:v>
      </x:c>
      <x:c r="R262" s="11" t="n">
        <x:v>0</x:v>
      </x:c>
    </x:row>
    <x:row r="263" ht="26" customHeight="1">
      <x:c r="A263" s="13" t="n">
        <x:v>46054</x:v>
      </x:c>
      <x:c r="B263" s="9" t="str">
        <x:v>共同可买</x:v>
      </x:c>
      <x:c r="C263" s="9" t="str">
        <x:v>训练窗口</x:v>
      </x:c>
      <x:c r="D263" s="9" t="str">
        <x:v>Top1</x:v>
      </x:c>
      <x:c r="E263" s="9" t="str">
        <x:v>五K原规则</x:v>
      </x:c>
      <x:c r="F263" s="11" t="n">
        <x:f>SUM(O263:R263)</x:f>
        <x:v>70</x:v>
      </x:c>
      <x:c r="G263" s="11" t="n">
        <x:v>70</x:v>
      </x:c>
      <x:c r="H263" s="11" t="n">
        <x:f>O263+P263</x:f>
        <x:v>31</x:v>
      </x:c>
      <x:c r="I263" s="12" t="n">
        <x:f>IF(F263=0,"",H263/F263)</x:f>
        <x:v>0.44285714285714284</x:v>
      </x:c>
      <x:c r="J263" s="12" t="n">
        <x:f>IF(F263=0,"",(O263+R263)/F263)</x:f>
        <x:v>0.6714285714285714</x:v>
      </x:c>
      <x:c r="K263" s="12" t="n">
        <x:f>IF(H263=0,"",O263/H263)</x:f>
        <x:v>0.7419354838709677</x:v>
      </x:c>
      <x:c r="L263" s="12" t="n">
        <x:f>IF(O263+Q263=0,"",O263/(O263+Q263))</x:f>
        <x:v>0.6052631578947368</x:v>
      </x:c>
      <x:c r="M263" s="12" t="n">
        <x:f>IF(2*O263+P263+Q263=0,"",2*O263/(2*O263+P263+Q263))</x:f>
        <x:v>0.6666666666666666</x:v>
      </x:c>
      <x:c r="N263" s="12" t="n">
        <x:f>IF(OR(O263+Q263=0,R263+P263=0),"",(L263+R263/(R263+P263))/2)</x:f>
        <x:v>0.6776315789473684</x:v>
      </x:c>
      <x:c r="O263" s="11" t="n">
        <x:v>23</x:v>
      </x:c>
      <x:c r="P263" s="11" t="n">
        <x:v>8</x:v>
      </x:c>
      <x:c r="Q263" s="11" t="n">
        <x:v>15</x:v>
      </x:c>
      <x:c r="R263" s="11" t="n">
        <x:v>24</x:v>
      </x:c>
    </x:row>
    <x:row r="264" ht="26" customHeight="1">
      <x:c r="A264" s="13" t="n">
        <x:v>46054</x:v>
      </x:c>
      <x:c r="B264" s="9" t="str">
        <x:v>共同可买</x:v>
      </x:c>
      <x:c r="C264" s="9" t="str">
        <x:v>训练窗口</x:v>
      </x:c>
      <x:c r="D264" s="9" t="str">
        <x:v>Top1</x:v>
      </x:c>
      <x:c r="E264" s="9" t="str">
        <x:v>四K沿用门槛</x:v>
      </x:c>
      <x:c r="F264" s="11" t="n">
        <x:f>SUM(O264:R264)</x:f>
        <x:v>70</x:v>
      </x:c>
      <x:c r="G264" s="11" t="n">
        <x:v>70</x:v>
      </x:c>
      <x:c r="H264" s="11" t="n">
        <x:f>O264+P264</x:f>
        <x:v>33</x:v>
      </x:c>
      <x:c r="I264" s="12" t="n">
        <x:f>IF(F264=0,"",H264/F264)</x:f>
        <x:v>0.4714285714285714</x:v>
      </x:c>
      <x:c r="J264" s="12" t="n">
        <x:f>IF(F264=0,"",(O264+R264)/F264)</x:f>
        <x:v>0.6714285714285714</x:v>
      </x:c>
      <x:c r="K264" s="12" t="n">
        <x:f>IF(H264=0,"",O264/H264)</x:f>
        <x:v>0.7272727272727273</x:v>
      </x:c>
      <x:c r="L264" s="12" t="n">
        <x:f>IF(O264+Q264=0,"",O264/(O264+Q264))</x:f>
        <x:v>0.631578947368421</x:v>
      </x:c>
      <x:c r="M264" s="12" t="n">
        <x:f>IF(2*O264+P264+Q264=0,"",2*O264/(2*O264+P264+Q264))</x:f>
        <x:v>0.676056338028169</x:v>
      </x:c>
      <x:c r="N264" s="12" t="n">
        <x:f>IF(OR(O264+Q264=0,R264+P264=0),"",(L264+R264/(R264+P264))/2)</x:f>
        <x:v>0.6751644736842105</x:v>
      </x:c>
      <x:c r="O264" s="11" t="n">
        <x:v>24</x:v>
      </x:c>
      <x:c r="P264" s="11" t="n">
        <x:v>9</x:v>
      </x:c>
      <x:c r="Q264" s="11" t="n">
        <x:v>14</x:v>
      </x:c>
      <x:c r="R264" s="11" t="n">
        <x:v>23</x:v>
      </x:c>
    </x:row>
    <x:row r="265" ht="26" customHeight="1">
      <x:c r="A265" s="13" t="n">
        <x:v>46054</x:v>
      </x:c>
      <x:c r="B265" s="9" t="str">
        <x:v>共同可买</x:v>
      </x:c>
      <x:c r="C265" s="9" t="str">
        <x:v>训练窗口</x:v>
      </x:c>
      <x:c r="D265" s="9" t="str">
        <x:v>Top1</x:v>
      </x:c>
      <x:c r="E265" s="9" t="str">
        <x:v>四K重选规则</x:v>
      </x:c>
      <x:c r="F265" s="11" t="n">
        <x:f>SUM(O265:R265)</x:f>
        <x:v>70</x:v>
      </x:c>
      <x:c r="G265" s="11" t="n">
        <x:v>70</x:v>
      </x:c>
      <x:c r="H265" s="11" t="n">
        <x:f>O265+P265</x:f>
        <x:v>70</x:v>
      </x:c>
      <x:c r="I265" s="12" t="n">
        <x:f>IF(F265=0,"",H265/F265)</x:f>
        <x:v>1</x:v>
      </x:c>
      <x:c r="J265" s="12" t="n">
        <x:f>IF(F265=0,"",(O265+R265)/F265)</x:f>
        <x:v>0.5428571428571428</x:v>
      </x:c>
      <x:c r="K265" s="12" t="n">
        <x:f>IF(H265=0,"",O265/H265)</x:f>
        <x:v>0.5428571428571428</x:v>
      </x:c>
      <x:c r="L265" s="12" t="n">
        <x:f>IF(O265+Q265=0,"",O265/(O265+Q265))</x:f>
        <x:v>1</x:v>
      </x:c>
      <x:c r="M265" s="12" t="n">
        <x:f>IF(2*O265+P265+Q265=0,"",2*O265/(2*O265+P265+Q265))</x:f>
        <x:v>0.7037037037037037</x:v>
      </x:c>
      <x:c r="N265" s="12" t="n">
        <x:f>IF(OR(O265+Q265=0,R265+P265=0),"",(L265+R265/(R265+P265))/2)</x:f>
        <x:v>0.5</x:v>
      </x:c>
      <x:c r="O265" s="11" t="n">
        <x:v>38</x:v>
      </x:c>
      <x:c r="P265" s="11" t="n">
        <x:v>32</x:v>
      </x:c>
      <x:c r="Q265" s="11" t="n">
        <x:v>0</x:v>
      </x:c>
      <x:c r="R265" s="11" t="n">
        <x:v>0</x:v>
      </x:c>
    </x:row>
    <x:row r="266" ht="26" customHeight="1">
      <x:c r="A266" s="13" t="n">
        <x:v>46054</x:v>
      </x:c>
      <x:c r="B266" s="9" t="str">
        <x:v>共同可买</x:v>
      </x:c>
      <x:c r="C266" s="9" t="str">
        <x:v>验证窗口</x:v>
      </x:c>
      <x:c r="D266" s="9" t="str">
        <x:v>Top1</x:v>
      </x:c>
      <x:c r="E266" s="9" t="str">
        <x:v>不判形态</x:v>
      </x:c>
      <x:c r="F266" s="11" t="n">
        <x:f>SUM(O266:R266)</x:f>
        <x:v>24</x:v>
      </x:c>
      <x:c r="G266" s="11" t="n">
        <x:v>24</x:v>
      </x:c>
      <x:c r="H266" s="11" t="n">
        <x:f>O266+P266</x:f>
        <x:v>24</x:v>
      </x:c>
      <x:c r="I266" s="12" t="n">
        <x:f>IF(F266=0,"",H266/F266)</x:f>
        <x:v>1</x:v>
      </x:c>
      <x:c r="J266" s="12" t="n">
        <x:f>IF(F266=0,"",(O266+R266)/F266)</x:f>
        <x:v>0.5</x:v>
      </x:c>
      <x:c r="K266" s="12" t="n">
        <x:f>IF(H266=0,"",O266/H266)</x:f>
        <x:v>0.5</x:v>
      </x:c>
      <x:c r="L266" s="12" t="n">
        <x:f>IF(O266+Q266=0,"",O266/(O266+Q266))</x:f>
        <x:v>1</x:v>
      </x:c>
      <x:c r="M266" s="12" t="n">
        <x:f>IF(2*O266+P266+Q266=0,"",2*O266/(2*O266+P266+Q266))</x:f>
        <x:v>0.6666666666666666</x:v>
      </x:c>
      <x:c r="N266" s="12" t="n">
        <x:f>IF(OR(O266+Q266=0,R266+P266=0),"",(L266+R266/(R266+P266))/2)</x:f>
        <x:v>0.5</x:v>
      </x:c>
      <x:c r="O266" s="11" t="n">
        <x:v>12</x:v>
      </x:c>
      <x:c r="P266" s="11" t="n">
        <x:v>12</x:v>
      </x:c>
      <x:c r="Q266" s="11" t="n">
        <x:v>0</x:v>
      </x:c>
      <x:c r="R266" s="11" t="n">
        <x:v>0</x:v>
      </x:c>
    </x:row>
    <x:row r="267" ht="26" customHeight="1">
      <x:c r="A267" s="13" t="n">
        <x:v>46054</x:v>
      </x:c>
      <x:c r="B267" s="9" t="str">
        <x:v>共同可买</x:v>
      </x:c>
      <x:c r="C267" s="9" t="str">
        <x:v>验证窗口</x:v>
      </x:c>
      <x:c r="D267" s="9" t="str">
        <x:v>Top1</x:v>
      </x:c>
      <x:c r="E267" s="9" t="str">
        <x:v>五K原规则</x:v>
      </x:c>
      <x:c r="F267" s="11" t="n">
        <x:f>SUM(O267:R267)</x:f>
        <x:v>24</x:v>
      </x:c>
      <x:c r="G267" s="11" t="n">
        <x:v>24</x:v>
      </x:c>
      <x:c r="H267" s="11" t="n">
        <x:f>O267+P267</x:f>
        <x:v>12</x:v>
      </x:c>
      <x:c r="I267" s="12" t="n">
        <x:f>IF(F267=0,"",H267/F267)</x:f>
        <x:v>0.5</x:v>
      </x:c>
      <x:c r="J267" s="12" t="n">
        <x:f>IF(F267=0,"",(O267+R267)/F267)</x:f>
        <x:v>0.8333333333333334</x:v>
      </x:c>
      <x:c r="K267" s="12" t="n">
        <x:f>IF(H267=0,"",O267/H267)</x:f>
        <x:v>0.8333333333333334</x:v>
      </x:c>
      <x:c r="L267" s="12" t="n">
        <x:f>IF(O267+Q267=0,"",O267/(O267+Q267))</x:f>
        <x:v>0.8333333333333334</x:v>
      </x:c>
      <x:c r="M267" s="12" t="n">
        <x:f>IF(2*O267+P267+Q267=0,"",2*O267/(2*O267+P267+Q267))</x:f>
        <x:v>0.8333333333333334</x:v>
      </x:c>
      <x:c r="N267" s="12" t="n">
        <x:f>IF(OR(O267+Q267=0,R267+P267=0),"",(L267+R267/(R267+P267))/2)</x:f>
        <x:v>0.8333333333333334</x:v>
      </x:c>
      <x:c r="O267" s="11" t="n">
        <x:v>10</x:v>
      </x:c>
      <x:c r="P267" s="11" t="n">
        <x:v>2</x:v>
      </x:c>
      <x:c r="Q267" s="11" t="n">
        <x:v>2</x:v>
      </x:c>
      <x:c r="R267" s="11" t="n">
        <x:v>10</x:v>
      </x:c>
    </x:row>
    <x:row r="268" ht="26" customHeight="1">
      <x:c r="A268" s="13" t="n">
        <x:v>46054</x:v>
      </x:c>
      <x:c r="B268" s="9" t="str">
        <x:v>共同可买</x:v>
      </x:c>
      <x:c r="C268" s="9" t="str">
        <x:v>验证窗口</x:v>
      </x:c>
      <x:c r="D268" s="9" t="str">
        <x:v>Top1</x:v>
      </x:c>
      <x:c r="E268" s="9" t="str">
        <x:v>四K沿用门槛</x:v>
      </x:c>
      <x:c r="F268" s="11" t="n">
        <x:f>SUM(O268:R268)</x:f>
        <x:v>24</x:v>
      </x:c>
      <x:c r="G268" s="11" t="n">
        <x:v>24</x:v>
      </x:c>
      <x:c r="H268" s="11" t="n">
        <x:f>O268+P268</x:f>
        <x:v>13</x:v>
      </x:c>
      <x:c r="I268" s="12" t="n">
        <x:f>IF(F268=0,"",H268/F268)</x:f>
        <x:v>0.5416666666666666</x:v>
      </x:c>
      <x:c r="J268" s="12" t="n">
        <x:f>IF(F268=0,"",(O268+R268)/F268)</x:f>
        <x:v>0.7916666666666666</x:v>
      </x:c>
      <x:c r="K268" s="12" t="n">
        <x:f>IF(H268=0,"",O268/H268)</x:f>
        <x:v>0.7692307692307693</x:v>
      </x:c>
      <x:c r="L268" s="12" t="n">
        <x:f>IF(O268+Q268=0,"",O268/(O268+Q268))</x:f>
        <x:v>0.8333333333333334</x:v>
      </x:c>
      <x:c r="M268" s="12" t="n">
        <x:f>IF(2*O268+P268+Q268=0,"",2*O268/(2*O268+P268+Q268))</x:f>
        <x:v>0.8</x:v>
      </x:c>
      <x:c r="N268" s="12" t="n">
        <x:f>IF(OR(O268+Q268=0,R268+P268=0),"",(L268+R268/(R268+P268))/2)</x:f>
        <x:v>0.7916666666666667</x:v>
      </x:c>
      <x:c r="O268" s="11" t="n">
        <x:v>10</x:v>
      </x:c>
      <x:c r="P268" s="11" t="n">
        <x:v>3</x:v>
      </x:c>
      <x:c r="Q268" s="11" t="n">
        <x:v>2</x:v>
      </x:c>
      <x:c r="R268" s="11" t="n">
        <x:v>9</x:v>
      </x:c>
    </x:row>
    <x:row r="269" ht="26" customHeight="1">
      <x:c r="A269" s="13" t="n">
        <x:v>46054</x:v>
      </x:c>
      <x:c r="B269" s="9" t="str">
        <x:v>共同可买</x:v>
      </x:c>
      <x:c r="C269" s="9" t="str">
        <x:v>验证窗口</x:v>
      </x:c>
      <x:c r="D269" s="9" t="str">
        <x:v>Top1</x:v>
      </x:c>
      <x:c r="E269" s="9" t="str">
        <x:v>四K重选规则</x:v>
      </x:c>
      <x:c r="F269" s="11" t="n">
        <x:f>SUM(O269:R269)</x:f>
        <x:v>24</x:v>
      </x:c>
      <x:c r="G269" s="11" t="n">
        <x:v>24</x:v>
      </x:c>
      <x:c r="H269" s="11" t="n">
        <x:f>O269+P269</x:f>
        <x:v>24</x:v>
      </x:c>
      <x:c r="I269" s="12" t="n">
        <x:f>IF(F269=0,"",H269/F269)</x:f>
        <x:v>1</x:v>
      </x:c>
      <x:c r="J269" s="12" t="n">
        <x:f>IF(F269=0,"",(O269+R269)/F269)</x:f>
        <x:v>0.5</x:v>
      </x:c>
      <x:c r="K269" s="12" t="n">
        <x:f>IF(H269=0,"",O269/H269)</x:f>
        <x:v>0.5</x:v>
      </x:c>
      <x:c r="L269" s="12" t="n">
        <x:f>IF(O269+Q269=0,"",O269/(O269+Q269))</x:f>
        <x:v>1</x:v>
      </x:c>
      <x:c r="M269" s="12" t="n">
        <x:f>IF(2*O269+P269+Q269=0,"",2*O269/(2*O269+P269+Q269))</x:f>
        <x:v>0.6666666666666666</x:v>
      </x:c>
      <x:c r="N269" s="12" t="n">
        <x:f>IF(OR(O269+Q269=0,R269+P269=0),"",(L269+R269/(R269+P269))/2)</x:f>
        <x:v>0.5</x:v>
      </x:c>
      <x:c r="O269" s="11" t="n">
        <x:v>12</x:v>
      </x:c>
      <x:c r="P269" s="11" t="n">
        <x:v>12</x:v>
      </x:c>
      <x:c r="Q269" s="11" t="n">
        <x:v>0</x:v>
      </x:c>
      <x:c r="R269" s="11" t="n">
        <x:v>0</x:v>
      </x:c>
    </x:row>
    <x:row r="270" ht="26" customHeight="1">
      <x:c r="A270" s="13" t="n">
        <x:v>46082</x:v>
      </x:c>
      <x:c r="B270" s="9" t="str">
        <x:v>共同可买</x:v>
      </x:c>
      <x:c r="C270" s="9" t="str">
        <x:v>测试</x:v>
      </x:c>
      <x:c r="D270" s="9" t="str">
        <x:v>Top1</x:v>
      </x:c>
      <x:c r="E270" s="9" t="str">
        <x:v>不判形态</x:v>
      </x:c>
      <x:c r="F270" s="11" t="n">
        <x:f>SUM(O270:R270)</x:f>
        <x:v>11</x:v>
      </x:c>
      <x:c r="G270" s="11" t="n">
        <x:v>11</x:v>
      </x:c>
      <x:c r="H270" s="11" t="n">
        <x:f>O270+P270</x:f>
        <x:v>11</x:v>
      </x:c>
      <x:c r="I270" s="12" t="n">
        <x:f>IF(F270=0,"",H270/F270)</x:f>
        <x:v>1</x:v>
      </x:c>
      <x:c r="J270" s="12" t="n">
        <x:f>IF(F270=0,"",(O270+R270)/F270)</x:f>
        <x:v>0.5454545454545454</x:v>
      </x:c>
      <x:c r="K270" s="12" t="n">
        <x:f>IF(H270=0,"",O270/H270)</x:f>
        <x:v>0.5454545454545454</x:v>
      </x:c>
      <x:c r="L270" s="12" t="n">
        <x:f>IF(O270+Q270=0,"",O270/(O270+Q270))</x:f>
        <x:v>1</x:v>
      </x:c>
      <x:c r="M270" s="12" t="n">
        <x:f>IF(2*O270+P270+Q270=0,"",2*O270/(2*O270+P270+Q270))</x:f>
        <x:v>0.7058823529411765</x:v>
      </x:c>
      <x:c r="N270" s="12" t="n">
        <x:f>IF(OR(O270+Q270=0,R270+P270=0),"",(L270+R270/(R270+P270))/2)</x:f>
        <x:v>0.5</x:v>
      </x:c>
      <x:c r="O270" s="11" t="n">
        <x:v>6</x:v>
      </x:c>
      <x:c r="P270" s="11" t="n">
        <x:v>5</x:v>
      </x:c>
      <x:c r="Q270" s="11" t="n">
        <x:v>0</x:v>
      </x:c>
      <x:c r="R270" s="11" t="n">
        <x:v>0</x:v>
      </x:c>
    </x:row>
    <x:row r="271" ht="26" customHeight="1">
      <x:c r="A271" s="13" t="n">
        <x:v>46082</x:v>
      </x:c>
      <x:c r="B271" s="9" t="str">
        <x:v>共同可买</x:v>
      </x:c>
      <x:c r="C271" s="9" t="str">
        <x:v>测试</x:v>
      </x:c>
      <x:c r="D271" s="9" t="str">
        <x:v>Top1</x:v>
      </x:c>
      <x:c r="E271" s="9" t="str">
        <x:v>五K原规则</x:v>
      </x:c>
      <x:c r="F271" s="11" t="n">
        <x:f>SUM(O271:R271)</x:f>
        <x:v>11</x:v>
      </x:c>
      <x:c r="G271" s="11" t="n">
        <x:v>11</x:v>
      </x:c>
      <x:c r="H271" s="11" t="n">
        <x:f>O271+P271</x:f>
        <x:v>5</x:v>
      </x:c>
      <x:c r="I271" s="12" t="n">
        <x:f>IF(F271=0,"",H271/F271)</x:f>
        <x:v>0.45454545454545453</x:v>
      </x:c>
      <x:c r="J271" s="12" t="n">
        <x:f>IF(F271=0,"",(O271+R271)/F271)</x:f>
        <x:v>0.7272727272727273</x:v>
      </x:c>
      <x:c r="K271" s="12" t="n">
        <x:f>IF(H271=0,"",O271/H271)</x:f>
        <x:v>0.8</x:v>
      </x:c>
      <x:c r="L271" s="12" t="n">
        <x:f>IF(O271+Q271=0,"",O271/(O271+Q271))</x:f>
        <x:v>0.6666666666666666</x:v>
      </x:c>
      <x:c r="M271" s="12" t="n">
        <x:f>IF(2*O271+P271+Q271=0,"",2*O271/(2*O271+P271+Q271))</x:f>
        <x:v>0.7272727272727273</x:v>
      </x:c>
      <x:c r="N271" s="12" t="n">
        <x:f>IF(OR(O271+Q271=0,R271+P271=0),"",(L271+R271/(R271+P271))/2)</x:f>
        <x:v>0.7333333333333334</x:v>
      </x:c>
      <x:c r="O271" s="11" t="n">
        <x:v>4</x:v>
      </x:c>
      <x:c r="P271" s="11" t="n">
        <x:v>1</x:v>
      </x:c>
      <x:c r="Q271" s="11" t="n">
        <x:v>2</x:v>
      </x:c>
      <x:c r="R271" s="11" t="n">
        <x:v>4</x:v>
      </x:c>
    </x:row>
    <x:row r="272" ht="26" customHeight="1">
      <x:c r="A272" s="13" t="n">
        <x:v>46082</x:v>
      </x:c>
      <x:c r="B272" s="9" t="str">
        <x:v>共同可买</x:v>
      </x:c>
      <x:c r="C272" s="9" t="str">
        <x:v>测试</x:v>
      </x:c>
      <x:c r="D272" s="9" t="str">
        <x:v>Top1</x:v>
      </x:c>
      <x:c r="E272" s="9" t="str">
        <x:v>四K沿用门槛</x:v>
      </x:c>
      <x:c r="F272" s="11" t="n">
        <x:f>SUM(O272:R272)</x:f>
        <x:v>11</x:v>
      </x:c>
      <x:c r="G272" s="11" t="n">
        <x:v>11</x:v>
      </x:c>
      <x:c r="H272" s="11" t="n">
        <x:f>O272+P272</x:f>
        <x:v>5</x:v>
      </x:c>
      <x:c r="I272" s="12" t="n">
        <x:f>IF(F272=0,"",H272/F272)</x:f>
        <x:v>0.45454545454545453</x:v>
      </x:c>
      <x:c r="J272" s="12" t="n">
        <x:f>IF(F272=0,"",(O272+R272)/F272)</x:f>
        <x:v>0.7272727272727273</x:v>
      </x:c>
      <x:c r="K272" s="12" t="n">
        <x:f>IF(H272=0,"",O272/H272)</x:f>
        <x:v>0.8</x:v>
      </x:c>
      <x:c r="L272" s="12" t="n">
        <x:f>IF(O272+Q272=0,"",O272/(O272+Q272))</x:f>
        <x:v>0.6666666666666666</x:v>
      </x:c>
      <x:c r="M272" s="12" t="n">
        <x:f>IF(2*O272+P272+Q272=0,"",2*O272/(2*O272+P272+Q272))</x:f>
        <x:v>0.7272727272727273</x:v>
      </x:c>
      <x:c r="N272" s="12" t="n">
        <x:f>IF(OR(O272+Q272=0,R272+P272=0),"",(L272+R272/(R272+P272))/2)</x:f>
        <x:v>0.7333333333333334</x:v>
      </x:c>
      <x:c r="O272" s="11" t="n">
        <x:v>4</x:v>
      </x:c>
      <x:c r="P272" s="11" t="n">
        <x:v>1</x:v>
      </x:c>
      <x:c r="Q272" s="11" t="n">
        <x:v>2</x:v>
      </x:c>
      <x:c r="R272" s="11" t="n">
        <x:v>4</x:v>
      </x:c>
    </x:row>
    <x:row r="273" ht="26" customHeight="1">
      <x:c r="A273" s="13" t="n">
        <x:v>46082</x:v>
      </x:c>
      <x:c r="B273" s="9" t="str">
        <x:v>共同可买</x:v>
      </x:c>
      <x:c r="C273" s="9" t="str">
        <x:v>测试</x:v>
      </x:c>
      <x:c r="D273" s="9" t="str">
        <x:v>Top1</x:v>
      </x:c>
      <x:c r="E273" s="9" t="str">
        <x:v>四K重选规则</x:v>
      </x:c>
      <x:c r="F273" s="11" t="n">
        <x:f>SUM(O273:R273)</x:f>
        <x:v>11</x:v>
      </x:c>
      <x:c r="G273" s="11" t="n">
        <x:v>11</x:v>
      </x:c>
      <x:c r="H273" s="11" t="n">
        <x:f>O273+P273</x:f>
        <x:v>6</x:v>
      </x:c>
      <x:c r="I273" s="12" t="n">
        <x:f>IF(F273=0,"",H273/F273)</x:f>
        <x:v>0.5454545454545454</x:v>
      </x:c>
      <x:c r="J273" s="12" t="n">
        <x:f>IF(F273=0,"",(O273+R273)/F273)</x:f>
        <x:v>0.6363636363636364</x:v>
      </x:c>
      <x:c r="K273" s="12" t="n">
        <x:f>IF(H273=0,"",O273/H273)</x:f>
        <x:v>0.6666666666666666</x:v>
      </x:c>
      <x:c r="L273" s="12" t="n">
        <x:f>IF(O273+Q273=0,"",O273/(O273+Q273))</x:f>
        <x:v>0.6666666666666666</x:v>
      </x:c>
      <x:c r="M273" s="12" t="n">
        <x:f>IF(2*O273+P273+Q273=0,"",2*O273/(2*O273+P273+Q273))</x:f>
        <x:v>0.6666666666666666</x:v>
      </x:c>
      <x:c r="N273" s="12" t="n">
        <x:f>IF(OR(O273+Q273=0,R273+P273=0),"",(L273+R273/(R273+P273))/2)</x:f>
        <x:v>0.6333333333333333</x:v>
      </x:c>
      <x:c r="O273" s="11" t="n">
        <x:v>4</x:v>
      </x:c>
      <x:c r="P273" s="11" t="n">
        <x:v>2</x:v>
      </x:c>
      <x:c r="Q273" s="11" t="n">
        <x:v>2</x:v>
      </x:c>
      <x:c r="R273" s="11" t="n">
        <x:v>3</x:v>
      </x:c>
    </x:row>
    <x:row r="274" ht="26" customHeight="1">
      <x:c r="A274" s="13" t="n">
        <x:v>46082</x:v>
      </x:c>
      <x:c r="B274" s="9" t="str">
        <x:v>共同可买</x:v>
      </x:c>
      <x:c r="C274" s="9" t="str">
        <x:v>训练窗口</x:v>
      </x:c>
      <x:c r="D274" s="9" t="str">
        <x:v>Top1</x:v>
      </x:c>
      <x:c r="E274" s="9" t="str">
        <x:v>不判形态</x:v>
      </x:c>
      <x:c r="F274" s="11" t="n">
        <x:f>SUM(O274:R274)</x:f>
        <x:v>72</x:v>
      </x:c>
      <x:c r="G274" s="11" t="n">
        <x:v>72</x:v>
      </x:c>
      <x:c r="H274" s="11" t="n">
        <x:f>O274+P274</x:f>
        <x:v>72</x:v>
      </x:c>
      <x:c r="I274" s="12" t="n">
        <x:f>IF(F274=0,"",H274/F274)</x:f>
        <x:v>1</x:v>
      </x:c>
      <x:c r="J274" s="12" t="n">
        <x:f>IF(F274=0,"",(O274+R274)/F274)</x:f>
        <x:v>0.5694444444444444</x:v>
      </x:c>
      <x:c r="K274" s="12" t="n">
        <x:f>IF(H274=0,"",O274/H274)</x:f>
        <x:v>0.5694444444444444</x:v>
      </x:c>
      <x:c r="L274" s="12" t="n">
        <x:f>IF(O274+Q274=0,"",O274/(O274+Q274))</x:f>
        <x:v>1</x:v>
      </x:c>
      <x:c r="M274" s="12" t="n">
        <x:f>IF(2*O274+P274+Q274=0,"",2*O274/(2*O274+P274+Q274))</x:f>
        <x:v>0.7256637168141593</x:v>
      </x:c>
      <x:c r="N274" s="12" t="n">
        <x:f>IF(OR(O274+Q274=0,R274+P274=0),"",(L274+R274/(R274+P274))/2)</x:f>
        <x:v>0.5</x:v>
      </x:c>
      <x:c r="O274" s="11" t="n">
        <x:v>41</x:v>
      </x:c>
      <x:c r="P274" s="11" t="n">
        <x:v>31</x:v>
      </x:c>
      <x:c r="Q274" s="11" t="n">
        <x:v>0</x:v>
      </x:c>
      <x:c r="R274" s="11" t="n">
        <x:v>0</x:v>
      </x:c>
    </x:row>
    <x:row r="275" ht="26" customHeight="1">
      <x:c r="A275" s="13" t="n">
        <x:v>46082</x:v>
      </x:c>
      <x:c r="B275" s="9" t="str">
        <x:v>共同可买</x:v>
      </x:c>
      <x:c r="C275" s="9" t="str">
        <x:v>训练窗口</x:v>
      </x:c>
      <x:c r="D275" s="9" t="str">
        <x:v>Top1</x:v>
      </x:c>
      <x:c r="E275" s="9" t="str">
        <x:v>五K原规则</x:v>
      </x:c>
      <x:c r="F275" s="11" t="n">
        <x:f>SUM(O275:R275)</x:f>
        <x:v>72</x:v>
      </x:c>
      <x:c r="G275" s="11" t="n">
        <x:v>72</x:v>
      </x:c>
      <x:c r="H275" s="11" t="n">
        <x:f>O275+P275</x:f>
        <x:v>34</x:v>
      </x:c>
      <x:c r="I275" s="12" t="n">
        <x:f>IF(F275=0,"",H275/F275)</x:f>
        <x:v>0.4722222222222222</x:v>
      </x:c>
      <x:c r="J275" s="12" t="n">
        <x:f>IF(F275=0,"",(O275+R275)/F275)</x:f>
        <x:v>0.6527777777777778</x:v>
      </x:c>
      <x:c r="K275" s="12" t="n">
        <x:f>IF(H275=0,"",O275/H275)</x:f>
        <x:v>0.7352941176470589</x:v>
      </x:c>
      <x:c r="L275" s="12" t="n">
        <x:f>IF(O275+Q275=0,"",O275/(O275+Q275))</x:f>
        <x:v>0.6097560975609756</x:v>
      </x:c>
      <x:c r="M275" s="12" t="n">
        <x:f>IF(2*O275+P275+Q275=0,"",2*O275/(2*O275+P275+Q275))</x:f>
        <x:v>0.6666666666666666</x:v>
      </x:c>
      <x:c r="N275" s="12" t="n">
        <x:f>IF(OR(O275+Q275=0,R275+P275=0),"",(L275+R275/(R275+P275))/2)</x:f>
        <x:v>0.6597167584579071</x:v>
      </x:c>
      <x:c r="O275" s="11" t="n">
        <x:v>25</x:v>
      </x:c>
      <x:c r="P275" s="11" t="n">
        <x:v>9</x:v>
      </x:c>
      <x:c r="Q275" s="11" t="n">
        <x:v>16</x:v>
      </x:c>
      <x:c r="R275" s="11" t="n">
        <x:v>22</x:v>
      </x:c>
    </x:row>
    <x:row r="276" ht="26" customHeight="1">
      <x:c r="A276" s="13" t="n">
        <x:v>46082</x:v>
      </x:c>
      <x:c r="B276" s="9" t="str">
        <x:v>共同可买</x:v>
      </x:c>
      <x:c r="C276" s="9" t="str">
        <x:v>训练窗口</x:v>
      </x:c>
      <x:c r="D276" s="9" t="str">
        <x:v>Top1</x:v>
      </x:c>
      <x:c r="E276" s="9" t="str">
        <x:v>四K沿用门槛</x:v>
      </x:c>
      <x:c r="F276" s="11" t="n">
        <x:f>SUM(O276:R276)</x:f>
        <x:v>72</x:v>
      </x:c>
      <x:c r="G276" s="11" t="n">
        <x:v>72</x:v>
      </x:c>
      <x:c r="H276" s="11" t="n">
        <x:f>O276+P276</x:f>
        <x:v>35</x:v>
      </x:c>
      <x:c r="I276" s="12" t="n">
        <x:f>IF(F276=0,"",H276/F276)</x:f>
        <x:v>0.4861111111111111</x:v>
      </x:c>
      <x:c r="J276" s="12" t="n">
        <x:f>IF(F276=0,"",(O276+R276)/F276)</x:f>
        <x:v>0.6388888888888888</x:v>
      </x:c>
      <x:c r="K276" s="12" t="n">
        <x:f>IF(H276=0,"",O276/H276)</x:f>
        <x:v>0.7142857142857143</x:v>
      </x:c>
      <x:c r="L276" s="12" t="n">
        <x:f>IF(O276+Q276=0,"",O276/(O276+Q276))</x:f>
        <x:v>0.6097560975609756</x:v>
      </x:c>
      <x:c r="M276" s="12" t="n">
        <x:f>IF(2*O276+P276+Q276=0,"",2*O276/(2*O276+P276+Q276))</x:f>
        <x:v>0.6578947368421053</x:v>
      </x:c>
      <x:c r="N276" s="12" t="n">
        <x:f>IF(OR(O276+Q276=0,R276+P276=0),"",(L276+R276/(R276+P276))/2)</x:f>
        <x:v>0.6435877261998426</x:v>
      </x:c>
      <x:c r="O276" s="11" t="n">
        <x:v>25</x:v>
      </x:c>
      <x:c r="P276" s="11" t="n">
        <x:v>10</x:v>
      </x:c>
      <x:c r="Q276" s="11" t="n">
        <x:v>16</x:v>
      </x:c>
      <x:c r="R276" s="11" t="n">
        <x:v>21</x:v>
      </x:c>
    </x:row>
    <x:row r="277" ht="26" customHeight="1">
      <x:c r="A277" s="13" t="n">
        <x:v>46082</x:v>
      </x:c>
      <x:c r="B277" s="9" t="str">
        <x:v>共同可买</x:v>
      </x:c>
      <x:c r="C277" s="9" t="str">
        <x:v>训练窗口</x:v>
      </x:c>
      <x:c r="D277" s="9" t="str">
        <x:v>Top1</x:v>
      </x:c>
      <x:c r="E277" s="9" t="str">
        <x:v>四K重选规则</x:v>
      </x:c>
      <x:c r="F277" s="11" t="n">
        <x:f>SUM(O277:R277)</x:f>
        <x:v>72</x:v>
      </x:c>
      <x:c r="G277" s="11" t="n">
        <x:v>72</x:v>
      </x:c>
      <x:c r="H277" s="11" t="n">
        <x:f>O277+P277</x:f>
        <x:v>30</x:v>
      </x:c>
      <x:c r="I277" s="12" t="n">
        <x:f>IF(F277=0,"",H277/F277)</x:f>
        <x:v>0.4166666666666667</x:v>
      </x:c>
      <x:c r="J277" s="12" t="n">
        <x:f>IF(F277=0,"",(O277+R277)/F277)</x:f>
        <x:v>0.625</x:v>
      </x:c>
      <x:c r="K277" s="12" t="n">
        <x:f>IF(H277=0,"",O277/H277)</x:f>
        <x:v>0.7333333333333333</x:v>
      </x:c>
      <x:c r="L277" s="12" t="n">
        <x:f>IF(O277+Q277=0,"",O277/(O277+Q277))</x:f>
        <x:v>0.5365853658536586</x:v>
      </x:c>
      <x:c r="M277" s="12" t="n">
        <x:f>IF(2*O277+P277+Q277=0,"",2*O277/(2*O277+P277+Q277))</x:f>
        <x:v>0.6197183098591549</x:v>
      </x:c>
      <x:c r="N277" s="12" t="n">
        <x:f>IF(OR(O277+Q277=0,R277+P277=0),"",(L277+R277/(R277+P277))/2)</x:f>
        <x:v>0.6392604248623132</x:v>
      </x:c>
      <x:c r="O277" s="11" t="n">
        <x:v>22</x:v>
      </x:c>
      <x:c r="P277" s="11" t="n">
        <x:v>8</x:v>
      </x:c>
      <x:c r="Q277" s="11" t="n">
        <x:v>19</x:v>
      </x:c>
      <x:c r="R277" s="11" t="n">
        <x:v>23</x:v>
      </x:c>
    </x:row>
    <x:row r="278" ht="26" customHeight="1">
      <x:c r="A278" s="13" t="n">
        <x:v>46082</x:v>
      </x:c>
      <x:c r="B278" s="9" t="str">
        <x:v>共同可买</x:v>
      </x:c>
      <x:c r="C278" s="9" t="str">
        <x:v>验证窗口</x:v>
      </x:c>
      <x:c r="D278" s="9" t="str">
        <x:v>Top1</x:v>
      </x:c>
      <x:c r="E278" s="9" t="str">
        <x:v>不判形态</x:v>
      </x:c>
      <x:c r="F278" s="11" t="n">
        <x:f>SUM(O278:R278)</x:f>
        <x:v>16</x:v>
      </x:c>
      <x:c r="G278" s="11" t="n">
        <x:v>16</x:v>
      </x:c>
      <x:c r="H278" s="11" t="n">
        <x:f>O278+P278</x:f>
        <x:v>16</x:v>
      </x:c>
      <x:c r="I278" s="12" t="n">
        <x:f>IF(F278=0,"",H278/F278)</x:f>
        <x:v>1</x:v>
      </x:c>
      <x:c r="J278" s="12" t="n">
        <x:f>IF(F278=0,"",(O278+R278)/F278)</x:f>
        <x:v>0.5625</x:v>
      </x:c>
      <x:c r="K278" s="12" t="n">
        <x:f>IF(H278=0,"",O278/H278)</x:f>
        <x:v>0.5625</x:v>
      </x:c>
      <x:c r="L278" s="12" t="n">
        <x:f>IF(O278+Q278=0,"",O278/(O278+Q278))</x:f>
        <x:v>1</x:v>
      </x:c>
      <x:c r="M278" s="12" t="n">
        <x:f>IF(2*O278+P278+Q278=0,"",2*O278/(2*O278+P278+Q278))</x:f>
        <x:v>0.72</x:v>
      </x:c>
      <x:c r="N278" s="12" t="n">
        <x:f>IF(OR(O278+Q278=0,R278+P278=0),"",(L278+R278/(R278+P278))/2)</x:f>
        <x:v>0.5</x:v>
      </x:c>
      <x:c r="O278" s="11" t="n">
        <x:v>9</x:v>
      </x:c>
      <x:c r="P278" s="11" t="n">
        <x:v>7</x:v>
      </x:c>
      <x:c r="Q278" s="11" t="n">
        <x:v>0</x:v>
      </x:c>
      <x:c r="R278" s="11" t="n">
        <x:v>0</x:v>
      </x:c>
    </x:row>
    <x:row r="279" ht="26" customHeight="1">
      <x:c r="A279" s="13" t="n">
        <x:v>46082</x:v>
      </x:c>
      <x:c r="B279" s="9" t="str">
        <x:v>共同可买</x:v>
      </x:c>
      <x:c r="C279" s="9" t="str">
        <x:v>验证窗口</x:v>
      </x:c>
      <x:c r="D279" s="9" t="str">
        <x:v>Top1</x:v>
      </x:c>
      <x:c r="E279" s="9" t="str">
        <x:v>五K原规则</x:v>
      </x:c>
      <x:c r="F279" s="11" t="n">
        <x:f>SUM(O279:R279)</x:f>
        <x:v>16</x:v>
      </x:c>
      <x:c r="G279" s="11" t="n">
        <x:v>16</x:v>
      </x:c>
      <x:c r="H279" s="11" t="n">
        <x:f>O279+P279</x:f>
        <x:v>9</x:v>
      </x:c>
      <x:c r="I279" s="12" t="n">
        <x:f>IF(F279=0,"",H279/F279)</x:f>
        <x:v>0.5625</x:v>
      </x:c>
      <x:c r="J279" s="12" t="n">
        <x:f>IF(F279=0,"",(O279+R279)/F279)</x:f>
        <x:v>0.75</x:v>
      </x:c>
      <x:c r="K279" s="12" t="n">
        <x:f>IF(H279=0,"",O279/H279)</x:f>
        <x:v>0.7777777777777778</x:v>
      </x:c>
      <x:c r="L279" s="12" t="n">
        <x:f>IF(O279+Q279=0,"",O279/(O279+Q279))</x:f>
        <x:v>0.7777777777777778</x:v>
      </x:c>
      <x:c r="M279" s="12" t="n">
        <x:f>IF(2*O279+P279+Q279=0,"",2*O279/(2*O279+P279+Q279))</x:f>
        <x:v>0.7777777777777778</x:v>
      </x:c>
      <x:c r="N279" s="12" t="n">
        <x:f>IF(OR(O279+Q279=0,R279+P279=0),"",(L279+R279/(R279+P279))/2)</x:f>
        <x:v>0.746031746031746</x:v>
      </x:c>
      <x:c r="O279" s="11" t="n">
        <x:v>7</x:v>
      </x:c>
      <x:c r="P279" s="11" t="n">
        <x:v>2</x:v>
      </x:c>
      <x:c r="Q279" s="11" t="n">
        <x:v>2</x:v>
      </x:c>
      <x:c r="R279" s="11" t="n">
        <x:v>5</x:v>
      </x:c>
    </x:row>
    <x:row r="280" ht="26" customHeight="1">
      <x:c r="A280" s="13" t="n">
        <x:v>46082</x:v>
      </x:c>
      <x:c r="B280" s="9" t="str">
        <x:v>共同可买</x:v>
      </x:c>
      <x:c r="C280" s="9" t="str">
        <x:v>验证窗口</x:v>
      </x:c>
      <x:c r="D280" s="9" t="str">
        <x:v>Top1</x:v>
      </x:c>
      <x:c r="E280" s="9" t="str">
        <x:v>四K沿用门槛</x:v>
      </x:c>
      <x:c r="F280" s="11" t="n">
        <x:f>SUM(O280:R280)</x:f>
        <x:v>16</x:v>
      </x:c>
      <x:c r="G280" s="11" t="n">
        <x:v>16</x:v>
      </x:c>
      <x:c r="H280" s="11" t="n">
        <x:f>O280+P280</x:f>
        <x:v>10</x:v>
      </x:c>
      <x:c r="I280" s="12" t="n">
        <x:f>IF(F280=0,"",H280/F280)</x:f>
        <x:v>0.625</x:v>
      </x:c>
      <x:c r="J280" s="12" t="n">
        <x:f>IF(F280=0,"",(O280+R280)/F280)</x:f>
        <x:v>0.6875</x:v>
      </x:c>
      <x:c r="K280" s="12" t="n">
        <x:f>IF(H280=0,"",O280/H280)</x:f>
        <x:v>0.7</x:v>
      </x:c>
      <x:c r="L280" s="12" t="n">
        <x:f>IF(O280+Q280=0,"",O280/(O280+Q280))</x:f>
        <x:v>0.7777777777777778</x:v>
      </x:c>
      <x:c r="M280" s="12" t="n">
        <x:f>IF(2*O280+P280+Q280=0,"",2*O280/(2*O280+P280+Q280))</x:f>
        <x:v>0.7368421052631579</x:v>
      </x:c>
      <x:c r="N280" s="12" t="n">
        <x:f>IF(OR(O280+Q280=0,R280+P280=0),"",(L280+R280/(R280+P280))/2)</x:f>
        <x:v>0.6746031746031746</x:v>
      </x:c>
      <x:c r="O280" s="11" t="n">
        <x:v>7</x:v>
      </x:c>
      <x:c r="P280" s="11" t="n">
        <x:v>3</x:v>
      </x:c>
      <x:c r="Q280" s="11" t="n">
        <x:v>2</x:v>
      </x:c>
      <x:c r="R280" s="11" t="n">
        <x:v>4</x:v>
      </x:c>
    </x:row>
    <x:row r="281" ht="26" customHeight="1">
      <x:c r="A281" s="13" t="n">
        <x:v>46082</x:v>
      </x:c>
      <x:c r="B281" s="9" t="str">
        <x:v>共同可买</x:v>
      </x:c>
      <x:c r="C281" s="9" t="str">
        <x:v>验证窗口</x:v>
      </x:c>
      <x:c r="D281" s="9" t="str">
        <x:v>Top1</x:v>
      </x:c>
      <x:c r="E281" s="9" t="str">
        <x:v>四K重选规则</x:v>
      </x:c>
      <x:c r="F281" s="11" t="n">
        <x:f>SUM(O281:R281)</x:f>
        <x:v>16</x:v>
      </x:c>
      <x:c r="G281" s="11" t="n">
        <x:v>16</x:v>
      </x:c>
      <x:c r="H281" s="11" t="n">
        <x:f>O281+P281</x:f>
        <x:v>7</x:v>
      </x:c>
      <x:c r="I281" s="12" t="n">
        <x:f>IF(F281=0,"",H281/F281)</x:f>
        <x:v>0.4375</x:v>
      </x:c>
      <x:c r="J281" s="12" t="n">
        <x:f>IF(F281=0,"",(O281+R281)/F281)</x:f>
        <x:v>0.625</x:v>
      </x:c>
      <x:c r="K281" s="12" t="n">
        <x:f>IF(H281=0,"",O281/H281)</x:f>
        <x:v>0.7142857142857143</x:v>
      </x:c>
      <x:c r="L281" s="12" t="n">
        <x:f>IF(O281+Q281=0,"",O281/(O281+Q281))</x:f>
        <x:v>0.5555555555555556</x:v>
      </x:c>
      <x:c r="M281" s="12" t="n">
        <x:f>IF(2*O281+P281+Q281=0,"",2*O281/(2*O281+P281+Q281))</x:f>
        <x:v>0.625</x:v>
      </x:c>
      <x:c r="N281" s="12" t="n">
        <x:f>IF(OR(O281+Q281=0,R281+P281=0),"",(L281+R281/(R281+P281))/2)</x:f>
        <x:v>0.6349206349206349</x:v>
      </x:c>
      <x:c r="O281" s="11" t="n">
        <x:v>5</x:v>
      </x:c>
      <x:c r="P281" s="11" t="n">
        <x:v>2</x:v>
      </x:c>
      <x:c r="Q281" s="11" t="n">
        <x:v>4</x:v>
      </x:c>
      <x:c r="R281" s="11" t="n">
        <x:v>5</x:v>
      </x:c>
    </x:row>
    <x:row r="282" ht="26" customHeight="1">
      <x:c r="A282" s="13" t="n">
        <x:v>46113</x:v>
      </x:c>
      <x:c r="B282" s="9" t="str">
        <x:v>共同可买</x:v>
      </x:c>
      <x:c r="C282" s="9" t="str">
        <x:v>测试</x:v>
      </x:c>
      <x:c r="D282" s="9" t="str">
        <x:v>Top1</x:v>
      </x:c>
      <x:c r="E282" s="9" t="str">
        <x:v>不判形态</x:v>
      </x:c>
      <x:c r="F282" s="11" t="n">
        <x:f>SUM(O282:R282)</x:f>
        <x:v>10</x:v>
      </x:c>
      <x:c r="G282" s="11" t="n">
        <x:v>10</x:v>
      </x:c>
      <x:c r="H282" s="11" t="n">
        <x:f>O282+P282</x:f>
        <x:v>10</x:v>
      </x:c>
      <x:c r="I282" s="12" t="n">
        <x:f>IF(F282=0,"",H282/F282)</x:f>
        <x:v>1</x:v>
      </x:c>
      <x:c r="J282" s="12" t="n">
        <x:f>IF(F282=0,"",(O282+R282)/F282)</x:f>
        <x:v>0.4</x:v>
      </x:c>
      <x:c r="K282" s="12" t="n">
        <x:f>IF(H282=0,"",O282/H282)</x:f>
        <x:v>0.4</x:v>
      </x:c>
      <x:c r="L282" s="12" t="n">
        <x:f>IF(O282+Q282=0,"",O282/(O282+Q282))</x:f>
        <x:v>1</x:v>
      </x:c>
      <x:c r="M282" s="12" t="n">
        <x:f>IF(2*O282+P282+Q282=0,"",2*O282/(2*O282+P282+Q282))</x:f>
        <x:v>0.5714285714285714</x:v>
      </x:c>
      <x:c r="N282" s="12" t="n">
        <x:f>IF(OR(O282+Q282=0,R282+P282=0),"",(L282+R282/(R282+P282))/2)</x:f>
        <x:v>0.5</x:v>
      </x:c>
      <x:c r="O282" s="11" t="n">
        <x:v>4</x:v>
      </x:c>
      <x:c r="P282" s="11" t="n">
        <x:v>6</x:v>
      </x:c>
      <x:c r="Q282" s="11" t="n">
        <x:v>0</x:v>
      </x:c>
      <x:c r="R282" s="11" t="n">
        <x:v>0</x:v>
      </x:c>
    </x:row>
    <x:row r="283" ht="26" customHeight="1">
      <x:c r="A283" s="13" t="n">
        <x:v>46113</x:v>
      </x:c>
      <x:c r="B283" s="9" t="str">
        <x:v>共同可买</x:v>
      </x:c>
      <x:c r="C283" s="9" t="str">
        <x:v>测试</x:v>
      </x:c>
      <x:c r="D283" s="9" t="str">
        <x:v>Top1</x:v>
      </x:c>
      <x:c r="E283" s="9" t="str">
        <x:v>五K原规则</x:v>
      </x:c>
      <x:c r="F283" s="11" t="n">
        <x:f>SUM(O283:R283)</x:f>
        <x:v>10</x:v>
      </x:c>
      <x:c r="G283" s="11" t="n">
        <x:v>10</x:v>
      </x:c>
      <x:c r="H283" s="11" t="n">
        <x:f>O283+P283</x:f>
        <x:v>2</x:v>
      </x:c>
      <x:c r="I283" s="12" t="n">
        <x:f>IF(F283=0,"",H283/F283)</x:f>
        <x:v>0.2</x:v>
      </x:c>
      <x:c r="J283" s="12" t="n">
        <x:f>IF(F283=0,"",(O283+R283)/F283)</x:f>
        <x:v>0.6</x:v>
      </x:c>
      <x:c r="K283" s="12" t="n">
        <x:f>IF(H283=0,"",O283/H283)</x:f>
        <x:v>0.5</x:v>
      </x:c>
      <x:c r="L283" s="12" t="n">
        <x:f>IF(O283+Q283=0,"",O283/(O283+Q283))</x:f>
        <x:v>0.25</x:v>
      </x:c>
      <x:c r="M283" s="12" t="n">
        <x:f>IF(2*O283+P283+Q283=0,"",2*O283/(2*O283+P283+Q283))</x:f>
        <x:v>0.3333333333333333</x:v>
      </x:c>
      <x:c r="N283" s="12" t="n">
        <x:f>IF(OR(O283+Q283=0,R283+P283=0),"",(L283+R283/(R283+P283))/2)</x:f>
        <x:v>0.5416666666666667</x:v>
      </x:c>
      <x:c r="O283" s="11" t="n">
        <x:v>1</x:v>
      </x:c>
      <x:c r="P283" s="11" t="n">
        <x:v>1</x:v>
      </x:c>
      <x:c r="Q283" s="11" t="n">
        <x:v>3</x:v>
      </x:c>
      <x:c r="R283" s="11" t="n">
        <x:v>5</x:v>
      </x:c>
    </x:row>
    <x:row r="284" ht="26" customHeight="1">
      <x:c r="A284" s="13" t="n">
        <x:v>46113</x:v>
      </x:c>
      <x:c r="B284" s="9" t="str">
        <x:v>共同可买</x:v>
      </x:c>
      <x:c r="C284" s="9" t="str">
        <x:v>测试</x:v>
      </x:c>
      <x:c r="D284" s="9" t="str">
        <x:v>Top1</x:v>
      </x:c>
      <x:c r="E284" s="9" t="str">
        <x:v>四K沿用门槛</x:v>
      </x:c>
      <x:c r="F284" s="11" t="n">
        <x:f>SUM(O284:R284)</x:f>
        <x:v>10</x:v>
      </x:c>
      <x:c r="G284" s="11" t="n">
        <x:v>10</x:v>
      </x:c>
      <x:c r="H284" s="11" t="n">
        <x:f>O284+P284</x:f>
        <x:v>2</x:v>
      </x:c>
      <x:c r="I284" s="12" t="n">
        <x:f>IF(F284=0,"",H284/F284)</x:f>
        <x:v>0.2</x:v>
      </x:c>
      <x:c r="J284" s="12" t="n">
        <x:f>IF(F284=0,"",(O284+R284)/F284)</x:f>
        <x:v>0.6</x:v>
      </x:c>
      <x:c r="K284" s="12" t="n">
        <x:f>IF(H284=0,"",O284/H284)</x:f>
        <x:v>0.5</x:v>
      </x:c>
      <x:c r="L284" s="12" t="n">
        <x:f>IF(O284+Q284=0,"",O284/(O284+Q284))</x:f>
        <x:v>0.25</x:v>
      </x:c>
      <x:c r="M284" s="12" t="n">
        <x:f>IF(2*O284+P284+Q284=0,"",2*O284/(2*O284+P284+Q284))</x:f>
        <x:v>0.3333333333333333</x:v>
      </x:c>
      <x:c r="N284" s="12" t="n">
        <x:f>IF(OR(O284+Q284=0,R284+P284=0),"",(L284+R284/(R284+P284))/2)</x:f>
        <x:v>0.5416666666666667</x:v>
      </x:c>
      <x:c r="O284" s="11" t="n">
        <x:v>1</x:v>
      </x:c>
      <x:c r="P284" s="11" t="n">
        <x:v>1</x:v>
      </x:c>
      <x:c r="Q284" s="11" t="n">
        <x:v>3</x:v>
      </x:c>
      <x:c r="R284" s="11" t="n">
        <x:v>5</x:v>
      </x:c>
    </x:row>
    <x:row r="285" ht="26" customHeight="1">
      <x:c r="A285" s="13" t="n">
        <x:v>46113</x:v>
      </x:c>
      <x:c r="B285" s="9" t="str">
        <x:v>共同可买</x:v>
      </x:c>
      <x:c r="C285" s="9" t="str">
        <x:v>测试</x:v>
      </x:c>
      <x:c r="D285" s="9" t="str">
        <x:v>Top1</x:v>
      </x:c>
      <x:c r="E285" s="9" t="str">
        <x:v>四K重选规则</x:v>
      </x:c>
      <x:c r="F285" s="11" t="n">
        <x:f>SUM(O285:R285)</x:f>
        <x:v>10</x:v>
      </x:c>
      <x:c r="G285" s="11" t="n">
        <x:v>10</x:v>
      </x:c>
      <x:c r="H285" s="11" t="n">
        <x:f>O285+P285</x:f>
        <x:v>2</x:v>
      </x:c>
      <x:c r="I285" s="12" t="n">
        <x:f>IF(F285=0,"",H285/F285)</x:f>
        <x:v>0.2</x:v>
      </x:c>
      <x:c r="J285" s="12" t="n">
        <x:f>IF(F285=0,"",(O285+R285)/F285)</x:f>
        <x:v>0.6</x:v>
      </x:c>
      <x:c r="K285" s="12" t="n">
        <x:f>IF(H285=0,"",O285/H285)</x:f>
        <x:v>0.5</x:v>
      </x:c>
      <x:c r="L285" s="12" t="n">
        <x:f>IF(O285+Q285=0,"",O285/(O285+Q285))</x:f>
        <x:v>0.25</x:v>
      </x:c>
      <x:c r="M285" s="12" t="n">
        <x:f>IF(2*O285+P285+Q285=0,"",2*O285/(2*O285+P285+Q285))</x:f>
        <x:v>0.3333333333333333</x:v>
      </x:c>
      <x:c r="N285" s="12" t="n">
        <x:f>IF(OR(O285+Q285=0,R285+P285=0),"",(L285+R285/(R285+P285))/2)</x:f>
        <x:v>0.5416666666666667</x:v>
      </x:c>
      <x:c r="O285" s="11" t="n">
        <x:v>1</x:v>
      </x:c>
      <x:c r="P285" s="11" t="n">
        <x:v>1</x:v>
      </x:c>
      <x:c r="Q285" s="11" t="n">
        <x:v>3</x:v>
      </x:c>
      <x:c r="R285" s="11" t="n">
        <x:v>5</x:v>
      </x:c>
    </x:row>
    <x:row r="286" ht="26" customHeight="1">
      <x:c r="A286" s="13" t="n">
        <x:v>46113</x:v>
      </x:c>
      <x:c r="B286" s="9" t="str">
        <x:v>共同可买</x:v>
      </x:c>
      <x:c r="C286" s="9" t="str">
        <x:v>训练窗口</x:v>
      </x:c>
      <x:c r="D286" s="9" t="str">
        <x:v>Top1</x:v>
      </x:c>
      <x:c r="E286" s="9" t="str">
        <x:v>不判形态</x:v>
      </x:c>
      <x:c r="F286" s="11" t="n">
        <x:f>SUM(O286:R286)</x:f>
        <x:v>72</x:v>
      </x:c>
      <x:c r="G286" s="11" t="n">
        <x:v>72</x:v>
      </x:c>
      <x:c r="H286" s="11" t="n">
        <x:f>O286+P286</x:f>
        <x:v>72</x:v>
      </x:c>
      <x:c r="I286" s="12" t="n">
        <x:f>IF(F286=0,"",H286/F286)</x:f>
        <x:v>1</x:v>
      </x:c>
      <x:c r="J286" s="12" t="n">
        <x:f>IF(F286=0,"",(O286+R286)/F286)</x:f>
        <x:v>0.5972222222222222</x:v>
      </x:c>
      <x:c r="K286" s="12" t="n">
        <x:f>IF(H286=0,"",O286/H286)</x:f>
        <x:v>0.5972222222222222</x:v>
      </x:c>
      <x:c r="L286" s="12" t="n">
        <x:f>IF(O286+Q286=0,"",O286/(O286+Q286))</x:f>
        <x:v>1</x:v>
      </x:c>
      <x:c r="M286" s="12" t="n">
        <x:f>IF(2*O286+P286+Q286=0,"",2*O286/(2*O286+P286+Q286))</x:f>
        <x:v>0.7478260869565218</x:v>
      </x:c>
      <x:c r="N286" s="12" t="n">
        <x:f>IF(OR(O286+Q286=0,R286+P286=0),"",(L286+R286/(R286+P286))/2)</x:f>
        <x:v>0.5</x:v>
      </x:c>
      <x:c r="O286" s="11" t="n">
        <x:v>43</x:v>
      </x:c>
      <x:c r="P286" s="11" t="n">
        <x:v>29</x:v>
      </x:c>
      <x:c r="Q286" s="11" t="n">
        <x:v>0</x:v>
      </x:c>
      <x:c r="R286" s="11" t="n">
        <x:v>0</x:v>
      </x:c>
    </x:row>
    <x:row r="287" ht="26" customHeight="1">
      <x:c r="A287" s="13" t="n">
        <x:v>46113</x:v>
      </x:c>
      <x:c r="B287" s="9" t="str">
        <x:v>共同可买</x:v>
      </x:c>
      <x:c r="C287" s="9" t="str">
        <x:v>训练窗口</x:v>
      </x:c>
      <x:c r="D287" s="9" t="str">
        <x:v>Top1</x:v>
      </x:c>
      <x:c r="E287" s="9" t="str">
        <x:v>五K原规则</x:v>
      </x:c>
      <x:c r="F287" s="11" t="n">
        <x:f>SUM(O287:R287)</x:f>
        <x:v>72</x:v>
      </x:c>
      <x:c r="G287" s="11" t="n">
        <x:v>72</x:v>
      </x:c>
      <x:c r="H287" s="11" t="n">
        <x:f>O287+P287</x:f>
        <x:v>36</x:v>
      </x:c>
      <x:c r="I287" s="12" t="n">
        <x:f>IF(F287=0,"",H287/F287)</x:f>
        <x:v>0.5</x:v>
      </x:c>
      <x:c r="J287" s="12" t="n">
        <x:f>IF(F287=0,"",(O287+R287)/F287)</x:f>
        <x:v>0.7083333333333334</x:v>
      </x:c>
      <x:c r="K287" s="12" t="n">
        <x:f>IF(H287=0,"",O287/H287)</x:f>
        <x:v>0.8055555555555556</x:v>
      </x:c>
      <x:c r="L287" s="12" t="n">
        <x:f>IF(O287+Q287=0,"",O287/(O287+Q287))</x:f>
        <x:v>0.6744186046511628</x:v>
      </x:c>
      <x:c r="M287" s="12" t="n">
        <x:f>IF(2*O287+P287+Q287=0,"",2*O287/(2*O287+P287+Q287))</x:f>
        <x:v>0.7341772151898734</x:v>
      </x:c>
      <x:c r="N287" s="12" t="n">
        <x:f>IF(OR(O287+Q287=0,R287+P287=0),"",(L287+R287/(R287+P287))/2)</x:f>
        <x:v>0.7165196471531676</x:v>
      </x:c>
      <x:c r="O287" s="11" t="n">
        <x:v>29</x:v>
      </x:c>
      <x:c r="P287" s="11" t="n">
        <x:v>7</x:v>
      </x:c>
      <x:c r="Q287" s="11" t="n">
        <x:v>14</x:v>
      </x:c>
      <x:c r="R287" s="11" t="n">
        <x:v>22</x:v>
      </x:c>
    </x:row>
    <x:row r="288" ht="26" customHeight="1">
      <x:c r="A288" s="13" t="n">
        <x:v>46113</x:v>
      </x:c>
      <x:c r="B288" s="9" t="str">
        <x:v>共同可买</x:v>
      </x:c>
      <x:c r="C288" s="9" t="str">
        <x:v>训练窗口</x:v>
      </x:c>
      <x:c r="D288" s="9" t="str">
        <x:v>Top1</x:v>
      </x:c>
      <x:c r="E288" s="9" t="str">
        <x:v>四K沿用门槛</x:v>
      </x:c>
      <x:c r="F288" s="11" t="n">
        <x:f>SUM(O288:R288)</x:f>
        <x:v>72</x:v>
      </x:c>
      <x:c r="G288" s="11" t="n">
        <x:v>72</x:v>
      </x:c>
      <x:c r="H288" s="11" t="n">
        <x:f>O288+P288</x:f>
        <x:v>37</x:v>
      </x:c>
      <x:c r="I288" s="12" t="n">
        <x:f>IF(F288=0,"",H288/F288)</x:f>
        <x:v>0.5138888888888888</x:v>
      </x:c>
      <x:c r="J288" s="12" t="n">
        <x:f>IF(F288=0,"",(O288+R288)/F288)</x:f>
        <x:v>0.6944444444444444</x:v>
      </x:c>
      <x:c r="K288" s="12" t="n">
        <x:f>IF(H288=0,"",O288/H288)</x:f>
        <x:v>0.7837837837837838</x:v>
      </x:c>
      <x:c r="L288" s="12" t="n">
        <x:f>IF(O288+Q288=0,"",O288/(O288+Q288))</x:f>
        <x:v>0.6744186046511628</x:v>
      </x:c>
      <x:c r="M288" s="12" t="n">
        <x:f>IF(2*O288+P288+Q288=0,"",2*O288/(2*O288+P288+Q288))</x:f>
        <x:v>0.725</x:v>
      </x:c>
      <x:c r="N288" s="12" t="n">
        <x:f>IF(OR(O288+Q288=0,R288+P288=0),"",(L288+R288/(R288+P288))/2)</x:f>
        <x:v>0.6992782678428228</x:v>
      </x:c>
      <x:c r="O288" s="11" t="n">
        <x:v>29</x:v>
      </x:c>
      <x:c r="P288" s="11" t="n">
        <x:v>8</x:v>
      </x:c>
      <x:c r="Q288" s="11" t="n">
        <x:v>14</x:v>
      </x:c>
      <x:c r="R288" s="11" t="n">
        <x:v>21</x:v>
      </x:c>
    </x:row>
    <x:row r="289" ht="26" customHeight="1">
      <x:c r="A289" s="13" t="n">
        <x:v>46113</x:v>
      </x:c>
      <x:c r="B289" s="9" t="str">
        <x:v>共同可买</x:v>
      </x:c>
      <x:c r="C289" s="9" t="str">
        <x:v>训练窗口</x:v>
      </x:c>
      <x:c r="D289" s="9" t="str">
        <x:v>Top1</x:v>
      </x:c>
      <x:c r="E289" s="9" t="str">
        <x:v>四K重选规则</x:v>
      </x:c>
      <x:c r="F289" s="11" t="n">
        <x:f>SUM(O289:R289)</x:f>
        <x:v>72</x:v>
      </x:c>
      <x:c r="G289" s="11" t="n">
        <x:v>72</x:v>
      </x:c>
      <x:c r="H289" s="11" t="n">
        <x:f>O289+P289</x:f>
        <x:v>30</x:v>
      </x:c>
      <x:c r="I289" s="12" t="n">
        <x:f>IF(F289=0,"",H289/F289)</x:f>
        <x:v>0.4166666666666667</x:v>
      </x:c>
      <x:c r="J289" s="12" t="n">
        <x:f>IF(F289=0,"",(O289+R289)/F289)</x:f>
        <x:v>0.6805555555555556</x:v>
      </x:c>
      <x:c r="K289" s="12" t="n">
        <x:f>IF(H289=0,"",O289/H289)</x:f>
        <x:v>0.8333333333333334</x:v>
      </x:c>
      <x:c r="L289" s="12" t="n">
        <x:f>IF(O289+Q289=0,"",O289/(O289+Q289))</x:f>
        <x:v>0.5813953488372093</x:v>
      </x:c>
      <x:c r="M289" s="12" t="n">
        <x:f>IF(2*O289+P289+Q289=0,"",2*O289/(2*O289+P289+Q289))</x:f>
        <x:v>0.684931506849315</x:v>
      </x:c>
      <x:c r="N289" s="12" t="n">
        <x:f>IF(OR(O289+Q289=0,R289+P289=0),"",(L289+R289/(R289+P289))/2)</x:f>
        <x:v>0.7044907778668805</x:v>
      </x:c>
      <x:c r="O289" s="11" t="n">
        <x:v>25</x:v>
      </x:c>
      <x:c r="P289" s="11" t="n">
        <x:v>5</x:v>
      </x:c>
      <x:c r="Q289" s="11" t="n">
        <x:v>18</x:v>
      </x:c>
      <x:c r="R289" s="11" t="n">
        <x:v>24</x:v>
      </x:c>
    </x:row>
    <x:row r="290" ht="26" customHeight="1">
      <x:c r="A290" s="13" t="n">
        <x:v>46113</x:v>
      </x:c>
      <x:c r="B290" s="9" t="str">
        <x:v>共同可买</x:v>
      </x:c>
      <x:c r="C290" s="9" t="str">
        <x:v>验证窗口</x:v>
      </x:c>
      <x:c r="D290" s="9" t="str">
        <x:v>Top1</x:v>
      </x:c>
      <x:c r="E290" s="9" t="str">
        <x:v>不判形态</x:v>
      </x:c>
      <x:c r="F290" s="11" t="n">
        <x:f>SUM(O290:R290)</x:f>
        <x:v>19</x:v>
      </x:c>
      <x:c r="G290" s="11" t="n">
        <x:v>19</x:v>
      </x:c>
      <x:c r="H290" s="11" t="n">
        <x:f>O290+P290</x:f>
        <x:v>19</x:v>
      </x:c>
      <x:c r="I290" s="12" t="n">
        <x:f>IF(F290=0,"",H290/F290)</x:f>
        <x:v>1</x:v>
      </x:c>
      <x:c r="J290" s="12" t="n">
        <x:f>IF(F290=0,"",(O290+R290)/F290)</x:f>
        <x:v>0.5263157894736842</x:v>
      </x:c>
      <x:c r="K290" s="12" t="n">
        <x:f>IF(H290=0,"",O290/H290)</x:f>
        <x:v>0.5263157894736842</x:v>
      </x:c>
      <x:c r="L290" s="12" t="n">
        <x:f>IF(O290+Q290=0,"",O290/(O290+Q290))</x:f>
        <x:v>1</x:v>
      </x:c>
      <x:c r="M290" s="12" t="n">
        <x:f>IF(2*O290+P290+Q290=0,"",2*O290/(2*O290+P290+Q290))</x:f>
        <x:v>0.6896551724137931</x:v>
      </x:c>
      <x:c r="N290" s="12" t="n">
        <x:f>IF(OR(O290+Q290=0,R290+P290=0),"",(L290+R290/(R290+P290))/2)</x:f>
        <x:v>0.5</x:v>
      </x:c>
      <x:c r="O290" s="11" t="n">
        <x:v>10</x:v>
      </x:c>
      <x:c r="P290" s="11" t="n">
        <x:v>9</x:v>
      </x:c>
      <x:c r="Q290" s="11" t="n">
        <x:v>0</x:v>
      </x:c>
      <x:c r="R290" s="11" t="n">
        <x:v>0</x:v>
      </x:c>
    </x:row>
    <x:row r="291" ht="26" customHeight="1">
      <x:c r="A291" s="13" t="n">
        <x:v>46113</x:v>
      </x:c>
      <x:c r="B291" s="9" t="str">
        <x:v>共同可买</x:v>
      </x:c>
      <x:c r="C291" s="9" t="str">
        <x:v>验证窗口</x:v>
      </x:c>
      <x:c r="D291" s="9" t="str">
        <x:v>Top1</x:v>
      </x:c>
      <x:c r="E291" s="9" t="str">
        <x:v>五K原规则</x:v>
      </x:c>
      <x:c r="F291" s="11" t="n">
        <x:f>SUM(O291:R291)</x:f>
        <x:v>19</x:v>
      </x:c>
      <x:c r="G291" s="11" t="n">
        <x:v>19</x:v>
      </x:c>
      <x:c r="H291" s="11" t="n">
        <x:f>O291+P291</x:f>
        <x:v>10</x:v>
      </x:c>
      <x:c r="I291" s="12" t="n">
        <x:f>IF(F291=0,"",H291/F291)</x:f>
        <x:v>0.5263157894736842</x:v>
      </x:c>
      <x:c r="J291" s="12" t="n">
        <x:f>IF(F291=0,"",(O291+R291)/F291)</x:f>
        <x:v>0.7894736842105263</x:v>
      </x:c>
      <x:c r="K291" s="12" t="n">
        <x:f>IF(H291=0,"",O291/H291)</x:f>
        <x:v>0.8</x:v>
      </x:c>
      <x:c r="L291" s="12" t="n">
        <x:f>IF(O291+Q291=0,"",O291/(O291+Q291))</x:f>
        <x:v>0.8</x:v>
      </x:c>
      <x:c r="M291" s="12" t="n">
        <x:f>IF(2*O291+P291+Q291=0,"",2*O291/(2*O291+P291+Q291))</x:f>
        <x:v>0.8</x:v>
      </x:c>
      <x:c r="N291" s="12" t="n">
        <x:f>IF(OR(O291+Q291=0,R291+P291=0),"",(L291+R291/(R291+P291))/2)</x:f>
        <x:v>0.788888888888889</x:v>
      </x:c>
      <x:c r="O291" s="11" t="n">
        <x:v>8</x:v>
      </x:c>
      <x:c r="P291" s="11" t="n">
        <x:v>2</x:v>
      </x:c>
      <x:c r="Q291" s="11" t="n">
        <x:v>2</x:v>
      </x:c>
      <x:c r="R291" s="11" t="n">
        <x:v>7</x:v>
      </x:c>
    </x:row>
    <x:row r="292" ht="26" customHeight="1">
      <x:c r="A292" s="13" t="n">
        <x:v>46113</x:v>
      </x:c>
      <x:c r="B292" s="9" t="str">
        <x:v>共同可买</x:v>
      </x:c>
      <x:c r="C292" s="9" t="str">
        <x:v>验证窗口</x:v>
      </x:c>
      <x:c r="D292" s="9" t="str">
        <x:v>Top1</x:v>
      </x:c>
      <x:c r="E292" s="9" t="str">
        <x:v>四K沿用门槛</x:v>
      </x:c>
      <x:c r="F292" s="11" t="n">
        <x:f>SUM(O292:R292)</x:f>
        <x:v>19</x:v>
      </x:c>
      <x:c r="G292" s="11" t="n">
        <x:v>19</x:v>
      </x:c>
      <x:c r="H292" s="11" t="n">
        <x:f>O292+P292</x:f>
        <x:v>10</x:v>
      </x:c>
      <x:c r="I292" s="12" t="n">
        <x:f>IF(F292=0,"",H292/F292)</x:f>
        <x:v>0.5263157894736842</x:v>
      </x:c>
      <x:c r="J292" s="12" t="n">
        <x:f>IF(F292=0,"",(O292+R292)/F292)</x:f>
        <x:v>0.7894736842105263</x:v>
      </x:c>
      <x:c r="K292" s="12" t="n">
        <x:f>IF(H292=0,"",O292/H292)</x:f>
        <x:v>0.8</x:v>
      </x:c>
      <x:c r="L292" s="12" t="n">
        <x:f>IF(O292+Q292=0,"",O292/(O292+Q292))</x:f>
        <x:v>0.8</x:v>
      </x:c>
      <x:c r="M292" s="12" t="n">
        <x:f>IF(2*O292+P292+Q292=0,"",2*O292/(2*O292+P292+Q292))</x:f>
        <x:v>0.8</x:v>
      </x:c>
      <x:c r="N292" s="12" t="n">
        <x:f>IF(OR(O292+Q292=0,R292+P292=0),"",(L292+R292/(R292+P292))/2)</x:f>
        <x:v>0.788888888888889</x:v>
      </x:c>
      <x:c r="O292" s="11" t="n">
        <x:v>8</x:v>
      </x:c>
      <x:c r="P292" s="11" t="n">
        <x:v>2</x:v>
      </x:c>
      <x:c r="Q292" s="11" t="n">
        <x:v>2</x:v>
      </x:c>
      <x:c r="R292" s="11" t="n">
        <x:v>7</x:v>
      </x:c>
    </x:row>
    <x:row r="293" ht="26" customHeight="1">
      <x:c r="A293" s="13" t="n">
        <x:v>46113</x:v>
      </x:c>
      <x:c r="B293" s="9" t="str">
        <x:v>共同可买</x:v>
      </x:c>
      <x:c r="C293" s="9" t="str">
        <x:v>验证窗口</x:v>
      </x:c>
      <x:c r="D293" s="9" t="str">
        <x:v>Top1</x:v>
      </x:c>
      <x:c r="E293" s="9" t="str">
        <x:v>四K重选规则</x:v>
      </x:c>
      <x:c r="F293" s="11" t="n">
        <x:f>SUM(O293:R293)</x:f>
        <x:v>19</x:v>
      </x:c>
      <x:c r="G293" s="11" t="n">
        <x:v>19</x:v>
      </x:c>
      <x:c r="H293" s="11" t="n">
        <x:f>O293+P293</x:f>
        <x:v>9</x:v>
      </x:c>
      <x:c r="I293" s="12" t="n">
        <x:f>IF(F293=0,"",H293/F293)</x:f>
        <x:v>0.47368421052631576</x:v>
      </x:c>
      <x:c r="J293" s="12" t="n">
        <x:f>IF(F293=0,"",(O293+R293)/F293)</x:f>
        <x:v>0.8421052631578947</x:v>
      </x:c>
      <x:c r="K293" s="12" t="n">
        <x:f>IF(H293=0,"",O293/H293)</x:f>
        <x:v>0.8888888888888888</x:v>
      </x:c>
      <x:c r="L293" s="12" t="n">
        <x:f>IF(O293+Q293=0,"",O293/(O293+Q293))</x:f>
        <x:v>0.8</x:v>
      </x:c>
      <x:c r="M293" s="12" t="n">
        <x:f>IF(2*O293+P293+Q293=0,"",2*O293/(2*O293+P293+Q293))</x:f>
        <x:v>0.8421052631578947</x:v>
      </x:c>
      <x:c r="N293" s="12" t="n">
        <x:f>IF(OR(O293+Q293=0,R293+P293=0),"",(L293+R293/(R293+P293))/2)</x:f>
        <x:v>0.8444444444444444</x:v>
      </x:c>
      <x:c r="O293" s="11" t="n">
        <x:v>8</x:v>
      </x:c>
      <x:c r="P293" s="11" t="n">
        <x:v>1</x:v>
      </x:c>
      <x:c r="Q293" s="11" t="n">
        <x:v>2</x:v>
      </x:c>
      <x:c r="R293" s="11" t="n">
        <x:v>8</x:v>
      </x:c>
    </x:row>
    <x:row r="294" ht="26" customHeight="1">
      <x:c r="A294" s="13" t="n">
        <x:v>46143</x:v>
      </x:c>
      <x:c r="B294" s="9" t="str">
        <x:v>共同可买</x:v>
      </x:c>
      <x:c r="C294" s="9" t="str">
        <x:v>测试</x:v>
      </x:c>
      <x:c r="D294" s="9" t="str">
        <x:v>Top1</x:v>
      </x:c>
      <x:c r="E294" s="9" t="str">
        <x:v>不判形态</x:v>
      </x:c>
      <x:c r="F294" s="11" t="n">
        <x:f>SUM(O294:R294)</x:f>
        <x:v>12</x:v>
      </x:c>
      <x:c r="G294" s="11" t="n">
        <x:v>12</x:v>
      </x:c>
      <x:c r="H294" s="11" t="n">
        <x:f>O294+P294</x:f>
        <x:v>12</x:v>
      </x:c>
      <x:c r="I294" s="12" t="n">
        <x:f>IF(F294=0,"",H294/F294)</x:f>
        <x:v>1</x:v>
      </x:c>
      <x:c r="J294" s="12" t="n">
        <x:f>IF(F294=0,"",(O294+R294)/F294)</x:f>
        <x:v>0.4166666666666667</x:v>
      </x:c>
      <x:c r="K294" s="12" t="n">
        <x:f>IF(H294=0,"",O294/H294)</x:f>
        <x:v>0.4166666666666667</x:v>
      </x:c>
      <x:c r="L294" s="12" t="n">
        <x:f>IF(O294+Q294=0,"",O294/(O294+Q294))</x:f>
        <x:v>1</x:v>
      </x:c>
      <x:c r="M294" s="12" t="n">
        <x:f>IF(2*O294+P294+Q294=0,"",2*O294/(2*O294+P294+Q294))</x:f>
        <x:v>0.5882352941176471</x:v>
      </x:c>
      <x:c r="N294" s="12" t="n">
        <x:f>IF(OR(O294+Q294=0,R294+P294=0),"",(L294+R294/(R294+P294))/2)</x:f>
        <x:v>0.5</x:v>
      </x:c>
      <x:c r="O294" s="11" t="n">
        <x:v>5</x:v>
      </x:c>
      <x:c r="P294" s="11" t="n">
        <x:v>7</x:v>
      </x:c>
      <x:c r="Q294" s="11" t="n">
        <x:v>0</x:v>
      </x:c>
      <x:c r="R294" s="11" t="n">
        <x:v>0</x:v>
      </x:c>
    </x:row>
    <x:row r="295" ht="26" customHeight="1">
      <x:c r="A295" s="13" t="n">
        <x:v>46143</x:v>
      </x:c>
      <x:c r="B295" s="9" t="str">
        <x:v>共同可买</x:v>
      </x:c>
      <x:c r="C295" s="9" t="str">
        <x:v>测试</x:v>
      </x:c>
      <x:c r="D295" s="9" t="str">
        <x:v>Top1</x:v>
      </x:c>
      <x:c r="E295" s="9" t="str">
        <x:v>五K原规则</x:v>
      </x:c>
      <x:c r="F295" s="11" t="n">
        <x:f>SUM(O295:R295)</x:f>
        <x:v>12</x:v>
      </x:c>
      <x:c r="G295" s="11" t="n">
        <x:v>12</x:v>
      </x:c>
      <x:c r="H295" s="11" t="n">
        <x:f>O295+P295</x:f>
        <x:v>12</x:v>
      </x:c>
      <x:c r="I295" s="12" t="n">
        <x:f>IF(F295=0,"",H295/F295)</x:f>
        <x:v>1</x:v>
      </x:c>
      <x:c r="J295" s="12" t="n">
        <x:f>IF(F295=0,"",(O295+R295)/F295)</x:f>
        <x:v>0.4166666666666667</x:v>
      </x:c>
      <x:c r="K295" s="12" t="n">
        <x:f>IF(H295=0,"",O295/H295)</x:f>
        <x:v>0.4166666666666667</x:v>
      </x:c>
      <x:c r="L295" s="12" t="n">
        <x:f>IF(O295+Q295=0,"",O295/(O295+Q295))</x:f>
        <x:v>1</x:v>
      </x:c>
      <x:c r="M295" s="12" t="n">
        <x:f>IF(2*O295+P295+Q295=0,"",2*O295/(2*O295+P295+Q295))</x:f>
        <x:v>0.5882352941176471</x:v>
      </x:c>
      <x:c r="N295" s="12" t="n">
        <x:f>IF(OR(O295+Q295=0,R295+P295=0),"",(L295+R295/(R295+P295))/2)</x:f>
        <x:v>0.5</x:v>
      </x:c>
      <x:c r="O295" s="11" t="n">
        <x:v>5</x:v>
      </x:c>
      <x:c r="P295" s="11" t="n">
        <x:v>7</x:v>
      </x:c>
      <x:c r="Q295" s="11" t="n">
        <x:v>0</x:v>
      </x:c>
      <x:c r="R295" s="11" t="n">
        <x:v>0</x:v>
      </x:c>
    </x:row>
    <x:row r="296" ht="26" customHeight="1">
      <x:c r="A296" s="13" t="n">
        <x:v>46143</x:v>
      </x:c>
      <x:c r="B296" s="9" t="str">
        <x:v>共同可买</x:v>
      </x:c>
      <x:c r="C296" s="9" t="str">
        <x:v>测试</x:v>
      </x:c>
      <x:c r="D296" s="9" t="str">
        <x:v>Top1</x:v>
      </x:c>
      <x:c r="E296" s="9" t="str">
        <x:v>四K沿用门槛</x:v>
      </x:c>
      <x:c r="F296" s="11" t="n">
        <x:f>SUM(O296:R296)</x:f>
        <x:v>12</x:v>
      </x:c>
      <x:c r="G296" s="11" t="n">
        <x:v>12</x:v>
      </x:c>
      <x:c r="H296" s="11" t="n">
        <x:f>O296+P296</x:f>
        <x:v>12</x:v>
      </x:c>
      <x:c r="I296" s="12" t="n">
        <x:f>IF(F296=0,"",H296/F296)</x:f>
        <x:v>1</x:v>
      </x:c>
      <x:c r="J296" s="12" t="n">
        <x:f>IF(F296=0,"",(O296+R296)/F296)</x:f>
        <x:v>0.4166666666666667</x:v>
      </x:c>
      <x:c r="K296" s="12" t="n">
        <x:f>IF(H296=0,"",O296/H296)</x:f>
        <x:v>0.4166666666666667</x:v>
      </x:c>
      <x:c r="L296" s="12" t="n">
        <x:f>IF(O296+Q296=0,"",O296/(O296+Q296))</x:f>
        <x:v>1</x:v>
      </x:c>
      <x:c r="M296" s="12" t="n">
        <x:f>IF(2*O296+P296+Q296=0,"",2*O296/(2*O296+P296+Q296))</x:f>
        <x:v>0.5882352941176471</x:v>
      </x:c>
      <x:c r="N296" s="12" t="n">
        <x:f>IF(OR(O296+Q296=0,R296+P296=0),"",(L296+R296/(R296+P296))/2)</x:f>
        <x:v>0.5</x:v>
      </x:c>
      <x:c r="O296" s="11" t="n">
        <x:v>5</x:v>
      </x:c>
      <x:c r="P296" s="11" t="n">
        <x:v>7</x:v>
      </x:c>
      <x:c r="Q296" s="11" t="n">
        <x:v>0</x:v>
      </x:c>
      <x:c r="R296" s="11" t="n">
        <x:v>0</x:v>
      </x:c>
    </x:row>
    <x:row r="297" ht="26" customHeight="1">
      <x:c r="A297" s="13" t="n">
        <x:v>46143</x:v>
      </x:c>
      <x:c r="B297" s="9" t="str">
        <x:v>共同可买</x:v>
      </x:c>
      <x:c r="C297" s="9" t="str">
        <x:v>测试</x:v>
      </x:c>
      <x:c r="D297" s="9" t="str">
        <x:v>Top1</x:v>
      </x:c>
      <x:c r="E297" s="9" t="str">
        <x:v>四K重选规则</x:v>
      </x:c>
      <x:c r="F297" s="11" t="n">
        <x:f>SUM(O297:R297)</x:f>
        <x:v>12</x:v>
      </x:c>
      <x:c r="G297" s="11" t="n">
        <x:v>12</x:v>
      </x:c>
      <x:c r="H297" s="11" t="n">
        <x:f>O297+P297</x:f>
        <x:v>12</x:v>
      </x:c>
      <x:c r="I297" s="12" t="n">
        <x:f>IF(F297=0,"",H297/F297)</x:f>
        <x:v>1</x:v>
      </x:c>
      <x:c r="J297" s="12" t="n">
        <x:f>IF(F297=0,"",(O297+R297)/F297)</x:f>
        <x:v>0.4166666666666667</x:v>
      </x:c>
      <x:c r="K297" s="12" t="n">
        <x:f>IF(H297=0,"",O297/H297)</x:f>
        <x:v>0.4166666666666667</x:v>
      </x:c>
      <x:c r="L297" s="12" t="n">
        <x:f>IF(O297+Q297=0,"",O297/(O297+Q297))</x:f>
        <x:v>1</x:v>
      </x:c>
      <x:c r="M297" s="12" t="n">
        <x:f>IF(2*O297+P297+Q297=0,"",2*O297/(2*O297+P297+Q297))</x:f>
        <x:v>0.5882352941176471</x:v>
      </x:c>
      <x:c r="N297" s="12" t="n">
        <x:f>IF(OR(O297+Q297=0,R297+P297=0),"",(L297+R297/(R297+P297))/2)</x:f>
        <x:v>0.5</x:v>
      </x:c>
      <x:c r="O297" s="11" t="n">
        <x:v>5</x:v>
      </x:c>
      <x:c r="P297" s="11" t="n">
        <x:v>7</x:v>
      </x:c>
      <x:c r="Q297" s="11" t="n">
        <x:v>0</x:v>
      </x:c>
      <x:c r="R297" s="11" t="n">
        <x:v>0</x:v>
      </x:c>
    </x:row>
    <x:row r="298" ht="26" customHeight="1">
      <x:c r="A298" s="13" t="n">
        <x:v>46143</x:v>
      </x:c>
      <x:c r="B298" s="9" t="str">
        <x:v>共同可买</x:v>
      </x:c>
      <x:c r="C298" s="9" t="str">
        <x:v>训练窗口</x:v>
      </x:c>
      <x:c r="D298" s="9" t="str">
        <x:v>Top1</x:v>
      </x:c>
      <x:c r="E298" s="9" t="str">
        <x:v>不判形态</x:v>
      </x:c>
      <x:c r="F298" s="11" t="n">
        <x:f>SUM(O298:R298)</x:f>
        <x:v>66</x:v>
      </x:c>
      <x:c r="G298" s="11" t="n">
        <x:v>66</x:v>
      </x:c>
      <x:c r="H298" s="11" t="n">
        <x:f>O298+P298</x:f>
        <x:v>66</x:v>
      </x:c>
      <x:c r="I298" s="12" t="n">
        <x:f>IF(F298=0,"",H298/F298)</x:f>
        <x:v>1</x:v>
      </x:c>
      <x:c r="J298" s="12" t="n">
        <x:f>IF(F298=0,"",(O298+R298)/F298)</x:f>
        <x:v>0.5757575757575758</x:v>
      </x:c>
      <x:c r="K298" s="12" t="n">
        <x:f>IF(H298=0,"",O298/H298)</x:f>
        <x:v>0.5757575757575758</x:v>
      </x:c>
      <x:c r="L298" s="12" t="n">
        <x:f>IF(O298+Q298=0,"",O298/(O298+Q298))</x:f>
        <x:v>1</x:v>
      </x:c>
      <x:c r="M298" s="12" t="n">
        <x:f>IF(2*O298+P298+Q298=0,"",2*O298/(2*O298+P298+Q298))</x:f>
        <x:v>0.7307692307692307</x:v>
      </x:c>
      <x:c r="N298" s="12" t="n">
        <x:f>IF(OR(O298+Q298=0,R298+P298=0),"",(L298+R298/(R298+P298))/2)</x:f>
        <x:v>0.5</x:v>
      </x:c>
      <x:c r="O298" s="11" t="n">
        <x:v>38</x:v>
      </x:c>
      <x:c r="P298" s="11" t="n">
        <x:v>28</x:v>
      </x:c>
      <x:c r="Q298" s="11" t="n">
        <x:v>0</x:v>
      </x:c>
      <x:c r="R298" s="11" t="n">
        <x:v>0</x:v>
      </x:c>
    </x:row>
    <x:row r="299" ht="26" customHeight="1">
      <x:c r="A299" s="13" t="n">
        <x:v>46143</x:v>
      </x:c>
      <x:c r="B299" s="9" t="str">
        <x:v>共同可买</x:v>
      </x:c>
      <x:c r="C299" s="9" t="str">
        <x:v>训练窗口</x:v>
      </x:c>
      <x:c r="D299" s="9" t="str">
        <x:v>Top1</x:v>
      </x:c>
      <x:c r="E299" s="9" t="str">
        <x:v>五K原规则</x:v>
      </x:c>
      <x:c r="F299" s="11" t="n">
        <x:f>SUM(O299:R299)</x:f>
        <x:v>66</x:v>
      </x:c>
      <x:c r="G299" s="11" t="n">
        <x:v>66</x:v>
      </x:c>
      <x:c r="H299" s="11" t="n">
        <x:f>O299+P299</x:f>
        <x:v>66</x:v>
      </x:c>
      <x:c r="I299" s="12" t="n">
        <x:f>IF(F299=0,"",H299/F299)</x:f>
        <x:v>1</x:v>
      </x:c>
      <x:c r="J299" s="12" t="n">
        <x:f>IF(F299=0,"",(O299+R299)/F299)</x:f>
        <x:v>0.5757575757575758</x:v>
      </x:c>
      <x:c r="K299" s="12" t="n">
        <x:f>IF(H299=0,"",O299/H299)</x:f>
        <x:v>0.5757575757575758</x:v>
      </x:c>
      <x:c r="L299" s="12" t="n">
        <x:f>IF(O299+Q299=0,"",O299/(O299+Q299))</x:f>
        <x:v>1</x:v>
      </x:c>
      <x:c r="M299" s="12" t="n">
        <x:f>IF(2*O299+P299+Q299=0,"",2*O299/(2*O299+P299+Q299))</x:f>
        <x:v>0.7307692307692307</x:v>
      </x:c>
      <x:c r="N299" s="12" t="n">
        <x:f>IF(OR(O299+Q299=0,R299+P299=0),"",(L299+R299/(R299+P299))/2)</x:f>
        <x:v>0.5</x:v>
      </x:c>
      <x:c r="O299" s="11" t="n">
        <x:v>38</x:v>
      </x:c>
      <x:c r="P299" s="11" t="n">
        <x:v>28</x:v>
      </x:c>
      <x:c r="Q299" s="11" t="n">
        <x:v>0</x:v>
      </x:c>
      <x:c r="R299" s="11" t="n">
        <x:v>0</x:v>
      </x:c>
    </x:row>
    <x:row r="300" ht="26" customHeight="1">
      <x:c r="A300" s="13" t="n">
        <x:v>46143</x:v>
      </x:c>
      <x:c r="B300" s="9" t="str">
        <x:v>共同可买</x:v>
      </x:c>
      <x:c r="C300" s="9" t="str">
        <x:v>训练窗口</x:v>
      </x:c>
      <x:c r="D300" s="9" t="str">
        <x:v>Top1</x:v>
      </x:c>
      <x:c r="E300" s="9" t="str">
        <x:v>四K沿用门槛</x:v>
      </x:c>
      <x:c r="F300" s="11" t="n">
        <x:f>SUM(O300:R300)</x:f>
        <x:v>66</x:v>
      </x:c>
      <x:c r="G300" s="11" t="n">
        <x:v>66</x:v>
      </x:c>
      <x:c r="H300" s="11" t="n">
        <x:f>O300+P300</x:f>
        <x:v>66</x:v>
      </x:c>
      <x:c r="I300" s="12" t="n">
        <x:f>IF(F300=0,"",H300/F300)</x:f>
        <x:v>1</x:v>
      </x:c>
      <x:c r="J300" s="12" t="n">
        <x:f>IF(F300=0,"",(O300+R300)/F300)</x:f>
        <x:v>0.5757575757575758</x:v>
      </x:c>
      <x:c r="K300" s="12" t="n">
        <x:f>IF(H300=0,"",O300/H300)</x:f>
        <x:v>0.5757575757575758</x:v>
      </x:c>
      <x:c r="L300" s="12" t="n">
        <x:f>IF(O300+Q300=0,"",O300/(O300+Q300))</x:f>
        <x:v>1</x:v>
      </x:c>
      <x:c r="M300" s="12" t="n">
        <x:f>IF(2*O300+P300+Q300=0,"",2*O300/(2*O300+P300+Q300))</x:f>
        <x:v>0.7307692307692307</x:v>
      </x:c>
      <x:c r="N300" s="12" t="n">
        <x:f>IF(OR(O300+Q300=0,R300+P300=0),"",(L300+R300/(R300+P300))/2)</x:f>
        <x:v>0.5</x:v>
      </x:c>
      <x:c r="O300" s="11" t="n">
        <x:v>38</x:v>
      </x:c>
      <x:c r="P300" s="11" t="n">
        <x:v>28</x:v>
      </x:c>
      <x:c r="Q300" s="11" t="n">
        <x:v>0</x:v>
      </x:c>
      <x:c r="R300" s="11" t="n">
        <x:v>0</x:v>
      </x:c>
    </x:row>
    <x:row r="301" ht="26" customHeight="1">
      <x:c r="A301" s="13" t="n">
        <x:v>46143</x:v>
      </x:c>
      <x:c r="B301" s="9" t="str">
        <x:v>共同可买</x:v>
      </x:c>
      <x:c r="C301" s="9" t="str">
        <x:v>训练窗口</x:v>
      </x:c>
      <x:c r="D301" s="9" t="str">
        <x:v>Top1</x:v>
      </x:c>
      <x:c r="E301" s="9" t="str">
        <x:v>四K重选规则</x:v>
      </x:c>
      <x:c r="F301" s="11" t="n">
        <x:f>SUM(O301:R301)</x:f>
        <x:v>66</x:v>
      </x:c>
      <x:c r="G301" s="11" t="n">
        <x:v>66</x:v>
      </x:c>
      <x:c r="H301" s="11" t="n">
        <x:f>O301+P301</x:f>
        <x:v>66</x:v>
      </x:c>
      <x:c r="I301" s="12" t="n">
        <x:f>IF(F301=0,"",H301/F301)</x:f>
        <x:v>1</x:v>
      </x:c>
      <x:c r="J301" s="12" t="n">
        <x:f>IF(F301=0,"",(O301+R301)/F301)</x:f>
        <x:v>0.5757575757575758</x:v>
      </x:c>
      <x:c r="K301" s="12" t="n">
        <x:f>IF(H301=0,"",O301/H301)</x:f>
        <x:v>0.5757575757575758</x:v>
      </x:c>
      <x:c r="L301" s="12" t="n">
        <x:f>IF(O301+Q301=0,"",O301/(O301+Q301))</x:f>
        <x:v>1</x:v>
      </x:c>
      <x:c r="M301" s="12" t="n">
        <x:f>IF(2*O301+P301+Q301=0,"",2*O301/(2*O301+P301+Q301))</x:f>
        <x:v>0.7307692307692307</x:v>
      </x:c>
      <x:c r="N301" s="12" t="n">
        <x:f>IF(OR(O301+Q301=0,R301+P301=0),"",(L301+R301/(R301+P301))/2)</x:f>
        <x:v>0.5</x:v>
      </x:c>
      <x:c r="O301" s="11" t="n">
        <x:v>38</x:v>
      </x:c>
      <x:c r="P301" s="11" t="n">
        <x:v>28</x:v>
      </x:c>
      <x:c r="Q301" s="11" t="n">
        <x:v>0</x:v>
      </x:c>
      <x:c r="R301" s="11" t="n">
        <x:v>0</x:v>
      </x:c>
    </x:row>
    <x:row r="302" ht="26" customHeight="1">
      <x:c r="A302" s="13" t="n">
        <x:v>46143</x:v>
      </x:c>
      <x:c r="B302" s="9" t="str">
        <x:v>共同可买</x:v>
      </x:c>
      <x:c r="C302" s="9" t="str">
        <x:v>验证窗口</x:v>
      </x:c>
      <x:c r="D302" s="9" t="str">
        <x:v>Top1</x:v>
      </x:c>
      <x:c r="E302" s="9" t="str">
        <x:v>不判形态</x:v>
      </x:c>
      <x:c r="F302" s="11" t="n">
        <x:f>SUM(O302:R302)</x:f>
        <x:v>22</x:v>
      </x:c>
      <x:c r="G302" s="11" t="n">
        <x:v>22</x:v>
      </x:c>
      <x:c r="H302" s="11" t="n">
        <x:f>O302+P302</x:f>
        <x:v>22</x:v>
      </x:c>
      <x:c r="I302" s="12" t="n">
        <x:f>IF(F302=0,"",H302/F302)</x:f>
        <x:v>1</x:v>
      </x:c>
      <x:c r="J302" s="12" t="n">
        <x:f>IF(F302=0,"",(O302+R302)/F302)</x:f>
        <x:v>0.5</x:v>
      </x:c>
      <x:c r="K302" s="12" t="n">
        <x:f>IF(H302=0,"",O302/H302)</x:f>
        <x:v>0.5</x:v>
      </x:c>
      <x:c r="L302" s="12" t="n">
        <x:f>IF(O302+Q302=0,"",O302/(O302+Q302))</x:f>
        <x:v>1</x:v>
      </x:c>
      <x:c r="M302" s="12" t="n">
        <x:f>IF(2*O302+P302+Q302=0,"",2*O302/(2*O302+P302+Q302))</x:f>
        <x:v>0.6666666666666666</x:v>
      </x:c>
      <x:c r="N302" s="12" t="n">
        <x:f>IF(OR(O302+Q302=0,R302+P302=0),"",(L302+R302/(R302+P302))/2)</x:f>
        <x:v>0.5</x:v>
      </x:c>
      <x:c r="O302" s="11" t="n">
        <x:v>11</x:v>
      </x:c>
      <x:c r="P302" s="11" t="n">
        <x:v>11</x:v>
      </x:c>
      <x:c r="Q302" s="11" t="n">
        <x:v>0</x:v>
      </x:c>
      <x:c r="R302" s="11" t="n">
        <x:v>0</x:v>
      </x:c>
    </x:row>
    <x:row r="303" ht="26" customHeight="1">
      <x:c r="A303" s="13" t="n">
        <x:v>46143</x:v>
      </x:c>
      <x:c r="B303" s="9" t="str">
        <x:v>共同可买</x:v>
      </x:c>
      <x:c r="C303" s="9" t="str">
        <x:v>验证窗口</x:v>
      </x:c>
      <x:c r="D303" s="9" t="str">
        <x:v>Top1</x:v>
      </x:c>
      <x:c r="E303" s="9" t="str">
        <x:v>五K原规则</x:v>
      </x:c>
      <x:c r="F303" s="11" t="n">
        <x:f>SUM(O303:R303)</x:f>
        <x:v>22</x:v>
      </x:c>
      <x:c r="G303" s="11" t="n">
        <x:v>22</x:v>
      </x:c>
      <x:c r="H303" s="11" t="n">
        <x:f>O303+P303</x:f>
        <x:v>22</x:v>
      </x:c>
      <x:c r="I303" s="12" t="n">
        <x:f>IF(F303=0,"",H303/F303)</x:f>
        <x:v>1</x:v>
      </x:c>
      <x:c r="J303" s="12" t="n">
        <x:f>IF(F303=0,"",(O303+R303)/F303)</x:f>
        <x:v>0.5</x:v>
      </x:c>
      <x:c r="K303" s="12" t="n">
        <x:f>IF(H303=0,"",O303/H303)</x:f>
        <x:v>0.5</x:v>
      </x:c>
      <x:c r="L303" s="12" t="n">
        <x:f>IF(O303+Q303=0,"",O303/(O303+Q303))</x:f>
        <x:v>1</x:v>
      </x:c>
      <x:c r="M303" s="12" t="n">
        <x:f>IF(2*O303+P303+Q303=0,"",2*O303/(2*O303+P303+Q303))</x:f>
        <x:v>0.6666666666666666</x:v>
      </x:c>
      <x:c r="N303" s="12" t="n">
        <x:f>IF(OR(O303+Q303=0,R303+P303=0),"",(L303+R303/(R303+P303))/2)</x:f>
        <x:v>0.5</x:v>
      </x:c>
      <x:c r="O303" s="11" t="n">
        <x:v>11</x:v>
      </x:c>
      <x:c r="P303" s="11" t="n">
        <x:v>11</x:v>
      </x:c>
      <x:c r="Q303" s="11" t="n">
        <x:v>0</x:v>
      </x:c>
      <x:c r="R303" s="11" t="n">
        <x:v>0</x:v>
      </x:c>
    </x:row>
    <x:row r="304" ht="26" customHeight="1">
      <x:c r="A304" s="13" t="n">
        <x:v>46143</x:v>
      </x:c>
      <x:c r="B304" s="9" t="str">
        <x:v>共同可买</x:v>
      </x:c>
      <x:c r="C304" s="9" t="str">
        <x:v>验证窗口</x:v>
      </x:c>
      <x:c r="D304" s="9" t="str">
        <x:v>Top1</x:v>
      </x:c>
      <x:c r="E304" s="9" t="str">
        <x:v>四K沿用门槛</x:v>
      </x:c>
      <x:c r="F304" s="11" t="n">
        <x:f>SUM(O304:R304)</x:f>
        <x:v>22</x:v>
      </x:c>
      <x:c r="G304" s="11" t="n">
        <x:v>22</x:v>
      </x:c>
      <x:c r="H304" s="11" t="n">
        <x:f>O304+P304</x:f>
        <x:v>22</x:v>
      </x:c>
      <x:c r="I304" s="12" t="n">
        <x:f>IF(F304=0,"",H304/F304)</x:f>
        <x:v>1</x:v>
      </x:c>
      <x:c r="J304" s="12" t="n">
        <x:f>IF(F304=0,"",(O304+R304)/F304)</x:f>
        <x:v>0.5</x:v>
      </x:c>
      <x:c r="K304" s="12" t="n">
        <x:f>IF(H304=0,"",O304/H304)</x:f>
        <x:v>0.5</x:v>
      </x:c>
      <x:c r="L304" s="12" t="n">
        <x:f>IF(O304+Q304=0,"",O304/(O304+Q304))</x:f>
        <x:v>1</x:v>
      </x:c>
      <x:c r="M304" s="12" t="n">
        <x:f>IF(2*O304+P304+Q304=0,"",2*O304/(2*O304+P304+Q304))</x:f>
        <x:v>0.6666666666666666</x:v>
      </x:c>
      <x:c r="N304" s="12" t="n">
        <x:f>IF(OR(O304+Q304=0,R304+P304=0),"",(L304+R304/(R304+P304))/2)</x:f>
        <x:v>0.5</x:v>
      </x:c>
      <x:c r="O304" s="11" t="n">
        <x:v>11</x:v>
      </x:c>
      <x:c r="P304" s="11" t="n">
        <x:v>11</x:v>
      </x:c>
      <x:c r="Q304" s="11" t="n">
        <x:v>0</x:v>
      </x:c>
      <x:c r="R304" s="11" t="n">
        <x:v>0</x:v>
      </x:c>
    </x:row>
    <x:row r="305" ht="26" customHeight="1">
      <x:c r="A305" s="13" t="n">
        <x:v>46143</x:v>
      </x:c>
      <x:c r="B305" s="9" t="str">
        <x:v>共同可买</x:v>
      </x:c>
      <x:c r="C305" s="9" t="str">
        <x:v>验证窗口</x:v>
      </x:c>
      <x:c r="D305" s="9" t="str">
        <x:v>Top1</x:v>
      </x:c>
      <x:c r="E305" s="9" t="str">
        <x:v>四K重选规则</x:v>
      </x:c>
      <x:c r="F305" s="11" t="n">
        <x:f>SUM(O305:R305)</x:f>
        <x:v>22</x:v>
      </x:c>
      <x:c r="G305" s="11" t="n">
        <x:v>22</x:v>
      </x:c>
      <x:c r="H305" s="11" t="n">
        <x:f>O305+P305</x:f>
        <x:v>22</x:v>
      </x:c>
      <x:c r="I305" s="12" t="n">
        <x:f>IF(F305=0,"",H305/F305)</x:f>
        <x:v>1</x:v>
      </x:c>
      <x:c r="J305" s="12" t="n">
        <x:f>IF(F305=0,"",(O305+R305)/F305)</x:f>
        <x:v>0.5</x:v>
      </x:c>
      <x:c r="K305" s="12" t="n">
        <x:f>IF(H305=0,"",O305/H305)</x:f>
        <x:v>0.5</x:v>
      </x:c>
      <x:c r="L305" s="12" t="n">
        <x:f>IF(O305+Q305=0,"",O305/(O305+Q305))</x:f>
        <x:v>1</x:v>
      </x:c>
      <x:c r="M305" s="12" t="n">
        <x:f>IF(2*O305+P305+Q305=0,"",2*O305/(2*O305+P305+Q305))</x:f>
        <x:v>0.6666666666666666</x:v>
      </x:c>
      <x:c r="N305" s="12" t="n">
        <x:f>IF(OR(O305+Q305=0,R305+P305=0),"",(L305+R305/(R305+P305))/2)</x:f>
        <x:v>0.5</x:v>
      </x:c>
      <x:c r="O305" s="11" t="n">
        <x:v>11</x:v>
      </x:c>
      <x:c r="P305" s="11" t="n">
        <x:v>11</x:v>
      </x:c>
      <x:c r="Q305" s="11" t="n">
        <x:v>0</x:v>
      </x:c>
      <x:c r="R305" s="11" t="n">
        <x:v>0</x:v>
      </x:c>
    </x:row>
    <x:row r="306" ht="26" customHeight="1">
      <x:c r="A306" s="13" t="n">
        <x:v>46174</x:v>
      </x:c>
      <x:c r="B306" s="9" t="str">
        <x:v>共同可买</x:v>
      </x:c>
      <x:c r="C306" s="9" t="str">
        <x:v>测试</x:v>
      </x:c>
      <x:c r="D306" s="9" t="str">
        <x:v>Top1</x:v>
      </x:c>
      <x:c r="E306" s="9" t="str">
        <x:v>不判形态</x:v>
      </x:c>
      <x:c r="F306" s="11" t="n">
        <x:f>SUM(O306:R306)</x:f>
        <x:v>12</x:v>
      </x:c>
      <x:c r="G306" s="11" t="n">
        <x:v>12</x:v>
      </x:c>
      <x:c r="H306" s="11" t="n">
        <x:f>O306+P306</x:f>
        <x:v>12</x:v>
      </x:c>
      <x:c r="I306" s="12" t="n">
        <x:f>IF(F306=0,"",H306/F306)</x:f>
        <x:v>1</x:v>
      </x:c>
      <x:c r="J306" s="12" t="n">
        <x:f>IF(F306=0,"",(O306+R306)/F306)</x:f>
        <x:v>0.4166666666666667</x:v>
      </x:c>
      <x:c r="K306" s="12" t="n">
        <x:f>IF(H306=0,"",O306/H306)</x:f>
        <x:v>0.4166666666666667</x:v>
      </x:c>
      <x:c r="L306" s="12" t="n">
        <x:f>IF(O306+Q306=0,"",O306/(O306+Q306))</x:f>
        <x:v>1</x:v>
      </x:c>
      <x:c r="M306" s="12" t="n">
        <x:f>IF(2*O306+P306+Q306=0,"",2*O306/(2*O306+P306+Q306))</x:f>
        <x:v>0.5882352941176471</x:v>
      </x:c>
      <x:c r="N306" s="12" t="n">
        <x:f>IF(OR(O306+Q306=0,R306+P306=0),"",(L306+R306/(R306+P306))/2)</x:f>
        <x:v>0.5</x:v>
      </x:c>
      <x:c r="O306" s="11" t="n">
        <x:v>5</x:v>
      </x:c>
      <x:c r="P306" s="11" t="n">
        <x:v>7</x:v>
      </x:c>
      <x:c r="Q306" s="11" t="n">
        <x:v>0</x:v>
      </x:c>
      <x:c r="R306" s="11" t="n">
        <x:v>0</x:v>
      </x:c>
    </x:row>
    <x:row r="307" ht="26" customHeight="1">
      <x:c r="A307" s="13" t="n">
        <x:v>46174</x:v>
      </x:c>
      <x:c r="B307" s="9" t="str">
        <x:v>共同可买</x:v>
      </x:c>
      <x:c r="C307" s="9" t="str">
        <x:v>测试</x:v>
      </x:c>
      <x:c r="D307" s="9" t="str">
        <x:v>Top1</x:v>
      </x:c>
      <x:c r="E307" s="9" t="str">
        <x:v>五K原规则</x:v>
      </x:c>
      <x:c r="F307" s="11" t="n">
        <x:f>SUM(O307:R307)</x:f>
        <x:v>12</x:v>
      </x:c>
      <x:c r="G307" s="11" t="n">
        <x:v>12</x:v>
      </x:c>
      <x:c r="H307" s="11" t="n">
        <x:f>O307+P307</x:f>
        <x:v>2</x:v>
      </x:c>
      <x:c r="I307" s="12" t="n">
        <x:f>IF(F307=0,"",H307/F307)</x:f>
        <x:v>0.16666666666666666</x:v>
      </x:c>
      <x:c r="J307" s="12" t="n">
        <x:f>IF(F307=0,"",(O307+R307)/F307)</x:f>
        <x:v>0.5833333333333334</x:v>
      </x:c>
      <x:c r="K307" s="12" t="n">
        <x:f>IF(H307=0,"",O307/H307)</x:f>
        <x:v>0.5</x:v>
      </x:c>
      <x:c r="L307" s="12" t="n">
        <x:f>IF(O307+Q307=0,"",O307/(O307+Q307))</x:f>
        <x:v>0.2</x:v>
      </x:c>
      <x:c r="M307" s="12" t="n">
        <x:f>IF(2*O307+P307+Q307=0,"",2*O307/(2*O307+P307+Q307))</x:f>
        <x:v>0.2857142857142857</x:v>
      </x:c>
      <x:c r="N307" s="12" t="n">
        <x:f>IF(OR(O307+Q307=0,R307+P307=0),"",(L307+R307/(R307+P307))/2)</x:f>
        <x:v>0.5285714285714286</x:v>
      </x:c>
      <x:c r="O307" s="11" t="n">
        <x:v>1</x:v>
      </x:c>
      <x:c r="P307" s="11" t="n">
        <x:v>1</x:v>
      </x:c>
      <x:c r="Q307" s="11" t="n">
        <x:v>4</x:v>
      </x:c>
      <x:c r="R307" s="11" t="n">
        <x:v>6</x:v>
      </x:c>
    </x:row>
    <x:row r="308" ht="26" customHeight="1">
      <x:c r="A308" s="13" t="n">
        <x:v>46174</x:v>
      </x:c>
      <x:c r="B308" s="9" t="str">
        <x:v>共同可买</x:v>
      </x:c>
      <x:c r="C308" s="9" t="str">
        <x:v>测试</x:v>
      </x:c>
      <x:c r="D308" s="9" t="str">
        <x:v>Top1</x:v>
      </x:c>
      <x:c r="E308" s="9" t="str">
        <x:v>四K沿用门槛</x:v>
      </x:c>
      <x:c r="F308" s="11" t="n">
        <x:f>SUM(O308:R308)</x:f>
        <x:v>12</x:v>
      </x:c>
      <x:c r="G308" s="11" t="n">
        <x:v>12</x:v>
      </x:c>
      <x:c r="H308" s="11" t="n">
        <x:f>O308+P308</x:f>
        <x:v>4</x:v>
      </x:c>
      <x:c r="I308" s="12" t="n">
        <x:f>IF(F308=0,"",H308/F308)</x:f>
        <x:v>0.3333333333333333</x:v>
      </x:c>
      <x:c r="J308" s="12" t="n">
        <x:f>IF(F308=0,"",(O308+R308)/F308)</x:f>
        <x:v>0.4166666666666667</x:v>
      </x:c>
      <x:c r="K308" s="12" t="n">
        <x:f>IF(H308=0,"",O308/H308)</x:f>
        <x:v>0.25</x:v>
      </x:c>
      <x:c r="L308" s="12" t="n">
        <x:f>IF(O308+Q308=0,"",O308/(O308+Q308))</x:f>
        <x:v>0.2</x:v>
      </x:c>
      <x:c r="M308" s="12" t="n">
        <x:f>IF(2*O308+P308+Q308=0,"",2*O308/(2*O308+P308+Q308))</x:f>
        <x:v>0.2222222222222222</x:v>
      </x:c>
      <x:c r="N308" s="12" t="n">
        <x:f>IF(OR(O308+Q308=0,R308+P308=0),"",(L308+R308/(R308+P308))/2)</x:f>
        <x:v>0.3857142857142857</x:v>
      </x:c>
      <x:c r="O308" s="11" t="n">
        <x:v>1</x:v>
      </x:c>
      <x:c r="P308" s="11" t="n">
        <x:v>3</x:v>
      </x:c>
      <x:c r="Q308" s="11" t="n">
        <x:v>4</x:v>
      </x:c>
      <x:c r="R308" s="11" t="n">
        <x:v>4</x:v>
      </x:c>
    </x:row>
    <x:row r="309" ht="26" customHeight="1">
      <x:c r="A309" s="13" t="n">
        <x:v>46174</x:v>
      </x:c>
      <x:c r="B309" s="9" t="str">
        <x:v>共同可买</x:v>
      </x:c>
      <x:c r="C309" s="9" t="str">
        <x:v>测试</x:v>
      </x:c>
      <x:c r="D309" s="9" t="str">
        <x:v>Top1</x:v>
      </x:c>
      <x:c r="E309" s="9" t="str">
        <x:v>四K重选规则</x:v>
      </x:c>
      <x:c r="F309" s="11" t="n">
        <x:f>SUM(O309:R309)</x:f>
        <x:v>12</x:v>
      </x:c>
      <x:c r="G309" s="11" t="n">
        <x:v>12</x:v>
      </x:c>
      <x:c r="H309" s="11" t="n">
        <x:f>O309+P309</x:f>
        <x:v>3</x:v>
      </x:c>
      <x:c r="I309" s="12" t="n">
        <x:f>IF(F309=0,"",H309/F309)</x:f>
        <x:v>0.25</x:v>
      </x:c>
      <x:c r="J309" s="12" t="n">
        <x:f>IF(F309=0,"",(O309+R309)/F309)</x:f>
        <x:v>0.3333333333333333</x:v>
      </x:c>
      <x:c r="K309" s="12" t="n">
        <x:f>IF(H309=0,"",O309/H309)</x:f>
        <x:v>0</x:v>
      </x:c>
      <x:c r="L309" s="12" t="n">
        <x:f>IF(O309+Q309=0,"",O309/(O309+Q309))</x:f>
        <x:v>0</x:v>
      </x:c>
      <x:c r="M309" s="12" t="n">
        <x:f>IF(2*O309+P309+Q309=0,"",2*O309/(2*O309+P309+Q309))</x:f>
        <x:v>0</x:v>
      </x:c>
      <x:c r="N309" s="12" t="n">
        <x:f>IF(OR(O309+Q309=0,R309+P309=0),"",(L309+R309/(R309+P309))/2)</x:f>
        <x:v>0.2857142857142857</x:v>
      </x:c>
      <x:c r="O309" s="11" t="n">
        <x:v>0</x:v>
      </x:c>
      <x:c r="P309" s="11" t="n">
        <x:v>3</x:v>
      </x:c>
      <x:c r="Q309" s="11" t="n">
        <x:v>5</x:v>
      </x:c>
      <x:c r="R309" s="11" t="n">
        <x:v>4</x:v>
      </x:c>
    </x:row>
    <x:row r="310" ht="26" customHeight="1">
      <x:c r="A310" s="13" t="n">
        <x:v>46174</x:v>
      </x:c>
      <x:c r="B310" s="9" t="str">
        <x:v>共同可买</x:v>
      </x:c>
      <x:c r="C310" s="9" t="str">
        <x:v>训练窗口</x:v>
      </x:c>
      <x:c r="D310" s="9" t="str">
        <x:v>Top1</x:v>
      </x:c>
      <x:c r="E310" s="9" t="str">
        <x:v>不判形态</x:v>
      </x:c>
      <x:c r="F310" s="11" t="n">
        <x:f>SUM(O310:R310)</x:f>
        <x:v>59</x:v>
      </x:c>
      <x:c r="G310" s="11" t="n">
        <x:v>59</x:v>
      </x:c>
      <x:c r="H310" s="11" t="n">
        <x:f>O310+P310</x:f>
        <x:v>59</x:v>
      </x:c>
      <x:c r="I310" s="12" t="n">
        <x:f>IF(F310=0,"",H310/F310)</x:f>
        <x:v>1</x:v>
      </x:c>
      <x:c r="J310" s="12" t="n">
        <x:f>IF(F310=0,"",(O310+R310)/F310)</x:f>
        <x:v>0.6271186440677966</x:v>
      </x:c>
      <x:c r="K310" s="12" t="n">
        <x:f>IF(H310=0,"",O310/H310)</x:f>
        <x:v>0.6271186440677966</x:v>
      </x:c>
      <x:c r="L310" s="12" t="n">
        <x:f>IF(O310+Q310=0,"",O310/(O310+Q310))</x:f>
        <x:v>1</x:v>
      </x:c>
      <x:c r="M310" s="12" t="n">
        <x:f>IF(2*O310+P310+Q310=0,"",2*O310/(2*O310+P310+Q310))</x:f>
        <x:v>0.7708333333333334</x:v>
      </x:c>
      <x:c r="N310" s="12" t="n">
        <x:f>IF(OR(O310+Q310=0,R310+P310=0),"",(L310+R310/(R310+P310))/2)</x:f>
        <x:v>0.5</x:v>
      </x:c>
      <x:c r="O310" s="11" t="n">
        <x:v>37</x:v>
      </x:c>
      <x:c r="P310" s="11" t="n">
        <x:v>22</x:v>
      </x:c>
      <x:c r="Q310" s="11" t="n">
        <x:v>0</x:v>
      </x:c>
      <x:c r="R310" s="11" t="n">
        <x:v>0</x:v>
      </x:c>
    </x:row>
    <x:row r="311" ht="26" customHeight="1">
      <x:c r="A311" s="13" t="n">
        <x:v>46174</x:v>
      </x:c>
      <x:c r="B311" s="9" t="str">
        <x:v>共同可买</x:v>
      </x:c>
      <x:c r="C311" s="9" t="str">
        <x:v>训练窗口</x:v>
      </x:c>
      <x:c r="D311" s="9" t="str">
        <x:v>Top1</x:v>
      </x:c>
      <x:c r="E311" s="9" t="str">
        <x:v>五K原规则</x:v>
      </x:c>
      <x:c r="F311" s="11" t="n">
        <x:f>SUM(O311:R311)</x:f>
        <x:v>59</x:v>
      </x:c>
      <x:c r="G311" s="11" t="n">
        <x:v>59</x:v>
      </x:c>
      <x:c r="H311" s="11" t="n">
        <x:f>O311+P311</x:f>
        <x:v>26</x:v>
      </x:c>
      <x:c r="I311" s="12" t="n">
        <x:f>IF(F311=0,"",H311/F311)</x:f>
        <x:v>0.4406779661016949</x:v>
      </x:c>
      <x:c r="J311" s="12" t="n">
        <x:f>IF(F311=0,"",(O311+R311)/F311)</x:f>
        <x:v>0.6779661016949152</x:v>
      </x:c>
      <x:c r="K311" s="12" t="n">
        <x:f>IF(H311=0,"",O311/H311)</x:f>
        <x:v>0.8461538461538461</x:v>
      </x:c>
      <x:c r="L311" s="12" t="n">
        <x:f>IF(O311+Q311=0,"",O311/(O311+Q311))</x:f>
        <x:v>0.5945945945945946</x:v>
      </x:c>
      <x:c r="M311" s="12" t="n">
        <x:f>IF(2*O311+P311+Q311=0,"",2*O311/(2*O311+P311+Q311))</x:f>
        <x:v>0.6984126984126984</x:v>
      </x:c>
      <x:c r="N311" s="12" t="n">
        <x:f>IF(OR(O311+Q311=0,R311+P311=0),"",(L311+R311/(R311+P311))/2)</x:f>
        <x:v>0.7063882063882064</x:v>
      </x:c>
      <x:c r="O311" s="11" t="n">
        <x:v>22</x:v>
      </x:c>
      <x:c r="P311" s="11" t="n">
        <x:v>4</x:v>
      </x:c>
      <x:c r="Q311" s="11" t="n">
        <x:v>15</x:v>
      </x:c>
      <x:c r="R311" s="11" t="n">
        <x:v>18</x:v>
      </x:c>
    </x:row>
    <x:row r="312" ht="26" customHeight="1">
      <x:c r="A312" s="13" t="n">
        <x:v>46174</x:v>
      </x:c>
      <x:c r="B312" s="9" t="str">
        <x:v>共同可买</x:v>
      </x:c>
      <x:c r="C312" s="9" t="str">
        <x:v>训练窗口</x:v>
      </x:c>
      <x:c r="D312" s="9" t="str">
        <x:v>Top1</x:v>
      </x:c>
      <x:c r="E312" s="9" t="str">
        <x:v>四K沿用门槛</x:v>
      </x:c>
      <x:c r="F312" s="11" t="n">
        <x:f>SUM(O312:R312)</x:f>
        <x:v>59</x:v>
      </x:c>
      <x:c r="G312" s="11" t="n">
        <x:v>59</x:v>
      </x:c>
      <x:c r="H312" s="11" t="n">
        <x:f>O312+P312</x:f>
        <x:v>29</x:v>
      </x:c>
      <x:c r="I312" s="12" t="n">
        <x:f>IF(F312=0,"",H312/F312)</x:f>
        <x:v>0.4915254237288136</x:v>
      </x:c>
      <x:c r="J312" s="12" t="n">
        <x:f>IF(F312=0,"",(O312+R312)/F312)</x:f>
        <x:v>0.6949152542372882</x:v>
      </x:c>
      <x:c r="K312" s="12" t="n">
        <x:f>IF(H312=0,"",O312/H312)</x:f>
        <x:v>0.8275862068965517</x:v>
      </x:c>
      <x:c r="L312" s="12" t="n">
        <x:f>IF(O312+Q312=0,"",O312/(O312+Q312))</x:f>
        <x:v>0.6486486486486487</x:v>
      </x:c>
      <x:c r="M312" s="12" t="n">
        <x:f>IF(2*O312+P312+Q312=0,"",2*O312/(2*O312+P312+Q312))</x:f>
        <x:v>0.7272727272727273</x:v>
      </x:c>
      <x:c r="N312" s="12" t="n">
        <x:f>IF(OR(O312+Q312=0,R312+P312=0),"",(L312+R312/(R312+P312))/2)</x:f>
        <x:v>0.7106879606879607</x:v>
      </x:c>
      <x:c r="O312" s="11" t="n">
        <x:v>24</x:v>
      </x:c>
      <x:c r="P312" s="11" t="n">
        <x:v>5</x:v>
      </x:c>
      <x:c r="Q312" s="11" t="n">
        <x:v>13</x:v>
      </x:c>
      <x:c r="R312" s="11" t="n">
        <x:v>17</x:v>
      </x:c>
    </x:row>
    <x:row r="313" ht="26" customHeight="1">
      <x:c r="A313" s="13" t="n">
        <x:v>46174</x:v>
      </x:c>
      <x:c r="B313" s="9" t="str">
        <x:v>共同可买</x:v>
      </x:c>
      <x:c r="C313" s="9" t="str">
        <x:v>训练窗口</x:v>
      </x:c>
      <x:c r="D313" s="9" t="str">
        <x:v>Top1</x:v>
      </x:c>
      <x:c r="E313" s="9" t="str">
        <x:v>四K重选规则</x:v>
      </x:c>
      <x:c r="F313" s="11" t="n">
        <x:f>SUM(O313:R313)</x:f>
        <x:v>59</x:v>
      </x:c>
      <x:c r="G313" s="11" t="n">
        <x:v>59</x:v>
      </x:c>
      <x:c r="H313" s="11" t="n">
        <x:f>O313+P313</x:f>
        <x:v>25</x:v>
      </x:c>
      <x:c r="I313" s="12" t="n">
        <x:f>IF(F313=0,"",H313/F313)</x:f>
        <x:v>0.423728813559322</x:v>
      </x:c>
      <x:c r="J313" s="12" t="n">
        <x:f>IF(F313=0,"",(O313+R313)/F313)</x:f>
        <x:v>0.6610169491525424</x:v>
      </x:c>
      <x:c r="K313" s="12" t="n">
        <x:f>IF(H313=0,"",O313/H313)</x:f>
        <x:v>0.84</x:v>
      </x:c>
      <x:c r="L313" s="12" t="n">
        <x:f>IF(O313+Q313=0,"",O313/(O313+Q313))</x:f>
        <x:v>0.5675675675675675</x:v>
      </x:c>
      <x:c r="M313" s="12" t="n">
        <x:f>IF(2*O313+P313+Q313=0,"",2*O313/(2*O313+P313+Q313))</x:f>
        <x:v>0.6774193548387096</x:v>
      </x:c>
      <x:c r="N313" s="12" t="n">
        <x:f>IF(OR(O313+Q313=0,R313+P313=0),"",(L313+R313/(R313+P313))/2)</x:f>
        <x:v>0.6928746928746929</x:v>
      </x:c>
      <x:c r="O313" s="11" t="n">
        <x:v>21</x:v>
      </x:c>
      <x:c r="P313" s="11" t="n">
        <x:v>4</x:v>
      </x:c>
      <x:c r="Q313" s="11" t="n">
        <x:v>16</x:v>
      </x:c>
      <x:c r="R313" s="11" t="n">
        <x:v>18</x:v>
      </x:c>
    </x:row>
    <x:row r="314" ht="26" customHeight="1">
      <x:c r="A314" s="13" t="n">
        <x:v>46174</x:v>
      </x:c>
      <x:c r="B314" s="9" t="str">
        <x:v>共同可买</x:v>
      </x:c>
      <x:c r="C314" s="9" t="str">
        <x:v>验证窗口</x:v>
      </x:c>
      <x:c r="D314" s="9" t="str">
        <x:v>Top1</x:v>
      </x:c>
      <x:c r="E314" s="9" t="str">
        <x:v>不判形态</x:v>
      </x:c>
      <x:c r="F314" s="11" t="n">
        <x:f>SUM(O314:R314)</x:f>
        <x:v>19</x:v>
      </x:c>
      <x:c r="G314" s="11" t="n">
        <x:v>19</x:v>
      </x:c>
      <x:c r="H314" s="11" t="n">
        <x:f>O314+P314</x:f>
        <x:v>19</x:v>
      </x:c>
      <x:c r="I314" s="12" t="n">
        <x:f>IF(F314=0,"",H314/F314)</x:f>
        <x:v>1</x:v>
      </x:c>
      <x:c r="J314" s="12" t="n">
        <x:f>IF(F314=0,"",(O314+R314)/F314)</x:f>
        <x:v>0.42105263157894735</x:v>
      </x:c>
      <x:c r="K314" s="12" t="n">
        <x:f>IF(H314=0,"",O314/H314)</x:f>
        <x:v>0.42105263157894735</x:v>
      </x:c>
      <x:c r="L314" s="12" t="n">
        <x:f>IF(O314+Q314=0,"",O314/(O314+Q314))</x:f>
        <x:v>1</x:v>
      </x:c>
      <x:c r="M314" s="12" t="n">
        <x:f>IF(2*O314+P314+Q314=0,"",2*O314/(2*O314+P314+Q314))</x:f>
        <x:v>0.5925925925925926</x:v>
      </x:c>
      <x:c r="N314" s="12" t="n">
        <x:f>IF(OR(O314+Q314=0,R314+P314=0),"",(L314+R314/(R314+P314))/2)</x:f>
        <x:v>0.5</x:v>
      </x:c>
      <x:c r="O314" s="11" t="n">
        <x:v>8</x:v>
      </x:c>
      <x:c r="P314" s="11" t="n">
        <x:v>11</x:v>
      </x:c>
      <x:c r="Q314" s="11" t="n">
        <x:v>0</x:v>
      </x:c>
      <x:c r="R314" s="11" t="n">
        <x:v>0</x:v>
      </x:c>
    </x:row>
    <x:row r="315" ht="26" customHeight="1">
      <x:c r="A315" s="13" t="n">
        <x:v>46174</x:v>
      </x:c>
      <x:c r="B315" s="9" t="str">
        <x:v>共同可买</x:v>
      </x:c>
      <x:c r="C315" s="9" t="str">
        <x:v>验证窗口</x:v>
      </x:c>
      <x:c r="D315" s="9" t="str">
        <x:v>Top1</x:v>
      </x:c>
      <x:c r="E315" s="9" t="str">
        <x:v>五K原规则</x:v>
      </x:c>
      <x:c r="F315" s="11" t="n">
        <x:f>SUM(O315:R315)</x:f>
        <x:v>19</x:v>
      </x:c>
      <x:c r="G315" s="11" t="n">
        <x:v>19</x:v>
      </x:c>
      <x:c r="H315" s="11" t="n">
        <x:f>O315+P315</x:f>
        <x:v>7</x:v>
      </x:c>
      <x:c r="I315" s="12" t="n">
        <x:f>IF(F315=0,"",H315/F315)</x:f>
        <x:v>0.3684210526315789</x:v>
      </x:c>
      <x:c r="J315" s="12" t="n">
        <x:f>IF(F315=0,"",(O315+R315)/F315)</x:f>
        <x:v>0.7368421052631579</x:v>
      </x:c>
      <x:c r="K315" s="12" t="n">
        <x:f>IF(H315=0,"",O315/H315)</x:f>
        <x:v>0.7142857142857143</x:v>
      </x:c>
      <x:c r="L315" s="12" t="n">
        <x:f>IF(O315+Q315=0,"",O315/(O315+Q315))</x:f>
        <x:v>0.625</x:v>
      </x:c>
      <x:c r="M315" s="12" t="n">
        <x:f>IF(2*O315+P315+Q315=0,"",2*O315/(2*O315+P315+Q315))</x:f>
        <x:v>0.6666666666666666</x:v>
      </x:c>
      <x:c r="N315" s="12" t="n">
        <x:f>IF(OR(O315+Q315=0,R315+P315=0),"",(L315+R315/(R315+P315))/2)</x:f>
        <x:v>0.7215909090909092</x:v>
      </x:c>
      <x:c r="O315" s="11" t="n">
        <x:v>5</x:v>
      </x:c>
      <x:c r="P315" s="11" t="n">
        <x:v>2</x:v>
      </x:c>
      <x:c r="Q315" s="11" t="n">
        <x:v>3</x:v>
      </x:c>
      <x:c r="R315" s="11" t="n">
        <x:v>9</x:v>
      </x:c>
    </x:row>
    <x:row r="316" ht="26" customHeight="1">
      <x:c r="A316" s="13" t="n">
        <x:v>46174</x:v>
      </x:c>
      <x:c r="B316" s="9" t="str">
        <x:v>共同可买</x:v>
      </x:c>
      <x:c r="C316" s="9" t="str">
        <x:v>验证窗口</x:v>
      </x:c>
      <x:c r="D316" s="9" t="str">
        <x:v>Top1</x:v>
      </x:c>
      <x:c r="E316" s="9" t="str">
        <x:v>四K沿用门槛</x:v>
      </x:c>
      <x:c r="F316" s="11" t="n">
        <x:f>SUM(O316:R316)</x:f>
        <x:v>19</x:v>
      </x:c>
      <x:c r="G316" s="11" t="n">
        <x:v>19</x:v>
      </x:c>
      <x:c r="H316" s="11" t="n">
        <x:f>O316+P316</x:f>
        <x:v>7</x:v>
      </x:c>
      <x:c r="I316" s="12" t="n">
        <x:f>IF(F316=0,"",H316/F316)</x:f>
        <x:v>0.3684210526315789</x:v>
      </x:c>
      <x:c r="J316" s="12" t="n">
        <x:f>IF(F316=0,"",(O316+R316)/F316)</x:f>
        <x:v>0.631578947368421</x:v>
      </x:c>
      <x:c r="K316" s="12" t="n">
        <x:f>IF(H316=0,"",O316/H316)</x:f>
        <x:v>0.5714285714285714</x:v>
      </x:c>
      <x:c r="L316" s="12" t="n">
        <x:f>IF(O316+Q316=0,"",O316/(O316+Q316))</x:f>
        <x:v>0.5</x:v>
      </x:c>
      <x:c r="M316" s="12" t="n">
        <x:f>IF(2*O316+P316+Q316=0,"",2*O316/(2*O316+P316+Q316))</x:f>
        <x:v>0.5333333333333333</x:v>
      </x:c>
      <x:c r="N316" s="12" t="n">
        <x:f>IF(OR(O316+Q316=0,R316+P316=0),"",(L316+R316/(R316+P316))/2)</x:f>
        <x:v>0.6136363636363636</x:v>
      </x:c>
      <x:c r="O316" s="11" t="n">
        <x:v>4</x:v>
      </x:c>
      <x:c r="P316" s="11" t="n">
        <x:v>3</x:v>
      </x:c>
      <x:c r="Q316" s="11" t="n">
        <x:v>4</x:v>
      </x:c>
      <x:c r="R316" s="11" t="n">
        <x:v>8</x:v>
      </x:c>
    </x:row>
    <x:row r="317" ht="26" customHeight="1">
      <x:c r="A317" s="13" t="n">
        <x:v>46174</x:v>
      </x:c>
      <x:c r="B317" s="9" t="str">
        <x:v>共同可买</x:v>
      </x:c>
      <x:c r="C317" s="9" t="str">
        <x:v>验证窗口</x:v>
      </x:c>
      <x:c r="D317" s="9" t="str">
        <x:v>Top1</x:v>
      </x:c>
      <x:c r="E317" s="9" t="str">
        <x:v>四K重选规则</x:v>
      </x:c>
      <x:c r="F317" s="11" t="n">
        <x:f>SUM(O317:R317)</x:f>
        <x:v>19</x:v>
      </x:c>
      <x:c r="G317" s="11" t="n">
        <x:v>19</x:v>
      </x:c>
      <x:c r="H317" s="11" t="n">
        <x:f>O317+P317</x:f>
        <x:v>5</x:v>
      </x:c>
      <x:c r="I317" s="12" t="n">
        <x:f>IF(F317=0,"",H317/F317)</x:f>
        <x:v>0.2631578947368421</x:v>
      </x:c>
      <x:c r="J317" s="12" t="n">
        <x:f>IF(F317=0,"",(O317+R317)/F317)</x:f>
        <x:v>0.7368421052631579</x:v>
      </x:c>
      <x:c r="K317" s="12" t="n">
        <x:f>IF(H317=0,"",O317/H317)</x:f>
        <x:v>0.8</x:v>
      </x:c>
      <x:c r="L317" s="12" t="n">
        <x:f>IF(O317+Q317=0,"",O317/(O317+Q317))</x:f>
        <x:v>0.5</x:v>
      </x:c>
      <x:c r="M317" s="12" t="n">
        <x:f>IF(2*O317+P317+Q317=0,"",2*O317/(2*O317+P317+Q317))</x:f>
        <x:v>0.6153846153846154</x:v>
      </x:c>
      <x:c r="N317" s="12" t="n">
        <x:f>IF(OR(O317+Q317=0,R317+P317=0),"",(L317+R317/(R317+P317))/2)</x:f>
        <x:v>0.7045454545454546</x:v>
      </x:c>
      <x:c r="O317" s="11" t="n">
        <x:v>4</x:v>
      </x:c>
      <x:c r="P317" s="11" t="n">
        <x:v>1</x:v>
      </x:c>
      <x:c r="Q317" s="11" t="n">
        <x:v>4</x:v>
      </x:c>
      <x:c r="R317" s="11" t="n">
        <x:v>10</x:v>
      </x:c>
    </x:row>
    <x:row r="318" ht="26" customHeight="1">
      <x:c r="A318" s="13" t="n">
        <x:v>46204</x:v>
      </x:c>
      <x:c r="B318" s="9" t="str">
        <x:v>共同可买</x:v>
      </x:c>
      <x:c r="C318" s="9" t="str">
        <x:v>测试</x:v>
      </x:c>
      <x:c r="D318" s="9" t="str">
        <x:v>Top1</x:v>
      </x:c>
      <x:c r="E318" s="9" t="str">
        <x:v>不判形态</x:v>
      </x:c>
      <x:c r="F318" s="11" t="n">
        <x:f>SUM(O318:R318)</x:f>
        <x:v>7</x:v>
      </x:c>
      <x:c r="G318" s="11" t="n">
        <x:v>7</x:v>
      </x:c>
      <x:c r="H318" s="11" t="n">
        <x:f>O318+P318</x:f>
        <x:v>7</x:v>
      </x:c>
      <x:c r="I318" s="12" t="n">
        <x:f>IF(F318=0,"",H318/F318)</x:f>
        <x:v>1</x:v>
      </x:c>
      <x:c r="J318" s="12" t="n">
        <x:f>IF(F318=0,"",(O318+R318)/F318)</x:f>
        <x:v>0.14285714285714285</x:v>
      </x:c>
      <x:c r="K318" s="12" t="n">
        <x:f>IF(H318=0,"",O318/H318)</x:f>
        <x:v>0.14285714285714285</x:v>
      </x:c>
      <x:c r="L318" s="12" t="n">
        <x:f>IF(O318+Q318=0,"",O318/(O318+Q318))</x:f>
        <x:v>1</x:v>
      </x:c>
      <x:c r="M318" s="12" t="n">
        <x:f>IF(2*O318+P318+Q318=0,"",2*O318/(2*O318+P318+Q318))</x:f>
        <x:v>0.25</x:v>
      </x:c>
      <x:c r="N318" s="12" t="n">
        <x:f>IF(OR(O318+Q318=0,R318+P318=0),"",(L318+R318/(R318+P318))/2)</x:f>
        <x:v>0.5</x:v>
      </x:c>
      <x:c r="O318" s="11" t="n">
        <x:v>1</x:v>
      </x:c>
      <x:c r="P318" s="11" t="n">
        <x:v>6</x:v>
      </x:c>
      <x:c r="Q318" s="11" t="n">
        <x:v>0</x:v>
      </x:c>
      <x:c r="R318" s="11" t="n">
        <x:v>0</x:v>
      </x:c>
    </x:row>
    <x:row r="319" ht="26" customHeight="1">
      <x:c r="A319" s="13" t="n">
        <x:v>46204</x:v>
      </x:c>
      <x:c r="B319" s="9" t="str">
        <x:v>共同可买</x:v>
      </x:c>
      <x:c r="C319" s="9" t="str">
        <x:v>测试</x:v>
      </x:c>
      <x:c r="D319" s="9" t="str">
        <x:v>Top1</x:v>
      </x:c>
      <x:c r="E319" s="9" t="str">
        <x:v>五K原规则</x:v>
      </x:c>
      <x:c r="F319" s="11" t="n">
        <x:f>SUM(O319:R319)</x:f>
        <x:v>7</x:v>
      </x:c>
      <x:c r="G319" s="11" t="n">
        <x:v>7</x:v>
      </x:c>
      <x:c r="H319" s="11" t="n">
        <x:f>O319+P319</x:f>
        <x:v>3</x:v>
      </x:c>
      <x:c r="I319" s="12" t="n">
        <x:f>IF(F319=0,"",H319/F319)</x:f>
        <x:v>0.42857142857142855</x:v>
      </x:c>
      <x:c r="J319" s="12" t="n">
        <x:f>IF(F319=0,"",(O319+R319)/F319)</x:f>
        <x:v>0.7142857142857143</x:v>
      </x:c>
      <x:c r="K319" s="12" t="n">
        <x:f>IF(H319=0,"",O319/H319)</x:f>
        <x:v>0.3333333333333333</x:v>
      </x:c>
      <x:c r="L319" s="12" t="n">
        <x:f>IF(O319+Q319=0,"",O319/(O319+Q319))</x:f>
        <x:v>1</x:v>
      </x:c>
      <x:c r="M319" s="12" t="n">
        <x:f>IF(2*O319+P319+Q319=0,"",2*O319/(2*O319+P319+Q319))</x:f>
        <x:v>0.5</x:v>
      </x:c>
      <x:c r="N319" s="12" t="n">
        <x:f>IF(OR(O319+Q319=0,R319+P319=0),"",(L319+R319/(R319+P319))/2)</x:f>
        <x:v>0.8333333333333333</x:v>
      </x:c>
      <x:c r="O319" s="11" t="n">
        <x:v>1</x:v>
      </x:c>
      <x:c r="P319" s="11" t="n">
        <x:v>2</x:v>
      </x:c>
      <x:c r="Q319" s="11" t="n">
        <x:v>0</x:v>
      </x:c>
      <x:c r="R319" s="11" t="n">
        <x:v>4</x:v>
      </x:c>
    </x:row>
    <x:row r="320" ht="26" customHeight="1">
      <x:c r="A320" s="13" t="n">
        <x:v>46204</x:v>
      </x:c>
      <x:c r="B320" s="9" t="str">
        <x:v>共同可买</x:v>
      </x:c>
      <x:c r="C320" s="9" t="str">
        <x:v>测试</x:v>
      </x:c>
      <x:c r="D320" s="9" t="str">
        <x:v>Top1</x:v>
      </x:c>
      <x:c r="E320" s="9" t="str">
        <x:v>四K沿用门槛</x:v>
      </x:c>
      <x:c r="F320" s="11" t="n">
        <x:f>SUM(O320:R320)</x:f>
        <x:v>7</x:v>
      </x:c>
      <x:c r="G320" s="11" t="n">
        <x:v>7</x:v>
      </x:c>
      <x:c r="H320" s="11" t="n">
        <x:f>O320+P320</x:f>
        <x:v>3</x:v>
      </x:c>
      <x:c r="I320" s="12" t="n">
        <x:f>IF(F320=0,"",H320/F320)</x:f>
        <x:v>0.42857142857142855</x:v>
      </x:c>
      <x:c r="J320" s="12" t="n">
        <x:f>IF(F320=0,"",(O320+R320)/F320)</x:f>
        <x:v>0.7142857142857143</x:v>
      </x:c>
      <x:c r="K320" s="12" t="n">
        <x:f>IF(H320=0,"",O320/H320)</x:f>
        <x:v>0.3333333333333333</x:v>
      </x:c>
      <x:c r="L320" s="12" t="n">
        <x:f>IF(O320+Q320=0,"",O320/(O320+Q320))</x:f>
        <x:v>1</x:v>
      </x:c>
      <x:c r="M320" s="12" t="n">
        <x:f>IF(2*O320+P320+Q320=0,"",2*O320/(2*O320+P320+Q320))</x:f>
        <x:v>0.5</x:v>
      </x:c>
      <x:c r="N320" s="12" t="n">
        <x:f>IF(OR(O320+Q320=0,R320+P320=0),"",(L320+R320/(R320+P320))/2)</x:f>
        <x:v>0.8333333333333333</x:v>
      </x:c>
      <x:c r="O320" s="11" t="n">
        <x:v>1</x:v>
      </x:c>
      <x:c r="P320" s="11" t="n">
        <x:v>2</x:v>
      </x:c>
      <x:c r="Q320" s="11" t="n">
        <x:v>0</x:v>
      </x:c>
      <x:c r="R320" s="11" t="n">
        <x:v>4</x:v>
      </x:c>
    </x:row>
    <x:row r="321" ht="26" customHeight="1">
      <x:c r="A321" s="13" t="n">
        <x:v>46204</x:v>
      </x:c>
      <x:c r="B321" s="9" t="str">
        <x:v>共同可买</x:v>
      </x:c>
      <x:c r="C321" s="9" t="str">
        <x:v>测试</x:v>
      </x:c>
      <x:c r="D321" s="9" t="str">
        <x:v>Top1</x:v>
      </x:c>
      <x:c r="E321" s="9" t="str">
        <x:v>四K重选规则</x:v>
      </x:c>
      <x:c r="F321" s="11" t="n">
        <x:f>SUM(O321:R321)</x:f>
        <x:v>7</x:v>
      </x:c>
      <x:c r="G321" s="11" t="n">
        <x:v>7</x:v>
      </x:c>
      <x:c r="H321" s="11" t="n">
        <x:f>O321+P321</x:f>
        <x:v>7</x:v>
      </x:c>
      <x:c r="I321" s="12" t="n">
        <x:f>IF(F321=0,"",H321/F321)</x:f>
        <x:v>1</x:v>
      </x:c>
      <x:c r="J321" s="12" t="n">
        <x:f>IF(F321=0,"",(O321+R321)/F321)</x:f>
        <x:v>0.14285714285714285</x:v>
      </x:c>
      <x:c r="K321" s="12" t="n">
        <x:f>IF(H321=0,"",O321/H321)</x:f>
        <x:v>0.14285714285714285</x:v>
      </x:c>
      <x:c r="L321" s="12" t="n">
        <x:f>IF(O321+Q321=0,"",O321/(O321+Q321))</x:f>
        <x:v>1</x:v>
      </x:c>
      <x:c r="M321" s="12" t="n">
        <x:f>IF(2*O321+P321+Q321=0,"",2*O321/(2*O321+P321+Q321))</x:f>
        <x:v>0.25</x:v>
      </x:c>
      <x:c r="N321" s="12" t="n">
        <x:f>IF(OR(O321+Q321=0,R321+P321=0),"",(L321+R321/(R321+P321))/2)</x:f>
        <x:v>0.5</x:v>
      </x:c>
      <x:c r="O321" s="11" t="n">
        <x:v>1</x:v>
      </x:c>
      <x:c r="P321" s="11" t="n">
        <x:v>6</x:v>
      </x:c>
      <x:c r="Q321" s="11" t="n">
        <x:v>0</x:v>
      </x:c>
      <x:c r="R321" s="11" t="n">
        <x:v>0</x:v>
      </x:c>
    </x:row>
    <x:row r="322" ht="26" customHeight="1">
      <x:c r="A322" s="13" t="n">
        <x:v>46204</x:v>
      </x:c>
      <x:c r="B322" s="9" t="str">
        <x:v>共同可买</x:v>
      </x:c>
      <x:c r="C322" s="9" t="str">
        <x:v>训练窗口</x:v>
      </x:c>
      <x:c r="D322" s="9" t="str">
        <x:v>Top1</x:v>
      </x:c>
      <x:c r="E322" s="9" t="str">
        <x:v>不判形态</x:v>
      </x:c>
      <x:c r="F322" s="11" t="n">
        <x:f>SUM(O322:R322)</x:f>
        <x:v>63</x:v>
      </x:c>
      <x:c r="G322" s="11" t="n">
        <x:v>63</x:v>
      </x:c>
      <x:c r="H322" s="11" t="n">
        <x:f>O322+P322</x:f>
        <x:v>63</x:v>
      </x:c>
      <x:c r="I322" s="12" t="n">
        <x:f>IF(F322=0,"",H322/F322)</x:f>
        <x:v>1</x:v>
      </x:c>
      <x:c r="J322" s="12" t="n">
        <x:f>IF(F322=0,"",(O322+R322)/F322)</x:f>
        <x:v>0.5873015873015873</x:v>
      </x:c>
      <x:c r="K322" s="12" t="n">
        <x:f>IF(H322=0,"",O322/H322)</x:f>
        <x:v>0.5873015873015873</x:v>
      </x:c>
      <x:c r="L322" s="12" t="n">
        <x:f>IF(O322+Q322=0,"",O322/(O322+Q322))</x:f>
        <x:v>1</x:v>
      </x:c>
      <x:c r="M322" s="12" t="n">
        <x:f>IF(2*O322+P322+Q322=0,"",2*O322/(2*O322+P322+Q322))</x:f>
        <x:v>0.74</x:v>
      </x:c>
      <x:c r="N322" s="12" t="n">
        <x:f>IF(OR(O322+Q322=0,R322+P322=0),"",(L322+R322/(R322+P322))/2)</x:f>
        <x:v>0.5</x:v>
      </x:c>
      <x:c r="O322" s="11" t="n">
        <x:v>37</x:v>
      </x:c>
      <x:c r="P322" s="11" t="n">
        <x:v>26</x:v>
      </x:c>
      <x:c r="Q322" s="11" t="n">
        <x:v>0</x:v>
      </x:c>
      <x:c r="R322" s="11" t="n">
        <x:v>0</x:v>
      </x:c>
    </x:row>
    <x:row r="323" ht="26" customHeight="1">
      <x:c r="A323" s="13" t="n">
        <x:v>46204</x:v>
      </x:c>
      <x:c r="B323" s="9" t="str">
        <x:v>共同可买</x:v>
      </x:c>
      <x:c r="C323" s="9" t="str">
        <x:v>训练窗口</x:v>
      </x:c>
      <x:c r="D323" s="9" t="str">
        <x:v>Top1</x:v>
      </x:c>
      <x:c r="E323" s="9" t="str">
        <x:v>五K原规则</x:v>
      </x:c>
      <x:c r="F323" s="11" t="n">
        <x:f>SUM(O323:R323)</x:f>
        <x:v>63</x:v>
      </x:c>
      <x:c r="G323" s="11" t="n">
        <x:v>63</x:v>
      </x:c>
      <x:c r="H323" s="11" t="n">
        <x:f>O323+P323</x:f>
        <x:v>31</x:v>
      </x:c>
      <x:c r="I323" s="12" t="n">
        <x:f>IF(F323=0,"",H323/F323)</x:f>
        <x:v>0.49206349206349204</x:v>
      </x:c>
      <x:c r="J323" s="12" t="n">
        <x:f>IF(F323=0,"",(O323+R323)/F323)</x:f>
        <x:v>0.7142857142857143</x:v>
      </x:c>
      <x:c r="K323" s="12" t="n">
        <x:f>IF(H323=0,"",O323/H323)</x:f>
        <x:v>0.8064516129032258</x:v>
      </x:c>
      <x:c r="L323" s="12" t="n">
        <x:f>IF(O323+Q323=0,"",O323/(O323+Q323))</x:f>
        <x:v>0.6756756756756757</x:v>
      </x:c>
      <x:c r="M323" s="12" t="n">
        <x:f>IF(2*O323+P323+Q323=0,"",2*O323/(2*O323+P323+Q323))</x:f>
        <x:v>0.7352941176470589</x:v>
      </x:c>
      <x:c r="N323" s="12" t="n">
        <x:f>IF(OR(O323+Q323=0,R323+P323=0),"",(L323+R323/(R323+P323))/2)</x:f>
        <x:v>0.7224532224532225</x:v>
      </x:c>
      <x:c r="O323" s="11" t="n">
        <x:v>25</x:v>
      </x:c>
      <x:c r="P323" s="11" t="n">
        <x:v>6</x:v>
      </x:c>
      <x:c r="Q323" s="11" t="n">
        <x:v>12</x:v>
      </x:c>
      <x:c r="R323" s="11" t="n">
        <x:v>20</x:v>
      </x:c>
    </x:row>
    <x:row r="324" ht="26" customHeight="1">
      <x:c r="A324" s="13" t="n">
        <x:v>46204</x:v>
      </x:c>
      <x:c r="B324" s="9" t="str">
        <x:v>共同可买</x:v>
      </x:c>
      <x:c r="C324" s="9" t="str">
        <x:v>训练窗口</x:v>
      </x:c>
      <x:c r="D324" s="9" t="str">
        <x:v>Top1</x:v>
      </x:c>
      <x:c r="E324" s="9" t="str">
        <x:v>四K沿用门槛</x:v>
      </x:c>
      <x:c r="F324" s="11" t="n">
        <x:f>SUM(O324:R324)</x:f>
        <x:v>63</x:v>
      </x:c>
      <x:c r="G324" s="11" t="n">
        <x:v>63</x:v>
      </x:c>
      <x:c r="H324" s="11" t="n">
        <x:f>O324+P324</x:f>
        <x:v>31</x:v>
      </x:c>
      <x:c r="I324" s="12" t="n">
        <x:f>IF(F324=0,"",H324/F324)</x:f>
        <x:v>0.49206349206349204</x:v>
      </x:c>
      <x:c r="J324" s="12" t="n">
        <x:f>IF(F324=0,"",(O324+R324)/F324)</x:f>
        <x:v>0.6825396825396826</x:v>
      </x:c>
      <x:c r="K324" s="12" t="n">
        <x:f>IF(H324=0,"",O324/H324)</x:f>
        <x:v>0.7741935483870968</x:v>
      </x:c>
      <x:c r="L324" s="12" t="n">
        <x:f>IF(O324+Q324=0,"",O324/(O324+Q324))</x:f>
        <x:v>0.6486486486486487</x:v>
      </x:c>
      <x:c r="M324" s="12" t="n">
        <x:f>IF(2*O324+P324+Q324=0,"",2*O324/(2*O324+P324+Q324))</x:f>
        <x:v>0.7058823529411765</x:v>
      </x:c>
      <x:c r="N324" s="12" t="n">
        <x:f>IF(OR(O324+Q324=0,R324+P324=0),"",(L324+R324/(R324+P324))/2)</x:f>
        <x:v>0.6897089397089398</x:v>
      </x:c>
      <x:c r="O324" s="11" t="n">
        <x:v>24</x:v>
      </x:c>
      <x:c r="P324" s="11" t="n">
        <x:v>7</x:v>
      </x:c>
      <x:c r="Q324" s="11" t="n">
        <x:v>13</x:v>
      </x:c>
      <x:c r="R324" s="11" t="n">
        <x:v>19</x:v>
      </x:c>
    </x:row>
    <x:row r="325" ht="26" customHeight="1">
      <x:c r="A325" s="13" t="n">
        <x:v>46204</x:v>
      </x:c>
      <x:c r="B325" s="9" t="str">
        <x:v>共同可买</x:v>
      </x:c>
      <x:c r="C325" s="9" t="str">
        <x:v>训练窗口</x:v>
      </x:c>
      <x:c r="D325" s="9" t="str">
        <x:v>Top1</x:v>
      </x:c>
      <x:c r="E325" s="9" t="str">
        <x:v>四K重选规则</x:v>
      </x:c>
      <x:c r="F325" s="11" t="n">
        <x:f>SUM(O325:R325)</x:f>
        <x:v>63</x:v>
      </x:c>
      <x:c r="G325" s="11" t="n">
        <x:v>63</x:v>
      </x:c>
      <x:c r="H325" s="11" t="n">
        <x:f>O325+P325</x:f>
        <x:v>63</x:v>
      </x:c>
      <x:c r="I325" s="12" t="n">
        <x:f>IF(F325=0,"",H325/F325)</x:f>
        <x:v>1</x:v>
      </x:c>
      <x:c r="J325" s="12" t="n">
        <x:f>IF(F325=0,"",(O325+R325)/F325)</x:f>
        <x:v>0.5873015873015873</x:v>
      </x:c>
      <x:c r="K325" s="12" t="n">
        <x:f>IF(H325=0,"",O325/H325)</x:f>
        <x:v>0.5873015873015873</x:v>
      </x:c>
      <x:c r="L325" s="12" t="n">
        <x:f>IF(O325+Q325=0,"",O325/(O325+Q325))</x:f>
        <x:v>1</x:v>
      </x:c>
      <x:c r="M325" s="12" t="n">
        <x:f>IF(2*O325+P325+Q325=0,"",2*O325/(2*O325+P325+Q325))</x:f>
        <x:v>0.74</x:v>
      </x:c>
      <x:c r="N325" s="12" t="n">
        <x:f>IF(OR(O325+Q325=0,R325+P325=0),"",(L325+R325/(R325+P325))/2)</x:f>
        <x:v>0.5</x:v>
      </x:c>
      <x:c r="O325" s="11" t="n">
        <x:v>37</x:v>
      </x:c>
      <x:c r="P325" s="11" t="n">
        <x:v>26</x:v>
      </x:c>
      <x:c r="Q325" s="11" t="n">
        <x:v>0</x:v>
      </x:c>
      <x:c r="R325" s="11" t="n">
        <x:v>0</x:v>
      </x:c>
    </x:row>
    <x:row r="326" ht="26" customHeight="1">
      <x:c r="A326" s="13" t="n">
        <x:v>46204</x:v>
      </x:c>
      <x:c r="B326" s="9" t="str">
        <x:v>共同可买</x:v>
      </x:c>
      <x:c r="C326" s="9" t="str">
        <x:v>验证窗口</x:v>
      </x:c>
      <x:c r="D326" s="9" t="str">
        <x:v>Top1</x:v>
      </x:c>
      <x:c r="E326" s="9" t="str">
        <x:v>不判形态</x:v>
      </x:c>
      <x:c r="F326" s="11" t="n">
        <x:f>SUM(O326:R326)</x:f>
        <x:v>18</x:v>
      </x:c>
      <x:c r="G326" s="11" t="n">
        <x:v>18</x:v>
      </x:c>
      <x:c r="H326" s="11" t="n">
        <x:f>O326+P326</x:f>
        <x:v>18</x:v>
      </x:c>
      <x:c r="I326" s="12" t="n">
        <x:f>IF(F326=0,"",H326/F326)</x:f>
        <x:v>1</x:v>
      </x:c>
      <x:c r="J326" s="12" t="n">
        <x:f>IF(F326=0,"",(O326+R326)/F326)</x:f>
        <x:v>0.3888888888888889</x:v>
      </x:c>
      <x:c r="K326" s="12" t="n">
        <x:f>IF(H326=0,"",O326/H326)</x:f>
        <x:v>0.3888888888888889</x:v>
      </x:c>
      <x:c r="L326" s="12" t="n">
        <x:f>IF(O326+Q326=0,"",O326/(O326+Q326))</x:f>
        <x:v>1</x:v>
      </x:c>
      <x:c r="M326" s="12" t="n">
        <x:f>IF(2*O326+P326+Q326=0,"",2*O326/(2*O326+P326+Q326))</x:f>
        <x:v>0.56</x:v>
      </x:c>
      <x:c r="N326" s="12" t="n">
        <x:f>IF(OR(O326+Q326=0,R326+P326=0),"",(L326+R326/(R326+P326))/2)</x:f>
        <x:v>0.5</x:v>
      </x:c>
      <x:c r="O326" s="11" t="n">
        <x:v>7</x:v>
      </x:c>
      <x:c r="P326" s="11" t="n">
        <x:v>11</x:v>
      </x:c>
      <x:c r="Q326" s="11" t="n">
        <x:v>0</x:v>
      </x:c>
      <x:c r="R326" s="11" t="n">
        <x:v>0</x:v>
      </x:c>
    </x:row>
    <x:row r="327" ht="26" customHeight="1">
      <x:c r="A327" s="13" t="n">
        <x:v>46204</x:v>
      </x:c>
      <x:c r="B327" s="9" t="str">
        <x:v>共同可买</x:v>
      </x:c>
      <x:c r="C327" s="9" t="str">
        <x:v>验证窗口</x:v>
      </x:c>
      <x:c r="D327" s="9" t="str">
        <x:v>Top1</x:v>
      </x:c>
      <x:c r="E327" s="9" t="str">
        <x:v>五K原规则</x:v>
      </x:c>
      <x:c r="F327" s="11" t="n">
        <x:f>SUM(O327:R327)</x:f>
        <x:v>18</x:v>
      </x:c>
      <x:c r="G327" s="11" t="n">
        <x:v>18</x:v>
      </x:c>
      <x:c r="H327" s="11" t="n">
        <x:f>O327+P327</x:f>
        <x:v>9</x:v>
      </x:c>
      <x:c r="I327" s="12" t="n">
        <x:f>IF(F327=0,"",H327/F327)</x:f>
        <x:v>0.5</x:v>
      </x:c>
      <x:c r="J327" s="12" t="n">
        <x:f>IF(F327=0,"",(O327+R327)/F327)</x:f>
        <x:v>0.5555555555555556</x:v>
      </x:c>
      <x:c r="K327" s="12" t="n">
        <x:f>IF(H327=0,"",O327/H327)</x:f>
        <x:v>0.4444444444444444</x:v>
      </x:c>
      <x:c r="L327" s="12" t="n">
        <x:f>IF(O327+Q327=0,"",O327/(O327+Q327))</x:f>
        <x:v>0.5714285714285714</x:v>
      </x:c>
      <x:c r="M327" s="12" t="n">
        <x:f>IF(2*O327+P327+Q327=0,"",2*O327/(2*O327+P327+Q327))</x:f>
        <x:v>0.5</x:v>
      </x:c>
      <x:c r="N327" s="12" t="n">
        <x:f>IF(OR(O327+Q327=0,R327+P327=0),"",(L327+R327/(R327+P327))/2)</x:f>
        <x:v>0.5584415584415584</x:v>
      </x:c>
      <x:c r="O327" s="11" t="n">
        <x:v>4</x:v>
      </x:c>
      <x:c r="P327" s="11" t="n">
        <x:v>5</x:v>
      </x:c>
      <x:c r="Q327" s="11" t="n">
        <x:v>3</x:v>
      </x:c>
      <x:c r="R327" s="11" t="n">
        <x:v>6</x:v>
      </x:c>
    </x:row>
    <x:row r="328" ht="26" customHeight="1">
      <x:c r="A328" s="13" t="n">
        <x:v>46204</x:v>
      </x:c>
      <x:c r="B328" s="9" t="str">
        <x:v>共同可买</x:v>
      </x:c>
      <x:c r="C328" s="9" t="str">
        <x:v>验证窗口</x:v>
      </x:c>
      <x:c r="D328" s="9" t="str">
        <x:v>Top1</x:v>
      </x:c>
      <x:c r="E328" s="9" t="str">
        <x:v>四K沿用门槛</x:v>
      </x:c>
      <x:c r="F328" s="11" t="n">
        <x:f>SUM(O328:R328)</x:f>
        <x:v>18</x:v>
      </x:c>
      <x:c r="G328" s="11" t="n">
        <x:v>18</x:v>
      </x:c>
      <x:c r="H328" s="11" t="n">
        <x:f>O328+P328</x:f>
        <x:v>9</x:v>
      </x:c>
      <x:c r="I328" s="12" t="n">
        <x:f>IF(F328=0,"",H328/F328)</x:f>
        <x:v>0.5</x:v>
      </x:c>
      <x:c r="J328" s="12" t="n">
        <x:f>IF(F328=0,"",(O328+R328)/F328)</x:f>
        <x:v>0.5555555555555556</x:v>
      </x:c>
      <x:c r="K328" s="12" t="n">
        <x:f>IF(H328=0,"",O328/H328)</x:f>
        <x:v>0.4444444444444444</x:v>
      </x:c>
      <x:c r="L328" s="12" t="n">
        <x:f>IF(O328+Q328=0,"",O328/(O328+Q328))</x:f>
        <x:v>0.5714285714285714</x:v>
      </x:c>
      <x:c r="M328" s="12" t="n">
        <x:f>IF(2*O328+P328+Q328=0,"",2*O328/(2*O328+P328+Q328))</x:f>
        <x:v>0.5</x:v>
      </x:c>
      <x:c r="N328" s="12" t="n">
        <x:f>IF(OR(O328+Q328=0,R328+P328=0),"",(L328+R328/(R328+P328))/2)</x:f>
        <x:v>0.5584415584415584</x:v>
      </x:c>
      <x:c r="O328" s="11" t="n">
        <x:v>4</x:v>
      </x:c>
      <x:c r="P328" s="11" t="n">
        <x:v>5</x:v>
      </x:c>
      <x:c r="Q328" s="11" t="n">
        <x:v>3</x:v>
      </x:c>
      <x:c r="R328" s="11" t="n">
        <x:v>6</x:v>
      </x:c>
    </x:row>
    <x:row r="329" ht="26" customHeight="1">
      <x:c r="A329" s="13" t="n">
        <x:v>46204</x:v>
      </x:c>
      <x:c r="B329" s="9" t="str">
        <x:v>共同可买</x:v>
      </x:c>
      <x:c r="C329" s="9" t="str">
        <x:v>验证窗口</x:v>
      </x:c>
      <x:c r="D329" s="9" t="str">
        <x:v>Top1</x:v>
      </x:c>
      <x:c r="E329" s="9" t="str">
        <x:v>四K重选规则</x:v>
      </x:c>
      <x:c r="F329" s="11" t="n">
        <x:f>SUM(O329:R329)</x:f>
        <x:v>18</x:v>
      </x:c>
      <x:c r="G329" s="11" t="n">
        <x:v>18</x:v>
      </x:c>
      <x:c r="H329" s="11" t="n">
        <x:f>O329+P329</x:f>
        <x:v>18</x:v>
      </x:c>
      <x:c r="I329" s="12" t="n">
        <x:f>IF(F329=0,"",H329/F329)</x:f>
        <x:v>1</x:v>
      </x:c>
      <x:c r="J329" s="12" t="n">
        <x:f>IF(F329=0,"",(O329+R329)/F329)</x:f>
        <x:v>0.3888888888888889</x:v>
      </x:c>
      <x:c r="K329" s="12" t="n">
        <x:f>IF(H329=0,"",O329/H329)</x:f>
        <x:v>0.3888888888888889</x:v>
      </x:c>
      <x:c r="L329" s="12" t="n">
        <x:f>IF(O329+Q329=0,"",O329/(O329+Q329))</x:f>
        <x:v>1</x:v>
      </x:c>
      <x:c r="M329" s="12" t="n">
        <x:f>IF(2*O329+P329+Q329=0,"",2*O329/(2*O329+P329+Q329))</x:f>
        <x:v>0.56</x:v>
      </x:c>
      <x:c r="N329" s="12" t="n">
        <x:f>IF(OR(O329+Q329=0,R329+P329=0),"",(L329+R329/(R329+P329))/2)</x:f>
        <x:v>0.5</x:v>
      </x:c>
      <x:c r="O329" s="11" t="n">
        <x:v>7</x:v>
      </x:c>
      <x:c r="P329" s="11" t="n">
        <x:v>11</x:v>
      </x:c>
      <x:c r="Q329" s="11" t="n">
        <x:v>0</x:v>
      </x:c>
      <x:c r="R329" s="11" t="n">
        <x:v>0</x:v>
      </x:c>
    </x:row>
    <x:row r="330" ht="26" customHeight="1">
      <x:c r="A330" s="13" t="n">
        <x:v>46235</x:v>
      </x:c>
      <x:c r="B330" s="9" t="str">
        <x:v>共同可买</x:v>
      </x:c>
      <x:c r="C330" s="9" t="str">
        <x:v>测试</x:v>
      </x:c>
      <x:c r="D330" s="9" t="str">
        <x:v>Top1</x:v>
      </x:c>
      <x:c r="E330" s="9" t="str">
        <x:v>不判形态</x:v>
      </x:c>
      <x:c r="F330" s="11" t="n">
        <x:f>SUM(O330:R330)</x:f>
        <x:v>8</x:v>
      </x:c>
      <x:c r="G330" s="11" t="n">
        <x:v>8</x:v>
      </x:c>
      <x:c r="H330" s="11" t="n">
        <x:f>O330+P330</x:f>
        <x:v>8</x:v>
      </x:c>
      <x:c r="I330" s="12" t="n">
        <x:f>IF(F330=0,"",H330/F330)</x:f>
        <x:v>1</x:v>
      </x:c>
      <x:c r="J330" s="12" t="n">
        <x:f>IF(F330=0,"",(O330+R330)/F330)</x:f>
        <x:v>0.375</x:v>
      </x:c>
      <x:c r="K330" s="12" t="n">
        <x:f>IF(H330=0,"",O330/H330)</x:f>
        <x:v>0.375</x:v>
      </x:c>
      <x:c r="L330" s="12" t="n">
        <x:f>IF(O330+Q330=0,"",O330/(O330+Q330))</x:f>
        <x:v>1</x:v>
      </x:c>
      <x:c r="M330" s="12" t="n">
        <x:f>IF(2*O330+P330+Q330=0,"",2*O330/(2*O330+P330+Q330))</x:f>
        <x:v>0.5454545454545454</x:v>
      </x:c>
      <x:c r="N330" s="12" t="n">
        <x:f>IF(OR(O330+Q330=0,R330+P330=0),"",(L330+R330/(R330+P330))/2)</x:f>
        <x:v>0.5</x:v>
      </x:c>
      <x:c r="O330" s="11" t="n">
        <x:v>3</x:v>
      </x:c>
      <x:c r="P330" s="11" t="n">
        <x:v>5</x:v>
      </x:c>
      <x:c r="Q330" s="11" t="n">
        <x:v>0</x:v>
      </x:c>
      <x:c r="R330" s="11" t="n">
        <x:v>0</x:v>
      </x:c>
    </x:row>
    <x:row r="331" ht="26" customHeight="1">
      <x:c r="A331" s="13" t="n">
        <x:v>46235</x:v>
      </x:c>
      <x:c r="B331" s="9" t="str">
        <x:v>共同可买</x:v>
      </x:c>
      <x:c r="C331" s="9" t="str">
        <x:v>测试</x:v>
      </x:c>
      <x:c r="D331" s="9" t="str">
        <x:v>Top1</x:v>
      </x:c>
      <x:c r="E331" s="9" t="str">
        <x:v>五K原规则</x:v>
      </x:c>
      <x:c r="F331" s="11" t="n">
        <x:f>SUM(O331:R331)</x:f>
        <x:v>8</x:v>
      </x:c>
      <x:c r="G331" s="11" t="n">
        <x:v>8</x:v>
      </x:c>
      <x:c r="H331" s="11" t="n">
        <x:f>O331+P331</x:f>
        <x:v>3</x:v>
      </x:c>
      <x:c r="I331" s="12" t="n">
        <x:f>IF(F331=0,"",H331/F331)</x:f>
        <x:v>0.375</x:v>
      </x:c>
      <x:c r="J331" s="12" t="n">
        <x:f>IF(F331=0,"",(O331+R331)/F331)</x:f>
        <x:v>0.75</x:v>
      </x:c>
      <x:c r="K331" s="12" t="n">
        <x:f>IF(H331=0,"",O331/H331)</x:f>
        <x:v>0.6666666666666666</x:v>
      </x:c>
      <x:c r="L331" s="12" t="n">
        <x:f>IF(O331+Q331=0,"",O331/(O331+Q331))</x:f>
        <x:v>0.6666666666666666</x:v>
      </x:c>
      <x:c r="M331" s="12" t="n">
        <x:f>IF(2*O331+P331+Q331=0,"",2*O331/(2*O331+P331+Q331))</x:f>
        <x:v>0.6666666666666666</x:v>
      </x:c>
      <x:c r="N331" s="12" t="n">
        <x:f>IF(OR(O331+Q331=0,R331+P331=0),"",(L331+R331/(R331+P331))/2)</x:f>
        <x:v>0.7333333333333334</x:v>
      </x:c>
      <x:c r="O331" s="11" t="n">
        <x:v>2</x:v>
      </x:c>
      <x:c r="P331" s="11" t="n">
        <x:v>1</x:v>
      </x:c>
      <x:c r="Q331" s="11" t="n">
        <x:v>1</x:v>
      </x:c>
      <x:c r="R331" s="11" t="n">
        <x:v>4</x:v>
      </x:c>
    </x:row>
    <x:row r="332" ht="26" customHeight="1">
      <x:c r="A332" s="13" t="n">
        <x:v>46235</x:v>
      </x:c>
      <x:c r="B332" s="9" t="str">
        <x:v>共同可买</x:v>
      </x:c>
      <x:c r="C332" s="9" t="str">
        <x:v>测试</x:v>
      </x:c>
      <x:c r="D332" s="9" t="str">
        <x:v>Top1</x:v>
      </x:c>
      <x:c r="E332" s="9" t="str">
        <x:v>四K沿用门槛</x:v>
      </x:c>
      <x:c r="F332" s="11" t="n">
        <x:f>SUM(O332:R332)</x:f>
        <x:v>8</x:v>
      </x:c>
      <x:c r="G332" s="11" t="n">
        <x:v>8</x:v>
      </x:c>
      <x:c r="H332" s="11" t="n">
        <x:f>O332+P332</x:f>
        <x:v>3</x:v>
      </x:c>
      <x:c r="I332" s="12" t="n">
        <x:f>IF(F332=0,"",H332/F332)</x:f>
        <x:v>0.375</x:v>
      </x:c>
      <x:c r="J332" s="12" t="n">
        <x:f>IF(F332=0,"",(O332+R332)/F332)</x:f>
        <x:v>0.75</x:v>
      </x:c>
      <x:c r="K332" s="12" t="n">
        <x:f>IF(H332=0,"",O332/H332)</x:f>
        <x:v>0.6666666666666666</x:v>
      </x:c>
      <x:c r="L332" s="12" t="n">
        <x:f>IF(O332+Q332=0,"",O332/(O332+Q332))</x:f>
        <x:v>0.6666666666666666</x:v>
      </x:c>
      <x:c r="M332" s="12" t="n">
        <x:f>IF(2*O332+P332+Q332=0,"",2*O332/(2*O332+P332+Q332))</x:f>
        <x:v>0.6666666666666666</x:v>
      </x:c>
      <x:c r="N332" s="12" t="n">
        <x:f>IF(OR(O332+Q332=0,R332+P332=0),"",(L332+R332/(R332+P332))/2)</x:f>
        <x:v>0.7333333333333334</x:v>
      </x:c>
      <x:c r="O332" s="11" t="n">
        <x:v>2</x:v>
      </x:c>
      <x:c r="P332" s="11" t="n">
        <x:v>1</x:v>
      </x:c>
      <x:c r="Q332" s="11" t="n">
        <x:v>1</x:v>
      </x:c>
      <x:c r="R332" s="11" t="n">
        <x:v>4</x:v>
      </x:c>
    </x:row>
    <x:row r="333" ht="26" customHeight="1">
      <x:c r="A333" s="13" t="n">
        <x:v>46235</x:v>
      </x:c>
      <x:c r="B333" s="9" t="str">
        <x:v>共同可买</x:v>
      </x:c>
      <x:c r="C333" s="9" t="str">
        <x:v>测试</x:v>
      </x:c>
      <x:c r="D333" s="9" t="str">
        <x:v>Top1</x:v>
      </x:c>
      <x:c r="E333" s="9" t="str">
        <x:v>四K重选规则</x:v>
      </x:c>
      <x:c r="F333" s="11" t="n">
        <x:f>SUM(O333:R333)</x:f>
        <x:v>8</x:v>
      </x:c>
      <x:c r="G333" s="11" t="n">
        <x:v>8</x:v>
      </x:c>
      <x:c r="H333" s="11" t="n">
        <x:f>O333+P333</x:f>
        <x:v>5</x:v>
      </x:c>
      <x:c r="I333" s="12" t="n">
        <x:f>IF(F333=0,"",H333/F333)</x:f>
        <x:v>0.625</x:v>
      </x:c>
      <x:c r="J333" s="12" t="n">
        <x:f>IF(F333=0,"",(O333+R333)/F333)</x:f>
        <x:v>0.5</x:v>
      </x:c>
      <x:c r="K333" s="12" t="n">
        <x:f>IF(H333=0,"",O333/H333)</x:f>
        <x:v>0.4</x:v>
      </x:c>
      <x:c r="L333" s="12" t="n">
        <x:f>IF(O333+Q333=0,"",O333/(O333+Q333))</x:f>
        <x:v>0.6666666666666666</x:v>
      </x:c>
      <x:c r="M333" s="12" t="n">
        <x:f>IF(2*O333+P333+Q333=0,"",2*O333/(2*O333+P333+Q333))</x:f>
        <x:v>0.5</x:v>
      </x:c>
      <x:c r="N333" s="12" t="n">
        <x:f>IF(OR(O333+Q333=0,R333+P333=0),"",(L333+R333/(R333+P333))/2)</x:f>
        <x:v>0.5333333333333333</x:v>
      </x:c>
      <x:c r="O333" s="11" t="n">
        <x:v>2</x:v>
      </x:c>
      <x:c r="P333" s="11" t="n">
        <x:v>3</x:v>
      </x:c>
      <x:c r="Q333" s="11" t="n">
        <x:v>1</x:v>
      </x:c>
      <x:c r="R333" s="11" t="n">
        <x:v>2</x:v>
      </x:c>
    </x:row>
    <x:row r="334" ht="26" customHeight="1">
      <x:c r="A334" s="13" t="n">
        <x:v>46235</x:v>
      </x:c>
      <x:c r="B334" s="9" t="str">
        <x:v>共同可买</x:v>
      </x:c>
      <x:c r="C334" s="9" t="str">
        <x:v>训练窗口</x:v>
      </x:c>
      <x:c r="D334" s="9" t="str">
        <x:v>Top1</x:v>
      </x:c>
      <x:c r="E334" s="9" t="str">
        <x:v>不判形态</x:v>
      </x:c>
      <x:c r="F334" s="11" t="n">
        <x:f>SUM(O334:R334)</x:f>
        <x:v>67</x:v>
      </x:c>
      <x:c r="G334" s="11" t="n">
        <x:v>67</x:v>
      </x:c>
      <x:c r="H334" s="11" t="n">
        <x:f>O334+P334</x:f>
        <x:v>67</x:v>
      </x:c>
      <x:c r="I334" s="12" t="n">
        <x:f>IF(F334=0,"",H334/F334)</x:f>
        <x:v>1</x:v>
      </x:c>
      <x:c r="J334" s="12" t="n">
        <x:f>IF(F334=0,"",(O334+R334)/F334)</x:f>
        <x:v>0.5373134328358209</x:v>
      </x:c>
      <x:c r="K334" s="12" t="n">
        <x:f>IF(H334=0,"",O334/H334)</x:f>
        <x:v>0.5373134328358209</x:v>
      </x:c>
      <x:c r="L334" s="12" t="n">
        <x:f>IF(O334+Q334=0,"",O334/(O334+Q334))</x:f>
        <x:v>1</x:v>
      </x:c>
      <x:c r="M334" s="12" t="n">
        <x:f>IF(2*O334+P334+Q334=0,"",2*O334/(2*O334+P334+Q334))</x:f>
        <x:v>0.6990291262135923</x:v>
      </x:c>
      <x:c r="N334" s="12" t="n">
        <x:f>IF(OR(O334+Q334=0,R334+P334=0),"",(L334+R334/(R334+P334))/2)</x:f>
        <x:v>0.5</x:v>
      </x:c>
      <x:c r="O334" s="11" t="n">
        <x:v>36</x:v>
      </x:c>
      <x:c r="P334" s="11" t="n">
        <x:v>31</x:v>
      </x:c>
      <x:c r="Q334" s="11" t="n">
        <x:v>0</x:v>
      </x:c>
      <x:c r="R334" s="11" t="n">
        <x:v>0</x:v>
      </x:c>
    </x:row>
    <x:row r="335" ht="26" customHeight="1">
      <x:c r="A335" s="13" t="n">
        <x:v>46235</x:v>
      </x:c>
      <x:c r="B335" s="9" t="str">
        <x:v>共同可买</x:v>
      </x:c>
      <x:c r="C335" s="9" t="str">
        <x:v>训练窗口</x:v>
      </x:c>
      <x:c r="D335" s="9" t="str">
        <x:v>Top1</x:v>
      </x:c>
      <x:c r="E335" s="9" t="str">
        <x:v>五K原规则</x:v>
      </x:c>
      <x:c r="F335" s="11" t="n">
        <x:f>SUM(O335:R335)</x:f>
        <x:v>67</x:v>
      </x:c>
      <x:c r="G335" s="11" t="n">
        <x:v>67</x:v>
      </x:c>
      <x:c r="H335" s="11" t="n">
        <x:f>O335+P335</x:f>
        <x:v>29</x:v>
      </x:c>
      <x:c r="I335" s="12" t="n">
        <x:f>IF(F335=0,"",H335/F335)</x:f>
        <x:v>0.43283582089552236</x:v>
      </x:c>
      <x:c r="J335" s="12" t="n">
        <x:f>IF(F335=0,"",(O335+R335)/F335)</x:f>
        <x:v>0.6268656716417911</x:v>
      </x:c>
      <x:c r="K335" s="12" t="n">
        <x:f>IF(H335=0,"",O335/H335)</x:f>
        <x:v>0.6896551724137931</x:v>
      </x:c>
      <x:c r="L335" s="12" t="n">
        <x:f>IF(O335+Q335=0,"",O335/(O335+Q335))</x:f>
        <x:v>0.5555555555555556</x:v>
      </x:c>
      <x:c r="M335" s="12" t="n">
        <x:f>IF(2*O335+P335+Q335=0,"",2*O335/(2*O335+P335+Q335))</x:f>
        <x:v>0.6153846153846154</x:v>
      </x:c>
      <x:c r="N335" s="12" t="n">
        <x:f>IF(OR(O335+Q335=0,R335+P335=0),"",(L335+R335/(R335+P335))/2)</x:f>
        <x:v>0.6326164874551972</x:v>
      </x:c>
      <x:c r="O335" s="11" t="n">
        <x:v>20</x:v>
      </x:c>
      <x:c r="P335" s="11" t="n">
        <x:v>9</x:v>
      </x:c>
      <x:c r="Q335" s="11" t="n">
        <x:v>16</x:v>
      </x:c>
      <x:c r="R335" s="11" t="n">
        <x:v>22</x:v>
      </x:c>
    </x:row>
    <x:row r="336" ht="26" customHeight="1">
      <x:c r="A336" s="13" t="n">
        <x:v>46235</x:v>
      </x:c>
      <x:c r="B336" s="9" t="str">
        <x:v>共同可买</x:v>
      </x:c>
      <x:c r="C336" s="9" t="str">
        <x:v>训练窗口</x:v>
      </x:c>
      <x:c r="D336" s="9" t="str">
        <x:v>Top1</x:v>
      </x:c>
      <x:c r="E336" s="9" t="str">
        <x:v>四K沿用门槛</x:v>
      </x:c>
      <x:c r="F336" s="11" t="n">
        <x:f>SUM(O336:R336)</x:f>
        <x:v>67</x:v>
      </x:c>
      <x:c r="G336" s="11" t="n">
        <x:v>67</x:v>
      </x:c>
      <x:c r="H336" s="11" t="n">
        <x:f>O336+P336</x:f>
        <x:v>32</x:v>
      </x:c>
      <x:c r="I336" s="12" t="n">
        <x:f>IF(F336=0,"",H336/F336)</x:f>
        <x:v>0.47761194029850745</x:v>
      </x:c>
      <x:c r="J336" s="12" t="n">
        <x:f>IF(F336=0,"",(O336+R336)/F336)</x:f>
        <x:v>0.6716417910447762</x:v>
      </x:c>
      <x:c r="K336" s="12" t="n">
        <x:f>IF(H336=0,"",O336/H336)</x:f>
        <x:v>0.71875</x:v>
      </x:c>
      <x:c r="L336" s="12" t="n">
        <x:f>IF(O336+Q336=0,"",O336/(O336+Q336))</x:f>
        <x:v>0.6388888888888888</x:v>
      </x:c>
      <x:c r="M336" s="12" t="n">
        <x:f>IF(2*O336+P336+Q336=0,"",2*O336/(2*O336+P336+Q336))</x:f>
        <x:v>0.6764705882352942</x:v>
      </x:c>
      <x:c r="N336" s="12" t="n">
        <x:f>IF(OR(O336+Q336=0,R336+P336=0),"",(L336+R336/(R336+P336))/2)</x:f>
        <x:v>0.6742831541218638</x:v>
      </x:c>
      <x:c r="O336" s="11" t="n">
        <x:v>23</x:v>
      </x:c>
      <x:c r="P336" s="11" t="n">
        <x:v>9</x:v>
      </x:c>
      <x:c r="Q336" s="11" t="n">
        <x:v>13</x:v>
      </x:c>
      <x:c r="R336" s="11" t="n">
        <x:v>22</x:v>
      </x:c>
    </x:row>
    <x:row r="337" ht="26" customHeight="1">
      <x:c r="A337" s="13" t="n">
        <x:v>46235</x:v>
      </x:c>
      <x:c r="B337" s="9" t="str">
        <x:v>共同可买</x:v>
      </x:c>
      <x:c r="C337" s="9" t="str">
        <x:v>训练窗口</x:v>
      </x:c>
      <x:c r="D337" s="9" t="str">
        <x:v>Top1</x:v>
      </x:c>
      <x:c r="E337" s="9" t="str">
        <x:v>四K重选规则</x:v>
      </x:c>
      <x:c r="F337" s="11" t="n">
        <x:f>SUM(O337:R337)</x:f>
        <x:v>67</x:v>
      </x:c>
      <x:c r="G337" s="11" t="n">
        <x:v>67</x:v>
      </x:c>
      <x:c r="H337" s="11" t="n">
        <x:f>O337+P337</x:f>
        <x:v>39</x:v>
      </x:c>
      <x:c r="I337" s="12" t="n">
        <x:f>IF(F337=0,"",H337/F337)</x:f>
        <x:v>0.582089552238806</x:v>
      </x:c>
      <x:c r="J337" s="12" t="n">
        <x:f>IF(F337=0,"",(O337+R337)/F337)</x:f>
        <x:v>0.6268656716417911</x:v>
      </x:c>
      <x:c r="K337" s="12" t="n">
        <x:f>IF(H337=0,"",O337/H337)</x:f>
        <x:v>0.6410256410256411</x:v>
      </x:c>
      <x:c r="L337" s="12" t="n">
        <x:f>IF(O337+Q337=0,"",O337/(O337+Q337))</x:f>
        <x:v>0.6944444444444444</x:v>
      </x:c>
      <x:c r="M337" s="12" t="n">
        <x:f>IF(2*O337+P337+Q337=0,"",2*O337/(2*O337+P337+Q337))</x:f>
        <x:v>0.6666666666666666</x:v>
      </x:c>
      <x:c r="N337" s="12" t="n">
        <x:f>IF(OR(O337+Q337=0,R337+P337=0),"",(L337+R337/(R337+P337))/2)</x:f>
        <x:v>0.621415770609319</x:v>
      </x:c>
      <x:c r="O337" s="11" t="n">
        <x:v>25</x:v>
      </x:c>
      <x:c r="P337" s="11" t="n">
        <x:v>14</x:v>
      </x:c>
      <x:c r="Q337" s="11" t="n">
        <x:v>11</x:v>
      </x:c>
      <x:c r="R337" s="11" t="n">
        <x:v>17</x:v>
      </x:c>
    </x:row>
    <x:row r="338" ht="26" customHeight="1">
      <x:c r="A338" s="13" t="n">
        <x:v>46235</x:v>
      </x:c>
      <x:c r="B338" s="9" t="str">
        <x:v>共同可买</x:v>
      </x:c>
      <x:c r="C338" s="9" t="str">
        <x:v>验证窗口</x:v>
      </x:c>
      <x:c r="D338" s="9" t="str">
        <x:v>Top1</x:v>
      </x:c>
      <x:c r="E338" s="9" t="str">
        <x:v>不判形态</x:v>
      </x:c>
      <x:c r="F338" s="11" t="n">
        <x:f>SUM(O338:R338)</x:f>
        <x:v>24</x:v>
      </x:c>
      <x:c r="G338" s="11" t="n">
        <x:v>24</x:v>
      </x:c>
      <x:c r="H338" s="11" t="n">
        <x:f>O338+P338</x:f>
        <x:v>24</x:v>
      </x:c>
      <x:c r="I338" s="12" t="n">
        <x:f>IF(F338=0,"",H338/F338)</x:f>
        <x:v>1</x:v>
      </x:c>
      <x:c r="J338" s="12" t="n">
        <x:f>IF(F338=0,"",(O338+R338)/F338)</x:f>
        <x:v>0.375</x:v>
      </x:c>
      <x:c r="K338" s="12" t="n">
        <x:f>IF(H338=0,"",O338/H338)</x:f>
        <x:v>0.375</x:v>
      </x:c>
      <x:c r="L338" s="12" t="n">
        <x:f>IF(O338+Q338=0,"",O338/(O338+Q338))</x:f>
        <x:v>1</x:v>
      </x:c>
      <x:c r="M338" s="12" t="n">
        <x:f>IF(2*O338+P338+Q338=0,"",2*O338/(2*O338+P338+Q338))</x:f>
        <x:v>0.5454545454545454</x:v>
      </x:c>
      <x:c r="N338" s="12" t="n">
        <x:f>IF(OR(O338+Q338=0,R338+P338=0),"",(L338+R338/(R338+P338))/2)</x:f>
        <x:v>0.5</x:v>
      </x:c>
      <x:c r="O338" s="11" t="n">
        <x:v>9</x:v>
      </x:c>
      <x:c r="P338" s="11" t="n">
        <x:v>15</x:v>
      </x:c>
      <x:c r="Q338" s="11" t="n">
        <x:v>0</x:v>
      </x:c>
      <x:c r="R338" s="11" t="n">
        <x:v>0</x:v>
      </x:c>
    </x:row>
    <x:row r="339" ht="26" customHeight="1">
      <x:c r="A339" s="13" t="n">
        <x:v>46235</x:v>
      </x:c>
      <x:c r="B339" s="9" t="str">
        <x:v>共同可买</x:v>
      </x:c>
      <x:c r="C339" s="9" t="str">
        <x:v>验证窗口</x:v>
      </x:c>
      <x:c r="D339" s="9" t="str">
        <x:v>Top1</x:v>
      </x:c>
      <x:c r="E339" s="9" t="str">
        <x:v>五K原规则</x:v>
      </x:c>
      <x:c r="F339" s="11" t="n">
        <x:f>SUM(O339:R339)</x:f>
        <x:v>24</x:v>
      </x:c>
      <x:c r="G339" s="11" t="n">
        <x:v>24</x:v>
      </x:c>
      <x:c r="H339" s="11" t="n">
        <x:f>O339+P339</x:f>
        <x:v>8</x:v>
      </x:c>
      <x:c r="I339" s="12" t="n">
        <x:f>IF(F339=0,"",H339/F339)</x:f>
        <x:v>0.3333333333333333</x:v>
      </x:c>
      <x:c r="J339" s="12" t="n">
        <x:f>IF(F339=0,"",(O339+R339)/F339)</x:f>
        <x:v>0.7083333333333334</x:v>
      </x:c>
      <x:c r="K339" s="12" t="n">
        <x:f>IF(H339=0,"",O339/H339)</x:f>
        <x:v>0.625</x:v>
      </x:c>
      <x:c r="L339" s="12" t="n">
        <x:f>IF(O339+Q339=0,"",O339/(O339+Q339))</x:f>
        <x:v>0.5555555555555556</x:v>
      </x:c>
      <x:c r="M339" s="12" t="n">
        <x:f>IF(2*O339+P339+Q339=0,"",2*O339/(2*O339+P339+Q339))</x:f>
        <x:v>0.5882352941176471</x:v>
      </x:c>
      <x:c r="N339" s="12" t="n">
        <x:f>IF(OR(O339+Q339=0,R339+P339=0),"",(L339+R339/(R339+P339))/2)</x:f>
        <x:v>0.6777777777777778</x:v>
      </x:c>
      <x:c r="O339" s="11" t="n">
        <x:v>5</x:v>
      </x:c>
      <x:c r="P339" s="11" t="n">
        <x:v>3</x:v>
      </x:c>
      <x:c r="Q339" s="11" t="n">
        <x:v>4</x:v>
      </x:c>
      <x:c r="R339" s="11" t="n">
        <x:v>12</x:v>
      </x:c>
    </x:row>
    <x:row r="340" ht="26" customHeight="1">
      <x:c r="A340" s="13" t="n">
        <x:v>46235</x:v>
      </x:c>
      <x:c r="B340" s="9" t="str">
        <x:v>共同可买</x:v>
      </x:c>
      <x:c r="C340" s="9" t="str">
        <x:v>验证窗口</x:v>
      </x:c>
      <x:c r="D340" s="9" t="str">
        <x:v>Top1</x:v>
      </x:c>
      <x:c r="E340" s="9" t="str">
        <x:v>四K沿用门槛</x:v>
      </x:c>
      <x:c r="F340" s="11" t="n">
        <x:f>SUM(O340:R340)</x:f>
        <x:v>24</x:v>
      </x:c>
      <x:c r="G340" s="11" t="n">
        <x:v>24</x:v>
      </x:c>
      <x:c r="H340" s="11" t="n">
        <x:f>O340+P340</x:f>
        <x:v>7</x:v>
      </x:c>
      <x:c r="I340" s="12" t="n">
        <x:f>IF(F340=0,"",H340/F340)</x:f>
        <x:v>0.2916666666666667</x:v>
      </x:c>
      <x:c r="J340" s="12" t="n">
        <x:f>IF(F340=0,"",(O340+R340)/F340)</x:f>
        <x:v>0.6666666666666666</x:v>
      </x:c>
      <x:c r="K340" s="12" t="n">
        <x:f>IF(H340=0,"",O340/H340)</x:f>
        <x:v>0.5714285714285714</x:v>
      </x:c>
      <x:c r="L340" s="12" t="n">
        <x:f>IF(O340+Q340=0,"",O340/(O340+Q340))</x:f>
        <x:v>0.4444444444444444</x:v>
      </x:c>
      <x:c r="M340" s="12" t="n">
        <x:f>IF(2*O340+P340+Q340=0,"",2*O340/(2*O340+P340+Q340))</x:f>
        <x:v>0.5</x:v>
      </x:c>
      <x:c r="N340" s="12" t="n">
        <x:f>IF(OR(O340+Q340=0,R340+P340=0),"",(L340+R340/(R340+P340))/2)</x:f>
        <x:v>0.6222222222222222</x:v>
      </x:c>
      <x:c r="O340" s="11" t="n">
        <x:v>4</x:v>
      </x:c>
      <x:c r="P340" s="11" t="n">
        <x:v>3</x:v>
      </x:c>
      <x:c r="Q340" s="11" t="n">
        <x:v>5</x:v>
      </x:c>
      <x:c r="R340" s="11" t="n">
        <x:v>12</x:v>
      </x:c>
    </x:row>
    <x:row r="341" ht="26" customHeight="1">
      <x:c r="A341" s="13" t="n">
        <x:v>46235</x:v>
      </x:c>
      <x:c r="B341" s="9" t="str">
        <x:v>共同可买</x:v>
      </x:c>
      <x:c r="C341" s="9" t="str">
        <x:v>验证窗口</x:v>
      </x:c>
      <x:c r="D341" s="9" t="str">
        <x:v>Top1</x:v>
      </x:c>
      <x:c r="E341" s="9" t="str">
        <x:v>四K重选规则</x:v>
      </x:c>
      <x:c r="F341" s="11" t="n">
        <x:f>SUM(O341:R341)</x:f>
        <x:v>24</x:v>
      </x:c>
      <x:c r="G341" s="11" t="n">
        <x:v>24</x:v>
      </x:c>
      <x:c r="H341" s="11" t="n">
        <x:f>O341+P341</x:f>
        <x:v>13</x:v>
      </x:c>
      <x:c r="I341" s="12" t="n">
        <x:f>IF(F341=0,"",H341/F341)</x:f>
        <x:v>0.5416666666666666</x:v>
      </x:c>
      <x:c r="J341" s="12" t="n">
        <x:f>IF(F341=0,"",(O341+R341)/F341)</x:f>
        <x:v>0.75</x:v>
      </x:c>
      <x:c r="K341" s="12" t="n">
        <x:f>IF(H341=0,"",O341/H341)</x:f>
        <x:v>0.6153846153846154</x:v>
      </x:c>
      <x:c r="L341" s="12" t="n">
        <x:f>IF(O341+Q341=0,"",O341/(O341+Q341))</x:f>
        <x:v>0.8888888888888888</x:v>
      </x:c>
      <x:c r="M341" s="12" t="n">
        <x:f>IF(2*O341+P341+Q341=0,"",2*O341/(2*O341+P341+Q341))</x:f>
        <x:v>0.7272727272727273</x:v>
      </x:c>
      <x:c r="N341" s="12" t="n">
        <x:f>IF(OR(O341+Q341=0,R341+P341=0),"",(L341+R341/(R341+P341))/2)</x:f>
        <x:v>0.7777777777777777</x:v>
      </x:c>
      <x:c r="O341" s="11" t="n">
        <x:v>8</x:v>
      </x:c>
      <x:c r="P341" s="11" t="n">
        <x:v>5</x:v>
      </x:c>
      <x:c r="Q341" s="11" t="n">
        <x:v>1</x:v>
      </x:c>
      <x:c r="R341" s="11" t="n">
        <x:v>10</x:v>
      </x:c>
    </x:row>
    <x:row r="342" ht="26" customHeight="1">
      <x:c r="A342" s="13" t="n">
        <x:v>46266</x:v>
      </x:c>
      <x:c r="B342" s="9" t="str">
        <x:v>共同可买</x:v>
      </x:c>
      <x:c r="C342" s="9" t="str">
        <x:v>测试</x:v>
      </x:c>
      <x:c r="D342" s="9" t="str">
        <x:v>Top1</x:v>
      </x:c>
      <x:c r="E342" s="9" t="str">
        <x:v>不判形态</x:v>
      </x:c>
      <x:c r="F342" s="11" t="n">
        <x:f>SUM(O342:R342)</x:f>
        <x:v>10</x:v>
      </x:c>
      <x:c r="G342" s="11" t="n">
        <x:v>10</x:v>
      </x:c>
      <x:c r="H342" s="11" t="n">
        <x:f>O342+P342</x:f>
        <x:v>10</x:v>
      </x:c>
      <x:c r="I342" s="12" t="n">
        <x:f>IF(F342=0,"",H342/F342)</x:f>
        <x:v>1</x:v>
      </x:c>
      <x:c r="J342" s="12" t="n">
        <x:f>IF(F342=0,"",(O342+R342)/F342)</x:f>
        <x:v>0.5</x:v>
      </x:c>
      <x:c r="K342" s="12" t="n">
        <x:f>IF(H342=0,"",O342/H342)</x:f>
        <x:v>0.5</x:v>
      </x:c>
      <x:c r="L342" s="12" t="n">
        <x:f>IF(O342+Q342=0,"",O342/(O342+Q342))</x:f>
        <x:v>1</x:v>
      </x:c>
      <x:c r="M342" s="12" t="n">
        <x:f>IF(2*O342+P342+Q342=0,"",2*O342/(2*O342+P342+Q342))</x:f>
        <x:v>0.6666666666666666</x:v>
      </x:c>
      <x:c r="N342" s="12" t="n">
        <x:f>IF(OR(O342+Q342=0,R342+P342=0),"",(L342+R342/(R342+P342))/2)</x:f>
        <x:v>0.5</x:v>
      </x:c>
      <x:c r="O342" s="11" t="n">
        <x:v>5</x:v>
      </x:c>
      <x:c r="P342" s="11" t="n">
        <x:v>5</x:v>
      </x:c>
      <x:c r="Q342" s="11" t="n">
        <x:v>0</x:v>
      </x:c>
      <x:c r="R342" s="11" t="n">
        <x:v>0</x:v>
      </x:c>
    </x:row>
    <x:row r="343" ht="26" customHeight="1">
      <x:c r="A343" s="13" t="n">
        <x:v>46266</x:v>
      </x:c>
      <x:c r="B343" s="9" t="str">
        <x:v>共同可买</x:v>
      </x:c>
      <x:c r="C343" s="9" t="str">
        <x:v>测试</x:v>
      </x:c>
      <x:c r="D343" s="9" t="str">
        <x:v>Top1</x:v>
      </x:c>
      <x:c r="E343" s="9" t="str">
        <x:v>五K原规则</x:v>
      </x:c>
      <x:c r="F343" s="11" t="n">
        <x:f>SUM(O343:R343)</x:f>
        <x:v>10</x:v>
      </x:c>
      <x:c r="G343" s="11" t="n">
        <x:v>10</x:v>
      </x:c>
      <x:c r="H343" s="11" t="n">
        <x:f>O343+P343</x:f>
        <x:v>3</x:v>
      </x:c>
      <x:c r="I343" s="12" t="n">
        <x:f>IF(F343=0,"",H343/F343)</x:f>
        <x:v>0.3</x:v>
      </x:c>
      <x:c r="J343" s="12" t="n">
        <x:f>IF(F343=0,"",(O343+R343)/F343)</x:f>
        <x:v>0.6</x:v>
      </x:c>
      <x:c r="K343" s="12" t="n">
        <x:f>IF(H343=0,"",O343/H343)</x:f>
        <x:v>0.6666666666666666</x:v>
      </x:c>
      <x:c r="L343" s="12" t="n">
        <x:f>IF(O343+Q343=0,"",O343/(O343+Q343))</x:f>
        <x:v>0.4</x:v>
      </x:c>
      <x:c r="M343" s="12" t="n">
        <x:f>IF(2*O343+P343+Q343=0,"",2*O343/(2*O343+P343+Q343))</x:f>
        <x:v>0.5</x:v>
      </x:c>
      <x:c r="N343" s="12" t="n">
        <x:f>IF(OR(O343+Q343=0,R343+P343=0),"",(L343+R343/(R343+P343))/2)</x:f>
        <x:v>0.6000000000000001</x:v>
      </x:c>
      <x:c r="O343" s="11" t="n">
        <x:v>2</x:v>
      </x:c>
      <x:c r="P343" s="11" t="n">
        <x:v>1</x:v>
      </x:c>
      <x:c r="Q343" s="11" t="n">
        <x:v>3</x:v>
      </x:c>
      <x:c r="R343" s="11" t="n">
        <x:v>4</x:v>
      </x:c>
    </x:row>
    <x:row r="344" ht="26" customHeight="1">
      <x:c r="A344" s="13" t="n">
        <x:v>46266</x:v>
      </x:c>
      <x:c r="B344" s="9" t="str">
        <x:v>共同可买</x:v>
      </x:c>
      <x:c r="C344" s="9" t="str">
        <x:v>测试</x:v>
      </x:c>
      <x:c r="D344" s="9" t="str">
        <x:v>Top1</x:v>
      </x:c>
      <x:c r="E344" s="9" t="str">
        <x:v>四K沿用门槛</x:v>
      </x:c>
      <x:c r="F344" s="11" t="n">
        <x:f>SUM(O344:R344)</x:f>
        <x:v>10</x:v>
      </x:c>
      <x:c r="G344" s="11" t="n">
        <x:v>10</x:v>
      </x:c>
      <x:c r="H344" s="11" t="n">
        <x:f>O344+P344</x:f>
        <x:v>3</x:v>
      </x:c>
      <x:c r="I344" s="12" t="n">
        <x:f>IF(F344=0,"",H344/F344)</x:f>
        <x:v>0.3</x:v>
      </x:c>
      <x:c r="J344" s="12" t="n">
        <x:f>IF(F344=0,"",(O344+R344)/F344)</x:f>
        <x:v>0.6</x:v>
      </x:c>
      <x:c r="K344" s="12" t="n">
        <x:f>IF(H344=0,"",O344/H344)</x:f>
        <x:v>0.6666666666666666</x:v>
      </x:c>
      <x:c r="L344" s="12" t="n">
        <x:f>IF(O344+Q344=0,"",O344/(O344+Q344))</x:f>
        <x:v>0.4</x:v>
      </x:c>
      <x:c r="M344" s="12" t="n">
        <x:f>IF(2*O344+P344+Q344=0,"",2*O344/(2*O344+P344+Q344))</x:f>
        <x:v>0.5</x:v>
      </x:c>
      <x:c r="N344" s="12" t="n">
        <x:f>IF(OR(O344+Q344=0,R344+P344=0),"",(L344+R344/(R344+P344))/2)</x:f>
        <x:v>0.6000000000000001</x:v>
      </x:c>
      <x:c r="O344" s="11" t="n">
        <x:v>2</x:v>
      </x:c>
      <x:c r="P344" s="11" t="n">
        <x:v>1</x:v>
      </x:c>
      <x:c r="Q344" s="11" t="n">
        <x:v>3</x:v>
      </x:c>
      <x:c r="R344" s="11" t="n">
        <x:v>4</x:v>
      </x:c>
    </x:row>
    <x:row r="345" ht="26" customHeight="1">
      <x:c r="A345" s="13" t="n">
        <x:v>46266</x:v>
      </x:c>
      <x:c r="B345" s="9" t="str">
        <x:v>共同可买</x:v>
      </x:c>
      <x:c r="C345" s="9" t="str">
        <x:v>测试</x:v>
      </x:c>
      <x:c r="D345" s="9" t="str">
        <x:v>Top1</x:v>
      </x:c>
      <x:c r="E345" s="9" t="str">
        <x:v>四K重选规则</x:v>
      </x:c>
      <x:c r="F345" s="11" t="n">
        <x:f>SUM(O345:R345)</x:f>
        <x:v>10</x:v>
      </x:c>
      <x:c r="G345" s="11" t="n">
        <x:v>10</x:v>
      </x:c>
      <x:c r="H345" s="11" t="n">
        <x:f>O345+P345</x:f>
        <x:v>9</x:v>
      </x:c>
      <x:c r="I345" s="12" t="n">
        <x:f>IF(F345=0,"",H345/F345)</x:f>
        <x:v>0.9</x:v>
      </x:c>
      <x:c r="J345" s="12" t="n">
        <x:f>IF(F345=0,"",(O345+R345)/F345)</x:f>
        <x:v>0.4</x:v>
      </x:c>
      <x:c r="K345" s="12" t="n">
        <x:f>IF(H345=0,"",O345/H345)</x:f>
        <x:v>0.4444444444444444</x:v>
      </x:c>
      <x:c r="L345" s="12" t="n">
        <x:f>IF(O345+Q345=0,"",O345/(O345+Q345))</x:f>
        <x:v>0.8</x:v>
      </x:c>
      <x:c r="M345" s="12" t="n">
        <x:f>IF(2*O345+P345+Q345=0,"",2*O345/(2*O345+P345+Q345))</x:f>
        <x:v>0.5714285714285714</x:v>
      </x:c>
      <x:c r="N345" s="12" t="n">
        <x:f>IF(OR(O345+Q345=0,R345+P345=0),"",(L345+R345/(R345+P345))/2)</x:f>
        <x:v>0.4</x:v>
      </x:c>
      <x:c r="O345" s="11" t="n">
        <x:v>4</x:v>
      </x:c>
      <x:c r="P345" s="11" t="n">
        <x:v>5</x:v>
      </x:c>
      <x:c r="Q345" s="11" t="n">
        <x:v>1</x:v>
      </x:c>
      <x:c r="R345" s="11" t="n">
        <x:v>0</x:v>
      </x:c>
    </x:row>
    <x:row r="346" ht="26" customHeight="1">
      <x:c r="A346" s="13" t="n">
        <x:v>46266</x:v>
      </x:c>
      <x:c r="B346" s="9" t="str">
        <x:v>共同可买</x:v>
      </x:c>
      <x:c r="C346" s="9" t="str">
        <x:v>训练窗口</x:v>
      </x:c>
      <x:c r="D346" s="9" t="str">
        <x:v>Top1</x:v>
      </x:c>
      <x:c r="E346" s="9" t="str">
        <x:v>不判形态</x:v>
      </x:c>
      <x:c r="F346" s="11" t="n">
        <x:f>SUM(O346:R346)</x:f>
        <x:v>66</x:v>
      </x:c>
      <x:c r="G346" s="11" t="n">
        <x:v>66</x:v>
      </x:c>
      <x:c r="H346" s="11" t="n">
        <x:f>O346+P346</x:f>
        <x:v>66</x:v>
      </x:c>
      <x:c r="I346" s="12" t="n">
        <x:f>IF(F346=0,"",H346/F346)</x:f>
        <x:v>1</x:v>
      </x:c>
      <x:c r="J346" s="12" t="n">
        <x:f>IF(F346=0,"",(O346+R346)/F346)</x:f>
        <x:v>0.48484848484848486</x:v>
      </x:c>
      <x:c r="K346" s="12" t="n">
        <x:f>IF(H346=0,"",O346/H346)</x:f>
        <x:v>0.48484848484848486</x:v>
      </x:c>
      <x:c r="L346" s="12" t="n">
        <x:f>IF(O346+Q346=0,"",O346/(O346+Q346))</x:f>
        <x:v>1</x:v>
      </x:c>
      <x:c r="M346" s="12" t="n">
        <x:f>IF(2*O346+P346+Q346=0,"",2*O346/(2*O346+P346+Q346))</x:f>
        <x:v>0.6530612244897959</x:v>
      </x:c>
      <x:c r="N346" s="12" t="n">
        <x:f>IF(OR(O346+Q346=0,R346+P346=0),"",(L346+R346/(R346+P346))/2)</x:f>
        <x:v>0.5</x:v>
      </x:c>
      <x:c r="O346" s="11" t="n">
        <x:v>32</x:v>
      </x:c>
      <x:c r="P346" s="11" t="n">
        <x:v>34</x:v>
      </x:c>
      <x:c r="Q346" s="11" t="n">
        <x:v>0</x:v>
      </x:c>
      <x:c r="R346" s="11" t="n">
        <x:v>0</x:v>
      </x:c>
    </x:row>
    <x:row r="347" ht="26" customHeight="1">
      <x:c r="A347" s="13" t="n">
        <x:v>46266</x:v>
      </x:c>
      <x:c r="B347" s="9" t="str">
        <x:v>共同可买</x:v>
      </x:c>
      <x:c r="C347" s="9" t="str">
        <x:v>训练窗口</x:v>
      </x:c>
      <x:c r="D347" s="9" t="str">
        <x:v>Top1</x:v>
      </x:c>
      <x:c r="E347" s="9" t="str">
        <x:v>五K原规则</x:v>
      </x:c>
      <x:c r="F347" s="11" t="n">
        <x:f>SUM(O347:R347)</x:f>
        <x:v>66</x:v>
      </x:c>
      <x:c r="G347" s="11" t="n">
        <x:v>66</x:v>
      </x:c>
      <x:c r="H347" s="11" t="n">
        <x:f>O347+P347</x:f>
        <x:v>32</x:v>
      </x:c>
      <x:c r="I347" s="12" t="n">
        <x:f>IF(F347=0,"",H347/F347)</x:f>
        <x:v>0.48484848484848486</x:v>
      </x:c>
      <x:c r="J347" s="12" t="n">
        <x:f>IF(F347=0,"",(O347+R347)/F347)</x:f>
        <x:v>0.6666666666666666</x:v>
      </x:c>
      <x:c r="K347" s="12" t="n">
        <x:f>IF(H347=0,"",O347/H347)</x:f>
        <x:v>0.65625</x:v>
      </x:c>
      <x:c r="L347" s="12" t="n">
        <x:f>IF(O347+Q347=0,"",O347/(O347+Q347))</x:f>
        <x:v>0.65625</x:v>
      </x:c>
      <x:c r="M347" s="12" t="n">
        <x:f>IF(2*O347+P347+Q347=0,"",2*O347/(2*O347+P347+Q347))</x:f>
        <x:v>0.65625</x:v>
      </x:c>
      <x:c r="N347" s="12" t="n">
        <x:f>IF(OR(O347+Q347=0,R347+P347=0),"",(L347+R347/(R347+P347))/2)</x:f>
        <x:v>0.6663602941176471</x:v>
      </x:c>
      <x:c r="O347" s="11" t="n">
        <x:v>21</x:v>
      </x:c>
      <x:c r="P347" s="11" t="n">
        <x:v>11</x:v>
      </x:c>
      <x:c r="Q347" s="11" t="n">
        <x:v>11</x:v>
      </x:c>
      <x:c r="R347" s="11" t="n">
        <x:v>23</x:v>
      </x:c>
    </x:row>
    <x:row r="348" ht="26" customHeight="1">
      <x:c r="A348" s="13" t="n">
        <x:v>46266</x:v>
      </x:c>
      <x:c r="B348" s="9" t="str">
        <x:v>共同可买</x:v>
      </x:c>
      <x:c r="C348" s="9" t="str">
        <x:v>训练窗口</x:v>
      </x:c>
      <x:c r="D348" s="9" t="str">
        <x:v>Top1</x:v>
      </x:c>
      <x:c r="E348" s="9" t="str">
        <x:v>四K沿用门槛</x:v>
      </x:c>
      <x:c r="F348" s="11" t="n">
        <x:f>SUM(O348:R348)</x:f>
        <x:v>66</x:v>
      </x:c>
      <x:c r="G348" s="11" t="n">
        <x:v>66</x:v>
      </x:c>
      <x:c r="H348" s="11" t="n">
        <x:f>O348+P348</x:f>
        <x:v>34</x:v>
      </x:c>
      <x:c r="I348" s="12" t="n">
        <x:f>IF(F348=0,"",H348/F348)</x:f>
        <x:v>0.5151515151515151</x:v>
      </x:c>
      <x:c r="J348" s="12" t="n">
        <x:f>IF(F348=0,"",(O348+R348)/F348)</x:f>
        <x:v>0.6666666666666666</x:v>
      </x:c>
      <x:c r="K348" s="12" t="n">
        <x:f>IF(H348=0,"",O348/H348)</x:f>
        <x:v>0.6470588235294118</x:v>
      </x:c>
      <x:c r="L348" s="12" t="n">
        <x:f>IF(O348+Q348=0,"",O348/(O348+Q348))</x:f>
        <x:v>0.6875</x:v>
      </x:c>
      <x:c r="M348" s="12" t="n">
        <x:f>IF(2*O348+P348+Q348=0,"",2*O348/(2*O348+P348+Q348))</x:f>
        <x:v>0.6666666666666666</x:v>
      </x:c>
      <x:c r="N348" s="12" t="n">
        <x:f>IF(OR(O348+Q348=0,R348+P348=0),"",(L348+R348/(R348+P348))/2)</x:f>
        <x:v>0.6672794117647058</x:v>
      </x:c>
      <x:c r="O348" s="11" t="n">
        <x:v>22</x:v>
      </x:c>
      <x:c r="P348" s="11" t="n">
        <x:v>12</x:v>
      </x:c>
      <x:c r="Q348" s="11" t="n">
        <x:v>10</x:v>
      </x:c>
      <x:c r="R348" s="11" t="n">
        <x:v>22</x:v>
      </x:c>
    </x:row>
    <x:row r="349" ht="26" customHeight="1">
      <x:c r="A349" s="13" t="n">
        <x:v>46266</x:v>
      </x:c>
      <x:c r="B349" s="9" t="str">
        <x:v>共同可买</x:v>
      </x:c>
      <x:c r="C349" s="9" t="str">
        <x:v>训练窗口</x:v>
      </x:c>
      <x:c r="D349" s="9" t="str">
        <x:v>Top1</x:v>
      </x:c>
      <x:c r="E349" s="9" t="str">
        <x:v>四K重选规则</x:v>
      </x:c>
      <x:c r="F349" s="11" t="n">
        <x:f>SUM(O349:R349)</x:f>
        <x:v>66</x:v>
      </x:c>
      <x:c r="G349" s="11" t="n">
        <x:v>66</x:v>
      </x:c>
      <x:c r="H349" s="11" t="n">
        <x:f>O349+P349</x:f>
        <x:v>56</x:v>
      </x:c>
      <x:c r="I349" s="12" t="n">
        <x:f>IF(F349=0,"",H349/F349)</x:f>
        <x:v>0.8484848484848485</x:v>
      </x:c>
      <x:c r="J349" s="12" t="n">
        <x:f>IF(F349=0,"",(O349+R349)/F349)</x:f>
        <x:v>0.6060606060606061</x:v>
      </x:c>
      <x:c r="K349" s="12" t="n">
        <x:f>IF(H349=0,"",O349/H349)</x:f>
        <x:v>0.5535714285714286</x:v>
      </x:c>
      <x:c r="L349" s="12" t="n">
        <x:f>IF(O349+Q349=0,"",O349/(O349+Q349))</x:f>
        <x:v>0.96875</x:v>
      </x:c>
      <x:c r="M349" s="12" t="n">
        <x:f>IF(2*O349+P349+Q349=0,"",2*O349/(2*O349+P349+Q349))</x:f>
        <x:v>0.7045454545454546</x:v>
      </x:c>
      <x:c r="N349" s="12" t="n">
        <x:f>IF(OR(O349+Q349=0,R349+P349=0),"",(L349+R349/(R349+P349))/2)</x:f>
        <x:v>0.6167279411764706</x:v>
      </x:c>
      <x:c r="O349" s="11" t="n">
        <x:v>31</x:v>
      </x:c>
      <x:c r="P349" s="11" t="n">
        <x:v>25</x:v>
      </x:c>
      <x:c r="Q349" s="11" t="n">
        <x:v>1</x:v>
      </x:c>
      <x:c r="R349" s="11" t="n">
        <x:v>9</x:v>
      </x:c>
    </x:row>
    <x:row r="350" ht="26" customHeight="1">
      <x:c r="A350" s="13" t="n">
        <x:v>46266</x:v>
      </x:c>
      <x:c r="B350" s="9" t="str">
        <x:v>共同可买</x:v>
      </x:c>
      <x:c r="C350" s="9" t="str">
        <x:v>验证窗口</x:v>
      </x:c>
      <x:c r="D350" s="9" t="str">
        <x:v>Top1</x:v>
      </x:c>
      <x:c r="E350" s="9" t="str">
        <x:v>不判形态</x:v>
      </x:c>
      <x:c r="F350" s="11" t="n">
        <x:f>SUM(O350:R350)</x:f>
        <x:v>21</x:v>
      </x:c>
      <x:c r="G350" s="11" t="n">
        <x:v>21</x:v>
      </x:c>
      <x:c r="H350" s="11" t="n">
        <x:f>O350+P350</x:f>
        <x:v>21</x:v>
      </x:c>
      <x:c r="I350" s="12" t="n">
        <x:f>IF(F350=0,"",H350/F350)</x:f>
        <x:v>1</x:v>
      </x:c>
      <x:c r="J350" s="12" t="n">
        <x:f>IF(F350=0,"",(O350+R350)/F350)</x:f>
        <x:v>0.5238095238095238</x:v>
      </x:c>
      <x:c r="K350" s="12" t="n">
        <x:f>IF(H350=0,"",O350/H350)</x:f>
        <x:v>0.5238095238095238</x:v>
      </x:c>
      <x:c r="L350" s="12" t="n">
        <x:f>IF(O350+Q350=0,"",O350/(O350+Q350))</x:f>
        <x:v>1</x:v>
      </x:c>
      <x:c r="M350" s="12" t="n">
        <x:f>IF(2*O350+P350+Q350=0,"",2*O350/(2*O350+P350+Q350))</x:f>
        <x:v>0.6875</x:v>
      </x:c>
      <x:c r="N350" s="12" t="n">
        <x:f>IF(OR(O350+Q350=0,R350+P350=0),"",(L350+R350/(R350+P350))/2)</x:f>
        <x:v>0.5</x:v>
      </x:c>
      <x:c r="O350" s="11" t="n">
        <x:v>11</x:v>
      </x:c>
      <x:c r="P350" s="11" t="n">
        <x:v>10</x:v>
      </x:c>
      <x:c r="Q350" s="11" t="n">
        <x:v>0</x:v>
      </x:c>
      <x:c r="R350" s="11" t="n">
        <x:v>0</x:v>
      </x:c>
    </x:row>
    <x:row r="351" ht="26" customHeight="1">
      <x:c r="A351" s="13" t="n">
        <x:v>46266</x:v>
      </x:c>
      <x:c r="B351" s="9" t="str">
        <x:v>共同可买</x:v>
      </x:c>
      <x:c r="C351" s="9" t="str">
        <x:v>验证窗口</x:v>
      </x:c>
      <x:c r="D351" s="9" t="str">
        <x:v>Top1</x:v>
      </x:c>
      <x:c r="E351" s="9" t="str">
        <x:v>五K原规则</x:v>
      </x:c>
      <x:c r="F351" s="11" t="n">
        <x:f>SUM(O351:R351)</x:f>
        <x:v>21</x:v>
      </x:c>
      <x:c r="G351" s="11" t="n">
        <x:v>21</x:v>
      </x:c>
      <x:c r="H351" s="11" t="n">
        <x:f>O351+P351</x:f>
        <x:v>11</x:v>
      </x:c>
      <x:c r="I351" s="12" t="n">
        <x:f>IF(F351=0,"",H351/F351)</x:f>
        <x:v>0.5238095238095238</x:v>
      </x:c>
      <x:c r="J351" s="12" t="n">
        <x:f>IF(F351=0,"",(O351+R351)/F351)</x:f>
        <x:v>0.8095238095238095</x:v>
      </x:c>
      <x:c r="K351" s="12" t="n">
        <x:f>IF(H351=0,"",O351/H351)</x:f>
        <x:v>0.8181818181818182</x:v>
      </x:c>
      <x:c r="L351" s="12" t="n">
        <x:f>IF(O351+Q351=0,"",O351/(O351+Q351))</x:f>
        <x:v>0.8181818181818182</x:v>
      </x:c>
      <x:c r="M351" s="12" t="n">
        <x:f>IF(2*O351+P351+Q351=0,"",2*O351/(2*O351+P351+Q351))</x:f>
        <x:v>0.8181818181818182</x:v>
      </x:c>
      <x:c r="N351" s="12" t="n">
        <x:f>IF(OR(O351+Q351=0,R351+P351=0),"",(L351+R351/(R351+P351))/2)</x:f>
        <x:v>0.8090909090909091</x:v>
      </x:c>
      <x:c r="O351" s="11" t="n">
        <x:v>9</x:v>
      </x:c>
      <x:c r="P351" s="11" t="n">
        <x:v>2</x:v>
      </x:c>
      <x:c r="Q351" s="11" t="n">
        <x:v>2</x:v>
      </x:c>
      <x:c r="R351" s="11" t="n">
        <x:v>8</x:v>
      </x:c>
    </x:row>
    <x:row r="352" ht="26" customHeight="1">
      <x:c r="A352" s="13" t="n">
        <x:v>46266</x:v>
      </x:c>
      <x:c r="B352" s="9" t="str">
        <x:v>共同可买</x:v>
      </x:c>
      <x:c r="C352" s="9" t="str">
        <x:v>验证窗口</x:v>
      </x:c>
      <x:c r="D352" s="9" t="str">
        <x:v>Top1</x:v>
      </x:c>
      <x:c r="E352" s="9" t="str">
        <x:v>四K沿用门槛</x:v>
      </x:c>
      <x:c r="F352" s="11" t="n">
        <x:f>SUM(O352:R352)</x:f>
        <x:v>21</x:v>
      </x:c>
      <x:c r="G352" s="11" t="n">
        <x:v>21</x:v>
      </x:c>
      <x:c r="H352" s="11" t="n">
        <x:f>O352+P352</x:f>
        <x:v>12</x:v>
      </x:c>
      <x:c r="I352" s="12" t="n">
        <x:f>IF(F352=0,"",H352/F352)</x:f>
        <x:v>0.5714285714285714</x:v>
      </x:c>
      <x:c r="J352" s="12" t="n">
        <x:f>IF(F352=0,"",(O352+R352)/F352)</x:f>
        <x:v>0.8571428571428571</x:v>
      </x:c>
      <x:c r="K352" s="12" t="n">
        <x:f>IF(H352=0,"",O352/H352)</x:f>
        <x:v>0.8333333333333334</x:v>
      </x:c>
      <x:c r="L352" s="12" t="n">
        <x:f>IF(O352+Q352=0,"",O352/(O352+Q352))</x:f>
        <x:v>0.9090909090909091</x:v>
      </x:c>
      <x:c r="M352" s="12" t="n">
        <x:f>IF(2*O352+P352+Q352=0,"",2*O352/(2*O352+P352+Q352))</x:f>
        <x:v>0.8695652173913043</x:v>
      </x:c>
      <x:c r="N352" s="12" t="n">
        <x:f>IF(OR(O352+Q352=0,R352+P352=0),"",(L352+R352/(R352+P352))/2)</x:f>
        <x:v>0.8545454545454545</x:v>
      </x:c>
      <x:c r="O352" s="11" t="n">
        <x:v>10</x:v>
      </x:c>
      <x:c r="P352" s="11" t="n">
        <x:v>2</x:v>
      </x:c>
      <x:c r="Q352" s="11" t="n">
        <x:v>1</x:v>
      </x:c>
      <x:c r="R352" s="11" t="n">
        <x:v>8</x:v>
      </x:c>
    </x:row>
    <x:row r="353" ht="26" customHeight="1">
      <x:c r="A353" s="13" t="n">
        <x:v>46266</x:v>
      </x:c>
      <x:c r="B353" s="9" t="str">
        <x:v>共同可买</x:v>
      </x:c>
      <x:c r="C353" s="9" t="str">
        <x:v>验证窗口</x:v>
      </x:c>
      <x:c r="D353" s="9" t="str">
        <x:v>Top1</x:v>
      </x:c>
      <x:c r="E353" s="9" t="str">
        <x:v>四K重选规则</x:v>
      </x:c>
      <x:c r="F353" s="11" t="n">
        <x:f>SUM(O353:R353)</x:f>
        <x:v>21</x:v>
      </x:c>
      <x:c r="G353" s="11" t="n">
        <x:v>21</x:v>
      </x:c>
      <x:c r="H353" s="11" t="n">
        <x:f>O353+P353</x:f>
        <x:v>17</x:v>
      </x:c>
      <x:c r="I353" s="12" t="n">
        <x:f>IF(F353=0,"",H353/F353)</x:f>
        <x:v>0.8095238095238095</x:v>
      </x:c>
      <x:c r="J353" s="12" t="n">
        <x:f>IF(F353=0,"",(O353+R353)/F353)</x:f>
        <x:v>0.7142857142857143</x:v>
      </x:c>
      <x:c r="K353" s="12" t="n">
        <x:f>IF(H353=0,"",O353/H353)</x:f>
        <x:v>0.6470588235294118</x:v>
      </x:c>
      <x:c r="L353" s="12" t="n">
        <x:f>IF(O353+Q353=0,"",O353/(O353+Q353))</x:f>
        <x:v>1</x:v>
      </x:c>
      <x:c r="M353" s="12" t="n">
        <x:f>IF(2*O353+P353+Q353=0,"",2*O353/(2*O353+P353+Q353))</x:f>
        <x:v>0.7857142857142857</x:v>
      </x:c>
      <x:c r="N353" s="12" t="n">
        <x:f>IF(OR(O353+Q353=0,R353+P353=0),"",(L353+R353/(R353+P353))/2)</x:f>
        <x:v>0.7</x:v>
      </x:c>
      <x:c r="O353" s="11" t="n">
        <x:v>11</x:v>
      </x:c>
      <x:c r="P353" s="11" t="n">
        <x:v>6</x:v>
      </x:c>
      <x:c r="Q353" s="11" t="n">
        <x:v>0</x:v>
      </x:c>
      <x:c r="R353" s="11" t="n">
        <x:v>4</x:v>
      </x:c>
    </x:row>
    <x:row r="354" ht="26" customHeight="1">
      <x:c r="A354" s="13" t="n">
        <x:v>46296</x:v>
      </x:c>
      <x:c r="B354" s="9" t="str">
        <x:v>共同可买</x:v>
      </x:c>
      <x:c r="C354" s="9" t="str">
        <x:v>测试</x:v>
      </x:c>
      <x:c r="D354" s="9" t="str">
        <x:v>Top1</x:v>
      </x:c>
      <x:c r="E354" s="9" t="str">
        <x:v>不判形态</x:v>
      </x:c>
      <x:c r="F354" s="11" t="n">
        <x:f>SUM(O354:R354)</x:f>
        <x:v>1</x:v>
      </x:c>
      <x:c r="G354" s="11" t="n">
        <x:v>1</x:v>
      </x:c>
      <x:c r="H354" s="11" t="n">
        <x:f>O354+P354</x:f>
        <x:v>1</x:v>
      </x:c>
      <x:c r="I354" s="12" t="n">
        <x:f>IF(F354=0,"",H354/F354)</x:f>
        <x:v>1</x:v>
      </x:c>
      <x:c r="J354" s="12" t="n">
        <x:f>IF(F354=0,"",(O354+R354)/F354)</x:f>
        <x:v>1</x:v>
      </x:c>
      <x:c r="K354" s="12" t="n">
        <x:f>IF(H354=0,"",O354/H354)</x:f>
        <x:v>1</x:v>
      </x:c>
      <x:c r="L354" s="12" t="n">
        <x:f>IF(O354+Q354=0,"",O354/(O354+Q354))</x:f>
        <x:v>1</x:v>
      </x:c>
      <x:c r="M354" s="12" t="n">
        <x:f>IF(2*O354+P354+Q354=0,"",2*O354/(2*O354+P354+Q354))</x:f>
        <x:v>1</x:v>
      </x:c>
      <x:c r="N354" s="12" t="str">
        <x:f>IF(OR(O354+Q354=0,R354+P354=0),"",(L354+R354/(R354+P354))/2)</x:f>
      </x:c>
      <x:c r="O354" s="11" t="n">
        <x:v>1</x:v>
      </x:c>
      <x:c r="P354" s="11" t="n">
        <x:v>0</x:v>
      </x:c>
      <x:c r="Q354" s="11" t="n">
        <x:v>0</x:v>
      </x:c>
      <x:c r="R354" s="11" t="n">
        <x:v>0</x:v>
      </x:c>
    </x:row>
    <x:row r="355" ht="26" customHeight="1">
      <x:c r="A355" s="13" t="n">
        <x:v>46296</x:v>
      </x:c>
      <x:c r="B355" s="9" t="str">
        <x:v>共同可买</x:v>
      </x:c>
      <x:c r="C355" s="9" t="str">
        <x:v>测试</x:v>
      </x:c>
      <x:c r="D355" s="9" t="str">
        <x:v>Top1</x:v>
      </x:c>
      <x:c r="E355" s="9" t="str">
        <x:v>五K原规则</x:v>
      </x:c>
      <x:c r="F355" s="11" t="n">
        <x:f>SUM(O355:R355)</x:f>
        <x:v>1</x:v>
      </x:c>
      <x:c r="G355" s="11" t="n">
        <x:v>1</x:v>
      </x:c>
      <x:c r="H355" s="11" t="n">
        <x:f>O355+P355</x:f>
        <x:v>1</x:v>
      </x:c>
      <x:c r="I355" s="12" t="n">
        <x:f>IF(F355=0,"",H355/F355)</x:f>
        <x:v>1</x:v>
      </x:c>
      <x:c r="J355" s="12" t="n">
        <x:f>IF(F355=0,"",(O355+R355)/F355)</x:f>
        <x:v>1</x:v>
      </x:c>
      <x:c r="K355" s="12" t="n">
        <x:f>IF(H355=0,"",O355/H355)</x:f>
        <x:v>1</x:v>
      </x:c>
      <x:c r="L355" s="12" t="n">
        <x:f>IF(O355+Q355=0,"",O355/(O355+Q355))</x:f>
        <x:v>1</x:v>
      </x:c>
      <x:c r="M355" s="12" t="n">
        <x:f>IF(2*O355+P355+Q355=0,"",2*O355/(2*O355+P355+Q355))</x:f>
        <x:v>1</x:v>
      </x:c>
      <x:c r="N355" s="12" t="str">
        <x:f>IF(OR(O355+Q355=0,R355+P355=0),"",(L355+R355/(R355+P355))/2)</x:f>
      </x:c>
      <x:c r="O355" s="11" t="n">
        <x:v>1</x:v>
      </x:c>
      <x:c r="P355" s="11" t="n">
        <x:v>0</x:v>
      </x:c>
      <x:c r="Q355" s="11" t="n">
        <x:v>0</x:v>
      </x:c>
      <x:c r="R355" s="11" t="n">
        <x:v>0</x:v>
      </x:c>
    </x:row>
    <x:row r="356" ht="26" customHeight="1">
      <x:c r="A356" s="13" t="n">
        <x:v>46296</x:v>
      </x:c>
      <x:c r="B356" s="9" t="str">
        <x:v>共同可买</x:v>
      </x:c>
      <x:c r="C356" s="9" t="str">
        <x:v>测试</x:v>
      </x:c>
      <x:c r="D356" s="9" t="str">
        <x:v>Top1</x:v>
      </x:c>
      <x:c r="E356" s="9" t="str">
        <x:v>四K沿用门槛</x:v>
      </x:c>
      <x:c r="F356" s="11" t="n">
        <x:f>SUM(O356:R356)</x:f>
        <x:v>1</x:v>
      </x:c>
      <x:c r="G356" s="11" t="n">
        <x:v>1</x:v>
      </x:c>
      <x:c r="H356" s="11" t="n">
        <x:f>O356+P356</x:f>
        <x:v>1</x:v>
      </x:c>
      <x:c r="I356" s="12" t="n">
        <x:f>IF(F356=0,"",H356/F356)</x:f>
        <x:v>1</x:v>
      </x:c>
      <x:c r="J356" s="12" t="n">
        <x:f>IF(F356=0,"",(O356+R356)/F356)</x:f>
        <x:v>1</x:v>
      </x:c>
      <x:c r="K356" s="12" t="n">
        <x:f>IF(H356=0,"",O356/H356)</x:f>
        <x:v>1</x:v>
      </x:c>
      <x:c r="L356" s="12" t="n">
        <x:f>IF(O356+Q356=0,"",O356/(O356+Q356))</x:f>
        <x:v>1</x:v>
      </x:c>
      <x:c r="M356" s="12" t="n">
        <x:f>IF(2*O356+P356+Q356=0,"",2*O356/(2*O356+P356+Q356))</x:f>
        <x:v>1</x:v>
      </x:c>
      <x:c r="N356" s="12" t="str">
        <x:f>IF(OR(O356+Q356=0,R356+P356=0),"",(L356+R356/(R356+P356))/2)</x:f>
      </x:c>
      <x:c r="O356" s="11" t="n">
        <x:v>1</x:v>
      </x:c>
      <x:c r="P356" s="11" t="n">
        <x:v>0</x:v>
      </x:c>
      <x:c r="Q356" s="11" t="n">
        <x:v>0</x:v>
      </x:c>
      <x:c r="R356" s="11" t="n">
        <x:v>0</x:v>
      </x:c>
    </x:row>
    <x:row r="357" ht="26" customHeight="1">
      <x:c r="A357" s="13" t="n">
        <x:v>46296</x:v>
      </x:c>
      <x:c r="B357" s="9" t="str">
        <x:v>共同可买</x:v>
      </x:c>
      <x:c r="C357" s="9" t="str">
        <x:v>测试</x:v>
      </x:c>
      <x:c r="D357" s="9" t="str">
        <x:v>Top1</x:v>
      </x:c>
      <x:c r="E357" s="9" t="str">
        <x:v>四K重选规则</x:v>
      </x:c>
      <x:c r="F357" s="11" t="n">
        <x:f>SUM(O357:R357)</x:f>
        <x:v>1</x:v>
      </x:c>
      <x:c r="G357" s="11" t="n">
        <x:v>1</x:v>
      </x:c>
      <x:c r="H357" s="11" t="n">
        <x:f>O357+P357</x:f>
        <x:v>1</x:v>
      </x:c>
      <x:c r="I357" s="12" t="n">
        <x:f>IF(F357=0,"",H357/F357)</x:f>
        <x:v>1</x:v>
      </x:c>
      <x:c r="J357" s="12" t="n">
        <x:f>IF(F357=0,"",(O357+R357)/F357)</x:f>
        <x:v>1</x:v>
      </x:c>
      <x:c r="K357" s="12" t="n">
        <x:f>IF(H357=0,"",O357/H357)</x:f>
        <x:v>1</x:v>
      </x:c>
      <x:c r="L357" s="12" t="n">
        <x:f>IF(O357+Q357=0,"",O357/(O357+Q357))</x:f>
        <x:v>1</x:v>
      </x:c>
      <x:c r="M357" s="12" t="n">
        <x:f>IF(2*O357+P357+Q357=0,"",2*O357/(2*O357+P357+Q357))</x:f>
        <x:v>1</x:v>
      </x:c>
      <x:c r="N357" s="12" t="str">
        <x:f>IF(OR(O357+Q357=0,R357+P357=0),"",(L357+R357/(R357+P357))/2)</x:f>
      </x:c>
      <x:c r="O357" s="11" t="n">
        <x:v>1</x:v>
      </x:c>
      <x:c r="P357" s="11" t="n">
        <x:v>0</x:v>
      </x:c>
      <x:c r="Q357" s="11" t="n">
        <x:v>0</x:v>
      </x:c>
      <x:c r="R357" s="11" t="n">
        <x:v>0</x:v>
      </x:c>
    </x:row>
    <x:row r="358" ht="26" customHeight="1">
      <x:c r="A358" s="13" t="n">
        <x:v>46296</x:v>
      </x:c>
      <x:c r="B358" s="9" t="str">
        <x:v>共同可买</x:v>
      </x:c>
      <x:c r="C358" s="9" t="str">
        <x:v>训练窗口</x:v>
      </x:c>
      <x:c r="D358" s="9" t="str">
        <x:v>Top1</x:v>
      </x:c>
      <x:c r="E358" s="9" t="str">
        <x:v>不判形态</x:v>
      </x:c>
      <x:c r="F358" s="11" t="n">
        <x:f>SUM(O358:R358)</x:f>
        <x:v>61</x:v>
      </x:c>
      <x:c r="G358" s="11" t="n">
        <x:v>61</x:v>
      </x:c>
      <x:c r="H358" s="11" t="n">
        <x:f>O358+P358</x:f>
        <x:v>61</x:v>
      </x:c>
      <x:c r="I358" s="12" t="n">
        <x:f>IF(F358=0,"",H358/F358)</x:f>
        <x:v>1</x:v>
      </x:c>
      <x:c r="J358" s="12" t="n">
        <x:f>IF(F358=0,"",(O358+R358)/F358)</x:f>
        <x:v>0.4262295081967213</x:v>
      </x:c>
      <x:c r="K358" s="12" t="n">
        <x:f>IF(H358=0,"",O358/H358)</x:f>
        <x:v>0.4262295081967213</x:v>
      </x:c>
      <x:c r="L358" s="12" t="n">
        <x:f>IF(O358+Q358=0,"",O358/(O358+Q358))</x:f>
        <x:v>1</x:v>
      </x:c>
      <x:c r="M358" s="12" t="n">
        <x:f>IF(2*O358+P358+Q358=0,"",2*O358/(2*O358+P358+Q358))</x:f>
        <x:v>0.5977011494252874</x:v>
      </x:c>
      <x:c r="N358" s="12" t="n">
        <x:f>IF(OR(O358+Q358=0,R358+P358=0),"",(L358+R358/(R358+P358))/2)</x:f>
        <x:v>0.5</x:v>
      </x:c>
      <x:c r="O358" s="11" t="n">
        <x:v>26</x:v>
      </x:c>
      <x:c r="P358" s="11" t="n">
        <x:v>35</x:v>
      </x:c>
      <x:c r="Q358" s="11" t="n">
        <x:v>0</x:v>
      </x:c>
      <x:c r="R358" s="11" t="n">
        <x:v>0</x:v>
      </x:c>
    </x:row>
    <x:row r="359" ht="26" customHeight="1">
      <x:c r="A359" s="13" t="n">
        <x:v>46296</x:v>
      </x:c>
      <x:c r="B359" s="9" t="str">
        <x:v>共同可买</x:v>
      </x:c>
      <x:c r="C359" s="9" t="str">
        <x:v>训练窗口</x:v>
      </x:c>
      <x:c r="D359" s="9" t="str">
        <x:v>Top1</x:v>
      </x:c>
      <x:c r="E359" s="9" t="str">
        <x:v>五K原规则</x:v>
      </x:c>
      <x:c r="F359" s="11" t="n">
        <x:f>SUM(O359:R359)</x:f>
        <x:v>61</x:v>
      </x:c>
      <x:c r="G359" s="11" t="n">
        <x:v>61</x:v>
      </x:c>
      <x:c r="H359" s="11" t="n">
        <x:f>O359+P359</x:f>
        <x:v>33</x:v>
      </x:c>
      <x:c r="I359" s="12" t="n">
        <x:f>IF(F359=0,"",H359/F359)</x:f>
        <x:v>0.5409836065573771</x:v>
      </x:c>
      <x:c r="J359" s="12" t="n">
        <x:f>IF(F359=0,"",(O359+R359)/F359)</x:f>
        <x:v>0.6229508196721312</x:v>
      </x:c>
      <x:c r="K359" s="12" t="n">
        <x:f>IF(H359=0,"",O359/H359)</x:f>
        <x:v>0.5454545454545454</x:v>
      </x:c>
      <x:c r="L359" s="12" t="n">
        <x:f>IF(O359+Q359=0,"",O359/(O359+Q359))</x:f>
        <x:v>0.6923076923076923</x:v>
      </x:c>
      <x:c r="M359" s="12" t="n">
        <x:f>IF(2*O359+P359+Q359=0,"",2*O359/(2*O359+P359+Q359))</x:f>
        <x:v>0.6101694915254238</x:v>
      </x:c>
      <x:c r="N359" s="12" t="n">
        <x:f>IF(OR(O359+Q359=0,R359+P359=0),"",(L359+R359/(R359+P359))/2)</x:f>
        <x:v>0.6318681318681318</x:v>
      </x:c>
      <x:c r="O359" s="11" t="n">
        <x:v>18</x:v>
      </x:c>
      <x:c r="P359" s="11" t="n">
        <x:v>15</x:v>
      </x:c>
      <x:c r="Q359" s="11" t="n">
        <x:v>8</x:v>
      </x:c>
      <x:c r="R359" s="11" t="n">
        <x:v>20</x:v>
      </x:c>
    </x:row>
    <x:row r="360" ht="26" customHeight="1">
      <x:c r="A360" s="13" t="n">
        <x:v>46296</x:v>
      </x:c>
      <x:c r="B360" s="9" t="str">
        <x:v>共同可买</x:v>
      </x:c>
      <x:c r="C360" s="9" t="str">
        <x:v>训练窗口</x:v>
      </x:c>
      <x:c r="D360" s="9" t="str">
        <x:v>Top1</x:v>
      </x:c>
      <x:c r="E360" s="9" t="str">
        <x:v>四K沿用门槛</x:v>
      </x:c>
      <x:c r="F360" s="11" t="n">
        <x:f>SUM(O360:R360)</x:f>
        <x:v>61</x:v>
      </x:c>
      <x:c r="G360" s="11" t="n">
        <x:v>61</x:v>
      </x:c>
      <x:c r="H360" s="11" t="n">
        <x:f>O360+P360</x:f>
        <x:v>35</x:v>
      </x:c>
      <x:c r="I360" s="12" t="n">
        <x:f>IF(F360=0,"",H360/F360)</x:f>
        <x:v>0.5737704918032787</x:v>
      </x:c>
      <x:c r="J360" s="12" t="n">
        <x:f>IF(F360=0,"",(O360+R360)/F360)</x:f>
        <x:v>0.5901639344262295</x:v>
      </x:c>
      <x:c r="K360" s="12" t="n">
        <x:f>IF(H360=0,"",O360/H360)</x:f>
        <x:v>0.5142857142857142</x:v>
      </x:c>
      <x:c r="L360" s="12" t="n">
        <x:f>IF(O360+Q360=0,"",O360/(O360+Q360))</x:f>
        <x:v>0.6923076923076923</x:v>
      </x:c>
      <x:c r="M360" s="12" t="n">
        <x:f>IF(2*O360+P360+Q360=0,"",2*O360/(2*O360+P360+Q360))</x:f>
        <x:v>0.5901639344262295</x:v>
      </x:c>
      <x:c r="N360" s="12" t="n">
        <x:f>IF(OR(O360+Q360=0,R360+P360=0),"",(L360+R360/(R360+P360))/2)</x:f>
        <x:v>0.6032967032967033</x:v>
      </x:c>
      <x:c r="O360" s="11" t="n">
        <x:v>18</x:v>
      </x:c>
      <x:c r="P360" s="11" t="n">
        <x:v>17</x:v>
      </x:c>
      <x:c r="Q360" s="11" t="n">
        <x:v>8</x:v>
      </x:c>
      <x:c r="R360" s="11" t="n">
        <x:v>18</x:v>
      </x:c>
    </x:row>
    <x:row r="361" ht="26" customHeight="1">
      <x:c r="A361" s="13" t="n">
        <x:v>46296</x:v>
      </x:c>
      <x:c r="B361" s="9" t="str">
        <x:v>共同可买</x:v>
      </x:c>
      <x:c r="C361" s="9" t="str">
        <x:v>训练窗口</x:v>
      </x:c>
      <x:c r="D361" s="9" t="str">
        <x:v>Top1</x:v>
      </x:c>
      <x:c r="E361" s="9" t="str">
        <x:v>四K重选规则</x:v>
      </x:c>
      <x:c r="F361" s="11" t="n">
        <x:f>SUM(O361:R361)</x:f>
        <x:v>61</x:v>
      </x:c>
      <x:c r="G361" s="11" t="n">
        <x:v>61</x:v>
      </x:c>
      <x:c r="H361" s="11" t="n">
        <x:f>O361+P361</x:f>
        <x:v>27</x:v>
      </x:c>
      <x:c r="I361" s="12" t="n">
        <x:f>IF(F361=0,"",H361/F361)</x:f>
        <x:v>0.4426229508196721</x:v>
      </x:c>
      <x:c r="J361" s="12" t="n">
        <x:f>IF(F361=0,"",(O361+R361)/F361)</x:f>
        <x:v>0.6229508196721312</x:v>
      </x:c>
      <x:c r="K361" s="12" t="n">
        <x:f>IF(H361=0,"",O361/H361)</x:f>
        <x:v>0.5555555555555556</x:v>
      </x:c>
      <x:c r="L361" s="12" t="n">
        <x:f>IF(O361+Q361=0,"",O361/(O361+Q361))</x:f>
        <x:v>0.5769230769230769</x:v>
      </x:c>
      <x:c r="M361" s="12" t="n">
        <x:f>IF(2*O361+P361+Q361=0,"",2*O361/(2*O361+P361+Q361))</x:f>
        <x:v>0.5660377358490566</x:v>
      </x:c>
      <x:c r="N361" s="12" t="n">
        <x:f>IF(OR(O361+Q361=0,R361+P361=0),"",(L361+R361/(R361+P361))/2)</x:f>
        <x:v>0.6170329670329671</x:v>
      </x:c>
      <x:c r="O361" s="11" t="n">
        <x:v>15</x:v>
      </x:c>
      <x:c r="P361" s="11" t="n">
        <x:v>12</x:v>
      </x:c>
      <x:c r="Q361" s="11" t="n">
        <x:v>11</x:v>
      </x:c>
      <x:c r="R361" s="11" t="n">
        <x:v>23</x:v>
      </x:c>
    </x:row>
    <x:row r="362" ht="26" customHeight="1">
      <x:c r="A362" s="13" t="n">
        <x:v>46296</x:v>
      </x:c>
      <x:c r="B362" s="9" t="str">
        <x:v>共同可买</x:v>
      </x:c>
      <x:c r="C362" s="9" t="str">
        <x:v>验证窗口</x:v>
      </x:c>
      <x:c r="D362" s="9" t="str">
        <x:v>Top1</x:v>
      </x:c>
      <x:c r="E362" s="9" t="str">
        <x:v>不判形态</x:v>
      </x:c>
      <x:c r="F362" s="11" t="n">
        <x:f>SUM(O362:R362)</x:f>
        <x:v>20</x:v>
      </x:c>
      <x:c r="G362" s="11" t="n">
        <x:v>20</x:v>
      </x:c>
      <x:c r="H362" s="11" t="n">
        <x:f>O362+P362</x:f>
        <x:v>20</x:v>
      </x:c>
      <x:c r="I362" s="12" t="n">
        <x:f>IF(F362=0,"",H362/F362)</x:f>
        <x:v>1</x:v>
      </x:c>
      <x:c r="J362" s="12" t="n">
        <x:f>IF(F362=0,"",(O362+R362)/F362)</x:f>
        <x:v>0.35</x:v>
      </x:c>
      <x:c r="K362" s="12" t="n">
        <x:f>IF(H362=0,"",O362/H362)</x:f>
        <x:v>0.35</x:v>
      </x:c>
      <x:c r="L362" s="12" t="n">
        <x:f>IF(O362+Q362=0,"",O362/(O362+Q362))</x:f>
        <x:v>1</x:v>
      </x:c>
      <x:c r="M362" s="12" t="n">
        <x:f>IF(2*O362+P362+Q362=0,"",2*O362/(2*O362+P362+Q362))</x:f>
        <x:v>0.5185185185185185</x:v>
      </x:c>
      <x:c r="N362" s="12" t="n">
        <x:f>IF(OR(O362+Q362=0,R362+P362=0),"",(L362+R362/(R362+P362))/2)</x:f>
        <x:v>0.5</x:v>
      </x:c>
      <x:c r="O362" s="11" t="n">
        <x:v>7</x:v>
      </x:c>
      <x:c r="P362" s="11" t="n">
        <x:v>13</x:v>
      </x:c>
      <x:c r="Q362" s="11" t="n">
        <x:v>0</x:v>
      </x:c>
      <x:c r="R362" s="11" t="n">
        <x:v>0</x:v>
      </x:c>
    </x:row>
    <x:row r="363" ht="26" customHeight="1">
      <x:c r="A363" s="13" t="n">
        <x:v>46296</x:v>
      </x:c>
      <x:c r="B363" s="9" t="str">
        <x:v>共同可买</x:v>
      </x:c>
      <x:c r="C363" s="9" t="str">
        <x:v>验证窗口</x:v>
      </x:c>
      <x:c r="D363" s="9" t="str">
        <x:v>Top1</x:v>
      </x:c>
      <x:c r="E363" s="9" t="str">
        <x:v>五K原规则</x:v>
      </x:c>
      <x:c r="F363" s="11" t="n">
        <x:f>SUM(O363:R363)</x:f>
        <x:v>20</x:v>
      </x:c>
      <x:c r="G363" s="11" t="n">
        <x:v>20</x:v>
      </x:c>
      <x:c r="H363" s="11" t="n">
        <x:f>O363+P363</x:f>
        <x:v>10</x:v>
      </x:c>
      <x:c r="I363" s="12" t="n">
        <x:f>IF(F363=0,"",H363/F363)</x:f>
        <x:v>0.5</x:v>
      </x:c>
      <x:c r="J363" s="12" t="n">
        <x:f>IF(F363=0,"",(O363+R363)/F363)</x:f>
        <x:v>0.65</x:v>
      </x:c>
      <x:c r="K363" s="12" t="n">
        <x:f>IF(H363=0,"",O363/H363)</x:f>
        <x:v>0.5</x:v>
      </x:c>
      <x:c r="L363" s="12" t="n">
        <x:f>IF(O363+Q363=0,"",O363/(O363+Q363))</x:f>
        <x:v>0.7142857142857143</x:v>
      </x:c>
      <x:c r="M363" s="12" t="n">
        <x:f>IF(2*O363+P363+Q363=0,"",2*O363/(2*O363+P363+Q363))</x:f>
        <x:v>0.5882352941176471</x:v>
      </x:c>
      <x:c r="N363" s="12" t="n">
        <x:f>IF(OR(O363+Q363=0,R363+P363=0),"",(L363+R363/(R363+P363))/2)</x:f>
        <x:v>0.6648351648351649</x:v>
      </x:c>
      <x:c r="O363" s="11" t="n">
        <x:v>5</x:v>
      </x:c>
      <x:c r="P363" s="11" t="n">
        <x:v>5</x:v>
      </x:c>
      <x:c r="Q363" s="11" t="n">
        <x:v>2</x:v>
      </x:c>
      <x:c r="R363" s="11" t="n">
        <x:v>8</x:v>
      </x:c>
    </x:row>
    <x:row r="364" ht="26" customHeight="1">
      <x:c r="A364" s="13" t="n">
        <x:v>46296</x:v>
      </x:c>
      <x:c r="B364" s="9" t="str">
        <x:v>共同可买</x:v>
      </x:c>
      <x:c r="C364" s="9" t="str">
        <x:v>验证窗口</x:v>
      </x:c>
      <x:c r="D364" s="9" t="str">
        <x:v>Top1</x:v>
      </x:c>
      <x:c r="E364" s="9" t="str">
        <x:v>四K沿用门槛</x:v>
      </x:c>
      <x:c r="F364" s="11" t="n">
        <x:f>SUM(O364:R364)</x:f>
        <x:v>20</x:v>
      </x:c>
      <x:c r="G364" s="11" t="n">
        <x:v>20</x:v>
      </x:c>
      <x:c r="H364" s="11" t="n">
        <x:f>O364+P364</x:f>
        <x:v>11</x:v>
      </x:c>
      <x:c r="I364" s="12" t="n">
        <x:f>IF(F364=0,"",H364/F364)</x:f>
        <x:v>0.55</x:v>
      </x:c>
      <x:c r="J364" s="12" t="n">
        <x:f>IF(F364=0,"",(O364+R364)/F364)</x:f>
        <x:v>0.5</x:v>
      </x:c>
      <x:c r="K364" s="12" t="n">
        <x:f>IF(H364=0,"",O364/H364)</x:f>
        <x:v>0.36363636363636365</x:v>
      </x:c>
      <x:c r="L364" s="12" t="n">
        <x:f>IF(O364+Q364=0,"",O364/(O364+Q364))</x:f>
        <x:v>0.5714285714285714</x:v>
      </x:c>
      <x:c r="M364" s="12" t="n">
        <x:f>IF(2*O364+P364+Q364=0,"",2*O364/(2*O364+P364+Q364))</x:f>
        <x:v>0.4444444444444444</x:v>
      </x:c>
      <x:c r="N364" s="12" t="n">
        <x:f>IF(OR(O364+Q364=0,R364+P364=0),"",(L364+R364/(R364+P364))/2)</x:f>
        <x:v>0.5164835164835164</x:v>
      </x:c>
      <x:c r="O364" s="11" t="n">
        <x:v>4</x:v>
      </x:c>
      <x:c r="P364" s="11" t="n">
        <x:v>7</x:v>
      </x:c>
      <x:c r="Q364" s="11" t="n">
        <x:v>3</x:v>
      </x:c>
      <x:c r="R364" s="11" t="n">
        <x:v>6</x:v>
      </x:c>
    </x:row>
    <x:row r="365" ht="26" customHeight="1">
      <x:c r="A365" s="13" t="n">
        <x:v>46296</x:v>
      </x:c>
      <x:c r="B365" s="9" t="str">
        <x:v>共同可买</x:v>
      </x:c>
      <x:c r="C365" s="9" t="str">
        <x:v>验证窗口</x:v>
      </x:c>
      <x:c r="D365" s="9" t="str">
        <x:v>Top1</x:v>
      </x:c>
      <x:c r="E365" s="9" t="str">
        <x:v>四K重选规则</x:v>
      </x:c>
      <x:c r="F365" s="11" t="n">
        <x:f>SUM(O365:R365)</x:f>
        <x:v>20</x:v>
      </x:c>
      <x:c r="G365" s="11" t="n">
        <x:v>20</x:v>
      </x:c>
      <x:c r="H365" s="11" t="n">
        <x:f>O365+P365</x:f>
        <x:v>9</x:v>
      </x:c>
      <x:c r="I365" s="12" t="n">
        <x:f>IF(F365=0,"",H365/F365)</x:f>
        <x:v>0.45</x:v>
      </x:c>
      <x:c r="J365" s="12" t="n">
        <x:f>IF(F365=0,"",(O365+R365)/F365)</x:f>
        <x:v>0.7</x:v>
      </x:c>
      <x:c r="K365" s="12" t="n">
        <x:f>IF(H365=0,"",O365/H365)</x:f>
        <x:v>0.5555555555555556</x:v>
      </x:c>
      <x:c r="L365" s="12" t="n">
        <x:f>IF(O365+Q365=0,"",O365/(O365+Q365))</x:f>
        <x:v>0.7142857142857143</x:v>
      </x:c>
      <x:c r="M365" s="12" t="n">
        <x:f>IF(2*O365+P365+Q365=0,"",2*O365/(2*O365+P365+Q365))</x:f>
        <x:v>0.625</x:v>
      </x:c>
      <x:c r="N365" s="12" t="n">
        <x:f>IF(OR(O365+Q365=0,R365+P365=0),"",(L365+R365/(R365+P365))/2)</x:f>
        <x:v>0.7032967032967032</x:v>
      </x:c>
      <x:c r="O365" s="11" t="n">
        <x:v>5</x:v>
      </x:c>
      <x:c r="P365" s="11" t="n">
        <x:v>4</x:v>
      </x:c>
      <x:c r="Q365" s="11" t="n">
        <x:v>2</x:v>
      </x:c>
      <x:c r="R365" s="11" t="n">
        <x:v>9</x:v>
      </x:c>
    </x:row>
    <x:row r="366" ht="26" customHeight="1">
      <x:c r="A366" s="13" t="n">
        <x:v>46023</x:v>
      </x:c>
      <x:c r="B366" s="9" t="str">
        <x:v>共同可买</x:v>
      </x:c>
      <x:c r="C366" s="9" t="str">
        <x:v>测试</x:v>
      </x:c>
      <x:c r="D366" s="9" t="str">
        <x:v>Top3</x:v>
      </x:c>
      <x:c r="E366" s="9" t="str">
        <x:v>不判形态</x:v>
      </x:c>
      <x:c r="F366" s="11" t="n">
        <x:f>SUM(O366:R366)</x:f>
        <x:v>42</x:v>
      </x:c>
      <x:c r="G366" s="11" t="n">
        <x:v>42</x:v>
      </x:c>
      <x:c r="H366" s="11" t="n">
        <x:f>O366+P366</x:f>
        <x:v>42</x:v>
      </x:c>
      <x:c r="I366" s="12" t="n">
        <x:f>IF(F366=0,"",H366/F366)</x:f>
        <x:v>1</x:v>
      </x:c>
      <x:c r="J366" s="12" t="n">
        <x:f>IF(F366=0,"",(O366+R366)/F366)</x:f>
        <x:v>0.47619047619047616</x:v>
      </x:c>
      <x:c r="K366" s="12" t="n">
        <x:f>IF(H366=0,"",O366/H366)</x:f>
        <x:v>0.47619047619047616</x:v>
      </x:c>
      <x:c r="L366" s="12" t="n">
        <x:f>IF(O366+Q366=0,"",O366/(O366+Q366))</x:f>
        <x:v>1</x:v>
      </x:c>
      <x:c r="M366" s="12" t="n">
        <x:f>IF(2*O366+P366+Q366=0,"",2*O366/(2*O366+P366+Q366))</x:f>
        <x:v>0.6451612903225806</x:v>
      </x:c>
      <x:c r="N366" s="12" t="n">
        <x:f>IF(OR(O366+Q366=0,R366+P366=0),"",(L366+R366/(R366+P366))/2)</x:f>
        <x:v>0.5</x:v>
      </x:c>
      <x:c r="O366" s="11" t="n">
        <x:v>20</x:v>
      </x:c>
      <x:c r="P366" s="11" t="n">
        <x:v>22</x:v>
      </x:c>
      <x:c r="Q366" s="11" t="n">
        <x:v>0</x:v>
      </x:c>
      <x:c r="R366" s="11" t="n">
        <x:v>0</x:v>
      </x:c>
    </x:row>
    <x:row r="367" ht="26" customHeight="1">
      <x:c r="A367" s="13" t="n">
        <x:v>46023</x:v>
      </x:c>
      <x:c r="B367" s="9" t="str">
        <x:v>共同可买</x:v>
      </x:c>
      <x:c r="C367" s="9" t="str">
        <x:v>测试</x:v>
      </x:c>
      <x:c r="D367" s="9" t="str">
        <x:v>Top3</x:v>
      </x:c>
      <x:c r="E367" s="9" t="str">
        <x:v>五K原规则</x:v>
      </x:c>
      <x:c r="F367" s="11" t="n">
        <x:f>SUM(O367:R367)</x:f>
        <x:v>42</x:v>
      </x:c>
      <x:c r="G367" s="11" t="n">
        <x:v>42</x:v>
      </x:c>
      <x:c r="H367" s="11" t="n">
        <x:f>O367+P367</x:f>
        <x:v>18</x:v>
      </x:c>
      <x:c r="I367" s="12" t="n">
        <x:f>IF(F367=0,"",H367/F367)</x:f>
        <x:v>0.42857142857142855</x:v>
      </x:c>
      <x:c r="J367" s="12" t="n">
        <x:f>IF(F367=0,"",(O367+R367)/F367)</x:f>
        <x:v>0.8095238095238095</x:v>
      </x:c>
      <x:c r="K367" s="12" t="n">
        <x:f>IF(H367=0,"",O367/H367)</x:f>
        <x:v>0.8333333333333334</x:v>
      </x:c>
      <x:c r="L367" s="12" t="n">
        <x:f>IF(O367+Q367=0,"",O367/(O367+Q367))</x:f>
        <x:v>0.75</x:v>
      </x:c>
      <x:c r="M367" s="12" t="n">
        <x:f>IF(2*O367+P367+Q367=0,"",2*O367/(2*O367+P367+Q367))</x:f>
        <x:v>0.7894736842105263</x:v>
      </x:c>
      <x:c r="N367" s="12" t="n">
        <x:f>IF(OR(O367+Q367=0,R367+P367=0),"",(L367+R367/(R367+P367))/2)</x:f>
        <x:v>0.8068181818181819</x:v>
      </x:c>
      <x:c r="O367" s="11" t="n">
        <x:v>15</x:v>
      </x:c>
      <x:c r="P367" s="11" t="n">
        <x:v>3</x:v>
      </x:c>
      <x:c r="Q367" s="11" t="n">
        <x:v>5</x:v>
      </x:c>
      <x:c r="R367" s="11" t="n">
        <x:v>19</x:v>
      </x:c>
    </x:row>
    <x:row r="368" ht="26" customHeight="1">
      <x:c r="A368" s="13" t="n">
        <x:v>46023</x:v>
      </x:c>
      <x:c r="B368" s="9" t="str">
        <x:v>共同可买</x:v>
      </x:c>
      <x:c r="C368" s="9" t="str">
        <x:v>测试</x:v>
      </x:c>
      <x:c r="D368" s="9" t="str">
        <x:v>Top3</x:v>
      </x:c>
      <x:c r="E368" s="9" t="str">
        <x:v>四K沿用门槛</x:v>
      </x:c>
      <x:c r="F368" s="11" t="n">
        <x:f>SUM(O368:R368)</x:f>
        <x:v>42</x:v>
      </x:c>
      <x:c r="G368" s="11" t="n">
        <x:v>42</x:v>
      </x:c>
      <x:c r="H368" s="11" t="n">
        <x:f>O368+P368</x:f>
        <x:v>20</x:v>
      </x:c>
      <x:c r="I368" s="12" t="n">
        <x:f>IF(F368=0,"",H368/F368)</x:f>
        <x:v>0.47619047619047616</x:v>
      </x:c>
      <x:c r="J368" s="12" t="n">
        <x:f>IF(F368=0,"",(O368+R368)/F368)</x:f>
        <x:v>0.7619047619047619</x:v>
      </x:c>
      <x:c r="K368" s="12" t="n">
        <x:f>IF(H368=0,"",O368/H368)</x:f>
        <x:v>0.75</x:v>
      </x:c>
      <x:c r="L368" s="12" t="n">
        <x:f>IF(O368+Q368=0,"",O368/(O368+Q368))</x:f>
        <x:v>0.75</x:v>
      </x:c>
      <x:c r="M368" s="12" t="n">
        <x:f>IF(2*O368+P368+Q368=0,"",2*O368/(2*O368+P368+Q368))</x:f>
        <x:v>0.75</x:v>
      </x:c>
      <x:c r="N368" s="12" t="n">
        <x:f>IF(OR(O368+Q368=0,R368+P368=0),"",(L368+R368/(R368+P368))/2)</x:f>
        <x:v>0.7613636363636364</x:v>
      </x:c>
      <x:c r="O368" s="11" t="n">
        <x:v>15</x:v>
      </x:c>
      <x:c r="P368" s="11" t="n">
        <x:v>5</x:v>
      </x:c>
      <x:c r="Q368" s="11" t="n">
        <x:v>5</x:v>
      </x:c>
      <x:c r="R368" s="11" t="n">
        <x:v>17</x:v>
      </x:c>
    </x:row>
    <x:row r="369" ht="26" customHeight="1">
      <x:c r="A369" s="13" t="n">
        <x:v>46023</x:v>
      </x:c>
      <x:c r="B369" s="9" t="str">
        <x:v>共同可买</x:v>
      </x:c>
      <x:c r="C369" s="9" t="str">
        <x:v>测试</x:v>
      </x:c>
      <x:c r="D369" s="9" t="str">
        <x:v>Top3</x:v>
      </x:c>
      <x:c r="E369" s="9" t="str">
        <x:v>四K重选规则</x:v>
      </x:c>
      <x:c r="F369" s="11" t="n">
        <x:f>SUM(O369:R369)</x:f>
        <x:v>42</x:v>
      </x:c>
      <x:c r="G369" s="11" t="n">
        <x:v>42</x:v>
      </x:c>
      <x:c r="H369" s="11" t="n">
        <x:f>O369+P369</x:f>
        <x:v>15</x:v>
      </x:c>
      <x:c r="I369" s="12" t="n">
        <x:f>IF(F369=0,"",H369/F369)</x:f>
        <x:v>0.35714285714285715</x:v>
      </x:c>
      <x:c r="J369" s="12" t="n">
        <x:f>IF(F369=0,"",(O369+R369)/F369)</x:f>
        <x:v>0.6428571428571429</x:v>
      </x:c>
      <x:c r="K369" s="12" t="n">
        <x:f>IF(H369=0,"",O369/H369)</x:f>
        <x:v>0.6666666666666666</x:v>
      </x:c>
      <x:c r="L369" s="12" t="n">
        <x:f>IF(O369+Q369=0,"",O369/(O369+Q369))</x:f>
        <x:v>0.5</x:v>
      </x:c>
      <x:c r="M369" s="12" t="n">
        <x:f>IF(2*O369+P369+Q369=0,"",2*O369/(2*O369+P369+Q369))</x:f>
        <x:v>0.5714285714285714</x:v>
      </x:c>
      <x:c r="N369" s="12" t="n">
        <x:f>IF(OR(O369+Q369=0,R369+P369=0),"",(L369+R369/(R369+P369))/2)</x:f>
        <x:v>0.6363636363636364</x:v>
      </x:c>
      <x:c r="O369" s="11" t="n">
        <x:v>10</x:v>
      </x:c>
      <x:c r="P369" s="11" t="n">
        <x:v>5</x:v>
      </x:c>
      <x:c r="Q369" s="11" t="n">
        <x:v>10</x:v>
      </x:c>
      <x:c r="R369" s="11" t="n">
        <x:v>17</x:v>
      </x:c>
    </x:row>
    <x:row r="370" ht="26" customHeight="1">
      <x:c r="A370" s="13" t="n">
        <x:v>46023</x:v>
      </x:c>
      <x:c r="B370" s="9" t="str">
        <x:v>共同可买</x:v>
      </x:c>
      <x:c r="C370" s="9" t="str">
        <x:v>训练窗口</x:v>
      </x:c>
      <x:c r="D370" s="9" t="str">
        <x:v>Top3</x:v>
      </x:c>
      <x:c r="E370" s="9" t="str">
        <x:v>不判形态</x:v>
      </x:c>
      <x:c r="F370" s="11" t="n">
        <x:f>SUM(O370:R370)</x:f>
        <x:v>232</x:v>
      </x:c>
      <x:c r="G370" s="11" t="n">
        <x:v>232</x:v>
      </x:c>
      <x:c r="H370" s="11" t="n">
        <x:f>O370+P370</x:f>
        <x:v>232</x:v>
      </x:c>
      <x:c r="I370" s="12" t="n">
        <x:f>IF(F370=0,"",H370/F370)</x:f>
        <x:v>1</x:v>
      </x:c>
      <x:c r="J370" s="12" t="n">
        <x:f>IF(F370=0,"",(O370+R370)/F370)</x:f>
        <x:v>0.5043103448275862</x:v>
      </x:c>
      <x:c r="K370" s="12" t="n">
        <x:f>IF(H370=0,"",O370/H370)</x:f>
        <x:v>0.5043103448275862</x:v>
      </x:c>
      <x:c r="L370" s="12" t="n">
        <x:f>IF(O370+Q370=0,"",O370/(O370+Q370))</x:f>
        <x:v>1</x:v>
      </x:c>
      <x:c r="M370" s="12" t="n">
        <x:f>IF(2*O370+P370+Q370=0,"",2*O370/(2*O370+P370+Q370))</x:f>
        <x:v>0.670487106017192</x:v>
      </x:c>
      <x:c r="N370" s="12" t="n">
        <x:f>IF(OR(O370+Q370=0,R370+P370=0),"",(L370+R370/(R370+P370))/2)</x:f>
        <x:v>0.5</x:v>
      </x:c>
      <x:c r="O370" s="11" t="n">
        <x:v>117</x:v>
      </x:c>
      <x:c r="P370" s="11" t="n">
        <x:v>115</x:v>
      </x:c>
      <x:c r="Q370" s="11" t="n">
        <x:v>0</x:v>
      </x:c>
      <x:c r="R370" s="11" t="n">
        <x:v>0</x:v>
      </x:c>
    </x:row>
    <x:row r="371" ht="26" customHeight="1">
      <x:c r="A371" s="13" t="n">
        <x:v>46023</x:v>
      </x:c>
      <x:c r="B371" s="9" t="str">
        <x:v>共同可买</x:v>
      </x:c>
      <x:c r="C371" s="9" t="str">
        <x:v>训练窗口</x:v>
      </x:c>
      <x:c r="D371" s="9" t="str">
        <x:v>Top3</x:v>
      </x:c>
      <x:c r="E371" s="9" t="str">
        <x:v>五K原规则</x:v>
      </x:c>
      <x:c r="F371" s="11" t="n">
        <x:f>SUM(O371:R371)</x:f>
        <x:v>232</x:v>
      </x:c>
      <x:c r="G371" s="11" t="n">
        <x:v>232</x:v>
      </x:c>
      <x:c r="H371" s="11" t="n">
        <x:f>O371+P371</x:f>
        <x:v>95</x:v>
      </x:c>
      <x:c r="I371" s="12" t="n">
        <x:f>IF(F371=0,"",H371/F371)</x:f>
        <x:v>0.40948275862068967</x:v>
      </x:c>
      <x:c r="J371" s="12" t="n">
        <x:f>IF(F371=0,"",(O371+R371)/F371)</x:f>
        <x:v>0.6896551724137931</x:v>
      </x:c>
      <x:c r="K371" s="12" t="n">
        <x:f>IF(H371=0,"",O371/H371)</x:f>
        <x:v>0.7368421052631579</x:v>
      </x:c>
      <x:c r="L371" s="12" t="n">
        <x:f>IF(O371+Q371=0,"",O371/(O371+Q371))</x:f>
        <x:v>0.5982905982905983</x:v>
      </x:c>
      <x:c r="M371" s="12" t="n">
        <x:f>IF(2*O371+P371+Q371=0,"",2*O371/(2*O371+P371+Q371))</x:f>
        <x:v>0.660377358490566</x:v>
      </x:c>
      <x:c r="N371" s="12" t="n">
        <x:f>IF(OR(O371+Q371=0,R371+P371=0),"",(L371+R371/(R371+P371))/2)</x:f>
        <x:v>0.6904496469713861</x:v>
      </x:c>
      <x:c r="O371" s="11" t="n">
        <x:v>70</x:v>
      </x:c>
      <x:c r="P371" s="11" t="n">
        <x:v>25</x:v>
      </x:c>
      <x:c r="Q371" s="11" t="n">
        <x:v>47</x:v>
      </x:c>
      <x:c r="R371" s="11" t="n">
        <x:v>90</x:v>
      </x:c>
    </x:row>
    <x:row r="372" ht="26" customHeight="1">
      <x:c r="A372" s="13" t="n">
        <x:v>46023</x:v>
      </x:c>
      <x:c r="B372" s="9" t="str">
        <x:v>共同可买</x:v>
      </x:c>
      <x:c r="C372" s="9" t="str">
        <x:v>训练窗口</x:v>
      </x:c>
      <x:c r="D372" s="9" t="str">
        <x:v>Top3</x:v>
      </x:c>
      <x:c r="E372" s="9" t="str">
        <x:v>四K沿用门槛</x:v>
      </x:c>
      <x:c r="F372" s="11" t="n">
        <x:f>SUM(O372:R372)</x:f>
        <x:v>232</x:v>
      </x:c>
      <x:c r="G372" s="11" t="n">
        <x:v>232</x:v>
      </x:c>
      <x:c r="H372" s="11" t="n">
        <x:f>O372+P372</x:f>
        <x:v>99</x:v>
      </x:c>
      <x:c r="I372" s="12" t="n">
        <x:f>IF(F372=0,"",H372/F372)</x:f>
        <x:v>0.4267241379310345</x:v>
      </x:c>
      <x:c r="J372" s="12" t="n">
        <x:f>IF(F372=0,"",(O372+R372)/F372)</x:f>
        <x:v>0.6896551724137931</x:v>
      </x:c>
      <x:c r="K372" s="12" t="n">
        <x:f>IF(H372=0,"",O372/H372)</x:f>
        <x:v>0.7272727272727273</x:v>
      </x:c>
      <x:c r="L372" s="12" t="n">
        <x:f>IF(O372+Q372=0,"",O372/(O372+Q372))</x:f>
        <x:v>0.6153846153846154</x:v>
      </x:c>
      <x:c r="M372" s="12" t="n">
        <x:f>IF(2*O372+P372+Q372=0,"",2*O372/(2*O372+P372+Q372))</x:f>
        <x:v>0.6666666666666666</x:v>
      </x:c>
      <x:c r="N372" s="12" t="n">
        <x:f>IF(OR(O372+Q372=0,R372+P372=0),"",(L372+R372/(R372+P372))/2)</x:f>
        <x:v>0.6903010033444816</x:v>
      </x:c>
      <x:c r="O372" s="11" t="n">
        <x:v>72</x:v>
      </x:c>
      <x:c r="P372" s="11" t="n">
        <x:v>27</x:v>
      </x:c>
      <x:c r="Q372" s="11" t="n">
        <x:v>45</x:v>
      </x:c>
      <x:c r="R372" s="11" t="n">
        <x:v>88</x:v>
      </x:c>
    </x:row>
    <x:row r="373" ht="26" customHeight="1">
      <x:c r="A373" s="13" t="n">
        <x:v>46023</x:v>
      </x:c>
      <x:c r="B373" s="9" t="str">
        <x:v>共同可买</x:v>
      </x:c>
      <x:c r="C373" s="9" t="str">
        <x:v>训练窗口</x:v>
      </x:c>
      <x:c r="D373" s="9" t="str">
        <x:v>Top3</x:v>
      </x:c>
      <x:c r="E373" s="9" t="str">
        <x:v>四K重选规则</x:v>
      </x:c>
      <x:c r="F373" s="11" t="n">
        <x:f>SUM(O373:R373)</x:f>
        <x:v>232</x:v>
      </x:c>
      <x:c r="G373" s="11" t="n">
        <x:v>232</x:v>
      </x:c>
      <x:c r="H373" s="11" t="n">
        <x:f>O373+P373</x:f>
        <x:v>113</x:v>
      </x:c>
      <x:c r="I373" s="12" t="n">
        <x:f>IF(F373=0,"",H373/F373)</x:f>
        <x:v>0.4870689655172414</x:v>
      </x:c>
      <x:c r="J373" s="12" t="n">
        <x:f>IF(F373=0,"",(O373+R373)/F373)</x:f>
        <x:v>0.603448275862069</x:v>
      </x:c>
      <x:c r="K373" s="12" t="n">
        <x:f>IF(H373=0,"",O373/H373)</x:f>
        <x:v>0.6106194690265486</x:v>
      </x:c>
      <x:c r="L373" s="12" t="n">
        <x:f>IF(O373+Q373=0,"",O373/(O373+Q373))</x:f>
        <x:v>0.5897435897435898</x:v>
      </x:c>
      <x:c r="M373" s="12" t="n">
        <x:f>IF(2*O373+P373+Q373=0,"",2*O373/(2*O373+P373+Q373))</x:f>
        <x:v>0.6</x:v>
      </x:c>
      <x:c r="N373" s="12" t="n">
        <x:f>IF(OR(O373+Q373=0,R373+P373=0),"",(L373+R373/(R373+P373))/2)</x:f>
        <x:v>0.603567447045708</x:v>
      </x:c>
      <x:c r="O373" s="11" t="n">
        <x:v>69</x:v>
      </x:c>
      <x:c r="P373" s="11" t="n">
        <x:v>44</x:v>
      </x:c>
      <x:c r="Q373" s="11" t="n">
        <x:v>48</x:v>
      </x:c>
      <x:c r="R373" s="11" t="n">
        <x:v>71</x:v>
      </x:c>
    </x:row>
    <x:row r="374" ht="26" customHeight="1">
      <x:c r="A374" s="13" t="n">
        <x:v>46023</x:v>
      </x:c>
      <x:c r="B374" s="9" t="str">
        <x:v>共同可买</x:v>
      </x:c>
      <x:c r="C374" s="9" t="str">
        <x:v>验证窗口</x:v>
      </x:c>
      <x:c r="D374" s="9" t="str">
        <x:v>Top3</x:v>
      </x:c>
      <x:c r="E374" s="9" t="str">
        <x:v>不判形态</x:v>
      </x:c>
      <x:c r="F374" s="11" t="n">
        <x:f>SUM(O374:R374)</x:f>
        <x:v>58</x:v>
      </x:c>
      <x:c r="G374" s="11" t="n">
        <x:v>58</x:v>
      </x:c>
      <x:c r="H374" s="11" t="n">
        <x:f>O374+P374</x:f>
        <x:v>58</x:v>
      </x:c>
      <x:c r="I374" s="12" t="n">
        <x:f>IF(F374=0,"",H374/F374)</x:f>
        <x:v>1</x:v>
      </x:c>
      <x:c r="J374" s="12" t="n">
        <x:f>IF(F374=0,"",(O374+R374)/F374)</x:f>
        <x:v>0.5172413793103449</x:v>
      </x:c>
      <x:c r="K374" s="12" t="n">
        <x:f>IF(H374=0,"",O374/H374)</x:f>
        <x:v>0.5172413793103449</x:v>
      </x:c>
      <x:c r="L374" s="12" t="n">
        <x:f>IF(O374+Q374=0,"",O374/(O374+Q374))</x:f>
        <x:v>1</x:v>
      </x:c>
      <x:c r="M374" s="12" t="n">
        <x:f>IF(2*O374+P374+Q374=0,"",2*O374/(2*O374+P374+Q374))</x:f>
        <x:v>0.6818181818181818</x:v>
      </x:c>
      <x:c r="N374" s="12" t="n">
        <x:f>IF(OR(O374+Q374=0,R374+P374=0),"",(L374+R374/(R374+P374))/2)</x:f>
        <x:v>0.5</x:v>
      </x:c>
      <x:c r="O374" s="11" t="n">
        <x:v>30</x:v>
      </x:c>
      <x:c r="P374" s="11" t="n">
        <x:v>28</x:v>
      </x:c>
      <x:c r="Q374" s="11" t="n">
        <x:v>0</x:v>
      </x:c>
      <x:c r="R374" s="11" t="n">
        <x:v>0</x:v>
      </x:c>
    </x:row>
    <x:row r="375" ht="26" customHeight="1">
      <x:c r="A375" s="13" t="n">
        <x:v>46023</x:v>
      </x:c>
      <x:c r="B375" s="9" t="str">
        <x:v>共同可买</x:v>
      </x:c>
      <x:c r="C375" s="9" t="str">
        <x:v>验证窗口</x:v>
      </x:c>
      <x:c r="D375" s="9" t="str">
        <x:v>Top3</x:v>
      </x:c>
      <x:c r="E375" s="9" t="str">
        <x:v>五K原规则</x:v>
      </x:c>
      <x:c r="F375" s="11" t="n">
        <x:f>SUM(O375:R375)</x:f>
        <x:v>58</x:v>
      </x:c>
      <x:c r="G375" s="11" t="n">
        <x:v>58</x:v>
      </x:c>
      <x:c r="H375" s="11" t="n">
        <x:f>O375+P375</x:f>
        <x:v>26</x:v>
      </x:c>
      <x:c r="I375" s="12" t="n">
        <x:f>IF(F375=0,"",H375/F375)</x:f>
        <x:v>0.4482758620689655</x:v>
      </x:c>
      <x:c r="J375" s="12" t="n">
        <x:f>IF(F375=0,"",(O375+R375)/F375)</x:f>
        <x:v>0.6206896551724138</x:v>
      </x:c>
      <x:c r="K375" s="12" t="n">
        <x:f>IF(H375=0,"",O375/H375)</x:f>
        <x:v>0.6538461538461539</x:v>
      </x:c>
      <x:c r="L375" s="12" t="n">
        <x:f>IF(O375+Q375=0,"",O375/(O375+Q375))</x:f>
        <x:v>0.5666666666666667</x:v>
      </x:c>
      <x:c r="M375" s="12" t="n">
        <x:f>IF(2*O375+P375+Q375=0,"",2*O375/(2*O375+P375+Q375))</x:f>
        <x:v>0.6071428571428571</x:v>
      </x:c>
      <x:c r="N375" s="12" t="n">
        <x:f>IF(OR(O375+Q375=0,R375+P375=0),"",(L375+R375/(R375+P375))/2)</x:f>
        <x:v>0.6226190476190476</x:v>
      </x:c>
      <x:c r="O375" s="11" t="n">
        <x:v>17</x:v>
      </x:c>
      <x:c r="P375" s="11" t="n">
        <x:v>9</x:v>
      </x:c>
      <x:c r="Q375" s="11" t="n">
        <x:v>13</x:v>
      </x:c>
      <x:c r="R375" s="11" t="n">
        <x:v>19</x:v>
      </x:c>
    </x:row>
    <x:row r="376" ht="26" customHeight="1">
      <x:c r="A376" s="13" t="n">
        <x:v>46023</x:v>
      </x:c>
      <x:c r="B376" s="9" t="str">
        <x:v>共同可买</x:v>
      </x:c>
      <x:c r="C376" s="9" t="str">
        <x:v>验证窗口</x:v>
      </x:c>
      <x:c r="D376" s="9" t="str">
        <x:v>Top3</x:v>
      </x:c>
      <x:c r="E376" s="9" t="str">
        <x:v>四K沿用门槛</x:v>
      </x:c>
      <x:c r="F376" s="11" t="n">
        <x:f>SUM(O376:R376)</x:f>
        <x:v>58</x:v>
      </x:c>
      <x:c r="G376" s="11" t="n">
        <x:v>58</x:v>
      </x:c>
      <x:c r="H376" s="11" t="n">
        <x:f>O376+P376</x:f>
        <x:v>24</x:v>
      </x:c>
      <x:c r="I376" s="12" t="n">
        <x:f>IF(F376=0,"",H376/F376)</x:f>
        <x:v>0.41379310344827586</x:v>
      </x:c>
      <x:c r="J376" s="12" t="n">
        <x:f>IF(F376=0,"",(O376+R376)/F376)</x:f>
        <x:v>0.6206896551724138</x:v>
      </x:c>
      <x:c r="K376" s="12" t="n">
        <x:f>IF(H376=0,"",O376/H376)</x:f>
        <x:v>0.6666666666666666</x:v>
      </x:c>
      <x:c r="L376" s="12" t="n">
        <x:f>IF(O376+Q376=0,"",O376/(O376+Q376))</x:f>
        <x:v>0.5333333333333333</x:v>
      </x:c>
      <x:c r="M376" s="12" t="n">
        <x:f>IF(2*O376+P376+Q376=0,"",2*O376/(2*O376+P376+Q376))</x:f>
        <x:v>0.5925925925925926</x:v>
      </x:c>
      <x:c r="N376" s="12" t="n">
        <x:f>IF(OR(O376+Q376=0,R376+P376=0),"",(L376+R376/(R376+P376))/2)</x:f>
        <x:v>0.6238095238095238</x:v>
      </x:c>
      <x:c r="O376" s="11" t="n">
        <x:v>16</x:v>
      </x:c>
      <x:c r="P376" s="11" t="n">
        <x:v>8</x:v>
      </x:c>
      <x:c r="Q376" s="11" t="n">
        <x:v>14</x:v>
      </x:c>
      <x:c r="R376" s="11" t="n">
        <x:v>20</x:v>
      </x:c>
    </x:row>
    <x:row r="377" ht="26" customHeight="1">
      <x:c r="A377" s="13" t="n">
        <x:v>46023</x:v>
      </x:c>
      <x:c r="B377" s="9" t="str">
        <x:v>共同可买</x:v>
      </x:c>
      <x:c r="C377" s="9" t="str">
        <x:v>验证窗口</x:v>
      </x:c>
      <x:c r="D377" s="9" t="str">
        <x:v>Top3</x:v>
      </x:c>
      <x:c r="E377" s="9" t="str">
        <x:v>四K重选规则</x:v>
      </x:c>
      <x:c r="F377" s="11" t="n">
        <x:f>SUM(O377:R377)</x:f>
        <x:v>58</x:v>
      </x:c>
      <x:c r="G377" s="11" t="n">
        <x:v>58</x:v>
      </x:c>
      <x:c r="H377" s="11" t="n">
        <x:f>O377+P377</x:f>
        <x:v>21</x:v>
      </x:c>
      <x:c r="I377" s="12" t="n">
        <x:f>IF(F377=0,"",H377/F377)</x:f>
        <x:v>0.3620689655172414</x:v>
      </x:c>
      <x:c r="J377" s="12" t="n">
        <x:f>IF(F377=0,"",(O377+R377)/F377)</x:f>
        <x:v>0.5344827586206896</x:v>
      </x:c>
      <x:c r="K377" s="12" t="n">
        <x:f>IF(H377=0,"",O377/H377)</x:f>
        <x:v>0.5714285714285714</x:v>
      </x:c>
      <x:c r="L377" s="12" t="n">
        <x:f>IF(O377+Q377=0,"",O377/(O377+Q377))</x:f>
        <x:v>0.4</x:v>
      </x:c>
      <x:c r="M377" s="12" t="n">
        <x:f>IF(2*O377+P377+Q377=0,"",2*O377/(2*O377+P377+Q377))</x:f>
        <x:v>0.47058823529411764</x:v>
      </x:c>
      <x:c r="N377" s="12" t="n">
        <x:f>IF(OR(O377+Q377=0,R377+P377=0),"",(L377+R377/(R377+P377))/2)</x:f>
        <x:v>0.5392857142857144</x:v>
      </x:c>
      <x:c r="O377" s="11" t="n">
        <x:v>12</x:v>
      </x:c>
      <x:c r="P377" s="11" t="n">
        <x:v>9</x:v>
      </x:c>
      <x:c r="Q377" s="11" t="n">
        <x:v>18</x:v>
      </x:c>
      <x:c r="R377" s="11" t="n">
        <x:v>19</x:v>
      </x:c>
    </x:row>
    <x:row r="378" ht="26" customHeight="1">
      <x:c r="A378" s="13" t="n">
        <x:v>46054</x:v>
      </x:c>
      <x:c r="B378" s="9" t="str">
        <x:v>共同可买</x:v>
      </x:c>
      <x:c r="C378" s="9" t="str">
        <x:v>测试</x:v>
      </x:c>
      <x:c r="D378" s="9" t="str">
        <x:v>Top3</x:v>
      </x:c>
      <x:c r="E378" s="9" t="str">
        <x:v>不判形态</x:v>
      </x:c>
      <x:c r="F378" s="11" t="n">
        <x:f>SUM(O378:R378)</x:f>
        <x:v>29</x:v>
      </x:c>
      <x:c r="G378" s="11" t="n">
        <x:v>29</x:v>
      </x:c>
      <x:c r="H378" s="11" t="n">
        <x:f>O378+P378</x:f>
        <x:v>29</x:v>
      </x:c>
      <x:c r="I378" s="12" t="n">
        <x:f>IF(F378=0,"",H378/F378)</x:f>
        <x:v>1</x:v>
      </x:c>
      <x:c r="J378" s="12" t="n">
        <x:f>IF(F378=0,"",(O378+R378)/F378)</x:f>
        <x:v>0.4482758620689655</x:v>
      </x:c>
      <x:c r="K378" s="12" t="n">
        <x:f>IF(H378=0,"",O378/H378)</x:f>
        <x:v>0.4482758620689655</x:v>
      </x:c>
      <x:c r="L378" s="12" t="n">
        <x:f>IF(O378+Q378=0,"",O378/(O378+Q378))</x:f>
        <x:v>1</x:v>
      </x:c>
      <x:c r="M378" s="12" t="n">
        <x:f>IF(2*O378+P378+Q378=0,"",2*O378/(2*O378+P378+Q378))</x:f>
        <x:v>0.6190476190476191</x:v>
      </x:c>
      <x:c r="N378" s="12" t="n">
        <x:f>IF(OR(O378+Q378=0,R378+P378=0),"",(L378+R378/(R378+P378))/2)</x:f>
        <x:v>0.5</x:v>
      </x:c>
      <x:c r="O378" s="11" t="n">
        <x:v>13</x:v>
      </x:c>
      <x:c r="P378" s="11" t="n">
        <x:v>16</x:v>
      </x:c>
      <x:c r="Q378" s="11" t="n">
        <x:v>0</x:v>
      </x:c>
      <x:c r="R378" s="11" t="n">
        <x:v>0</x:v>
      </x:c>
    </x:row>
    <x:row r="379" ht="26" customHeight="1">
      <x:c r="A379" s="13" t="n">
        <x:v>46054</x:v>
      </x:c>
      <x:c r="B379" s="9" t="str">
        <x:v>共同可买</x:v>
      </x:c>
      <x:c r="C379" s="9" t="str">
        <x:v>测试</x:v>
      </x:c>
      <x:c r="D379" s="9" t="str">
        <x:v>Top3</x:v>
      </x:c>
      <x:c r="E379" s="9" t="str">
        <x:v>五K原规则</x:v>
      </x:c>
      <x:c r="F379" s="11" t="n">
        <x:f>SUM(O379:R379)</x:f>
        <x:v>29</x:v>
      </x:c>
      <x:c r="G379" s="11" t="n">
        <x:v>29</x:v>
      </x:c>
      <x:c r="H379" s="11" t="n">
        <x:f>O379+P379</x:f>
        <x:v>12</x:v>
      </x:c>
      <x:c r="I379" s="12" t="n">
        <x:f>IF(F379=0,"",H379/F379)</x:f>
        <x:v>0.41379310344827586</x:v>
      </x:c>
      <x:c r="J379" s="12" t="n">
        <x:f>IF(F379=0,"",(O379+R379)/F379)</x:f>
        <x:v>0.6206896551724138</x:v>
      </x:c>
      <x:c r="K379" s="12" t="n">
        <x:f>IF(H379=0,"",O379/H379)</x:f>
        <x:v>0.5833333333333334</x:v>
      </x:c>
      <x:c r="L379" s="12" t="n">
        <x:f>IF(O379+Q379=0,"",O379/(O379+Q379))</x:f>
        <x:v>0.5384615384615384</x:v>
      </x:c>
      <x:c r="M379" s="12" t="n">
        <x:f>IF(2*O379+P379+Q379=0,"",2*O379/(2*O379+P379+Q379))</x:f>
        <x:v>0.56</x:v>
      </x:c>
      <x:c r="N379" s="12" t="n">
        <x:f>IF(OR(O379+Q379=0,R379+P379=0),"",(L379+R379/(R379+P379))/2)</x:f>
        <x:v>0.6129807692307692</x:v>
      </x:c>
      <x:c r="O379" s="11" t="n">
        <x:v>7</x:v>
      </x:c>
      <x:c r="P379" s="11" t="n">
        <x:v>5</x:v>
      </x:c>
      <x:c r="Q379" s="11" t="n">
        <x:v>6</x:v>
      </x:c>
      <x:c r="R379" s="11" t="n">
        <x:v>11</x:v>
      </x:c>
    </x:row>
    <x:row r="380" ht="26" customHeight="1">
      <x:c r="A380" s="13" t="n">
        <x:v>46054</x:v>
      </x:c>
      <x:c r="B380" s="9" t="str">
        <x:v>共同可买</x:v>
      </x:c>
      <x:c r="C380" s="9" t="str">
        <x:v>测试</x:v>
      </x:c>
      <x:c r="D380" s="9" t="str">
        <x:v>Top3</x:v>
      </x:c>
      <x:c r="E380" s="9" t="str">
        <x:v>四K沿用门槛</x:v>
      </x:c>
      <x:c r="F380" s="11" t="n">
        <x:f>SUM(O380:R380)</x:f>
        <x:v>29</x:v>
      </x:c>
      <x:c r="G380" s="11" t="n">
        <x:v>29</x:v>
      </x:c>
      <x:c r="H380" s="11" t="n">
        <x:f>O380+P380</x:f>
        <x:v>12</x:v>
      </x:c>
      <x:c r="I380" s="12" t="n">
        <x:f>IF(F380=0,"",H380/F380)</x:f>
        <x:v>0.41379310344827586</x:v>
      </x:c>
      <x:c r="J380" s="12" t="n">
        <x:f>IF(F380=0,"",(O380+R380)/F380)</x:f>
        <x:v>0.6206896551724138</x:v>
      </x:c>
      <x:c r="K380" s="12" t="n">
        <x:f>IF(H380=0,"",O380/H380)</x:f>
        <x:v>0.5833333333333334</x:v>
      </x:c>
      <x:c r="L380" s="12" t="n">
        <x:f>IF(O380+Q380=0,"",O380/(O380+Q380))</x:f>
        <x:v>0.5384615384615384</x:v>
      </x:c>
      <x:c r="M380" s="12" t="n">
        <x:f>IF(2*O380+P380+Q380=0,"",2*O380/(2*O380+P380+Q380))</x:f>
        <x:v>0.56</x:v>
      </x:c>
      <x:c r="N380" s="12" t="n">
        <x:f>IF(OR(O380+Q380=0,R380+P380=0),"",(L380+R380/(R380+P380))/2)</x:f>
        <x:v>0.6129807692307692</x:v>
      </x:c>
      <x:c r="O380" s="11" t="n">
        <x:v>7</x:v>
      </x:c>
      <x:c r="P380" s="11" t="n">
        <x:v>5</x:v>
      </x:c>
      <x:c r="Q380" s="11" t="n">
        <x:v>6</x:v>
      </x:c>
      <x:c r="R380" s="11" t="n">
        <x:v>11</x:v>
      </x:c>
    </x:row>
    <x:row r="381" ht="26" customHeight="1">
      <x:c r="A381" s="13" t="n">
        <x:v>46054</x:v>
      </x:c>
      <x:c r="B381" s="9" t="str">
        <x:v>共同可买</x:v>
      </x:c>
      <x:c r="C381" s="9" t="str">
        <x:v>测试</x:v>
      </x:c>
      <x:c r="D381" s="9" t="str">
        <x:v>Top3</x:v>
      </x:c>
      <x:c r="E381" s="9" t="str">
        <x:v>四K重选规则</x:v>
      </x:c>
      <x:c r="F381" s="11" t="n">
        <x:f>SUM(O381:R381)</x:f>
        <x:v>29</x:v>
      </x:c>
      <x:c r="G381" s="11" t="n">
        <x:v>29</x:v>
      </x:c>
      <x:c r="H381" s="11" t="n">
        <x:f>O381+P381</x:f>
        <x:v>29</x:v>
      </x:c>
      <x:c r="I381" s="12" t="n">
        <x:f>IF(F381=0,"",H381/F381)</x:f>
        <x:v>1</x:v>
      </x:c>
      <x:c r="J381" s="12" t="n">
        <x:f>IF(F381=0,"",(O381+R381)/F381)</x:f>
        <x:v>0.4482758620689655</x:v>
      </x:c>
      <x:c r="K381" s="12" t="n">
        <x:f>IF(H381=0,"",O381/H381)</x:f>
        <x:v>0.4482758620689655</x:v>
      </x:c>
      <x:c r="L381" s="12" t="n">
        <x:f>IF(O381+Q381=0,"",O381/(O381+Q381))</x:f>
        <x:v>1</x:v>
      </x:c>
      <x:c r="M381" s="12" t="n">
        <x:f>IF(2*O381+P381+Q381=0,"",2*O381/(2*O381+P381+Q381))</x:f>
        <x:v>0.6190476190476191</x:v>
      </x:c>
      <x:c r="N381" s="12" t="n">
        <x:f>IF(OR(O381+Q381=0,R381+P381=0),"",(L381+R381/(R381+P381))/2)</x:f>
        <x:v>0.5</x:v>
      </x:c>
      <x:c r="O381" s="11" t="n">
        <x:v>13</x:v>
      </x:c>
      <x:c r="P381" s="11" t="n">
        <x:v>16</x:v>
      </x:c>
      <x:c r="Q381" s="11" t="n">
        <x:v>0</x:v>
      </x:c>
      <x:c r="R381" s="11" t="n">
        <x:v>0</x:v>
      </x:c>
    </x:row>
    <x:row r="382" ht="26" customHeight="1">
      <x:c r="A382" s="13" t="n">
        <x:v>46054</x:v>
      </x:c>
      <x:c r="B382" s="9" t="str">
        <x:v>共同可买</x:v>
      </x:c>
      <x:c r="C382" s="9" t="str">
        <x:v>训练窗口</x:v>
      </x:c>
      <x:c r="D382" s="9" t="str">
        <x:v>Top3</x:v>
      </x:c>
      <x:c r="E382" s="9" t="str">
        <x:v>不判形态</x:v>
      </x:c>
      <x:c r="F382" s="11" t="n">
        <x:f>SUM(O382:R382)</x:f>
        <x:v>231</x:v>
      </x:c>
      <x:c r="G382" s="11" t="n">
        <x:v>231</x:v>
      </x:c>
      <x:c r="H382" s="11" t="n">
        <x:f>O382+P382</x:f>
        <x:v>231</x:v>
      </x:c>
      <x:c r="I382" s="12" t="n">
        <x:f>IF(F382=0,"",H382/F382)</x:f>
        <x:v>1</x:v>
      </x:c>
      <x:c r="J382" s="12" t="n">
        <x:f>IF(F382=0,"",(O382+R382)/F382)</x:f>
        <x:v>0.5021645021645021</x:v>
      </x:c>
      <x:c r="K382" s="12" t="n">
        <x:f>IF(H382=0,"",O382/H382)</x:f>
        <x:v>0.5021645021645021</x:v>
      </x:c>
      <x:c r="L382" s="12" t="n">
        <x:f>IF(O382+Q382=0,"",O382/(O382+Q382))</x:f>
        <x:v>1</x:v>
      </x:c>
      <x:c r="M382" s="12" t="n">
        <x:f>IF(2*O382+P382+Q382=0,"",2*O382/(2*O382+P382+Q382))</x:f>
        <x:v>0.6685878962536023</x:v>
      </x:c>
      <x:c r="N382" s="12" t="n">
        <x:f>IF(OR(O382+Q382=0,R382+P382=0),"",(L382+R382/(R382+P382))/2)</x:f>
        <x:v>0.5</x:v>
      </x:c>
      <x:c r="O382" s="11" t="n">
        <x:v>116</x:v>
      </x:c>
      <x:c r="P382" s="11" t="n">
        <x:v>115</x:v>
      </x:c>
      <x:c r="Q382" s="11" t="n">
        <x:v>0</x:v>
      </x:c>
      <x:c r="R382" s="11" t="n">
        <x:v>0</x:v>
      </x:c>
    </x:row>
    <x:row r="383" ht="26" customHeight="1">
      <x:c r="A383" s="13" t="n">
        <x:v>46054</x:v>
      </x:c>
      <x:c r="B383" s="9" t="str">
        <x:v>共同可买</x:v>
      </x:c>
      <x:c r="C383" s="9" t="str">
        <x:v>训练窗口</x:v>
      </x:c>
      <x:c r="D383" s="9" t="str">
        <x:v>Top3</x:v>
      </x:c>
      <x:c r="E383" s="9" t="str">
        <x:v>五K原规则</x:v>
      </x:c>
      <x:c r="F383" s="11" t="n">
        <x:f>SUM(O383:R383)</x:f>
        <x:v>231</x:v>
      </x:c>
      <x:c r="G383" s="11" t="n">
        <x:v>231</x:v>
      </x:c>
      <x:c r="H383" s="11" t="n">
        <x:f>O383+P383</x:f>
        <x:v>92</x:v>
      </x:c>
      <x:c r="I383" s="12" t="n">
        <x:f>IF(F383=0,"",H383/F383)</x:f>
        <x:v>0.39826839826839827</x:v>
      </x:c>
      <x:c r="J383" s="12" t="n">
        <x:f>IF(F383=0,"",(O383+R383)/F383)</x:f>
        <x:v>0.696969696969697</x:v>
      </x:c>
      <x:c r="K383" s="12" t="n">
        <x:f>IF(H383=0,"",O383/H383)</x:f>
        <x:v>0.75</x:v>
      </x:c>
      <x:c r="L383" s="12" t="n">
        <x:f>IF(O383+Q383=0,"",O383/(O383+Q383))</x:f>
        <x:v>0.5948275862068966</x:v>
      </x:c>
      <x:c r="M383" s="12" t="n">
        <x:f>IF(2*O383+P383+Q383=0,"",2*O383/(2*O383+P383+Q383))</x:f>
        <x:v>0.6634615384615384</x:v>
      </x:c>
      <x:c r="N383" s="12" t="n">
        <x:f>IF(OR(O383+Q383=0,R383+P383=0),"",(L383+R383/(R383+P383))/2)</x:f>
        <x:v>0.6974137931034483</x:v>
      </x:c>
      <x:c r="O383" s="11" t="n">
        <x:v>69</x:v>
      </x:c>
      <x:c r="P383" s="11" t="n">
        <x:v>23</x:v>
      </x:c>
      <x:c r="Q383" s="11" t="n">
        <x:v>47</x:v>
      </x:c>
      <x:c r="R383" s="11" t="n">
        <x:v>92</x:v>
      </x:c>
    </x:row>
    <x:row r="384" ht="26" customHeight="1">
      <x:c r="A384" s="13" t="n">
        <x:v>46054</x:v>
      </x:c>
      <x:c r="B384" s="9" t="str">
        <x:v>共同可买</x:v>
      </x:c>
      <x:c r="C384" s="9" t="str">
        <x:v>训练窗口</x:v>
      </x:c>
      <x:c r="D384" s="9" t="str">
        <x:v>Top3</x:v>
      </x:c>
      <x:c r="E384" s="9" t="str">
        <x:v>四K沿用门槛</x:v>
      </x:c>
      <x:c r="F384" s="11" t="n">
        <x:f>SUM(O384:R384)</x:f>
        <x:v>231</x:v>
      </x:c>
      <x:c r="G384" s="11" t="n">
        <x:v>231</x:v>
      </x:c>
      <x:c r="H384" s="11" t="n">
        <x:f>O384+P384</x:f>
        <x:v>95</x:v>
      </x:c>
      <x:c r="I384" s="12" t="n">
        <x:f>IF(F384=0,"",H384/F384)</x:f>
        <x:v>0.41125541125541126</x:v>
      </x:c>
      <x:c r="J384" s="12" t="n">
        <x:f>IF(F384=0,"",(O384+R384)/F384)</x:f>
        <x:v>0.6926406926406926</x:v>
      </x:c>
      <x:c r="K384" s="12" t="n">
        <x:f>IF(H384=0,"",O384/H384)</x:f>
        <x:v>0.7368421052631579</x:v>
      </x:c>
      <x:c r="L384" s="12" t="n">
        <x:f>IF(O384+Q384=0,"",O384/(O384+Q384))</x:f>
        <x:v>0.603448275862069</x:v>
      </x:c>
      <x:c r="M384" s="12" t="n">
        <x:f>IF(2*O384+P384+Q384=0,"",2*O384/(2*O384+P384+Q384))</x:f>
        <x:v>0.6635071090047393</x:v>
      </x:c>
      <x:c r="N384" s="12" t="n">
        <x:f>IF(OR(O384+Q384=0,R384+P384=0),"",(L384+R384/(R384+P384))/2)</x:f>
        <x:v>0.6930284857571214</x:v>
      </x:c>
      <x:c r="O384" s="11" t="n">
        <x:v>70</x:v>
      </x:c>
      <x:c r="P384" s="11" t="n">
        <x:v>25</x:v>
      </x:c>
      <x:c r="Q384" s="11" t="n">
        <x:v>46</x:v>
      </x:c>
      <x:c r="R384" s="11" t="n">
        <x:v>90</x:v>
      </x:c>
    </x:row>
    <x:row r="385" ht="26" customHeight="1">
      <x:c r="A385" s="13" t="n">
        <x:v>46054</x:v>
      </x:c>
      <x:c r="B385" s="9" t="str">
        <x:v>共同可买</x:v>
      </x:c>
      <x:c r="C385" s="9" t="str">
        <x:v>训练窗口</x:v>
      </x:c>
      <x:c r="D385" s="9" t="str">
        <x:v>Top3</x:v>
      </x:c>
      <x:c r="E385" s="9" t="str">
        <x:v>四K重选规则</x:v>
      </x:c>
      <x:c r="F385" s="11" t="n">
        <x:f>SUM(O385:R385)</x:f>
        <x:v>231</x:v>
      </x:c>
      <x:c r="G385" s="11" t="n">
        <x:v>231</x:v>
      </x:c>
      <x:c r="H385" s="11" t="n">
        <x:f>O385+P385</x:f>
        <x:v>231</x:v>
      </x:c>
      <x:c r="I385" s="12" t="n">
        <x:f>IF(F385=0,"",H385/F385)</x:f>
        <x:v>1</x:v>
      </x:c>
      <x:c r="J385" s="12" t="n">
        <x:f>IF(F385=0,"",(O385+R385)/F385)</x:f>
        <x:v>0.5021645021645021</x:v>
      </x:c>
      <x:c r="K385" s="12" t="n">
        <x:f>IF(H385=0,"",O385/H385)</x:f>
        <x:v>0.5021645021645021</x:v>
      </x:c>
      <x:c r="L385" s="12" t="n">
        <x:f>IF(O385+Q385=0,"",O385/(O385+Q385))</x:f>
        <x:v>1</x:v>
      </x:c>
      <x:c r="M385" s="12" t="n">
        <x:f>IF(2*O385+P385+Q385=0,"",2*O385/(2*O385+P385+Q385))</x:f>
        <x:v>0.6685878962536023</x:v>
      </x:c>
      <x:c r="N385" s="12" t="n">
        <x:f>IF(OR(O385+Q385=0,R385+P385=0),"",(L385+R385/(R385+P385))/2)</x:f>
        <x:v>0.5</x:v>
      </x:c>
      <x:c r="O385" s="11" t="n">
        <x:v>116</x:v>
      </x:c>
      <x:c r="P385" s="11" t="n">
        <x:v>115</x:v>
      </x:c>
      <x:c r="Q385" s="11" t="n">
        <x:v>0</x:v>
      </x:c>
      <x:c r="R385" s="11" t="n">
        <x:v>0</x:v>
      </x:c>
    </x:row>
    <x:row r="386" ht="26" customHeight="1">
      <x:c r="A386" s="13" t="n">
        <x:v>46054</x:v>
      </x:c>
      <x:c r="B386" s="9" t="str">
        <x:v>共同可买</x:v>
      </x:c>
      <x:c r="C386" s="9" t="str">
        <x:v>验证窗口</x:v>
      </x:c>
      <x:c r="D386" s="9" t="str">
        <x:v>Top3</x:v>
      </x:c>
      <x:c r="E386" s="9" t="str">
        <x:v>不判形态</x:v>
      </x:c>
      <x:c r="F386" s="11" t="n">
        <x:f>SUM(O386:R386)</x:f>
        <x:v>76</x:v>
      </x:c>
      <x:c r="G386" s="11" t="n">
        <x:v>76</x:v>
      </x:c>
      <x:c r="H386" s="11" t="n">
        <x:f>O386+P386</x:f>
        <x:v>76</x:v>
      </x:c>
      <x:c r="I386" s="12" t="n">
        <x:f>IF(F386=0,"",H386/F386)</x:f>
        <x:v>1</x:v>
      </x:c>
      <x:c r="J386" s="12" t="n">
        <x:f>IF(F386=0,"",(O386+R386)/F386)</x:f>
        <x:v>0.4868421052631579</x:v>
      </x:c>
      <x:c r="K386" s="12" t="n">
        <x:f>IF(H386=0,"",O386/H386)</x:f>
        <x:v>0.4868421052631579</x:v>
      </x:c>
      <x:c r="L386" s="12" t="n">
        <x:f>IF(O386+Q386=0,"",O386/(O386+Q386))</x:f>
        <x:v>1</x:v>
      </x:c>
      <x:c r="M386" s="12" t="n">
        <x:f>IF(2*O386+P386+Q386=0,"",2*O386/(2*O386+P386+Q386))</x:f>
        <x:v>0.6548672566371682</x:v>
      </x:c>
      <x:c r="N386" s="12" t="n">
        <x:f>IF(OR(O386+Q386=0,R386+P386=0),"",(L386+R386/(R386+P386))/2)</x:f>
        <x:v>0.5</x:v>
      </x:c>
      <x:c r="O386" s="11" t="n">
        <x:v>37</x:v>
      </x:c>
      <x:c r="P386" s="11" t="n">
        <x:v>39</x:v>
      </x:c>
      <x:c r="Q386" s="11" t="n">
        <x:v>0</x:v>
      </x:c>
      <x:c r="R386" s="11" t="n">
        <x:v>0</x:v>
      </x:c>
    </x:row>
    <x:row r="387" ht="26" customHeight="1">
      <x:c r="A387" s="13" t="n">
        <x:v>46054</x:v>
      </x:c>
      <x:c r="B387" s="9" t="str">
        <x:v>共同可买</x:v>
      </x:c>
      <x:c r="C387" s="9" t="str">
        <x:v>验证窗口</x:v>
      </x:c>
      <x:c r="D387" s="9" t="str">
        <x:v>Top3</x:v>
      </x:c>
      <x:c r="E387" s="9" t="str">
        <x:v>五K原规则</x:v>
      </x:c>
      <x:c r="F387" s="11" t="n">
        <x:f>SUM(O387:R387)</x:f>
        <x:v>76</x:v>
      </x:c>
      <x:c r="G387" s="11" t="n">
        <x:v>76</x:v>
      </x:c>
      <x:c r="H387" s="11" t="n">
        <x:f>O387+P387</x:f>
        <x:v>31</x:v>
      </x:c>
      <x:c r="I387" s="12" t="n">
        <x:f>IF(F387=0,"",H387/F387)</x:f>
        <x:v>0.40789473684210525</x:v>
      </x:c>
      <x:c r="J387" s="12" t="n">
        <x:f>IF(F387=0,"",(O387+R387)/F387)</x:f>
        <x:v>0.7105263157894737</x:v>
      </x:c>
      <x:c r="K387" s="12" t="n">
        <x:f>IF(H387=0,"",O387/H387)</x:f>
        <x:v>0.7419354838709677</x:v>
      </x:c>
      <x:c r="L387" s="12" t="n">
        <x:f>IF(O387+Q387=0,"",O387/(O387+Q387))</x:f>
        <x:v>0.6216216216216216</x:v>
      </x:c>
      <x:c r="M387" s="12" t="n">
        <x:f>IF(2*O387+P387+Q387=0,"",2*O387/(2*O387+P387+Q387))</x:f>
        <x:v>0.6764705882352942</x:v>
      </x:c>
      <x:c r="N387" s="12" t="n">
        <x:f>IF(OR(O387+Q387=0,R387+P387=0),"",(L387+R387/(R387+P387))/2)</x:f>
        <x:v>0.7082467082467082</x:v>
      </x:c>
      <x:c r="O387" s="11" t="n">
        <x:v>23</x:v>
      </x:c>
      <x:c r="P387" s="11" t="n">
        <x:v>8</x:v>
      </x:c>
      <x:c r="Q387" s="11" t="n">
        <x:v>14</x:v>
      </x:c>
      <x:c r="R387" s="11" t="n">
        <x:v>31</x:v>
      </x:c>
    </x:row>
    <x:row r="388" ht="26" customHeight="1">
      <x:c r="A388" s="13" t="n">
        <x:v>46054</x:v>
      </x:c>
      <x:c r="B388" s="9" t="str">
        <x:v>共同可买</x:v>
      </x:c>
      <x:c r="C388" s="9" t="str">
        <x:v>验证窗口</x:v>
      </x:c>
      <x:c r="D388" s="9" t="str">
        <x:v>Top3</x:v>
      </x:c>
      <x:c r="E388" s="9" t="str">
        <x:v>四K沿用门槛</x:v>
      </x:c>
      <x:c r="F388" s="11" t="n">
        <x:f>SUM(O388:R388)</x:f>
        <x:v>76</x:v>
      </x:c>
      <x:c r="G388" s="11" t="n">
        <x:v>76</x:v>
      </x:c>
      <x:c r="H388" s="11" t="n">
        <x:f>O388+P388</x:f>
        <x:v>32</x:v>
      </x:c>
      <x:c r="I388" s="12" t="n">
        <x:f>IF(F388=0,"",H388/F388)</x:f>
        <x:v>0.42105263157894735</x:v>
      </x:c>
      <x:c r="J388" s="12" t="n">
        <x:f>IF(F388=0,"",(O388+R388)/F388)</x:f>
        <x:v>0.6710526315789473</x:v>
      </x:c>
      <x:c r="K388" s="12" t="n">
        <x:f>IF(H388=0,"",O388/H388)</x:f>
        <x:v>0.6875</x:v>
      </x:c>
      <x:c r="L388" s="12" t="n">
        <x:f>IF(O388+Q388=0,"",O388/(O388+Q388))</x:f>
        <x:v>0.5945945945945946</x:v>
      </x:c>
      <x:c r="M388" s="12" t="n">
        <x:f>IF(2*O388+P388+Q388=0,"",2*O388/(2*O388+P388+Q388))</x:f>
        <x:v>0.6376811594202898</x:v>
      </x:c>
      <x:c r="N388" s="12" t="n">
        <x:f>IF(OR(O388+Q388=0,R388+P388=0),"",(L388+R388/(R388+P388))/2)</x:f>
        <x:v>0.6690921690921692</x:v>
      </x:c>
      <x:c r="O388" s="11" t="n">
        <x:v>22</x:v>
      </x:c>
      <x:c r="P388" s="11" t="n">
        <x:v>10</x:v>
      </x:c>
      <x:c r="Q388" s="11" t="n">
        <x:v>15</x:v>
      </x:c>
      <x:c r="R388" s="11" t="n">
        <x:v>29</x:v>
      </x:c>
    </x:row>
    <x:row r="389" ht="26" customHeight="1">
      <x:c r="A389" s="13" t="n">
        <x:v>46054</x:v>
      </x:c>
      <x:c r="B389" s="9" t="str">
        <x:v>共同可买</x:v>
      </x:c>
      <x:c r="C389" s="9" t="str">
        <x:v>验证窗口</x:v>
      </x:c>
      <x:c r="D389" s="9" t="str">
        <x:v>Top3</x:v>
      </x:c>
      <x:c r="E389" s="9" t="str">
        <x:v>四K重选规则</x:v>
      </x:c>
      <x:c r="F389" s="11" t="n">
        <x:f>SUM(O389:R389)</x:f>
        <x:v>76</x:v>
      </x:c>
      <x:c r="G389" s="11" t="n">
        <x:v>76</x:v>
      </x:c>
      <x:c r="H389" s="11" t="n">
        <x:f>O389+P389</x:f>
        <x:v>76</x:v>
      </x:c>
      <x:c r="I389" s="12" t="n">
        <x:f>IF(F389=0,"",H389/F389)</x:f>
        <x:v>1</x:v>
      </x:c>
      <x:c r="J389" s="12" t="n">
        <x:f>IF(F389=0,"",(O389+R389)/F389)</x:f>
        <x:v>0.4868421052631579</x:v>
      </x:c>
      <x:c r="K389" s="12" t="n">
        <x:f>IF(H389=0,"",O389/H389)</x:f>
        <x:v>0.4868421052631579</x:v>
      </x:c>
      <x:c r="L389" s="12" t="n">
        <x:f>IF(O389+Q389=0,"",O389/(O389+Q389))</x:f>
        <x:v>1</x:v>
      </x:c>
      <x:c r="M389" s="12" t="n">
        <x:f>IF(2*O389+P389+Q389=0,"",2*O389/(2*O389+P389+Q389))</x:f>
        <x:v>0.6548672566371682</x:v>
      </x:c>
      <x:c r="N389" s="12" t="n">
        <x:f>IF(OR(O389+Q389=0,R389+P389=0),"",(L389+R389/(R389+P389))/2)</x:f>
        <x:v>0.5</x:v>
      </x:c>
      <x:c r="O389" s="11" t="n">
        <x:v>37</x:v>
      </x:c>
      <x:c r="P389" s="11" t="n">
        <x:v>39</x:v>
      </x:c>
      <x:c r="Q389" s="11" t="n">
        <x:v>0</x:v>
      </x:c>
      <x:c r="R389" s="11" t="n">
        <x:v>0</x:v>
      </x:c>
    </x:row>
    <x:row r="390" ht="26" customHeight="1">
      <x:c r="A390" s="13" t="n">
        <x:v>46082</x:v>
      </x:c>
      <x:c r="B390" s="9" t="str">
        <x:v>共同可买</x:v>
      </x:c>
      <x:c r="C390" s="9" t="str">
        <x:v>测试</x:v>
      </x:c>
      <x:c r="D390" s="9" t="str">
        <x:v>Top3</x:v>
      </x:c>
      <x:c r="E390" s="9" t="str">
        <x:v>不判形态</x:v>
      </x:c>
      <x:c r="F390" s="11" t="n">
        <x:f>SUM(O390:R390)</x:f>
        <x:v>39</x:v>
      </x:c>
      <x:c r="G390" s="11" t="n">
        <x:v>39</x:v>
      </x:c>
      <x:c r="H390" s="11" t="n">
        <x:f>O390+P390</x:f>
        <x:v>39</x:v>
      </x:c>
      <x:c r="I390" s="12" t="n">
        <x:f>IF(F390=0,"",H390/F390)</x:f>
        <x:v>1</x:v>
      </x:c>
      <x:c r="J390" s="12" t="n">
        <x:f>IF(F390=0,"",(O390+R390)/F390)</x:f>
        <x:v>0.5128205128205128</x:v>
      </x:c>
      <x:c r="K390" s="12" t="n">
        <x:f>IF(H390=0,"",O390/H390)</x:f>
        <x:v>0.5128205128205128</x:v>
      </x:c>
      <x:c r="L390" s="12" t="n">
        <x:f>IF(O390+Q390=0,"",O390/(O390+Q390))</x:f>
        <x:v>1</x:v>
      </x:c>
      <x:c r="M390" s="12" t="n">
        <x:f>IF(2*O390+P390+Q390=0,"",2*O390/(2*O390+P390+Q390))</x:f>
        <x:v>0.6779661016949152</x:v>
      </x:c>
      <x:c r="N390" s="12" t="n">
        <x:f>IF(OR(O390+Q390=0,R390+P390=0),"",(L390+R390/(R390+P390))/2)</x:f>
        <x:v>0.5</x:v>
      </x:c>
      <x:c r="O390" s="11" t="n">
        <x:v>20</x:v>
      </x:c>
      <x:c r="P390" s="11" t="n">
        <x:v>19</x:v>
      </x:c>
      <x:c r="Q390" s="11" t="n">
        <x:v>0</x:v>
      </x:c>
      <x:c r="R390" s="11" t="n">
        <x:v>0</x:v>
      </x:c>
    </x:row>
    <x:row r="391" ht="26" customHeight="1">
      <x:c r="A391" s="13" t="n">
        <x:v>46082</x:v>
      </x:c>
      <x:c r="B391" s="9" t="str">
        <x:v>共同可买</x:v>
      </x:c>
      <x:c r="C391" s="9" t="str">
        <x:v>测试</x:v>
      </x:c>
      <x:c r="D391" s="9" t="str">
        <x:v>Top3</x:v>
      </x:c>
      <x:c r="E391" s="9" t="str">
        <x:v>五K原规则</x:v>
      </x:c>
      <x:c r="F391" s="11" t="n">
        <x:f>SUM(O391:R391)</x:f>
        <x:v>39</x:v>
      </x:c>
      <x:c r="G391" s="11" t="n">
        <x:v>39</x:v>
      </x:c>
      <x:c r="H391" s="11" t="n">
        <x:f>O391+P391</x:f>
        <x:v>13</x:v>
      </x:c>
      <x:c r="I391" s="12" t="n">
        <x:f>IF(F391=0,"",H391/F391)</x:f>
        <x:v>0.3333333333333333</x:v>
      </x:c>
      <x:c r="J391" s="12" t="n">
        <x:f>IF(F391=0,"",(O391+R391)/F391)</x:f>
        <x:v>0.717948717948718</x:v>
      </x:c>
      <x:c r="K391" s="12" t="n">
        <x:f>IF(H391=0,"",O391/H391)</x:f>
        <x:v>0.8461538461538461</x:v>
      </x:c>
      <x:c r="L391" s="12" t="n">
        <x:f>IF(O391+Q391=0,"",O391/(O391+Q391))</x:f>
        <x:v>0.55</x:v>
      </x:c>
      <x:c r="M391" s="12" t="n">
        <x:f>IF(2*O391+P391+Q391=0,"",2*O391/(2*O391+P391+Q391))</x:f>
        <x:v>0.6666666666666666</x:v>
      </x:c>
      <x:c r="N391" s="12" t="n">
        <x:f>IF(OR(O391+Q391=0,R391+P391=0),"",(L391+R391/(R391+P391))/2)</x:f>
        <x:v>0.7223684210526315</x:v>
      </x:c>
      <x:c r="O391" s="11" t="n">
        <x:v>11</x:v>
      </x:c>
      <x:c r="P391" s="11" t="n">
        <x:v>2</x:v>
      </x:c>
      <x:c r="Q391" s="11" t="n">
        <x:v>9</x:v>
      </x:c>
      <x:c r="R391" s="11" t="n">
        <x:v>17</x:v>
      </x:c>
    </x:row>
    <x:row r="392" ht="26" customHeight="1">
      <x:c r="A392" s="13" t="n">
        <x:v>46082</x:v>
      </x:c>
      <x:c r="B392" s="9" t="str">
        <x:v>共同可买</x:v>
      </x:c>
      <x:c r="C392" s="9" t="str">
        <x:v>测试</x:v>
      </x:c>
      <x:c r="D392" s="9" t="str">
        <x:v>Top3</x:v>
      </x:c>
      <x:c r="E392" s="9" t="str">
        <x:v>四K沿用门槛</x:v>
      </x:c>
      <x:c r="F392" s="11" t="n">
        <x:f>SUM(O392:R392)</x:f>
        <x:v>39</x:v>
      </x:c>
      <x:c r="G392" s="11" t="n">
        <x:v>39</x:v>
      </x:c>
      <x:c r="H392" s="11" t="n">
        <x:f>O392+P392</x:f>
        <x:v>13</x:v>
      </x:c>
      <x:c r="I392" s="12" t="n">
        <x:f>IF(F392=0,"",H392/F392)</x:f>
        <x:v>0.3333333333333333</x:v>
      </x:c>
      <x:c r="J392" s="12" t="n">
        <x:f>IF(F392=0,"",(O392+R392)/F392)</x:f>
        <x:v>0.717948717948718</x:v>
      </x:c>
      <x:c r="K392" s="12" t="n">
        <x:f>IF(H392=0,"",O392/H392)</x:f>
        <x:v>0.8461538461538461</x:v>
      </x:c>
      <x:c r="L392" s="12" t="n">
        <x:f>IF(O392+Q392=0,"",O392/(O392+Q392))</x:f>
        <x:v>0.55</x:v>
      </x:c>
      <x:c r="M392" s="12" t="n">
        <x:f>IF(2*O392+P392+Q392=0,"",2*O392/(2*O392+P392+Q392))</x:f>
        <x:v>0.6666666666666666</x:v>
      </x:c>
      <x:c r="N392" s="12" t="n">
        <x:f>IF(OR(O392+Q392=0,R392+P392=0),"",(L392+R392/(R392+P392))/2)</x:f>
        <x:v>0.7223684210526315</x:v>
      </x:c>
      <x:c r="O392" s="11" t="n">
        <x:v>11</x:v>
      </x:c>
      <x:c r="P392" s="11" t="n">
        <x:v>2</x:v>
      </x:c>
      <x:c r="Q392" s="11" t="n">
        <x:v>9</x:v>
      </x:c>
      <x:c r="R392" s="11" t="n">
        <x:v>17</x:v>
      </x:c>
    </x:row>
    <x:row r="393" ht="26" customHeight="1">
      <x:c r="A393" s="13" t="n">
        <x:v>46082</x:v>
      </x:c>
      <x:c r="B393" s="9" t="str">
        <x:v>共同可买</x:v>
      </x:c>
      <x:c r="C393" s="9" t="str">
        <x:v>测试</x:v>
      </x:c>
      <x:c r="D393" s="9" t="str">
        <x:v>Top3</x:v>
      </x:c>
      <x:c r="E393" s="9" t="str">
        <x:v>四K重选规则</x:v>
      </x:c>
      <x:c r="F393" s="11" t="n">
        <x:f>SUM(O393:R393)</x:f>
        <x:v>39</x:v>
      </x:c>
      <x:c r="G393" s="11" t="n">
        <x:v>39</x:v>
      </x:c>
      <x:c r="H393" s="11" t="n">
        <x:f>O393+P393</x:f>
        <x:v>21</x:v>
      </x:c>
      <x:c r="I393" s="12" t="n">
        <x:f>IF(F393=0,"",H393/F393)</x:f>
        <x:v>0.5384615384615384</x:v>
      </x:c>
      <x:c r="J393" s="12" t="n">
        <x:f>IF(F393=0,"",(O393+R393)/F393)</x:f>
        <x:v>0.6153846153846154</x:v>
      </x:c>
      <x:c r="K393" s="12" t="n">
        <x:f>IF(H393=0,"",O393/H393)</x:f>
        <x:v>0.6190476190476191</x:v>
      </x:c>
      <x:c r="L393" s="12" t="n">
        <x:f>IF(O393+Q393=0,"",O393/(O393+Q393))</x:f>
        <x:v>0.65</x:v>
      </x:c>
      <x:c r="M393" s="12" t="n">
        <x:f>IF(2*O393+P393+Q393=0,"",2*O393/(2*O393+P393+Q393))</x:f>
        <x:v>0.6341463414634146</x:v>
      </x:c>
      <x:c r="N393" s="12" t="n">
        <x:f>IF(OR(O393+Q393=0,R393+P393=0),"",(L393+R393/(R393+P393))/2)</x:f>
        <x:v>0.6144736842105263</x:v>
      </x:c>
      <x:c r="O393" s="11" t="n">
        <x:v>13</x:v>
      </x:c>
      <x:c r="P393" s="11" t="n">
        <x:v>8</x:v>
      </x:c>
      <x:c r="Q393" s="11" t="n">
        <x:v>7</x:v>
      </x:c>
      <x:c r="R393" s="11" t="n">
        <x:v>11</x:v>
      </x:c>
    </x:row>
    <x:row r="394" ht="26" customHeight="1">
      <x:c r="A394" s="13" t="n">
        <x:v>46082</x:v>
      </x:c>
      <x:c r="B394" s="9" t="str">
        <x:v>共同可买</x:v>
      </x:c>
      <x:c r="C394" s="9" t="str">
        <x:v>训练窗口</x:v>
      </x:c>
      <x:c r="D394" s="9" t="str">
        <x:v>Top3</x:v>
      </x:c>
      <x:c r="E394" s="9" t="str">
        <x:v>不判形态</x:v>
      </x:c>
      <x:c r="F394" s="11" t="n">
        <x:f>SUM(O394:R394)</x:f>
        <x:v>231</x:v>
      </x:c>
      <x:c r="G394" s="11" t="n">
        <x:v>231</x:v>
      </x:c>
      <x:c r="H394" s="11" t="n">
        <x:f>O394+P394</x:f>
        <x:v>231</x:v>
      </x:c>
      <x:c r="I394" s="12" t="n">
        <x:f>IF(F394=0,"",H394/F394)</x:f>
        <x:v>1</x:v>
      </x:c>
      <x:c r="J394" s="12" t="n">
        <x:f>IF(F394=0,"",(O394+R394)/F394)</x:f>
        <x:v>0.48484848484848486</x:v>
      </x:c>
      <x:c r="K394" s="12" t="n">
        <x:f>IF(H394=0,"",O394/H394)</x:f>
        <x:v>0.48484848484848486</x:v>
      </x:c>
      <x:c r="L394" s="12" t="n">
        <x:f>IF(O394+Q394=0,"",O394/(O394+Q394))</x:f>
        <x:v>1</x:v>
      </x:c>
      <x:c r="M394" s="12" t="n">
        <x:f>IF(2*O394+P394+Q394=0,"",2*O394/(2*O394+P394+Q394))</x:f>
        <x:v>0.6530612244897959</x:v>
      </x:c>
      <x:c r="N394" s="12" t="n">
        <x:f>IF(OR(O394+Q394=0,R394+P394=0),"",(L394+R394/(R394+P394))/2)</x:f>
        <x:v>0.5</x:v>
      </x:c>
      <x:c r="O394" s="11" t="n">
        <x:v>112</x:v>
      </x:c>
      <x:c r="P394" s="11" t="n">
        <x:v>119</x:v>
      </x:c>
      <x:c r="Q394" s="11" t="n">
        <x:v>0</x:v>
      </x:c>
      <x:c r="R394" s="11" t="n">
        <x:v>0</x:v>
      </x:c>
    </x:row>
    <x:row r="395" ht="26" customHeight="1">
      <x:c r="A395" s="13" t="n">
        <x:v>46082</x:v>
      </x:c>
      <x:c r="B395" s="9" t="str">
        <x:v>共同可买</x:v>
      </x:c>
      <x:c r="C395" s="9" t="str">
        <x:v>训练窗口</x:v>
      </x:c>
      <x:c r="D395" s="9" t="str">
        <x:v>Top3</x:v>
      </x:c>
      <x:c r="E395" s="9" t="str">
        <x:v>五K原规则</x:v>
      </x:c>
      <x:c r="F395" s="11" t="n">
        <x:f>SUM(O395:R395)</x:f>
        <x:v>231</x:v>
      </x:c>
      <x:c r="G395" s="11" t="n">
        <x:v>231</x:v>
      </x:c>
      <x:c r="H395" s="11" t="n">
        <x:f>O395+P395</x:f>
        <x:v>92</x:v>
      </x:c>
      <x:c r="I395" s="12" t="n">
        <x:f>IF(F395=0,"",H395/F395)</x:f>
        <x:v>0.39826839826839827</x:v>
      </x:c>
      <x:c r="J395" s="12" t="n">
        <x:f>IF(F395=0,"",(O395+R395)/F395)</x:f>
        <x:v>0.6796536796536796</x:v>
      </x:c>
      <x:c r="K395" s="12" t="n">
        <x:f>IF(H395=0,"",O395/H395)</x:f>
        <x:v>0.7065217391304348</x:v>
      </x:c>
      <x:c r="L395" s="12" t="n">
        <x:f>IF(O395+Q395=0,"",O395/(O395+Q395))</x:f>
        <x:v>0.5803571428571429</x:v>
      </x:c>
      <x:c r="M395" s="12" t="n">
        <x:f>IF(2*O395+P395+Q395=0,"",2*O395/(2*O395+P395+Q395))</x:f>
        <x:v>0.6372549019607843</x:v>
      </x:c>
      <x:c r="N395" s="12" t="n">
        <x:f>IF(OR(O395+Q395=0,R395+P395=0),"",(L395+R395/(R395+P395))/2)</x:f>
        <x:v>0.676733193277311</x:v>
      </x:c>
      <x:c r="O395" s="11" t="n">
        <x:v>65</x:v>
      </x:c>
      <x:c r="P395" s="11" t="n">
        <x:v>27</x:v>
      </x:c>
      <x:c r="Q395" s="11" t="n">
        <x:v>47</x:v>
      </x:c>
      <x:c r="R395" s="11" t="n">
        <x:v>92</x:v>
      </x:c>
    </x:row>
    <x:row r="396" ht="26" customHeight="1">
      <x:c r="A396" s="13" t="n">
        <x:v>46082</x:v>
      </x:c>
      <x:c r="B396" s="9" t="str">
        <x:v>共同可买</x:v>
      </x:c>
      <x:c r="C396" s="9" t="str">
        <x:v>训练窗口</x:v>
      </x:c>
      <x:c r="D396" s="9" t="str">
        <x:v>Top3</x:v>
      </x:c>
      <x:c r="E396" s="9" t="str">
        <x:v>四K沿用门槛</x:v>
      </x:c>
      <x:c r="F396" s="11" t="n">
        <x:f>SUM(O396:R396)</x:f>
        <x:v>231</x:v>
      </x:c>
      <x:c r="G396" s="11" t="n">
        <x:v>231</x:v>
      </x:c>
      <x:c r="H396" s="11" t="n">
        <x:f>O396+P396</x:f>
        <x:v>95</x:v>
      </x:c>
      <x:c r="I396" s="12" t="n">
        <x:f>IF(F396=0,"",H396/F396)</x:f>
        <x:v>0.41125541125541126</x:v>
      </x:c>
      <x:c r="J396" s="12" t="n">
        <x:f>IF(F396=0,"",(O396+R396)/F396)</x:f>
        <x:v>0.6753246753246753</x:v>
      </x:c>
      <x:c r="K396" s="12" t="n">
        <x:f>IF(H396=0,"",O396/H396)</x:f>
        <x:v>0.6947368421052632</x:v>
      </x:c>
      <x:c r="L396" s="12" t="n">
        <x:f>IF(O396+Q396=0,"",O396/(O396+Q396))</x:f>
        <x:v>0.5892857142857143</x:v>
      </x:c>
      <x:c r="M396" s="12" t="n">
        <x:f>IF(2*O396+P396+Q396=0,"",2*O396/(2*O396+P396+Q396))</x:f>
        <x:v>0.6376811594202898</x:v>
      </x:c>
      <x:c r="N396" s="12" t="n">
        <x:f>IF(OR(O396+Q396=0,R396+P396=0),"",(L396+R396/(R396+P396))/2)</x:f>
        <x:v>0.6727941176470589</x:v>
      </x:c>
      <x:c r="O396" s="11" t="n">
        <x:v>66</x:v>
      </x:c>
      <x:c r="P396" s="11" t="n">
        <x:v>29</x:v>
      </x:c>
      <x:c r="Q396" s="11" t="n">
        <x:v>46</x:v>
      </x:c>
      <x:c r="R396" s="11" t="n">
        <x:v>90</x:v>
      </x:c>
    </x:row>
    <x:row r="397" ht="26" customHeight="1">
      <x:c r="A397" s="13" t="n">
        <x:v>46082</x:v>
      </x:c>
      <x:c r="B397" s="9" t="str">
        <x:v>共同可买</x:v>
      </x:c>
      <x:c r="C397" s="9" t="str">
        <x:v>训练窗口</x:v>
      </x:c>
      <x:c r="D397" s="9" t="str">
        <x:v>Top3</x:v>
      </x:c>
      <x:c r="E397" s="9" t="str">
        <x:v>四K重选规则</x:v>
      </x:c>
      <x:c r="F397" s="11" t="n">
        <x:f>SUM(O397:R397)</x:f>
        <x:v>231</x:v>
      </x:c>
      <x:c r="G397" s="11" t="n">
        <x:v>231</x:v>
      </x:c>
      <x:c r="H397" s="11" t="n">
        <x:f>O397+P397</x:f>
        <x:v>96</x:v>
      </x:c>
      <x:c r="I397" s="12" t="n">
        <x:f>IF(F397=0,"",H397/F397)</x:f>
        <x:v>0.4155844155844156</x:v>
      </x:c>
      <x:c r="J397" s="12" t="n">
        <x:f>IF(F397=0,"",(O397+R397)/F397)</x:f>
        <x:v>0.5930735930735931</x:v>
      </x:c>
      <x:c r="K397" s="12" t="n">
        <x:f>IF(H397=0,"",O397/H397)</x:f>
        <x:v>0.59375</x:v>
      </x:c>
      <x:c r="L397" s="12" t="n">
        <x:f>IF(O397+Q397=0,"",O397/(O397+Q397))</x:f>
        <x:v>0.5089285714285714</x:v>
      </x:c>
      <x:c r="M397" s="12" t="n">
        <x:f>IF(2*O397+P397+Q397=0,"",2*O397/(2*O397+P397+Q397))</x:f>
        <x:v>0.5480769230769231</x:v>
      </x:c>
      <x:c r="N397" s="12" t="n">
        <x:f>IF(OR(O397+Q397=0,R397+P397=0),"",(L397+R397/(R397+P397))/2)</x:f>
        <x:v>0.5905987394957983</x:v>
      </x:c>
      <x:c r="O397" s="11" t="n">
        <x:v>57</x:v>
      </x:c>
      <x:c r="P397" s="11" t="n">
        <x:v>39</x:v>
      </x:c>
      <x:c r="Q397" s="11" t="n">
        <x:v>55</x:v>
      </x:c>
      <x:c r="R397" s="11" t="n">
        <x:v>80</x:v>
      </x:c>
    </x:row>
    <x:row r="398" ht="26" customHeight="1">
      <x:c r="A398" s="13" t="n">
        <x:v>46082</x:v>
      </x:c>
      <x:c r="B398" s="9" t="str">
        <x:v>共同可买</x:v>
      </x:c>
      <x:c r="C398" s="9" t="str">
        <x:v>验证窗口</x:v>
      </x:c>
      <x:c r="D398" s="9" t="str">
        <x:v>Top3</x:v>
      </x:c>
      <x:c r="E398" s="9" t="str">
        <x:v>不判形态</x:v>
      </x:c>
      <x:c r="F398" s="11" t="n">
        <x:f>SUM(O398:R398)</x:f>
        <x:v>59</x:v>
      </x:c>
      <x:c r="G398" s="11" t="n">
        <x:v>59</x:v>
      </x:c>
      <x:c r="H398" s="11" t="n">
        <x:f>O398+P398</x:f>
        <x:v>59</x:v>
      </x:c>
      <x:c r="I398" s="12" t="n">
        <x:f>IF(F398=0,"",H398/F398)</x:f>
        <x:v>1</x:v>
      </x:c>
      <x:c r="J398" s="12" t="n">
        <x:f>IF(F398=0,"",(O398+R398)/F398)</x:f>
        <x:v>0.4745762711864407</x:v>
      </x:c>
      <x:c r="K398" s="12" t="n">
        <x:f>IF(H398=0,"",O398/H398)</x:f>
        <x:v>0.4745762711864407</x:v>
      </x:c>
      <x:c r="L398" s="12" t="n">
        <x:f>IF(O398+Q398=0,"",O398/(O398+Q398))</x:f>
        <x:v>1</x:v>
      </x:c>
      <x:c r="M398" s="12" t="n">
        <x:f>IF(2*O398+P398+Q398=0,"",2*O398/(2*O398+P398+Q398))</x:f>
        <x:v>0.6436781609195402</x:v>
      </x:c>
      <x:c r="N398" s="12" t="n">
        <x:f>IF(OR(O398+Q398=0,R398+P398=0),"",(L398+R398/(R398+P398))/2)</x:f>
        <x:v>0.5</x:v>
      </x:c>
      <x:c r="O398" s="11" t="n">
        <x:v>28</x:v>
      </x:c>
      <x:c r="P398" s="11" t="n">
        <x:v>31</x:v>
      </x:c>
      <x:c r="Q398" s="11" t="n">
        <x:v>0</x:v>
      </x:c>
      <x:c r="R398" s="11" t="n">
        <x:v>0</x:v>
      </x:c>
    </x:row>
    <x:row r="399" ht="26" customHeight="1">
      <x:c r="A399" s="13" t="n">
        <x:v>46082</x:v>
      </x:c>
      <x:c r="B399" s="9" t="str">
        <x:v>共同可买</x:v>
      </x:c>
      <x:c r="C399" s="9" t="str">
        <x:v>验证窗口</x:v>
      </x:c>
      <x:c r="D399" s="9" t="str">
        <x:v>Top3</x:v>
      </x:c>
      <x:c r="E399" s="9" t="str">
        <x:v>五K原规则</x:v>
      </x:c>
      <x:c r="F399" s="11" t="n">
        <x:f>SUM(O399:R399)</x:f>
        <x:v>59</x:v>
      </x:c>
      <x:c r="G399" s="11" t="n">
        <x:v>59</x:v>
      </x:c>
      <x:c r="H399" s="11" t="n">
        <x:f>O399+P399</x:f>
        <x:v>26</x:v>
      </x:c>
      <x:c r="I399" s="12" t="n">
        <x:f>IF(F399=0,"",H399/F399)</x:f>
        <x:v>0.4406779661016949</x:v>
      </x:c>
      <x:c r="J399" s="12" t="n">
        <x:f>IF(F399=0,"",(O399+R399)/F399)</x:f>
        <x:v>0.7288135593220338</x:v>
      </x:c>
      <x:c r="K399" s="12" t="n">
        <x:f>IF(H399=0,"",O399/H399)</x:f>
        <x:v>0.7307692307692307</x:v>
      </x:c>
      <x:c r="L399" s="12" t="n">
        <x:f>IF(O399+Q399=0,"",O399/(O399+Q399))</x:f>
        <x:v>0.6785714285714286</x:v>
      </x:c>
      <x:c r="M399" s="12" t="n">
        <x:f>IF(2*O399+P399+Q399=0,"",2*O399/(2*O399+P399+Q399))</x:f>
        <x:v>0.7037037037037037</x:v>
      </x:c>
      <x:c r="N399" s="12" t="n">
        <x:f>IF(OR(O399+Q399=0,R399+P399=0),"",(L399+R399/(R399+P399))/2)</x:f>
        <x:v>0.7263824884792627</x:v>
      </x:c>
      <x:c r="O399" s="11" t="n">
        <x:v>19</x:v>
      </x:c>
      <x:c r="P399" s="11" t="n">
        <x:v>7</x:v>
      </x:c>
      <x:c r="Q399" s="11" t="n">
        <x:v>9</x:v>
      </x:c>
      <x:c r="R399" s="11" t="n">
        <x:v>24</x:v>
      </x:c>
    </x:row>
    <x:row r="400" ht="26" customHeight="1">
      <x:c r="A400" s="13" t="n">
        <x:v>46082</x:v>
      </x:c>
      <x:c r="B400" s="9" t="str">
        <x:v>共同可买</x:v>
      </x:c>
      <x:c r="C400" s="9" t="str">
        <x:v>验证窗口</x:v>
      </x:c>
      <x:c r="D400" s="9" t="str">
        <x:v>Top3</x:v>
      </x:c>
      <x:c r="E400" s="9" t="str">
        <x:v>四K沿用门槛</x:v>
      </x:c>
      <x:c r="F400" s="11" t="n">
        <x:f>SUM(O400:R400)</x:f>
        <x:v>59</x:v>
      </x:c>
      <x:c r="G400" s="11" t="n">
        <x:v>59</x:v>
      </x:c>
      <x:c r="H400" s="11" t="n">
        <x:f>O400+P400</x:f>
        <x:v>28</x:v>
      </x:c>
      <x:c r="I400" s="12" t="n">
        <x:f>IF(F400=0,"",H400/F400)</x:f>
        <x:v>0.4745762711864407</x:v>
      </x:c>
      <x:c r="J400" s="12" t="n">
        <x:f>IF(F400=0,"",(O400+R400)/F400)</x:f>
        <x:v>0.6949152542372882</x:v>
      </x:c>
      <x:c r="K400" s="12" t="n">
        <x:f>IF(H400=0,"",O400/H400)</x:f>
        <x:v>0.6785714285714286</x:v>
      </x:c>
      <x:c r="L400" s="12" t="n">
        <x:f>IF(O400+Q400=0,"",O400/(O400+Q400))</x:f>
        <x:v>0.6785714285714286</x:v>
      </x:c>
      <x:c r="M400" s="12" t="n">
        <x:f>IF(2*O400+P400+Q400=0,"",2*O400/(2*O400+P400+Q400))</x:f>
        <x:v>0.6785714285714286</x:v>
      </x:c>
      <x:c r="N400" s="12" t="n">
        <x:f>IF(OR(O400+Q400=0,R400+P400=0),"",(L400+R400/(R400+P400))/2)</x:f>
        <x:v>0.6941244239631337</x:v>
      </x:c>
      <x:c r="O400" s="11" t="n">
        <x:v>19</x:v>
      </x:c>
      <x:c r="P400" s="11" t="n">
        <x:v>9</x:v>
      </x:c>
      <x:c r="Q400" s="11" t="n">
        <x:v>9</x:v>
      </x:c>
      <x:c r="R400" s="11" t="n">
        <x:v>22</x:v>
      </x:c>
    </x:row>
    <x:row r="401" ht="26" customHeight="1">
      <x:c r="A401" s="13" t="n">
        <x:v>46082</x:v>
      </x:c>
      <x:c r="B401" s="9" t="str">
        <x:v>共同可买</x:v>
      </x:c>
      <x:c r="C401" s="9" t="str">
        <x:v>验证窗口</x:v>
      </x:c>
      <x:c r="D401" s="9" t="str">
        <x:v>Top3</x:v>
      </x:c>
      <x:c r="E401" s="9" t="str">
        <x:v>四K重选规则</x:v>
      </x:c>
      <x:c r="F401" s="11" t="n">
        <x:f>SUM(O401:R401)</x:f>
        <x:v>59</x:v>
      </x:c>
      <x:c r="G401" s="11" t="n">
        <x:v>59</x:v>
      </x:c>
      <x:c r="H401" s="11" t="n">
        <x:f>O401+P401</x:f>
        <x:v>25</x:v>
      </x:c>
      <x:c r="I401" s="12" t="n">
        <x:f>IF(F401=0,"",H401/F401)</x:f>
        <x:v>0.423728813559322</x:v>
      </x:c>
      <x:c r="J401" s="12" t="n">
        <x:f>IF(F401=0,"",(O401+R401)/F401)</x:f>
        <x:v>0.576271186440678</x:v>
      </x:c>
      <x:c r="K401" s="12" t="n">
        <x:f>IF(H401=0,"",O401/H401)</x:f>
        <x:v>0.56</x:v>
      </x:c>
      <x:c r="L401" s="12" t="n">
        <x:f>IF(O401+Q401=0,"",O401/(O401+Q401))</x:f>
        <x:v>0.5</x:v>
      </x:c>
      <x:c r="M401" s="12" t="n">
        <x:f>IF(2*O401+P401+Q401=0,"",2*O401/(2*O401+P401+Q401))</x:f>
        <x:v>0.5283018867924528</x:v>
      </x:c>
      <x:c r="N401" s="12" t="n">
        <x:f>IF(OR(O401+Q401=0,R401+P401=0),"",(L401+R401/(R401+P401))/2)</x:f>
        <x:v>0.5725806451612903</x:v>
      </x:c>
      <x:c r="O401" s="11" t="n">
        <x:v>14</x:v>
      </x:c>
      <x:c r="P401" s="11" t="n">
        <x:v>11</x:v>
      </x:c>
      <x:c r="Q401" s="11" t="n">
        <x:v>14</x:v>
      </x:c>
      <x:c r="R401" s="11" t="n">
        <x:v>20</x:v>
      </x:c>
    </x:row>
    <x:row r="402" ht="26" customHeight="1">
      <x:c r="A402" s="13" t="n">
        <x:v>46113</x:v>
      </x:c>
      <x:c r="B402" s="9" t="str">
        <x:v>共同可买</x:v>
      </x:c>
      <x:c r="C402" s="9" t="str">
        <x:v>测试</x:v>
      </x:c>
      <x:c r="D402" s="9" t="str">
        <x:v>Top3</x:v>
      </x:c>
      <x:c r="E402" s="9" t="str">
        <x:v>不判形态</x:v>
      </x:c>
      <x:c r="F402" s="11" t="n">
        <x:f>SUM(O402:R402)</x:f>
        <x:v>34</x:v>
      </x:c>
      <x:c r="G402" s="11" t="n">
        <x:v>34</x:v>
      </x:c>
      <x:c r="H402" s="11" t="n">
        <x:f>O402+P402</x:f>
        <x:v>34</x:v>
      </x:c>
      <x:c r="I402" s="12" t="n">
        <x:f>IF(F402=0,"",H402/F402)</x:f>
        <x:v>1</x:v>
      </x:c>
      <x:c r="J402" s="12" t="n">
        <x:f>IF(F402=0,"",(O402+R402)/F402)</x:f>
        <x:v>0.47058823529411764</x:v>
      </x:c>
      <x:c r="K402" s="12" t="n">
        <x:f>IF(H402=0,"",O402/H402)</x:f>
        <x:v>0.47058823529411764</x:v>
      </x:c>
      <x:c r="L402" s="12" t="n">
        <x:f>IF(O402+Q402=0,"",O402/(O402+Q402))</x:f>
        <x:v>1</x:v>
      </x:c>
      <x:c r="M402" s="12" t="n">
        <x:f>IF(2*O402+P402+Q402=0,"",2*O402/(2*O402+P402+Q402))</x:f>
        <x:v>0.64</x:v>
      </x:c>
      <x:c r="N402" s="12" t="n">
        <x:f>IF(OR(O402+Q402=0,R402+P402=0),"",(L402+R402/(R402+P402))/2)</x:f>
        <x:v>0.5</x:v>
      </x:c>
      <x:c r="O402" s="11" t="n">
        <x:v>16</x:v>
      </x:c>
      <x:c r="P402" s="11" t="n">
        <x:v>18</x:v>
      </x:c>
      <x:c r="Q402" s="11" t="n">
        <x:v>0</x:v>
      </x:c>
      <x:c r="R402" s="11" t="n">
        <x:v>0</x:v>
      </x:c>
    </x:row>
    <x:row r="403" ht="26" customHeight="1">
      <x:c r="A403" s="13" t="n">
        <x:v>46113</x:v>
      </x:c>
      <x:c r="B403" s="9" t="str">
        <x:v>共同可买</x:v>
      </x:c>
      <x:c r="C403" s="9" t="str">
        <x:v>测试</x:v>
      </x:c>
      <x:c r="D403" s="9" t="str">
        <x:v>Top3</x:v>
      </x:c>
      <x:c r="E403" s="9" t="str">
        <x:v>五K原规则</x:v>
      </x:c>
      <x:c r="F403" s="11" t="n">
        <x:f>SUM(O403:R403)</x:f>
        <x:v>34</x:v>
      </x:c>
      <x:c r="G403" s="11" t="n">
        <x:v>34</x:v>
      </x:c>
      <x:c r="H403" s="11" t="n">
        <x:f>O403+P403</x:f>
        <x:v>11</x:v>
      </x:c>
      <x:c r="I403" s="12" t="n">
        <x:f>IF(F403=0,"",H403/F403)</x:f>
        <x:v>0.3235294117647059</x:v>
      </x:c>
      <x:c r="J403" s="12" t="n">
        <x:f>IF(F403=0,"",(O403+R403)/F403)</x:f>
        <x:v>0.5</x:v>
      </x:c>
      <x:c r="K403" s="12" t="n">
        <x:f>IF(H403=0,"",O403/H403)</x:f>
        <x:v>0.45454545454545453</x:v>
      </x:c>
      <x:c r="L403" s="12" t="n">
        <x:f>IF(O403+Q403=0,"",O403/(O403+Q403))</x:f>
        <x:v>0.3125</x:v>
      </x:c>
      <x:c r="M403" s="12" t="n">
        <x:f>IF(2*O403+P403+Q403=0,"",2*O403/(2*O403+P403+Q403))</x:f>
        <x:v>0.37037037037037035</x:v>
      </x:c>
      <x:c r="N403" s="12" t="n">
        <x:f>IF(OR(O403+Q403=0,R403+P403=0),"",(L403+R403/(R403+P403))/2)</x:f>
        <x:v>0.4895833333333333</x:v>
      </x:c>
      <x:c r="O403" s="11" t="n">
        <x:v>5</x:v>
      </x:c>
      <x:c r="P403" s="11" t="n">
        <x:v>6</x:v>
      </x:c>
      <x:c r="Q403" s="11" t="n">
        <x:v>11</x:v>
      </x:c>
      <x:c r="R403" s="11" t="n">
        <x:v>12</x:v>
      </x:c>
    </x:row>
    <x:row r="404" ht="26" customHeight="1">
      <x:c r="A404" s="13" t="n">
        <x:v>46113</x:v>
      </x:c>
      <x:c r="B404" s="9" t="str">
        <x:v>共同可买</x:v>
      </x:c>
      <x:c r="C404" s="9" t="str">
        <x:v>测试</x:v>
      </x:c>
      <x:c r="D404" s="9" t="str">
        <x:v>Top3</x:v>
      </x:c>
      <x:c r="E404" s="9" t="str">
        <x:v>四K沿用门槛</x:v>
      </x:c>
      <x:c r="F404" s="11" t="n">
        <x:f>SUM(O404:R404)</x:f>
        <x:v>34</x:v>
      </x:c>
      <x:c r="G404" s="11" t="n">
        <x:v>34</x:v>
      </x:c>
      <x:c r="H404" s="11" t="n">
        <x:f>O404+P404</x:f>
        <x:v>11</x:v>
      </x:c>
      <x:c r="I404" s="12" t="n">
        <x:f>IF(F404=0,"",H404/F404)</x:f>
        <x:v>0.3235294117647059</x:v>
      </x:c>
      <x:c r="J404" s="12" t="n">
        <x:f>IF(F404=0,"",(O404+R404)/F404)</x:f>
        <x:v>0.5</x:v>
      </x:c>
      <x:c r="K404" s="12" t="n">
        <x:f>IF(H404=0,"",O404/H404)</x:f>
        <x:v>0.45454545454545453</x:v>
      </x:c>
      <x:c r="L404" s="12" t="n">
        <x:f>IF(O404+Q404=0,"",O404/(O404+Q404))</x:f>
        <x:v>0.3125</x:v>
      </x:c>
      <x:c r="M404" s="12" t="n">
        <x:f>IF(2*O404+P404+Q404=0,"",2*O404/(2*O404+P404+Q404))</x:f>
        <x:v>0.37037037037037035</x:v>
      </x:c>
      <x:c r="N404" s="12" t="n">
        <x:f>IF(OR(O404+Q404=0,R404+P404=0),"",(L404+R404/(R404+P404))/2)</x:f>
        <x:v>0.4895833333333333</x:v>
      </x:c>
      <x:c r="O404" s="11" t="n">
        <x:v>5</x:v>
      </x:c>
      <x:c r="P404" s="11" t="n">
        <x:v>6</x:v>
      </x:c>
      <x:c r="Q404" s="11" t="n">
        <x:v>11</x:v>
      </x:c>
      <x:c r="R404" s="11" t="n">
        <x:v>12</x:v>
      </x:c>
    </x:row>
    <x:row r="405" ht="26" customHeight="1">
      <x:c r="A405" s="13" t="n">
        <x:v>46113</x:v>
      </x:c>
      <x:c r="B405" s="9" t="str">
        <x:v>共同可买</x:v>
      </x:c>
      <x:c r="C405" s="9" t="str">
        <x:v>测试</x:v>
      </x:c>
      <x:c r="D405" s="9" t="str">
        <x:v>Top3</x:v>
      </x:c>
      <x:c r="E405" s="9" t="str">
        <x:v>四K重选规则</x:v>
      </x:c>
      <x:c r="F405" s="11" t="n">
        <x:f>SUM(O405:R405)</x:f>
        <x:v>34</x:v>
      </x:c>
      <x:c r="G405" s="11" t="n">
        <x:v>34</x:v>
      </x:c>
      <x:c r="H405" s="11" t="n">
        <x:f>O405+P405</x:f>
        <x:v>11</x:v>
      </x:c>
      <x:c r="I405" s="12" t="n">
        <x:f>IF(F405=0,"",H405/F405)</x:f>
        <x:v>0.3235294117647059</x:v>
      </x:c>
      <x:c r="J405" s="12" t="n">
        <x:f>IF(F405=0,"",(O405+R405)/F405)</x:f>
        <x:v>0.5</x:v>
      </x:c>
      <x:c r="K405" s="12" t="n">
        <x:f>IF(H405=0,"",O405/H405)</x:f>
        <x:v>0.45454545454545453</x:v>
      </x:c>
      <x:c r="L405" s="12" t="n">
        <x:f>IF(O405+Q405=0,"",O405/(O405+Q405))</x:f>
        <x:v>0.3125</x:v>
      </x:c>
      <x:c r="M405" s="12" t="n">
        <x:f>IF(2*O405+P405+Q405=0,"",2*O405/(2*O405+P405+Q405))</x:f>
        <x:v>0.37037037037037035</x:v>
      </x:c>
      <x:c r="N405" s="12" t="n">
        <x:f>IF(OR(O405+Q405=0,R405+P405=0),"",(L405+R405/(R405+P405))/2)</x:f>
        <x:v>0.4895833333333333</x:v>
      </x:c>
      <x:c r="O405" s="11" t="n">
        <x:v>5</x:v>
      </x:c>
      <x:c r="P405" s="11" t="n">
        <x:v>6</x:v>
      </x:c>
      <x:c r="Q405" s="11" t="n">
        <x:v>11</x:v>
      </x:c>
      <x:c r="R405" s="11" t="n">
        <x:v>12</x:v>
      </x:c>
    </x:row>
    <x:row r="406" ht="26" customHeight="1">
      <x:c r="A406" s="13" t="n">
        <x:v>46113</x:v>
      </x:c>
      <x:c r="B406" s="9" t="str">
        <x:v>共同可买</x:v>
      </x:c>
      <x:c r="C406" s="9" t="str">
        <x:v>训练窗口</x:v>
      </x:c>
      <x:c r="D406" s="9" t="str">
        <x:v>Top3</x:v>
      </x:c>
      <x:c r="E406" s="9" t="str">
        <x:v>不判形态</x:v>
      </x:c>
      <x:c r="F406" s="11" t="n">
        <x:f>SUM(O406:R406)</x:f>
        <x:v>222</x:v>
      </x:c>
      <x:c r="G406" s="11" t="n">
        <x:v>222</x:v>
      </x:c>
      <x:c r="H406" s="11" t="n">
        <x:f>O406+P406</x:f>
        <x:v>222</x:v>
      </x:c>
      <x:c r="I406" s="12" t="n">
        <x:f>IF(F406=0,"",H406/F406)</x:f>
        <x:v>1</x:v>
      </x:c>
      <x:c r="J406" s="12" t="n">
        <x:f>IF(F406=0,"",(O406+R406)/F406)</x:f>
        <x:v>0.481981981981982</x:v>
      </x:c>
      <x:c r="K406" s="12" t="n">
        <x:f>IF(H406=0,"",O406/H406)</x:f>
        <x:v>0.481981981981982</x:v>
      </x:c>
      <x:c r="L406" s="12" t="n">
        <x:f>IF(O406+Q406=0,"",O406/(O406+Q406))</x:f>
        <x:v>1</x:v>
      </x:c>
      <x:c r="M406" s="12" t="n">
        <x:f>IF(2*O406+P406+Q406=0,"",2*O406/(2*O406+P406+Q406))</x:f>
        <x:v>0.6504559270516718</x:v>
      </x:c>
      <x:c r="N406" s="12" t="n">
        <x:f>IF(OR(O406+Q406=0,R406+P406=0),"",(L406+R406/(R406+P406))/2)</x:f>
        <x:v>0.5</x:v>
      </x:c>
      <x:c r="O406" s="11" t="n">
        <x:v>107</x:v>
      </x:c>
      <x:c r="P406" s="11" t="n">
        <x:v>115</x:v>
      </x:c>
      <x:c r="Q406" s="11" t="n">
        <x:v>0</x:v>
      </x:c>
      <x:c r="R406" s="11" t="n">
        <x:v>0</x:v>
      </x:c>
    </x:row>
    <x:row r="407" ht="26" customHeight="1">
      <x:c r="A407" s="13" t="n">
        <x:v>46113</x:v>
      </x:c>
      <x:c r="B407" s="9" t="str">
        <x:v>共同可买</x:v>
      </x:c>
      <x:c r="C407" s="9" t="str">
        <x:v>训练窗口</x:v>
      </x:c>
      <x:c r="D407" s="9" t="str">
        <x:v>Top3</x:v>
      </x:c>
      <x:c r="E407" s="9" t="str">
        <x:v>五K原规则</x:v>
      </x:c>
      <x:c r="F407" s="11" t="n">
        <x:f>SUM(O407:R407)</x:f>
        <x:v>222</x:v>
      </x:c>
      <x:c r="G407" s="11" t="n">
        <x:v>222</x:v>
      </x:c>
      <x:c r="H407" s="11" t="n">
        <x:f>O407+P407</x:f>
        <x:v>93</x:v>
      </x:c>
      <x:c r="I407" s="12" t="n">
        <x:f>IF(F407=0,"",H407/F407)</x:f>
        <x:v>0.4189189189189189</x:v>
      </x:c>
      <x:c r="J407" s="12" t="n">
        <x:f>IF(F407=0,"",(O407+R407)/F407)</x:f>
        <x:v>0.7117117117117117</x:v>
      </x:c>
      <x:c r="K407" s="12" t="n">
        <x:f>IF(H407=0,"",O407/H407)</x:f>
        <x:v>0.7311827956989247</x:v>
      </x:c>
      <x:c r="L407" s="12" t="n">
        <x:f>IF(O407+Q407=0,"",O407/(O407+Q407))</x:f>
        <x:v>0.6355140186915887</x:v>
      </x:c>
      <x:c r="M407" s="12" t="n">
        <x:f>IF(2*O407+P407+Q407=0,"",2*O407/(2*O407+P407+Q407))</x:f>
        <x:v>0.68</x:v>
      </x:c>
      <x:c r="N407" s="12" t="n">
        <x:f>IF(OR(O407+Q407=0,R407+P407=0),"",(L407+R407/(R407+P407))/2)</x:f>
        <x:v>0.7090613571718813</x:v>
      </x:c>
      <x:c r="O407" s="11" t="n">
        <x:v>68</x:v>
      </x:c>
      <x:c r="P407" s="11" t="n">
        <x:v>25</x:v>
      </x:c>
      <x:c r="Q407" s="11" t="n">
        <x:v>39</x:v>
      </x:c>
      <x:c r="R407" s="11" t="n">
        <x:v>90</x:v>
      </x:c>
    </x:row>
    <x:row r="408" ht="26" customHeight="1">
      <x:c r="A408" s="13" t="n">
        <x:v>46113</x:v>
      </x:c>
      <x:c r="B408" s="9" t="str">
        <x:v>共同可买</x:v>
      </x:c>
      <x:c r="C408" s="9" t="str">
        <x:v>训练窗口</x:v>
      </x:c>
      <x:c r="D408" s="9" t="str">
        <x:v>Top3</x:v>
      </x:c>
      <x:c r="E408" s="9" t="str">
        <x:v>四K沿用门槛</x:v>
      </x:c>
      <x:c r="F408" s="11" t="n">
        <x:f>SUM(O408:R408)</x:f>
        <x:v>222</x:v>
      </x:c>
      <x:c r="G408" s="11" t="n">
        <x:v>222</x:v>
      </x:c>
      <x:c r="H408" s="11" t="n">
        <x:f>O408+P408</x:f>
        <x:v>97</x:v>
      </x:c>
      <x:c r="I408" s="12" t="n">
        <x:f>IF(F408=0,"",H408/F408)</x:f>
        <x:v>0.4369369369369369</x:v>
      </x:c>
      <x:c r="J408" s="12" t="n">
        <x:f>IF(F408=0,"",(O408+R408)/F408)</x:f>
        <x:v>0.7027027027027027</x:v>
      </x:c>
      <x:c r="K408" s="12" t="n">
        <x:f>IF(H408=0,"",O408/H408)</x:f>
        <x:v>0.711340206185567</x:v>
      </x:c>
      <x:c r="L408" s="12" t="n">
        <x:f>IF(O408+Q408=0,"",O408/(O408+Q408))</x:f>
        <x:v>0.6448598130841121</x:v>
      </x:c>
      <x:c r="M408" s="12" t="n">
        <x:f>IF(2*O408+P408+Q408=0,"",2*O408/(2*O408+P408+Q408))</x:f>
        <x:v>0.6764705882352942</x:v>
      </x:c>
      <x:c r="N408" s="12" t="n">
        <x:f>IF(OR(O408+Q408=0,R408+P408=0),"",(L408+R408/(R408+P408))/2)</x:f>
        <x:v>0.7006907761072734</x:v>
      </x:c>
      <x:c r="O408" s="11" t="n">
        <x:v>69</x:v>
      </x:c>
      <x:c r="P408" s="11" t="n">
        <x:v>28</x:v>
      </x:c>
      <x:c r="Q408" s="11" t="n">
        <x:v>38</x:v>
      </x:c>
      <x:c r="R408" s="11" t="n">
        <x:v>87</x:v>
      </x:c>
    </x:row>
    <x:row r="409" ht="26" customHeight="1">
      <x:c r="A409" s="13" t="n">
        <x:v>46113</x:v>
      </x:c>
      <x:c r="B409" s="9" t="str">
        <x:v>共同可买</x:v>
      </x:c>
      <x:c r="C409" s="9" t="str">
        <x:v>训练窗口</x:v>
      </x:c>
      <x:c r="D409" s="9" t="str">
        <x:v>Top3</x:v>
      </x:c>
      <x:c r="E409" s="9" t="str">
        <x:v>四K重选规则</x:v>
      </x:c>
      <x:c r="F409" s="11" t="n">
        <x:f>SUM(O409:R409)</x:f>
        <x:v>222</x:v>
      </x:c>
      <x:c r="G409" s="11" t="n">
        <x:v>222</x:v>
      </x:c>
      <x:c r="H409" s="11" t="n">
        <x:f>O409+P409</x:f>
        <x:v>84</x:v>
      </x:c>
      <x:c r="I409" s="12" t="n">
        <x:f>IF(F409=0,"",H409/F409)</x:f>
        <x:v>0.3783783783783784</x:v>
      </x:c>
      <x:c r="J409" s="12" t="n">
        <x:f>IF(F409=0,"",(O409+R409)/F409)</x:f>
        <x:v>0.6711711711711712</x:v>
      </x:c>
      <x:c r="K409" s="12" t="n">
        <x:f>IF(H409=0,"",O409/H409)</x:f>
        <x:v>0.7023809523809523</x:v>
      </x:c>
      <x:c r="L409" s="12" t="n">
        <x:f>IF(O409+Q409=0,"",O409/(O409+Q409))</x:f>
        <x:v>0.5514018691588785</x:v>
      </x:c>
      <x:c r="M409" s="12" t="n">
        <x:f>IF(2*O409+P409+Q409=0,"",2*O409/(2*O409+P409+Q409))</x:f>
        <x:v>0.6178010471204188</x:v>
      </x:c>
      <x:c r="N409" s="12" t="n">
        <x:f>IF(OR(O409+Q409=0,R409+P409=0),"",(L409+R409/(R409+P409))/2)</x:f>
        <x:v>0.6670052824055261</x:v>
      </x:c>
      <x:c r="O409" s="11" t="n">
        <x:v>59</x:v>
      </x:c>
      <x:c r="P409" s="11" t="n">
        <x:v>25</x:v>
      </x:c>
      <x:c r="Q409" s="11" t="n">
        <x:v>48</x:v>
      </x:c>
      <x:c r="R409" s="11" t="n">
        <x:v>90</x:v>
      </x:c>
    </x:row>
    <x:row r="410" ht="26" customHeight="1">
      <x:c r="A410" s="13" t="n">
        <x:v>46113</x:v>
      </x:c>
      <x:c r="B410" s="9" t="str">
        <x:v>共同可买</x:v>
      </x:c>
      <x:c r="C410" s="9" t="str">
        <x:v>验证窗口</x:v>
      </x:c>
      <x:c r="D410" s="9" t="str">
        <x:v>Top3</x:v>
      </x:c>
      <x:c r="E410" s="9" t="str">
        <x:v>不判形态</x:v>
      </x:c>
      <x:c r="F410" s="11" t="n">
        <x:f>SUM(O410:R410)</x:f>
        <x:v>61</x:v>
      </x:c>
      <x:c r="G410" s="11" t="n">
        <x:v>61</x:v>
      </x:c>
      <x:c r="H410" s="11" t="n">
        <x:f>O410+P410</x:f>
        <x:v>61</x:v>
      </x:c>
      <x:c r="I410" s="12" t="n">
        <x:f>IF(F410=0,"",H410/F410)</x:f>
        <x:v>1</x:v>
      </x:c>
      <x:c r="J410" s="12" t="n">
        <x:f>IF(F410=0,"",(O410+R410)/F410)</x:f>
        <x:v>0.5245901639344263</x:v>
      </x:c>
      <x:c r="K410" s="12" t="n">
        <x:f>IF(H410=0,"",O410/H410)</x:f>
        <x:v>0.5245901639344263</x:v>
      </x:c>
      <x:c r="L410" s="12" t="n">
        <x:f>IF(O410+Q410=0,"",O410/(O410+Q410))</x:f>
        <x:v>1</x:v>
      </x:c>
      <x:c r="M410" s="12" t="n">
        <x:f>IF(2*O410+P410+Q410=0,"",2*O410/(2*O410+P410+Q410))</x:f>
        <x:v>0.6881720430107527</x:v>
      </x:c>
      <x:c r="N410" s="12" t="n">
        <x:f>IF(OR(O410+Q410=0,R410+P410=0),"",(L410+R410/(R410+P410))/2)</x:f>
        <x:v>0.5</x:v>
      </x:c>
      <x:c r="O410" s="11" t="n">
        <x:v>32</x:v>
      </x:c>
      <x:c r="P410" s="11" t="n">
        <x:v>29</x:v>
      </x:c>
      <x:c r="Q410" s="11" t="n">
        <x:v>0</x:v>
      </x:c>
      <x:c r="R410" s="11" t="n">
        <x:v>0</x:v>
      </x:c>
    </x:row>
    <x:row r="411" ht="26" customHeight="1">
      <x:c r="A411" s="13" t="n">
        <x:v>46113</x:v>
      </x:c>
      <x:c r="B411" s="9" t="str">
        <x:v>共同可买</x:v>
      </x:c>
      <x:c r="C411" s="9" t="str">
        <x:v>验证窗口</x:v>
      </x:c>
      <x:c r="D411" s="9" t="str">
        <x:v>Top3</x:v>
      </x:c>
      <x:c r="E411" s="9" t="str">
        <x:v>五K原规则</x:v>
      </x:c>
      <x:c r="F411" s="11" t="n">
        <x:f>SUM(O411:R411)</x:f>
        <x:v>61</x:v>
      </x:c>
      <x:c r="G411" s="11" t="n">
        <x:v>61</x:v>
      </x:c>
      <x:c r="H411" s="11" t="n">
        <x:f>O411+P411</x:f>
        <x:v>26</x:v>
      </x:c>
      <x:c r="I411" s="12" t="n">
        <x:f>IF(F411=0,"",H411/F411)</x:f>
        <x:v>0.4262295081967213</x:v>
      </x:c>
      <x:c r="J411" s="12" t="n">
        <x:f>IF(F411=0,"",(O411+R411)/F411)</x:f>
        <x:v>0.6721311475409836</x:v>
      </x:c>
      <x:c r="K411" s="12" t="n">
        <x:f>IF(H411=0,"",O411/H411)</x:f>
        <x:v>0.7307692307692307</x:v>
      </x:c>
      <x:c r="L411" s="12" t="n">
        <x:f>IF(O411+Q411=0,"",O411/(O411+Q411))</x:f>
        <x:v>0.59375</x:v>
      </x:c>
      <x:c r="M411" s="12" t="n">
        <x:f>IF(2*O411+P411+Q411=0,"",2*O411/(2*O411+P411+Q411))</x:f>
        <x:v>0.6551724137931034</x:v>
      </x:c>
      <x:c r="N411" s="12" t="n">
        <x:f>IF(OR(O411+Q411=0,R411+P411=0),"",(L411+R411/(R411+P411))/2)</x:f>
        <x:v>0.6761853448275862</x:v>
      </x:c>
      <x:c r="O411" s="11" t="n">
        <x:v>19</x:v>
      </x:c>
      <x:c r="P411" s="11" t="n">
        <x:v>7</x:v>
      </x:c>
      <x:c r="Q411" s="11" t="n">
        <x:v>13</x:v>
      </x:c>
      <x:c r="R411" s="11" t="n">
        <x:v>22</x:v>
      </x:c>
    </x:row>
    <x:row r="412" ht="26" customHeight="1">
      <x:c r="A412" s="13" t="n">
        <x:v>46113</x:v>
      </x:c>
      <x:c r="B412" s="9" t="str">
        <x:v>共同可买</x:v>
      </x:c>
      <x:c r="C412" s="9" t="str">
        <x:v>验证窗口</x:v>
      </x:c>
      <x:c r="D412" s="9" t="str">
        <x:v>Top3</x:v>
      </x:c>
      <x:c r="E412" s="9" t="str">
        <x:v>四K沿用门槛</x:v>
      </x:c>
      <x:c r="F412" s="11" t="n">
        <x:f>SUM(O412:R412)</x:f>
        <x:v>61</x:v>
      </x:c>
      <x:c r="G412" s="11" t="n">
        <x:v>61</x:v>
      </x:c>
      <x:c r="H412" s="11" t="n">
        <x:f>O412+P412</x:f>
        <x:v>26</x:v>
      </x:c>
      <x:c r="I412" s="12" t="n">
        <x:f>IF(F412=0,"",H412/F412)</x:f>
        <x:v>0.4262295081967213</x:v>
      </x:c>
      <x:c r="J412" s="12" t="n">
        <x:f>IF(F412=0,"",(O412+R412)/F412)</x:f>
        <x:v>0.6721311475409836</x:v>
      </x:c>
      <x:c r="K412" s="12" t="n">
        <x:f>IF(H412=0,"",O412/H412)</x:f>
        <x:v>0.7307692307692307</x:v>
      </x:c>
      <x:c r="L412" s="12" t="n">
        <x:f>IF(O412+Q412=0,"",O412/(O412+Q412))</x:f>
        <x:v>0.59375</x:v>
      </x:c>
      <x:c r="M412" s="12" t="n">
        <x:f>IF(2*O412+P412+Q412=0,"",2*O412/(2*O412+P412+Q412))</x:f>
        <x:v>0.6551724137931034</x:v>
      </x:c>
      <x:c r="N412" s="12" t="n">
        <x:f>IF(OR(O412+Q412=0,R412+P412=0),"",(L412+R412/(R412+P412))/2)</x:f>
        <x:v>0.6761853448275862</x:v>
      </x:c>
      <x:c r="O412" s="11" t="n">
        <x:v>19</x:v>
      </x:c>
      <x:c r="P412" s="11" t="n">
        <x:v>7</x:v>
      </x:c>
      <x:c r="Q412" s="11" t="n">
        <x:v>13</x:v>
      </x:c>
      <x:c r="R412" s="11" t="n">
        <x:v>22</x:v>
      </x:c>
    </x:row>
    <x:row r="413" ht="26" customHeight="1">
      <x:c r="A413" s="13" t="n">
        <x:v>46113</x:v>
      </x:c>
      <x:c r="B413" s="9" t="str">
        <x:v>共同可买</x:v>
      </x:c>
      <x:c r="C413" s="9" t="str">
        <x:v>验证窗口</x:v>
      </x:c>
      <x:c r="D413" s="9" t="str">
        <x:v>Top3</x:v>
      </x:c>
      <x:c r="E413" s="9" t="str">
        <x:v>四K重选规则</x:v>
      </x:c>
      <x:c r="F413" s="11" t="n">
        <x:f>SUM(O413:R413)</x:f>
        <x:v>61</x:v>
      </x:c>
      <x:c r="G413" s="11" t="n">
        <x:v>61</x:v>
      </x:c>
      <x:c r="H413" s="11" t="n">
        <x:f>O413+P413</x:f>
        <x:v>23</x:v>
      </x:c>
      <x:c r="I413" s="12" t="n">
        <x:f>IF(F413=0,"",H413/F413)</x:f>
        <x:v>0.3770491803278688</x:v>
      </x:c>
      <x:c r="J413" s="12" t="n">
        <x:f>IF(F413=0,"",(O413+R413)/F413)</x:f>
        <x:v>0.6557377049180327</x:v>
      </x:c>
      <x:c r="K413" s="12" t="n">
        <x:f>IF(H413=0,"",O413/H413)</x:f>
        <x:v>0.7391304347826086</x:v>
      </x:c>
      <x:c r="L413" s="12" t="n">
        <x:f>IF(O413+Q413=0,"",O413/(O413+Q413))</x:f>
        <x:v>0.53125</x:v>
      </x:c>
      <x:c r="M413" s="12" t="n">
        <x:f>IF(2*O413+P413+Q413=0,"",2*O413/(2*O413+P413+Q413))</x:f>
        <x:v>0.6181818181818182</x:v>
      </x:c>
      <x:c r="N413" s="12" t="n">
        <x:f>IF(OR(O413+Q413=0,R413+P413=0),"",(L413+R413/(R413+P413))/2)</x:f>
        <x:v>0.662176724137931</x:v>
      </x:c>
      <x:c r="O413" s="11" t="n">
        <x:v>17</x:v>
      </x:c>
      <x:c r="P413" s="11" t="n">
        <x:v>6</x:v>
      </x:c>
      <x:c r="Q413" s="11" t="n">
        <x:v>15</x:v>
      </x:c>
      <x:c r="R413" s="11" t="n">
        <x:v>23</x:v>
      </x:c>
    </x:row>
    <x:row r="414" ht="26" customHeight="1">
      <x:c r="A414" s="13" t="n">
        <x:v>46143</x:v>
      </x:c>
      <x:c r="B414" s="9" t="str">
        <x:v>共同可买</x:v>
      </x:c>
      <x:c r="C414" s="9" t="str">
        <x:v>测试</x:v>
      </x:c>
      <x:c r="D414" s="9" t="str">
        <x:v>Top3</x:v>
      </x:c>
      <x:c r="E414" s="9" t="str">
        <x:v>不判形态</x:v>
      </x:c>
      <x:c r="F414" s="11" t="n">
        <x:f>SUM(O414:R414)</x:f>
        <x:v>38</x:v>
      </x:c>
      <x:c r="G414" s="11" t="n">
        <x:v>38</x:v>
      </x:c>
      <x:c r="H414" s="11" t="n">
        <x:f>O414+P414</x:f>
        <x:v>38</x:v>
      </x:c>
      <x:c r="I414" s="12" t="n">
        <x:f>IF(F414=0,"",H414/F414)</x:f>
        <x:v>1</x:v>
      </x:c>
      <x:c r="J414" s="12" t="n">
        <x:f>IF(F414=0,"",(O414+R414)/F414)</x:f>
        <x:v>0.3684210526315789</x:v>
      </x:c>
      <x:c r="K414" s="12" t="n">
        <x:f>IF(H414=0,"",O414/H414)</x:f>
        <x:v>0.3684210526315789</x:v>
      </x:c>
      <x:c r="L414" s="12" t="n">
        <x:f>IF(O414+Q414=0,"",O414/(O414+Q414))</x:f>
        <x:v>1</x:v>
      </x:c>
      <x:c r="M414" s="12" t="n">
        <x:f>IF(2*O414+P414+Q414=0,"",2*O414/(2*O414+P414+Q414))</x:f>
        <x:v>0.5384615384615384</x:v>
      </x:c>
      <x:c r="N414" s="12" t="n">
        <x:f>IF(OR(O414+Q414=0,R414+P414=0),"",(L414+R414/(R414+P414))/2)</x:f>
        <x:v>0.5</x:v>
      </x:c>
      <x:c r="O414" s="11" t="n">
        <x:v>14</x:v>
      </x:c>
      <x:c r="P414" s="11" t="n">
        <x:v>24</x:v>
      </x:c>
      <x:c r="Q414" s="11" t="n">
        <x:v>0</x:v>
      </x:c>
      <x:c r="R414" s="11" t="n">
        <x:v>0</x:v>
      </x:c>
    </x:row>
    <x:row r="415" ht="26" customHeight="1">
      <x:c r="A415" s="13" t="n">
        <x:v>46143</x:v>
      </x:c>
      <x:c r="B415" s="9" t="str">
        <x:v>共同可买</x:v>
      </x:c>
      <x:c r="C415" s="9" t="str">
        <x:v>测试</x:v>
      </x:c>
      <x:c r="D415" s="9" t="str">
        <x:v>Top3</x:v>
      </x:c>
      <x:c r="E415" s="9" t="str">
        <x:v>五K原规则</x:v>
      </x:c>
      <x:c r="F415" s="11" t="n">
        <x:f>SUM(O415:R415)</x:f>
        <x:v>38</x:v>
      </x:c>
      <x:c r="G415" s="11" t="n">
        <x:v>38</x:v>
      </x:c>
      <x:c r="H415" s="11" t="n">
        <x:f>O415+P415</x:f>
        <x:v>38</x:v>
      </x:c>
      <x:c r="I415" s="12" t="n">
        <x:f>IF(F415=0,"",H415/F415)</x:f>
        <x:v>1</x:v>
      </x:c>
      <x:c r="J415" s="12" t="n">
        <x:f>IF(F415=0,"",(O415+R415)/F415)</x:f>
        <x:v>0.3684210526315789</x:v>
      </x:c>
      <x:c r="K415" s="12" t="n">
        <x:f>IF(H415=0,"",O415/H415)</x:f>
        <x:v>0.3684210526315789</x:v>
      </x:c>
      <x:c r="L415" s="12" t="n">
        <x:f>IF(O415+Q415=0,"",O415/(O415+Q415))</x:f>
        <x:v>1</x:v>
      </x:c>
      <x:c r="M415" s="12" t="n">
        <x:f>IF(2*O415+P415+Q415=0,"",2*O415/(2*O415+P415+Q415))</x:f>
        <x:v>0.5384615384615384</x:v>
      </x:c>
      <x:c r="N415" s="12" t="n">
        <x:f>IF(OR(O415+Q415=0,R415+P415=0),"",(L415+R415/(R415+P415))/2)</x:f>
        <x:v>0.5</x:v>
      </x:c>
      <x:c r="O415" s="11" t="n">
        <x:v>14</x:v>
      </x:c>
      <x:c r="P415" s="11" t="n">
        <x:v>24</x:v>
      </x:c>
      <x:c r="Q415" s="11" t="n">
        <x:v>0</x:v>
      </x:c>
      <x:c r="R415" s="11" t="n">
        <x:v>0</x:v>
      </x:c>
    </x:row>
    <x:row r="416" ht="26" customHeight="1">
      <x:c r="A416" s="13" t="n">
        <x:v>46143</x:v>
      </x:c>
      <x:c r="B416" s="9" t="str">
        <x:v>共同可买</x:v>
      </x:c>
      <x:c r="C416" s="9" t="str">
        <x:v>测试</x:v>
      </x:c>
      <x:c r="D416" s="9" t="str">
        <x:v>Top3</x:v>
      </x:c>
      <x:c r="E416" s="9" t="str">
        <x:v>四K沿用门槛</x:v>
      </x:c>
      <x:c r="F416" s="11" t="n">
        <x:f>SUM(O416:R416)</x:f>
        <x:v>38</x:v>
      </x:c>
      <x:c r="G416" s="11" t="n">
        <x:v>38</x:v>
      </x:c>
      <x:c r="H416" s="11" t="n">
        <x:f>O416+P416</x:f>
        <x:v>38</x:v>
      </x:c>
      <x:c r="I416" s="12" t="n">
        <x:f>IF(F416=0,"",H416/F416)</x:f>
        <x:v>1</x:v>
      </x:c>
      <x:c r="J416" s="12" t="n">
        <x:f>IF(F416=0,"",(O416+R416)/F416)</x:f>
        <x:v>0.3684210526315789</x:v>
      </x:c>
      <x:c r="K416" s="12" t="n">
        <x:f>IF(H416=0,"",O416/H416)</x:f>
        <x:v>0.3684210526315789</x:v>
      </x:c>
      <x:c r="L416" s="12" t="n">
        <x:f>IF(O416+Q416=0,"",O416/(O416+Q416))</x:f>
        <x:v>1</x:v>
      </x:c>
      <x:c r="M416" s="12" t="n">
        <x:f>IF(2*O416+P416+Q416=0,"",2*O416/(2*O416+P416+Q416))</x:f>
        <x:v>0.5384615384615384</x:v>
      </x:c>
      <x:c r="N416" s="12" t="n">
        <x:f>IF(OR(O416+Q416=0,R416+P416=0),"",(L416+R416/(R416+P416))/2)</x:f>
        <x:v>0.5</x:v>
      </x:c>
      <x:c r="O416" s="11" t="n">
        <x:v>14</x:v>
      </x:c>
      <x:c r="P416" s="11" t="n">
        <x:v>24</x:v>
      </x:c>
      <x:c r="Q416" s="11" t="n">
        <x:v>0</x:v>
      </x:c>
      <x:c r="R416" s="11" t="n">
        <x:v>0</x:v>
      </x:c>
    </x:row>
    <x:row r="417" ht="26" customHeight="1">
      <x:c r="A417" s="13" t="n">
        <x:v>46143</x:v>
      </x:c>
      <x:c r="B417" s="9" t="str">
        <x:v>共同可买</x:v>
      </x:c>
      <x:c r="C417" s="9" t="str">
        <x:v>测试</x:v>
      </x:c>
      <x:c r="D417" s="9" t="str">
        <x:v>Top3</x:v>
      </x:c>
      <x:c r="E417" s="9" t="str">
        <x:v>四K重选规则</x:v>
      </x:c>
      <x:c r="F417" s="11" t="n">
        <x:f>SUM(O417:R417)</x:f>
        <x:v>38</x:v>
      </x:c>
      <x:c r="G417" s="11" t="n">
        <x:v>38</x:v>
      </x:c>
      <x:c r="H417" s="11" t="n">
        <x:f>O417+P417</x:f>
        <x:v>38</x:v>
      </x:c>
      <x:c r="I417" s="12" t="n">
        <x:f>IF(F417=0,"",H417/F417)</x:f>
        <x:v>1</x:v>
      </x:c>
      <x:c r="J417" s="12" t="n">
        <x:f>IF(F417=0,"",(O417+R417)/F417)</x:f>
        <x:v>0.3684210526315789</x:v>
      </x:c>
      <x:c r="K417" s="12" t="n">
        <x:f>IF(H417=0,"",O417/H417)</x:f>
        <x:v>0.3684210526315789</x:v>
      </x:c>
      <x:c r="L417" s="12" t="n">
        <x:f>IF(O417+Q417=0,"",O417/(O417+Q417))</x:f>
        <x:v>1</x:v>
      </x:c>
      <x:c r="M417" s="12" t="n">
        <x:f>IF(2*O417+P417+Q417=0,"",2*O417/(2*O417+P417+Q417))</x:f>
        <x:v>0.5384615384615384</x:v>
      </x:c>
      <x:c r="N417" s="12" t="n">
        <x:f>IF(OR(O417+Q417=0,R417+P417=0),"",(L417+R417/(R417+P417))/2)</x:f>
        <x:v>0.5</x:v>
      </x:c>
      <x:c r="O417" s="11" t="n">
        <x:v>14</x:v>
      </x:c>
      <x:c r="P417" s="11" t="n">
        <x:v>24</x:v>
      </x:c>
      <x:c r="Q417" s="11" t="n">
        <x:v>0</x:v>
      </x:c>
      <x:c r="R417" s="11" t="n">
        <x:v>0</x:v>
      </x:c>
    </x:row>
    <x:row r="418" ht="26" customHeight="1">
      <x:c r="A418" s="13" t="n">
        <x:v>46143</x:v>
      </x:c>
      <x:c r="B418" s="9" t="str">
        <x:v>共同可买</x:v>
      </x:c>
      <x:c r="C418" s="9" t="str">
        <x:v>训练窗口</x:v>
      </x:c>
      <x:c r="D418" s="9" t="str">
        <x:v>Top3</x:v>
      </x:c>
      <x:c r="E418" s="9" t="str">
        <x:v>不判形态</x:v>
      </x:c>
      <x:c r="F418" s="11" t="n">
        <x:f>SUM(O418:R418)</x:f>
        <x:v>204</x:v>
      </x:c>
      <x:c r="G418" s="11" t="n">
        <x:v>204</x:v>
      </x:c>
      <x:c r="H418" s="11" t="n">
        <x:f>O418+P418</x:f>
        <x:v>204</x:v>
      </x:c>
      <x:c r="I418" s="12" t="n">
        <x:f>IF(F418=0,"",H418/F418)</x:f>
        <x:v>1</x:v>
      </x:c>
      <x:c r="J418" s="12" t="n">
        <x:f>IF(F418=0,"",(O418+R418)/F418)</x:f>
        <x:v>0.47549019607843135</x:v>
      </x:c>
      <x:c r="K418" s="12" t="n">
        <x:f>IF(H418=0,"",O418/H418)</x:f>
        <x:v>0.47549019607843135</x:v>
      </x:c>
      <x:c r="L418" s="12" t="n">
        <x:f>IF(O418+Q418=0,"",O418/(O418+Q418))</x:f>
        <x:v>1</x:v>
      </x:c>
      <x:c r="M418" s="12" t="n">
        <x:f>IF(2*O418+P418+Q418=0,"",2*O418/(2*O418+P418+Q418))</x:f>
        <x:v>0.6445182724252492</x:v>
      </x:c>
      <x:c r="N418" s="12" t="n">
        <x:f>IF(OR(O418+Q418=0,R418+P418=0),"",(L418+R418/(R418+P418))/2)</x:f>
        <x:v>0.5</x:v>
      </x:c>
      <x:c r="O418" s="11" t="n">
        <x:v>97</x:v>
      </x:c>
      <x:c r="P418" s="11" t="n">
        <x:v>107</x:v>
      </x:c>
      <x:c r="Q418" s="11" t="n">
        <x:v>0</x:v>
      </x:c>
      <x:c r="R418" s="11" t="n">
        <x:v>0</x:v>
      </x:c>
    </x:row>
    <x:row r="419" ht="26" customHeight="1">
      <x:c r="A419" s="13" t="n">
        <x:v>46143</x:v>
      </x:c>
      <x:c r="B419" s="9" t="str">
        <x:v>共同可买</x:v>
      </x:c>
      <x:c r="C419" s="9" t="str">
        <x:v>训练窗口</x:v>
      </x:c>
      <x:c r="D419" s="9" t="str">
        <x:v>Top3</x:v>
      </x:c>
      <x:c r="E419" s="9" t="str">
        <x:v>五K原规则</x:v>
      </x:c>
      <x:c r="F419" s="11" t="n">
        <x:f>SUM(O419:R419)</x:f>
        <x:v>204</x:v>
      </x:c>
      <x:c r="G419" s="11" t="n">
        <x:v>204</x:v>
      </x:c>
      <x:c r="H419" s="11" t="n">
        <x:f>O419+P419</x:f>
        <x:v>204</x:v>
      </x:c>
      <x:c r="I419" s="12" t="n">
        <x:f>IF(F419=0,"",H419/F419)</x:f>
        <x:v>1</x:v>
      </x:c>
      <x:c r="J419" s="12" t="n">
        <x:f>IF(F419=0,"",(O419+R419)/F419)</x:f>
        <x:v>0.47549019607843135</x:v>
      </x:c>
      <x:c r="K419" s="12" t="n">
        <x:f>IF(H419=0,"",O419/H419)</x:f>
        <x:v>0.47549019607843135</x:v>
      </x:c>
      <x:c r="L419" s="12" t="n">
        <x:f>IF(O419+Q419=0,"",O419/(O419+Q419))</x:f>
        <x:v>1</x:v>
      </x:c>
      <x:c r="M419" s="12" t="n">
        <x:f>IF(2*O419+P419+Q419=0,"",2*O419/(2*O419+P419+Q419))</x:f>
        <x:v>0.6445182724252492</x:v>
      </x:c>
      <x:c r="N419" s="12" t="n">
        <x:f>IF(OR(O419+Q419=0,R419+P419=0),"",(L419+R419/(R419+P419))/2)</x:f>
        <x:v>0.5</x:v>
      </x:c>
      <x:c r="O419" s="11" t="n">
        <x:v>97</x:v>
      </x:c>
      <x:c r="P419" s="11" t="n">
        <x:v>107</x:v>
      </x:c>
      <x:c r="Q419" s="11" t="n">
        <x:v>0</x:v>
      </x:c>
      <x:c r="R419" s="11" t="n">
        <x:v>0</x:v>
      </x:c>
    </x:row>
    <x:row r="420" ht="26" customHeight="1">
      <x:c r="A420" s="13" t="n">
        <x:v>46143</x:v>
      </x:c>
      <x:c r="B420" s="9" t="str">
        <x:v>共同可买</x:v>
      </x:c>
      <x:c r="C420" s="9" t="str">
        <x:v>训练窗口</x:v>
      </x:c>
      <x:c r="D420" s="9" t="str">
        <x:v>Top3</x:v>
      </x:c>
      <x:c r="E420" s="9" t="str">
        <x:v>四K沿用门槛</x:v>
      </x:c>
      <x:c r="F420" s="11" t="n">
        <x:f>SUM(O420:R420)</x:f>
        <x:v>204</x:v>
      </x:c>
      <x:c r="G420" s="11" t="n">
        <x:v>204</x:v>
      </x:c>
      <x:c r="H420" s="11" t="n">
        <x:f>O420+P420</x:f>
        <x:v>204</x:v>
      </x:c>
      <x:c r="I420" s="12" t="n">
        <x:f>IF(F420=0,"",H420/F420)</x:f>
        <x:v>1</x:v>
      </x:c>
      <x:c r="J420" s="12" t="n">
        <x:f>IF(F420=0,"",(O420+R420)/F420)</x:f>
        <x:v>0.47549019607843135</x:v>
      </x:c>
      <x:c r="K420" s="12" t="n">
        <x:f>IF(H420=0,"",O420/H420)</x:f>
        <x:v>0.47549019607843135</x:v>
      </x:c>
      <x:c r="L420" s="12" t="n">
        <x:f>IF(O420+Q420=0,"",O420/(O420+Q420))</x:f>
        <x:v>1</x:v>
      </x:c>
      <x:c r="M420" s="12" t="n">
        <x:f>IF(2*O420+P420+Q420=0,"",2*O420/(2*O420+P420+Q420))</x:f>
        <x:v>0.6445182724252492</x:v>
      </x:c>
      <x:c r="N420" s="12" t="n">
        <x:f>IF(OR(O420+Q420=0,R420+P420=0),"",(L420+R420/(R420+P420))/2)</x:f>
        <x:v>0.5</x:v>
      </x:c>
      <x:c r="O420" s="11" t="n">
        <x:v>97</x:v>
      </x:c>
      <x:c r="P420" s="11" t="n">
        <x:v>107</x:v>
      </x:c>
      <x:c r="Q420" s="11" t="n">
        <x:v>0</x:v>
      </x:c>
      <x:c r="R420" s="11" t="n">
        <x:v>0</x:v>
      </x:c>
    </x:row>
    <x:row r="421" ht="26" customHeight="1">
      <x:c r="A421" s="13" t="n">
        <x:v>46143</x:v>
      </x:c>
      <x:c r="B421" s="9" t="str">
        <x:v>共同可买</x:v>
      </x:c>
      <x:c r="C421" s="9" t="str">
        <x:v>训练窗口</x:v>
      </x:c>
      <x:c r="D421" s="9" t="str">
        <x:v>Top3</x:v>
      </x:c>
      <x:c r="E421" s="9" t="str">
        <x:v>四K重选规则</x:v>
      </x:c>
      <x:c r="F421" s="11" t="n">
        <x:f>SUM(O421:R421)</x:f>
        <x:v>204</x:v>
      </x:c>
      <x:c r="G421" s="11" t="n">
        <x:v>204</x:v>
      </x:c>
      <x:c r="H421" s="11" t="n">
        <x:f>O421+P421</x:f>
        <x:v>204</x:v>
      </x:c>
      <x:c r="I421" s="12" t="n">
        <x:f>IF(F421=0,"",H421/F421)</x:f>
        <x:v>1</x:v>
      </x:c>
      <x:c r="J421" s="12" t="n">
        <x:f>IF(F421=0,"",(O421+R421)/F421)</x:f>
        <x:v>0.47549019607843135</x:v>
      </x:c>
      <x:c r="K421" s="12" t="n">
        <x:f>IF(H421=0,"",O421/H421)</x:f>
        <x:v>0.47549019607843135</x:v>
      </x:c>
      <x:c r="L421" s="12" t="n">
        <x:f>IF(O421+Q421=0,"",O421/(O421+Q421))</x:f>
        <x:v>1</x:v>
      </x:c>
      <x:c r="M421" s="12" t="n">
        <x:f>IF(2*O421+P421+Q421=0,"",2*O421/(2*O421+P421+Q421))</x:f>
        <x:v>0.6445182724252492</x:v>
      </x:c>
      <x:c r="N421" s="12" t="n">
        <x:f>IF(OR(O421+Q421=0,R421+P421=0),"",(L421+R421/(R421+P421))/2)</x:f>
        <x:v>0.5</x:v>
      </x:c>
      <x:c r="O421" s="11" t="n">
        <x:v>97</x:v>
      </x:c>
      <x:c r="P421" s="11" t="n">
        <x:v>107</x:v>
      </x:c>
      <x:c r="Q421" s="11" t="n">
        <x:v>0</x:v>
      </x:c>
      <x:c r="R421" s="11" t="n">
        <x:v>0</x:v>
      </x:c>
    </x:row>
    <x:row r="422" ht="26" customHeight="1">
      <x:c r="A422" s="13" t="n">
        <x:v>46143</x:v>
      </x:c>
      <x:c r="B422" s="9" t="str">
        <x:v>共同可买</x:v>
      </x:c>
      <x:c r="C422" s="9" t="str">
        <x:v>验证窗口</x:v>
      </x:c>
      <x:c r="D422" s="9" t="str">
        <x:v>Top3</x:v>
      </x:c>
      <x:c r="E422" s="9" t="str">
        <x:v>不判形态</x:v>
      </x:c>
      <x:c r="F422" s="11" t="n">
        <x:f>SUM(O422:R422)</x:f>
        <x:v>69</x:v>
      </x:c>
      <x:c r="G422" s="11" t="n">
        <x:v>69</x:v>
      </x:c>
      <x:c r="H422" s="11" t="n">
        <x:f>O422+P422</x:f>
        <x:v>69</x:v>
      </x:c>
      <x:c r="I422" s="12" t="n">
        <x:f>IF(F422=0,"",H422/F422)</x:f>
        <x:v>1</x:v>
      </x:c>
      <x:c r="J422" s="12" t="n">
        <x:f>IF(F422=0,"",(O422+R422)/F422)</x:f>
        <x:v>0.463768115942029</x:v>
      </x:c>
      <x:c r="K422" s="12" t="n">
        <x:f>IF(H422=0,"",O422/H422)</x:f>
        <x:v>0.463768115942029</x:v>
      </x:c>
      <x:c r="L422" s="12" t="n">
        <x:f>IF(O422+Q422=0,"",O422/(O422+Q422))</x:f>
        <x:v>1</x:v>
      </x:c>
      <x:c r="M422" s="12" t="n">
        <x:f>IF(2*O422+P422+Q422=0,"",2*O422/(2*O422+P422+Q422))</x:f>
        <x:v>0.6336633663366337</x:v>
      </x:c>
      <x:c r="N422" s="12" t="n">
        <x:f>IF(OR(O422+Q422=0,R422+P422=0),"",(L422+R422/(R422+P422))/2)</x:f>
        <x:v>0.5</x:v>
      </x:c>
      <x:c r="O422" s="11" t="n">
        <x:v>32</x:v>
      </x:c>
      <x:c r="P422" s="11" t="n">
        <x:v>37</x:v>
      </x:c>
      <x:c r="Q422" s="11" t="n">
        <x:v>0</x:v>
      </x:c>
      <x:c r="R422" s="11" t="n">
        <x:v>0</x:v>
      </x:c>
    </x:row>
    <x:row r="423" ht="26" customHeight="1">
      <x:c r="A423" s="13" t="n">
        <x:v>46143</x:v>
      </x:c>
      <x:c r="B423" s="9" t="str">
        <x:v>共同可买</x:v>
      </x:c>
      <x:c r="C423" s="9" t="str">
        <x:v>验证窗口</x:v>
      </x:c>
      <x:c r="D423" s="9" t="str">
        <x:v>Top3</x:v>
      </x:c>
      <x:c r="E423" s="9" t="str">
        <x:v>五K原规则</x:v>
      </x:c>
      <x:c r="F423" s="11" t="n">
        <x:f>SUM(O423:R423)</x:f>
        <x:v>69</x:v>
      </x:c>
      <x:c r="G423" s="11" t="n">
        <x:v>69</x:v>
      </x:c>
      <x:c r="H423" s="11" t="n">
        <x:f>O423+P423</x:f>
        <x:v>69</x:v>
      </x:c>
      <x:c r="I423" s="12" t="n">
        <x:f>IF(F423=0,"",H423/F423)</x:f>
        <x:v>1</x:v>
      </x:c>
      <x:c r="J423" s="12" t="n">
        <x:f>IF(F423=0,"",(O423+R423)/F423)</x:f>
        <x:v>0.463768115942029</x:v>
      </x:c>
      <x:c r="K423" s="12" t="n">
        <x:f>IF(H423=0,"",O423/H423)</x:f>
        <x:v>0.463768115942029</x:v>
      </x:c>
      <x:c r="L423" s="12" t="n">
        <x:f>IF(O423+Q423=0,"",O423/(O423+Q423))</x:f>
        <x:v>1</x:v>
      </x:c>
      <x:c r="M423" s="12" t="n">
        <x:f>IF(2*O423+P423+Q423=0,"",2*O423/(2*O423+P423+Q423))</x:f>
        <x:v>0.6336633663366337</x:v>
      </x:c>
      <x:c r="N423" s="12" t="n">
        <x:f>IF(OR(O423+Q423=0,R423+P423=0),"",(L423+R423/(R423+P423))/2)</x:f>
        <x:v>0.5</x:v>
      </x:c>
      <x:c r="O423" s="11" t="n">
        <x:v>32</x:v>
      </x:c>
      <x:c r="P423" s="11" t="n">
        <x:v>37</x:v>
      </x:c>
      <x:c r="Q423" s="11" t="n">
        <x:v>0</x:v>
      </x:c>
      <x:c r="R423" s="11" t="n">
        <x:v>0</x:v>
      </x:c>
    </x:row>
    <x:row r="424" ht="26" customHeight="1">
      <x:c r="A424" s="13" t="n">
        <x:v>46143</x:v>
      </x:c>
      <x:c r="B424" s="9" t="str">
        <x:v>共同可买</x:v>
      </x:c>
      <x:c r="C424" s="9" t="str">
        <x:v>验证窗口</x:v>
      </x:c>
      <x:c r="D424" s="9" t="str">
        <x:v>Top3</x:v>
      </x:c>
      <x:c r="E424" s="9" t="str">
        <x:v>四K沿用门槛</x:v>
      </x:c>
      <x:c r="F424" s="11" t="n">
        <x:f>SUM(O424:R424)</x:f>
        <x:v>69</x:v>
      </x:c>
      <x:c r="G424" s="11" t="n">
        <x:v>69</x:v>
      </x:c>
      <x:c r="H424" s="11" t="n">
        <x:f>O424+P424</x:f>
        <x:v>69</x:v>
      </x:c>
      <x:c r="I424" s="12" t="n">
        <x:f>IF(F424=0,"",H424/F424)</x:f>
        <x:v>1</x:v>
      </x:c>
      <x:c r="J424" s="12" t="n">
        <x:f>IF(F424=0,"",(O424+R424)/F424)</x:f>
        <x:v>0.463768115942029</x:v>
      </x:c>
      <x:c r="K424" s="12" t="n">
        <x:f>IF(H424=0,"",O424/H424)</x:f>
        <x:v>0.463768115942029</x:v>
      </x:c>
      <x:c r="L424" s="12" t="n">
        <x:f>IF(O424+Q424=0,"",O424/(O424+Q424))</x:f>
        <x:v>1</x:v>
      </x:c>
      <x:c r="M424" s="12" t="n">
        <x:f>IF(2*O424+P424+Q424=0,"",2*O424/(2*O424+P424+Q424))</x:f>
        <x:v>0.6336633663366337</x:v>
      </x:c>
      <x:c r="N424" s="12" t="n">
        <x:f>IF(OR(O424+Q424=0,R424+P424=0),"",(L424+R424/(R424+P424))/2)</x:f>
        <x:v>0.5</x:v>
      </x:c>
      <x:c r="O424" s="11" t="n">
        <x:v>32</x:v>
      </x:c>
      <x:c r="P424" s="11" t="n">
        <x:v>37</x:v>
      </x:c>
      <x:c r="Q424" s="11" t="n">
        <x:v>0</x:v>
      </x:c>
      <x:c r="R424" s="11" t="n">
        <x:v>0</x:v>
      </x:c>
    </x:row>
    <x:row r="425" ht="26" customHeight="1">
      <x:c r="A425" s="13" t="n">
        <x:v>46143</x:v>
      </x:c>
      <x:c r="B425" s="9" t="str">
        <x:v>共同可买</x:v>
      </x:c>
      <x:c r="C425" s="9" t="str">
        <x:v>验证窗口</x:v>
      </x:c>
      <x:c r="D425" s="9" t="str">
        <x:v>Top3</x:v>
      </x:c>
      <x:c r="E425" s="9" t="str">
        <x:v>四K重选规则</x:v>
      </x:c>
      <x:c r="F425" s="11" t="n">
        <x:f>SUM(O425:R425)</x:f>
        <x:v>69</x:v>
      </x:c>
      <x:c r="G425" s="11" t="n">
        <x:v>69</x:v>
      </x:c>
      <x:c r="H425" s="11" t="n">
        <x:f>O425+P425</x:f>
        <x:v>69</x:v>
      </x:c>
      <x:c r="I425" s="12" t="n">
        <x:f>IF(F425=0,"",H425/F425)</x:f>
        <x:v>1</x:v>
      </x:c>
      <x:c r="J425" s="12" t="n">
        <x:f>IF(F425=0,"",(O425+R425)/F425)</x:f>
        <x:v>0.463768115942029</x:v>
      </x:c>
      <x:c r="K425" s="12" t="n">
        <x:f>IF(H425=0,"",O425/H425)</x:f>
        <x:v>0.463768115942029</x:v>
      </x:c>
      <x:c r="L425" s="12" t="n">
        <x:f>IF(O425+Q425=0,"",O425/(O425+Q425))</x:f>
        <x:v>1</x:v>
      </x:c>
      <x:c r="M425" s="12" t="n">
        <x:f>IF(2*O425+P425+Q425=0,"",2*O425/(2*O425+P425+Q425))</x:f>
        <x:v>0.6336633663366337</x:v>
      </x:c>
      <x:c r="N425" s="12" t="n">
        <x:f>IF(OR(O425+Q425=0,R425+P425=0),"",(L425+R425/(R425+P425))/2)</x:f>
        <x:v>0.5</x:v>
      </x:c>
      <x:c r="O425" s="11" t="n">
        <x:v>32</x:v>
      </x:c>
      <x:c r="P425" s="11" t="n">
        <x:v>37</x:v>
      </x:c>
      <x:c r="Q425" s="11" t="n">
        <x:v>0</x:v>
      </x:c>
      <x:c r="R425" s="11" t="n">
        <x:v>0</x:v>
      </x:c>
    </x:row>
    <x:row r="426" ht="26" customHeight="1">
      <x:c r="A426" s="13" t="n">
        <x:v>46174</x:v>
      </x:c>
      <x:c r="B426" s="9" t="str">
        <x:v>共同可买</x:v>
      </x:c>
      <x:c r="C426" s="9" t="str">
        <x:v>测试</x:v>
      </x:c>
      <x:c r="D426" s="9" t="str">
        <x:v>Top3</x:v>
      </x:c>
      <x:c r="E426" s="9" t="str">
        <x:v>不判形态</x:v>
      </x:c>
      <x:c r="F426" s="11" t="n">
        <x:f>SUM(O426:R426)</x:f>
        <x:v>43</x:v>
      </x:c>
      <x:c r="G426" s="11" t="n">
        <x:v>43</x:v>
      </x:c>
      <x:c r="H426" s="11" t="n">
        <x:f>O426+P426</x:f>
        <x:v>43</x:v>
      </x:c>
      <x:c r="I426" s="12" t="n">
        <x:f>IF(F426=0,"",H426/F426)</x:f>
        <x:v>1</x:v>
      </x:c>
      <x:c r="J426" s="12" t="n">
        <x:f>IF(F426=0,"",(O426+R426)/F426)</x:f>
        <x:v>0.32558139534883723</x:v>
      </x:c>
      <x:c r="K426" s="12" t="n">
        <x:f>IF(H426=0,"",O426/H426)</x:f>
        <x:v>0.32558139534883723</x:v>
      </x:c>
      <x:c r="L426" s="12" t="n">
        <x:f>IF(O426+Q426=0,"",O426/(O426+Q426))</x:f>
        <x:v>1</x:v>
      </x:c>
      <x:c r="M426" s="12" t="n">
        <x:f>IF(2*O426+P426+Q426=0,"",2*O426/(2*O426+P426+Q426))</x:f>
        <x:v>0.49122807017543857</x:v>
      </x:c>
      <x:c r="N426" s="12" t="n">
        <x:f>IF(OR(O426+Q426=0,R426+P426=0),"",(L426+R426/(R426+P426))/2)</x:f>
        <x:v>0.5</x:v>
      </x:c>
      <x:c r="O426" s="11" t="n">
        <x:v>14</x:v>
      </x:c>
      <x:c r="P426" s="11" t="n">
        <x:v>29</x:v>
      </x:c>
      <x:c r="Q426" s="11" t="n">
        <x:v>0</x:v>
      </x:c>
      <x:c r="R426" s="11" t="n">
        <x:v>0</x:v>
      </x:c>
    </x:row>
    <x:row r="427" ht="26" customHeight="1">
      <x:c r="A427" s="13" t="n">
        <x:v>46174</x:v>
      </x:c>
      <x:c r="B427" s="9" t="str">
        <x:v>共同可买</x:v>
      </x:c>
      <x:c r="C427" s="9" t="str">
        <x:v>测试</x:v>
      </x:c>
      <x:c r="D427" s="9" t="str">
        <x:v>Top3</x:v>
      </x:c>
      <x:c r="E427" s="9" t="str">
        <x:v>五K原规则</x:v>
      </x:c>
      <x:c r="F427" s="11" t="n">
        <x:f>SUM(O427:R427)</x:f>
        <x:v>43</x:v>
      </x:c>
      <x:c r="G427" s="11" t="n">
        <x:v>43</x:v>
      </x:c>
      <x:c r="H427" s="11" t="n">
        <x:f>O427+P427</x:f>
        <x:v>17</x:v>
      </x:c>
      <x:c r="I427" s="12" t="n">
        <x:f>IF(F427=0,"",H427/F427)</x:f>
        <x:v>0.3953488372093023</x:v>
      </x:c>
      <x:c r="J427" s="12" t="n">
        <x:f>IF(F427=0,"",(O427+R427)/F427)</x:f>
        <x:v>0.6976744186046512</x:v>
      </x:c>
      <x:c r="K427" s="12" t="n">
        <x:f>IF(H427=0,"",O427/H427)</x:f>
        <x:v>0.5294117647058824</x:v>
      </x:c>
      <x:c r="L427" s="12" t="n">
        <x:f>IF(O427+Q427=0,"",O427/(O427+Q427))</x:f>
        <x:v>0.6428571428571429</x:v>
      </x:c>
      <x:c r="M427" s="12" t="n">
        <x:f>IF(2*O427+P427+Q427=0,"",2*O427/(2*O427+P427+Q427))</x:f>
        <x:v>0.5806451612903226</x:v>
      </x:c>
      <x:c r="N427" s="12" t="n">
        <x:f>IF(OR(O427+Q427=0,R427+P427=0),"",(L427+R427/(R427+P427))/2)</x:f>
        <x:v>0.6834975369458128</x:v>
      </x:c>
      <x:c r="O427" s="11" t="n">
        <x:v>9</x:v>
      </x:c>
      <x:c r="P427" s="11" t="n">
        <x:v>8</x:v>
      </x:c>
      <x:c r="Q427" s="11" t="n">
        <x:v>5</x:v>
      </x:c>
      <x:c r="R427" s="11" t="n">
        <x:v>21</x:v>
      </x:c>
    </x:row>
    <x:row r="428" ht="26" customHeight="1">
      <x:c r="A428" s="13" t="n">
        <x:v>46174</x:v>
      </x:c>
      <x:c r="B428" s="9" t="str">
        <x:v>共同可买</x:v>
      </x:c>
      <x:c r="C428" s="9" t="str">
        <x:v>测试</x:v>
      </x:c>
      <x:c r="D428" s="9" t="str">
        <x:v>Top3</x:v>
      </x:c>
      <x:c r="E428" s="9" t="str">
        <x:v>四K沿用门槛</x:v>
      </x:c>
      <x:c r="F428" s="11" t="n">
        <x:f>SUM(O428:R428)</x:f>
        <x:v>43</x:v>
      </x:c>
      <x:c r="G428" s="11" t="n">
        <x:v>43</x:v>
      </x:c>
      <x:c r="H428" s="11" t="n">
        <x:f>O428+P428</x:f>
        <x:v>18</x:v>
      </x:c>
      <x:c r="I428" s="12" t="n">
        <x:f>IF(F428=0,"",H428/F428)</x:f>
        <x:v>0.4186046511627907</x:v>
      </x:c>
      <x:c r="J428" s="12" t="n">
        <x:f>IF(F428=0,"",(O428+R428)/F428)</x:f>
        <x:v>0.627906976744186</x:v>
      </x:c>
      <x:c r="K428" s="12" t="n">
        <x:f>IF(H428=0,"",O428/H428)</x:f>
        <x:v>0.4444444444444444</x:v>
      </x:c>
      <x:c r="L428" s="12" t="n">
        <x:f>IF(O428+Q428=0,"",O428/(O428+Q428))</x:f>
        <x:v>0.5714285714285714</x:v>
      </x:c>
      <x:c r="M428" s="12" t="n">
        <x:f>IF(2*O428+P428+Q428=0,"",2*O428/(2*O428+P428+Q428))</x:f>
        <x:v>0.5</x:v>
      </x:c>
      <x:c r="N428" s="12" t="n">
        <x:f>IF(OR(O428+Q428=0,R428+P428=0),"",(L428+R428/(R428+P428))/2)</x:f>
        <x:v>0.6133004926108374</x:v>
      </x:c>
      <x:c r="O428" s="11" t="n">
        <x:v>8</x:v>
      </x:c>
      <x:c r="P428" s="11" t="n">
        <x:v>10</x:v>
      </x:c>
      <x:c r="Q428" s="11" t="n">
        <x:v>6</x:v>
      </x:c>
      <x:c r="R428" s="11" t="n">
        <x:v>19</x:v>
      </x:c>
    </x:row>
    <x:row r="429" ht="26" customHeight="1">
      <x:c r="A429" s="13" t="n">
        <x:v>46174</x:v>
      </x:c>
      <x:c r="B429" s="9" t="str">
        <x:v>共同可买</x:v>
      </x:c>
      <x:c r="C429" s="9" t="str">
        <x:v>测试</x:v>
      </x:c>
      <x:c r="D429" s="9" t="str">
        <x:v>Top3</x:v>
      </x:c>
      <x:c r="E429" s="9" t="str">
        <x:v>四K重选规则</x:v>
      </x:c>
      <x:c r="F429" s="11" t="n">
        <x:f>SUM(O429:R429)</x:f>
        <x:v>43</x:v>
      </x:c>
      <x:c r="G429" s="11" t="n">
        <x:v>43</x:v>
      </x:c>
      <x:c r="H429" s="11" t="n">
        <x:f>O429+P429</x:f>
        <x:v>13</x:v>
      </x:c>
      <x:c r="I429" s="12" t="n">
        <x:f>IF(F429=0,"",H429/F429)</x:f>
        <x:v>0.3023255813953488</x:v>
      </x:c>
      <x:c r="J429" s="12" t="n">
        <x:f>IF(F429=0,"",(O429+R429)/F429)</x:f>
        <x:v>0.6976744186046512</x:v>
      </x:c>
      <x:c r="K429" s="12" t="n">
        <x:f>IF(H429=0,"",O429/H429)</x:f>
        <x:v>0.5384615384615384</x:v>
      </x:c>
      <x:c r="L429" s="12" t="n">
        <x:f>IF(O429+Q429=0,"",O429/(O429+Q429))</x:f>
        <x:v>0.5</x:v>
      </x:c>
      <x:c r="M429" s="12" t="n">
        <x:f>IF(2*O429+P429+Q429=0,"",2*O429/(2*O429+P429+Q429))</x:f>
        <x:v>0.5185185185185185</x:v>
      </x:c>
      <x:c r="N429" s="12" t="n">
        <x:f>IF(OR(O429+Q429=0,R429+P429=0),"",(L429+R429/(R429+P429))/2)</x:f>
        <x:v>0.646551724137931</x:v>
      </x:c>
      <x:c r="O429" s="11" t="n">
        <x:v>7</x:v>
      </x:c>
      <x:c r="P429" s="11" t="n">
        <x:v>6</x:v>
      </x:c>
      <x:c r="Q429" s="11" t="n">
        <x:v>7</x:v>
      </x:c>
      <x:c r="R429" s="11" t="n">
        <x:v>23</x:v>
      </x:c>
    </x:row>
    <x:row r="430" ht="26" customHeight="1">
      <x:c r="A430" s="13" t="n">
        <x:v>46174</x:v>
      </x:c>
      <x:c r="B430" s="9" t="str">
        <x:v>共同可买</x:v>
      </x:c>
      <x:c r="C430" s="9" t="str">
        <x:v>训练窗口</x:v>
      </x:c>
      <x:c r="D430" s="9" t="str">
        <x:v>Top3</x:v>
      </x:c>
      <x:c r="E430" s="9" t="str">
        <x:v>不判形态</x:v>
      </x:c>
      <x:c r="F430" s="11" t="n">
        <x:f>SUM(O430:R430)</x:f>
        <x:v>196</x:v>
      </x:c>
      <x:c r="G430" s="11" t="n">
        <x:v>196</x:v>
      </x:c>
      <x:c r="H430" s="11" t="n">
        <x:f>O430+P430</x:f>
        <x:v>196</x:v>
      </x:c>
      <x:c r="I430" s="12" t="n">
        <x:f>IF(F430=0,"",H430/F430)</x:f>
        <x:v>1</x:v>
      </x:c>
      <x:c r="J430" s="12" t="n">
        <x:f>IF(F430=0,"",(O430+R430)/F430)</x:f>
        <x:v>0.4846938775510204</x:v>
      </x:c>
      <x:c r="K430" s="12" t="n">
        <x:f>IF(H430=0,"",O430/H430)</x:f>
        <x:v>0.4846938775510204</x:v>
      </x:c>
      <x:c r="L430" s="12" t="n">
        <x:f>IF(O430+Q430=0,"",O430/(O430+Q430))</x:f>
        <x:v>1</x:v>
      </x:c>
      <x:c r="M430" s="12" t="n">
        <x:f>IF(2*O430+P430+Q430=0,"",2*O430/(2*O430+P430+Q430))</x:f>
        <x:v>0.6529209621993127</x:v>
      </x:c>
      <x:c r="N430" s="12" t="n">
        <x:f>IF(OR(O430+Q430=0,R430+P430=0),"",(L430+R430/(R430+P430))/2)</x:f>
        <x:v>0.5</x:v>
      </x:c>
      <x:c r="O430" s="11" t="n">
        <x:v>95</x:v>
      </x:c>
      <x:c r="P430" s="11" t="n">
        <x:v>101</x:v>
      </x:c>
      <x:c r="Q430" s="11" t="n">
        <x:v>0</x:v>
      </x:c>
      <x:c r="R430" s="11" t="n">
        <x:v>0</x:v>
      </x:c>
    </x:row>
    <x:row r="431" ht="26" customHeight="1">
      <x:c r="A431" s="13" t="n">
        <x:v>46174</x:v>
      </x:c>
      <x:c r="B431" s="9" t="str">
        <x:v>共同可买</x:v>
      </x:c>
      <x:c r="C431" s="9" t="str">
        <x:v>训练窗口</x:v>
      </x:c>
      <x:c r="D431" s="9" t="str">
        <x:v>Top3</x:v>
      </x:c>
      <x:c r="E431" s="9" t="str">
        <x:v>五K原规则</x:v>
      </x:c>
      <x:c r="F431" s="11" t="n">
        <x:f>SUM(O431:R431)</x:f>
        <x:v>196</x:v>
      </x:c>
      <x:c r="G431" s="11" t="n">
        <x:v>196</x:v>
      </x:c>
      <x:c r="H431" s="11" t="n">
        <x:f>O431+P431</x:f>
        <x:v>70</x:v>
      </x:c>
      <x:c r="I431" s="12" t="n">
        <x:f>IF(F431=0,"",H431/F431)</x:f>
        <x:v>0.35714285714285715</x:v>
      </x:c>
      <x:c r="J431" s="12" t="n">
        <x:f>IF(F431=0,"",(O431+R431)/F431)</x:f>
        <x:v>0.6683673469387755</x:v>
      </x:c>
      <x:c r="K431" s="12" t="n">
        <x:f>IF(H431=0,"",O431/H431)</x:f>
        <x:v>0.7142857142857143</x:v>
      </x:c>
      <x:c r="L431" s="12" t="n">
        <x:f>IF(O431+Q431=0,"",O431/(O431+Q431))</x:f>
        <x:v>0.5263157894736842</x:v>
      </x:c>
      <x:c r="M431" s="12" t="n">
        <x:f>IF(2*O431+P431+Q431=0,"",2*O431/(2*O431+P431+Q431))</x:f>
        <x:v>0.6060606060606061</x:v>
      </x:c>
      <x:c r="N431" s="12" t="n">
        <x:f>IF(OR(O431+Q431=0,R431+P431=0),"",(L431+R431/(R431+P431))/2)</x:f>
        <x:v>0.6641479937467432</x:v>
      </x:c>
      <x:c r="O431" s="11" t="n">
        <x:v>50</x:v>
      </x:c>
      <x:c r="P431" s="11" t="n">
        <x:v>20</x:v>
      </x:c>
      <x:c r="Q431" s="11" t="n">
        <x:v>45</x:v>
      </x:c>
      <x:c r="R431" s="11" t="n">
        <x:v>81</x:v>
      </x:c>
    </x:row>
    <x:row r="432" ht="26" customHeight="1">
      <x:c r="A432" s="13" t="n">
        <x:v>46174</x:v>
      </x:c>
      <x:c r="B432" s="9" t="str">
        <x:v>共同可买</x:v>
      </x:c>
      <x:c r="C432" s="9" t="str">
        <x:v>训练窗口</x:v>
      </x:c>
      <x:c r="D432" s="9" t="str">
        <x:v>Top3</x:v>
      </x:c>
      <x:c r="E432" s="9" t="str">
        <x:v>四K沿用门槛</x:v>
      </x:c>
      <x:c r="F432" s="11" t="n">
        <x:f>SUM(O432:R432)</x:f>
        <x:v>196</x:v>
      </x:c>
      <x:c r="G432" s="11" t="n">
        <x:v>196</x:v>
      </x:c>
      <x:c r="H432" s="11" t="n">
        <x:f>O432+P432</x:f>
        <x:v>75</x:v>
      </x:c>
      <x:c r="I432" s="12" t="n">
        <x:f>IF(F432=0,"",H432/F432)</x:f>
        <x:v>0.3826530612244898</x:v>
      </x:c>
      <x:c r="J432" s="12" t="n">
        <x:f>IF(F432=0,"",(O432+R432)/F432)</x:f>
        <x:v>0.6938775510204082</x:v>
      </x:c>
      <x:c r="K432" s="12" t="n">
        <x:f>IF(H432=0,"",O432/H432)</x:f>
        <x:v>0.7333333333333333</x:v>
      </x:c>
      <x:c r="L432" s="12" t="n">
        <x:f>IF(O432+Q432=0,"",O432/(O432+Q432))</x:f>
        <x:v>0.5789473684210527</x:v>
      </x:c>
      <x:c r="M432" s="12" t="n">
        <x:f>IF(2*O432+P432+Q432=0,"",2*O432/(2*O432+P432+Q432))</x:f>
        <x:v>0.6470588235294118</x:v>
      </x:c>
      <x:c r="N432" s="12" t="n">
        <x:f>IF(OR(O432+Q432=0,R432+P432=0),"",(L432+R432/(R432+P432))/2)</x:f>
        <x:v>0.6904637832204273</x:v>
      </x:c>
      <x:c r="O432" s="11" t="n">
        <x:v>55</x:v>
      </x:c>
      <x:c r="P432" s="11" t="n">
        <x:v>20</x:v>
      </x:c>
      <x:c r="Q432" s="11" t="n">
        <x:v>40</x:v>
      </x:c>
      <x:c r="R432" s="11" t="n">
        <x:v>81</x:v>
      </x:c>
    </x:row>
    <x:row r="433" ht="26" customHeight="1">
      <x:c r="A433" s="13" t="n">
        <x:v>46174</x:v>
      </x:c>
      <x:c r="B433" s="9" t="str">
        <x:v>共同可买</x:v>
      </x:c>
      <x:c r="C433" s="9" t="str">
        <x:v>训练窗口</x:v>
      </x:c>
      <x:c r="D433" s="9" t="str">
        <x:v>Top3</x:v>
      </x:c>
      <x:c r="E433" s="9" t="str">
        <x:v>四K重选规则</x:v>
      </x:c>
      <x:c r="F433" s="11" t="n">
        <x:f>SUM(O433:R433)</x:f>
        <x:v>196</x:v>
      </x:c>
      <x:c r="G433" s="11" t="n">
        <x:v>196</x:v>
      </x:c>
      <x:c r="H433" s="11" t="n">
        <x:f>O433+P433</x:f>
        <x:v>71</x:v>
      </x:c>
      <x:c r="I433" s="12" t="n">
        <x:f>IF(F433=0,"",H433/F433)</x:f>
        <x:v>0.3622448979591837</x:v>
      </x:c>
      <x:c r="J433" s="12" t="n">
        <x:f>IF(F433=0,"",(O433+R433)/F433)</x:f>
        <x:v>0.6530612244897959</x:v>
      </x:c>
      <x:c r="K433" s="12" t="n">
        <x:f>IF(H433=0,"",O433/H433)</x:f>
        <x:v>0.6901408450704225</x:v>
      </x:c>
      <x:c r="L433" s="12" t="n">
        <x:f>IF(O433+Q433=0,"",O433/(O433+Q433))</x:f>
        <x:v>0.5157894736842106</x:v>
      </x:c>
      <x:c r="M433" s="12" t="n">
        <x:f>IF(2*O433+P433+Q433=0,"",2*O433/(2*O433+P433+Q433))</x:f>
        <x:v>0.5903614457831325</x:v>
      </x:c>
      <x:c r="N433" s="12" t="n">
        <x:f>IF(OR(O433+Q433=0,R433+P433=0),"",(L433+R433/(R433+P433))/2)</x:f>
        <x:v>0.6489838457529964</x:v>
      </x:c>
      <x:c r="O433" s="11" t="n">
        <x:v>49</x:v>
      </x:c>
      <x:c r="P433" s="11" t="n">
        <x:v>22</x:v>
      </x:c>
      <x:c r="Q433" s="11" t="n">
        <x:v>46</x:v>
      </x:c>
      <x:c r="R433" s="11" t="n">
        <x:v>79</x:v>
      </x:c>
    </x:row>
    <x:row r="434" ht="26" customHeight="1">
      <x:c r="A434" s="13" t="n">
        <x:v>46174</x:v>
      </x:c>
      <x:c r="B434" s="9" t="str">
        <x:v>共同可买</x:v>
      </x:c>
      <x:c r="C434" s="9" t="str">
        <x:v>验证窗口</x:v>
      </x:c>
      <x:c r="D434" s="9" t="str">
        <x:v>Top3</x:v>
      </x:c>
      <x:c r="E434" s="9" t="str">
        <x:v>不判形态</x:v>
      </x:c>
      <x:c r="F434" s="11" t="n">
        <x:f>SUM(O434:R434)</x:f>
        <x:v>60</x:v>
      </x:c>
      <x:c r="G434" s="11" t="n">
        <x:v>60</x:v>
      </x:c>
      <x:c r="H434" s="11" t="n">
        <x:f>O434+P434</x:f>
        <x:v>60</x:v>
      </x:c>
      <x:c r="I434" s="12" t="n">
        <x:f>IF(F434=0,"",H434/F434)</x:f>
        <x:v>1</x:v>
      </x:c>
      <x:c r="J434" s="12" t="n">
        <x:f>IF(F434=0,"",(O434+R434)/F434)</x:f>
        <x:v>0.38333333333333336</x:v>
      </x:c>
      <x:c r="K434" s="12" t="n">
        <x:f>IF(H434=0,"",O434/H434)</x:f>
        <x:v>0.38333333333333336</x:v>
      </x:c>
      <x:c r="L434" s="12" t="n">
        <x:f>IF(O434+Q434=0,"",O434/(O434+Q434))</x:f>
        <x:v>1</x:v>
      </x:c>
      <x:c r="M434" s="12" t="n">
        <x:f>IF(2*O434+P434+Q434=0,"",2*O434/(2*O434+P434+Q434))</x:f>
        <x:v>0.5542168674698795</x:v>
      </x:c>
      <x:c r="N434" s="12" t="n">
        <x:f>IF(OR(O434+Q434=0,R434+P434=0),"",(L434+R434/(R434+P434))/2)</x:f>
        <x:v>0.5</x:v>
      </x:c>
      <x:c r="O434" s="11" t="n">
        <x:v>23</x:v>
      </x:c>
      <x:c r="P434" s="11" t="n">
        <x:v>37</x:v>
      </x:c>
      <x:c r="Q434" s="11" t="n">
        <x:v>0</x:v>
      </x:c>
      <x:c r="R434" s="11" t="n">
        <x:v>0</x:v>
      </x:c>
    </x:row>
    <x:row r="435" ht="26" customHeight="1">
      <x:c r="A435" s="13" t="n">
        <x:v>46174</x:v>
      </x:c>
      <x:c r="B435" s="9" t="str">
        <x:v>共同可买</x:v>
      </x:c>
      <x:c r="C435" s="9" t="str">
        <x:v>验证窗口</x:v>
      </x:c>
      <x:c r="D435" s="9" t="str">
        <x:v>Top3</x:v>
      </x:c>
      <x:c r="E435" s="9" t="str">
        <x:v>五K原规则</x:v>
      </x:c>
      <x:c r="F435" s="11" t="n">
        <x:f>SUM(O435:R435)</x:f>
        <x:v>60</x:v>
      </x:c>
      <x:c r="G435" s="11" t="n">
        <x:v>60</x:v>
      </x:c>
      <x:c r="H435" s="11" t="n">
        <x:f>O435+P435</x:f>
        <x:v>18</x:v>
      </x:c>
      <x:c r="I435" s="12" t="n">
        <x:f>IF(F435=0,"",H435/F435)</x:f>
        <x:v>0.3</x:v>
      </x:c>
      <x:c r="J435" s="12" t="n">
        <x:f>IF(F435=0,"",(O435+R435)/F435)</x:f>
        <x:v>0.5833333333333334</x:v>
      </x:c>
      <x:c r="K435" s="12" t="n">
        <x:f>IF(H435=0,"",O435/H435)</x:f>
        <x:v>0.4444444444444444</x:v>
      </x:c>
      <x:c r="L435" s="12" t="n">
        <x:f>IF(O435+Q435=0,"",O435/(O435+Q435))</x:f>
        <x:v>0.34782608695652173</x:v>
      </x:c>
      <x:c r="M435" s="12" t="n">
        <x:f>IF(2*O435+P435+Q435=0,"",2*O435/(2*O435+P435+Q435))</x:f>
        <x:v>0.3902439024390244</x:v>
      </x:c>
      <x:c r="N435" s="12" t="n">
        <x:f>IF(OR(O435+Q435=0,R435+P435=0),"",(L435+R435/(R435+P435))/2)</x:f>
        <x:v>0.5387779083431257</x:v>
      </x:c>
      <x:c r="O435" s="11" t="n">
        <x:v>8</x:v>
      </x:c>
      <x:c r="P435" s="11" t="n">
        <x:v>10</x:v>
      </x:c>
      <x:c r="Q435" s="11" t="n">
        <x:v>15</x:v>
      </x:c>
      <x:c r="R435" s="11" t="n">
        <x:v>27</x:v>
      </x:c>
    </x:row>
    <x:row r="436" ht="26" customHeight="1">
      <x:c r="A436" s="13" t="n">
        <x:v>46174</x:v>
      </x:c>
      <x:c r="B436" s="9" t="str">
        <x:v>共同可买</x:v>
      </x:c>
      <x:c r="C436" s="9" t="str">
        <x:v>验证窗口</x:v>
      </x:c>
      <x:c r="D436" s="9" t="str">
        <x:v>Top3</x:v>
      </x:c>
      <x:c r="E436" s="9" t="str">
        <x:v>四K沿用门槛</x:v>
      </x:c>
      <x:c r="F436" s="11" t="n">
        <x:f>SUM(O436:R436)</x:f>
        <x:v>60</x:v>
      </x:c>
      <x:c r="G436" s="11" t="n">
        <x:v>60</x:v>
      </x:c>
      <x:c r="H436" s="11" t="n">
        <x:f>O436+P436</x:f>
        <x:v>19</x:v>
      </x:c>
      <x:c r="I436" s="12" t="n">
        <x:f>IF(F436=0,"",H436/F436)</x:f>
        <x:v>0.31666666666666665</x:v>
      </x:c>
      <x:c r="J436" s="12" t="n">
        <x:f>IF(F436=0,"",(O436+R436)/F436)</x:f>
        <x:v>0.5333333333333333</x:v>
      </x:c>
      <x:c r="K436" s="12" t="n">
        <x:f>IF(H436=0,"",O436/H436)</x:f>
        <x:v>0.3684210526315789</x:v>
      </x:c>
      <x:c r="L436" s="12" t="n">
        <x:f>IF(O436+Q436=0,"",O436/(O436+Q436))</x:f>
        <x:v>0.30434782608695654</x:v>
      </x:c>
      <x:c r="M436" s="12" t="n">
        <x:f>IF(2*O436+P436+Q436=0,"",2*O436/(2*O436+P436+Q436))</x:f>
        <x:v>0.3333333333333333</x:v>
      </x:c>
      <x:c r="N436" s="12" t="n">
        <x:f>IF(OR(O436+Q436=0,R436+P436=0),"",(L436+R436/(R436+P436))/2)</x:f>
        <x:v>0.4900117508813161</x:v>
      </x:c>
      <x:c r="O436" s="11" t="n">
        <x:v>7</x:v>
      </x:c>
      <x:c r="P436" s="11" t="n">
        <x:v>12</x:v>
      </x:c>
      <x:c r="Q436" s="11" t="n">
        <x:v>16</x:v>
      </x:c>
      <x:c r="R436" s="11" t="n">
        <x:v>25</x:v>
      </x:c>
    </x:row>
    <x:row r="437" ht="26" customHeight="1">
      <x:c r="A437" s="13" t="n">
        <x:v>46174</x:v>
      </x:c>
      <x:c r="B437" s="9" t="str">
        <x:v>共同可买</x:v>
      </x:c>
      <x:c r="C437" s="9" t="str">
        <x:v>验证窗口</x:v>
      </x:c>
      <x:c r="D437" s="9" t="str">
        <x:v>Top3</x:v>
      </x:c>
      <x:c r="E437" s="9" t="str">
        <x:v>四K重选规则</x:v>
      </x:c>
      <x:c r="F437" s="11" t="n">
        <x:f>SUM(O437:R437)</x:f>
        <x:v>60</x:v>
      </x:c>
      <x:c r="G437" s="11" t="n">
        <x:v>60</x:v>
      </x:c>
      <x:c r="H437" s="11" t="n">
        <x:f>O437+P437</x:f>
        <x:v>17</x:v>
      </x:c>
      <x:c r="I437" s="12" t="n">
        <x:f>IF(F437=0,"",H437/F437)</x:f>
        <x:v>0.2833333333333333</x:v>
      </x:c>
      <x:c r="J437" s="12" t="n">
        <x:f>IF(F437=0,"",(O437+R437)/F437)</x:f>
        <x:v>0.6</x:v>
      </x:c>
      <x:c r="K437" s="12" t="n">
        <x:f>IF(H437=0,"",O437/H437)</x:f>
        <x:v>0.47058823529411764</x:v>
      </x:c>
      <x:c r="L437" s="12" t="n">
        <x:f>IF(O437+Q437=0,"",O437/(O437+Q437))</x:f>
        <x:v>0.34782608695652173</x:v>
      </x:c>
      <x:c r="M437" s="12" t="n">
        <x:f>IF(2*O437+P437+Q437=0,"",2*O437/(2*O437+P437+Q437))</x:f>
        <x:v>0.4</x:v>
      </x:c>
      <x:c r="N437" s="12" t="n">
        <x:f>IF(OR(O437+Q437=0,R437+P437=0),"",(L437+R437/(R437+P437))/2)</x:f>
        <x:v>0.5522914218566393</x:v>
      </x:c>
      <x:c r="O437" s="11" t="n">
        <x:v>8</x:v>
      </x:c>
      <x:c r="P437" s="11" t="n">
        <x:v>9</x:v>
      </x:c>
      <x:c r="Q437" s="11" t="n">
        <x:v>15</x:v>
      </x:c>
      <x:c r="R437" s="11" t="n">
        <x:v>28</x:v>
      </x:c>
    </x:row>
    <x:row r="438" ht="26" customHeight="1">
      <x:c r="A438" s="13" t="n">
        <x:v>46204</x:v>
      </x:c>
      <x:c r="B438" s="9" t="str">
        <x:v>共同可买</x:v>
      </x:c>
      <x:c r="C438" s="9" t="str">
        <x:v>测试</x:v>
      </x:c>
      <x:c r="D438" s="9" t="str">
        <x:v>Top3</x:v>
      </x:c>
      <x:c r="E438" s="9" t="str">
        <x:v>不判形态</x:v>
      </x:c>
      <x:c r="F438" s="11" t="n">
        <x:f>SUM(O438:R438)</x:f>
        <x:v>35</x:v>
      </x:c>
      <x:c r="G438" s="11" t="n">
        <x:v>35</x:v>
      </x:c>
      <x:c r="H438" s="11" t="n">
        <x:f>O438+P438</x:f>
        <x:v>35</x:v>
      </x:c>
      <x:c r="I438" s="12" t="n">
        <x:f>IF(F438=0,"",H438/F438)</x:f>
        <x:v>1</x:v>
      </x:c>
      <x:c r="J438" s="12" t="n">
        <x:f>IF(F438=0,"",(O438+R438)/F438)</x:f>
        <x:v>0.2857142857142857</x:v>
      </x:c>
      <x:c r="K438" s="12" t="n">
        <x:f>IF(H438=0,"",O438/H438)</x:f>
        <x:v>0.2857142857142857</x:v>
      </x:c>
      <x:c r="L438" s="12" t="n">
        <x:f>IF(O438+Q438=0,"",O438/(O438+Q438))</x:f>
        <x:v>1</x:v>
      </x:c>
      <x:c r="M438" s="12" t="n">
        <x:f>IF(2*O438+P438+Q438=0,"",2*O438/(2*O438+P438+Q438))</x:f>
        <x:v>0.4444444444444444</x:v>
      </x:c>
      <x:c r="N438" s="12" t="n">
        <x:f>IF(OR(O438+Q438=0,R438+P438=0),"",(L438+R438/(R438+P438))/2)</x:f>
        <x:v>0.5</x:v>
      </x:c>
      <x:c r="O438" s="11" t="n">
        <x:v>10</x:v>
      </x:c>
      <x:c r="P438" s="11" t="n">
        <x:v>25</x:v>
      </x:c>
      <x:c r="Q438" s="11" t="n">
        <x:v>0</x:v>
      </x:c>
      <x:c r="R438" s="11" t="n">
        <x:v>0</x:v>
      </x:c>
    </x:row>
    <x:row r="439" ht="26" customHeight="1">
      <x:c r="A439" s="13" t="n">
        <x:v>46204</x:v>
      </x:c>
      <x:c r="B439" s="9" t="str">
        <x:v>共同可买</x:v>
      </x:c>
      <x:c r="C439" s="9" t="str">
        <x:v>测试</x:v>
      </x:c>
      <x:c r="D439" s="9" t="str">
        <x:v>Top3</x:v>
      </x:c>
      <x:c r="E439" s="9" t="str">
        <x:v>五K原规则</x:v>
      </x:c>
      <x:c r="F439" s="11" t="n">
        <x:f>SUM(O439:R439)</x:f>
        <x:v>35</x:v>
      </x:c>
      <x:c r="G439" s="11" t="n">
        <x:v>35</x:v>
      </x:c>
      <x:c r="H439" s="11" t="n">
        <x:f>O439+P439</x:f>
        <x:v>10</x:v>
      </x:c>
      <x:c r="I439" s="12" t="n">
        <x:f>IF(F439=0,"",H439/F439)</x:f>
        <x:v>0.2857142857142857</x:v>
      </x:c>
      <x:c r="J439" s="12" t="n">
        <x:f>IF(F439=0,"",(O439+R439)/F439)</x:f>
        <x:v>0.7142857142857143</x:v>
      </x:c>
      <x:c r="K439" s="12" t="n">
        <x:f>IF(H439=0,"",O439/H439)</x:f>
        <x:v>0.5</x:v>
      </x:c>
      <x:c r="L439" s="12" t="n">
        <x:f>IF(O439+Q439=0,"",O439/(O439+Q439))</x:f>
        <x:v>0.5</x:v>
      </x:c>
      <x:c r="M439" s="12" t="n">
        <x:f>IF(2*O439+P439+Q439=0,"",2*O439/(2*O439+P439+Q439))</x:f>
        <x:v>0.5</x:v>
      </x:c>
      <x:c r="N439" s="12" t="n">
        <x:f>IF(OR(O439+Q439=0,R439+P439=0),"",(L439+R439/(R439+P439))/2)</x:f>
        <x:v>0.65</x:v>
      </x:c>
      <x:c r="O439" s="11" t="n">
        <x:v>5</x:v>
      </x:c>
      <x:c r="P439" s="11" t="n">
        <x:v>5</x:v>
      </x:c>
      <x:c r="Q439" s="11" t="n">
        <x:v>5</x:v>
      </x:c>
      <x:c r="R439" s="11" t="n">
        <x:v>20</x:v>
      </x:c>
    </x:row>
    <x:row r="440" ht="26" customHeight="1">
      <x:c r="A440" s="13" t="n">
        <x:v>46204</x:v>
      </x:c>
      <x:c r="B440" s="9" t="str">
        <x:v>共同可买</x:v>
      </x:c>
      <x:c r="C440" s="9" t="str">
        <x:v>测试</x:v>
      </x:c>
      <x:c r="D440" s="9" t="str">
        <x:v>Top3</x:v>
      </x:c>
      <x:c r="E440" s="9" t="str">
        <x:v>四K沿用门槛</x:v>
      </x:c>
      <x:c r="F440" s="11" t="n">
        <x:f>SUM(O440:R440)</x:f>
        <x:v>35</x:v>
      </x:c>
      <x:c r="G440" s="11" t="n">
        <x:v>35</x:v>
      </x:c>
      <x:c r="H440" s="11" t="n">
        <x:f>O440+P440</x:f>
        <x:v>10</x:v>
      </x:c>
      <x:c r="I440" s="12" t="n">
        <x:f>IF(F440=0,"",H440/F440)</x:f>
        <x:v>0.2857142857142857</x:v>
      </x:c>
      <x:c r="J440" s="12" t="n">
        <x:f>IF(F440=0,"",(O440+R440)/F440)</x:f>
        <x:v>0.7142857142857143</x:v>
      </x:c>
      <x:c r="K440" s="12" t="n">
        <x:f>IF(H440=0,"",O440/H440)</x:f>
        <x:v>0.5</x:v>
      </x:c>
      <x:c r="L440" s="12" t="n">
        <x:f>IF(O440+Q440=0,"",O440/(O440+Q440))</x:f>
        <x:v>0.5</x:v>
      </x:c>
      <x:c r="M440" s="12" t="n">
        <x:f>IF(2*O440+P440+Q440=0,"",2*O440/(2*O440+P440+Q440))</x:f>
        <x:v>0.5</x:v>
      </x:c>
      <x:c r="N440" s="12" t="n">
        <x:f>IF(OR(O440+Q440=0,R440+P440=0),"",(L440+R440/(R440+P440))/2)</x:f>
        <x:v>0.65</x:v>
      </x:c>
      <x:c r="O440" s="11" t="n">
        <x:v>5</x:v>
      </x:c>
      <x:c r="P440" s="11" t="n">
        <x:v>5</x:v>
      </x:c>
      <x:c r="Q440" s="11" t="n">
        <x:v>5</x:v>
      </x:c>
      <x:c r="R440" s="11" t="n">
        <x:v>20</x:v>
      </x:c>
    </x:row>
    <x:row r="441" ht="26" customHeight="1">
      <x:c r="A441" s="13" t="n">
        <x:v>46204</x:v>
      </x:c>
      <x:c r="B441" s="9" t="str">
        <x:v>共同可买</x:v>
      </x:c>
      <x:c r="C441" s="9" t="str">
        <x:v>测试</x:v>
      </x:c>
      <x:c r="D441" s="9" t="str">
        <x:v>Top3</x:v>
      </x:c>
      <x:c r="E441" s="9" t="str">
        <x:v>四K重选规则</x:v>
      </x:c>
      <x:c r="F441" s="11" t="n">
        <x:f>SUM(O441:R441)</x:f>
        <x:v>35</x:v>
      </x:c>
      <x:c r="G441" s="11" t="n">
        <x:v>35</x:v>
      </x:c>
      <x:c r="H441" s="11" t="n">
        <x:f>O441+P441</x:f>
        <x:v>35</x:v>
      </x:c>
      <x:c r="I441" s="12" t="n">
        <x:f>IF(F441=0,"",H441/F441)</x:f>
        <x:v>1</x:v>
      </x:c>
      <x:c r="J441" s="12" t="n">
        <x:f>IF(F441=0,"",(O441+R441)/F441)</x:f>
        <x:v>0.2857142857142857</x:v>
      </x:c>
      <x:c r="K441" s="12" t="n">
        <x:f>IF(H441=0,"",O441/H441)</x:f>
        <x:v>0.2857142857142857</x:v>
      </x:c>
      <x:c r="L441" s="12" t="n">
        <x:f>IF(O441+Q441=0,"",O441/(O441+Q441))</x:f>
        <x:v>1</x:v>
      </x:c>
      <x:c r="M441" s="12" t="n">
        <x:f>IF(2*O441+P441+Q441=0,"",2*O441/(2*O441+P441+Q441))</x:f>
        <x:v>0.4444444444444444</x:v>
      </x:c>
      <x:c r="N441" s="12" t="n">
        <x:f>IF(OR(O441+Q441=0,R441+P441=0),"",(L441+R441/(R441+P441))/2)</x:f>
        <x:v>0.5</x:v>
      </x:c>
      <x:c r="O441" s="11" t="n">
        <x:v>10</x:v>
      </x:c>
      <x:c r="P441" s="11" t="n">
        <x:v>25</x:v>
      </x:c>
      <x:c r="Q441" s="11" t="n">
        <x:v>0</x:v>
      </x:c>
      <x:c r="R441" s="11" t="n">
        <x:v>0</x:v>
      </x:c>
    </x:row>
    <x:row r="442" ht="26" customHeight="1">
      <x:c r="A442" s="13" t="n">
        <x:v>46204</x:v>
      </x:c>
      <x:c r="B442" s="9" t="str">
        <x:v>共同可买</x:v>
      </x:c>
      <x:c r="C442" s="9" t="str">
        <x:v>训练窗口</x:v>
      </x:c>
      <x:c r="D442" s="9" t="str">
        <x:v>Top3</x:v>
      </x:c>
      <x:c r="E442" s="9" t="str">
        <x:v>不判形态</x:v>
      </x:c>
      <x:c r="F442" s="11" t="n">
        <x:f>SUM(O442:R442)</x:f>
        <x:v>202</x:v>
      </x:c>
      <x:c r="G442" s="11" t="n">
        <x:v>202</x:v>
      </x:c>
      <x:c r="H442" s="11" t="n">
        <x:f>O442+P442</x:f>
        <x:v>202</x:v>
      </x:c>
      <x:c r="I442" s="12" t="n">
        <x:f>IF(F442=0,"",H442/F442)</x:f>
        <x:v>1</x:v>
      </x:c>
      <x:c r="J442" s="12" t="n">
        <x:f>IF(F442=0,"",(O442+R442)/F442)</x:f>
        <x:v>0.4801980198019802</x:v>
      </x:c>
      <x:c r="K442" s="12" t="n">
        <x:f>IF(H442=0,"",O442/H442)</x:f>
        <x:v>0.4801980198019802</x:v>
      </x:c>
      <x:c r="L442" s="12" t="n">
        <x:f>IF(O442+Q442=0,"",O442/(O442+Q442))</x:f>
        <x:v>1</x:v>
      </x:c>
      <x:c r="M442" s="12" t="n">
        <x:f>IF(2*O442+P442+Q442=0,"",2*O442/(2*O442+P442+Q442))</x:f>
        <x:v>0.6488294314381271</x:v>
      </x:c>
      <x:c r="N442" s="12" t="n">
        <x:f>IF(OR(O442+Q442=0,R442+P442=0),"",(L442+R442/(R442+P442))/2)</x:f>
        <x:v>0.5</x:v>
      </x:c>
      <x:c r="O442" s="11" t="n">
        <x:v>97</x:v>
      </x:c>
      <x:c r="P442" s="11" t="n">
        <x:v>105</x:v>
      </x:c>
      <x:c r="Q442" s="11" t="n">
        <x:v>0</x:v>
      </x:c>
      <x:c r="R442" s="11" t="n">
        <x:v>0</x:v>
      </x:c>
    </x:row>
    <x:row r="443" ht="26" customHeight="1">
      <x:c r="A443" s="13" t="n">
        <x:v>46204</x:v>
      </x:c>
      <x:c r="B443" s="9" t="str">
        <x:v>共同可买</x:v>
      </x:c>
      <x:c r="C443" s="9" t="str">
        <x:v>训练窗口</x:v>
      </x:c>
      <x:c r="D443" s="9" t="str">
        <x:v>Top3</x:v>
      </x:c>
      <x:c r="E443" s="9" t="str">
        <x:v>五K原规则</x:v>
      </x:c>
      <x:c r="F443" s="11" t="n">
        <x:f>SUM(O443:R443)</x:f>
        <x:v>202</x:v>
      </x:c>
      <x:c r="G443" s="11" t="n">
        <x:v>202</x:v>
      </x:c>
      <x:c r="H443" s="11" t="n">
        <x:f>O443+P443</x:f>
        <x:v>81</x:v>
      </x:c>
      <x:c r="I443" s="12" t="n">
        <x:f>IF(F443=0,"",H443/F443)</x:f>
        <x:v>0.400990099009901</x:v>
      </x:c>
      <x:c r="J443" s="12" t="n">
        <x:f>IF(F443=0,"",(O443+R443)/F443)</x:f>
        <x:v>0.6732673267326733</x:v>
      </x:c>
      <x:c r="K443" s="12" t="n">
        <x:f>IF(H443=0,"",O443/H443)</x:f>
        <x:v>0.691358024691358</x:v>
      </x:c>
      <x:c r="L443" s="12" t="n">
        <x:f>IF(O443+Q443=0,"",O443/(O443+Q443))</x:f>
        <x:v>0.5773195876288659</x:v>
      </x:c>
      <x:c r="M443" s="12" t="n">
        <x:f>IF(2*O443+P443+Q443=0,"",2*O443/(2*O443+P443+Q443))</x:f>
        <x:v>0.6292134831460674</x:v>
      </x:c>
      <x:c r="N443" s="12" t="n">
        <x:f>IF(OR(O443+Q443=0,R443+P443=0),"",(L443+R443/(R443+P443))/2)</x:f>
        <x:v>0.6696121747668139</x:v>
      </x:c>
      <x:c r="O443" s="11" t="n">
        <x:v>56</x:v>
      </x:c>
      <x:c r="P443" s="11" t="n">
        <x:v>25</x:v>
      </x:c>
      <x:c r="Q443" s="11" t="n">
        <x:v>41</x:v>
      </x:c>
      <x:c r="R443" s="11" t="n">
        <x:v>80</x:v>
      </x:c>
    </x:row>
    <x:row r="444" ht="26" customHeight="1">
      <x:c r="A444" s="13" t="n">
        <x:v>46204</x:v>
      </x:c>
      <x:c r="B444" s="9" t="str">
        <x:v>共同可买</x:v>
      </x:c>
      <x:c r="C444" s="9" t="str">
        <x:v>训练窗口</x:v>
      </x:c>
      <x:c r="D444" s="9" t="str">
        <x:v>Top3</x:v>
      </x:c>
      <x:c r="E444" s="9" t="str">
        <x:v>四K沿用门槛</x:v>
      </x:c>
      <x:c r="F444" s="11" t="n">
        <x:f>SUM(O444:R444)</x:f>
        <x:v>202</x:v>
      </x:c>
      <x:c r="G444" s="11" t="n">
        <x:v>202</x:v>
      </x:c>
      <x:c r="H444" s="11" t="n">
        <x:f>O444+P444</x:f>
        <x:v>81</x:v>
      </x:c>
      <x:c r="I444" s="12" t="n">
        <x:f>IF(F444=0,"",H444/F444)</x:f>
        <x:v>0.400990099009901</x:v>
      </x:c>
      <x:c r="J444" s="12" t="n">
        <x:f>IF(F444=0,"",(O444+R444)/F444)</x:f>
        <x:v>0.6534653465346535</x:v>
      </x:c>
      <x:c r="K444" s="12" t="n">
        <x:f>IF(H444=0,"",O444/H444)</x:f>
        <x:v>0.6666666666666666</x:v>
      </x:c>
      <x:c r="L444" s="12" t="n">
        <x:f>IF(O444+Q444=0,"",O444/(O444+Q444))</x:f>
        <x:v>0.5567010309278351</x:v>
      </x:c>
      <x:c r="M444" s="12" t="n">
        <x:f>IF(2*O444+P444+Q444=0,"",2*O444/(2*O444+P444+Q444))</x:f>
        <x:v>0.6067415730337079</x:v>
      </x:c>
      <x:c r="N444" s="12" t="n">
        <x:f>IF(OR(O444+Q444=0,R444+P444=0),"",(L444+R444/(R444+P444))/2)</x:f>
        <x:v>0.649779086892489</x:v>
      </x:c>
      <x:c r="O444" s="11" t="n">
        <x:v>54</x:v>
      </x:c>
      <x:c r="P444" s="11" t="n">
        <x:v>27</x:v>
      </x:c>
      <x:c r="Q444" s="11" t="n">
        <x:v>43</x:v>
      </x:c>
      <x:c r="R444" s="11" t="n">
        <x:v>78</x:v>
      </x:c>
    </x:row>
    <x:row r="445" ht="26" customHeight="1">
      <x:c r="A445" s="13" t="n">
        <x:v>46204</x:v>
      </x:c>
      <x:c r="B445" s="9" t="str">
        <x:v>共同可买</x:v>
      </x:c>
      <x:c r="C445" s="9" t="str">
        <x:v>训练窗口</x:v>
      </x:c>
      <x:c r="D445" s="9" t="str">
        <x:v>Top3</x:v>
      </x:c>
      <x:c r="E445" s="9" t="str">
        <x:v>四K重选规则</x:v>
      </x:c>
      <x:c r="F445" s="11" t="n">
        <x:f>SUM(O445:R445)</x:f>
        <x:v>202</x:v>
      </x:c>
      <x:c r="G445" s="11" t="n">
        <x:v>202</x:v>
      </x:c>
      <x:c r="H445" s="11" t="n">
        <x:f>O445+P445</x:f>
        <x:v>202</x:v>
      </x:c>
      <x:c r="I445" s="12" t="n">
        <x:f>IF(F445=0,"",H445/F445)</x:f>
        <x:v>1</x:v>
      </x:c>
      <x:c r="J445" s="12" t="n">
        <x:f>IF(F445=0,"",(O445+R445)/F445)</x:f>
        <x:v>0.4801980198019802</x:v>
      </x:c>
      <x:c r="K445" s="12" t="n">
        <x:f>IF(H445=0,"",O445/H445)</x:f>
        <x:v>0.4801980198019802</x:v>
      </x:c>
      <x:c r="L445" s="12" t="n">
        <x:f>IF(O445+Q445=0,"",O445/(O445+Q445))</x:f>
        <x:v>1</x:v>
      </x:c>
      <x:c r="M445" s="12" t="n">
        <x:f>IF(2*O445+P445+Q445=0,"",2*O445/(2*O445+P445+Q445))</x:f>
        <x:v>0.6488294314381271</x:v>
      </x:c>
      <x:c r="N445" s="12" t="n">
        <x:f>IF(OR(O445+Q445=0,R445+P445=0),"",(L445+R445/(R445+P445))/2)</x:f>
        <x:v>0.5</x:v>
      </x:c>
      <x:c r="O445" s="11" t="n">
        <x:v>97</x:v>
      </x:c>
      <x:c r="P445" s="11" t="n">
        <x:v>105</x:v>
      </x:c>
      <x:c r="Q445" s="11" t="n">
        <x:v>0</x:v>
      </x:c>
      <x:c r="R445" s="11" t="n">
        <x:v>0</x:v>
      </x:c>
    </x:row>
    <x:row r="446" ht="26" customHeight="1">
      <x:c r="A446" s="13" t="n">
        <x:v>46204</x:v>
      </x:c>
      <x:c r="B446" s="9" t="str">
        <x:v>共同可买</x:v>
      </x:c>
      <x:c r="C446" s="9" t="str">
        <x:v>验证窗口</x:v>
      </x:c>
      <x:c r="D446" s="9" t="str">
        <x:v>Top3</x:v>
      </x:c>
      <x:c r="E446" s="9" t="str">
        <x:v>不判形态</x:v>
      </x:c>
      <x:c r="F446" s="11" t="n">
        <x:f>SUM(O446:R446)</x:f>
        <x:v>62</x:v>
      </x:c>
      <x:c r="G446" s="11" t="n">
        <x:v>62</x:v>
      </x:c>
      <x:c r="H446" s="11" t="n">
        <x:f>O446+P446</x:f>
        <x:v>62</x:v>
      </x:c>
      <x:c r="I446" s="12" t="n">
        <x:f>IF(F446=0,"",H446/F446)</x:f>
        <x:v>1</x:v>
      </x:c>
      <x:c r="J446" s="12" t="n">
        <x:f>IF(F446=0,"",(O446+R446)/F446)</x:f>
        <x:v>0.3548387096774194</x:v>
      </x:c>
      <x:c r="K446" s="12" t="n">
        <x:f>IF(H446=0,"",O446/H446)</x:f>
        <x:v>0.3548387096774194</x:v>
      </x:c>
      <x:c r="L446" s="12" t="n">
        <x:f>IF(O446+Q446=0,"",O446/(O446+Q446))</x:f>
        <x:v>1</x:v>
      </x:c>
      <x:c r="M446" s="12" t="n">
        <x:f>IF(2*O446+P446+Q446=0,"",2*O446/(2*O446+P446+Q446))</x:f>
        <x:v>0.5238095238095238</x:v>
      </x:c>
      <x:c r="N446" s="12" t="n">
        <x:f>IF(OR(O446+Q446=0,R446+P446=0),"",(L446+R446/(R446+P446))/2)</x:f>
        <x:v>0.5</x:v>
      </x:c>
      <x:c r="O446" s="11" t="n">
        <x:v>22</x:v>
      </x:c>
      <x:c r="P446" s="11" t="n">
        <x:v>40</x:v>
      </x:c>
      <x:c r="Q446" s="11" t="n">
        <x:v>0</x:v>
      </x:c>
      <x:c r="R446" s="11" t="n">
        <x:v>0</x:v>
      </x:c>
    </x:row>
    <x:row r="447" ht="26" customHeight="1">
      <x:c r="A447" s="13" t="n">
        <x:v>46204</x:v>
      </x:c>
      <x:c r="B447" s="9" t="str">
        <x:v>共同可买</x:v>
      </x:c>
      <x:c r="C447" s="9" t="str">
        <x:v>验证窗口</x:v>
      </x:c>
      <x:c r="D447" s="9" t="str">
        <x:v>Top3</x:v>
      </x:c>
      <x:c r="E447" s="9" t="str">
        <x:v>五K原规则</x:v>
      </x:c>
      <x:c r="F447" s="11" t="n">
        <x:f>SUM(O447:R447)</x:f>
        <x:v>62</x:v>
      </x:c>
      <x:c r="G447" s="11" t="n">
        <x:v>62</x:v>
      </x:c>
      <x:c r="H447" s="11" t="n">
        <x:f>O447+P447</x:f>
        <x:v>23</x:v>
      </x:c>
      <x:c r="I447" s="12" t="n">
        <x:f>IF(F447=0,"",H447/F447)</x:f>
        <x:v>0.3709677419354839</x:v>
      </x:c>
      <x:c r="J447" s="12" t="n">
        <x:f>IF(F447=0,"",(O447+R447)/F447)</x:f>
        <x:v>0.6612903225806451</x:v>
      </x:c>
      <x:c r="K447" s="12" t="n">
        <x:f>IF(H447=0,"",O447/H447)</x:f>
        <x:v>0.5217391304347826</x:v>
      </x:c>
      <x:c r="L447" s="12" t="n">
        <x:f>IF(O447+Q447=0,"",O447/(O447+Q447))</x:f>
        <x:v>0.5454545454545454</x:v>
      </x:c>
      <x:c r="M447" s="12" t="n">
        <x:f>IF(2*O447+P447+Q447=0,"",2*O447/(2*O447+P447+Q447))</x:f>
        <x:v>0.5333333333333333</x:v>
      </x:c>
      <x:c r="N447" s="12" t="n">
        <x:f>IF(OR(O447+Q447=0,R447+P447=0),"",(L447+R447/(R447+P447))/2)</x:f>
        <x:v>0.6352272727272728</x:v>
      </x:c>
      <x:c r="O447" s="11" t="n">
        <x:v>12</x:v>
      </x:c>
      <x:c r="P447" s="11" t="n">
        <x:v>11</x:v>
      </x:c>
      <x:c r="Q447" s="11" t="n">
        <x:v>10</x:v>
      </x:c>
      <x:c r="R447" s="11" t="n">
        <x:v>29</x:v>
      </x:c>
    </x:row>
    <x:row r="448" ht="26" customHeight="1">
      <x:c r="A448" s="13" t="n">
        <x:v>46204</x:v>
      </x:c>
      <x:c r="B448" s="9" t="str">
        <x:v>共同可买</x:v>
      </x:c>
      <x:c r="C448" s="9" t="str">
        <x:v>验证窗口</x:v>
      </x:c>
      <x:c r="D448" s="9" t="str">
        <x:v>Top3</x:v>
      </x:c>
      <x:c r="E448" s="9" t="str">
        <x:v>四K沿用门槛</x:v>
      </x:c>
      <x:c r="F448" s="11" t="n">
        <x:f>SUM(O448:R448)</x:f>
        <x:v>62</x:v>
      </x:c>
      <x:c r="G448" s="11" t="n">
        <x:v>62</x:v>
      </x:c>
      <x:c r="H448" s="11" t="n">
        <x:f>O448+P448</x:f>
        <x:v>24</x:v>
      </x:c>
      <x:c r="I448" s="12" t="n">
        <x:f>IF(F448=0,"",H448/F448)</x:f>
        <x:v>0.3870967741935484</x:v>
      </x:c>
      <x:c r="J448" s="12" t="n">
        <x:f>IF(F448=0,"",(O448+R448)/F448)</x:f>
        <x:v>0.6774193548387096</x:v>
      </x:c>
      <x:c r="K448" s="12" t="n">
        <x:f>IF(H448=0,"",O448/H448)</x:f>
        <x:v>0.5416666666666666</x:v>
      </x:c>
      <x:c r="L448" s="12" t="n">
        <x:f>IF(O448+Q448=0,"",O448/(O448+Q448))</x:f>
        <x:v>0.5909090909090909</x:v>
      </x:c>
      <x:c r="M448" s="12" t="n">
        <x:f>IF(2*O448+P448+Q448=0,"",2*O448/(2*O448+P448+Q448))</x:f>
        <x:v>0.5652173913043478</x:v>
      </x:c>
      <x:c r="N448" s="12" t="n">
        <x:f>IF(OR(O448+Q448=0,R448+P448=0),"",(L448+R448/(R448+P448))/2)</x:f>
        <x:v>0.6579545454545455</x:v>
      </x:c>
      <x:c r="O448" s="11" t="n">
        <x:v>13</x:v>
      </x:c>
      <x:c r="P448" s="11" t="n">
        <x:v>11</x:v>
      </x:c>
      <x:c r="Q448" s="11" t="n">
        <x:v>9</x:v>
      </x:c>
      <x:c r="R448" s="11" t="n">
        <x:v>29</x:v>
      </x:c>
    </x:row>
    <x:row r="449" ht="26" customHeight="1">
      <x:c r="A449" s="13" t="n">
        <x:v>46204</x:v>
      </x:c>
      <x:c r="B449" s="9" t="str">
        <x:v>共同可买</x:v>
      </x:c>
      <x:c r="C449" s="9" t="str">
        <x:v>验证窗口</x:v>
      </x:c>
      <x:c r="D449" s="9" t="str">
        <x:v>Top3</x:v>
      </x:c>
      <x:c r="E449" s="9" t="str">
        <x:v>四K重选规则</x:v>
      </x:c>
      <x:c r="F449" s="11" t="n">
        <x:f>SUM(O449:R449)</x:f>
        <x:v>62</x:v>
      </x:c>
      <x:c r="G449" s="11" t="n">
        <x:v>62</x:v>
      </x:c>
      <x:c r="H449" s="11" t="n">
        <x:f>O449+P449</x:f>
        <x:v>62</x:v>
      </x:c>
      <x:c r="I449" s="12" t="n">
        <x:f>IF(F449=0,"",H449/F449)</x:f>
        <x:v>1</x:v>
      </x:c>
      <x:c r="J449" s="12" t="n">
        <x:f>IF(F449=0,"",(O449+R449)/F449)</x:f>
        <x:v>0.3548387096774194</x:v>
      </x:c>
      <x:c r="K449" s="12" t="n">
        <x:f>IF(H449=0,"",O449/H449)</x:f>
        <x:v>0.3548387096774194</x:v>
      </x:c>
      <x:c r="L449" s="12" t="n">
        <x:f>IF(O449+Q449=0,"",O449/(O449+Q449))</x:f>
        <x:v>1</x:v>
      </x:c>
      <x:c r="M449" s="12" t="n">
        <x:f>IF(2*O449+P449+Q449=0,"",2*O449/(2*O449+P449+Q449))</x:f>
        <x:v>0.5238095238095238</x:v>
      </x:c>
      <x:c r="N449" s="12" t="n">
        <x:f>IF(OR(O449+Q449=0,R449+P449=0),"",(L449+R449/(R449+P449))/2)</x:f>
        <x:v>0.5</x:v>
      </x:c>
      <x:c r="O449" s="11" t="n">
        <x:v>22</x:v>
      </x:c>
      <x:c r="P449" s="11" t="n">
        <x:v>40</x:v>
      </x:c>
      <x:c r="Q449" s="11" t="n">
        <x:v>0</x:v>
      </x:c>
      <x:c r="R449" s="11" t="n">
        <x:v>0</x:v>
      </x:c>
    </x:row>
    <x:row r="450" ht="26" customHeight="1">
      <x:c r="A450" s="13" t="n">
        <x:v>46235</x:v>
      </x:c>
      <x:c r="B450" s="9" t="str">
        <x:v>共同可买</x:v>
      </x:c>
      <x:c r="C450" s="9" t="str">
        <x:v>测试</x:v>
      </x:c>
      <x:c r="D450" s="9" t="str">
        <x:v>Top3</x:v>
      </x:c>
      <x:c r="E450" s="9" t="str">
        <x:v>不判形态</x:v>
      </x:c>
      <x:c r="F450" s="11" t="n">
        <x:f>SUM(O450:R450)</x:f>
        <x:v>36</x:v>
      </x:c>
      <x:c r="G450" s="11" t="n">
        <x:v>36</x:v>
      </x:c>
      <x:c r="H450" s="11" t="n">
        <x:f>O450+P450</x:f>
        <x:v>36</x:v>
      </x:c>
      <x:c r="I450" s="12" t="n">
        <x:f>IF(F450=0,"",H450/F450)</x:f>
        <x:v>1</x:v>
      </x:c>
      <x:c r="J450" s="12" t="n">
        <x:f>IF(F450=0,"",(O450+R450)/F450)</x:f>
        <x:v>0.5555555555555556</x:v>
      </x:c>
      <x:c r="K450" s="12" t="n">
        <x:f>IF(H450=0,"",O450/H450)</x:f>
        <x:v>0.5555555555555556</x:v>
      </x:c>
      <x:c r="L450" s="12" t="n">
        <x:f>IF(O450+Q450=0,"",O450/(O450+Q450))</x:f>
        <x:v>1</x:v>
      </x:c>
      <x:c r="M450" s="12" t="n">
        <x:f>IF(2*O450+P450+Q450=0,"",2*O450/(2*O450+P450+Q450))</x:f>
        <x:v>0.7142857142857143</x:v>
      </x:c>
      <x:c r="N450" s="12" t="n">
        <x:f>IF(OR(O450+Q450=0,R450+P450=0),"",(L450+R450/(R450+P450))/2)</x:f>
        <x:v>0.5</x:v>
      </x:c>
      <x:c r="O450" s="11" t="n">
        <x:v>20</x:v>
      </x:c>
      <x:c r="P450" s="11" t="n">
        <x:v>16</x:v>
      </x:c>
      <x:c r="Q450" s="11" t="n">
        <x:v>0</x:v>
      </x:c>
      <x:c r="R450" s="11" t="n">
        <x:v>0</x:v>
      </x:c>
    </x:row>
    <x:row r="451" ht="26" customHeight="1">
      <x:c r="A451" s="13" t="n">
        <x:v>46235</x:v>
      </x:c>
      <x:c r="B451" s="9" t="str">
        <x:v>共同可买</x:v>
      </x:c>
      <x:c r="C451" s="9" t="str">
        <x:v>测试</x:v>
      </x:c>
      <x:c r="D451" s="9" t="str">
        <x:v>Top3</x:v>
      </x:c>
      <x:c r="E451" s="9" t="str">
        <x:v>五K原规则</x:v>
      </x:c>
      <x:c r="F451" s="11" t="n">
        <x:f>SUM(O451:R451)</x:f>
        <x:v>36</x:v>
      </x:c>
      <x:c r="G451" s="11" t="n">
        <x:v>36</x:v>
      </x:c>
      <x:c r="H451" s="11" t="n">
        <x:f>O451+P451</x:f>
        <x:v>16</x:v>
      </x:c>
      <x:c r="I451" s="12" t="n">
        <x:f>IF(F451=0,"",H451/F451)</x:f>
        <x:v>0.4444444444444444</x:v>
      </x:c>
      <x:c r="J451" s="12" t="n">
        <x:f>IF(F451=0,"",(O451+R451)/F451)</x:f>
        <x:v>0.5555555555555556</x:v>
      </x:c>
      <x:c r="K451" s="12" t="n">
        <x:f>IF(H451=0,"",O451/H451)</x:f>
        <x:v>0.625</x:v>
      </x:c>
      <x:c r="L451" s="12" t="n">
        <x:f>IF(O451+Q451=0,"",O451/(O451+Q451))</x:f>
        <x:v>0.5</x:v>
      </x:c>
      <x:c r="M451" s="12" t="n">
        <x:f>IF(2*O451+P451+Q451=0,"",2*O451/(2*O451+P451+Q451))</x:f>
        <x:v>0.5555555555555556</x:v>
      </x:c>
      <x:c r="N451" s="12" t="n">
        <x:f>IF(OR(O451+Q451=0,R451+P451=0),"",(L451+R451/(R451+P451))/2)</x:f>
        <x:v>0.5625</x:v>
      </x:c>
      <x:c r="O451" s="11" t="n">
        <x:v>10</x:v>
      </x:c>
      <x:c r="P451" s="11" t="n">
        <x:v>6</x:v>
      </x:c>
      <x:c r="Q451" s="11" t="n">
        <x:v>10</x:v>
      </x:c>
      <x:c r="R451" s="11" t="n">
        <x:v>10</x:v>
      </x:c>
    </x:row>
    <x:row r="452" ht="26" customHeight="1">
      <x:c r="A452" s="13" t="n">
        <x:v>46235</x:v>
      </x:c>
      <x:c r="B452" s="9" t="str">
        <x:v>共同可买</x:v>
      </x:c>
      <x:c r="C452" s="9" t="str">
        <x:v>测试</x:v>
      </x:c>
      <x:c r="D452" s="9" t="str">
        <x:v>Top3</x:v>
      </x:c>
      <x:c r="E452" s="9" t="str">
        <x:v>四K沿用门槛</x:v>
      </x:c>
      <x:c r="F452" s="11" t="n">
        <x:f>SUM(O452:R452)</x:f>
        <x:v>36</x:v>
      </x:c>
      <x:c r="G452" s="11" t="n">
        <x:v>36</x:v>
      </x:c>
      <x:c r="H452" s="11" t="n">
        <x:f>O452+P452</x:f>
        <x:v>17</x:v>
      </x:c>
      <x:c r="I452" s="12" t="n">
        <x:f>IF(F452=0,"",H452/F452)</x:f>
        <x:v>0.4722222222222222</x:v>
      </x:c>
      <x:c r="J452" s="12" t="n">
        <x:f>IF(F452=0,"",(O452+R452)/F452)</x:f>
        <x:v>0.5277777777777778</x:v>
      </x:c>
      <x:c r="K452" s="12" t="n">
        <x:f>IF(H452=0,"",O452/H452)</x:f>
        <x:v>0.5882352941176471</x:v>
      </x:c>
      <x:c r="L452" s="12" t="n">
        <x:f>IF(O452+Q452=0,"",O452/(O452+Q452))</x:f>
        <x:v>0.5</x:v>
      </x:c>
      <x:c r="M452" s="12" t="n">
        <x:f>IF(2*O452+P452+Q452=0,"",2*O452/(2*O452+P452+Q452))</x:f>
        <x:v>0.5405405405405406</x:v>
      </x:c>
      <x:c r="N452" s="12" t="n">
        <x:f>IF(OR(O452+Q452=0,R452+P452=0),"",(L452+R452/(R452+P452))/2)</x:f>
        <x:v>0.53125</x:v>
      </x:c>
      <x:c r="O452" s="11" t="n">
        <x:v>10</x:v>
      </x:c>
      <x:c r="P452" s="11" t="n">
        <x:v>7</x:v>
      </x:c>
      <x:c r="Q452" s="11" t="n">
        <x:v>10</x:v>
      </x:c>
      <x:c r="R452" s="11" t="n">
        <x:v>9</x:v>
      </x:c>
    </x:row>
    <x:row r="453" ht="26" customHeight="1">
      <x:c r="A453" s="13" t="n">
        <x:v>46235</x:v>
      </x:c>
      <x:c r="B453" s="9" t="str">
        <x:v>共同可买</x:v>
      </x:c>
      <x:c r="C453" s="9" t="str">
        <x:v>测试</x:v>
      </x:c>
      <x:c r="D453" s="9" t="str">
        <x:v>Top3</x:v>
      </x:c>
      <x:c r="E453" s="9" t="str">
        <x:v>四K重选规则</x:v>
      </x:c>
      <x:c r="F453" s="11" t="n">
        <x:f>SUM(O453:R453)</x:f>
        <x:v>36</x:v>
      </x:c>
      <x:c r="G453" s="11" t="n">
        <x:v>36</x:v>
      </x:c>
      <x:c r="H453" s="11" t="n">
        <x:f>O453+P453</x:f>
        <x:v>23</x:v>
      </x:c>
      <x:c r="I453" s="12" t="n">
        <x:f>IF(F453=0,"",H453/F453)</x:f>
        <x:v>0.6388888888888888</x:v>
      </x:c>
      <x:c r="J453" s="12" t="n">
        <x:f>IF(F453=0,"",(O453+R453)/F453)</x:f>
        <x:v>0.5277777777777778</x:v>
      </x:c>
      <x:c r="K453" s="12" t="n">
        <x:f>IF(H453=0,"",O453/H453)</x:f>
        <x:v>0.5652173913043478</x:v>
      </x:c>
      <x:c r="L453" s="12" t="n">
        <x:f>IF(O453+Q453=0,"",O453/(O453+Q453))</x:f>
        <x:v>0.65</x:v>
      </x:c>
      <x:c r="M453" s="12" t="n">
        <x:f>IF(2*O453+P453+Q453=0,"",2*O453/(2*O453+P453+Q453))</x:f>
        <x:v>0.6046511627906976</x:v>
      </x:c>
      <x:c r="N453" s="12" t="n">
        <x:f>IF(OR(O453+Q453=0,R453+P453=0),"",(L453+R453/(R453+P453))/2)</x:f>
        <x:v>0.5125</x:v>
      </x:c>
      <x:c r="O453" s="11" t="n">
        <x:v>13</x:v>
      </x:c>
      <x:c r="P453" s="11" t="n">
        <x:v>10</x:v>
      </x:c>
      <x:c r="Q453" s="11" t="n">
        <x:v>7</x:v>
      </x:c>
      <x:c r="R453" s="11" t="n">
        <x:v>6</x:v>
      </x:c>
    </x:row>
    <x:row r="454" ht="26" customHeight="1">
      <x:c r="A454" s="13" t="n">
        <x:v>46235</x:v>
      </x:c>
      <x:c r="B454" s="9" t="str">
        <x:v>共同可买</x:v>
      </x:c>
      <x:c r="C454" s="9" t="str">
        <x:v>训练窗口</x:v>
      </x:c>
      <x:c r="D454" s="9" t="str">
        <x:v>Top3</x:v>
      </x:c>
      <x:c r="E454" s="9" t="str">
        <x:v>不判形态</x:v>
      </x:c>
      <x:c r="F454" s="11" t="n">
        <x:f>SUM(O454:R454)</x:f>
        <x:v>208</x:v>
      </x:c>
      <x:c r="G454" s="11" t="n">
        <x:v>208</x:v>
      </x:c>
      <x:c r="H454" s="11" t="n">
        <x:f>O454+P454</x:f>
        <x:v>208</x:v>
      </x:c>
      <x:c r="I454" s="12" t="n">
        <x:f>IF(F454=0,"",H454/F454)</x:f>
        <x:v>1</x:v>
      </x:c>
      <x:c r="J454" s="12" t="n">
        <x:f>IF(F454=0,"",(O454+R454)/F454)</x:f>
        <x:v>0.44711538461538464</x:v>
      </x:c>
      <x:c r="K454" s="12" t="n">
        <x:f>IF(H454=0,"",O454/H454)</x:f>
        <x:v>0.44711538461538464</x:v>
      </x:c>
      <x:c r="L454" s="12" t="n">
        <x:f>IF(O454+Q454=0,"",O454/(O454+Q454))</x:f>
        <x:v>1</x:v>
      </x:c>
      <x:c r="M454" s="12" t="n">
        <x:f>IF(2*O454+P454+Q454=0,"",2*O454/(2*O454+P454+Q454))</x:f>
        <x:v>0.6179401993355482</x:v>
      </x:c>
      <x:c r="N454" s="12" t="n">
        <x:f>IF(OR(O454+Q454=0,R454+P454=0),"",(L454+R454/(R454+P454))/2)</x:f>
        <x:v>0.5</x:v>
      </x:c>
      <x:c r="O454" s="11" t="n">
        <x:v>93</x:v>
      </x:c>
      <x:c r="P454" s="11" t="n">
        <x:v>115</x:v>
      </x:c>
      <x:c r="Q454" s="11" t="n">
        <x:v>0</x:v>
      </x:c>
      <x:c r="R454" s="11" t="n">
        <x:v>0</x:v>
      </x:c>
    </x:row>
    <x:row r="455" ht="26" customHeight="1">
      <x:c r="A455" s="13" t="n">
        <x:v>46235</x:v>
      </x:c>
      <x:c r="B455" s="9" t="str">
        <x:v>共同可买</x:v>
      </x:c>
      <x:c r="C455" s="9" t="str">
        <x:v>训练窗口</x:v>
      </x:c>
      <x:c r="D455" s="9" t="str">
        <x:v>Top3</x:v>
      </x:c>
      <x:c r="E455" s="9" t="str">
        <x:v>五K原规则</x:v>
      </x:c>
      <x:c r="F455" s="11" t="n">
        <x:f>SUM(O455:R455)</x:f>
        <x:v>208</x:v>
      </x:c>
      <x:c r="G455" s="11" t="n">
        <x:v>208</x:v>
      </x:c>
      <x:c r="H455" s="11" t="n">
        <x:f>O455+P455</x:f>
        <x:v>84</x:v>
      </x:c>
      <x:c r="I455" s="12" t="n">
        <x:f>IF(F455=0,"",H455/F455)</x:f>
        <x:v>0.40384615384615385</x:v>
      </x:c>
      <x:c r="J455" s="12" t="n">
        <x:f>IF(F455=0,"",(O455+R455)/F455)</x:f>
        <x:v>0.6394230769230769</x:v>
      </x:c>
      <x:c r="K455" s="12" t="n">
        <x:f>IF(H455=0,"",O455/H455)</x:f>
        <x:v>0.6071428571428571</x:v>
      </x:c>
      <x:c r="L455" s="12" t="n">
        <x:f>IF(O455+Q455=0,"",O455/(O455+Q455))</x:f>
        <x:v>0.5483870967741935</x:v>
      </x:c>
      <x:c r="M455" s="12" t="n">
        <x:f>IF(2*O455+P455+Q455=0,"",2*O455/(2*O455+P455+Q455))</x:f>
        <x:v>0.576271186440678</x:v>
      </x:c>
      <x:c r="N455" s="12" t="n">
        <x:f>IF(OR(O455+Q455=0,R455+P455=0),"",(L455+R455/(R455+P455))/2)</x:f>
        <x:v>0.6307152875175315</x:v>
      </x:c>
      <x:c r="O455" s="11" t="n">
        <x:v>51</x:v>
      </x:c>
      <x:c r="P455" s="11" t="n">
        <x:v>33</x:v>
      </x:c>
      <x:c r="Q455" s="11" t="n">
        <x:v>42</x:v>
      </x:c>
      <x:c r="R455" s="11" t="n">
        <x:v>82</x:v>
      </x:c>
    </x:row>
    <x:row r="456" ht="26" customHeight="1">
      <x:c r="A456" s="13" t="n">
        <x:v>46235</x:v>
      </x:c>
      <x:c r="B456" s="9" t="str">
        <x:v>共同可买</x:v>
      </x:c>
      <x:c r="C456" s="9" t="str">
        <x:v>训练窗口</x:v>
      </x:c>
      <x:c r="D456" s="9" t="str">
        <x:v>Top3</x:v>
      </x:c>
      <x:c r="E456" s="9" t="str">
        <x:v>四K沿用门槛</x:v>
      </x:c>
      <x:c r="F456" s="11" t="n">
        <x:f>SUM(O456:R456)</x:f>
        <x:v>208</x:v>
      </x:c>
      <x:c r="G456" s="11" t="n">
        <x:v>208</x:v>
      </x:c>
      <x:c r="H456" s="11" t="n">
        <x:f>O456+P456</x:f>
        <x:v>86</x:v>
      </x:c>
      <x:c r="I456" s="12" t="n">
        <x:f>IF(F456=0,"",H456/F456)</x:f>
        <x:v>0.41346153846153844</x:v>
      </x:c>
      <x:c r="J456" s="12" t="n">
        <x:f>IF(F456=0,"",(O456+R456)/F456)</x:f>
        <x:v>0.6490384615384616</x:v>
      </x:c>
      <x:c r="K456" s="12" t="n">
        <x:f>IF(H456=0,"",O456/H456)</x:f>
        <x:v>0.6162790697674418</x:v>
      </x:c>
      <x:c r="L456" s="12" t="n">
        <x:f>IF(O456+Q456=0,"",O456/(O456+Q456))</x:f>
        <x:v>0.5698924731182796</x:v>
      </x:c>
      <x:c r="M456" s="12" t="n">
        <x:f>IF(2*O456+P456+Q456=0,"",2*O456/(2*O456+P456+Q456))</x:f>
        <x:v>0.5921787709497207</x:v>
      </x:c>
      <x:c r="N456" s="12" t="n">
        <x:f>IF(OR(O456+Q456=0,R456+P456=0),"",(L456+R456/(R456+P456))/2)</x:f>
        <x:v>0.6414679756895746</x:v>
      </x:c>
      <x:c r="O456" s="11" t="n">
        <x:v>53</x:v>
      </x:c>
      <x:c r="P456" s="11" t="n">
        <x:v>33</x:v>
      </x:c>
      <x:c r="Q456" s="11" t="n">
        <x:v>40</x:v>
      </x:c>
      <x:c r="R456" s="11" t="n">
        <x:v>82</x:v>
      </x:c>
    </x:row>
    <x:row r="457" ht="26" customHeight="1">
      <x:c r="A457" s="13" t="n">
        <x:v>46235</x:v>
      </x:c>
      <x:c r="B457" s="9" t="str">
        <x:v>共同可买</x:v>
      </x:c>
      <x:c r="C457" s="9" t="str">
        <x:v>训练窗口</x:v>
      </x:c>
      <x:c r="D457" s="9" t="str">
        <x:v>Top3</x:v>
      </x:c>
      <x:c r="E457" s="9" t="str">
        <x:v>四K重选规则</x:v>
      </x:c>
      <x:c r="F457" s="11" t="n">
        <x:f>SUM(O457:R457)</x:f>
        <x:v>208</x:v>
      </x:c>
      <x:c r="G457" s="11" t="n">
        <x:v>208</x:v>
      </x:c>
      <x:c r="H457" s="11" t="n">
        <x:f>O457+P457</x:f>
        <x:v>107</x:v>
      </x:c>
      <x:c r="I457" s="12" t="n">
        <x:f>IF(F457=0,"",H457/F457)</x:f>
        <x:v>0.5144230769230769</x:v>
      </x:c>
      <x:c r="J457" s="12" t="n">
        <x:f>IF(F457=0,"",(O457+R457)/F457)</x:f>
        <x:v>0.625</x:v>
      </x:c>
      <x:c r="K457" s="12" t="n">
        <x:f>IF(H457=0,"",O457/H457)</x:f>
        <x:v>0.5700934579439252</x:v>
      </x:c>
      <x:c r="L457" s="12" t="n">
        <x:f>IF(O457+Q457=0,"",O457/(O457+Q457))</x:f>
        <x:v>0.6559139784946236</x:v>
      </x:c>
      <x:c r="M457" s="12" t="n">
        <x:f>IF(2*O457+P457+Q457=0,"",2*O457/(2*O457+P457+Q457))</x:f>
        <x:v>0.61</x:v>
      </x:c>
      <x:c r="N457" s="12" t="n">
        <x:f>IF(OR(O457+Q457=0,R457+P457=0),"",(L457+R457/(R457+P457))/2)</x:f>
        <x:v>0.6279569892473118</x:v>
      </x:c>
      <x:c r="O457" s="11" t="n">
        <x:v>61</x:v>
      </x:c>
      <x:c r="P457" s="11" t="n">
        <x:v>46</x:v>
      </x:c>
      <x:c r="Q457" s="11" t="n">
        <x:v>32</x:v>
      </x:c>
      <x:c r="R457" s="11" t="n">
        <x:v>69</x:v>
      </x:c>
    </x:row>
    <x:row r="458" ht="26" customHeight="1">
      <x:c r="A458" s="13" t="n">
        <x:v>46235</x:v>
      </x:c>
      <x:c r="B458" s="9" t="str">
        <x:v>共同可买</x:v>
      </x:c>
      <x:c r="C458" s="9" t="str">
        <x:v>验证窗口</x:v>
      </x:c>
      <x:c r="D458" s="9" t="str">
        <x:v>Top3</x:v>
      </x:c>
      <x:c r="E458" s="9" t="str">
        <x:v>不判形态</x:v>
      </x:c>
      <x:c r="F458" s="11" t="n">
        <x:f>SUM(O458:R458)</x:f>
        <x:v>80</x:v>
      </x:c>
      <x:c r="G458" s="11" t="n">
        <x:v>80</x:v>
      </x:c>
      <x:c r="H458" s="11" t="n">
        <x:f>O458+P458</x:f>
        <x:v>80</x:v>
      </x:c>
      <x:c r="I458" s="12" t="n">
        <x:f>IF(F458=0,"",H458/F458)</x:f>
        <x:v>1</x:v>
      </x:c>
      <x:c r="J458" s="12" t="n">
        <x:f>IF(F458=0,"",(O458+R458)/F458)</x:f>
        <x:v>0.3625</x:v>
      </x:c>
      <x:c r="K458" s="12" t="n">
        <x:f>IF(H458=0,"",O458/H458)</x:f>
        <x:v>0.3625</x:v>
      </x:c>
      <x:c r="L458" s="12" t="n">
        <x:f>IF(O458+Q458=0,"",O458/(O458+Q458))</x:f>
        <x:v>1</x:v>
      </x:c>
      <x:c r="M458" s="12" t="n">
        <x:f>IF(2*O458+P458+Q458=0,"",2*O458/(2*O458+P458+Q458))</x:f>
        <x:v>0.5321100917431193</x:v>
      </x:c>
      <x:c r="N458" s="12" t="n">
        <x:f>IF(OR(O458+Q458=0,R458+P458=0),"",(L458+R458/(R458+P458))/2)</x:f>
        <x:v>0.5</x:v>
      </x:c>
      <x:c r="O458" s="11" t="n">
        <x:v>29</x:v>
      </x:c>
      <x:c r="P458" s="11" t="n">
        <x:v>51</x:v>
      </x:c>
      <x:c r="Q458" s="11" t="n">
        <x:v>0</x:v>
      </x:c>
      <x:c r="R458" s="11" t="n">
        <x:v>0</x:v>
      </x:c>
    </x:row>
    <x:row r="459" ht="26" customHeight="1">
      <x:c r="A459" s="13" t="n">
        <x:v>46235</x:v>
      </x:c>
      <x:c r="B459" s="9" t="str">
        <x:v>共同可买</x:v>
      </x:c>
      <x:c r="C459" s="9" t="str">
        <x:v>验证窗口</x:v>
      </x:c>
      <x:c r="D459" s="9" t="str">
        <x:v>Top3</x:v>
      </x:c>
      <x:c r="E459" s="9" t="str">
        <x:v>五K原规则</x:v>
      </x:c>
      <x:c r="F459" s="11" t="n">
        <x:f>SUM(O459:R459)</x:f>
        <x:v>80</x:v>
      </x:c>
      <x:c r="G459" s="11" t="n">
        <x:v>80</x:v>
      </x:c>
      <x:c r="H459" s="11" t="n">
        <x:f>O459+P459</x:f>
        <x:v>36</x:v>
      </x:c>
      <x:c r="I459" s="12" t="n">
        <x:f>IF(F459=0,"",H459/F459)</x:f>
        <x:v>0.45</x:v>
      </x:c>
      <x:c r="J459" s="12" t="n">
        <x:f>IF(F459=0,"",(O459+R459)/F459)</x:f>
        <x:v>0.5875</x:v>
      </x:c>
      <x:c r="K459" s="12" t="n">
        <x:f>IF(H459=0,"",O459/H459)</x:f>
        <x:v>0.4444444444444444</x:v>
      </x:c>
      <x:c r="L459" s="12" t="n">
        <x:f>IF(O459+Q459=0,"",O459/(O459+Q459))</x:f>
        <x:v>0.5517241379310345</x:v>
      </x:c>
      <x:c r="M459" s="12" t="n">
        <x:f>IF(2*O459+P459+Q459=0,"",2*O459/(2*O459+P459+Q459))</x:f>
        <x:v>0.49230769230769234</x:v>
      </x:c>
      <x:c r="N459" s="12" t="n">
        <x:f>IF(OR(O459+Q459=0,R459+P459=0),"",(L459+R459/(R459+P459))/2)</x:f>
        <x:v>0.5797836375929681</x:v>
      </x:c>
      <x:c r="O459" s="11" t="n">
        <x:v>16</x:v>
      </x:c>
      <x:c r="P459" s="11" t="n">
        <x:v>20</x:v>
      </x:c>
      <x:c r="Q459" s="11" t="n">
        <x:v>13</x:v>
      </x:c>
      <x:c r="R459" s="11" t="n">
        <x:v>31</x:v>
      </x:c>
    </x:row>
    <x:row r="460" ht="26" customHeight="1">
      <x:c r="A460" s="13" t="n">
        <x:v>46235</x:v>
      </x:c>
      <x:c r="B460" s="9" t="str">
        <x:v>共同可买</x:v>
      </x:c>
      <x:c r="C460" s="9" t="str">
        <x:v>验证窗口</x:v>
      </x:c>
      <x:c r="D460" s="9" t="str">
        <x:v>Top3</x:v>
      </x:c>
      <x:c r="E460" s="9" t="str">
        <x:v>四K沿用门槛</x:v>
      </x:c>
      <x:c r="F460" s="11" t="n">
        <x:f>SUM(O460:R460)</x:f>
        <x:v>80</x:v>
      </x:c>
      <x:c r="G460" s="11" t="n">
        <x:v>80</x:v>
      </x:c>
      <x:c r="H460" s="11" t="n">
        <x:f>O460+P460</x:f>
        <x:v>35</x:v>
      </x:c>
      <x:c r="I460" s="12" t="n">
        <x:f>IF(F460=0,"",H460/F460)</x:f>
        <x:v>0.4375</x:v>
      </x:c>
      <x:c r="J460" s="12" t="n">
        <x:f>IF(F460=0,"",(O460+R460)/F460)</x:f>
        <x:v>0.6</x:v>
      </x:c>
      <x:c r="K460" s="12" t="n">
        <x:f>IF(H460=0,"",O460/H460)</x:f>
        <x:v>0.45714285714285713</x:v>
      </x:c>
      <x:c r="L460" s="12" t="n">
        <x:f>IF(O460+Q460=0,"",O460/(O460+Q460))</x:f>
        <x:v>0.5517241379310345</x:v>
      </x:c>
      <x:c r="M460" s="12" t="n">
        <x:f>IF(2*O460+P460+Q460=0,"",2*O460/(2*O460+P460+Q460))</x:f>
        <x:v>0.5</x:v>
      </x:c>
      <x:c r="N460" s="12" t="n">
        <x:f>IF(OR(O460+Q460=0,R460+P460=0),"",(L460+R460/(R460+P460))/2)</x:f>
        <x:v>0.5895875591615957</x:v>
      </x:c>
      <x:c r="O460" s="11" t="n">
        <x:v>16</x:v>
      </x:c>
      <x:c r="P460" s="11" t="n">
        <x:v>19</x:v>
      </x:c>
      <x:c r="Q460" s="11" t="n">
        <x:v>13</x:v>
      </x:c>
      <x:c r="R460" s="11" t="n">
        <x:v>32</x:v>
      </x:c>
    </x:row>
    <x:row r="461" ht="26" customHeight="1">
      <x:c r="A461" s="13" t="n">
        <x:v>46235</x:v>
      </x:c>
      <x:c r="B461" s="9" t="str">
        <x:v>共同可买</x:v>
      </x:c>
      <x:c r="C461" s="9" t="str">
        <x:v>验证窗口</x:v>
      </x:c>
      <x:c r="D461" s="9" t="str">
        <x:v>Top3</x:v>
      </x:c>
      <x:c r="E461" s="9" t="str">
        <x:v>四K重选规则</x:v>
      </x:c>
      <x:c r="F461" s="11" t="n">
        <x:f>SUM(O461:R461)</x:f>
        <x:v>80</x:v>
      </x:c>
      <x:c r="G461" s="11" t="n">
        <x:v>80</x:v>
      </x:c>
      <x:c r="H461" s="11" t="n">
        <x:f>O461+P461</x:f>
        <x:v>51</x:v>
      </x:c>
      <x:c r="I461" s="12" t="n">
        <x:f>IF(F461=0,"",H461/F461)</x:f>
        <x:v>0.6375</x:v>
      </x:c>
      <x:c r="J461" s="12" t="n">
        <x:f>IF(F461=0,"",(O461+R461)/F461)</x:f>
        <x:v>0.55</x:v>
      </x:c>
      <x:c r="K461" s="12" t="n">
        <x:f>IF(H461=0,"",O461/H461)</x:f>
        <x:v>0.43137254901960786</x:v>
      </x:c>
      <x:c r="L461" s="12" t="n">
        <x:f>IF(O461+Q461=0,"",O461/(O461+Q461))</x:f>
        <x:v>0.7586206896551724</x:v>
      </x:c>
      <x:c r="M461" s="12" t="n">
        <x:f>IF(2*O461+P461+Q461=0,"",2*O461/(2*O461+P461+Q461))</x:f>
        <x:v>0.55</x:v>
      </x:c>
      <x:c r="N461" s="12" t="n">
        <x:f>IF(OR(O461+Q461=0,R461+P461=0),"",(L461+R461/(R461+P461))/2)</x:f>
        <x:v>0.5949966193373901</x:v>
      </x:c>
      <x:c r="O461" s="11" t="n">
        <x:v>22</x:v>
      </x:c>
      <x:c r="P461" s="11" t="n">
        <x:v>29</x:v>
      </x:c>
      <x:c r="Q461" s="11" t="n">
        <x:v>7</x:v>
      </x:c>
      <x:c r="R461" s="11" t="n">
        <x:v>22</x:v>
      </x:c>
    </x:row>
    <x:row r="462" ht="26" customHeight="1">
      <x:c r="A462" s="13" t="n">
        <x:v>46266</x:v>
      </x:c>
      <x:c r="B462" s="9" t="str">
        <x:v>共同可买</x:v>
      </x:c>
      <x:c r="C462" s="9" t="str">
        <x:v>测试</x:v>
      </x:c>
      <x:c r="D462" s="9" t="str">
        <x:v>Top3</x:v>
      </x:c>
      <x:c r="E462" s="9" t="str">
        <x:v>不判形态</x:v>
      </x:c>
      <x:c r="F462" s="11" t="n">
        <x:f>SUM(O462:R462)</x:f>
        <x:v>39</x:v>
      </x:c>
      <x:c r="G462" s="11" t="n">
        <x:v>39</x:v>
      </x:c>
      <x:c r="H462" s="11" t="n">
        <x:f>O462+P462</x:f>
        <x:v>39</x:v>
      </x:c>
      <x:c r="I462" s="12" t="n">
        <x:f>IF(F462=0,"",H462/F462)</x:f>
        <x:v>1</x:v>
      </x:c>
      <x:c r="J462" s="12" t="n">
        <x:f>IF(F462=0,"",(O462+R462)/F462)</x:f>
        <x:v>0.358974358974359</x:v>
      </x:c>
      <x:c r="K462" s="12" t="n">
        <x:f>IF(H462=0,"",O462/H462)</x:f>
        <x:v>0.358974358974359</x:v>
      </x:c>
      <x:c r="L462" s="12" t="n">
        <x:f>IF(O462+Q462=0,"",O462/(O462+Q462))</x:f>
        <x:v>1</x:v>
      </x:c>
      <x:c r="M462" s="12" t="n">
        <x:f>IF(2*O462+P462+Q462=0,"",2*O462/(2*O462+P462+Q462))</x:f>
        <x:v>0.5283018867924528</x:v>
      </x:c>
      <x:c r="N462" s="12" t="n">
        <x:f>IF(OR(O462+Q462=0,R462+P462=0),"",(L462+R462/(R462+P462))/2)</x:f>
        <x:v>0.5</x:v>
      </x:c>
      <x:c r="O462" s="11" t="n">
        <x:v>14</x:v>
      </x:c>
      <x:c r="P462" s="11" t="n">
        <x:v>25</x:v>
      </x:c>
      <x:c r="Q462" s="11" t="n">
        <x:v>0</x:v>
      </x:c>
      <x:c r="R462" s="11" t="n">
        <x:v>0</x:v>
      </x:c>
    </x:row>
    <x:row r="463" ht="26" customHeight="1">
      <x:c r="A463" s="13" t="n">
        <x:v>46266</x:v>
      </x:c>
      <x:c r="B463" s="9" t="str">
        <x:v>共同可买</x:v>
      </x:c>
      <x:c r="C463" s="9" t="str">
        <x:v>测试</x:v>
      </x:c>
      <x:c r="D463" s="9" t="str">
        <x:v>Top3</x:v>
      </x:c>
      <x:c r="E463" s="9" t="str">
        <x:v>五K原规则</x:v>
      </x:c>
      <x:c r="F463" s="11" t="n">
        <x:f>SUM(O463:R463)</x:f>
        <x:v>39</x:v>
      </x:c>
      <x:c r="G463" s="11" t="n">
        <x:v>39</x:v>
      </x:c>
      <x:c r="H463" s="11" t="n">
        <x:f>O463+P463</x:f>
        <x:v>14</x:v>
      </x:c>
      <x:c r="I463" s="12" t="n">
        <x:f>IF(F463=0,"",H463/F463)</x:f>
        <x:v>0.358974358974359</x:v>
      </x:c>
      <x:c r="J463" s="12" t="n">
        <x:f>IF(F463=0,"",(O463+R463)/F463)</x:f>
        <x:v>0.6410256410256411</x:v>
      </x:c>
      <x:c r="K463" s="12" t="n">
        <x:f>IF(H463=0,"",O463/H463)</x:f>
        <x:v>0.5</x:v>
      </x:c>
      <x:c r="L463" s="12" t="n">
        <x:f>IF(O463+Q463=0,"",O463/(O463+Q463))</x:f>
        <x:v>0.5</x:v>
      </x:c>
      <x:c r="M463" s="12" t="n">
        <x:f>IF(2*O463+P463+Q463=0,"",2*O463/(2*O463+P463+Q463))</x:f>
        <x:v>0.5</x:v>
      </x:c>
      <x:c r="N463" s="12" t="n">
        <x:f>IF(OR(O463+Q463=0,R463+P463=0),"",(L463+R463/(R463+P463))/2)</x:f>
        <x:v>0.61</x:v>
      </x:c>
      <x:c r="O463" s="11" t="n">
        <x:v>7</x:v>
      </x:c>
      <x:c r="P463" s="11" t="n">
        <x:v>7</x:v>
      </x:c>
      <x:c r="Q463" s="11" t="n">
        <x:v>7</x:v>
      </x:c>
      <x:c r="R463" s="11" t="n">
        <x:v>18</x:v>
      </x:c>
    </x:row>
    <x:row r="464" ht="26" customHeight="1">
      <x:c r="A464" s="13" t="n">
        <x:v>46266</x:v>
      </x:c>
      <x:c r="B464" s="9" t="str">
        <x:v>共同可买</x:v>
      </x:c>
      <x:c r="C464" s="9" t="str">
        <x:v>测试</x:v>
      </x:c>
      <x:c r="D464" s="9" t="str">
        <x:v>Top3</x:v>
      </x:c>
      <x:c r="E464" s="9" t="str">
        <x:v>四K沿用门槛</x:v>
      </x:c>
      <x:c r="F464" s="11" t="n">
        <x:f>SUM(O464:R464)</x:f>
        <x:v>39</x:v>
      </x:c>
      <x:c r="G464" s="11" t="n">
        <x:v>39</x:v>
      </x:c>
      <x:c r="H464" s="11" t="n">
        <x:f>O464+P464</x:f>
        <x:v>13</x:v>
      </x:c>
      <x:c r="I464" s="12" t="n">
        <x:f>IF(F464=0,"",H464/F464)</x:f>
        <x:v>0.3333333333333333</x:v>
      </x:c>
      <x:c r="J464" s="12" t="n">
        <x:f>IF(F464=0,"",(O464+R464)/F464)</x:f>
        <x:v>0.6153846153846154</x:v>
      </x:c>
      <x:c r="K464" s="12" t="n">
        <x:f>IF(H464=0,"",O464/H464)</x:f>
        <x:v>0.46153846153846156</x:v>
      </x:c>
      <x:c r="L464" s="12" t="n">
        <x:f>IF(O464+Q464=0,"",O464/(O464+Q464))</x:f>
        <x:v>0.42857142857142855</x:v>
      </x:c>
      <x:c r="M464" s="12" t="n">
        <x:f>IF(2*O464+P464+Q464=0,"",2*O464/(2*O464+P464+Q464))</x:f>
        <x:v>0.4444444444444444</x:v>
      </x:c>
      <x:c r="N464" s="12" t="n">
        <x:f>IF(OR(O464+Q464=0,R464+P464=0),"",(L464+R464/(R464+P464))/2)</x:f>
        <x:v>0.5742857142857143</x:v>
      </x:c>
      <x:c r="O464" s="11" t="n">
        <x:v>6</x:v>
      </x:c>
      <x:c r="P464" s="11" t="n">
        <x:v>7</x:v>
      </x:c>
      <x:c r="Q464" s="11" t="n">
        <x:v>8</x:v>
      </x:c>
      <x:c r="R464" s="11" t="n">
        <x:v>18</x:v>
      </x:c>
    </x:row>
    <x:row r="465" ht="26" customHeight="1">
      <x:c r="A465" s="13" t="n">
        <x:v>46266</x:v>
      </x:c>
      <x:c r="B465" s="9" t="str">
        <x:v>共同可买</x:v>
      </x:c>
      <x:c r="C465" s="9" t="str">
        <x:v>测试</x:v>
      </x:c>
      <x:c r="D465" s="9" t="str">
        <x:v>Top3</x:v>
      </x:c>
      <x:c r="E465" s="9" t="str">
        <x:v>四K重选规则</x:v>
      </x:c>
      <x:c r="F465" s="11" t="n">
        <x:f>SUM(O465:R465)</x:f>
        <x:v>39</x:v>
      </x:c>
      <x:c r="G465" s="11" t="n">
        <x:v>39</x:v>
      </x:c>
      <x:c r="H465" s="11" t="n">
        <x:f>O465+P465</x:f>
        <x:v>34</x:v>
      </x:c>
      <x:c r="I465" s="12" t="n">
        <x:f>IF(F465=0,"",H465/F465)</x:f>
        <x:v>0.8717948717948718</x:v>
      </x:c>
      <x:c r="J465" s="12" t="n">
        <x:f>IF(F465=0,"",(O465+R465)/F465)</x:f>
        <x:v>0.3333333333333333</x:v>
      </x:c>
      <x:c r="K465" s="12" t="n">
        <x:f>IF(H465=0,"",O465/H465)</x:f>
        <x:v>0.3235294117647059</x:v>
      </x:c>
      <x:c r="L465" s="12" t="n">
        <x:f>IF(O465+Q465=0,"",O465/(O465+Q465))</x:f>
        <x:v>0.7857142857142857</x:v>
      </x:c>
      <x:c r="M465" s="12" t="n">
        <x:f>IF(2*O465+P465+Q465=0,"",2*O465/(2*O465+P465+Q465))</x:f>
        <x:v>0.4583333333333333</x:v>
      </x:c>
      <x:c r="N465" s="12" t="n">
        <x:f>IF(OR(O465+Q465=0,R465+P465=0),"",(L465+R465/(R465+P465))/2)</x:f>
        <x:v>0.43285714285714283</x:v>
      </x:c>
      <x:c r="O465" s="11" t="n">
        <x:v>11</x:v>
      </x:c>
      <x:c r="P465" s="11" t="n">
        <x:v>23</x:v>
      </x:c>
      <x:c r="Q465" s="11" t="n">
        <x:v>3</x:v>
      </x:c>
      <x:c r="R465" s="11" t="n">
        <x:v>2</x:v>
      </x:c>
    </x:row>
    <x:row r="466" ht="26" customHeight="1">
      <x:c r="A466" s="13" t="n">
        <x:v>46266</x:v>
      </x:c>
      <x:c r="B466" s="9" t="str">
        <x:v>共同可买</x:v>
      </x:c>
      <x:c r="C466" s="9" t="str">
        <x:v>训练窗口</x:v>
      </x:c>
      <x:c r="D466" s="9" t="str">
        <x:v>Top3</x:v>
      </x:c>
      <x:c r="E466" s="9" t="str">
        <x:v>不判形态</x:v>
      </x:c>
      <x:c r="F466" s="11" t="n">
        <x:f>SUM(O466:R466)</x:f>
        <x:v>215</x:v>
      </x:c>
      <x:c r="G466" s="11" t="n">
        <x:v>215</x:v>
      </x:c>
      <x:c r="H466" s="11" t="n">
        <x:f>O466+P466</x:f>
        <x:v>215</x:v>
      </x:c>
      <x:c r="I466" s="12" t="n">
        <x:f>IF(F466=0,"",H466/F466)</x:f>
        <x:v>1</x:v>
      </x:c>
      <x:c r="J466" s="12" t="n">
        <x:f>IF(F466=0,"",(O466+R466)/F466)</x:f>
        <x:v>0.4418604651162791</x:v>
      </x:c>
      <x:c r="K466" s="12" t="n">
        <x:f>IF(H466=0,"",O466/H466)</x:f>
        <x:v>0.4418604651162791</x:v>
      </x:c>
      <x:c r="L466" s="12" t="n">
        <x:f>IF(O466+Q466=0,"",O466/(O466+Q466))</x:f>
        <x:v>1</x:v>
      </x:c>
      <x:c r="M466" s="12" t="n">
        <x:f>IF(2*O466+P466+Q466=0,"",2*O466/(2*O466+P466+Q466))</x:f>
        <x:v>0.6129032258064516</x:v>
      </x:c>
      <x:c r="N466" s="12" t="n">
        <x:f>IF(OR(O466+Q466=0,R466+P466=0),"",(L466+R466/(R466+P466))/2)</x:f>
        <x:v>0.5</x:v>
      </x:c>
      <x:c r="O466" s="11" t="n">
        <x:v>95</x:v>
      </x:c>
      <x:c r="P466" s="11" t="n">
        <x:v>120</x:v>
      </x:c>
      <x:c r="Q466" s="11" t="n">
        <x:v>0</x:v>
      </x:c>
      <x:c r="R466" s="11" t="n">
        <x:v>0</x:v>
      </x:c>
    </x:row>
    <x:row r="467" ht="26" customHeight="1">
      <x:c r="A467" s="13" t="n">
        <x:v>46266</x:v>
      </x:c>
      <x:c r="B467" s="9" t="str">
        <x:v>共同可买</x:v>
      </x:c>
      <x:c r="C467" s="9" t="str">
        <x:v>训练窗口</x:v>
      </x:c>
      <x:c r="D467" s="9" t="str">
        <x:v>Top3</x:v>
      </x:c>
      <x:c r="E467" s="9" t="str">
        <x:v>五K原规则</x:v>
      </x:c>
      <x:c r="F467" s="11" t="n">
        <x:f>SUM(O467:R467)</x:f>
        <x:v>215</x:v>
      </x:c>
      <x:c r="G467" s="11" t="n">
        <x:v>215</x:v>
      </x:c>
      <x:c r="H467" s="11" t="n">
        <x:f>O467+P467</x:f>
        <x:v>81</x:v>
      </x:c>
      <x:c r="I467" s="12" t="n">
        <x:f>IF(F467=0,"",H467/F467)</x:f>
        <x:v>0.3767441860465116</x:v>
      </x:c>
      <x:c r="J467" s="12" t="n">
        <x:f>IF(F467=0,"",(O467+R467)/F467)</x:f>
        <x:v>0.6651162790697674</x:v>
      </x:c>
      <x:c r="K467" s="12" t="n">
        <x:f>IF(H467=0,"",O467/H467)</x:f>
        <x:v>0.6419753086419753</x:v>
      </x:c>
      <x:c r="L467" s="12" t="n">
        <x:f>IF(O467+Q467=0,"",O467/(O467+Q467))</x:f>
        <x:v>0.5473684210526316</x:v>
      </x:c>
      <x:c r="M467" s="12" t="n">
        <x:f>IF(2*O467+P467+Q467=0,"",2*O467/(2*O467+P467+Q467))</x:f>
        <x:v>0.5909090909090909</x:v>
      </x:c>
      <x:c r="N467" s="12" t="n">
        <x:f>IF(OR(O467+Q467=0,R467+P467=0),"",(L467+R467/(R467+P467))/2)</x:f>
        <x:v>0.6528508771929824</x:v>
      </x:c>
      <x:c r="O467" s="11" t="n">
        <x:v>52</x:v>
      </x:c>
      <x:c r="P467" s="11" t="n">
        <x:v>29</x:v>
      </x:c>
      <x:c r="Q467" s="11" t="n">
        <x:v>43</x:v>
      </x:c>
      <x:c r="R467" s="11" t="n">
        <x:v>91</x:v>
      </x:c>
    </x:row>
    <x:row r="468" ht="26" customHeight="1">
      <x:c r="A468" s="13" t="n">
        <x:v>46266</x:v>
      </x:c>
      <x:c r="B468" s="9" t="str">
        <x:v>共同可买</x:v>
      </x:c>
      <x:c r="C468" s="9" t="str">
        <x:v>训练窗口</x:v>
      </x:c>
      <x:c r="D468" s="9" t="str">
        <x:v>Top3</x:v>
      </x:c>
      <x:c r="E468" s="9" t="str">
        <x:v>四K沿用门槛</x:v>
      </x:c>
      <x:c r="F468" s="11" t="n">
        <x:f>SUM(O468:R468)</x:f>
        <x:v>215</x:v>
      </x:c>
      <x:c r="G468" s="11" t="n">
        <x:v>215</x:v>
      </x:c>
      <x:c r="H468" s="11" t="n">
        <x:f>O468+P468</x:f>
        <x:v>83</x:v>
      </x:c>
      <x:c r="I468" s="12" t="n">
        <x:f>IF(F468=0,"",H468/F468)</x:f>
        <x:v>0.386046511627907</x:v>
      </x:c>
      <x:c r="J468" s="12" t="n">
        <x:f>IF(F468=0,"",(O468+R468)/F468)</x:f>
        <x:v>0.6651162790697674</x:v>
      </x:c>
      <x:c r="K468" s="12" t="n">
        <x:f>IF(H468=0,"",O468/H468)</x:f>
        <x:v>0.6385542168674698</x:v>
      </x:c>
      <x:c r="L468" s="12" t="n">
        <x:f>IF(O468+Q468=0,"",O468/(O468+Q468))</x:f>
        <x:v>0.5578947368421052</x:v>
      </x:c>
      <x:c r="M468" s="12" t="n">
        <x:f>IF(2*O468+P468+Q468=0,"",2*O468/(2*O468+P468+Q468))</x:f>
        <x:v>0.5955056179775281</x:v>
      </x:c>
      <x:c r="N468" s="12" t="n">
        <x:f>IF(OR(O468+Q468=0,R468+P468=0),"",(L468+R468/(R468+P468))/2)</x:f>
        <x:v>0.6539473684210526</x:v>
      </x:c>
      <x:c r="O468" s="11" t="n">
        <x:v>53</x:v>
      </x:c>
      <x:c r="P468" s="11" t="n">
        <x:v>30</x:v>
      </x:c>
      <x:c r="Q468" s="11" t="n">
        <x:v>42</x:v>
      </x:c>
      <x:c r="R468" s="11" t="n">
        <x:v>90</x:v>
      </x:c>
    </x:row>
    <x:row r="469" ht="26" customHeight="1">
      <x:c r="A469" s="13" t="n">
        <x:v>46266</x:v>
      </x:c>
      <x:c r="B469" s="9" t="str">
        <x:v>共同可买</x:v>
      </x:c>
      <x:c r="C469" s="9" t="str">
        <x:v>训练窗口</x:v>
      </x:c>
      <x:c r="D469" s="9" t="str">
        <x:v>Top3</x:v>
      </x:c>
      <x:c r="E469" s="9" t="str">
        <x:v>四K重选规则</x:v>
      </x:c>
      <x:c r="F469" s="11" t="n">
        <x:f>SUM(O469:R469)</x:f>
        <x:v>215</x:v>
      </x:c>
      <x:c r="G469" s="11" t="n">
        <x:v>215</x:v>
      </x:c>
      <x:c r="H469" s="11" t="n">
        <x:f>O469+P469</x:f>
        <x:v>187</x:v>
      </x:c>
      <x:c r="I469" s="12" t="n">
        <x:f>IF(F469=0,"",H469/F469)</x:f>
        <x:v>0.8697674418604651</x:v>
      </x:c>
      <x:c r="J469" s="12" t="n">
        <x:f>IF(F469=0,"",(O469+R469)/F469)</x:f>
        <x:v>0.5348837209302325</x:v>
      </x:c>
      <x:c r="K469" s="12" t="n">
        <x:f>IF(H469=0,"",O469/H469)</x:f>
        <x:v>0.48663101604278075</x:v>
      </x:c>
      <x:c r="L469" s="12" t="n">
        <x:f>IF(O469+Q469=0,"",O469/(O469+Q469))</x:f>
        <x:v>0.9578947368421052</x:v>
      </x:c>
      <x:c r="M469" s="12" t="n">
        <x:f>IF(2*O469+P469+Q469=0,"",2*O469/(2*O469+P469+Q469))</x:f>
        <x:v>0.6453900709219859</x:v>
      </x:c>
      <x:c r="N469" s="12" t="n">
        <x:f>IF(OR(O469+Q469=0,R469+P469=0),"",(L469+R469/(R469+P469))/2)</x:f>
        <x:v>0.5789473684210527</x:v>
      </x:c>
      <x:c r="O469" s="11" t="n">
        <x:v>91</x:v>
      </x:c>
      <x:c r="P469" s="11" t="n">
        <x:v>96</x:v>
      </x:c>
      <x:c r="Q469" s="11" t="n">
        <x:v>4</x:v>
      </x:c>
      <x:c r="R469" s="11" t="n">
        <x:v>24</x:v>
      </x:c>
    </x:row>
    <x:row r="470" ht="26" customHeight="1">
      <x:c r="A470" s="13" t="n">
        <x:v>46266</x:v>
      </x:c>
      <x:c r="B470" s="9" t="str">
        <x:v>共同可买</x:v>
      </x:c>
      <x:c r="C470" s="9" t="str">
        <x:v>验证窗口</x:v>
      </x:c>
      <x:c r="D470" s="9" t="str">
        <x:v>Top3</x:v>
      </x:c>
      <x:c r="E470" s="9" t="str">
        <x:v>不判形态</x:v>
      </x:c>
      <x:c r="F470" s="11" t="n">
        <x:f>SUM(O470:R470)</x:f>
        <x:v>71</x:v>
      </x:c>
      <x:c r="G470" s="11" t="n">
        <x:v>71</x:v>
      </x:c>
      <x:c r="H470" s="11" t="n">
        <x:f>O470+P470</x:f>
        <x:v>71</x:v>
      </x:c>
      <x:c r="I470" s="12" t="n">
        <x:f>IF(F470=0,"",H470/F470)</x:f>
        <x:v>1</x:v>
      </x:c>
      <x:c r="J470" s="12" t="n">
        <x:f>IF(F470=0,"",(O470+R470)/F470)</x:f>
        <x:v>0.38028169014084506</x:v>
      </x:c>
      <x:c r="K470" s="12" t="n">
        <x:f>IF(H470=0,"",O470/H470)</x:f>
        <x:v>0.38028169014084506</x:v>
      </x:c>
      <x:c r="L470" s="12" t="n">
        <x:f>IF(O470+Q470=0,"",O470/(O470+Q470))</x:f>
        <x:v>1</x:v>
      </x:c>
      <x:c r="M470" s="12" t="n">
        <x:f>IF(2*O470+P470+Q470=0,"",2*O470/(2*O470+P470+Q470))</x:f>
        <x:v>0.5510204081632653</x:v>
      </x:c>
      <x:c r="N470" s="12" t="n">
        <x:f>IF(OR(O470+Q470=0,R470+P470=0),"",(L470+R470/(R470+P470))/2)</x:f>
        <x:v>0.5</x:v>
      </x:c>
      <x:c r="O470" s="11" t="n">
        <x:v>27</x:v>
      </x:c>
      <x:c r="P470" s="11" t="n">
        <x:v>44</x:v>
      </x:c>
      <x:c r="Q470" s="11" t="n">
        <x:v>0</x:v>
      </x:c>
      <x:c r="R470" s="11" t="n">
        <x:v>0</x:v>
      </x:c>
    </x:row>
    <x:row r="471" ht="26" customHeight="1">
      <x:c r="A471" s="13" t="n">
        <x:v>46266</x:v>
      </x:c>
      <x:c r="B471" s="9" t="str">
        <x:v>共同可买</x:v>
      </x:c>
      <x:c r="C471" s="9" t="str">
        <x:v>验证窗口</x:v>
      </x:c>
      <x:c r="D471" s="9" t="str">
        <x:v>Top3</x:v>
      </x:c>
      <x:c r="E471" s="9" t="str">
        <x:v>五K原规则</x:v>
      </x:c>
      <x:c r="F471" s="11" t="n">
        <x:f>SUM(O471:R471)</x:f>
        <x:v>71</x:v>
      </x:c>
      <x:c r="G471" s="11" t="n">
        <x:v>71</x:v>
      </x:c>
      <x:c r="H471" s="11" t="n">
        <x:f>O471+P471</x:f>
        <x:v>26</x:v>
      </x:c>
      <x:c r="I471" s="12" t="n">
        <x:f>IF(F471=0,"",H471/F471)</x:f>
        <x:v>0.36619718309859156</x:v>
      </x:c>
      <x:c r="J471" s="12" t="n">
        <x:f>IF(F471=0,"",(O471+R471)/F471)</x:f>
        <x:v>0.7605633802816901</x:v>
      </x:c>
      <x:c r="K471" s="12" t="n">
        <x:f>IF(H471=0,"",O471/H471)</x:f>
        <x:v>0.6923076923076923</x:v>
      </x:c>
      <x:c r="L471" s="12" t="n">
        <x:f>IF(O471+Q471=0,"",O471/(O471+Q471))</x:f>
        <x:v>0.6666666666666666</x:v>
      </x:c>
      <x:c r="M471" s="12" t="n">
        <x:f>IF(2*O471+P471+Q471=0,"",2*O471/(2*O471+P471+Q471))</x:f>
        <x:v>0.6792452830188679</x:v>
      </x:c>
      <x:c r="N471" s="12" t="n">
        <x:f>IF(OR(O471+Q471=0,R471+P471=0),"",(L471+R471/(R471+P471))/2)</x:f>
        <x:v>0.7424242424242424</x:v>
      </x:c>
      <x:c r="O471" s="11" t="n">
        <x:v>18</x:v>
      </x:c>
      <x:c r="P471" s="11" t="n">
        <x:v>8</x:v>
      </x:c>
      <x:c r="Q471" s="11" t="n">
        <x:v>9</x:v>
      </x:c>
      <x:c r="R471" s="11" t="n">
        <x:v>36</x:v>
      </x:c>
    </x:row>
    <x:row r="472" ht="26" customHeight="1">
      <x:c r="A472" s="13" t="n">
        <x:v>46266</x:v>
      </x:c>
      <x:c r="B472" s="9" t="str">
        <x:v>共同可买</x:v>
      </x:c>
      <x:c r="C472" s="9" t="str">
        <x:v>验证窗口</x:v>
      </x:c>
      <x:c r="D472" s="9" t="str">
        <x:v>Top3</x:v>
      </x:c>
      <x:c r="E472" s="9" t="str">
        <x:v>四K沿用门槛</x:v>
      </x:c>
      <x:c r="F472" s="11" t="n">
        <x:f>SUM(O472:R472)</x:f>
        <x:v>71</x:v>
      </x:c>
      <x:c r="G472" s="11" t="n">
        <x:v>71</x:v>
      </x:c>
      <x:c r="H472" s="11" t="n">
        <x:f>O472+P472</x:f>
        <x:v>27</x:v>
      </x:c>
      <x:c r="I472" s="12" t="n">
        <x:f>IF(F472=0,"",H472/F472)</x:f>
        <x:v>0.38028169014084506</x:v>
      </x:c>
      <x:c r="J472" s="12" t="n">
        <x:f>IF(F472=0,"",(O472+R472)/F472)</x:f>
        <x:v>0.7746478873239436</x:v>
      </x:c>
      <x:c r="K472" s="12" t="n">
        <x:f>IF(H472=0,"",O472/H472)</x:f>
        <x:v>0.7037037037037037</x:v>
      </x:c>
      <x:c r="L472" s="12" t="n">
        <x:f>IF(O472+Q472=0,"",O472/(O472+Q472))</x:f>
        <x:v>0.7037037037037037</x:v>
      </x:c>
      <x:c r="M472" s="12" t="n">
        <x:f>IF(2*O472+P472+Q472=0,"",2*O472/(2*O472+P472+Q472))</x:f>
        <x:v>0.7037037037037037</x:v>
      </x:c>
      <x:c r="N472" s="12" t="n">
        <x:f>IF(OR(O472+Q472=0,R472+P472=0),"",(L472+R472/(R472+P472))/2)</x:f>
        <x:v>0.760942760942761</x:v>
      </x:c>
      <x:c r="O472" s="11" t="n">
        <x:v>19</x:v>
      </x:c>
      <x:c r="P472" s="11" t="n">
        <x:v>8</x:v>
      </x:c>
      <x:c r="Q472" s="11" t="n">
        <x:v>8</x:v>
      </x:c>
      <x:c r="R472" s="11" t="n">
        <x:v>36</x:v>
      </x:c>
    </x:row>
    <x:row r="473" ht="26" customHeight="1">
      <x:c r="A473" s="13" t="n">
        <x:v>46266</x:v>
      </x:c>
      <x:c r="B473" s="9" t="str">
        <x:v>共同可买</x:v>
      </x:c>
      <x:c r="C473" s="9" t="str">
        <x:v>验证窗口</x:v>
      </x:c>
      <x:c r="D473" s="9" t="str">
        <x:v>Top3</x:v>
      </x:c>
      <x:c r="E473" s="9" t="str">
        <x:v>四K重选规则</x:v>
      </x:c>
      <x:c r="F473" s="11" t="n">
        <x:f>SUM(O473:R473)</x:f>
        <x:v>71</x:v>
      </x:c>
      <x:c r="G473" s="11" t="n">
        <x:v>71</x:v>
      </x:c>
      <x:c r="H473" s="11" t="n">
        <x:f>O473+P473</x:f>
        <x:v>50</x:v>
      </x:c>
      <x:c r="I473" s="12" t="n">
        <x:f>IF(F473=0,"",H473/F473)</x:f>
        <x:v>0.704225352112676</x:v>
      </x:c>
      <x:c r="J473" s="12" t="n">
        <x:f>IF(F473=0,"",(O473+R473)/F473)</x:f>
        <x:v>0.6197183098591549</x:v>
      </x:c>
      <x:c r="K473" s="12" t="n">
        <x:f>IF(H473=0,"",O473/H473)</x:f>
        <x:v>0.5</x:v>
      </x:c>
      <x:c r="L473" s="12" t="n">
        <x:f>IF(O473+Q473=0,"",O473/(O473+Q473))</x:f>
        <x:v>0.9259259259259259</x:v>
      </x:c>
      <x:c r="M473" s="12" t="n">
        <x:f>IF(2*O473+P473+Q473=0,"",2*O473/(2*O473+P473+Q473))</x:f>
        <x:v>0.6493506493506493</x:v>
      </x:c>
      <x:c r="N473" s="12" t="n">
        <x:f>IF(OR(O473+Q473=0,R473+P473=0),"",(L473+R473/(R473+P473))/2)</x:f>
        <x:v>0.6788720538720538</x:v>
      </x:c>
      <x:c r="O473" s="11" t="n">
        <x:v>25</x:v>
      </x:c>
      <x:c r="P473" s="11" t="n">
        <x:v>25</x:v>
      </x:c>
      <x:c r="Q473" s="11" t="n">
        <x:v>2</x:v>
      </x:c>
      <x:c r="R473" s="11" t="n">
        <x:v>19</x:v>
      </x:c>
    </x:row>
    <x:row r="474" ht="26" customHeight="1">
      <x:c r="A474" s="13" t="n">
        <x:v>46296</x:v>
      </x:c>
      <x:c r="B474" s="9" t="str">
        <x:v>共同可买</x:v>
      </x:c>
      <x:c r="C474" s="9" t="str">
        <x:v>测试</x:v>
      </x:c>
      <x:c r="D474" s="9" t="str">
        <x:v>Top3</x:v>
      </x:c>
      <x:c r="E474" s="9" t="str">
        <x:v>不判形态</x:v>
      </x:c>
      <x:c r="F474" s="11" t="n">
        <x:f>SUM(O474:R474)</x:f>
        <x:v>3</x:v>
      </x:c>
      <x:c r="G474" s="11" t="n">
        <x:v>3</x:v>
      </x:c>
      <x:c r="H474" s="11" t="n">
        <x:f>O474+P474</x:f>
        <x:v>3</x:v>
      </x:c>
      <x:c r="I474" s="12" t="n">
        <x:f>IF(F474=0,"",H474/F474)</x:f>
        <x:v>1</x:v>
      </x:c>
      <x:c r="J474" s="12" t="n">
        <x:f>IF(F474=0,"",(O474+R474)/F474)</x:f>
        <x:v>0.3333333333333333</x:v>
      </x:c>
      <x:c r="K474" s="12" t="n">
        <x:f>IF(H474=0,"",O474/H474)</x:f>
        <x:v>0.3333333333333333</x:v>
      </x:c>
      <x:c r="L474" s="12" t="n">
        <x:f>IF(O474+Q474=0,"",O474/(O474+Q474))</x:f>
        <x:v>1</x:v>
      </x:c>
      <x:c r="M474" s="12" t="n">
        <x:f>IF(2*O474+P474+Q474=0,"",2*O474/(2*O474+P474+Q474))</x:f>
        <x:v>0.5</x:v>
      </x:c>
      <x:c r="N474" s="12" t="n">
        <x:f>IF(OR(O474+Q474=0,R474+P474=0),"",(L474+R474/(R474+P474))/2)</x:f>
        <x:v>0.5</x:v>
      </x:c>
      <x:c r="O474" s="11" t="n">
        <x:v>1</x:v>
      </x:c>
      <x:c r="P474" s="11" t="n">
        <x:v>2</x:v>
      </x:c>
      <x:c r="Q474" s="11" t="n">
        <x:v>0</x:v>
      </x:c>
      <x:c r="R474" s="11" t="n">
        <x:v>0</x:v>
      </x:c>
    </x:row>
    <x:row r="475" ht="26" customHeight="1">
      <x:c r="A475" s="13" t="n">
        <x:v>46296</x:v>
      </x:c>
      <x:c r="B475" s="9" t="str">
        <x:v>共同可买</x:v>
      </x:c>
      <x:c r="C475" s="9" t="str">
        <x:v>测试</x:v>
      </x:c>
      <x:c r="D475" s="9" t="str">
        <x:v>Top3</x:v>
      </x:c>
      <x:c r="E475" s="9" t="str">
        <x:v>五K原规则</x:v>
      </x:c>
      <x:c r="F475" s="11" t="n">
        <x:f>SUM(O475:R475)</x:f>
        <x:v>3</x:v>
      </x:c>
      <x:c r="G475" s="11" t="n">
        <x:v>3</x:v>
      </x:c>
      <x:c r="H475" s="11" t="n">
        <x:f>O475+P475</x:f>
        <x:v>2</x:v>
      </x:c>
      <x:c r="I475" s="12" t="n">
        <x:f>IF(F475=0,"",H475/F475)</x:f>
        <x:v>0.6666666666666666</x:v>
      </x:c>
      <x:c r="J475" s="12" t="n">
        <x:f>IF(F475=0,"",(O475+R475)/F475)</x:f>
        <x:v>0.6666666666666666</x:v>
      </x:c>
      <x:c r="K475" s="12" t="n">
        <x:f>IF(H475=0,"",O475/H475)</x:f>
        <x:v>0.5</x:v>
      </x:c>
      <x:c r="L475" s="12" t="n">
        <x:f>IF(O475+Q475=0,"",O475/(O475+Q475))</x:f>
        <x:v>1</x:v>
      </x:c>
      <x:c r="M475" s="12" t="n">
        <x:f>IF(2*O475+P475+Q475=0,"",2*O475/(2*O475+P475+Q475))</x:f>
        <x:v>0.6666666666666666</x:v>
      </x:c>
      <x:c r="N475" s="12" t="n">
        <x:f>IF(OR(O475+Q475=0,R475+P475=0),"",(L475+R475/(R475+P475))/2)</x:f>
        <x:v>0.75</x:v>
      </x:c>
      <x:c r="O475" s="11" t="n">
        <x:v>1</x:v>
      </x:c>
      <x:c r="P475" s="11" t="n">
        <x:v>1</x:v>
      </x:c>
      <x:c r="Q475" s="11" t="n">
        <x:v>0</x:v>
      </x:c>
      <x:c r="R475" s="11" t="n">
        <x:v>1</x:v>
      </x:c>
    </x:row>
    <x:row r="476" ht="26" customHeight="1">
      <x:c r="A476" s="13" t="n">
        <x:v>46296</x:v>
      </x:c>
      <x:c r="B476" s="9" t="str">
        <x:v>共同可买</x:v>
      </x:c>
      <x:c r="C476" s="9" t="str">
        <x:v>测试</x:v>
      </x:c>
      <x:c r="D476" s="9" t="str">
        <x:v>Top3</x:v>
      </x:c>
      <x:c r="E476" s="9" t="str">
        <x:v>四K沿用门槛</x:v>
      </x:c>
      <x:c r="F476" s="11" t="n">
        <x:f>SUM(O476:R476)</x:f>
        <x:v>3</x:v>
      </x:c>
      <x:c r="G476" s="11" t="n">
        <x:v>3</x:v>
      </x:c>
      <x:c r="H476" s="11" t="n">
        <x:f>O476+P476</x:f>
        <x:v>2</x:v>
      </x:c>
      <x:c r="I476" s="12" t="n">
        <x:f>IF(F476=0,"",H476/F476)</x:f>
        <x:v>0.6666666666666666</x:v>
      </x:c>
      <x:c r="J476" s="12" t="n">
        <x:f>IF(F476=0,"",(O476+R476)/F476)</x:f>
        <x:v>0.6666666666666666</x:v>
      </x:c>
      <x:c r="K476" s="12" t="n">
        <x:f>IF(H476=0,"",O476/H476)</x:f>
        <x:v>0.5</x:v>
      </x:c>
      <x:c r="L476" s="12" t="n">
        <x:f>IF(O476+Q476=0,"",O476/(O476+Q476))</x:f>
        <x:v>1</x:v>
      </x:c>
      <x:c r="M476" s="12" t="n">
        <x:f>IF(2*O476+P476+Q476=0,"",2*O476/(2*O476+P476+Q476))</x:f>
        <x:v>0.6666666666666666</x:v>
      </x:c>
      <x:c r="N476" s="12" t="n">
        <x:f>IF(OR(O476+Q476=0,R476+P476=0),"",(L476+R476/(R476+P476))/2)</x:f>
        <x:v>0.75</x:v>
      </x:c>
      <x:c r="O476" s="11" t="n">
        <x:v>1</x:v>
      </x:c>
      <x:c r="P476" s="11" t="n">
        <x:v>1</x:v>
      </x:c>
      <x:c r="Q476" s="11" t="n">
        <x:v>0</x:v>
      </x:c>
      <x:c r="R476" s="11" t="n">
        <x:v>1</x:v>
      </x:c>
    </x:row>
    <x:row r="477" ht="26" customHeight="1">
      <x:c r="A477" s="13" t="n">
        <x:v>46296</x:v>
      </x:c>
      <x:c r="B477" s="9" t="str">
        <x:v>共同可买</x:v>
      </x:c>
      <x:c r="C477" s="9" t="str">
        <x:v>测试</x:v>
      </x:c>
      <x:c r="D477" s="9" t="str">
        <x:v>Top3</x:v>
      </x:c>
      <x:c r="E477" s="9" t="str">
        <x:v>四K重选规则</x:v>
      </x:c>
      <x:c r="F477" s="11" t="n">
        <x:f>SUM(O477:R477)</x:f>
        <x:v>3</x:v>
      </x:c>
      <x:c r="G477" s="11" t="n">
        <x:v>3</x:v>
      </x:c>
      <x:c r="H477" s="11" t="n">
        <x:f>O477+P477</x:f>
        <x:v>2</x:v>
      </x:c>
      <x:c r="I477" s="12" t="n">
        <x:f>IF(F477=0,"",H477/F477)</x:f>
        <x:v>0.6666666666666666</x:v>
      </x:c>
      <x:c r="J477" s="12" t="n">
        <x:f>IF(F477=0,"",(O477+R477)/F477)</x:f>
        <x:v>0.6666666666666666</x:v>
      </x:c>
      <x:c r="K477" s="12" t="n">
        <x:f>IF(H477=0,"",O477/H477)</x:f>
        <x:v>0.5</x:v>
      </x:c>
      <x:c r="L477" s="12" t="n">
        <x:f>IF(O477+Q477=0,"",O477/(O477+Q477))</x:f>
        <x:v>1</x:v>
      </x:c>
      <x:c r="M477" s="12" t="n">
        <x:f>IF(2*O477+P477+Q477=0,"",2*O477/(2*O477+P477+Q477))</x:f>
        <x:v>0.6666666666666666</x:v>
      </x:c>
      <x:c r="N477" s="12" t="n">
        <x:f>IF(OR(O477+Q477=0,R477+P477=0),"",(L477+R477/(R477+P477))/2)</x:f>
        <x:v>0.75</x:v>
      </x:c>
      <x:c r="O477" s="11" t="n">
        <x:v>1</x:v>
      </x:c>
      <x:c r="P477" s="11" t="n">
        <x:v>1</x:v>
      </x:c>
      <x:c r="Q477" s="11" t="n">
        <x:v>0</x:v>
      </x:c>
      <x:c r="R477" s="11" t="n">
        <x:v>1</x:v>
      </x:c>
    </x:row>
    <x:row r="478" ht="26" customHeight="1">
      <x:c r="A478" s="13" t="n">
        <x:v>46296</x:v>
      </x:c>
      <x:c r="B478" s="9" t="str">
        <x:v>共同可买</x:v>
      </x:c>
      <x:c r="C478" s="9" t="str">
        <x:v>训练窗口</x:v>
      </x:c>
      <x:c r="D478" s="9" t="str">
        <x:v>Top3</x:v>
      </x:c>
      <x:c r="E478" s="9" t="str">
        <x:v>不判形态</x:v>
      </x:c>
      <x:c r="F478" s="11" t="n">
        <x:f>SUM(O478:R478)</x:f>
        <x:v>216</x:v>
      </x:c>
      <x:c r="G478" s="11" t="n">
        <x:v>216</x:v>
      </x:c>
      <x:c r="H478" s="11" t="n">
        <x:f>O478+P478</x:f>
        <x:v>216</x:v>
      </x:c>
      <x:c r="I478" s="12" t="n">
        <x:f>IF(F478=0,"",H478/F478)</x:f>
        <x:v>1</x:v>
      </x:c>
      <x:c r="J478" s="12" t="n">
        <x:f>IF(F478=0,"",(O478+R478)/F478)</x:f>
        <x:v>0.4027777777777778</x:v>
      </x:c>
      <x:c r="K478" s="12" t="n">
        <x:f>IF(H478=0,"",O478/H478)</x:f>
        <x:v>0.4027777777777778</x:v>
      </x:c>
      <x:c r="L478" s="12" t="n">
        <x:f>IF(O478+Q478=0,"",O478/(O478+Q478))</x:f>
        <x:v>1</x:v>
      </x:c>
      <x:c r="M478" s="12" t="n">
        <x:f>IF(2*O478+P478+Q478=0,"",2*O478/(2*O478+P478+Q478))</x:f>
        <x:v>0.5742574257425742</x:v>
      </x:c>
      <x:c r="N478" s="12" t="n">
        <x:f>IF(OR(O478+Q478=0,R478+P478=0),"",(L478+R478/(R478+P478))/2)</x:f>
        <x:v>0.5</x:v>
      </x:c>
      <x:c r="O478" s="11" t="n">
        <x:v>87</x:v>
      </x:c>
      <x:c r="P478" s="11" t="n">
        <x:v>129</x:v>
      </x:c>
      <x:c r="Q478" s="11" t="n">
        <x:v>0</x:v>
      </x:c>
      <x:c r="R478" s="11" t="n">
        <x:v>0</x:v>
      </x:c>
    </x:row>
    <x:row r="479" ht="26" customHeight="1">
      <x:c r="A479" s="13" t="n">
        <x:v>46296</x:v>
      </x:c>
      <x:c r="B479" s="9" t="str">
        <x:v>共同可买</x:v>
      </x:c>
      <x:c r="C479" s="9" t="str">
        <x:v>训练窗口</x:v>
      </x:c>
      <x:c r="D479" s="9" t="str">
        <x:v>Top3</x:v>
      </x:c>
      <x:c r="E479" s="9" t="str">
        <x:v>五K原规则</x:v>
      </x:c>
      <x:c r="F479" s="11" t="n">
        <x:f>SUM(O479:R479)</x:f>
        <x:v>216</x:v>
      </x:c>
      <x:c r="G479" s="11" t="n">
        <x:v>216</x:v>
      </x:c>
      <x:c r="H479" s="11" t="n">
        <x:f>O479+P479</x:f>
        <x:v>124</x:v>
      </x:c>
      <x:c r="I479" s="12" t="n">
        <x:f>IF(F479=0,"",H479/F479)</x:f>
        <x:v>0.5740740740740741</x:v>
      </x:c>
      <x:c r="J479" s="12" t="n">
        <x:f>IF(F479=0,"",(O479+R479)/F479)</x:f>
        <x:v>0.5694444444444444</x:v>
      </x:c>
      <x:c r="K479" s="12" t="n">
        <x:f>IF(H479=0,"",O479/H479)</x:f>
        <x:v>0.47580645161290325</x:v>
      </x:c>
      <x:c r="L479" s="12" t="n">
        <x:f>IF(O479+Q479=0,"",O479/(O479+Q479))</x:f>
        <x:v>0.6781609195402298</x:v>
      </x:c>
      <x:c r="M479" s="12" t="n">
        <x:f>IF(2*O479+P479+Q479=0,"",2*O479/(2*O479+P479+Q479))</x:f>
        <x:v>0.5592417061611374</x:v>
      </x:c>
      <x:c r="N479" s="12" t="n">
        <x:f>IF(OR(O479+Q479=0,R479+P479=0),"",(L479+R479/(R479+P479))/2)</x:f>
        <x:v>0.5871424752739909</x:v>
      </x:c>
      <x:c r="O479" s="11" t="n">
        <x:v>59</x:v>
      </x:c>
      <x:c r="P479" s="11" t="n">
        <x:v>65</x:v>
      </x:c>
      <x:c r="Q479" s="11" t="n">
        <x:v>28</x:v>
      </x:c>
      <x:c r="R479" s="11" t="n">
        <x:v>64</x:v>
      </x:c>
    </x:row>
    <x:row r="480" ht="26" customHeight="1">
      <x:c r="A480" s="13" t="n">
        <x:v>46296</x:v>
      </x:c>
      <x:c r="B480" s="9" t="str">
        <x:v>共同可买</x:v>
      </x:c>
      <x:c r="C480" s="9" t="str">
        <x:v>训练窗口</x:v>
      </x:c>
      <x:c r="D480" s="9" t="str">
        <x:v>Top3</x:v>
      </x:c>
      <x:c r="E480" s="9" t="str">
        <x:v>四K沿用门槛</x:v>
      </x:c>
      <x:c r="F480" s="11" t="n">
        <x:f>SUM(O480:R480)</x:f>
        <x:v>216</x:v>
      </x:c>
      <x:c r="G480" s="11" t="n">
        <x:v>216</x:v>
      </x:c>
      <x:c r="H480" s="11" t="n">
        <x:f>O480+P480</x:f>
        <x:v>126</x:v>
      </x:c>
      <x:c r="I480" s="12" t="n">
        <x:f>IF(F480=0,"",H480/F480)</x:f>
        <x:v>0.5833333333333334</x:v>
      </x:c>
      <x:c r="J480" s="12" t="n">
        <x:f>IF(F480=0,"",(O480+R480)/F480)</x:f>
        <x:v>0.5694444444444444</x:v>
      </x:c>
      <x:c r="K480" s="12" t="n">
        <x:f>IF(H480=0,"",O480/H480)</x:f>
        <x:v>0.47619047619047616</x:v>
      </x:c>
      <x:c r="L480" s="12" t="n">
        <x:f>IF(O480+Q480=0,"",O480/(O480+Q480))</x:f>
        <x:v>0.6896551724137931</x:v>
      </x:c>
      <x:c r="M480" s="12" t="n">
        <x:f>IF(2*O480+P480+Q480=0,"",2*O480/(2*O480+P480+Q480))</x:f>
        <x:v>0.5633802816901409</x:v>
      </x:c>
      <x:c r="N480" s="12" t="n">
        <x:f>IF(OR(O480+Q480=0,R480+P480=0),"",(L480+R480/(R480+P480))/2)</x:f>
        <x:v>0.5890136327185245</x:v>
      </x:c>
      <x:c r="O480" s="11" t="n">
        <x:v>60</x:v>
      </x:c>
      <x:c r="P480" s="11" t="n">
        <x:v>66</x:v>
      </x:c>
      <x:c r="Q480" s="11" t="n">
        <x:v>27</x:v>
      </x:c>
      <x:c r="R480" s="11" t="n">
        <x:v>63</x:v>
      </x:c>
    </x:row>
    <x:row r="481" ht="26" customHeight="1">
      <x:c r="A481" s="13" t="n">
        <x:v>46296</x:v>
      </x:c>
      <x:c r="B481" s="9" t="str">
        <x:v>共同可买</x:v>
      </x:c>
      <x:c r="C481" s="9" t="str">
        <x:v>训练窗口</x:v>
      </x:c>
      <x:c r="D481" s="9" t="str">
        <x:v>Top3</x:v>
      </x:c>
      <x:c r="E481" s="9" t="str">
        <x:v>四K重选规则</x:v>
      </x:c>
      <x:c r="F481" s="11" t="n">
        <x:f>SUM(O481:R481)</x:f>
        <x:v>216</x:v>
      </x:c>
      <x:c r="G481" s="11" t="n">
        <x:v>216</x:v>
      </x:c>
      <x:c r="H481" s="11" t="n">
        <x:f>O481+P481</x:f>
        <x:v>75</x:v>
      </x:c>
      <x:c r="I481" s="12" t="n">
        <x:f>IF(F481=0,"",H481/F481)</x:f>
        <x:v>0.3472222222222222</x:v>
      </x:c>
      <x:c r="J481" s="12" t="n">
        <x:f>IF(F481=0,"",(O481+R481)/F481)</x:f>
        <x:v>0.6574074074074074</x:v>
      </x:c>
      <x:c r="K481" s="12" t="n">
        <x:f>IF(H481=0,"",O481/H481)</x:f>
        <x:v>0.5866666666666667</x:v>
      </x:c>
      <x:c r="L481" s="12" t="n">
        <x:f>IF(O481+Q481=0,"",O481/(O481+Q481))</x:f>
        <x:v>0.5057471264367817</x:v>
      </x:c>
      <x:c r="M481" s="12" t="n">
        <x:f>IF(2*O481+P481+Q481=0,"",2*O481/(2*O481+P481+Q481))</x:f>
        <x:v>0.5432098765432098</x:v>
      </x:c>
      <x:c r="N481" s="12" t="n">
        <x:f>IF(OR(O481+Q481=0,R481+P481=0),"",(L481+R481/(R481+P481))/2)</x:f>
        <x:v>0.6327185244587009</x:v>
      </x:c>
      <x:c r="O481" s="11" t="n">
        <x:v>44</x:v>
      </x:c>
      <x:c r="P481" s="11" t="n">
        <x:v>31</x:v>
      </x:c>
      <x:c r="Q481" s="11" t="n">
        <x:v>43</x:v>
      </x:c>
      <x:c r="R481" s="11" t="n">
        <x:v>98</x:v>
      </x:c>
    </x:row>
    <x:row r="482" ht="26" customHeight="1">
      <x:c r="A482" s="13" t="n">
        <x:v>46296</x:v>
      </x:c>
      <x:c r="B482" s="9" t="str">
        <x:v>共同可买</x:v>
      </x:c>
      <x:c r="C482" s="9" t="str">
        <x:v>验证窗口</x:v>
      </x:c>
      <x:c r="D482" s="9" t="str">
        <x:v>Top3</x:v>
      </x:c>
      <x:c r="E482" s="9" t="str">
        <x:v>不判形态</x:v>
      </x:c>
      <x:c r="F482" s="11" t="n">
        <x:f>SUM(O482:R482)</x:f>
        <x:v>65</x:v>
      </x:c>
      <x:c r="G482" s="11" t="n">
        <x:v>65</x:v>
      </x:c>
      <x:c r="H482" s="11" t="n">
        <x:f>O482+P482</x:f>
        <x:v>65</x:v>
      </x:c>
      <x:c r="I482" s="12" t="n">
        <x:f>IF(F482=0,"",H482/F482)</x:f>
        <x:v>1</x:v>
      </x:c>
      <x:c r="J482" s="12" t="n">
        <x:f>IF(F482=0,"",(O482+R482)/F482)</x:f>
        <x:v>0.35384615384615387</x:v>
      </x:c>
      <x:c r="K482" s="12" t="n">
        <x:f>IF(H482=0,"",O482/H482)</x:f>
        <x:v>0.35384615384615387</x:v>
      </x:c>
      <x:c r="L482" s="12" t="n">
        <x:f>IF(O482+Q482=0,"",O482/(O482+Q482))</x:f>
        <x:v>1</x:v>
      </x:c>
      <x:c r="M482" s="12" t="n">
        <x:f>IF(2*O482+P482+Q482=0,"",2*O482/(2*O482+P482+Q482))</x:f>
        <x:v>0.5227272727272727</x:v>
      </x:c>
      <x:c r="N482" s="12" t="n">
        <x:f>IF(OR(O482+Q482=0,R482+P482=0),"",(L482+R482/(R482+P482))/2)</x:f>
        <x:v>0.5</x:v>
      </x:c>
      <x:c r="O482" s="11" t="n">
        <x:v>23</x:v>
      </x:c>
      <x:c r="P482" s="11" t="n">
        <x:v>42</x:v>
      </x:c>
      <x:c r="Q482" s="11" t="n">
        <x:v>0</x:v>
      </x:c>
      <x:c r="R482" s="11" t="n">
        <x:v>0</x:v>
      </x:c>
    </x:row>
    <x:row r="483" ht="26" customHeight="1">
      <x:c r="A483" s="13" t="n">
        <x:v>46296</x:v>
      </x:c>
      <x:c r="B483" s="9" t="str">
        <x:v>共同可买</x:v>
      </x:c>
      <x:c r="C483" s="9" t="str">
        <x:v>验证窗口</x:v>
      </x:c>
      <x:c r="D483" s="9" t="str">
        <x:v>Top3</x:v>
      </x:c>
      <x:c r="E483" s="9" t="str">
        <x:v>五K原规则</x:v>
      </x:c>
      <x:c r="F483" s="11" t="n">
        <x:f>SUM(O483:R483)</x:f>
        <x:v>65</x:v>
      </x:c>
      <x:c r="G483" s="11" t="n">
        <x:v>65</x:v>
      </x:c>
      <x:c r="H483" s="11" t="n">
        <x:f>O483+P483</x:f>
        <x:v>36</x:v>
      </x:c>
      <x:c r="I483" s="12" t="n">
        <x:f>IF(F483=0,"",H483/F483)</x:f>
        <x:v>0.5538461538461539</x:v>
      </x:c>
      <x:c r="J483" s="12" t="n">
        <x:f>IF(F483=0,"",(O483+R483)/F483)</x:f>
        <x:v>0.5846153846153846</x:v>
      </x:c>
      <x:c r="K483" s="12" t="n">
        <x:f>IF(H483=0,"",O483/H483)</x:f>
        <x:v>0.4444444444444444</x:v>
      </x:c>
      <x:c r="L483" s="12" t="n">
        <x:f>IF(O483+Q483=0,"",O483/(O483+Q483))</x:f>
        <x:v>0.6956521739130435</x:v>
      </x:c>
      <x:c r="M483" s="12" t="n">
        <x:f>IF(2*O483+P483+Q483=0,"",2*O483/(2*O483+P483+Q483))</x:f>
        <x:v>0.5423728813559322</x:v>
      </x:c>
      <x:c r="N483" s="12" t="n">
        <x:f>IF(OR(O483+Q483=0,R483+P483=0),"",(L483+R483/(R483+P483))/2)</x:f>
        <x:v>0.6097308488612836</x:v>
      </x:c>
      <x:c r="O483" s="11" t="n">
        <x:v>16</x:v>
      </x:c>
      <x:c r="P483" s="11" t="n">
        <x:v>20</x:v>
      </x:c>
      <x:c r="Q483" s="11" t="n">
        <x:v>7</x:v>
      </x:c>
      <x:c r="R483" s="11" t="n">
        <x:v>22</x:v>
      </x:c>
    </x:row>
    <x:row r="484" ht="26" customHeight="1">
      <x:c r="A484" s="13" t="n">
        <x:v>46296</x:v>
      </x:c>
      <x:c r="B484" s="9" t="str">
        <x:v>共同可买</x:v>
      </x:c>
      <x:c r="C484" s="9" t="str">
        <x:v>验证窗口</x:v>
      </x:c>
      <x:c r="D484" s="9" t="str">
        <x:v>Top3</x:v>
      </x:c>
      <x:c r="E484" s="9" t="str">
        <x:v>四K沿用门槛</x:v>
      </x:c>
      <x:c r="F484" s="11" t="n">
        <x:f>SUM(O484:R484)</x:f>
        <x:v>65</x:v>
      </x:c>
      <x:c r="G484" s="11" t="n">
        <x:v>65</x:v>
      </x:c>
      <x:c r="H484" s="11" t="n">
        <x:f>O484+P484</x:f>
        <x:v>37</x:v>
      </x:c>
      <x:c r="I484" s="12" t="n">
        <x:f>IF(F484=0,"",H484/F484)</x:f>
        <x:v>0.5692307692307692</x:v>
      </x:c>
      <x:c r="J484" s="12" t="n">
        <x:f>IF(F484=0,"",(O484+R484)/F484)</x:f>
        <x:v>0.5076923076923077</x:v>
      </x:c>
      <x:c r="K484" s="12" t="n">
        <x:f>IF(H484=0,"",O484/H484)</x:f>
        <x:v>0.3783783783783784</x:v>
      </x:c>
      <x:c r="L484" s="12" t="n">
        <x:f>IF(O484+Q484=0,"",O484/(O484+Q484))</x:f>
        <x:v>0.6086956521739131</x:v>
      </x:c>
      <x:c r="M484" s="12" t="n">
        <x:f>IF(2*O484+P484+Q484=0,"",2*O484/(2*O484+P484+Q484))</x:f>
        <x:v>0.4666666666666667</x:v>
      </x:c>
      <x:c r="N484" s="12" t="n">
        <x:f>IF(OR(O484+Q484=0,R484+P484=0),"",(L484+R484/(R484+P484))/2)</x:f>
        <x:v>0.5305383022774327</x:v>
      </x:c>
      <x:c r="O484" s="11" t="n">
        <x:v>14</x:v>
      </x:c>
      <x:c r="P484" s="11" t="n">
        <x:v>23</x:v>
      </x:c>
      <x:c r="Q484" s="11" t="n">
        <x:v>9</x:v>
      </x:c>
      <x:c r="R484" s="11" t="n">
        <x:v>19</x:v>
      </x:c>
    </x:row>
    <x:row r="485" ht="26" customHeight="1">
      <x:c r="A485" s="13" t="n">
        <x:v>46296</x:v>
      </x:c>
      <x:c r="B485" s="9" t="str">
        <x:v>共同可买</x:v>
      </x:c>
      <x:c r="C485" s="9" t="str">
        <x:v>验证窗口</x:v>
      </x:c>
      <x:c r="D485" s="9" t="str">
        <x:v>Top3</x:v>
      </x:c>
      <x:c r="E485" s="9" t="str">
        <x:v>四K重选规则</x:v>
      </x:c>
      <x:c r="F485" s="11" t="n">
        <x:f>SUM(O485:R485)</x:f>
        <x:v>65</x:v>
      </x:c>
      <x:c r="G485" s="11" t="n">
        <x:v>65</x:v>
      </x:c>
      <x:c r="H485" s="11" t="n">
        <x:f>O485+P485</x:f>
        <x:v>25</x:v>
      </x:c>
      <x:c r="I485" s="12" t="n">
        <x:f>IF(F485=0,"",H485/F485)</x:f>
        <x:v>0.38461538461538464</x:v>
      </x:c>
      <x:c r="J485" s="12" t="n">
        <x:f>IF(F485=0,"",(O485+R485)/F485)</x:f>
        <x:v>0.6923076923076923</x:v>
      </x:c>
      <x:c r="K485" s="12" t="n">
        <x:f>IF(H485=0,"",O485/H485)</x:f>
        <x:v>0.56</x:v>
      </x:c>
      <x:c r="L485" s="12" t="n">
        <x:f>IF(O485+Q485=0,"",O485/(O485+Q485))</x:f>
        <x:v>0.6086956521739131</x:v>
      </x:c>
      <x:c r="M485" s="12" t="n">
        <x:f>IF(2*O485+P485+Q485=0,"",2*O485/(2*O485+P485+Q485))</x:f>
        <x:v>0.5833333333333334</x:v>
      </x:c>
      <x:c r="N485" s="12" t="n">
        <x:f>IF(OR(O485+Q485=0,R485+P485=0),"",(L485+R485/(R485+P485))/2)</x:f>
        <x:v>0.6733954451345756</x:v>
      </x:c>
      <x:c r="O485" s="11" t="n">
        <x:v>14</x:v>
      </x:c>
      <x:c r="P485" s="11" t="n">
        <x:v>11</x:v>
      </x:c>
      <x:c r="Q485" s="11" t="n">
        <x:v>9</x:v>
      </x:c>
      <x:c r="R485" s="11" t="n">
        <x:v>31</x:v>
      </x:c>
    </x:row>
  </x:sheetData>
  <x:pageMargins left="0.7" right="0.7" top="0.75" bottom="0.75" header="0.3" footer="0.3"/>
  <x:tableParts count="1">
    <x:tablePart xmlns:r="http://schemas.openxmlformats.org/officeDocument/2006/relationships" r:id="Rc2a78da8770141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8" hidden="0" customWidth="1"/>
  </x:cols>
  <x:sheetData>
    <x:row r="2" ht="28" customHeight="1">
      <x:c r="A2" s="3" t="str">
        <x:v>分类定义与冻结规则</x:v>
      </x:c>
      <x:c r="B2" s="2"/>
    </x:row>
    <x:row r="3" ht="28" customHeight="1">
      <x:c r="A3" s="2"/>
      <x:c r="B3" s="2"/>
    </x:row>
    <x:row r="4" ht="28" customHeight="1">
      <x:c r="A4" s="2"/>
      <x:c r="B4" s="2"/>
    </x:row>
    <x:row r="5" ht="32" customHeight="1">
      <x:c r="A5" s="7" t="str">
        <x:v>项目</x:v>
      </x:c>
      <x:c r="B5" s="7" t="str">
        <x:v>说明</x:v>
      </x:c>
    </x:row>
    <x:row r="6" ht="42" customHeight="1">
      <x:c r="A6" s="2" t="n">
        <x:v>1</x:v>
      </x:c>
      <x:c r="B6" s="14" t="str">
        <x:v>目标月份2026年1—10月，行情截至10月14日。测试D0从1月5日开始，D1从1月6日开始。</x:v>
      </x:c>
    </x:row>
    <x:row r="7" ht="42" customHeight="1">
      <x:c r="A7" s="2" t="n">
        <x:v>2</x:v>
      </x:c>
      <x:c r="B7" s="14" t="str">
        <x:v>主表包含没有开板、没有成交的原Top3个体。Top3包含Top1，不可把两个范围相加。</x:v>
      </x:c>
    </x:row>
    <x:row r="8" ht="42" customHeight="1">
      <x:c r="A8" s="2" t="n">
        <x:v>3</x:v>
      </x:c>
      <x:c r="B8" s="14" t="str">
        <x:v>标签1：D1—D3至少一天收盘封板；含D1当日，非未来必然涨停。三个交易日未齐的样本不计分。</x:v>
      </x:c>
    </x:row>
    <x:row r="9" ht="42" customHeight="1">
      <x:c r="A9" s="2" t="n">
        <x:v>4</x:v>
      </x:c>
      <x:c r="B9" s="14" t="str">
        <x:v>形态通过记预测1，未通过记0；不判形态全部保留、全部预测1，仅作为参照。</x:v>
      </x:c>
    </x:row>
    <x:row r="10" ht="42" customHeight="1">
      <x:c r="A10" s="2" t="n">
        <x:v>5</x:v>
      </x:c>
      <x:c r="B10" s="14" t="str">
        <x:v>本表只衡量形态，未叠加实体−8%、每日唯一选股和交易执行条件。</x:v>
      </x:c>
    </x:row>
    <x:row r="11" ht="42" customHeight="1">
      <x:c r="A11" s="2" t="n">
        <x:v>6</x:v>
      </x:c>
      <x:c r="B11" s="14" t="str">
        <x:v>准确率：全部样本中判断正确的比例。命中率：保留样本中实际再板的比例，即精确率。</x:v>
      </x:c>
    </x:row>
    <x:row r="12" ht="42" customHeight="1">
      <x:c r="A12" s="2" t="n">
        <x:v>7</x:v>
      </x:c>
      <x:c r="B12" s="14" t="str">
        <x:v>召回率：实际再板样本中保留下来的比例。F1综合命中率与召回率。平衡准确为正负两类识别率的均值。</x:v>
      </x:c>
    </x:row>
    <x:row r="13" ht="42" customHeight="1">
      <x:c r="A13" s="2" t="n">
        <x:v>8</x:v>
      </x:c>
      <x:c r="B13" s="14" t="str">
        <x:v>选中再板=TP，选中未板=FP，漏掉再板=FN，排除未板=TN。无分母的指标留空。</x:v>
      </x:c>
    </x:row>
    <x:row r="14" ht="42" customHeight="1">
      <x:c r="A14" s="2" t="n">
        <x:v>9</x:v>
      </x:c>
      <x:c r="B14" s="14" t="str">
        <x:v>训练窗口、验证窗口汇总按每次月度模型判断计数，同一股票日可能重复；独立数为股票日去重，测试不重复。</x:v>
      </x:c>
    </x:row>
    <x:row r="15" ht="42" customHeight="1">
      <x:c r="A15" s="2" t="n">
        <x:v>10</x:v>
      </x:c>
      <x:c r="B15" s="14" t="str">
        <x:v>训练D0分数来自历史折外预测，但形态规则用这些样本选择，因此训练指标仍是形态筛选的拟合内效果。</x:v>
      </x:c>
    </x:row>
    <x:row r="16" ht="42" customHeight="1">
      <x:c r="A16" s="2" t="n">
        <x:v>11</x:v>
      </x:c>
      <x:c r="B16" s="14" t="str">
        <x:v>验证也用于选规则，只有对应后续月份未参与当次选择；整段历史已被研究，不是新盲测。</x:v>
      </x:c>
    </x:row>
    <x:row r="17" ht="42" customHeight="1">
      <x:c r="A17" s="2" t="n">
        <x:v>12</x:v>
      </x:c>
      <x:c r="B17" s="14" t="str">
        <x:v>逐月表可筛全部候选或共同可买；共同可买统一用原五K后的分钟开价窗口，仅供衔接旧结果。</x:v>
      </x:c>
    </x:row>
    <x:row r="18" ht="42" customHeight="1">
      <x:c r="A18" s="2" t="n">
        <x:v>13</x:v>
      </x:c>
      <x:c r="B18" s="14" t="str">
        <x:v>四K重选为R24已冻结的6个月训练、2个月验证规则；四K沿用门槛为五K同月规则用于四根K。没有新训练。</x:v>
      </x:c>
    </x:row>
    <x:row r="19" ht="42" customHeight="1">
      <x:c r="A19" s="2" t="n">
        <x:v>14</x:v>
      </x:c>
      <x:c r="B19" s="14" t="str">
        <x:v>原D0为2025年12月31日、D1为2026年1月5日的3个个体属于12月模型，本次十个目标月不包含。</x:v>
      </x:c>
    </x:row>
    <x:row r="20" ht="42" customHeight="1">
      <x:c r="A20" s="2" t="n">
        <x:v>15</x:v>
      </x:c>
      <x:c r="B20" s="14" t="str">
        <x:v>来源：R20保存的五K三集合候选、R24四K对应因子、R19与R24冻结月度规则。</x:v>
      </x:c>
    </x:row>
    <x:row r="21" ht="28" customHeight="1">
      <x:c r="A21" s="2"/>
      <x:c r="B21" s="2"/>
    </x:row>
    <x:row r="22" ht="28" customHeight="1">
      <x:c r="A22" s="2"/>
      <x:c r="B22" s="2"/>
    </x:row>
    <x:row r="23" ht="28" customHeight="1">
      <x:c r="A23" s="2"/>
      <x:c r="B23" s="2"/>
    </x:row>
    <x:row r="24" ht="32" customHeight="1">
      <x:c r="A24" s="7" t="str">
        <x:v>目标月</x:v>
      </x:c>
      <x:c r="B24" s="7" t="str">
        <x:v>训练、验证与实际规则</x:v>
      </x:c>
    </x:row>
    <x:row r="25" ht="60" customHeight="1">
      <x:c r="A25" s="15" t="n">
        <x:v>46023</x:v>
      </x:c>
      <x:c r="B25" s="14" t="str">
        <x:v>训练 2025-05至2025-10；验证 2025-11至2025-12。五K：五分最高涨幅&gt;=6% 且 五分最低涨幅&gt;=-3%。四K重选：高点回落&lt;3%。</x:v>
      </x:c>
    </x:row>
    <x:row r="26" ht="60" customHeight="1">
      <x:c r="A26" s="15" t="n">
        <x:v>46054</x:v>
      </x:c>
      <x:c r="B26" s="14" t="str">
        <x:v>训练 2025-06至2025-11；验证 2025-12至2026-01。五K：五分最高涨幅&gt;=6% 且 五分最低涨幅&gt;=-3%。四K重选：全部保留。</x:v>
      </x:c>
    </x:row>
    <x:row r="27" ht="60" customHeight="1">
      <x:c r="A27" s="15" t="n">
        <x:v>46082</x:v>
      </x:c>
      <x:c r="B27" s="14" t="str">
        <x:v>训练 2025-07至2025-12；验证 2026-01至2026-02。五K：五分最高涨幅&gt;=6% 且 五分最低涨幅&gt;=-3%。四K重选：高点回落&lt;3%。</x:v>
      </x:c>
    </x:row>
    <x:row r="28" ht="60" customHeight="1">
      <x:c r="A28" s="15" t="n">
        <x:v>46113</x:v>
      </x:c>
      <x:c r="B28" s="14" t="str">
        <x:v>训练 2025-08至2026-01；验证 2026-02至2026-03。五K：五分最高涨幅&gt;=6% 且 五分最低涨幅&gt;=-3%。四K重选：四分最低涨幅&gt;=0%。</x:v>
      </x:c>
    </x:row>
    <x:row r="29" ht="60" customHeight="1">
      <x:c r="A29" s="15" t="n">
        <x:v>46143</x:v>
      </x:c>
      <x:c r="B29" s="14" t="str">
        <x:v>训练 2025-09至2026-02；验证 2026-03至2026-04。五K：全部保留。四K重选：全部保留。</x:v>
      </x:c>
    </x:row>
    <x:row r="30" ht="60" customHeight="1">
      <x:c r="A30" s="15" t="n">
        <x:v>46174</x:v>
      </x:c>
      <x:c r="B30" s="14" t="str">
        <x:v>训练 2025-10至2026-03；验证 2026-04至2026-05。五K：五分收价位置&gt;=30% 且 五分最低涨幅&gt;=-3%。四K重选：四分最低涨幅&gt;=0%。</x:v>
      </x:c>
    </x:row>
    <x:row r="31" ht="60" customHeight="1">
      <x:c r="A31" s="15" t="n">
        <x:v>46204</x:v>
      </x:c>
      <x:c r="B31" s="14" t="str">
        <x:v>训练 2025-11至2026-04；验证 2026-05至2026-06。五K：五分最高涨幅&gt;=6% 且 五分最低涨幅&gt;=-3%。四K重选：全部保留。</x:v>
      </x:c>
    </x:row>
    <x:row r="32" ht="60" customHeight="1">
      <x:c r="A32" s="15" t="n">
        <x:v>46235</x:v>
      </x:c>
      <x:c r="B32" s="14" t="str">
        <x:v>训练 2025-12至2026-05；验证 2026-06至2026-07。五K：五分实体涨幅&gt;=0%。四K重选：四分实体涨幅&gt;=-2%。</x:v>
      </x:c>
    </x:row>
    <x:row r="33" ht="60" customHeight="1">
      <x:c r="A33" s="15" t="n">
        <x:v>46266</x:v>
      </x:c>
      <x:c r="B33" s="14" t="str">
        <x:v>训练 2026-01至2026-06；验证 2026-07至2026-08。五K：五分最高涨幅&gt;=6% 且 五分最低涨幅&gt;=-3%。四K重选：四分最高涨幅&gt;=0%。</x:v>
      </x:c>
    </x:row>
    <x:row r="34" ht="60" customHeight="1">
      <x:c r="A34" s="15" t="n">
        <x:v>46296</x:v>
      </x:c>
      <x:c r="B34" s="14" t="str">
        <x:v>训练 2026-02至2026-07；验证 2026-08至2026-09。五K：五分实体涨幅&gt;=-2%。四K重选：四分最高涨幅&gt;=6% 且 四分最低涨幅&gt;=-3%。</x:v>
      </x:c>
    </x:row>
    <x:row r="35" ht="28" customHeight="1">
      <x:c r="A35" s="2"/>
      <x:c r="B35" s="2"/>
    </x:row>
    <x:row r="36" ht="28" customHeight="1">
      <x:c r="A36" s="2"/>
      <x:c r="B36" s="2"/>
    </x:row>
    <x:row r="37" ht="28" customHeight="1">
      <x:c r="A37" s="2"/>
      <x:c r="B37" s="2"/>
    </x:row>
    <x:row r="38" ht="28" customHeight="1">
      <x:c r="A38" s="2"/>
      <x:c r="B38" s="2"/>
    </x:row>
    <x:row r="39" ht="28" customHeight="1">
      <x:c r="A39" s="2"/>
      <x:c r="B39" s="2"/>
    </x:row>
    <x:row r="40" ht="28" customHeight="1">
      <x:c r="A40" s="2"/>
      <x:c r="B40" s="2"/>
    </x:row>
    <x:row r="41" ht="28" customHeight="1">
      <x:c r="A41" s="2"/>
      <x:c r="B41" s="2"/>
    </x:row>
    <x:row r="42" ht="28" customHeight="1">
      <x:c r="A42" s="2"/>
      <x:c r="B42" s="2"/>
    </x:row>
    <x:row r="43" ht="28" customHeight="1">
      <x:c r="A43" s="2"/>
      <x:c r="B43" s="2"/>
    </x:row>
    <x:row r="44" ht="28" customHeight="1">
      <x:c r="A44" s="2"/>
      <x:c r="B44" s="2"/>
    </x:row>
    <x:row r="45" ht="28" customHeight="1">
      <x:c r="A45" s="2"/>
      <x:c r="B45" s="2"/>
    </x:row>
  </x:sheetData>
  <x:pageMargins left="0.7" right="0.7" top="0.75" bottom="0.75" header="0.3" footer="0.3"/>
</x:worksheet>
</file>