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329787ca3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40只逐分钟" sheetId="1" r:id="R717e2d85f9a34217"/>
    <x:sheet xmlns:r="http://schemas.openxmlformats.org/officeDocument/2006/relationships" name="分钟统计" sheetId="2" r:id="R54debbec7da8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+0.00%;-0.00%;0.00%"/>
    <x:numFmt numFmtId="202" formatCode="0.00"/>
  </x:numFmts>
  <x:fonts count="6">
    <x:font>
      <x:sz val="11"/>
      <x:name val="Carlito"/>
    </x:font>
    <x:font>
      <x:b/>
      <x:sz val="15"/>
      <x:color rgb="FFFFFFFF"/>
      <x:name val="Arial"/>
    </x:font>
    <x:font>
      <x:sz val="10"/>
      <x:color rgb="FF475569"/>
      <x:name val="Arial"/>
    </x:font>
    <x:font>
      <x:b/>
      <x:sz val="10"/>
      <x:color rgb="FFFFFFFF"/>
      <x:name val="Arial"/>
    </x:font>
    <x:font>
      <x:sz val="10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781082e1743da" /><Relationship Type="http://schemas.openxmlformats.org/officeDocument/2006/relationships/theme" Target="/xl/theme/theme1.xml" Id="R87e07592220e45ca" /><Relationship Type="http://schemas.openxmlformats.org/officeDocument/2006/relationships/sharedStrings" Target="/xl/sharedStrings.xml" Id="Rba1d20a1ced04ef0" /><Relationship Type="http://schemas.openxmlformats.org/officeDocument/2006/relationships/worksheet" Target="/xl/worksheets/sheet1.xml" Id="R717e2d85f9a34217" /><Relationship Type="http://schemas.openxmlformats.org/officeDocument/2006/relationships/worksheet" Target="/xl/worksheets/sheet2.xml" Id="R54debbec7da846c9" /></Relationships>
</file>

<file path=xl/tables/table1.xml><?xml version="1.0" encoding="utf-8"?>
<x:table xmlns:x="http://schemas.openxmlformats.org/spreadsheetml/2006/main" id="1" name="MinuteClosePaths" displayName="MinuteClosePaths" ref="A4:R44" headerRowCount="1" totalsRowCount="0" totalsRowShown="0">
  <x:tableColumns count="18">
    <x:tableColumn id="1" name="信号日"/>
    <x:tableColumn id="2" name="次交易日"/>
    <x:tableColumn id="3" name="名次"/>
    <x:tableColumn id="4" name="股票代码"/>
    <x:tableColumn id="5" name="股票名称"/>
    <x:tableColumn id="6" name="09:31收盘涨幅"/>
    <x:tableColumn id="7" name="09:32收盘涨幅"/>
    <x:tableColumn id="8" name="09:33收盘涨幅"/>
    <x:tableColumn id="9" name="09:34收盘涨幅"/>
    <x:tableColumn id="10" name="09:35收盘涨幅"/>
    <x:tableColumn id="11" name="09:36收盘涨幅"/>
    <x:tableColumn id="12" name="09:37收盘涨幅"/>
    <x:tableColumn id="13" name="09:38收盘涨幅"/>
    <x:tableColumn id="14" name="09:39收盘涨幅"/>
    <x:tableColumn id="15" name="09:40收盘涨幅"/>
    <x:tableColumn id="16" name="十分钟最高收盘涨幅"/>
    <x:tableColumn id="17" name="09:40较最高回落(百分点)"/>
    <x:tableColumn id="18" name="曾&gt;1%但09:40≤1%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e648e41c874fc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8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21" hidden="0" customWidth="1"/>
    <x:col min="18" max="18" width="21" hidden="0" customWidth="1"/>
  </x:cols>
  <x:sheetData>
    <x:row r="1">
      <x:c r="A1" s="5" t="str">
        <x:v>每日前二：次日开盘十分钟每分钟收盘涨幅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6" t="str">
        <x:v>每个涨幅均为该分钟收盘价 / 信号日 14:40 买价 − 1；从左到右查看后续是继续上涨还是回落。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4" ht="36" customHeight="1">
      <x:c r="A4" s="9" t="str">
        <x:v>信号日</x:v>
      </x:c>
      <x:c r="B4" s="9" t="str">
        <x:v>次交易日</x:v>
      </x:c>
      <x:c r="C4" s="9" t="str">
        <x:v>名次</x:v>
      </x:c>
      <x:c r="D4" s="9" t="str">
        <x:v>股票代码</x:v>
      </x:c>
      <x:c r="E4" s="9" t="str">
        <x:v>股票名称</x:v>
      </x:c>
      <x:c r="F4" s="9" t="str">
        <x:v>09:31收盘涨幅</x:v>
      </x:c>
      <x:c r="G4" s="9" t="str">
        <x:v>09:32收盘涨幅</x:v>
      </x:c>
      <x:c r="H4" s="9" t="str">
        <x:v>09:33收盘涨幅</x:v>
      </x:c>
      <x:c r="I4" s="9" t="str">
        <x:v>09:34收盘涨幅</x:v>
      </x:c>
      <x:c r="J4" s="9" t="str">
        <x:v>09:35收盘涨幅</x:v>
      </x:c>
      <x:c r="K4" s="9" t="str">
        <x:v>09:36收盘涨幅</x:v>
      </x:c>
      <x:c r="L4" s="9" t="str">
        <x:v>09:37收盘涨幅</x:v>
      </x:c>
      <x:c r="M4" s="9" t="str">
        <x:v>09:38收盘涨幅</x:v>
      </x:c>
      <x:c r="N4" s="9" t="str">
        <x:v>09:39收盘涨幅</x:v>
      </x:c>
      <x:c r="O4" s="9" t="str">
        <x:v>09:40收盘涨幅</x:v>
      </x:c>
      <x:c r="P4" s="9" t="str">
        <x:v>十分钟最高收盘涨幅</x:v>
      </x:c>
      <x:c r="Q4" s="9" t="str">
        <x:v>09:40较最高回落(百分点)</x:v>
      </x:c>
      <x:c r="R4" s="9" t="str">
        <x:v>曾&gt;1%但09:40≤1%</x:v>
      </x:c>
    </x:row>
    <x:row r="5">
      <x:c r="A5" s="10" t="str">
        <x:v>2026-09-02</x:v>
      </x:c>
      <x:c r="B5" s="10" t="str">
        <x:v>2026-09-03</x:v>
      </x:c>
      <x:c r="C5" s="10" t="n">
        <x:v>1</x:v>
      </x:c>
      <x:c r="D5" s="11" t="str">
        <x:v>603319</x:v>
      </x:c>
      <x:c r="E5" s="10" t="str">
        <x:v>湘油泵</x:v>
      </x:c>
      <x:c r="F5" s="12" t="n">
        <x:v>0.027190332326284</x:v>
      </x:c>
      <x:c r="G5" s="12" t="n">
        <x:v>0.0171198388721047</x:v>
      </x:c>
      <x:c r="H5" s="12" t="n">
        <x:v>0.027190332326284</x:v>
      </x:c>
      <x:c r="I5" s="12" t="n">
        <x:v>0.0312185297079556</x:v>
      </x:c>
      <x:c r="J5" s="12" t="n">
        <x:v>0.0355824102047668</x:v>
      </x:c>
      <x:c r="K5" s="12" t="n">
        <x:v>0.0251762336354481</x:v>
      </x:c>
      <x:c r="L5" s="12" t="n">
        <x:v>0.0332326283987916</x:v>
      </x:c>
      <x:c r="M5" s="12" t="n">
        <x:v>0.0318898959382343</x:v>
      </x:c>
      <x:c r="N5" s="12" t="n">
        <x:v>0.0298757972473984</x:v>
      </x:c>
      <x:c r="O5" s="12" t="n">
        <x:v>0.0288687479019804</x:v>
      </x:c>
      <x:c r="P5" s="12" t="n">
        <x:f>MAX(F5:O5)</x:f>
        <x:v>0.0355824102047668</x:v>
      </x:c>
      <x:c r="Q5" s="13" t="n">
        <x:f>(P5-O5)*100</x:f>
        <x:v>0.6713662302786403</x:v>
      </x:c>
      <x:c r="R5" s="10" t="str">
        <x:f>IF(AND(P5&gt;1%,O5&lt;=1%),"是","")</x:f>
      </x:c>
    </x:row>
    <x:row r="6">
      <x:c r="A6" s="10" t="str">
        <x:v>2026-09-02</x:v>
      </x:c>
      <x:c r="B6" s="10" t="str">
        <x:v>2026-09-03</x:v>
      </x:c>
      <x:c r="C6" s="10" t="n">
        <x:v>2</x:v>
      </x:c>
      <x:c r="D6" s="11" t="str">
        <x:v>688143</x:v>
      </x:c>
      <x:c r="E6" s="10" t="str">
        <x:v>长盈通</x:v>
      </x:c>
      <x:c r="F6" s="12" t="n">
        <x:v>-0.0040176550475328</x:v>
      </x:c>
      <x:c r="G6" s="12" t="n">
        <x:v>0.0172589406971481</x:v>
      </x:c>
      <x:c r="H6" s="12" t="n">
        <x:v>0.0072430964237211</x:v>
      </x:c>
      <x:c r="I6" s="12" t="n">
        <x:v>0.0298777727478496</x:v>
      </x:c>
      <x:c r="J6" s="12" t="n">
        <x:v>0.0215595291987324</x:v>
      </x:c>
      <x:c r="K6" s="12" t="n">
        <x:v>0.0185604345857854</x:v>
      </x:c>
      <x:c r="L6" s="12" t="n">
        <x:v>0.0342349479402446</x:v>
      </x:c>
      <x:c r="M6" s="12" t="n">
        <x:v>0.0242191036668175</x:v>
      </x:c>
      <x:c r="N6" s="12" t="n">
        <x:v>0.0228044363965596</x:v>
      </x:c>
      <x:c r="O6" s="12" t="n">
        <x:v>0.0129017655047531</x:v>
      </x:c>
      <x:c r="P6" s="12" t="n">
        <x:f>MAX(F6:O6)</x:f>
        <x:v>0.0342349479402446</x:v>
      </x:c>
      <x:c r="Q6" s="13" t="n">
        <x:f>(P6-O6)*100</x:f>
        <x:v>2.13331824354915</x:v>
      </x:c>
      <x:c r="R6" s="10" t="str">
        <x:f>IF(AND(P6&gt;1%,O6&lt;=1%),"是","")</x:f>
      </x:c>
    </x:row>
    <x:row r="7">
      <x:c r="A7" s="10" t="str">
        <x:v>2026-09-03</x:v>
      </x:c>
      <x:c r="B7" s="10" t="str">
        <x:v>2026-09-04</x:v>
      </x:c>
      <x:c r="C7" s="10" t="n">
        <x:v>1</x:v>
      </x:c>
      <x:c r="D7" s="11" t="str">
        <x:v>002484</x:v>
      </x:c>
      <x:c r="E7" s="10" t="str">
        <x:v>江海股份</x:v>
      </x:c>
      <x:c r="F7" s="12" t="n">
        <x:v>0.0309597523219813</x:v>
      </x:c>
      <x:c r="G7" s="12" t="n">
        <x:v>0.0342277261781907</x:v>
      </x:c>
      <x:c r="H7" s="12" t="n">
        <x:v>0.0302717578259372</x:v>
      </x:c>
      <x:c r="I7" s="12" t="n">
        <x:v>0.0381836945304436</x:v>
      </x:c>
      <x:c r="J7" s="12" t="n">
        <x:v>0.0388716890264877</x:v>
      </x:c>
      <x:c r="K7" s="12" t="n">
        <x:v>0.0357757137942895</x:v>
      </x:c>
      <x:c r="L7" s="12" t="n">
        <x:v>0.0381836945304436</x:v>
      </x:c>
      <x:c r="M7" s="12" t="n">
        <x:v>0.0316477468180254</x:v>
      </x:c>
      <x:c r="N7" s="12" t="n">
        <x:v>0.0239078087375301</x:v>
      </x:c>
      <x:c r="O7" s="12" t="n">
        <x:v>0.0189198486412109</x:v>
      </x:c>
      <x:c r="P7" s="12" t="n">
        <x:f>MAX(F7:O7)</x:f>
        <x:v>0.0388716890264877</x:v>
      </x:c>
      <x:c r="Q7" s="13" t="n">
        <x:f>(P7-O7)*100</x:f>
        <x:v>1.9951840385276802</x:v>
      </x:c>
      <x:c r="R7" s="10" t="str">
        <x:f>IF(AND(P7&gt;1%,O7&lt;=1%),"是","")</x:f>
      </x:c>
    </x:row>
    <x:row r="8">
      <x:c r="A8" s="10" t="str">
        <x:v>2026-09-03</x:v>
      </x:c>
      <x:c r="B8" s="10" t="str">
        <x:v>2026-09-04</x:v>
      </x:c>
      <x:c r="C8" s="10" t="n">
        <x:v>2</x:v>
      </x:c>
      <x:c r="D8" s="11" t="str">
        <x:v>688233</x:v>
      </x:c>
      <x:c r="E8" s="10" t="str">
        <x:v>神工股份</x:v>
      </x:c>
      <x:c r="F8" s="12" t="n">
        <x:v>0.0160422377906386</x:v>
      </x:c>
      <x:c r="G8" s="12" t="n">
        <x:v>0.0065996547872881</x:v>
      </x:c>
      <x:c r="H8" s="12" t="n">
        <x:v>0.0047720580769621</x:v>
      </x:c>
      <x:c r="I8" s="12" t="n">
        <x:v>-0.0009137983551628</x:v>
      </x:c>
      <x:c r="J8" s="12" t="n">
        <x:v>0.0102548482079398</x:v>
      </x:c>
      <x:c r="K8" s="12" t="n">
        <x:v>0.0121839780688395</x:v>
      </x:c>
      <x:c r="L8" s="12" t="n">
        <x:v>0.0138085084780181</x:v>
      </x:c>
      <x:c r="M8" s="12" t="n">
        <x:v>0.0080211188953194</x:v>
      </x:c>
      <x:c r="N8" s="12" t="n">
        <x:v>0.0017260635597522</x:v>
      </x:c>
      <x:c r="O8" s="12" t="n">
        <x:v>0.0002030663011474</x:v>
      </x:c>
      <x:c r="P8" s="12" t="n">
        <x:f>MAX(F8:O8)</x:f>
        <x:v>0.0160422377906386</x:v>
      </x:c>
      <x:c r="Q8" s="13" t="n">
        <x:f>(P8-O8)*100</x:f>
        <x:v>1.58391714894912</x:v>
      </x:c>
      <x:c r="R8" s="10" t="str">
        <x:f>IF(AND(P8&gt;1%,O8&lt;=1%),"是","")</x:f>
        <x:v>是</x:v>
      </x:c>
    </x:row>
    <x:row r="9">
      <x:c r="A9" s="10" t="str">
        <x:v>2026-09-04</x:v>
      </x:c>
      <x:c r="B9" s="10" t="str">
        <x:v>2026-09-07</x:v>
      </x:c>
      <x:c r="C9" s="10" t="n">
        <x:v>1</x:v>
      </x:c>
      <x:c r="D9" s="11" t="str">
        <x:v>600508</x:v>
      </x:c>
      <x:c r="E9" s="10" t="str">
        <x:v>上海能源</x:v>
      </x:c>
      <x:c r="F9" s="12" t="n">
        <x:v>-0.000892060660125</x:v>
      </x:c>
      <x:c r="G9" s="12" t="n">
        <x:v>0.0008920606601248</x:v>
      </x:c>
      <x:c r="H9" s="12" t="n">
        <x:v>0.0107047279214986</x:v>
      </x:c>
      <x:c r="I9" s="12" t="n">
        <x:v>0.0115967885816234</x:v>
      </x:c>
      <x:c r="J9" s="12" t="n">
        <x:v>0.0053523639607491</x:v>
      </x:c>
      <x:c r="K9" s="12" t="n">
        <x:v>0.0035682426404994</x:v>
      </x:c>
      <x:c r="L9" s="12" t="n">
        <x:v>0.0089206066012488</x:v>
      </x:c>
      <x:c r="M9" s="12" t="n">
        <x:v>0.0107047279214986</x:v>
      </x:c>
      <x:c r="N9" s="12" t="n">
        <x:v>0.0187332738626224</x:v>
      </x:c>
      <x:c r="O9" s="12" t="n">
        <x:v>0.0187332738626224</x:v>
      </x:c>
      <x:c r="P9" s="12" t="n">
        <x:f>MAX(F9:O9)</x:f>
        <x:v>0.0187332738626224</x:v>
      </x:c>
      <x:c r="Q9" s="13" t="n">
        <x:f>(P9-O9)*100</x:f>
        <x:v>0</x:v>
      </x:c>
      <x:c r="R9" s="10" t="str">
        <x:f>IF(AND(P9&gt;1%,O9&lt;=1%),"是","")</x:f>
      </x:c>
    </x:row>
    <x:row r="10">
      <x:c r="A10" s="10" t="str">
        <x:v>2026-09-04</x:v>
      </x:c>
      <x:c r="B10" s="10" t="str">
        <x:v>2026-09-07</x:v>
      </x:c>
      <x:c r="C10" s="10" t="n">
        <x:v>2</x:v>
      </x:c>
      <x:c r="D10" s="11" t="str">
        <x:v>002094</x:v>
      </x:c>
      <x:c r="E10" s="10" t="str">
        <x:v>青岛金王</x:v>
      </x:c>
      <x:c r="F10" s="12" t="n">
        <x:v>-0.0174520069808028</x:v>
      </x:c>
      <x:c r="G10" s="12" t="n">
        <x:v>-0.0209424083769633</x:v>
      </x:c>
      <x:c r="H10" s="12" t="n">
        <x:v>-0.0174520069808028</x:v>
      </x:c>
      <x:c r="I10" s="12" t="n">
        <x:v>-0.0157068062827226</x:v>
      </x:c>
      <x:c r="J10" s="12" t="n">
        <x:v>-0.0139616055846422</x:v>
      </x:c>
      <x:c r="K10" s="12" t="n">
        <x:v>-0.0104712041884817</x:v>
      </x:c>
      <x:c r="L10" s="12" t="n">
        <x:v>-0.0139616055846422</x:v>
      </x:c>
      <x:c r="M10" s="12" t="n">
        <x:v>-0.0104712041884817</x:v>
      </x:c>
      <x:c r="N10" s="12" t="n">
        <x:v>-0.0087260034904015</x:v>
      </x:c>
      <x:c r="O10" s="12" t="n">
        <x:v>-0.0104712041884817</x:v>
      </x:c>
      <x:c r="P10" s="12" t="n">
        <x:f>MAX(F10:O10)</x:f>
        <x:v>-0.0087260034904015</x:v>
      </x:c>
      <x:c r="Q10" s="13" t="n">
        <x:f>(P10-O10)*100</x:f>
        <x:v>0.17452006980802</x:v>
      </x:c>
      <x:c r="R10" s="10" t="str">
        <x:f>IF(AND(P10&gt;1%,O10&lt;=1%),"是","")</x:f>
      </x:c>
    </x:row>
    <x:row r="11">
      <x:c r="A11" s="10" t="str">
        <x:v>2026-09-07</x:v>
      </x:c>
      <x:c r="B11" s="10" t="str">
        <x:v>2026-09-08</x:v>
      </x:c>
      <x:c r="C11" s="10" t="n">
        <x:v>1</x:v>
      </x:c>
      <x:c r="D11" s="11" t="str">
        <x:v>002491</x:v>
      </x:c>
      <x:c r="E11" s="10" t="str">
        <x:v>通鼎互联</x:v>
      </x:c>
      <x:c r="F11" s="12" t="n">
        <x:v>0.0009474182851729</x:v>
      </x:c>
      <x:c r="G11" s="12" t="n">
        <x:v>0.0023685457129323</x:v>
      </x:c>
      <x:c r="H11" s="12" t="n">
        <x:v>0.009474182851729</x:v>
      </x:c>
      <x:c r="I11" s="12" t="n">
        <x:v>0.0151586925627664</x:v>
      </x:c>
      <x:c r="J11" s="12" t="n">
        <x:v>0.0184746565608715</x:v>
      </x:c>
      <x:c r="K11" s="12" t="n">
        <x:v>0.0184746565608715</x:v>
      </x:c>
      <x:c r="L11" s="12" t="n">
        <x:v>0.0175272382756987</x:v>
      </x:c>
      <x:c r="M11" s="12" t="n">
        <x:v>0.0161061108479394</x:v>
      </x:c>
      <x:c r="N11" s="12" t="n">
        <x:v>0.0217906205589768</x:v>
      </x:c>
      <x:c r="O11" s="12" t="n">
        <x:v>0.0255802936996683</x:v>
      </x:c>
      <x:c r="P11" s="12" t="n">
        <x:f>MAX(F11:O11)</x:f>
        <x:v>0.0255802936996683</x:v>
      </x:c>
      <x:c r="Q11" s="13" t="n">
        <x:f>(P11-O11)*100</x:f>
        <x:v>0</x:v>
      </x:c>
      <x:c r="R11" s="10" t="str">
        <x:f>IF(AND(P11&gt;1%,O11&lt;=1%),"是","")</x:f>
      </x:c>
    </x:row>
    <x:row r="12">
      <x:c r="A12" s="10" t="str">
        <x:v>2026-09-07</x:v>
      </x:c>
      <x:c r="B12" s="10" t="str">
        <x:v>2026-09-08</x:v>
      </x:c>
      <x:c r="C12" s="10" t="n">
        <x:v>2</x:v>
      </x:c>
      <x:c r="D12" s="11" t="str">
        <x:v>000636</x:v>
      </x:c>
      <x:c r="E12" s="10" t="str">
        <x:v>风华高科</x:v>
      </x:c>
      <x:c r="F12" s="12" t="n">
        <x:v>-0.0067340067340068</x:v>
      </x:c>
      <x:c r="G12" s="12" t="n">
        <x:v>-0.0128738364032481</x:v>
      </x:c>
      <x:c r="H12" s="12" t="n">
        <x:v>-0.0130718954248366</x:v>
      </x:c>
      <x:c r="I12" s="12" t="n">
        <x:v>-0.0095068330362448</x:v>
      </x:c>
      <x:c r="J12" s="12" t="n">
        <x:v>-0.0035650623885917</x:v>
      </x:c>
      <x:c r="K12" s="12" t="n">
        <x:v>0.005941770647653</x:v>
      </x:c>
      <x:c r="L12" s="12" t="n">
        <x:v>0.009110714993068</x:v>
      </x:c>
      <x:c r="M12" s="12" t="n">
        <x:v>0.005941770647653</x:v>
      </x:c>
      <x:c r="N12" s="12" t="n">
        <x:v>0.0035650623885918</x:v>
      </x:c>
      <x:c r="O12" s="12" t="n">
        <x:v>0.0041592394533571</x:v>
      </x:c>
      <x:c r="P12" s="12" t="n">
        <x:f>MAX(F12:O12)</x:f>
        <x:v>0.009110714993068</x:v>
      </x:c>
      <x:c r="Q12" s="13" t="n">
        <x:f>(P12-O12)*100</x:f>
        <x:v>0.49514755397109006</x:v>
      </x:c>
      <x:c r="R12" s="10" t="str">
        <x:f>IF(AND(P12&gt;1%,O12&lt;=1%),"是","")</x:f>
      </x:c>
    </x:row>
    <x:row r="13">
      <x:c r="A13" s="10" t="str">
        <x:v>2026-09-08</x:v>
      </x:c>
      <x:c r="B13" s="10" t="str">
        <x:v>2026-09-09</x:v>
      </x:c>
      <x:c r="C13" s="10" t="n">
        <x:v>1</x:v>
      </x:c>
      <x:c r="D13" s="11" t="str">
        <x:v>300917</x:v>
      </x:c>
      <x:c r="E13" s="10" t="str">
        <x:v>特发服务</x:v>
      </x:c>
      <x:c r="F13" s="12" t="n">
        <x:v>-0.0353569046030686</x:v>
      </x:c>
      <x:c r="G13" s="12" t="n">
        <x:v>-0.0343562374916611</x:v>
      </x:c>
      <x:c r="H13" s="12" t="n">
        <x:v>-0.0363575717144762</x:v>
      </x:c>
      <x:c r="I13" s="12" t="n">
        <x:v>-0.0376917945296864</x:v>
      </x:c>
      <x:c r="J13" s="12" t="n">
        <x:v>-0.0413609072715144</x:v>
      </x:c>
      <x:c r="K13" s="12" t="n">
        <x:v>-0.0456971314209473</x:v>
      </x:c>
      <x:c r="L13" s="12" t="n">
        <x:v>-0.0416944629753168</x:v>
      </x:c>
      <x:c r="M13" s="12" t="n">
        <x:v>-0.0433622414943295</x:v>
      </x:c>
      <x:c r="N13" s="12" t="n">
        <x:v>-0.0410273515677118</x:v>
      </x:c>
      <x:c r="O13" s="12" t="n">
        <x:v>-0.038692461641094</x:v>
      </x:c>
      <x:c r="P13" s="12" t="n">
        <x:f>MAX(F13:O13)</x:f>
        <x:v>-0.0343562374916611</x:v>
      </x:c>
      <x:c r="Q13" s="13" t="n">
        <x:f>(P13-O13)*100</x:f>
        <x:v>0.43362241494329035</x:v>
      </x:c>
      <x:c r="R13" s="10" t="str">
        <x:f>IF(AND(P13&gt;1%,O13&lt;=1%),"是","")</x:f>
      </x:c>
    </x:row>
    <x:row r="14">
      <x:c r="A14" s="10" t="str">
        <x:v>2026-09-08</x:v>
      </x:c>
      <x:c r="B14" s="10" t="str">
        <x:v>2026-09-09</x:v>
      </x:c>
      <x:c r="C14" s="10" t="n">
        <x:v>2</x:v>
      </x:c>
      <x:c r="D14" s="11" t="str">
        <x:v>600172</x:v>
      </x:c>
      <x:c r="E14" s="10" t="str">
        <x:v>黄河旋风</x:v>
      </x:c>
      <x:c r="F14" s="12" t="n">
        <x:v>-0.004265691651432</x:v>
      </x:c>
      <x:c r="G14" s="12" t="n">
        <x:v>-0.0085313833028641</x:v>
      </x:c>
      <x:c r="H14" s="12" t="n">
        <x:v>-0.0176721511273613</x:v>
      </x:c>
      <x:c r="I14" s="12" t="n">
        <x:v>-0.0097501523461304</x:v>
      </x:c>
      <x:c r="J14" s="12" t="n">
        <x:v>-0.0048750761730652</x:v>
      </x:c>
      <x:c r="K14" s="12" t="n">
        <x:v>-0.0115783059110299</x:v>
      </x:c>
      <x:c r="L14" s="12" t="n">
        <x:v>-0.0006093845216332</x:v>
      </x:c>
      <x:c r="M14" s="12" t="n">
        <x:v>-0.004265691651432</x:v>
      </x:c>
      <x:c r="N14" s="12" t="n">
        <x:v>0.0091407678244972</x:v>
      </x:c>
      <x:c r="O14" s="12" t="n">
        <x:v>0.0140158439975623</x:v>
      </x:c>
      <x:c r="P14" s="12" t="n">
        <x:f>MAX(F14:O14)</x:f>
        <x:v>0.0140158439975623</x:v>
      </x:c>
      <x:c r="Q14" s="13" t="n">
        <x:f>(P14-O14)*100</x:f>
        <x:v>0</x:v>
      </x:c>
      <x:c r="R14" s="10" t="str">
        <x:f>IF(AND(P14&gt;1%,O14&lt;=1%),"是","")</x:f>
      </x:c>
    </x:row>
    <x:row r="15">
      <x:c r="A15" s="10" t="str">
        <x:v>2026-09-09</x:v>
      </x:c>
      <x:c r="B15" s="10" t="str">
        <x:v>2026-09-10</x:v>
      </x:c>
      <x:c r="C15" s="10" t="n">
        <x:v>1</x:v>
      </x:c>
      <x:c r="D15" s="11" t="str">
        <x:v>600172</x:v>
      </x:c>
      <x:c r="E15" s="10" t="str">
        <x:v>黄河旋风</x:v>
      </x:c>
      <x:c r="F15" s="12" t="n">
        <x:v>-0.0303206997084547</x:v>
      </x:c>
      <x:c r="G15" s="12" t="n">
        <x:v>-0.0075801749271136</x:v>
      </x:c>
      <x:c r="H15" s="12" t="n">
        <x:v>-0.018075801749271</x:v>
      </x:c>
      <x:c r="I15" s="12" t="n">
        <x:v>-0.020408163265306</x:v>
      </x:c>
      <x:c r="J15" s="12" t="n">
        <x:v>-0.0163265306122447</x:v>
      </x:c>
      <x:c r="K15" s="12" t="n">
        <x:v>-0.0221574344023323</x:v>
      </x:c>
      <x:c r="L15" s="12" t="n">
        <x:v>-0.0314868804664723</x:v>
      </x:c>
      <x:c r="M15" s="12" t="n">
        <x:v>-0.0291545189504373</x:v>
      </x:c>
      <x:c r="N15" s="12" t="n">
        <x:v>-0.0227405247813409</x:v>
      </x:c>
      <x:c r="O15" s="12" t="n">
        <x:v>-0.0145772594752187</x:v>
      </x:c>
      <x:c r="P15" s="12" t="n">
        <x:f>MAX(F15:O15)</x:f>
        <x:v>-0.0075801749271136</x:v>
      </x:c>
      <x:c r="Q15" s="13" t="n">
        <x:f>(P15-O15)*100</x:f>
        <x:v>0.69970845481051</x:v>
      </x:c>
      <x:c r="R15" s="10" t="str">
        <x:f>IF(AND(P15&gt;1%,O15&lt;=1%),"是","")</x:f>
      </x:c>
    </x:row>
    <x:row r="16">
      <x:c r="A16" s="10" t="str">
        <x:v>2026-09-09</x:v>
      </x:c>
      <x:c r="B16" s="10" t="str">
        <x:v>2026-09-10</x:v>
      </x:c>
      <x:c r="C16" s="10" t="n">
        <x:v>2</x:v>
      </x:c>
      <x:c r="D16" s="11" t="str">
        <x:v>688205</x:v>
      </x:c>
      <x:c r="E16" s="10" t="str">
        <x:v>德科立</x:v>
      </x:c>
      <x:c r="F16" s="12" t="n">
        <x:v>-0.0055182234880513</x:v>
      </x:c>
      <x:c r="G16" s="12" t="n">
        <x:v>-0.0039161586044235</x:v>
      </x:c>
      <x:c r="H16" s="12" t="n">
        <x:v>-0.0053847180810823</x:v>
      </x:c>
      <x:c r="I16" s="12" t="n">
        <x:v>-0.0019580793022117</x:v>
      </x:c>
      <x:c r="J16" s="12" t="n">
        <x:v>0.0086778514529837</x:v>
      </x:c>
      <x:c r="K16" s="12" t="n">
        <x:v>-0.0031596279649326</x:v>
      </x:c>
      <x:c r="L16" s="12" t="n">
        <x:v>0.0056962306973431</x:v>
      </x:c>
      <x:c r="M16" s="12" t="n">
        <x:v>0.0052512126741131</x:v>
      </x:c>
      <x:c r="N16" s="12" t="n">
        <x:v>-0.000178007209292</x:v>
      </x:c>
      <x:c r="O16" s="12" t="n">
        <x:v>0.0051177072671444</x:v>
      </x:c>
      <x:c r="P16" s="12" t="n">
        <x:f>MAX(F16:O16)</x:f>
        <x:v>0.0086778514529837</x:v>
      </x:c>
      <x:c r="Q16" s="13" t="n">
        <x:f>(P16-O16)*100</x:f>
        <x:v>0.3560144185839299</x:v>
      </x:c>
      <x:c r="R16" s="10" t="str">
        <x:f>IF(AND(P16&gt;1%,O16&lt;=1%),"是","")</x:f>
      </x:c>
    </x:row>
    <x:row r="17">
      <x:c r="A17" s="10" t="str">
        <x:v>2026-09-10</x:v>
      </x:c>
      <x:c r="B17" s="10" t="str">
        <x:v>2026-09-11</x:v>
      </x:c>
      <x:c r="C17" s="10" t="n">
        <x:v>1</x:v>
      </x:c>
      <x:c r="D17" s="11" t="str">
        <x:v>300840</x:v>
      </x:c>
      <x:c r="E17" s="10" t="str">
        <x:v>酷特智能</x:v>
      </x:c>
      <x:c r="F17" s="12" t="n">
        <x:v>-0.0254452926208651</x:v>
      </x:c>
      <x:c r="G17" s="12" t="n">
        <x:v>-0.0396946564885495</x:v>
      </x:c>
      <x:c r="H17" s="12" t="n">
        <x:v>-0.0381679389312976</x:v>
      </x:c>
      <x:c r="I17" s="12" t="n">
        <x:v>-0.0396946564885495</x:v>
      </x:c>
      <x:c r="J17" s="12" t="n">
        <x:v>-0.0356234096692111</x:v>
      </x:c>
      <x:c r="K17" s="12" t="n">
        <x:v>-0.0361323155216283</x:v>
      </x:c>
      <x:c r="L17" s="12" t="n">
        <x:v>-0.0376590330788803</x:v>
      </x:c>
      <x:c r="M17" s="12" t="n">
        <x:v>-0.040712468193384</x:v>
      </x:c>
      <x:c r="N17" s="12" t="n">
        <x:v>-0.0381679389312976</x:v>
      </x:c>
      <x:c r="O17" s="12" t="n">
        <x:v>-0.0402035623409668</x:v>
      </x:c>
      <x:c r="P17" s="12" t="n">
        <x:f>MAX(F17:O17)</x:f>
        <x:v>-0.0254452926208651</x:v>
      </x:c>
      <x:c r="Q17" s="13" t="n">
        <x:f>(P17-O17)*100</x:f>
        <x:v>1.4758269720101702</x:v>
      </x:c>
      <x:c r="R17" s="10" t="str">
        <x:f>IF(AND(P17&gt;1%,O17&lt;=1%),"是","")</x:f>
      </x:c>
    </x:row>
    <x:row r="18">
      <x:c r="A18" s="10" t="str">
        <x:v>2026-09-10</x:v>
      </x:c>
      <x:c r="B18" s="10" t="str">
        <x:v>2026-09-11</x:v>
      </x:c>
      <x:c r="C18" s="10" t="n">
        <x:v>2</x:v>
      </x:c>
      <x:c r="D18" s="11" t="str">
        <x:v>688167</x:v>
      </x:c>
      <x:c r="E18" s="10" t="str">
        <x:v>炬光科技</x:v>
      </x:c>
      <x:c r="F18" s="12" t="n">
        <x:v>-0.0264123717807961</x:v>
      </x:c>
      <x:c r="G18" s="12" t="n">
        <x:v>-0.0244361491891214</x:v>
      </x:c>
      <x:c r="H18" s="12" t="n">
        <x:v>-0.0270711126446877</x:v>
      </x:c>
      <x:c r="I18" s="12" t="n">
        <x:v>-0.0316822986919289</x:v>
      </x:c>
      <x:c r="J18" s="12" t="n">
        <x:v>-0.0362934847391699</x:v>
      </x:c>
      <x:c r="K18" s="12" t="n">
        <x:v>-0.040779196336146</x:v>
      </x:c>
      <x:c r="L18" s="12" t="n">
        <x:v>-0.0293610213620252</x:v>
      </x:c>
      <x:c r="M18" s="12" t="n">
        <x:v>-0.0339094701841337</x:v>
      </x:c>
      <x:c r="N18" s="12" t="n">
        <x:v>-0.0282003826970733</x:v>
      </x:c>
      <x:c r="O18" s="12" t="n">
        <x:v>-0.025690893691772</x:v>
      </x:c>
      <x:c r="P18" s="12" t="n">
        <x:f>MAX(F18:O18)</x:f>
        <x:v>-0.0244361491891214</x:v>
      </x:c>
      <x:c r="Q18" s="13" t="n">
        <x:f>(P18-O18)*100</x:f>
        <x:v>0.12547445026506004</x:v>
      </x:c>
      <x:c r="R18" s="10" t="str">
        <x:f>IF(AND(P18&gt;1%,O18&lt;=1%),"是","")</x:f>
      </x:c>
    </x:row>
    <x:row r="19">
      <x:c r="A19" s="10" t="str">
        <x:v>2026-09-11</x:v>
      </x:c>
      <x:c r="B19" s="10" t="str">
        <x:v>2026-09-14</x:v>
      </x:c>
      <x:c r="C19" s="10" t="n">
        <x:v>1</x:v>
      </x:c>
      <x:c r="D19" s="11" t="str">
        <x:v>603989</x:v>
      </x:c>
      <x:c r="E19" s="10" t="str">
        <x:v>艾华集团</x:v>
      </x:c>
      <x:c r="F19" s="12" t="n">
        <x:v>-0.0439694656488549</x:v>
      </x:c>
      <x:c r="G19" s="12" t="n">
        <x:v>-0.0531297709923663</x:v>
      </x:c>
      <x:c r="H19" s="12" t="n">
        <x:v>-0.0570992366412214</x:v>
      </x:c>
      <x:c r="I19" s="12" t="n">
        <x:v>-0.0503816793893129</x:v>
      </x:c>
      <x:c r="J19" s="12" t="n">
        <x:v>-0.0454961832061068</x:v>
      </x:c>
      <x:c r="K19" s="12" t="n">
        <x:v>-0.0595419847328244</x:v>
      </x:c>
      <x:c r="L19" s="12" t="n">
        <x:v>-0.0519083969465649</x:v>
      </x:c>
      <x:c r="M19" s="12" t="n">
        <x:v>-0.0387786259541984</x:v>
      </x:c>
      <x:c r="N19" s="12" t="n">
        <x:v>-0.0439694656488549</x:v>
      </x:c>
      <x:c r="O19" s="12" t="n">
        <x:v>-0.0390839694656488</x:v>
      </x:c>
      <x:c r="P19" s="12" t="n">
        <x:f>MAX(F19:O19)</x:f>
        <x:v>-0.0387786259541984</x:v>
      </x:c>
      <x:c r="Q19" s="13" t="n">
        <x:f>(P19-O19)*100</x:f>
        <x:v>0.030534351145040245</x:v>
      </x:c>
      <x:c r="R19" s="10" t="str">
        <x:f>IF(AND(P19&gt;1%,O19&lt;=1%),"是","")</x:f>
      </x:c>
    </x:row>
    <x:row r="20">
      <x:c r="A20" s="10" t="str">
        <x:v>2026-09-11</x:v>
      </x:c>
      <x:c r="B20" s="10" t="str">
        <x:v>2026-09-14</x:v>
      </x:c>
      <x:c r="C20" s="10" t="n">
        <x:v>2</x:v>
      </x:c>
      <x:c r="D20" s="11" t="str">
        <x:v>601595</x:v>
      </x:c>
      <x:c r="E20" s="10" t="str">
        <x:v>上海电影</x:v>
      </x:c>
      <x:c r="F20" s="12" t="n">
        <x:v>0.0102739726027398</x:v>
      </x:c>
      <x:c r="G20" s="12" t="n">
        <x:v>0.0244006849315068</x:v>
      </x:c>
      <x:c r="H20" s="12" t="n">
        <x:v>-0.014126712328767</x:v>
      </x:c>
      <x:c r="I20" s="12" t="n">
        <x:v>0.0029965753424656</x:v>
      </x:c>
      <x:c r="J20" s="12" t="n">
        <x:v>0.0102739726027398</x:v>
      </x:c>
      <x:c r="K20" s="12" t="n">
        <x:v>0.0017123287671232</x:v>
      </x:c>
      <x:c r="L20" s="12" t="n">
        <x:v>0.0042808219178083</x:v>
      </x:c>
      <x:c r="M20" s="12" t="n">
        <x:v>-0.0029965753424657</x:v>
      </x:c>
      <x:c r="N20" s="12" t="n">
        <x:v>0.002568493150685</x:v>
      </x:c>
      <x:c r="O20" s="12" t="n">
        <x:v>-0.0034246575342464</x:v>
      </x:c>
      <x:c r="P20" s="12" t="n">
        <x:f>MAX(F20:O20)</x:f>
        <x:v>0.0244006849315068</x:v>
      </x:c>
      <x:c r="Q20" s="13" t="n">
        <x:f>(P20-O20)*100</x:f>
        <x:v>2.7825342465753202</x:v>
      </x:c>
      <x:c r="R20" s="10" t="str">
        <x:f>IF(AND(P20&gt;1%,O20&lt;=1%),"是","")</x:f>
        <x:v>是</x:v>
      </x:c>
    </x:row>
    <x:row r="21">
      <x:c r="A21" s="10" t="str">
        <x:v>2026-09-14</x:v>
      </x:c>
      <x:c r="B21" s="10" t="str">
        <x:v>2026-09-15</x:v>
      </x:c>
      <x:c r="C21" s="10" t="n">
        <x:v>1</x:v>
      </x:c>
      <x:c r="D21" s="11" t="str">
        <x:v>605177</x:v>
      </x:c>
      <x:c r="E21" s="10" t="str">
        <x:v>东亚药业</x:v>
      </x:c>
      <x:c r="F21" s="12" t="n">
        <x:v>0.0060386473429951</x:v>
      </x:c>
      <x:c r="G21" s="12" t="n">
        <x:v>-0.0124798711755232</x:v>
      </x:c>
      <x:c r="H21" s="12" t="n">
        <x:v>0.0064412238325282</x:v>
      </x:c>
      <x:c r="I21" s="12" t="n">
        <x:v>0.0213365539452496</x:v>
      </x:c>
      <x:c r="J21" s="12" t="n">
        <x:v>0.0213365539452496</x:v>
      </x:c>
      <x:c r="K21" s="12" t="n">
        <x:v>0.0233494363929147</x:v>
      </x:c>
      <x:c r="L21" s="12" t="n">
        <x:v>0.0124798711755234</x:v>
      </x:c>
      <x:c r="M21" s="12" t="n">
        <x:v>0.0120772946859903</x:v>
      </x:c>
      <x:c r="N21" s="12" t="n">
        <x:v>0.0152979066022544</x:v>
      </x:c>
      <x:c r="O21" s="12" t="n">
        <x:v>0.0205314009661836</x:v>
      </x:c>
      <x:c r="P21" s="12" t="n">
        <x:f>MAX(F21:O21)</x:f>
        <x:v>0.0233494363929147</x:v>
      </x:c>
      <x:c r="Q21" s="13" t="n">
        <x:f>(P21-O21)*100</x:f>
        <x:v>0.2818035426731098</x:v>
      </x:c>
      <x:c r="R21" s="10" t="str">
        <x:f>IF(AND(P21&gt;1%,O21&lt;=1%),"是","")</x:f>
      </x:c>
    </x:row>
    <x:row r="22">
      <x:c r="A22" s="10" t="str">
        <x:v>2026-09-14</x:v>
      </x:c>
      <x:c r="B22" s="10" t="str">
        <x:v>2026-09-15</x:v>
      </x:c>
      <x:c r="C22" s="10" t="n">
        <x:v>2</x:v>
      </x:c>
      <x:c r="D22" s="11" t="str">
        <x:v>688601</x:v>
      </x:c>
      <x:c r="E22" s="10" t="str">
        <x:v>力芯微</x:v>
      </x:c>
      <x:c r="F22" s="12" t="n">
        <x:v>-0.0058429283382023</x:v>
      </x:c>
      <x:c r="G22" s="12" t="n">
        <x:v>-0.012373260010311</x:v>
      </x:c>
      <x:c r="H22" s="12" t="n">
        <x:v>-0.0178724866815603</x:v>
      </x:c>
      <x:c r="I22" s="12" t="n">
        <x:v>-0.0221687575184739</x:v>
      </x:c>
      <x:c r="J22" s="12" t="n">
        <x:v>-0.0221687575184739</x:v>
      </x:c>
      <x:c r="K22" s="12" t="n">
        <x:v>-0.0175287850146073</x:v>
      </x:c>
      <x:c r="L22" s="12" t="n">
        <x:v>-0.0252620725210517</x:v>
      </x:c>
      <x:c r="M22" s="12" t="n">
        <x:v>-0.0230280116858566</x:v>
      </x:c>
      <x:c r="N22" s="12" t="n">
        <x:v>-0.0221687575184739</x:v>
      </x:c>
      <x:c r="O22" s="12" t="n">
        <x:v>-0.0233717133528097</x:v>
      </x:c>
      <x:c r="P22" s="12" t="n">
        <x:f>MAX(F22:O22)</x:f>
        <x:v>-0.0058429283382023</x:v>
      </x:c>
      <x:c r="Q22" s="13" t="n">
        <x:f>(P22-O22)*100</x:f>
        <x:v>1.75287850146074</x:v>
      </x:c>
      <x:c r="R22" s="10" t="str">
        <x:f>IF(AND(P22&gt;1%,O22&lt;=1%),"是","")</x:f>
      </x:c>
    </x:row>
    <x:row r="23">
      <x:c r="A23" s="10" t="str">
        <x:v>2026-09-15</x:v>
      </x:c>
      <x:c r="B23" s="10" t="str">
        <x:v>2026-09-16</x:v>
      </x:c>
      <x:c r="C23" s="10" t="n">
        <x:v>1</x:v>
      </x:c>
      <x:c r="D23" s="11" t="str">
        <x:v>603375</x:v>
      </x:c>
      <x:c r="E23" s="10" t="str">
        <x:v>盛景微</x:v>
      </x:c>
      <x:c r="F23" s="12" t="n">
        <x:v>0.0017813404586952</x:v>
      </x:c>
      <x:c r="G23" s="12" t="n">
        <x:v>0.0236027610777109</x:v>
      </x:c>
      <x:c r="H23" s="12" t="n">
        <x:v>0.0082386996214651</x:v>
      </x:c>
      <x:c r="I23" s="12" t="n">
        <x:v>0.0006680026720107</x:v>
      </x:c>
      <x:c r="J23" s="12" t="n">
        <x:v>-0.0008906702293475</x:v>
      </x:c>
      <x:c r="K23" s="12" t="n">
        <x:v>0.0064573591627701</x:v>
      </x:c>
      <x:c r="L23" s="12" t="n">
        <x:v>0.0071253618347806</x:v>
      </x:c>
      <x:c r="M23" s="12" t="n">
        <x:v>0.0033400133600536</x:v>
      </x:c>
      <x:c r="N23" s="12" t="n">
        <x:v>0.0091293698508128</x:v>
      </x:c>
      <x:c r="O23" s="12" t="n">
        <x:v>0.0126920507682031</x:v>
      </x:c>
      <x:c r="P23" s="12" t="n">
        <x:f>MAX(F23:O23)</x:f>
        <x:v>0.0236027610777109</x:v>
      </x:c>
      <x:c r="Q23" s="13" t="n">
        <x:f>(P23-O23)*100</x:f>
        <x:v>1.09107103095078</x:v>
      </x:c>
      <x:c r="R23" s="10" t="str">
        <x:f>IF(AND(P23&gt;1%,O23&lt;=1%),"是","")</x:f>
      </x:c>
    </x:row>
    <x:row r="24">
      <x:c r="A24" s="10" t="str">
        <x:v>2026-09-15</x:v>
      </x:c>
      <x:c r="B24" s="10" t="str">
        <x:v>2026-09-16</x:v>
      </x:c>
      <x:c r="C24" s="10" t="n">
        <x:v>2</x:v>
      </x:c>
      <x:c r="D24" s="11" t="str">
        <x:v>300225</x:v>
      </x:c>
      <x:c r="E24" s="10" t="str">
        <x:v>金力泰</x:v>
      </x:c>
      <x:c r="F24" s="12" t="n">
        <x:v>-0.0075187969924812</x:v>
      </x:c>
      <x:c r="G24" s="12" t="n">
        <x:v>-0.012531328320802</x:v>
      </x:c>
      <x:c r="H24" s="12" t="n">
        <x:v>-0.018796992481203</x:v>
      </x:c>
      <x:c r="I24" s="12" t="n">
        <x:v>-0.0313283208020049</x:v>
      </x:c>
      <x:c r="J24" s="12" t="n">
        <x:v>-0.025062656641604</x:v>
      </x:c>
      <x:c r="K24" s="12" t="n">
        <x:v>-0.0263157894736842</x:v>
      </x:c>
      <x:c r="L24" s="12" t="n">
        <x:v>-0.0175438596491228</x:v>
      </x:c>
      <x:c r="M24" s="12" t="n">
        <x:v>-0.0137844611528822</x:v>
      </x:c>
      <x:c r="N24" s="12" t="n">
        <x:v>-0.0075187969924812</x:v>
      </x:c>
      <x:c r="O24" s="12" t="n">
        <x:v>-0.0112781954887218</x:v>
      </x:c>
      <x:c r="P24" s="12" t="n">
        <x:f>MAX(F24:O24)</x:f>
        <x:v>-0.0075187969924812</x:v>
      </x:c>
      <x:c r="Q24" s="13" t="n">
        <x:f>(P24-O24)*100</x:f>
        <x:v>0.37593984962406</x:v>
      </x:c>
      <x:c r="R24" s="10" t="str">
        <x:f>IF(AND(P24&gt;1%,O24&lt;=1%),"是","")</x:f>
      </x:c>
    </x:row>
    <x:row r="25">
      <x:c r="A25" s="10" t="str">
        <x:v>2026-09-16</x:v>
      </x:c>
      <x:c r="B25" s="10" t="str">
        <x:v>2026-09-17</x:v>
      </x:c>
      <x:c r="C25" s="10" t="n">
        <x:v>1</x:v>
      </x:c>
      <x:c r="D25" s="11" t="str">
        <x:v>300808</x:v>
      </x:c>
      <x:c r="E25" s="10" t="str">
        <x:v>久量股份</x:v>
      </x:c>
      <x:c r="F25" s="12" t="n">
        <x:v>0.0115850447604002</x:v>
      </x:c>
      <x:c r="G25" s="12" t="n">
        <x:v>0.0142180094786732</x:v>
      </x:c>
      <x:c r="H25" s="12" t="n">
        <x:v>0.0400210637177462</x:v>
      </x:c>
      <x:c r="I25" s="12" t="n">
        <x:v>0.0879410215903107</x:v>
      </x:c>
      <x:c r="J25" s="12" t="n">
        <x:v>0.0895208004212744</x:v>
      </x:c>
      <x:c r="K25" s="12" t="n">
        <x:v>0.075829383886256</x:v>
      </x:c>
      <x:c r="L25" s="12" t="n">
        <x:v>0.0742496050552923</x:v>
      </x:c>
      <x:c r="M25" s="12" t="n">
        <x:v>0.0779357556608741</x:v>
      </x:c>
      <x:c r="N25" s="12" t="n">
        <x:v>0.1137440758293839</x:v>
      </x:c>
      <x:c r="O25" s="12" t="n">
        <x:v>0.1011058451816746</x:v>
      </x:c>
      <x:c r="P25" s="12" t="n">
        <x:f>MAX(F25:O25)</x:f>
        <x:v>0.1137440758293839</x:v>
      </x:c>
      <x:c r="Q25" s="13" t="n">
        <x:f>(P25-O25)*100</x:f>
        <x:v>1.263823064770929</x:v>
      </x:c>
      <x:c r="R25" s="10" t="str">
        <x:f>IF(AND(P25&gt;1%,O25&lt;=1%),"是","")</x:f>
      </x:c>
    </x:row>
    <x:row r="26">
      <x:c r="A26" s="10" t="str">
        <x:v>2026-09-16</x:v>
      </x:c>
      <x:c r="B26" s="10" t="str">
        <x:v>2026-09-17</x:v>
      </x:c>
      <x:c r="C26" s="10" t="n">
        <x:v>2</x:v>
      </x:c>
      <x:c r="D26" s="11" t="str">
        <x:v>301161</x:v>
      </x:c>
      <x:c r="E26" s="10" t="str">
        <x:v>唯万密封</x:v>
      </x:c>
      <x:c r="F26" s="12" t="n">
        <x:v>-0.0026999662504217</x:v>
      </x:c>
      <x:c r="G26" s="12" t="n">
        <x:v>0.0070874114073573</x:v>
      </x:c>
      <x:c r="H26" s="12" t="n">
        <x:v>0.0168747890651366</x:v>
      </x:c>
      <x:c r="I26" s="12" t="n">
        <x:v>0.0165372932838339</x:v>
      </x:c>
      <x:c r="J26" s="12" t="n">
        <x:v>0.013837327033412</x:v>
      </x:c>
      <x:c r="K26" s="12" t="n">
        <x:v>0.0124873439082011</x:v>
      </x:c>
      <x:c r="L26" s="12" t="n">
        <x:v>0.0124873439082011</x:v>
      </x:c>
      <x:c r="M26" s="12" t="n">
        <x:v>0.0128248396895038</x:v>
      </x:c>
      <x:c r="N26" s="12" t="n">
        <x:v>0.0121498481268984</x:v>
      </x:c>
      <x:c r="O26" s="12" t="n">
        <x:v>0.0094498818764765</x:v>
      </x:c>
      <x:c r="P26" s="12" t="n">
        <x:f>MAX(F26:O26)</x:f>
        <x:v>0.0168747890651366</x:v>
      </x:c>
      <x:c r="Q26" s="13" t="n">
        <x:f>(P26-O26)*100</x:f>
        <x:v>0.7424907188660099</x:v>
      </x:c>
      <x:c r="R26" s="10" t="str">
        <x:f>IF(AND(P26&gt;1%,O26&lt;=1%),"是","")</x:f>
        <x:v>是</x:v>
      </x:c>
    </x:row>
    <x:row r="27">
      <x:c r="A27" s="10" t="str">
        <x:v>2026-09-17</x:v>
      </x:c>
      <x:c r="B27" s="10" t="str">
        <x:v>2026-09-18</x:v>
      </x:c>
      <x:c r="C27" s="10" t="n">
        <x:v>1</x:v>
      </x:c>
      <x:c r="D27" s="11" t="str">
        <x:v>000679</x:v>
      </x:c>
      <x:c r="E27" s="10" t="str">
        <x:v>大连友谊</x:v>
      </x:c>
      <x:c r="F27" s="12" t="n">
        <x:v>-0.0186046511627907</x:v>
      </x:c>
      <x:c r="G27" s="12" t="n">
        <x:v>-0.0186046511627907</x:v>
      </x:c>
      <x:c r="H27" s="12" t="n">
        <x:v>-0.0170542635658915</x:v>
      </x:c>
      <x:c r="I27" s="12" t="n">
        <x:v>-0.0124031007751937</x:v>
      </x:c>
      <x:c r="J27" s="12" t="n">
        <x:v>-0.0031007751937984</x:v>
      </x:c>
      <x:c r="K27" s="12" t="n">
        <x:v>-0.0108527131782946</x:v>
      </x:c>
      <x:c r="L27" s="12" t="n">
        <x:v>-0.0124031007751937</x:v>
      </x:c>
      <x:c r="M27" s="12" t="n">
        <x:v>-0.0155038759689922</x:v>
      </x:c>
      <x:c r="N27" s="12" t="n">
        <x:v>-0.0139534883720929</x:v>
      </x:c>
      <x:c r="O27" s="12" t="n">
        <x:v>-0.0124031007751937</x:v>
      </x:c>
      <x:c r="P27" s="12" t="n">
        <x:f>MAX(F27:O27)</x:f>
        <x:v>-0.0031007751937984</x:v>
      </x:c>
      <x:c r="Q27" s="13" t="n">
        <x:f>(P27-O27)*100</x:f>
        <x:v>0.93023255813953</x:v>
      </x:c>
      <x:c r="R27" s="10" t="str">
        <x:f>IF(AND(P27&gt;1%,O27&lt;=1%),"是","")</x:f>
      </x:c>
    </x:row>
    <x:row r="28">
      <x:c r="A28" s="10" t="str">
        <x:v>2026-09-17</x:v>
      </x:c>
      <x:c r="B28" s="10" t="str">
        <x:v>2026-09-18</x:v>
      </x:c>
      <x:c r="C28" s="10" t="n">
        <x:v>2</x:v>
      </x:c>
      <x:c r="D28" s="11" t="str">
        <x:v>301018</x:v>
      </x:c>
      <x:c r="E28" s="10" t="str">
        <x:v>申菱环境</x:v>
      </x:c>
      <x:c r="F28" s="12" t="n">
        <x:v>-0.007833397019488</x:v>
      </x:c>
      <x:c r="G28" s="12" t="n">
        <x:v>-0.0131830340084067</x:v>
      </x:c>
      <x:c r="H28" s="12" t="n">
        <x:v>-0.0068781047000383</x:v>
      </x:c>
      <x:c r="I28" s="12" t="n">
        <x:v>-0.0081199847153229</x:v>
      </x:c>
      <x:c r="J28" s="12" t="n">
        <x:v>-0.0093618647306076</x:v>
      </x:c>
      <x:c r="K28" s="12" t="n">
        <x:v>-0.0040122277416889</x:v>
      </x:c>
      <x:c r="L28" s="12" t="n">
        <x:v>0.0014329384791744</x:v>
      </x:c>
      <x:c r="M28" s="12" t="n">
        <x:v>0.0058272831486434</x:v>
      </x:c>
      <x:c r="N28" s="12" t="n">
        <x:v>-0.0010508215513949</x:v>
      </x:c>
      <x:c r="O28" s="12" t="n">
        <x:v>0.00019105846389</x:v>
      </x:c>
      <x:c r="P28" s="12" t="n">
        <x:f>MAX(F28:O28)</x:f>
        <x:v>0.0058272831486434</x:v>
      </x:c>
      <x:c r="Q28" s="13" t="n">
        <x:f>(P28-O28)*100</x:f>
        <x:v>0.5636224684753399</x:v>
      </x:c>
      <x:c r="R28" s="10" t="str">
        <x:f>IF(AND(P28&gt;1%,O28&lt;=1%),"是","")</x:f>
      </x:c>
    </x:row>
    <x:row r="29">
      <x:c r="A29" s="10" t="str">
        <x:v>2026-09-18</x:v>
      </x:c>
      <x:c r="B29" s="10" t="str">
        <x:v>2026-09-21</x:v>
      </x:c>
      <x:c r="C29" s="10" t="n">
        <x:v>1</x:v>
      </x:c>
      <x:c r="D29" s="11" t="str">
        <x:v>300870</x:v>
      </x:c>
      <x:c r="E29" s="10" t="str">
        <x:v>欧陆通</x:v>
      </x:c>
      <x:c r="F29" s="12" t="n">
        <x:v>0.0405437075228498</x:v>
      </x:c>
      <x:c r="G29" s="12" t="n">
        <x:v>0.0217483009139911</x:v>
      </x:c>
      <x:c r="H29" s="12" t="n">
        <x:v>0.023810639793766</x:v>
      </x:c>
      <x:c r="I29" s="12" t="n">
        <x:v>0.020951488164987</x:v>
      </x:c>
      <x:c r="J29" s="12" t="n">
        <x:v>0.0170611670963207</x:v>
      </x:c>
      <x:c r="K29" s="12" t="n">
        <x:v>0.0107804077806421</x:v>
      </x:c>
      <x:c r="L29" s="12" t="n">
        <x:v>0.0163112256854933</x:v>
      </x:c>
      <x:c r="M29" s="12" t="n">
        <x:v>0.0148113428638387</x:v>
      </x:c>
      <x:c r="N29" s="12" t="n">
        <x:v>0.0167330677290835</x:v>
      </x:c>
      <x:c r="O29" s="12" t="n">
        <x:v>0.0173423951253808</x:v>
      </x:c>
      <x:c r="P29" s="12" t="n">
        <x:f>MAX(F29:O29)</x:f>
        <x:v>0.0405437075228498</x:v>
      </x:c>
      <x:c r="Q29" s="13" t="n">
        <x:f>(P29-O29)*100</x:f>
        <x:v>2.3201312397469005</x:v>
      </x:c>
      <x:c r="R29" s="10" t="str">
        <x:f>IF(AND(P29&gt;1%,O29&lt;=1%),"是","")</x:f>
      </x:c>
    </x:row>
    <x:row r="30">
      <x:c r="A30" s="10" t="str">
        <x:v>2026-09-18</x:v>
      </x:c>
      <x:c r="B30" s="10" t="str">
        <x:v>2026-09-21</x:v>
      </x:c>
      <x:c r="C30" s="10" t="n">
        <x:v>2</x:v>
      </x:c>
      <x:c r="D30" s="11" t="str">
        <x:v>688146</x:v>
      </x:c>
      <x:c r="E30" s="10" t="str">
        <x:v>中船特气</x:v>
      </x:c>
      <x:c r="F30" s="12" t="n">
        <x:v>0.0081967213114755</x:v>
      </x:c>
      <x:c r="G30" s="12" t="n">
        <x:v>0.0049347607895617</x:v>
      </x:c>
      <x:c r="H30" s="12" t="n">
        <x:v>0.0132151221144194</x:v>
      </x:c>
      <x:c r="I30" s="12" t="n">
        <x:v>0.0127969220475074</x:v>
      </x:c>
      <x:c r="J30" s="12" t="n">
        <x:v>0.0245901639344261</x:v>
      </x:c>
      <x:c r="K30" s="12" t="n">
        <x:v>0.0217464034794245</x:v>
      </x:c>
      <x:c r="L30" s="12" t="n">
        <x:v>0.0190281030444963</x:v>
      </x:c>
      <x:c r="M30" s="12" t="n">
        <x:v>0.017480762796922</x:v>
      </x:c>
      <x:c r="N30" s="12" t="n">
        <x:v>0.017480762796922</x:v>
      </x:c>
      <x:c r="O30" s="12" t="n">
        <x:v>0.0168952827032451</x:v>
      </x:c>
      <x:c r="P30" s="12" t="n">
        <x:f>MAX(F30:O30)</x:f>
        <x:v>0.0245901639344261</x:v>
      </x:c>
      <x:c r="Q30" s="13" t="n">
        <x:f>(P30-O30)*100</x:f>
        <x:v>0.7694881231181002</x:v>
      </x:c>
      <x:c r="R30" s="10" t="str">
        <x:f>IF(AND(P30&gt;1%,O30&lt;=1%),"是","")</x:f>
      </x:c>
    </x:row>
    <x:row r="31">
      <x:c r="A31" s="10" t="str">
        <x:v>2026-09-21</x:v>
      </x:c>
      <x:c r="B31" s="10" t="str">
        <x:v>2026-09-22</x:v>
      </x:c>
      <x:c r="C31" s="10" t="n">
        <x:v>1</x:v>
      </x:c>
      <x:c r="D31" s="11" t="str">
        <x:v>300475</x:v>
      </x:c>
      <x:c r="E31" s="10" t="str">
        <x:v>香农芯创</x:v>
      </x:c>
      <x:c r="F31" s="12" t="n">
        <x:v>0.0204663923182442</x:v>
      </x:c>
      <x:c r="G31" s="12" t="n">
        <x:v>0.009766803840878</x:v>
      </x:c>
      <x:c r="H31" s="12" t="n">
        <x:v>0.0072976680384089</x:v>
      </x:c>
      <x:c r="I31" s="12" t="n">
        <x:v>0.0089986282578875</x:v>
      </x:c>
      <x:c r="J31" s="12" t="n">
        <x:v>0.0134430727023318</x:v>
      </x:c>
      <x:c r="K31" s="12" t="n">
        <x:v>0.0146502057613167</x:v>
      </x:c>
      <x:c r="L31" s="12" t="n">
        <x:v>0.0116872427983538</x:v>
      </x:c>
      <x:c r="M31" s="12" t="n">
        <x:v>0.0173936899862825</x:v>
      </x:c>
      <x:c r="N31" s="12" t="n">
        <x:v>0.0126200274348422</x:v>
      </x:c>
      <x:c r="O31" s="12" t="n">
        <x:v>0.0096021947873798</x:v>
      </x:c>
      <x:c r="P31" s="12" t="n">
        <x:f>MAX(F31:O31)</x:f>
        <x:v>0.0204663923182442</x:v>
      </x:c>
      <x:c r="Q31" s="13" t="n">
        <x:f>(P31-O31)*100</x:f>
        <x:v>1.08641975308644</x:v>
      </x:c>
      <x:c r="R31" s="10" t="str">
        <x:f>IF(AND(P31&gt;1%,O31&lt;=1%),"是","")</x:f>
        <x:v>是</x:v>
      </x:c>
    </x:row>
    <x:row r="32">
      <x:c r="A32" s="10" t="str">
        <x:v>2026-09-21</x:v>
      </x:c>
      <x:c r="B32" s="10" t="str">
        <x:v>2026-09-22</x:v>
      </x:c>
      <x:c r="C32" s="10" t="n">
        <x:v>2</x:v>
      </x:c>
      <x:c r="D32" s="11" t="str">
        <x:v>600699</x:v>
      </x:c>
      <x:c r="E32" s="10" t="str">
        <x:v>均胜电子</x:v>
      </x:c>
      <x:c r="F32" s="12" t="n">
        <x:v>0.0076408787010506</x:v>
      </x:c>
      <x:c r="G32" s="12" t="n">
        <x:v>0.0124164278892071</x:v>
      </x:c>
      <x:c r="H32" s="12" t="n">
        <x:v>0.0105062082139446</x:v>
      </x:c>
      <x:c r="I32" s="12" t="n">
        <x:v>0.0033428844317096</x:v>
      </x:c>
      <x:c r="J32" s="12" t="n">
        <x:v>0.0057306590257877</x:v>
      </x:c>
      <x:c r="K32" s="12" t="n">
        <x:v>0.0071633237822348</x:v>
      </x:c>
      <x:c r="L32" s="12" t="n">
        <x:v>0.0076408787010506</x:v>
      </x:c>
      <x:c r="M32" s="12" t="n">
        <x:v>0.0085959885386819</x:v>
      </x:c>
      <x:c r="N32" s="12" t="n">
        <x:v>0.0057306590257877</x:v>
      </x:c>
      <x:c r="O32" s="12" t="n">
        <x:v>0.0114613180515759</x:v>
      </x:c>
      <x:c r="P32" s="12" t="n">
        <x:f>MAX(F32:O32)</x:f>
        <x:v>0.0124164278892071</x:v>
      </x:c>
      <x:c r="Q32" s="13" t="n">
        <x:f>(P32-O32)*100</x:f>
        <x:v>0.09551098376311996</x:v>
      </x:c>
      <x:c r="R32" s="10" t="str">
        <x:f>IF(AND(P32&gt;1%,O32&lt;=1%),"是","")</x:f>
      </x:c>
    </x:row>
    <x:row r="33">
      <x:c r="A33" s="10" t="str">
        <x:v>2026-09-22</x:v>
      </x:c>
      <x:c r="B33" s="10" t="str">
        <x:v>2026-09-23</x:v>
      </x:c>
      <x:c r="C33" s="10" t="n">
        <x:v>1</x:v>
      </x:c>
      <x:c r="D33" s="11" t="str">
        <x:v>002913</x:v>
      </x:c>
      <x:c r="E33" s="10" t="str">
        <x:v>奥士康</x:v>
      </x:c>
      <x:c r="F33" s="12" t="n">
        <x:v>-0.0030786773090079</x:v>
      </x:c>
      <x:c r="G33" s="12" t="n">
        <x:v>0.0131128848346635</x:v>
      </x:c>
      <x:c r="H33" s="12" t="n">
        <x:v>0.0189281641961232</x:v>
      </x:c>
      <x:c r="I33" s="12" t="n">
        <x:v>0.0094640820980616</x:v>
      </x:c>
      <x:c r="J33" s="12" t="n">
        <x:v>0.0051311288483466</x:v>
      </x:c>
      <x:c r="K33" s="12" t="n">
        <x:v>-0.0011402508551882</x:v>
      </x:c>
      <x:c r="L33" s="12" t="n">
        <x:v>0.0037628278221208</x:v>
      </x:c>
      <x:c r="M33" s="12" t="n">
        <x:v>-0.0051311288483466</x:v>
      </x:c>
      <x:c r="N33" s="12" t="n">
        <x:v>-0.0099201824401369</x:v>
      </x:c>
      <x:c r="O33" s="12" t="n">
        <x:v>-0.0045610034207526</x:v>
      </x:c>
      <x:c r="P33" s="12" t="n">
        <x:f>MAX(F33:O33)</x:f>
        <x:v>0.0189281641961232</x:v>
      </x:c>
      <x:c r="Q33" s="13" t="n">
        <x:f>(P33-O33)*100</x:f>
        <x:v>2.3489167616875797</x:v>
      </x:c>
      <x:c r="R33" s="10" t="str">
        <x:f>IF(AND(P33&gt;1%,O33&lt;=1%),"是","")</x:f>
        <x:v>是</x:v>
      </x:c>
    </x:row>
    <x:row r="34">
      <x:c r="A34" s="10" t="str">
        <x:v>2026-09-22</x:v>
      </x:c>
      <x:c r="B34" s="10" t="str">
        <x:v>2026-09-23</x:v>
      </x:c>
      <x:c r="C34" s="10" t="n">
        <x:v>2</x:v>
      </x:c>
      <x:c r="D34" s="11" t="str">
        <x:v>300489</x:v>
      </x:c>
      <x:c r="E34" s="10" t="str">
        <x:v>光智科技</x:v>
      </x:c>
      <x:c r="F34" s="12" t="n">
        <x:v>-0.0029866408362594</x:v>
      </x:c>
      <x:c r="G34" s="12" t="n">
        <x:v>0.0108972030512168</x:v>
      </x:c>
      <x:c r="H34" s="12" t="n">
        <x:v>0.0087581224522741</x:v>
      </x:c>
      <x:c r="I34" s="12" t="n">
        <x:v>0.0161440045203211</x:v>
      </x:c>
      <x:c r="J34" s="12" t="n">
        <x:v>0.0255075271421074</x:v>
      </x:c>
      <x:c r="K34" s="12" t="n">
        <x:v>0.0295435282721878</x:v>
      </x:c>
      <x:c r="L34" s="12" t="n">
        <x:v>0.0315615288372279</x:v>
      </x:c>
      <x:c r="M34" s="12" t="n">
        <x:v>0.0150542842151994</x:v>
      </x:c>
      <x:c r="N34" s="12" t="n">
        <x:v>0.0137224038422729</x:v>
      </x:c>
      <x:c r="O34" s="12" t="n">
        <x:v>0.02312628647536</x:v>
      </x:c>
      <x:c r="P34" s="12" t="n">
        <x:f>MAX(F34:O34)</x:f>
        <x:v>0.0315615288372279</x:v>
      </x:c>
      <x:c r="Q34" s="13" t="n">
        <x:f>(P34-O34)*100</x:f>
        <x:v>0.8435242361867896</x:v>
      </x:c>
      <x:c r="R34" s="10" t="str">
        <x:f>IF(AND(P34&gt;1%,O34&lt;=1%),"是","")</x:f>
      </x:c>
    </x:row>
    <x:row r="35">
      <x:c r="A35" s="10" t="str">
        <x:v>2026-09-23</x:v>
      </x:c>
      <x:c r="B35" s="10" t="str">
        <x:v>2026-09-24</x:v>
      </x:c>
      <x:c r="C35" s="10" t="n">
        <x:v>1</x:v>
      </x:c>
      <x:c r="D35" s="11" t="str">
        <x:v>300489</x:v>
      </x:c>
      <x:c r="E35" s="10" t="str">
        <x:v>光智科技</x:v>
      </x:c>
      <x:c r="F35" s="12" t="n">
        <x:v>0.0326036866359447</x:v>
      </x:c>
      <x:c r="G35" s="12" t="n">
        <x:v>0.0215437788018433</x:v>
      </x:c>
      <x:c r="H35" s="12" t="n">
        <x:v>0.0301075268817205</x:v>
      </x:c>
      <x:c r="I35" s="12" t="n">
        <x:v>0.0368663594470046</x:v>
      </x:c>
      <x:c r="J35" s="12" t="n">
        <x:v>0.0346390168970816</x:v>
      </x:c>
      <x:c r="K35" s="12" t="n">
        <x:v>0.0386328725038402</x:v>
      </x:c>
      <x:c r="L35" s="12" t="n">
        <x:v>0.0425883256528418</x:v>
      </x:c>
      <x:c r="M35" s="12" t="n">
        <x:v>0.0221966205837174</x:v>
      </x:c>
      <x:c r="N35" s="12" t="n">
        <x:v>0.0291858678955454</x:v>
      </x:c>
      <x:c r="O35" s="12" t="n">
        <x:v>0.0253456221198158</x:v>
      </x:c>
      <x:c r="P35" s="12" t="n">
        <x:f>MAX(F35:O35)</x:f>
        <x:v>0.0425883256528418</x:v>
      </x:c>
      <x:c r="Q35" s="13" t="n">
        <x:f>(P35-O35)*100</x:f>
        <x:v>1.7242703533025996</x:v>
      </x:c>
      <x:c r="R35" s="10" t="str">
        <x:f>IF(AND(P35&gt;1%,O35&lt;=1%),"是","")</x:f>
      </x:c>
    </x:row>
    <x:row r="36">
      <x:c r="A36" s="10" t="str">
        <x:v>2026-09-23</x:v>
      </x:c>
      <x:c r="B36" s="10" t="str">
        <x:v>2026-09-24</x:v>
      </x:c>
      <x:c r="C36" s="10" t="n">
        <x:v>2</x:v>
      </x:c>
      <x:c r="D36" s="11" t="str">
        <x:v>002913</x:v>
      </x:c>
      <x:c r="E36" s="10" t="str">
        <x:v>奥士康</x:v>
      </x:c>
      <x:c r="F36" s="12" t="n">
        <x:v>-0.0101010101010101</x:v>
      </x:c>
      <x:c r="G36" s="12" t="n">
        <x:v>-0.002415458937198</x:v>
      </x:c>
      <x:c r="H36" s="12" t="n">
        <x:v>-0.0132850241545893</x:v>
      </x:c>
      <x:c r="I36" s="12" t="n">
        <x:v>-0.0164690382081686</x:v>
      </x:c>
      <x:c r="J36" s="12" t="n">
        <x:v>-0.0142731664470794</x:v>
      </x:c>
      <x:c r="K36" s="12" t="n">
        <x:v>-0.0212999560825647</x:v>
      </x:c>
      <x:c r="L36" s="12" t="n">
        <x:v>-0.0141633728590249</x:v>
      </x:c>
      <x:c r="M36" s="12" t="n">
        <x:v>-0.0148221343873516</x:v>
      </x:c>
      <x:c r="N36" s="12" t="n">
        <x:v>-0.0171277997364953</x:v>
      </x:c>
      <x:c r="O36" s="12" t="n">
        <x:v>-0.0203118137900746</x:v>
      </x:c>
      <x:c r="P36" s="12" t="n">
        <x:f>MAX(F36:O36)</x:f>
        <x:v>-0.002415458937198</x:v>
      </x:c>
      <x:c r="Q36" s="13" t="n">
        <x:f>(P36-O36)*100</x:f>
        <x:v>1.7896354852876601</x:v>
      </x:c>
      <x:c r="R36" s="10" t="str">
        <x:f>IF(AND(P36&gt;1%,O36&lt;=1%),"是","")</x:f>
      </x:c>
    </x:row>
    <x:row r="37">
      <x:c r="A37" s="10" t="str">
        <x:v>2026-09-24</x:v>
      </x:c>
      <x:c r="B37" s="10" t="str">
        <x:v>2026-09-28</x:v>
      </x:c>
      <x:c r="C37" s="10" t="n">
        <x:v>1</x:v>
      </x:c>
      <x:c r="D37" s="11" t="str">
        <x:v>601579</x:v>
      </x:c>
      <x:c r="E37" s="10" t="str">
        <x:v>会稽山</x:v>
      </x:c>
      <x:c r="F37" s="12" t="n">
        <x:v>0.0888656560376373</x:v>
      </x:c>
      <x:c r="G37" s="12" t="n">
        <x:v>0.0935703084161005</x:v>
      </x:c>
      <x:c r="H37" s="12" t="n">
        <x:v>0.0935703084161005</x:v>
      </x:c>
      <x:c r="I37" s="12" t="n">
        <x:v>0.0935703084161005</x:v>
      </x:c>
      <x:c r="J37" s="12" t="n">
        <x:v>0.0935703084161005</x:v>
      </x:c>
      <x:c r="K37" s="12" t="n">
        <x:v>0.0935703084161005</x:v>
      </x:c>
      <x:c r="L37" s="12" t="n">
        <x:v>0.0935703084161005</x:v>
      </x:c>
      <x:c r="M37" s="12" t="n">
        <x:v>0.0935703084161005</x:v>
      </x:c>
      <x:c r="N37" s="12" t="n">
        <x:v>0.0935703084161005</x:v>
      </x:c>
      <x:c r="O37" s="12" t="n">
        <x:v>0.0935703084161005</x:v>
      </x:c>
      <x:c r="P37" s="12" t="n">
        <x:f>MAX(F37:O37)</x:f>
        <x:v>0.0935703084161005</x:v>
      </x:c>
      <x:c r="Q37" s="13" t="n">
        <x:f>(P37-O37)*100</x:f>
        <x:v>0</x:v>
      </x:c>
      <x:c r="R37" s="10" t="str">
        <x:f>IF(AND(P37&gt;1%,O37&lt;=1%),"是","")</x:f>
      </x:c>
    </x:row>
    <x:row r="38">
      <x:c r="A38" s="10" t="str">
        <x:v>2026-09-24</x:v>
      </x:c>
      <x:c r="B38" s="10" t="str">
        <x:v>2026-09-28</x:v>
      </x:c>
      <x:c r="C38" s="10" t="n">
        <x:v>2</x:v>
      </x:c>
      <x:c r="D38" s="11" t="str">
        <x:v>301122</x:v>
      </x:c>
      <x:c r="E38" s="10" t="str">
        <x:v>采纳股份</x:v>
      </x:c>
      <x:c r="F38" s="12" t="n">
        <x:v>-0.0170632435817157</x:v>
      </x:c>
      <x:c r="G38" s="12" t="n">
        <x:v>-0.016750156543519</x:v>
      </x:c>
      <x:c r="H38" s="12" t="n">
        <x:v>-0.0205072010018785</x:v>
      </x:c>
      <x:c r="I38" s="12" t="n">
        <x:v>-0.0118973074514715</x:v>
      </x:c>
      <x:c r="J38" s="12" t="n">
        <x:v>-0.0081402629931121</x:v>
      </x:c>
      <x:c r="K38" s="12" t="n">
        <x:v>-0.0009392611145898</x:v>
      </x:c>
      <x:c r="L38" s="12" t="n">
        <x:v>0.0103318722604883</x:v>
      </x:c>
      <x:c r="M38" s="12" t="n">
        <x:v>0.0065748278021289</x:v>
      </x:c>
      <x:c r="N38" s="12" t="n">
        <x:v>0.0084533500313086</x:v>
      </x:c>
      <x:c r="O38" s="12" t="n">
        <x:v>-0.0073575453976206</x:v>
      </x:c>
      <x:c r="P38" s="12" t="n">
        <x:f>MAX(F38:O38)</x:f>
        <x:v>0.0103318722604883</x:v>
      </x:c>
      <x:c r="Q38" s="13" t="n">
        <x:f>(P38-O38)*100</x:f>
        <x:v>1.76894176581089</x:v>
      </x:c>
      <x:c r="R38" s="10" t="str">
        <x:f>IF(AND(P38&gt;1%,O38&lt;=1%),"是","")</x:f>
        <x:v>是</x:v>
      </x:c>
    </x:row>
    <x:row r="39">
      <x:c r="A39" s="10" t="str">
        <x:v>2026-09-28</x:v>
      </x:c>
      <x:c r="B39" s="10" t="str">
        <x:v>2026-09-29</x:v>
      </x:c>
      <x:c r="C39" s="10" t="n">
        <x:v>1</x:v>
      </x:c>
      <x:c r="D39" s="11" t="str">
        <x:v>300207</x:v>
      </x:c>
      <x:c r="E39" s="10" t="str">
        <x:v>欣旺达</x:v>
      </x:c>
      <x:c r="F39" s="12" t="n">
        <x:v>0.0047393364928909</x:v>
      </x:c>
      <x:c r="G39" s="12" t="n">
        <x:v>-0.0004739336492891</x:v>
      </x:c>
      <x:c r="H39" s="12" t="n">
        <x:v>-0.0061611374407584</x:v>
      </x:c>
      <x:c r="I39" s="12" t="n">
        <x:v>-0.0080568720379147</x:v>
      </x:c>
      <x:c r="J39" s="12" t="n">
        <x:v>0.0047393364928909</x:v>
      </x:c>
      <x:c r="K39" s="12" t="n">
        <x:v>0.0094786729857818</x:v>
      </x:c>
      <x:c r="L39" s="12" t="n">
        <x:v>0.0317535545023694</x:v>
      </x:c>
      <x:c r="M39" s="12" t="n">
        <x:v>0.0246445497630332</x:v>
      </x:c>
      <x:c r="N39" s="12" t="n">
        <x:v>0.0374407582938387</x:v>
      </x:c>
      <x:c r="O39" s="12" t="n">
        <x:v>0.0549763033175354</x:v>
      </x:c>
      <x:c r="P39" s="12" t="n">
        <x:f>MAX(F39:O39)</x:f>
        <x:v>0.0549763033175354</x:v>
      </x:c>
      <x:c r="Q39" s="13" t="n">
        <x:f>(P39-O39)*100</x:f>
        <x:v>0</x:v>
      </x:c>
      <x:c r="R39" s="10" t="str">
        <x:f>IF(AND(P39&gt;1%,O39&lt;=1%),"是","")</x:f>
      </x:c>
    </x:row>
    <x:row r="40">
      <x:c r="A40" s="10" t="str">
        <x:v>2026-09-28</x:v>
      </x:c>
      <x:c r="B40" s="10" t="str">
        <x:v>2026-09-29</x:v>
      </x:c>
      <x:c r="C40" s="10" t="n">
        <x:v>2</x:v>
      </x:c>
      <x:c r="D40" s="11" t="str">
        <x:v>600206</x:v>
      </x:c>
      <x:c r="E40" s="10" t="str">
        <x:v>有研新材</x:v>
      </x:c>
      <x:c r="F40" s="12" t="n">
        <x:v>-0.0933799262279168</x:v>
      </x:c>
      <x:c r="G40" s="12" t="n">
        <x:v>-0.0873616773442049</x:v>
      </x:c>
      <x:c r="H40" s="12" t="n">
        <x:v>-0.0623179965055329</x:v>
      </x:c>
      <x:c r="I40" s="12" t="n">
        <x:v>-0.0729955348476023</x:v>
      </x:c>
      <x:c r="J40" s="12" t="n">
        <x:v>-0.0535818287711123</x:v>
      </x:c>
      <x:c r="K40" s="12" t="n">
        <x:v>-0.0681421083284798</x:v>
      </x:c>
      <x:c r="L40" s="12" t="n">
        <x:v>-0.0648417782954765</x:v>
      </x:c>
      <x:c r="M40" s="12" t="n">
        <x:v>-0.0625121335662978</x:v>
      </x:c>
      <x:c r="N40" s="12" t="n">
        <x:v>-0.0691127936323042</x:v>
      </x:c>
      <x:c r="O40" s="12" t="n">
        <x:v>-0.0695010677538341</x:v>
      </x:c>
      <x:c r="P40" s="12" t="n">
        <x:f>MAX(F40:O40)</x:f>
        <x:v>-0.0535818287711123</x:v>
      </x:c>
      <x:c r="Q40" s="13" t="n">
        <x:f>(P40-O40)*100</x:f>
        <x:v>1.5919238982721808</x:v>
      </x:c>
      <x:c r="R40" s="10" t="str">
        <x:f>IF(AND(P40&gt;1%,O40&lt;=1%),"是","")</x:f>
      </x:c>
    </x:row>
    <x:row r="41">
      <x:c r="A41" s="10" t="str">
        <x:v>2026-09-29</x:v>
      </x:c>
      <x:c r="B41" s="10" t="str">
        <x:v>2026-09-30</x:v>
      </x:c>
      <x:c r="C41" s="10" t="n">
        <x:v>1</x:v>
      </x:c>
      <x:c r="D41" s="11" t="str">
        <x:v>600418</x:v>
      </x:c>
      <x:c r="E41" s="10" t="str">
        <x:v>江淮汽车</x:v>
      </x:c>
      <x:c r="F41" s="12" t="n">
        <x:v>-0.0157329240214888</x:v>
      </x:c>
      <x:c r="G41" s="12" t="n">
        <x:v>-0.0072908672294703</x:v>
      </x:c>
      <x:c r="H41" s="12" t="n">
        <x:v>-0.0126630851880276</x:v>
      </x:c>
      <x:c r="I41" s="12" t="n">
        <x:v>-0.0134305448963928</x:v>
      </x:c>
      <x:c r="J41" s="12" t="n">
        <x:v>-0.0211051419800459</x:v>
      </x:c>
      <x:c r="K41" s="12" t="n">
        <x:v>-0.0253261703760552</x:v>
      </x:c>
      <x:c r="L41" s="12" t="n">
        <x:v>-0.0272448196469684</x:v>
      </x:c>
      <x:c r="M41" s="12" t="n">
        <x:v>-0.0349194167306216</x:v>
      </x:c>
      <x:c r="N41" s="12" t="n">
        <x:v>-0.0353031465848042</x:v>
      </x:c>
      <x:c r="O41" s="12" t="n">
        <x:v>-0.0241749808135072</x:v>
      </x:c>
      <x:c r="P41" s="12" t="n">
        <x:f>MAX(F41:O41)</x:f>
        <x:v>-0.0072908672294703</x:v>
      </x:c>
      <x:c r="Q41" s="13" t="n">
        <x:f>(P41-O41)*100</x:f>
        <x:v>1.6884113584036902</x:v>
      </x:c>
      <x:c r="R41" s="10" t="str">
        <x:f>IF(AND(P41&gt;1%,O41&lt;=1%),"是","")</x:f>
      </x:c>
    </x:row>
    <x:row r="42">
      <x:c r="A42" s="10" t="str">
        <x:v>2026-09-29</x:v>
      </x:c>
      <x:c r="B42" s="10" t="str">
        <x:v>2026-09-30</x:v>
      </x:c>
      <x:c r="C42" s="10" t="n">
        <x:v>2</x:v>
      </x:c>
      <x:c r="D42" s="11" t="str">
        <x:v>002487</x:v>
      </x:c>
      <x:c r="E42" s="10" t="str">
        <x:v>大金重工</x:v>
      </x:c>
      <x:c r="F42" s="12" t="n">
        <x:v>0.002782286111755</x:v>
      </x:c>
      <x:c r="G42" s="12" t="n">
        <x:v>-0.0011592858798981</x:v>
      </x:c>
      <x:c r="H42" s="12" t="n">
        <x:v>0.009738001391143</x:v>
      </x:c>
      <x:c r="I42" s="12" t="n">
        <x:v>0.0129840018548572</x:v>
      </x:c>
      <x:c r="J42" s="12" t="n">
        <x:v>0.0078831439833062</x:v>
      </x:c>
      <x:c r="K42" s="12" t="n">
        <x:v>0.0095061442151633</x:v>
      </x:c>
      <x:c r="L42" s="12" t="n">
        <x:v>0.0243450034778576</x:v>
      </x:c>
      <x:c r="M42" s="12" t="n">
        <x:v>0.0285184326454903</x:v>
      </x:c>
      <x:c r="N42" s="12" t="n">
        <x:v>0.0308370044052863</x:v>
      </x:c>
      <x:c r="O42" s="12" t="n">
        <x:v>0.0266635752376536</x:v>
      </x:c>
      <x:c r="P42" s="12" t="n">
        <x:f>MAX(F42:O42)</x:f>
        <x:v>0.0308370044052863</x:v>
      </x:c>
      <x:c r="Q42" s="13" t="n">
        <x:f>(P42-O42)*100</x:f>
        <x:v>0.41734291676326984</x:v>
      </x:c>
      <x:c r="R42" s="10" t="str">
        <x:f>IF(AND(P42&gt;1%,O42&lt;=1%),"是","")</x:f>
      </x:c>
    </x:row>
    <x:row r="43">
      <x:c r="A43" s="10" t="str">
        <x:v>2026-09-30</x:v>
      </x:c>
      <x:c r="B43" s="10" t="str">
        <x:v>2026-10-08</x:v>
      </x:c>
      <x:c r="C43" s="10" t="n">
        <x:v>1</x:v>
      </x:c>
      <x:c r="D43" s="11" t="str">
        <x:v>600707</x:v>
      </x:c>
      <x:c r="E43" s="10" t="str">
        <x:v>彩虹股份</x:v>
      </x:c>
      <x:c r="F43" s="12" t="n">
        <x:v>-0.0108803165182986</x:v>
      </x:c>
      <x:c r="G43" s="12" t="n">
        <x:v>-0.0286844708209692</x:v>
      </x:c>
      <x:c r="H43" s="12" t="n">
        <x:v>-0.0158259149357072</x:v>
      </x:c>
      <x:c r="I43" s="12" t="n">
        <x:v>-0.0148367952522253</x:v>
      </x:c>
      <x:c r="J43" s="12" t="n">
        <x:v>-0.0089020771513352</x:v>
      </x:c>
      <x:c r="K43" s="12" t="n">
        <x:v>-0.0069238377843718</x:v>
      </x:c>
      <x:c r="L43" s="12" t="n">
        <x:v>-0.0148367952522253</x:v>
      </x:c>
      <x:c r="M43" s="12" t="n">
        <x:v>-0.0118694362017803</x:v>
      </x:c>
      <x:c r="N43" s="12" t="n">
        <x:v>-0.0089020771513352</x:v>
      </x:c>
      <x:c r="O43" s="12" t="n">
        <x:v>-0.0108803165182986</x:v>
      </x:c>
      <x:c r="P43" s="12" t="n">
        <x:f>MAX(F43:O43)</x:f>
        <x:v>-0.0069238377843718</x:v>
      </x:c>
      <x:c r="Q43" s="13" t="n">
        <x:f>(P43-O43)*100</x:f>
        <x:v>0.39564787339268</x:v>
      </x:c>
      <x:c r="R43" s="10" t="str">
        <x:f>IF(AND(P43&gt;1%,O43&lt;=1%),"是","")</x:f>
      </x:c>
    </x:row>
    <x:row r="44">
      <x:c r="A44" s="10" t="str">
        <x:v>2026-09-30</x:v>
      </x:c>
      <x:c r="B44" s="10" t="str">
        <x:v>2026-10-08</x:v>
      </x:c>
      <x:c r="C44" s="10" t="n">
        <x:v>2</x:v>
      </x:c>
      <x:c r="D44" s="11" t="str">
        <x:v>000498</x:v>
      </x:c>
      <x:c r="E44" s="10" t="str">
        <x:v>山东路桥</x:v>
      </x:c>
      <x:c r="F44" s="12" t="n">
        <x:v>0.0680272108843538</x:v>
      </x:c>
      <x:c r="G44" s="12" t="n">
        <x:v>0.0561224489795919</x:v>
      </x:c>
      <x:c r="H44" s="12" t="n">
        <x:v>0.0476190476190476</x:v>
      </x:c>
      <x:c r="I44" s="12" t="n">
        <x:v>0.0391156462585033</x:v>
      </x:c>
      <x:c r="J44" s="12" t="n">
        <x:v>0.0459183673469387</x:v>
      </x:c>
      <x:c r="K44" s="12" t="n">
        <x:v>0.0476190476190476</x:v>
      </x:c>
      <x:c r="L44" s="12" t="n">
        <x:v>0.0493197278911565</x:v>
      </x:c>
      <x:c r="M44" s="12" t="n">
        <x:v>0.0595238095238095</x:v>
      </x:c>
      <x:c r="N44" s="12" t="n">
        <x:v>0.0595238095238095</x:v>
      </x:c>
      <x:c r="O44" s="12" t="n">
        <x:v>0.0629251700680273</x:v>
      </x:c>
      <x:c r="P44" s="12" t="n">
        <x:f>MAX(F44:O44)</x:f>
        <x:v>0.0680272108843538</x:v>
      </x:c>
      <x:c r="Q44" s="13" t="n">
        <x:f>(P44-O44)*100</x:f>
        <x:v>0.5102040816326509</x:v>
      </x:c>
      <x:c r="R44" s="10" t="str">
        <x:f>IF(AND(P44&gt;1%,O44&lt;=1%),"是","")</x:f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67e648e41c874f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3" max="3" width="20" hidden="0" customWidth="1"/>
    <x:col min="4" max="4" width="20" hidden="0" customWidth="1"/>
  </x:cols>
  <x:sheetData>
    <x:row r="1">
      <x:c r="A1" s="5" t="str">
        <x:v>40只股票的分钟收盘走势</x:v>
      </x:c>
      <x:c r="B1" s="5"/>
      <x:c r="C1" s="5"/>
      <x:c r="D1" s="5"/>
    </x:row>
    <x:row r="2">
      <x:c r="A2" s="6" t="str">
        <x:v>选股日共 20 天，每天固定前二。涨幅相对信号日 14:40 买价。</x:v>
      </x:c>
      <x:c r="B2" s="6"/>
      <x:c r="C2" s="6"/>
      <x:c r="D2" s="6"/>
    </x:row>
    <x:row r="4">
      <x:c r="A4" s="14" t="str">
        <x:v>十分钟曾有收盘涨超1%</x:v>
      </x:c>
      <x:c r="B4" s="14" t="n">
        <x:v>24</x:v>
      </x:c>
    </x:row>
    <x:row r="5">
      <x:c r="A5" s="14" t="str">
        <x:v>09:40收盘仍涨超1%</x:v>
      </x:c>
      <x:c r="B5" s="14" t="n">
        <x:v>18</x:v>
      </x:c>
    </x:row>
    <x:row r="6">
      <x:c r="A6" s="14" t="str">
        <x:v>曾超1%但09:40回到≤1%</x:v>
      </x:c>
      <x:c r="B6" s="14" t="n">
        <x:v>6</x:v>
      </x:c>
    </x:row>
    <x:row r="7">
      <x:c r="A7" s="14" t="str">
        <x:v>09:31收盘涨超1%</x:v>
      </x:c>
      <x:c r="B7" s="14" t="n">
        <x:v>10</x:v>
      </x:c>
    </x:row>
    <x:row r="8">
      <x:c r="A8" s="14" t="str">
        <x:v>最高到09:40回落中位数(百分点)</x:v>
      </x:c>
      <x:c r="B8" s="15" t="n">
        <x:v>0.7210995868382586</x:v>
      </x:c>
    </x:row>
    <x:row r="11">
      <x:c r="A11" s="8" t="str">
        <x:v>分钟收盘</x:v>
      </x:c>
      <x:c r="B11" s="8" t="str">
        <x:v>平均涨幅</x:v>
      </x:c>
      <x:c r="C11" s="8" t="str">
        <x:v>涨超1%的只数</x:v>
      </x:c>
      <x:c r="D11" s="8" t="str">
        <x:v>跌破买价的只数</x:v>
      </x:c>
    </x:row>
    <x:row r="12">
      <x:c r="A12" s="10" t="str">
        <x:v>09:31</x:v>
      </x:c>
      <x:c r="B12" s="12" t="n">
        <x:v>-0.000435555884449065</x:v>
      </x:c>
      <x:c r="C12" s="10" t="n">
        <x:v>10</x:v>
      </x:c>
      <x:c r="D12" s="10" t="n">
        <x:v>23</x:v>
      </x:c>
    </x:row>
    <x:row r="13">
      <x:c r="A13" s="10" t="str">
        <x:v>09:32</x:v>
      </x:c>
      <x:c r="B13" s="12" t="n">
        <x:v>-0.000672005488465057</x:v>
      </x:c>
      <x:c r="C13" s="10" t="n">
        <x:v>13</x:v>
      </x:c>
      <x:c r="D13" s="10" t="n">
        <x:v>21</x:v>
      </x:c>
    </x:row>
    <x:row r="14">
      <x:c r="A14" s="10" t="str">
        <x:v>09:33</x:v>
      </x:c>
      <x:c r="B14" s="12" t="n">
        <x:v>-0.000276465287475871</x:v>
      </x:c>
      <x:c r="C14" s="10" t="n">
        <x:v>12</x:v>
      </x:c>
      <x:c r="D14" s="10" t="n">
        <x:v>20</x:v>
      </x:c>
    </x:row>
    <x:row r="15">
      <x:c r="A15" s="10" t="str">
        <x:v>09:34</x:v>
      </x:c>
      <x:c r="B15" s="12" t="n">
        <x:v>0.002008718306735562</x:v>
      </x:c>
      <x:c r="C15" s="10" t="n">
        <x:v>15</x:v>
      </x:c>
      <x:c r="D15" s="10" t="n">
        <x:v>20</x:v>
      </x:c>
    </x:row>
    <x:row r="16">
      <x:c r="A16" s="10" t="str">
        <x:v>09:35</x:v>
      </x:c>
      <x:c r="B16" s="12" t="n">
        <x:v>0.004696660829994573</x:v>
      </x:c>
      <x:c r="C16" s="10" t="n">
        <x:v>16</x:v>
      </x:c>
      <x:c r="D16" s="10" t="n">
        <x:v>18</x:v>
      </x:c>
    </x:row>
    <x:row r="17">
      <x:c r="A17" s="10" t="str">
        <x:v>09:36</x:v>
      </x:c>
      <x:c r="B17" s="12" t="n">
        <x:v>0.0027552374109636067</x:v>
      </x:c>
      <x:c r="C17" s="10" t="n">
        <x:v>15</x:v>
      </x:c>
      <x:c r="D17" s="10" t="n">
        <x:v>18</x:v>
      </x:c>
    </x:row>
    <x:row r="18">
      <x:c r="A18" s="10" t="str">
        <x:v>09:37</x:v>
      </x:c>
      <x:c r="B18" s="12" t="n">
        <x:v>0.005792363186014901</x:v>
      </x:c>
      <x:c r="C18" s="10" t="n">
        <x:v>18</x:v>
      </x:c>
      <x:c r="D18" s="10" t="n">
        <x:v>14</x:v>
      </x:c>
    </x:row>
    <x:row r="19">
      <x:c r="A19" s="10" t="str">
        <x:v>09:38</x:v>
      </x:c>
      <x:c r="B19" s="12" t="n">
        <x:v>0.004223252414721981</x:v>
      </x:c>
      <x:c r="C19" s="10" t="n">
        <x:v>17</x:v>
      </x:c>
      <x:c r="D19" s="10" t="n">
        <x:v>16</x:v>
      </x:c>
    </x:row>
    <x:row r="20">
      <x:c r="A20" s="10" t="str">
        <x:v>09:39</x:v>
      </x:c>
      <x:c r="B20" s="12" t="n">
        <x:v>0.0060416001306317505</x:v>
      </x:c>
      <x:c r="C20" s="10" t="n">
        <x:v>17</x:v>
      </x:c>
      <x:c r="D20" s="10" t="n">
        <x:v>16</x:v>
      </x:c>
    </x:row>
    <x:row r="21">
      <x:c r="A21" s="10" t="str">
        <x:v>09:40</x:v>
      </x:c>
      <x:c r="B21" s="12" t="n">
        <x:v>0.006459868363492683</x:v>
      </x:c>
      <x:c r="C21" s="10" t="n">
        <x:v>18</x:v>
      </x:c>
      <x:c r="D21" s="10" t="n">
        <x:v>16</x:v>
      </x:c>
    </x:row>
  </x:sheetData>
  <x:mergeCells>
    <x:mergeCell ref="A1:D1"/>
    <x:mergeCell ref="A2:D2"/>
  </x:mergeCells>
  <x:pageMargins left="0.7" right="0.7" top="0.75" bottom="0.75" header="0.3" footer="0.3"/>
</x:worksheet>
</file>