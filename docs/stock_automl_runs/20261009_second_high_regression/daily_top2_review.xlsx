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de64a6d67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二高开明细" sheetId="1" r:id="R6f09c13b26cf49a2"/>
    <x:sheet xmlns:r="http://schemas.openxmlformats.org/officeDocument/2006/relationships" name="逐日结果" sheetId="2" r:id="Rd0bcfac560d2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%"/>
    <x:numFmt numFmtId="202" formatCode="0.000"/>
    <x:numFmt numFmtId="203" formatCode="+0.00%;-0.00%;0.00%"/>
  </x:numFmts>
  <x:fonts count="6">
    <x:font>
      <x:sz val="11"/>
      <x:name val="Carlito"/>
    </x:font>
    <x:font>
      <x:b/>
      <x:sz val="15"/>
      <x:color rgb="FFFFFFFF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0F17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64E63"/>
      </x:patternFill>
    </x:fill>
    <x:fill>
      <x:patternFill patternType="solid">
        <x:fgColor rgb="FFE0F2F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ad957d421436e" /><Relationship Type="http://schemas.openxmlformats.org/officeDocument/2006/relationships/theme" Target="/xl/theme/theme1.xml" Id="Rbb79ed04b4b44874" /><Relationship Type="http://schemas.openxmlformats.org/officeDocument/2006/relationships/sharedStrings" Target="/xl/sharedStrings.xml" Id="R7e0acb3bd5a4420a" /><Relationship Type="http://schemas.openxmlformats.org/officeDocument/2006/relationships/worksheet" Target="/xl/worksheets/sheet1.xml" Id="R6f09c13b26cf49a2" /><Relationship Type="http://schemas.openxmlformats.org/officeDocument/2006/relationships/worksheet" Target="/xl/worksheets/sheet2.xml" Id="Rd0bcfac560d241ff" /></Relationships>
</file>

<file path=xl/tables/table1.xml><?xml version="1.0" encoding="utf-8"?>
<x:table xmlns:x="http://schemas.openxmlformats.org/spreadsheetml/2006/main" id="1" name="OpenTop2Detail" displayName="OpenTop2Detail" ref="A4:J44" headerRowCount="1" totalsRowCount="0" totalsRowShown="0">
  <x:tableColumns count="10">
    <x:tableColumn id="1" name="信号日"/>
    <x:tableColumn id="2" name="次交易日"/>
    <x:tableColumn id="3" name="名次"/>
    <x:tableColumn id="4" name="股票代码"/>
    <x:tableColumn id="5" name="股票名称"/>
    <x:tableColumn id="6" name="模型预测分"/>
    <x:tableColumn id="7" name="14:40买价"/>
    <x:tableColumn id="8" name="十分钟最高开盘价"/>
    <x:tableColumn id="9" name="开盘涨幅"/>
    <x:tableColumn id="10" name="类别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Top2Daily" displayName="OpenTop2Daily" ref="A4:H24" headerRowCount="1" totalsRowCount="0" totalsRowShown="0">
  <x:tableColumns count="8">
    <x:tableColumn id="1" name="信号日"/>
    <x:tableColumn id="2" name="第一名"/>
    <x:tableColumn id="3" name="第一名开盘涨幅"/>
    <x:tableColumn id="4" name="第二名"/>
    <x:tableColumn id="5" name="第二名开盘涨幅"/>
    <x:tableColumn id="6" name="达标"/>
    <x:tableColumn id="7" name="中性"/>
    <x:tableColumn id="8" name="严重错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c3a172480c44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364a1aeed240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5" hidden="0" customWidth="1"/>
  </x:cols>
  <x:sheetData>
    <x:row r="1">
      <x:c r="A1" s="6" t="str">
        <x:v>每天前二：次日开盘十分钟三档结果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7" t="str">
        <x:v>09:31–09:40 十根精确 1 分钟 K 的最高开盘价，相对信号日 14:40 买价：&gt;1% 达标，0–1% 中性，&lt;0% 严重错误。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9" t="str">
        <x:v>信号日</x:v>
      </x:c>
      <x:c r="B4" s="9" t="str">
        <x:v>次交易日</x:v>
      </x:c>
      <x:c r="C4" s="9" t="str">
        <x:v>名次</x:v>
      </x:c>
      <x:c r="D4" s="9" t="str">
        <x:v>股票代码</x:v>
      </x:c>
      <x:c r="E4" s="9" t="str">
        <x:v>股票名称</x:v>
      </x:c>
      <x:c r="F4" s="9" t="str">
        <x:v>模型预测分</x:v>
      </x:c>
      <x:c r="G4" s="9" t="str">
        <x:v>14:40买价</x:v>
      </x:c>
      <x:c r="H4" s="9" t="str">
        <x:v>十分钟最高开盘价</x:v>
      </x:c>
      <x:c r="I4" s="9" t="str">
        <x:v>开盘涨幅</x:v>
      </x:c>
      <x:c r="J4" s="9" t="str">
        <x:v>类别</x:v>
      </x:c>
    </x:row>
    <x:row r="5">
      <x:c r="A5" s="10" t="str">
        <x:v>2026-09-02</x:v>
      </x:c>
      <x:c r="B5" s="10" t="str">
        <x:v>2026-09-03</x:v>
      </x:c>
      <x:c r="C5" s="10" t="n">
        <x:v>1</x:v>
      </x:c>
      <x:c r="D5" s="11" t="str">
        <x:v>603319</x:v>
      </x:c>
      <x:c r="E5" s="10" t="str">
        <x:v>湘油泵</x:v>
      </x:c>
      <x:c r="F5" s="12" t="n">
        <x:v>0.019301849445</x:v>
      </x:c>
      <x:c r="G5" s="13" t="n">
        <x:v>29.79</x:v>
      </x:c>
      <x:c r="H5" s="13" t="n">
        <x:v>30.76</x:v>
      </x:c>
      <x:c r="I5" s="14" t="n">
        <x:f>H5/G5-1</x:f>
        <x:v>0.03256126216851296</x:v>
      </x:c>
      <x:c r="J5" s="10" t="str">
        <x:f>IF(I5&gt;1%,"达标",IF(I5&lt;0,"严重错误","中性"))</x:f>
        <x:v>达标</x:v>
      </x:c>
    </x:row>
    <x:row r="6">
      <x:c r="A6" s="10" t="str">
        <x:v>2026-09-02</x:v>
      </x:c>
      <x:c r="B6" s="10" t="str">
        <x:v>2026-09-03</x:v>
      </x:c>
      <x:c r="C6" s="10" t="n">
        <x:v>2</x:v>
      </x:c>
      <x:c r="D6" s="11" t="str">
        <x:v>688143</x:v>
      </x:c>
      <x:c r="E6" s="10" t="str">
        <x:v>长盈通</x:v>
      </x:c>
      <x:c r="F6" s="12" t="n">
        <x:v>0.013210104117999999</x:v>
      </x:c>
      <x:c r="G6" s="13" t="n">
        <x:v>176.72</x:v>
      </x:c>
      <x:c r="H6" s="13" t="n">
        <x:v>182.05</x:v>
      </x:c>
      <x:c r="I6" s="14" t="n">
        <x:f>H6/G6-1</x:f>
        <x:v>0.030160706201901366</x:v>
      </x:c>
      <x:c r="J6" s="10" t="str">
        <x:f>IF(I6&gt;1%,"达标",IF(I6&lt;0,"严重错误","中性"))</x:f>
        <x:v>达标</x:v>
      </x:c>
    </x:row>
    <x:row r="7">
      <x:c r="A7" s="10" t="str">
        <x:v>2026-09-03</x:v>
      </x:c>
      <x:c r="B7" s="10" t="str">
        <x:v>2026-09-04</x:v>
      </x:c>
      <x:c r="C7" s="10" t="n">
        <x:v>1</x:v>
      </x:c>
      <x:c r="D7" s="11" t="str">
        <x:v>002484</x:v>
      </x:c>
      <x:c r="E7" s="10" t="str">
        <x:v>江海股份</x:v>
      </x:c>
      <x:c r="F7" s="12" t="n">
        <x:v>0.016907725443</x:v>
      </x:c>
      <x:c r="G7" s="13" t="n">
        <x:v>58.14</x:v>
      </x:c>
      <x:c r="H7" s="13" t="n">
        <x:v>60.37</x:v>
      </x:c>
      <x:c r="I7" s="14" t="n">
        <x:f>H7/G7-1</x:f>
        <x:v>0.03835569315445464</x:v>
      </x:c>
      <x:c r="J7" s="10" t="str">
        <x:f>IF(I7&gt;1%,"达标",IF(I7&lt;0,"严重错误","中性"))</x:f>
        <x:v>达标</x:v>
      </x:c>
    </x:row>
    <x:row r="8">
      <x:c r="A8" s="10" t="str">
        <x:v>2026-09-03</x:v>
      </x:c>
      <x:c r="B8" s="10" t="str">
        <x:v>2026-09-04</x:v>
      </x:c>
      <x:c r="C8" s="10" t="n">
        <x:v>2</x:v>
      </x:c>
      <x:c r="D8" s="11" t="str">
        <x:v>688233</x:v>
      </x:c>
      <x:c r="E8" s="10" t="str">
        <x:v>神工股份</x:v>
      </x:c>
      <x:c r="F8" s="12" t="n">
        <x:v>0.016784999858</x:v>
      </x:c>
      <x:c r="G8" s="13" t="n">
        <x:v>98.49</x:v>
      </x:c>
      <x:c r="H8" s="13" t="n">
        <x:v>100</x:v>
      </x:c>
      <x:c r="I8" s="14" t="n">
        <x:f>H8/G8-1</x:f>
        <x:v>0.015331505736623008</x:v>
      </x:c>
      <x:c r="J8" s="10" t="str">
        <x:f>IF(I8&gt;1%,"达标",IF(I8&lt;0,"严重错误","中性"))</x:f>
        <x:v>达标</x:v>
      </x:c>
    </x:row>
    <x:row r="9">
      <x:c r="A9" s="10" t="str">
        <x:v>2026-09-04</x:v>
      </x:c>
      <x:c r="B9" s="10" t="str">
        <x:v>2026-09-07</x:v>
      </x:c>
      <x:c r="C9" s="10" t="n">
        <x:v>1</x:v>
      </x:c>
      <x:c r="D9" s="11" t="str">
        <x:v>600508</x:v>
      </x:c>
      <x:c r="E9" s="10" t="str">
        <x:v>上海能源</x:v>
      </x:c>
      <x:c r="F9" s="12" t="n">
        <x:v>0.015291491996999999</x:v>
      </x:c>
      <x:c r="G9" s="13" t="n">
        <x:v>11.21</x:v>
      </x:c>
      <x:c r="H9" s="13" t="n">
        <x:v>11.43</x:v>
      </x:c>
      <x:c r="I9" s="14" t="n">
        <x:f>H9/G9-1</x:f>
        <x:v>0.019625334522747506</x:v>
      </x:c>
      <x:c r="J9" s="10" t="str">
        <x:f>IF(I9&gt;1%,"达标",IF(I9&lt;0,"严重错误","中性"))</x:f>
        <x:v>达标</x:v>
      </x:c>
    </x:row>
    <x:row r="10">
      <x:c r="A10" s="10" t="str">
        <x:v>2026-09-04</x:v>
      </x:c>
      <x:c r="B10" s="10" t="str">
        <x:v>2026-09-07</x:v>
      </x:c>
      <x:c r="C10" s="10" t="n">
        <x:v>2</x:v>
      </x:c>
      <x:c r="D10" s="11" t="str">
        <x:v>002094</x:v>
      </x:c>
      <x:c r="E10" s="10" t="str">
        <x:v>青岛金王</x:v>
      </x:c>
      <x:c r="F10" s="12" t="n">
        <x:v>0.014038492245</x:v>
      </x:c>
      <x:c r="G10" s="13" t="n">
        <x:v>5.73</x:v>
      </x:c>
      <x:c r="H10" s="13" t="n">
        <x:v>5.72</x:v>
      </x:c>
      <x:c r="I10" s="14" t="n">
        <x:f>H10/G10-1</x:f>
        <x:v>-0.0017452006980803736</x:v>
      </x:c>
      <x:c r="J10" s="10" t="str">
        <x:f>IF(I10&gt;1%,"达标",IF(I10&lt;0,"严重错误","中性"))</x:f>
        <x:v>严重错误</x:v>
      </x:c>
    </x:row>
    <x:row r="11">
      <x:c r="A11" s="10" t="str">
        <x:v>2026-09-07</x:v>
      </x:c>
      <x:c r="B11" s="10" t="str">
        <x:v>2026-09-08</x:v>
      </x:c>
      <x:c r="C11" s="10" t="n">
        <x:v>1</x:v>
      </x:c>
      <x:c r="D11" s="11" t="str">
        <x:v>002491</x:v>
      </x:c>
      <x:c r="E11" s="10" t="str">
        <x:v>通鼎互联</x:v>
      </x:c>
      <x:c r="F11" s="12" t="n">
        <x:v>0.018064443991</x:v>
      </x:c>
      <x:c r="G11" s="13" t="n">
        <x:v>21.11</x:v>
      </x:c>
      <x:c r="H11" s="13" t="n">
        <x:v>21.58</x:v>
      </x:c>
      <x:c r="I11" s="14" t="n">
        <x:f>H11/G11-1</x:f>
        <x:v>0.022264329701563224</x:v>
      </x:c>
      <x:c r="J11" s="10" t="str">
        <x:f>IF(I11&gt;1%,"达标",IF(I11&lt;0,"严重错误","中性"))</x:f>
        <x:v>达标</x:v>
      </x:c>
    </x:row>
    <x:row r="12">
      <x:c r="A12" s="10" t="str">
        <x:v>2026-09-07</x:v>
      </x:c>
      <x:c r="B12" s="10" t="str">
        <x:v>2026-09-08</x:v>
      </x:c>
      <x:c r="C12" s="10" t="n">
        <x:v>2</x:v>
      </x:c>
      <x:c r="D12" s="11" t="str">
        <x:v>000636</x:v>
      </x:c>
      <x:c r="E12" s="10" t="str">
        <x:v>风华高科</x:v>
      </x:c>
      <x:c r="F12" s="12" t="n">
        <x:v>0.016852840847999997</x:v>
      </x:c>
      <x:c r="G12" s="13" t="n">
        <x:v>50.49</x:v>
      </x:c>
      <x:c r="H12" s="13" t="n">
        <x:v>50.95</x:v>
      </x:c>
      <x:c r="I12" s="14" t="n">
        <x:f>H12/G12-1</x:f>
        <x:v>0.009110714993068036</x:v>
      </x:c>
      <x:c r="J12" s="10" t="str">
        <x:f>IF(I12&gt;1%,"达标",IF(I12&lt;0,"严重错误","中性"))</x:f>
        <x:v>中性</x:v>
      </x:c>
    </x:row>
    <x:row r="13">
      <x:c r="A13" s="10" t="str">
        <x:v>2026-09-08</x:v>
      </x:c>
      <x:c r="B13" s="10" t="str">
        <x:v>2026-09-09</x:v>
      </x:c>
      <x:c r="C13" s="10" t="n">
        <x:v>1</x:v>
      </x:c>
      <x:c r="D13" s="11" t="str">
        <x:v>300917</x:v>
      </x:c>
      <x:c r="E13" s="10" t="str">
        <x:v>特发服务</x:v>
      </x:c>
      <x:c r="F13" s="12" t="n">
        <x:v>0.017090896815</x:v>
      </x:c>
      <x:c r="G13" s="13" t="n">
        <x:v>29.98</x:v>
      </x:c>
      <x:c r="H13" s="13" t="n">
        <x:v>29.11</x:v>
      </x:c>
      <x:c r="I13" s="14" t="n">
        <x:f>H13/G13-1</x:f>
        <x:v>-0.029019346230820586</x:v>
      </x:c>
      <x:c r="J13" s="10" t="str">
        <x:f>IF(I13&gt;1%,"达标",IF(I13&lt;0,"严重错误","中性"))</x:f>
        <x:v>严重错误</x:v>
      </x:c>
    </x:row>
    <x:row r="14">
      <x:c r="A14" s="10" t="str">
        <x:v>2026-09-08</x:v>
      </x:c>
      <x:c r="B14" s="10" t="str">
        <x:v>2026-09-09</x:v>
      </x:c>
      <x:c r="C14" s="10" t="n">
        <x:v>2</x:v>
      </x:c>
      <x:c r="D14" s="11" t="str">
        <x:v>600172</x:v>
      </x:c>
      <x:c r="E14" s="10" t="str">
        <x:v>黄河旋风</x:v>
      </x:c>
      <x:c r="F14" s="12" t="n">
        <x:v>0.015842230039</x:v>
      </x:c>
      <x:c r="G14" s="13" t="n">
        <x:v>16.41</x:v>
      </x:c>
      <x:c r="H14" s="13" t="n">
        <x:v>16.54</x:v>
      </x:c>
      <x:c r="I14" s="14" t="n">
        <x:f>H14/G14-1</x:f>
        <x:v>0.007921998781230899</x:v>
      </x:c>
      <x:c r="J14" s="10" t="str">
        <x:f>IF(I14&gt;1%,"达标",IF(I14&lt;0,"严重错误","中性"))</x:f>
        <x:v>中性</x:v>
      </x:c>
    </x:row>
    <x:row r="15">
      <x:c r="A15" s="10" t="str">
        <x:v>2026-09-09</x:v>
      </x:c>
      <x:c r="B15" s="10" t="str">
        <x:v>2026-09-10</x:v>
      </x:c>
      <x:c r="C15" s="10" t="n">
        <x:v>1</x:v>
      </x:c>
      <x:c r="D15" s="11" t="str">
        <x:v>600172</x:v>
      </x:c>
      <x:c r="E15" s="10" t="str">
        <x:v>黄河旋风</x:v>
      </x:c>
      <x:c r="F15" s="12" t="n">
        <x:v>0.018755309604</x:v>
      </x:c>
      <x:c r="G15" s="13" t="n">
        <x:v>17.15</x:v>
      </x:c>
      <x:c r="H15" s="13" t="n">
        <x:v>16.98</x:v>
      </x:c>
      <x:c r="I15" s="14" t="n">
        <x:f>H15/G15-1</x:f>
        <x:v>-0.0099125364431486</x:v>
      </x:c>
      <x:c r="J15" s="10" t="str">
        <x:f>IF(I15&gt;1%,"达标",IF(I15&lt;0,"严重错误","中性"))</x:f>
        <x:v>严重错误</x:v>
      </x:c>
    </x:row>
    <x:row r="16">
      <x:c r="A16" s="10" t="str">
        <x:v>2026-09-09</x:v>
      </x:c>
      <x:c r="B16" s="10" t="str">
        <x:v>2026-09-10</x:v>
      </x:c>
      <x:c r="C16" s="10" t="n">
        <x:v>2</x:v>
      </x:c>
      <x:c r="D16" s="11" t="str">
        <x:v>688205</x:v>
      </x:c>
      <x:c r="E16" s="10" t="str">
        <x:v>德科立</x:v>
      </x:c>
      <x:c r="F16" s="12" t="n">
        <x:v>0.015227136608</x:v>
      </x:c>
      <x:c r="G16" s="13" t="n">
        <x:v>224.71</x:v>
      </x:c>
      <x:c r="H16" s="13" t="n">
        <x:v>226.67</x:v>
      </x:c>
      <x:c r="I16" s="14" t="n">
        <x:f>H16/G16-1</x:f>
        <x:v>0.00872235325530668</x:v>
      </x:c>
      <x:c r="J16" s="10" t="str">
        <x:f>IF(I16&gt;1%,"达标",IF(I16&lt;0,"严重错误","中性"))</x:f>
        <x:v>中性</x:v>
      </x:c>
    </x:row>
    <x:row r="17">
      <x:c r="A17" s="10" t="str">
        <x:v>2026-09-10</x:v>
      </x:c>
      <x:c r="B17" s="10" t="str">
        <x:v>2026-09-11</x:v>
      </x:c>
      <x:c r="C17" s="10" t="n">
        <x:v>1</x:v>
      </x:c>
      <x:c r="D17" s="11" t="str">
        <x:v>300840</x:v>
      </x:c>
      <x:c r="E17" s="10" t="str">
        <x:v>酷特智能</x:v>
      </x:c>
      <x:c r="F17" s="12" t="n">
        <x:v>0.012460343799</x:v>
      </x:c>
      <x:c r="G17" s="13" t="n">
        <x:v>19.65</x:v>
      </x:c>
      <x:c r="H17" s="13" t="n">
        <x:v>19.33</x:v>
      </x:c>
      <x:c r="I17" s="14" t="n">
        <x:f>H17/G17-1</x:f>
        <x:v>-0.016284987277353724</x:v>
      </x:c>
      <x:c r="J17" s="10" t="str">
        <x:f>IF(I17&gt;1%,"达标",IF(I17&lt;0,"严重错误","中性"))</x:f>
        <x:v>严重错误</x:v>
      </x:c>
    </x:row>
    <x:row r="18">
      <x:c r="A18" s="10" t="str">
        <x:v>2026-09-10</x:v>
      </x:c>
      <x:c r="B18" s="10" t="str">
        <x:v>2026-09-11</x:v>
      </x:c>
      <x:c r="C18" s="10" t="n">
        <x:v>2</x:v>
      </x:c>
      <x:c r="D18" s="11" t="str">
        <x:v>688167</x:v>
      </x:c>
      <x:c r="E18" s="10" t="str">
        <x:v>炬光科技</x:v>
      </x:c>
      <x:c r="F18" s="12" t="n">
        <x:v>0.011841090129</x:v>
      </x:c>
      <x:c r="G18" s="13" t="n">
        <x:v>318.79</x:v>
      </x:c>
      <x:c r="H18" s="13" t="n">
        <x:v>311</x:v>
      </x:c>
      <x:c r="I18" s="14" t="n">
        <x:f>H18/G18-1</x:f>
        <x:v>-0.024436149189121403</x:v>
      </x:c>
      <x:c r="J18" s="10" t="str">
        <x:f>IF(I18&gt;1%,"达标",IF(I18&lt;0,"严重错误","中性"))</x:f>
        <x:v>严重错误</x:v>
      </x:c>
    </x:row>
    <x:row r="19">
      <x:c r="A19" s="10" t="str">
        <x:v>2026-09-11</x:v>
      </x:c>
      <x:c r="B19" s="10" t="str">
        <x:v>2026-09-14</x:v>
      </x:c>
      <x:c r="C19" s="10" t="n">
        <x:v>1</x:v>
      </x:c>
      <x:c r="D19" s="11" t="str">
        <x:v>603989</x:v>
      </x:c>
      <x:c r="E19" s="10" t="str">
        <x:v>艾华集团</x:v>
      </x:c>
      <x:c r="F19" s="12" t="n">
        <x:v>0.012885132175000001</x:v>
      </x:c>
      <x:c r="G19" s="13" t="n">
        <x:v>32.75</x:v>
      </x:c>
      <x:c r="H19" s="13" t="n">
        <x:v>32.05</x:v>
      </x:c>
      <x:c r="I19" s="14" t="n">
        <x:f>H19/G19-1</x:f>
        <x:v>-0.021374045801526798</x:v>
      </x:c>
      <x:c r="J19" s="10" t="str">
        <x:f>IF(I19&gt;1%,"达标",IF(I19&lt;0,"严重错误","中性"))</x:f>
        <x:v>严重错误</x:v>
      </x:c>
    </x:row>
    <x:row r="20">
      <x:c r="A20" s="10" t="str">
        <x:v>2026-09-11</x:v>
      </x:c>
      <x:c r="B20" s="10" t="str">
        <x:v>2026-09-14</x:v>
      </x:c>
      <x:c r="C20" s="10" t="n">
        <x:v>2</x:v>
      </x:c>
      <x:c r="D20" s="11" t="str">
        <x:v>601595</x:v>
      </x:c>
      <x:c r="E20" s="10" t="str">
        <x:v>上海电影</x:v>
      </x:c>
      <x:c r="F20" s="12" t="n">
        <x:v>0.011923645741</x:v>
      </x:c>
      <x:c r="G20" s="13" t="n">
        <x:v>23.36</x:v>
      </x:c>
      <x:c r="H20" s="13" t="n">
        <x:v>23.96</x:v>
      </x:c>
      <x:c r="I20" s="14" t="n">
        <x:f>H20/G20-1</x:f>
        <x:v>0.025684931506849473</x:v>
      </x:c>
      <x:c r="J20" s="10" t="str">
        <x:f>IF(I20&gt;1%,"达标",IF(I20&lt;0,"严重错误","中性"))</x:f>
        <x:v>达标</x:v>
      </x:c>
    </x:row>
    <x:row r="21">
      <x:c r="A21" s="10" t="str">
        <x:v>2026-09-14</x:v>
      </x:c>
      <x:c r="B21" s="10" t="str">
        <x:v>2026-09-15</x:v>
      </x:c>
      <x:c r="C21" s="10" t="n">
        <x:v>1</x:v>
      </x:c>
      <x:c r="D21" s="11" t="str">
        <x:v>605177</x:v>
      </x:c>
      <x:c r="E21" s="10" t="str">
        <x:v>东亚药业</x:v>
      </x:c>
      <x:c r="F21" s="12" t="n">
        <x:v>0.011838538959</x:v>
      </x:c>
      <x:c r="G21" s="13" t="n">
        <x:v>24.84</x:v>
      </x:c>
      <x:c r="H21" s="13" t="n">
        <x:v>25.46</x:v>
      </x:c>
      <x:c r="I21" s="14" t="n">
        <x:f>H21/G21-1</x:f>
        <x:v>0.02495974235104681</x:v>
      </x:c>
      <x:c r="J21" s="10" t="str">
        <x:f>IF(I21&gt;1%,"达标",IF(I21&lt;0,"严重错误","中性"))</x:f>
        <x:v>达标</x:v>
      </x:c>
    </x:row>
    <x:row r="22">
      <x:c r="A22" s="10" t="str">
        <x:v>2026-09-14</x:v>
      </x:c>
      <x:c r="B22" s="10" t="str">
        <x:v>2026-09-15</x:v>
      </x:c>
      <x:c r="C22" s="10" t="n">
        <x:v>2</x:v>
      </x:c>
      <x:c r="D22" s="11" t="str">
        <x:v>688601</x:v>
      </x:c>
      <x:c r="E22" s="10" t="str">
        <x:v>力芯微</x:v>
      </x:c>
      <x:c r="F22" s="12" t="n">
        <x:v>0.011633966919</x:v>
      </x:c>
      <x:c r="G22" s="13" t="n">
        <x:v>58.19</x:v>
      </x:c>
      <x:c r="H22" s="13" t="n">
        <x:v>58.08</x:v>
      </x:c>
      <x:c r="I22" s="14" t="n">
        <x:f>H22/G22-1</x:f>
        <x:v>-0.001890359168241984</x:v>
      </x:c>
      <x:c r="J22" s="10" t="str">
        <x:f>IF(I22&gt;1%,"达标",IF(I22&lt;0,"严重错误","中性"))</x:f>
        <x:v>严重错误</x:v>
      </x:c>
    </x:row>
    <x:row r="23">
      <x:c r="A23" s="10" t="str">
        <x:v>2026-09-15</x:v>
      </x:c>
      <x:c r="B23" s="10" t="str">
        <x:v>2026-09-16</x:v>
      </x:c>
      <x:c r="C23" s="10" t="n">
        <x:v>1</x:v>
      </x:c>
      <x:c r="D23" s="11" t="str">
        <x:v>603375</x:v>
      </x:c>
      <x:c r="E23" s="10" t="str">
        <x:v>盛景微</x:v>
      </x:c>
      <x:c r="F23" s="12" t="n">
        <x:v>0.009437733233</x:v>
      </x:c>
      <x:c r="G23" s="13" t="n">
        <x:v>44.91</x:v>
      </x:c>
      <x:c r="H23" s="13" t="n">
        <x:v>45.95</x:v>
      </x:c>
      <x:c r="I23" s="14" t="n">
        <x:f>H23/G23-1</x:f>
        <x:v>0.02315742596303738</x:v>
      </x:c>
      <x:c r="J23" s="10" t="str">
        <x:f>IF(I23&gt;1%,"达标",IF(I23&lt;0,"严重错误","中性"))</x:f>
        <x:v>达标</x:v>
      </x:c>
    </x:row>
    <x:row r="24">
      <x:c r="A24" s="10" t="str">
        <x:v>2026-09-15</x:v>
      </x:c>
      <x:c r="B24" s="10" t="str">
        <x:v>2026-09-16</x:v>
      </x:c>
      <x:c r="C24" s="10" t="n">
        <x:v>2</x:v>
      </x:c>
      <x:c r="D24" s="11" t="str">
        <x:v>300225</x:v>
      </x:c>
      <x:c r="E24" s="10" t="str">
        <x:v>金力泰</x:v>
      </x:c>
      <x:c r="F24" s="12" t="n">
        <x:v>0.009422362907</x:v>
      </x:c>
      <x:c r="G24" s="13" t="n">
        <x:v>7.98</x:v>
      </x:c>
      <x:c r="H24" s="13" t="n">
        <x:v>7.98</x:v>
      </x:c>
      <x:c r="I24" s="14" t="n">
        <x:f>H24/G24-1</x:f>
        <x:v>0</x:v>
      </x:c>
      <x:c r="J24" s="10" t="str">
        <x:f>IF(I24&gt;1%,"达标",IF(I24&lt;0,"严重错误","中性"))</x:f>
        <x:v>中性</x:v>
      </x:c>
    </x:row>
    <x:row r="25">
      <x:c r="A25" s="10" t="str">
        <x:v>2026-09-16</x:v>
      </x:c>
      <x:c r="B25" s="10" t="str">
        <x:v>2026-09-17</x:v>
      </x:c>
      <x:c r="C25" s="10" t="n">
        <x:v>1</x:v>
      </x:c>
      <x:c r="D25" s="11" t="str">
        <x:v>300808</x:v>
      </x:c>
      <x:c r="E25" s="10" t="str">
        <x:v>久量股份</x:v>
      </x:c>
      <x:c r="F25" s="12" t="n">
        <x:v>0.012618053161</x:v>
      </x:c>
      <x:c r="G25" s="13" t="n">
        <x:v>18.99</x:v>
      </x:c>
      <x:c r="H25" s="13" t="n">
        <x:v>21.08</x:v>
      </x:c>
      <x:c r="I25" s="14" t="n">
        <x:f>H25/G25-1</x:f>
        <x:v>0.11005792522380209</x:v>
      </x:c>
      <x:c r="J25" s="10" t="str">
        <x:f>IF(I25&gt;1%,"达标",IF(I25&lt;0,"严重错误","中性"))</x:f>
        <x:v>达标</x:v>
      </x:c>
    </x:row>
    <x:row r="26">
      <x:c r="A26" s="10" t="str">
        <x:v>2026-09-16</x:v>
      </x:c>
      <x:c r="B26" s="10" t="str">
        <x:v>2026-09-17</x:v>
      </x:c>
      <x:c r="C26" s="10" t="n">
        <x:v>2</x:v>
      </x:c>
      <x:c r="D26" s="11" t="str">
        <x:v>301161</x:v>
      </x:c>
      <x:c r="E26" s="10" t="str">
        <x:v>唯万密封</x:v>
      </x:c>
      <x:c r="F26" s="12" t="n">
        <x:v>0.012410846298</x:v>
      </x:c>
      <x:c r="G26" s="13" t="n">
        <x:v>29.63</x:v>
      </x:c>
      <x:c r="H26" s="13" t="n">
        <x:v>30.14</x:v>
      </x:c>
      <x:c r="I26" s="14" t="n">
        <x:f>H26/G26-1</x:f>
        <x:v>0.01721228484643955</x:v>
      </x:c>
      <x:c r="J26" s="10" t="str">
        <x:f>IF(I26&gt;1%,"达标",IF(I26&lt;0,"严重错误","中性"))</x:f>
        <x:v>达标</x:v>
      </x:c>
    </x:row>
    <x:row r="27">
      <x:c r="A27" s="10" t="str">
        <x:v>2026-09-17</x:v>
      </x:c>
      <x:c r="B27" s="10" t="str">
        <x:v>2026-09-18</x:v>
      </x:c>
      <x:c r="C27" s="10" t="n">
        <x:v>1</x:v>
      </x:c>
      <x:c r="D27" s="11" t="str">
        <x:v>000679</x:v>
      </x:c>
      <x:c r="E27" s="10" t="str">
        <x:v>大连友谊</x:v>
      </x:c>
      <x:c r="F27" s="12" t="n">
        <x:v>0.013883067461000001</x:v>
      </x:c>
      <x:c r="G27" s="13" t="n">
        <x:v>6.45</x:v>
      </x:c>
      <x:c r="H27" s="13" t="n">
        <x:v>6.44</x:v>
      </x:c>
      <x:c r="I27" s="14" t="n">
        <x:f>H27/G27-1</x:f>
        <x:v>-0.0015503875968991832</x:v>
      </x:c>
      <x:c r="J27" s="10" t="str">
        <x:f>IF(I27&gt;1%,"达标",IF(I27&lt;0,"严重错误","中性"))</x:f>
        <x:v>严重错误</x:v>
      </x:c>
    </x:row>
    <x:row r="28">
      <x:c r="A28" s="10" t="str">
        <x:v>2026-09-17</x:v>
      </x:c>
      <x:c r="B28" s="10" t="str">
        <x:v>2026-09-18</x:v>
      </x:c>
      <x:c r="C28" s="10" t="n">
        <x:v>2</x:v>
      </x:c>
      <x:c r="D28" s="11" t="str">
        <x:v>301018</x:v>
      </x:c>
      <x:c r="E28" s="10" t="str">
        <x:v>申菱环境</x:v>
      </x:c>
      <x:c r="F28" s="12" t="n">
        <x:v>0.012750019271</x:v>
      </x:c>
      <x:c r="G28" s="13" t="n">
        <x:v>104.68</x:v>
      </x:c>
      <x:c r="H28" s="13" t="n">
        <x:v>107.4</x:v>
      </x:c>
      <x:c r="I28" s="14" t="n">
        <x:f>H28/G28-1</x:f>
        <x:v>0.025983951089033175</x:v>
      </x:c>
      <x:c r="J28" s="10" t="str">
        <x:f>IF(I28&gt;1%,"达标",IF(I28&lt;0,"严重错误","中性"))</x:f>
        <x:v>达标</x:v>
      </x:c>
    </x:row>
    <x:row r="29">
      <x:c r="A29" s="10" t="str">
        <x:v>2026-09-18</x:v>
      </x:c>
      <x:c r="B29" s="10" t="str">
        <x:v>2026-09-21</x:v>
      </x:c>
      <x:c r="C29" s="10" t="n">
        <x:v>1</x:v>
      </x:c>
      <x:c r="D29" s="11" t="str">
        <x:v>300870</x:v>
      </x:c>
      <x:c r="E29" s="10" t="str">
        <x:v>欧陆通</x:v>
      </x:c>
      <x:c r="F29" s="12" t="n">
        <x:v>0.015191118038</x:v>
      </x:c>
      <x:c r="G29" s="13" t="n">
        <x:v>213.35</x:v>
      </x:c>
      <x:c r="H29" s="13" t="n">
        <x:v>221.88</x:v>
      </x:c>
      <x:c r="I29" s="14" t="n">
        <x:f>H29/G29-1</x:f>
        <x:v>0.039981251464729306</x:v>
      </x:c>
      <x:c r="J29" s="10" t="str">
        <x:f>IF(I29&gt;1%,"达标",IF(I29&lt;0,"严重错误","中性"))</x:f>
        <x:v>达标</x:v>
      </x:c>
    </x:row>
    <x:row r="30">
      <x:c r="A30" s="10" t="str">
        <x:v>2026-09-18</x:v>
      </x:c>
      <x:c r="B30" s="10" t="str">
        <x:v>2026-09-21</x:v>
      </x:c>
      <x:c r="C30" s="10" t="n">
        <x:v>2</x:v>
      </x:c>
      <x:c r="D30" s="11" t="str">
        <x:v>688146</x:v>
      </x:c>
      <x:c r="E30" s="10" t="str">
        <x:v>中船特气</x:v>
      </x:c>
      <x:c r="F30" s="12" t="n">
        <x:v>0.014364188246</x:v>
      </x:c>
      <x:c r="G30" s="13" t="n">
        <x:v>239.12</x:v>
      </x:c>
      <x:c r="H30" s="13" t="n">
        <x:v>245.9</x:v>
      </x:c>
      <x:c r="I30" s="14" t="n">
        <x:f>H30/G30-1</x:f>
        <x:v>0.028353964536634413</x:v>
      </x:c>
      <x:c r="J30" s="10" t="str">
        <x:f>IF(I30&gt;1%,"达标",IF(I30&lt;0,"严重错误","中性"))</x:f>
        <x:v>达标</x:v>
      </x:c>
    </x:row>
    <x:row r="31">
      <x:c r="A31" s="10" t="str">
        <x:v>2026-09-21</x:v>
      </x:c>
      <x:c r="B31" s="10" t="str">
        <x:v>2026-09-22</x:v>
      </x:c>
      <x:c r="C31" s="10" t="n">
        <x:v>1</x:v>
      </x:c>
      <x:c r="D31" s="11" t="str">
        <x:v>300475</x:v>
      </x:c>
      <x:c r="E31" s="10" t="str">
        <x:v>香农芯创</x:v>
      </x:c>
      <x:c r="F31" s="12" t="n">
        <x:v>0.015292410591</x:v>
      </x:c>
      <x:c r="G31" s="13" t="n">
        <x:v>182.25</x:v>
      </x:c>
      <x:c r="H31" s="13" t="n">
        <x:v>186.15</x:v>
      </x:c>
      <x:c r="I31" s="14" t="n">
        <x:f>H31/G31-1</x:f>
        <x:v>0.02139917695473259</x:v>
      </x:c>
      <x:c r="J31" s="10" t="str">
        <x:f>IF(I31&gt;1%,"达标",IF(I31&lt;0,"严重错误","中性"))</x:f>
        <x:v>达标</x:v>
      </x:c>
    </x:row>
    <x:row r="32">
      <x:c r="A32" s="10" t="str">
        <x:v>2026-09-21</x:v>
      </x:c>
      <x:c r="B32" s="10" t="str">
        <x:v>2026-09-22</x:v>
      </x:c>
      <x:c r="C32" s="10" t="n">
        <x:v>2</x:v>
      </x:c>
      <x:c r="D32" s="11" t="str">
        <x:v>600699</x:v>
      </x:c>
      <x:c r="E32" s="10" t="str">
        <x:v>均胜电子</x:v>
      </x:c>
      <x:c r="F32" s="12" t="n">
        <x:v>0.014757109652</x:v>
      </x:c>
      <x:c r="G32" s="13" t="n">
        <x:v>20.94</x:v>
      </x:c>
      <x:c r="H32" s="13" t="n">
        <x:v>21.41</x:v>
      </x:c>
      <x:c r="I32" s="14" t="n">
        <x:f>H32/G32-1</x:f>
        <x:v>0.02244508118433619</x:v>
      </x:c>
      <x:c r="J32" s="10" t="str">
        <x:f>IF(I32&gt;1%,"达标",IF(I32&lt;0,"严重错误","中性"))</x:f>
        <x:v>达标</x:v>
      </x:c>
    </x:row>
    <x:row r="33">
      <x:c r="A33" s="10" t="str">
        <x:v>2026-09-22</x:v>
      </x:c>
      <x:c r="B33" s="10" t="str">
        <x:v>2026-09-23</x:v>
      </x:c>
      <x:c r="C33" s="10" t="n">
        <x:v>1</x:v>
      </x:c>
      <x:c r="D33" s="11" t="str">
        <x:v>002913</x:v>
      </x:c>
      <x:c r="E33" s="10" t="str">
        <x:v>奥士康</x:v>
      </x:c>
      <x:c r="F33" s="12" t="n">
        <x:v>0.016323046969999998</x:v>
      </x:c>
      <x:c r="G33" s="13" t="n">
        <x:v>87.7</x:v>
      </x:c>
      <x:c r="H33" s="13" t="n">
        <x:v>89.46</x:v>
      </x:c>
      <x:c r="I33" s="14" t="n">
        <x:f>H33/G33-1</x:f>
        <x:v>0.020068415051311295</x:v>
      </x:c>
      <x:c r="J33" s="10" t="str">
        <x:f>IF(I33&gt;1%,"达标",IF(I33&lt;0,"严重错误","中性"))</x:f>
        <x:v>达标</x:v>
      </x:c>
    </x:row>
    <x:row r="34">
      <x:c r="A34" s="10" t="str">
        <x:v>2026-09-22</x:v>
      </x:c>
      <x:c r="B34" s="10" t="str">
        <x:v>2026-09-23</x:v>
      </x:c>
      <x:c r="C34" s="10" t="n">
        <x:v>2</x:v>
      </x:c>
      <x:c r="D34" s="11" t="str">
        <x:v>300489</x:v>
      </x:c>
      <x:c r="E34" s="10" t="str">
        <x:v>光智科技</x:v>
      </x:c>
      <x:c r="F34" s="12" t="n">
        <x:v>0.016172964959</x:v>
      </x:c>
      <x:c r="G34" s="13" t="n">
        <x:v>247.77</x:v>
      </x:c>
      <x:c r="H34" s="13" t="n">
        <x:v>255.8</x:v>
      </x:c>
      <x:c r="I34" s="14" t="n">
        <x:f>H34/G34-1</x:f>
        <x:v>0.03240908907454498</x:v>
      </x:c>
      <x:c r="J34" s="10" t="str">
        <x:f>IF(I34&gt;1%,"达标",IF(I34&lt;0,"严重错误","中性"))</x:f>
        <x:v>达标</x:v>
      </x:c>
    </x:row>
    <x:row r="35">
      <x:c r="A35" s="10" t="str">
        <x:v>2026-09-23</x:v>
      </x:c>
      <x:c r="B35" s="10" t="str">
        <x:v>2026-09-24</x:v>
      </x:c>
      <x:c r="C35" s="10" t="n">
        <x:v>1</x:v>
      </x:c>
      <x:c r="D35" s="11" t="str">
        <x:v>300489</x:v>
      </x:c>
      <x:c r="E35" s="10" t="str">
        <x:v>光智科技</x:v>
      </x:c>
      <x:c r="F35" s="12" t="n">
        <x:v>0.016150425082</x:v>
      </x:c>
      <x:c r="G35" s="13" t="n">
        <x:v>260.4</x:v>
      </x:c>
      <x:c r="H35" s="13" t="n">
        <x:v>270.6</x:v>
      </x:c>
      <x:c r="I35" s="14" t="n">
        <x:f>H35/G35-1</x:f>
        <x:v>0.039170506912442615</x:v>
      </x:c>
      <x:c r="J35" s="10" t="str">
        <x:f>IF(I35&gt;1%,"达标",IF(I35&lt;0,"严重错误","中性"))</x:f>
        <x:v>达标</x:v>
      </x:c>
    </x:row>
    <x:row r="36">
      <x:c r="A36" s="10" t="str">
        <x:v>2026-09-23</x:v>
      </x:c>
      <x:c r="B36" s="10" t="str">
        <x:v>2026-09-24</x:v>
      </x:c>
      <x:c r="C36" s="10" t="n">
        <x:v>2</x:v>
      </x:c>
      <x:c r="D36" s="11" t="str">
        <x:v>002913</x:v>
      </x:c>
      <x:c r="E36" s="10" t="str">
        <x:v>奥士康</x:v>
      </x:c>
      <x:c r="F36" s="12" t="n">
        <x:v>0.016017039223</x:v>
      </x:c>
      <x:c r="G36" s="13" t="n">
        <x:v>91.08</x:v>
      </x:c>
      <x:c r="H36" s="13" t="n">
        <x:v>90.9</x:v>
      </x:c>
      <x:c r="I36" s="14" t="n">
        <x:f>H36/G36-1</x:f>
        <x:v>-0.0019762845849801147</x:v>
      </x:c>
      <x:c r="J36" s="10" t="str">
        <x:f>IF(I36&gt;1%,"达标",IF(I36&lt;0,"严重错误","中性"))</x:f>
        <x:v>严重错误</x:v>
      </x:c>
    </x:row>
    <x:row r="37">
      <x:c r="A37" s="10" t="str">
        <x:v>2026-09-24</x:v>
      </x:c>
      <x:c r="B37" s="10" t="str">
        <x:v>2026-09-28</x:v>
      </x:c>
      <x:c r="C37" s="10" t="n">
        <x:v>1</x:v>
      </x:c>
      <x:c r="D37" s="11" t="str">
        <x:v>601579</x:v>
      </x:c>
      <x:c r="E37" s="10" t="str">
        <x:v>会稽山</x:v>
      </x:c>
      <x:c r="F37" s="12" t="n">
        <x:v>0.015580640557000001</x:v>
      </x:c>
      <x:c r="G37" s="13" t="n">
        <x:v>38.26</x:v>
      </x:c>
      <x:c r="H37" s="13" t="n">
        <x:v>41.84</x:v>
      </x:c>
      <x:c r="I37" s="14" t="n">
        <x:f>H37/G37-1</x:f>
        <x:v>0.09357030841610059</x:v>
      </x:c>
      <x:c r="J37" s="10" t="str">
        <x:f>IF(I37&gt;1%,"达标",IF(I37&lt;0,"严重错误","中性"))</x:f>
        <x:v>达标</x:v>
      </x:c>
    </x:row>
    <x:row r="38">
      <x:c r="A38" s="10" t="str">
        <x:v>2026-09-24</x:v>
      </x:c>
      <x:c r="B38" s="10" t="str">
        <x:v>2026-09-28</x:v>
      </x:c>
      <x:c r="C38" s="10" t="n">
        <x:v>2</x:v>
      </x:c>
      <x:c r="D38" s="11" t="str">
        <x:v>301122</x:v>
      </x:c>
      <x:c r="E38" s="10" t="str">
        <x:v>采纳股份</x:v>
      </x:c>
      <x:c r="F38" s="12" t="n">
        <x:v>0.01496473656</x:v>
      </x:c>
      <x:c r="G38" s="13" t="n">
        <x:v>63.88</x:v>
      </x:c>
      <x:c r="H38" s="13" t="n">
        <x:v>64.47</x:v>
      </x:c>
      <x:c r="I38" s="14" t="n">
        <x:f>H38/G38-1</x:f>
        <x:v>0.009236067626800182</x:v>
      </x:c>
      <x:c r="J38" s="10" t="str">
        <x:f>IF(I38&gt;1%,"达标",IF(I38&lt;0,"严重错误","中性"))</x:f>
        <x:v>中性</x:v>
      </x:c>
    </x:row>
    <x:row r="39">
      <x:c r="A39" s="10" t="str">
        <x:v>2026-09-28</x:v>
      </x:c>
      <x:c r="B39" s="10" t="str">
        <x:v>2026-09-29</x:v>
      </x:c>
      <x:c r="C39" s="10" t="n">
        <x:v>1</x:v>
      </x:c>
      <x:c r="D39" s="11" t="str">
        <x:v>300207</x:v>
      </x:c>
      <x:c r="E39" s="10" t="str">
        <x:v>欣旺达</x:v>
      </x:c>
      <x:c r="F39" s="12" t="n">
        <x:v>0.020280584454</x:v>
      </x:c>
      <x:c r="G39" s="13" t="n">
        <x:v>21.1</x:v>
      </x:c>
      <x:c r="H39" s="13" t="n">
        <x:v>21.92</x:v>
      </x:c>
      <x:c r="I39" s="14" t="n">
        <x:f>H39/G39-1</x:f>
        <x:v>0.03886255924170623</x:v>
      </x:c>
      <x:c r="J39" s="10" t="str">
        <x:f>IF(I39&gt;1%,"达标",IF(I39&lt;0,"严重错误","中性"))</x:f>
        <x:v>达标</x:v>
      </x:c>
    </x:row>
    <x:row r="40">
      <x:c r="A40" s="10" t="str">
        <x:v>2026-09-28</x:v>
      </x:c>
      <x:c r="B40" s="10" t="str">
        <x:v>2026-09-29</x:v>
      </x:c>
      <x:c r="C40" s="10" t="n">
        <x:v>2</x:v>
      </x:c>
      <x:c r="D40" s="11" t="str">
        <x:v>600206</x:v>
      </x:c>
      <x:c r="E40" s="10" t="str">
        <x:v>有研新材</x:v>
      </x:c>
      <x:c r="F40" s="12" t="n">
        <x:v>0.014823028430000001</x:v>
      </x:c>
      <x:c r="G40" s="13" t="n">
        <x:v>51.51</x:v>
      </x:c>
      <x:c r="H40" s="13" t="n">
        <x:v>49.91</x:v>
      </x:c>
      <x:c r="I40" s="14" t="n">
        <x:f>H40/G40-1</x:f>
        <x:v>-0.031061929722384085</x:v>
      </x:c>
      <x:c r="J40" s="10" t="str">
        <x:f>IF(I40&gt;1%,"达标",IF(I40&lt;0,"严重错误","中性"))</x:f>
        <x:v>严重错误</x:v>
      </x:c>
    </x:row>
    <x:row r="41">
      <x:c r="A41" s="10" t="str">
        <x:v>2026-09-29</x:v>
      </x:c>
      <x:c r="B41" s="10" t="str">
        <x:v>2026-09-30</x:v>
      </x:c>
      <x:c r="C41" s="10" t="n">
        <x:v>1</x:v>
      </x:c>
      <x:c r="D41" s="11" t="str">
        <x:v>600418</x:v>
      </x:c>
      <x:c r="E41" s="10" t="str">
        <x:v>江淮汽车</x:v>
      </x:c>
      <x:c r="F41" s="12" t="n">
        <x:v>0.019808452236</x:v>
      </x:c>
      <x:c r="G41" s="13" t="n">
        <x:v>26.06</x:v>
      </x:c>
      <x:c r="H41" s="13" t="n">
        <x:v>26.03</x:v>
      </x:c>
      <x:c r="I41" s="14" t="n">
        <x:f>H41/G41-1</x:f>
        <x:v>-0.001151189562547894</x:v>
      </x:c>
      <x:c r="J41" s="10" t="str">
        <x:f>IF(I41&gt;1%,"达标",IF(I41&lt;0,"严重错误","中性"))</x:f>
        <x:v>严重错误</x:v>
      </x:c>
    </x:row>
    <x:row r="42">
      <x:c r="A42" s="10" t="str">
        <x:v>2026-09-29</x:v>
      </x:c>
      <x:c r="B42" s="10" t="str">
        <x:v>2026-09-30</x:v>
      </x:c>
      <x:c r="C42" s="10" t="n">
        <x:v>2</x:v>
      </x:c>
      <x:c r="D42" s="11" t="str">
        <x:v>002487</x:v>
      </x:c>
      <x:c r="E42" s="10" t="str">
        <x:v>大金重工</x:v>
      </x:c>
      <x:c r="F42" s="12" t="n">
        <x:v>0.015289586661</x:v>
      </x:c>
      <x:c r="G42" s="13" t="n">
        <x:v>43.13</x:v>
      </x:c>
      <x:c r="H42" s="13" t="n">
        <x:v>44.45</x:v>
      </x:c>
      <x:c r="I42" s="14" t="n">
        <x:f>H42/G42-1</x:f>
        <x:v>0.03060514722930674</x:v>
      </x:c>
      <x:c r="J42" s="10" t="str">
        <x:f>IF(I42&gt;1%,"达标",IF(I42&lt;0,"严重错误","中性"))</x:f>
        <x:v>达标</x:v>
      </x:c>
    </x:row>
    <x:row r="43">
      <x:c r="A43" s="10" t="str">
        <x:v>2026-09-30</x:v>
      </x:c>
      <x:c r="B43" s="10" t="str">
        <x:v>2026-10-08</x:v>
      </x:c>
      <x:c r="C43" s="10" t="n">
        <x:v>1</x:v>
      </x:c>
      <x:c r="D43" s="11" t="str">
        <x:v>600707</x:v>
      </x:c>
      <x:c r="E43" s="10" t="str">
        <x:v>彩虹股份</x:v>
      </x:c>
      <x:c r="F43" s="12" t="n">
        <x:v>0.017120043084</x:v>
      </x:c>
      <x:c r="G43" s="13" t="n">
        <x:v>10.11</x:v>
      </x:c>
      <x:c r="H43" s="13" t="n">
        <x:v>10.03</x:v>
      </x:c>
      <x:c r="I43" s="14" t="n">
        <x:f>H43/G43-1</x:f>
        <x:v>-0.007912957467853587</x:v>
      </x:c>
      <x:c r="J43" s="10" t="str">
        <x:f>IF(I43&gt;1%,"达标",IF(I43&lt;0,"严重错误","中性"))</x:f>
        <x:v>严重错误</x:v>
      </x:c>
    </x:row>
    <x:row r="44">
      <x:c r="A44" s="10" t="str">
        <x:v>2026-09-30</x:v>
      </x:c>
      <x:c r="B44" s="10" t="str">
        <x:v>2026-10-08</x:v>
      </x:c>
      <x:c r="C44" s="10" t="n">
        <x:v>2</x:v>
      </x:c>
      <x:c r="D44" s="11" t="str">
        <x:v>000498</x:v>
      </x:c>
      <x:c r="E44" s="10" t="str">
        <x:v>山东路桥</x:v>
      </x:c>
      <x:c r="F44" s="12" t="n">
        <x:v>0.015574120306000002</x:v>
      </x:c>
      <x:c r="G44" s="13" t="n">
        <x:v>5.88</x:v>
      </x:c>
      <x:c r="H44" s="13" t="n">
        <x:v>6.27</x:v>
      </x:c>
      <x:c r="I44" s="14" t="n">
        <x:f>H44/G44-1</x:f>
        <x:v>0.06632653061224492</x:v>
      </x:c>
      <x:c r="J44" s="10" t="str">
        <x:f>IF(I44&gt;1%,"达标",IF(I44&lt;0,"严重错误","中性"))</x:f>
        <x:v>达标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ec3a172480c44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17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6" t="str">
        <x:v>每天前二的达标 / 中性 / 严重错误</x:v>
      </x:c>
      <x:c r="B1" s="6"/>
      <x:c r="C1" s="6"/>
      <x:c r="D1" s="6"/>
      <x:c r="E1" s="6"/>
      <x:c r="F1" s="6"/>
      <x:c r="G1" s="6"/>
      <x:c r="H1" s="6"/>
    </x:row>
    <x:row r="2">
      <x:c r="A2" s="7" t="str">
        <x:v>开盘十分钟最高开盘价相对 14:40 买价：&gt;1% 达标，0–1% 中性，&lt;0% 严重错误。</x:v>
      </x:c>
      <x:c r="B2" s="7"/>
      <x:c r="C2" s="7"/>
      <x:c r="D2" s="7"/>
      <x:c r="E2" s="7"/>
      <x:c r="F2" s="7"/>
      <x:c r="G2" s="7"/>
      <x:c r="H2" s="7"/>
    </x:row>
    <x:row r="4">
      <x:c r="A4" s="9" t="str">
        <x:v>信号日</x:v>
      </x:c>
      <x:c r="B4" s="9" t="str">
        <x:v>第一名</x:v>
      </x:c>
      <x:c r="C4" s="9" t="str">
        <x:v>第一名开盘涨幅</x:v>
      </x:c>
      <x:c r="D4" s="9" t="str">
        <x:v>第二名</x:v>
      </x:c>
      <x:c r="E4" s="9" t="str">
        <x:v>第二名开盘涨幅</x:v>
      </x:c>
      <x:c r="F4" s="9" t="str">
        <x:v>达标</x:v>
      </x:c>
      <x:c r="G4" s="9" t="str">
        <x:v>中性</x:v>
      </x:c>
      <x:c r="H4" s="9" t="str">
        <x:v>严重错误</x:v>
      </x:c>
    </x:row>
    <x:row r="5">
      <x:c r="A5" s="10" t="str">
        <x:f>'前二高开明细'!A5</x:f>
        <x:v>2026-09-02</x:v>
      </x:c>
      <x:c r="B5" s="10" t="str">
        <x:f>'前二高开明细'!E5</x:f>
        <x:v>湘油泵</x:v>
      </x:c>
      <x:c r="C5" s="14" t="n">
        <x:f>'前二高开明细'!I5</x:f>
        <x:v>0.03256126216851296</x:v>
      </x:c>
      <x:c r="D5" s="10" t="str">
        <x:f>'前二高开明细'!E6</x:f>
        <x:v>长盈通</x:v>
      </x:c>
      <x:c r="E5" s="14" t="n">
        <x:f>'前二高开明细'!I6</x:f>
        <x:v>0.030160706201901366</x:v>
      </x:c>
      <x:c r="F5" s="10" t="n">
        <x:f>COUNTIF('前二高开明细'!J5:J6,"达标")</x:f>
        <x:v>2</x:v>
      </x:c>
      <x:c r="G5" s="10" t="n">
        <x:f>COUNTIF('前二高开明细'!J5:J6,"中性")</x:f>
        <x:v>0</x:v>
      </x:c>
      <x:c r="H5" s="10" t="n">
        <x:f>COUNTIF('前二高开明细'!J5:J6,"严重错误")</x:f>
        <x:v>0</x:v>
      </x:c>
    </x:row>
    <x:row r="6">
      <x:c r="A6" s="10" t="str">
        <x:f>'前二高开明细'!A7</x:f>
        <x:v>2026-09-03</x:v>
      </x:c>
      <x:c r="B6" s="10" t="str">
        <x:f>'前二高开明细'!E7</x:f>
        <x:v>江海股份</x:v>
      </x:c>
      <x:c r="C6" s="14" t="n">
        <x:f>'前二高开明细'!I7</x:f>
        <x:v>0.03835569315445464</x:v>
      </x:c>
      <x:c r="D6" s="10" t="str">
        <x:f>'前二高开明细'!E8</x:f>
        <x:v>神工股份</x:v>
      </x:c>
      <x:c r="E6" s="14" t="n">
        <x:f>'前二高开明细'!I8</x:f>
        <x:v>0.015331505736623008</x:v>
      </x:c>
      <x:c r="F6" s="10" t="n">
        <x:f>COUNTIF('前二高开明细'!J7:J8,"达标")</x:f>
        <x:v>2</x:v>
      </x:c>
      <x:c r="G6" s="10" t="n">
        <x:f>COUNTIF('前二高开明细'!J7:J8,"中性")</x:f>
        <x:v>0</x:v>
      </x:c>
      <x:c r="H6" s="10" t="n">
        <x:f>COUNTIF('前二高开明细'!J7:J8,"严重错误")</x:f>
        <x:v>0</x:v>
      </x:c>
    </x:row>
    <x:row r="7">
      <x:c r="A7" s="10" t="str">
        <x:f>'前二高开明细'!A9</x:f>
        <x:v>2026-09-04</x:v>
      </x:c>
      <x:c r="B7" s="10" t="str">
        <x:f>'前二高开明细'!E9</x:f>
        <x:v>上海能源</x:v>
      </x:c>
      <x:c r="C7" s="14" t="n">
        <x:f>'前二高开明细'!I9</x:f>
        <x:v>0.019625334522747506</x:v>
      </x:c>
      <x:c r="D7" s="10" t="str">
        <x:f>'前二高开明细'!E10</x:f>
        <x:v>青岛金王</x:v>
      </x:c>
      <x:c r="E7" s="14" t="n">
        <x:f>'前二高开明细'!I10</x:f>
        <x:v>-0.0017452006980803736</x:v>
      </x:c>
      <x:c r="F7" s="10" t="n">
        <x:f>COUNTIF('前二高开明细'!J9:J10,"达标")</x:f>
        <x:v>1</x:v>
      </x:c>
      <x:c r="G7" s="10" t="n">
        <x:f>COUNTIF('前二高开明细'!J9:J10,"中性")</x:f>
        <x:v>0</x:v>
      </x:c>
      <x:c r="H7" s="10" t="n">
        <x:f>COUNTIF('前二高开明细'!J9:J10,"严重错误")</x:f>
        <x:v>1</x:v>
      </x:c>
    </x:row>
    <x:row r="8">
      <x:c r="A8" s="10" t="str">
        <x:f>'前二高开明细'!A11</x:f>
        <x:v>2026-09-07</x:v>
      </x:c>
      <x:c r="B8" s="10" t="str">
        <x:f>'前二高开明细'!E11</x:f>
        <x:v>通鼎互联</x:v>
      </x:c>
      <x:c r="C8" s="14" t="n">
        <x:f>'前二高开明细'!I11</x:f>
        <x:v>0.022264329701563224</x:v>
      </x:c>
      <x:c r="D8" s="10" t="str">
        <x:f>'前二高开明细'!E12</x:f>
        <x:v>风华高科</x:v>
      </x:c>
      <x:c r="E8" s="14" t="n">
        <x:f>'前二高开明细'!I12</x:f>
        <x:v>0.009110714993068036</x:v>
      </x:c>
      <x:c r="F8" s="10" t="n">
        <x:f>COUNTIF('前二高开明细'!J11:J12,"达标")</x:f>
        <x:v>1</x:v>
      </x:c>
      <x:c r="G8" s="10" t="n">
        <x:f>COUNTIF('前二高开明细'!J11:J12,"中性")</x:f>
        <x:v>1</x:v>
      </x:c>
      <x:c r="H8" s="10" t="n">
        <x:f>COUNTIF('前二高开明细'!J11:J12,"严重错误")</x:f>
        <x:v>0</x:v>
      </x:c>
    </x:row>
    <x:row r="9">
      <x:c r="A9" s="10" t="str">
        <x:f>'前二高开明细'!A13</x:f>
        <x:v>2026-09-08</x:v>
      </x:c>
      <x:c r="B9" s="10" t="str">
        <x:f>'前二高开明细'!E13</x:f>
        <x:v>特发服务</x:v>
      </x:c>
      <x:c r="C9" s="14" t="n">
        <x:f>'前二高开明细'!I13</x:f>
        <x:v>-0.029019346230820586</x:v>
      </x:c>
      <x:c r="D9" s="10" t="str">
        <x:f>'前二高开明细'!E14</x:f>
        <x:v>黄河旋风</x:v>
      </x:c>
      <x:c r="E9" s="14" t="n">
        <x:f>'前二高开明细'!I14</x:f>
        <x:v>0.007921998781230899</x:v>
      </x:c>
      <x:c r="F9" s="10" t="n">
        <x:f>COUNTIF('前二高开明细'!J13:J14,"达标")</x:f>
        <x:v>0</x:v>
      </x:c>
      <x:c r="G9" s="10" t="n">
        <x:f>COUNTIF('前二高开明细'!J13:J14,"中性")</x:f>
        <x:v>1</x:v>
      </x:c>
      <x:c r="H9" s="10" t="n">
        <x:f>COUNTIF('前二高开明细'!J13:J14,"严重错误")</x:f>
        <x:v>1</x:v>
      </x:c>
    </x:row>
    <x:row r="10">
      <x:c r="A10" s="10" t="str">
        <x:f>'前二高开明细'!A15</x:f>
        <x:v>2026-09-09</x:v>
      </x:c>
      <x:c r="B10" s="10" t="str">
        <x:f>'前二高开明细'!E15</x:f>
        <x:v>黄河旋风</x:v>
      </x:c>
      <x:c r="C10" s="14" t="n">
        <x:f>'前二高开明细'!I15</x:f>
        <x:v>-0.0099125364431486</x:v>
      </x:c>
      <x:c r="D10" s="10" t="str">
        <x:f>'前二高开明细'!E16</x:f>
        <x:v>德科立</x:v>
      </x:c>
      <x:c r="E10" s="14" t="n">
        <x:f>'前二高开明细'!I16</x:f>
        <x:v>0.00872235325530668</x:v>
      </x:c>
      <x:c r="F10" s="10" t="n">
        <x:f>COUNTIF('前二高开明细'!J15:J16,"达标")</x:f>
        <x:v>0</x:v>
      </x:c>
      <x:c r="G10" s="10" t="n">
        <x:f>COUNTIF('前二高开明细'!J15:J16,"中性")</x:f>
        <x:v>1</x:v>
      </x:c>
      <x:c r="H10" s="10" t="n">
        <x:f>COUNTIF('前二高开明细'!J15:J16,"严重错误")</x:f>
        <x:v>1</x:v>
      </x:c>
    </x:row>
    <x:row r="11">
      <x:c r="A11" s="10" t="str">
        <x:f>'前二高开明细'!A17</x:f>
        <x:v>2026-09-10</x:v>
      </x:c>
      <x:c r="B11" s="10" t="str">
        <x:f>'前二高开明细'!E17</x:f>
        <x:v>酷特智能</x:v>
      </x:c>
      <x:c r="C11" s="14" t="n">
        <x:f>'前二高开明细'!I17</x:f>
        <x:v>-0.016284987277353724</x:v>
      </x:c>
      <x:c r="D11" s="10" t="str">
        <x:f>'前二高开明细'!E18</x:f>
        <x:v>炬光科技</x:v>
      </x:c>
      <x:c r="E11" s="14" t="n">
        <x:f>'前二高开明细'!I18</x:f>
        <x:v>-0.024436149189121403</x:v>
      </x:c>
      <x:c r="F11" s="10" t="n">
        <x:f>COUNTIF('前二高开明细'!J17:J18,"达标")</x:f>
        <x:v>0</x:v>
      </x:c>
      <x:c r="G11" s="10" t="n">
        <x:f>COUNTIF('前二高开明细'!J17:J18,"中性")</x:f>
        <x:v>0</x:v>
      </x:c>
      <x:c r="H11" s="10" t="n">
        <x:f>COUNTIF('前二高开明细'!J17:J18,"严重错误")</x:f>
        <x:v>2</x:v>
      </x:c>
    </x:row>
    <x:row r="12">
      <x:c r="A12" s="10" t="str">
        <x:f>'前二高开明细'!A19</x:f>
        <x:v>2026-09-11</x:v>
      </x:c>
      <x:c r="B12" s="10" t="str">
        <x:f>'前二高开明细'!E19</x:f>
        <x:v>艾华集团</x:v>
      </x:c>
      <x:c r="C12" s="14" t="n">
        <x:f>'前二高开明细'!I19</x:f>
        <x:v>-0.021374045801526798</x:v>
      </x:c>
      <x:c r="D12" s="10" t="str">
        <x:f>'前二高开明细'!E20</x:f>
        <x:v>上海电影</x:v>
      </x:c>
      <x:c r="E12" s="14" t="n">
        <x:f>'前二高开明细'!I20</x:f>
        <x:v>0.025684931506849473</x:v>
      </x:c>
      <x:c r="F12" s="10" t="n">
        <x:f>COUNTIF('前二高开明细'!J19:J20,"达标")</x:f>
        <x:v>1</x:v>
      </x:c>
      <x:c r="G12" s="10" t="n">
        <x:f>COUNTIF('前二高开明细'!J19:J20,"中性")</x:f>
        <x:v>0</x:v>
      </x:c>
      <x:c r="H12" s="10" t="n">
        <x:f>COUNTIF('前二高开明细'!J19:J20,"严重错误")</x:f>
        <x:v>1</x:v>
      </x:c>
    </x:row>
    <x:row r="13">
      <x:c r="A13" s="10" t="str">
        <x:f>'前二高开明细'!A21</x:f>
        <x:v>2026-09-14</x:v>
      </x:c>
      <x:c r="B13" s="10" t="str">
        <x:f>'前二高开明细'!E21</x:f>
        <x:v>东亚药业</x:v>
      </x:c>
      <x:c r="C13" s="14" t="n">
        <x:f>'前二高开明细'!I21</x:f>
        <x:v>0.02495974235104681</x:v>
      </x:c>
      <x:c r="D13" s="10" t="str">
        <x:f>'前二高开明细'!E22</x:f>
        <x:v>力芯微</x:v>
      </x:c>
      <x:c r="E13" s="14" t="n">
        <x:f>'前二高开明细'!I22</x:f>
        <x:v>-0.001890359168241984</x:v>
      </x:c>
      <x:c r="F13" s="10" t="n">
        <x:f>COUNTIF('前二高开明细'!J21:J22,"达标")</x:f>
        <x:v>1</x:v>
      </x:c>
      <x:c r="G13" s="10" t="n">
        <x:f>COUNTIF('前二高开明细'!J21:J22,"中性")</x:f>
        <x:v>0</x:v>
      </x:c>
      <x:c r="H13" s="10" t="n">
        <x:f>COUNTIF('前二高开明细'!J21:J22,"严重错误")</x:f>
        <x:v>1</x:v>
      </x:c>
    </x:row>
    <x:row r="14">
      <x:c r="A14" s="10" t="str">
        <x:f>'前二高开明细'!A23</x:f>
        <x:v>2026-09-15</x:v>
      </x:c>
      <x:c r="B14" s="10" t="str">
        <x:f>'前二高开明细'!E23</x:f>
        <x:v>盛景微</x:v>
      </x:c>
      <x:c r="C14" s="14" t="n">
        <x:f>'前二高开明细'!I23</x:f>
        <x:v>0.02315742596303738</x:v>
      </x:c>
      <x:c r="D14" s="10" t="str">
        <x:f>'前二高开明细'!E24</x:f>
        <x:v>金力泰</x:v>
      </x:c>
      <x:c r="E14" s="14" t="n">
        <x:f>'前二高开明细'!I24</x:f>
        <x:v>0</x:v>
      </x:c>
      <x:c r="F14" s="10" t="n">
        <x:f>COUNTIF('前二高开明细'!J23:J24,"达标")</x:f>
        <x:v>1</x:v>
      </x:c>
      <x:c r="G14" s="10" t="n">
        <x:f>COUNTIF('前二高开明细'!J23:J24,"中性")</x:f>
        <x:v>1</x:v>
      </x:c>
      <x:c r="H14" s="10" t="n">
        <x:f>COUNTIF('前二高开明细'!J23:J24,"严重错误")</x:f>
        <x:v>0</x:v>
      </x:c>
    </x:row>
    <x:row r="15">
      <x:c r="A15" s="10" t="str">
        <x:f>'前二高开明细'!A25</x:f>
        <x:v>2026-09-16</x:v>
      </x:c>
      <x:c r="B15" s="10" t="str">
        <x:f>'前二高开明细'!E25</x:f>
        <x:v>久量股份</x:v>
      </x:c>
      <x:c r="C15" s="14" t="n">
        <x:f>'前二高开明细'!I25</x:f>
        <x:v>0.11005792522380209</x:v>
      </x:c>
      <x:c r="D15" s="10" t="str">
        <x:f>'前二高开明细'!E26</x:f>
        <x:v>唯万密封</x:v>
      </x:c>
      <x:c r="E15" s="14" t="n">
        <x:f>'前二高开明细'!I26</x:f>
        <x:v>0.01721228484643955</x:v>
      </x:c>
      <x:c r="F15" s="10" t="n">
        <x:f>COUNTIF('前二高开明细'!J25:J26,"达标")</x:f>
        <x:v>2</x:v>
      </x:c>
      <x:c r="G15" s="10" t="n">
        <x:f>COUNTIF('前二高开明细'!J25:J26,"中性")</x:f>
        <x:v>0</x:v>
      </x:c>
      <x:c r="H15" s="10" t="n">
        <x:f>COUNTIF('前二高开明细'!J25:J26,"严重错误")</x:f>
        <x:v>0</x:v>
      </x:c>
    </x:row>
    <x:row r="16">
      <x:c r="A16" s="10" t="str">
        <x:f>'前二高开明细'!A27</x:f>
        <x:v>2026-09-17</x:v>
      </x:c>
      <x:c r="B16" s="10" t="str">
        <x:f>'前二高开明细'!E27</x:f>
        <x:v>大连友谊</x:v>
      </x:c>
      <x:c r="C16" s="14" t="n">
        <x:f>'前二高开明细'!I27</x:f>
        <x:v>-0.0015503875968991832</x:v>
      </x:c>
      <x:c r="D16" s="10" t="str">
        <x:f>'前二高开明细'!E28</x:f>
        <x:v>申菱环境</x:v>
      </x:c>
      <x:c r="E16" s="14" t="n">
        <x:f>'前二高开明细'!I28</x:f>
        <x:v>0.025983951089033175</x:v>
      </x:c>
      <x:c r="F16" s="10" t="n">
        <x:f>COUNTIF('前二高开明细'!J27:J28,"达标")</x:f>
        <x:v>1</x:v>
      </x:c>
      <x:c r="G16" s="10" t="n">
        <x:f>COUNTIF('前二高开明细'!J27:J28,"中性")</x:f>
        <x:v>0</x:v>
      </x:c>
      <x:c r="H16" s="10" t="n">
        <x:f>COUNTIF('前二高开明细'!J27:J28,"严重错误")</x:f>
        <x:v>1</x:v>
      </x:c>
    </x:row>
    <x:row r="17">
      <x:c r="A17" s="10" t="str">
        <x:f>'前二高开明细'!A29</x:f>
        <x:v>2026-09-18</x:v>
      </x:c>
      <x:c r="B17" s="10" t="str">
        <x:f>'前二高开明细'!E29</x:f>
        <x:v>欧陆通</x:v>
      </x:c>
      <x:c r="C17" s="14" t="n">
        <x:f>'前二高开明细'!I29</x:f>
        <x:v>0.039981251464729306</x:v>
      </x:c>
      <x:c r="D17" s="10" t="str">
        <x:f>'前二高开明细'!E30</x:f>
        <x:v>中船特气</x:v>
      </x:c>
      <x:c r="E17" s="14" t="n">
        <x:f>'前二高开明细'!I30</x:f>
        <x:v>0.028353964536634413</x:v>
      </x:c>
      <x:c r="F17" s="10" t="n">
        <x:f>COUNTIF('前二高开明细'!J29:J30,"达标")</x:f>
        <x:v>2</x:v>
      </x:c>
      <x:c r="G17" s="10" t="n">
        <x:f>COUNTIF('前二高开明细'!J29:J30,"中性")</x:f>
        <x:v>0</x:v>
      </x:c>
      <x:c r="H17" s="10" t="n">
        <x:f>COUNTIF('前二高开明细'!J29:J30,"严重错误")</x:f>
        <x:v>0</x:v>
      </x:c>
    </x:row>
    <x:row r="18">
      <x:c r="A18" s="10" t="str">
        <x:f>'前二高开明细'!A31</x:f>
        <x:v>2026-09-21</x:v>
      </x:c>
      <x:c r="B18" s="10" t="str">
        <x:f>'前二高开明细'!E31</x:f>
        <x:v>香农芯创</x:v>
      </x:c>
      <x:c r="C18" s="14" t="n">
        <x:f>'前二高开明细'!I31</x:f>
        <x:v>0.02139917695473259</x:v>
      </x:c>
      <x:c r="D18" s="10" t="str">
        <x:f>'前二高开明细'!E32</x:f>
        <x:v>均胜电子</x:v>
      </x:c>
      <x:c r="E18" s="14" t="n">
        <x:f>'前二高开明细'!I32</x:f>
        <x:v>0.02244508118433619</x:v>
      </x:c>
      <x:c r="F18" s="10" t="n">
        <x:f>COUNTIF('前二高开明细'!J31:J32,"达标")</x:f>
        <x:v>2</x:v>
      </x:c>
      <x:c r="G18" s="10" t="n">
        <x:f>COUNTIF('前二高开明细'!J31:J32,"中性")</x:f>
        <x:v>0</x:v>
      </x:c>
      <x:c r="H18" s="10" t="n">
        <x:f>COUNTIF('前二高开明细'!J31:J32,"严重错误")</x:f>
        <x:v>0</x:v>
      </x:c>
    </x:row>
    <x:row r="19">
      <x:c r="A19" s="10" t="str">
        <x:f>'前二高开明细'!A33</x:f>
        <x:v>2026-09-22</x:v>
      </x:c>
      <x:c r="B19" s="10" t="str">
        <x:f>'前二高开明细'!E33</x:f>
        <x:v>奥士康</x:v>
      </x:c>
      <x:c r="C19" s="14" t="n">
        <x:f>'前二高开明细'!I33</x:f>
        <x:v>0.020068415051311295</x:v>
      </x:c>
      <x:c r="D19" s="10" t="str">
        <x:f>'前二高开明细'!E34</x:f>
        <x:v>光智科技</x:v>
      </x:c>
      <x:c r="E19" s="14" t="n">
        <x:f>'前二高开明细'!I34</x:f>
        <x:v>0.03240908907454498</x:v>
      </x:c>
      <x:c r="F19" s="10" t="n">
        <x:f>COUNTIF('前二高开明细'!J33:J34,"达标")</x:f>
        <x:v>2</x:v>
      </x:c>
      <x:c r="G19" s="10" t="n">
        <x:f>COUNTIF('前二高开明细'!J33:J34,"中性")</x:f>
        <x:v>0</x:v>
      </x:c>
      <x:c r="H19" s="10" t="n">
        <x:f>COUNTIF('前二高开明细'!J33:J34,"严重错误")</x:f>
        <x:v>0</x:v>
      </x:c>
    </x:row>
    <x:row r="20">
      <x:c r="A20" s="10" t="str">
        <x:f>'前二高开明细'!A35</x:f>
        <x:v>2026-09-23</x:v>
      </x:c>
      <x:c r="B20" s="10" t="str">
        <x:f>'前二高开明细'!E35</x:f>
        <x:v>光智科技</x:v>
      </x:c>
      <x:c r="C20" s="14" t="n">
        <x:f>'前二高开明细'!I35</x:f>
        <x:v>0.039170506912442615</x:v>
      </x:c>
      <x:c r="D20" s="10" t="str">
        <x:f>'前二高开明细'!E36</x:f>
        <x:v>奥士康</x:v>
      </x:c>
      <x:c r="E20" s="14" t="n">
        <x:f>'前二高开明细'!I36</x:f>
        <x:v>-0.0019762845849801147</x:v>
      </x:c>
      <x:c r="F20" s="10" t="n">
        <x:f>COUNTIF('前二高开明细'!J35:J36,"达标")</x:f>
        <x:v>1</x:v>
      </x:c>
      <x:c r="G20" s="10" t="n">
        <x:f>COUNTIF('前二高开明细'!J35:J36,"中性")</x:f>
        <x:v>0</x:v>
      </x:c>
      <x:c r="H20" s="10" t="n">
        <x:f>COUNTIF('前二高开明细'!J35:J36,"严重错误")</x:f>
        <x:v>1</x:v>
      </x:c>
    </x:row>
    <x:row r="21">
      <x:c r="A21" s="10" t="str">
        <x:f>'前二高开明细'!A37</x:f>
        <x:v>2026-09-24</x:v>
      </x:c>
      <x:c r="B21" s="10" t="str">
        <x:f>'前二高开明细'!E37</x:f>
        <x:v>会稽山</x:v>
      </x:c>
      <x:c r="C21" s="14" t="n">
        <x:f>'前二高开明细'!I37</x:f>
        <x:v>0.09357030841610059</x:v>
      </x:c>
      <x:c r="D21" s="10" t="str">
        <x:f>'前二高开明细'!E38</x:f>
        <x:v>采纳股份</x:v>
      </x:c>
      <x:c r="E21" s="14" t="n">
        <x:f>'前二高开明细'!I38</x:f>
        <x:v>0.009236067626800182</x:v>
      </x:c>
      <x:c r="F21" s="10" t="n">
        <x:f>COUNTIF('前二高开明细'!J37:J38,"达标")</x:f>
        <x:v>1</x:v>
      </x:c>
      <x:c r="G21" s="10" t="n">
        <x:f>COUNTIF('前二高开明细'!J37:J38,"中性")</x:f>
        <x:v>1</x:v>
      </x:c>
      <x:c r="H21" s="10" t="n">
        <x:f>COUNTIF('前二高开明细'!J37:J38,"严重错误")</x:f>
        <x:v>0</x:v>
      </x:c>
    </x:row>
    <x:row r="22">
      <x:c r="A22" s="10" t="str">
        <x:f>'前二高开明细'!A39</x:f>
        <x:v>2026-09-28</x:v>
      </x:c>
      <x:c r="B22" s="10" t="str">
        <x:f>'前二高开明细'!E39</x:f>
        <x:v>欣旺达</x:v>
      </x:c>
      <x:c r="C22" s="14" t="n">
        <x:f>'前二高开明细'!I39</x:f>
        <x:v>0.03886255924170623</x:v>
      </x:c>
      <x:c r="D22" s="10" t="str">
        <x:f>'前二高开明细'!E40</x:f>
        <x:v>有研新材</x:v>
      </x:c>
      <x:c r="E22" s="14" t="n">
        <x:f>'前二高开明细'!I40</x:f>
        <x:v>-0.031061929722384085</x:v>
      </x:c>
      <x:c r="F22" s="10" t="n">
        <x:f>COUNTIF('前二高开明细'!J39:J40,"达标")</x:f>
        <x:v>1</x:v>
      </x:c>
      <x:c r="G22" s="10" t="n">
        <x:f>COUNTIF('前二高开明细'!J39:J40,"中性")</x:f>
        <x:v>0</x:v>
      </x:c>
      <x:c r="H22" s="10" t="n">
        <x:f>COUNTIF('前二高开明细'!J39:J40,"严重错误")</x:f>
        <x:v>1</x:v>
      </x:c>
    </x:row>
    <x:row r="23">
      <x:c r="A23" s="10" t="str">
        <x:f>'前二高开明细'!A41</x:f>
        <x:v>2026-09-29</x:v>
      </x:c>
      <x:c r="B23" s="10" t="str">
        <x:f>'前二高开明细'!E41</x:f>
        <x:v>江淮汽车</x:v>
      </x:c>
      <x:c r="C23" s="14" t="n">
        <x:f>'前二高开明细'!I41</x:f>
        <x:v>-0.001151189562547894</x:v>
      </x:c>
      <x:c r="D23" s="10" t="str">
        <x:f>'前二高开明细'!E42</x:f>
        <x:v>大金重工</x:v>
      </x:c>
      <x:c r="E23" s="14" t="n">
        <x:f>'前二高开明细'!I42</x:f>
        <x:v>0.03060514722930674</x:v>
      </x:c>
      <x:c r="F23" s="10" t="n">
        <x:f>COUNTIF('前二高开明细'!J41:J42,"达标")</x:f>
        <x:v>1</x:v>
      </x:c>
      <x:c r="G23" s="10" t="n">
        <x:f>COUNTIF('前二高开明细'!J41:J42,"中性")</x:f>
        <x:v>0</x:v>
      </x:c>
      <x:c r="H23" s="10" t="n">
        <x:f>COUNTIF('前二高开明细'!J41:J42,"严重错误")</x:f>
        <x:v>1</x:v>
      </x:c>
    </x:row>
    <x:row r="24">
      <x:c r="A24" s="10" t="str">
        <x:f>'前二高开明细'!A43</x:f>
        <x:v>2026-09-30</x:v>
      </x:c>
      <x:c r="B24" s="10" t="str">
        <x:f>'前二高开明细'!E43</x:f>
        <x:v>彩虹股份</x:v>
      </x:c>
      <x:c r="C24" s="14" t="n">
        <x:f>'前二高开明细'!I43</x:f>
        <x:v>-0.007912957467853587</x:v>
      </x:c>
      <x:c r="D24" s="10" t="str">
        <x:f>'前二高开明细'!E44</x:f>
        <x:v>山东路桥</x:v>
      </x:c>
      <x:c r="E24" s="14" t="n">
        <x:f>'前二高开明细'!I44</x:f>
        <x:v>0.06632653061224492</x:v>
      </x:c>
      <x:c r="F24" s="10" t="n">
        <x:f>COUNTIF('前二高开明细'!J43:J44,"达标")</x:f>
        <x:v>1</x:v>
      </x:c>
      <x:c r="G24" s="10" t="n">
        <x:f>COUNTIF('前二高开明细'!J43:J44,"中性")</x:f>
        <x:v>0</x:v>
      </x:c>
      <x:c r="H24" s="10" t="n">
        <x:f>COUNTIF('前二高开明细'!J43:J44,"严重错误")</x:f>
        <x:v>1</x:v>
      </x:c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6" t="str">
        <x:v>合计</x:v>
      </x:c>
      <x:c r="B27" s="16" t="str">
        <x:v>40 只中</x:v>
      </x:c>
      <x:c r="C27" s="16"/>
      <x:c r="D27" s="16"/>
      <x:c r="E27" s="16"/>
      <x:c r="F27" s="16" t="n">
        <x:f>SUM(F5:F24)</x:f>
        <x:v>23</x:v>
      </x:c>
      <x:c r="G27" s="16" t="n">
        <x:f>SUM(G5:G24)</x:f>
        <x:v>5</x:v>
      </x:c>
      <x:c r="H27" s="16" t="n">
        <x:f>SUM(H5:H24)</x:f>
        <x:v>12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b364a1aeed24052"/>
  </x:tableParts>
</x:worksheet>
</file>