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9effae47f944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每日前二" sheetId="1" r:id="R3c8781f5b3a0409a"/>
    <x:sheet xmlns:r="http://schemas.openxmlformats.org/officeDocument/2006/relationships" name="按天汇总" sheetId="2" r:id="R357ad9e7d2454b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0.00%"/>
    <x:numFmt numFmtId="202" formatCode="0.000"/>
    <x:numFmt numFmtId="203" formatCode="0.00"/>
    <x:numFmt numFmtId="204" formatCode="0.0"/>
    <x:numFmt numFmtId="205" formatCode="0"/>
  </x:numFmts>
  <x:fonts count="6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5"/>
      <x:color rgb="FFFFFFFF"/>
      <x:name val="Arial"/>
    </x:font>
    <x:font>
      <x:sz val="10"/>
      <x:color rgb="FF475569"/>
      <x:name val="Arial"/>
    </x:font>
    <x:font>
      <x:b/>
      <x:sz val="10"/>
      <x:color rgb="FF0F172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0F172A"/>
      </x:patternFill>
    </x:fill>
    <x:fill>
      <x:patternFill patternType="solid">
        <x:fgColor rgb="FFE0F2FE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4" fillId="0" borderId="0" xfId="0" applyNumberFormat="1" applyFont="1" applyFill="1" applyBorder="1"/>
    <x:xf numFmtId="0" fontId="1" fillId="4" borderId="0" xfId="0" applyNumberFormat="1" applyFont="1" applyFill="1" applyBorder="1"/>
    <x:xf numFmtId="201" fontId="1" fillId="4" borderId="0" xfId="0" applyNumberFormat="1" applyFont="1" applyFill="1" applyBorder="1"/>
    <x:xf numFmtId="0" fontId="5" fillId="4" borderId="0" xfId="0" applyNumberFormat="1" applyFont="1" applyFill="1" applyBorder="1"/>
    <x:xf numFmtId="201" fontId="5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c958322d1d4951" /><Relationship Type="http://schemas.openxmlformats.org/officeDocument/2006/relationships/theme" Target="/xl/theme/theme1.xml" Id="Rf67a3f9834154fe4" /><Relationship Type="http://schemas.openxmlformats.org/officeDocument/2006/relationships/sharedStrings" Target="/xl/sharedStrings.xml" Id="Rd037585f0b9e4655" /><Relationship Type="http://schemas.openxmlformats.org/officeDocument/2006/relationships/worksheet" Target="/xl/worksheets/sheet1.xml" Id="R3c8781f5b3a0409a" /><Relationship Type="http://schemas.openxmlformats.org/officeDocument/2006/relationships/worksheet" Target="/xl/worksheets/sheet2.xml" Id="R357ad9e7d2454bbb" /></Relationships>
</file>

<file path=xl/tables/table1.xml><?xml version="1.0" encoding="utf-8"?>
<x:table xmlns:x="http://schemas.openxmlformats.org/spreadsheetml/2006/main" id="1" name="Top2Detail" displayName="Top2Detail" ref="A4:R44" headerRowCount="1" totalsRowCount="0" totalsRowShown="0">
  <x:tableColumns count="18">
    <x:tableColumn id="1" name="信号日"/>
    <x:tableColumn id="2" name="次交易日"/>
    <x:tableColumn id="3" name="排名"/>
    <x:tableColumn id="4" name="股票代码"/>
    <x:tableColumn id="5" name="股票名称"/>
    <x:tableColumn id="6" name="预测涨幅"/>
    <x:tableColumn id="7" name="14:40买价"/>
    <x:tableColumn id="8" name="十分钟最高价"/>
    <x:tableColumn id="9" name="十分钟第二高价"/>
    <x:tableColumn id="10" name="最高价实际涨幅"/>
    <x:tableColumn id="11" name="第二高价实际涨幅"/>
    <x:tableColumn id="12" name="14:40当日涨幅"/>
    <x:tableColumn id="13" name="量比"/>
    <x:tableColumn id="14" name="14:40换手率"/>
    <x:tableColumn id="15" name="流通市值(亿元)"/>
    <x:tableColumn id="16" name="五日量四日递增"/>
    <x:tableColumn id="17" name="均线多头"/>
    <x:tableColumn id="18" name="日内低价高于均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p2Daily" displayName="Top2Daily" ref="A4:H24" headerRowCount="1" totalsRowCount="0" totalsRowShown="0">
  <x:tableColumns count="8">
    <x:tableColumn id="1" name="信号日"/>
    <x:tableColumn id="2" name="前二股票"/>
    <x:tableColumn id="3" name="前二预测均值"/>
    <x:tableColumn id="4" name="前二实际最高均值"/>
    <x:tableColumn id="5" name="前二实际第二高均值"/>
    <x:tableColumn id="6" name="候选池最高均值"/>
    <x:tableColumn id="7" name="候选池第二高均值"/>
    <x:tableColumn id="8" name="前二最高价优势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19317a9420f43c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8d44bb96bd84a8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7" hidden="0" customWidth="1"/>
    <x:col min="4" max="4" width="12" hidden="0" customWidth="1"/>
    <x:col min="5" max="5" width="14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>
      <x:c r="A1" s="18" t="str">
        <x:v>每日预测前二：次日十分钟最高价 / 第二高价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</x:row>
    <x:row r="2">
      <x:c r="A2" s="19" t="str">
        <x:v>20 个折外测试日；原七因子小型提升回归树；预测涨幅按整数百分点目标训练，表内显示连续预测值。实际涨幅均相对信号日 14:40 买价。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</x:row>
    <x:row r="4" ht="34" customHeight="1">
      <x:c r="A4" s="16" t="str">
        <x:v>信号日</x:v>
      </x:c>
      <x:c r="B4" s="16" t="str">
        <x:v>次交易日</x:v>
      </x:c>
      <x:c r="C4" s="16" t="str">
        <x:v>排名</x:v>
      </x:c>
      <x:c r="D4" s="16" t="str">
        <x:v>股票代码</x:v>
      </x:c>
      <x:c r="E4" s="16" t="str">
        <x:v>股票名称</x:v>
      </x:c>
      <x:c r="F4" s="16" t="str">
        <x:v>预测涨幅</x:v>
      </x:c>
      <x:c r="G4" s="16" t="str">
        <x:v>14:40买价</x:v>
      </x:c>
      <x:c r="H4" s="16" t="str">
        <x:v>十分钟最高价</x:v>
      </x:c>
      <x:c r="I4" s="16" t="str">
        <x:v>十分钟第二高价</x:v>
      </x:c>
      <x:c r="J4" s="16" t="str">
        <x:v>最高价实际涨幅</x:v>
      </x:c>
      <x:c r="K4" s="16" t="str">
        <x:v>第二高价实际涨幅</x:v>
      </x:c>
      <x:c r="L4" s="16" t="str">
        <x:v>14:40当日涨幅</x:v>
      </x:c>
      <x:c r="M4" s="16" t="str">
        <x:v>量比</x:v>
      </x:c>
      <x:c r="N4" s="16" t="str">
        <x:v>14:40换手率</x:v>
      </x:c>
      <x:c r="O4" s="16" t="str">
        <x:v>流通市值(亿元)</x:v>
      </x:c>
      <x:c r="P4" s="16" t="str">
        <x:v>五日量四日递增</x:v>
      </x:c>
      <x:c r="Q4" s="16" t="str">
        <x:v>均线多头</x:v>
      </x:c>
      <x:c r="R4" s="16" t="str">
        <x:v>日内低价高于均线</x:v>
      </x:c>
    </x:row>
    <x:row r="5">
      <x:c r="A5" s="7" t="str">
        <x:v>2026-09-02</x:v>
      </x:c>
      <x:c r="B5" s="7" t="str">
        <x:v>2026-09-03</x:v>
      </x:c>
      <x:c r="C5" s="7" t="n">
        <x:v>1</x:v>
      </x:c>
      <x:c r="D5" s="8" t="str">
        <x:v>603319</x:v>
      </x:c>
      <x:c r="E5" s="7" t="str">
        <x:v>湘油泵</x:v>
      </x:c>
      <x:c r="F5" s="9" t="n">
        <x:v>0.019301849444842163</x:v>
      </x:c>
      <x:c r="G5" s="10" t="n">
        <x:v>29.79</x:v>
      </x:c>
      <x:c r="H5" s="10" t="n">
        <x:v>30.97</x:v>
      </x:c>
      <x:c r="I5" s="10" t="n">
        <x:v>30.89</x:v>
      </x:c>
      <x:c r="J5" s="9" t="n">
        <x:f>H5/G5-1</x:f>
        <x:v>0.03961060758643842</x:v>
      </x:c>
      <x:c r="K5" s="9" t="n">
        <x:f>I5/G5-1</x:f>
        <x:v>0.03692514266532387</x:v>
      </x:c>
      <x:c r="L5" s="9" t="n">
        <x:v>0.03294036</x:v>
      </x:c>
      <x:c r="M5" s="11" t="n">
        <x:v>0.87349721</x:v>
      </x:c>
      <x:c r="N5" s="9" t="n">
        <x:v>0.0578204883</x:v>
      </x:c>
      <x:c r="O5" s="12" t="n">
        <x:v>97.81076714</x:v>
      </x:c>
      <x:c r="P5" s="13" t="n">
        <x:v>0</x:v>
      </x:c>
      <x:c r="Q5" s="13" t="n">
        <x:v>0</x:v>
      </x:c>
      <x:c r="R5" s="13" t="n">
        <x:v>1</x:v>
      </x:c>
    </x:row>
    <x:row r="6">
      <x:c r="A6" s="7" t="str">
        <x:v>2026-09-02</x:v>
      </x:c>
      <x:c r="B6" s="7" t="str">
        <x:v>2026-09-03</x:v>
      </x:c>
      <x:c r="C6" s="7" t="n">
        <x:v>2</x:v>
      </x:c>
      <x:c r="D6" s="8" t="str">
        <x:v>688143</x:v>
      </x:c>
      <x:c r="E6" s="7" t="str">
        <x:v>长盈通</x:v>
      </x:c>
      <x:c r="F6" s="9" t="n">
        <x:v>0.013210104118130497</x:v>
      </x:c>
      <x:c r="G6" s="10" t="n">
        <x:v>176.72</x:v>
      </x:c>
      <x:c r="H6" s="10" t="n">
        <x:v>182.99</x:v>
      </x:c>
      <x:c r="I6" s="10" t="n">
        <x:v>182.95</x:v>
      </x:c>
      <x:c r="J6" s="9" t="n">
        <x:f>H6/G6-1</x:f>
        <x:v>0.0354798551380715</x:v>
      </x:c>
      <x:c r="K6" s="9" t="n">
        <x:f>I6/G6-1</x:f>
        <x:v>0.03525350837483021</x:v>
      </x:c>
      <x:c r="L6" s="9" t="n">
        <x:v>0.05820359</x:v>
      </x:c>
      <x:c r="M6" s="11" t="n">
        <x:v>0.89915046</x:v>
      </x:c>
      <x:c r="N6" s="9" t="n">
        <x:v>0.1104421932</x:v>
      </x:c>
      <x:c r="O6" s="12" t="n">
        <x:v>204.36529142</x:v>
      </x:c>
      <x:c r="P6" s="13" t="n">
        <x:v>0</x:v>
      </x:c>
      <x:c r="Q6" s="13" t="n">
        <x:v>1</x:v>
      </x:c>
      <x:c r="R6" s="13" t="n">
        <x:v>0</x:v>
      </x:c>
    </x:row>
    <x:row r="7">
      <x:c r="A7" s="7" t="str">
        <x:v>2026-09-03</x:v>
      </x:c>
      <x:c r="B7" s="7" t="str">
        <x:v>2026-09-04</x:v>
      </x:c>
      <x:c r="C7" s="7" t="n">
        <x:v>1</x:v>
      </x:c>
      <x:c r="D7" s="8" t="str">
        <x:v>002484</x:v>
      </x:c>
      <x:c r="E7" s="7" t="str">
        <x:v>江海股份</x:v>
      </x:c>
      <x:c r="F7" s="9" t="n">
        <x:v>0.016907725443179224</x:v>
      </x:c>
      <x:c r="G7" s="10" t="n">
        <x:v>58.14</x:v>
      </x:c>
      <x:c r="H7" s="10" t="n">
        <x:v>60.52</x:v>
      </x:c>
      <x:c r="I7" s="10" t="n">
        <x:v>60.5</x:v>
      </x:c>
      <x:c r="J7" s="9" t="n">
        <x:f>H7/G7-1</x:f>
        <x:v>0.040935672514619936</x:v>
      </x:c>
      <x:c r="K7" s="9" t="n">
        <x:f>I7/G7-1</x:f>
        <x:v>0.04059167526659779</x:v>
      </x:c>
      <x:c r="L7" s="9" t="n">
        <x:v>0.04063003</x:v>
      </x:c>
      <x:c r="M7" s="11" t="n">
        <x:v>0.88496297</x:v>
      </x:c>
      <x:c r="N7" s="9" t="n">
        <x:v>0.047605639799999995</x:v>
      </x:c>
      <x:c r="O7" s="12" t="n">
        <x:v>458.39659738</x:v>
      </x:c>
      <x:c r="P7" s="13" t="n">
        <x:v>1</x:v>
      </x:c>
      <x:c r="Q7" s="13" t="n">
        <x:v>0</x:v>
      </x:c>
      <x:c r="R7" s="13" t="n">
        <x:v>0</x:v>
      </x:c>
    </x:row>
    <x:row r="8">
      <x:c r="A8" s="7" t="str">
        <x:v>2026-09-03</x:v>
      </x:c>
      <x:c r="B8" s="7" t="str">
        <x:v>2026-09-04</x:v>
      </x:c>
      <x:c r="C8" s="7" t="n">
        <x:v>2</x:v>
      </x:c>
      <x:c r="D8" s="8" t="str">
        <x:v>688233</x:v>
      </x:c>
      <x:c r="E8" s="7" t="str">
        <x:v>神工股份</x:v>
      </x:c>
      <x:c r="F8" s="9" t="n">
        <x:v>0.016784999858149973</x:v>
      </x:c>
      <x:c r="G8" s="10" t="n">
        <x:v>98.49</x:v>
      </x:c>
      <x:c r="H8" s="10" t="n">
        <x:v>100.78</x:v>
      </x:c>
      <x:c r="I8" s="10" t="n">
        <x:v>99.99</x:v>
      </x:c>
      <x:c r="J8" s="9" t="n">
        <x:f>H8/G8-1</x:f>
        <x:v>0.023251091481368835</x:v>
      </x:c>
      <x:c r="K8" s="9" t="n">
        <x:f>I8/G8-1</x:f>
        <x:v>0.015229972586049412</x:v>
      </x:c>
      <x:c r="L8" s="9" t="n">
        <x:v>0.0313089</x:v>
      </x:c>
      <x:c r="M8" s="11" t="n">
        <x:v>0.73505754</x:v>
      </x:c>
      <x:c r="N8" s="9" t="n">
        <x:v>0.036893061500000005</x:v>
      </x:c>
      <x:c r="O8" s="12" t="n">
        <x:v>162.64197788</x:v>
      </x:c>
      <x:c r="P8" s="13" t="n">
        <x:v>0</x:v>
      </x:c>
      <x:c r="Q8" s="13" t="n">
        <x:v>0</x:v>
      </x:c>
      <x:c r="R8" s="13" t="n">
        <x:v>0</x:v>
      </x:c>
    </x:row>
    <x:row r="9">
      <x:c r="A9" s="7" t="str">
        <x:v>2026-09-04</x:v>
      </x:c>
      <x:c r="B9" s="7" t="str">
        <x:v>2026-09-07</x:v>
      </x:c>
      <x:c r="C9" s="7" t="n">
        <x:v>1</x:v>
      </x:c>
      <x:c r="D9" s="8" t="str">
        <x:v>600508</x:v>
      </x:c>
      <x:c r="E9" s="7" t="str">
        <x:v>上海能源</x:v>
      </x:c>
      <x:c r="F9" s="9" t="n">
        <x:v>0.015291491997348066</x:v>
      </x:c>
      <x:c r="G9" s="10" t="n">
        <x:v>11.21</x:v>
      </x:c>
      <x:c r="H9" s="10" t="n">
        <x:v>11.48</x:v>
      </x:c>
      <x:c r="I9" s="10" t="n">
        <x:v>11.45</x:v>
      </x:c>
      <x:c r="J9" s="9" t="n">
        <x:f>H9/G9-1</x:f>
        <x:v>0.02408563782337203</x:v>
      </x:c>
      <x:c r="K9" s="9" t="n">
        <x:f>I9/G9-1</x:f>
        <x:v>0.021409455842997138</x:v>
      </x:c>
      <x:c r="L9" s="9" t="n">
        <x:v>0.03033088</x:v>
      </x:c>
      <x:c r="M9" s="11" t="n">
        <x:v>0.76256568</x:v>
      </x:c>
      <x:c r="N9" s="9" t="n">
        <x:v>0.061394130000000005</x:v>
      </x:c>
      <x:c r="O9" s="12" t="n">
        <x:v>110.08440576</x:v>
      </x:c>
      <x:c r="P9" s="13" t="n">
        <x:v>0</x:v>
      </x:c>
      <x:c r="Q9" s="13" t="n">
        <x:v>1</x:v>
      </x:c>
      <x:c r="R9" s="13" t="n">
        <x:v>0</x:v>
      </x:c>
    </x:row>
    <x:row r="10">
      <x:c r="A10" s="7" t="str">
        <x:v>2026-09-04</x:v>
      </x:c>
      <x:c r="B10" s="7" t="str">
        <x:v>2026-09-07</x:v>
      </x:c>
      <x:c r="C10" s="7" t="n">
        <x:v>2</x:v>
      </x:c>
      <x:c r="D10" s="8" t="str">
        <x:v>002094</x:v>
      </x:c>
      <x:c r="E10" s="7" t="str">
        <x:v>青岛金王</x:v>
      </x:c>
      <x:c r="F10" s="9" t="n">
        <x:v>0.014038492244780073</x:v>
      </x:c>
      <x:c r="G10" s="10" t="n">
        <x:v>5.73</x:v>
      </x:c>
      <x:c r="H10" s="10" t="n">
        <x:v>5.74</x:v>
      </x:c>
      <x:c r="I10" s="10" t="n">
        <x:v>5.69</x:v>
      </x:c>
      <x:c r="J10" s="9" t="n">
        <x:f>H10/G10-1</x:f>
        <x:v>0.0017452006980802626</x:v>
      </x:c>
      <x:c r="K10" s="9" t="n">
        <x:f>I10/G10-1</x:f>
        <x:v>-0.006980802792321161</x:v>
      </x:c>
      <x:c r="L10" s="9" t="n">
        <x:v>0.03243243</x:v>
      </x:c>
      <x:c r="M10" s="11" t="n">
        <x:v>0.77335383</x:v>
      </x:c>
      <x:c r="N10" s="9" t="n">
        <x:v>0.0887867114</x:v>
      </x:c>
      <x:c r="O10" s="12" t="n">
        <x:v>38.32017197</x:v>
      </x:c>
      <x:c r="P10" s="13" t="n">
        <x:v>0</x:v>
      </x:c>
      <x:c r="Q10" s="13" t="n">
        <x:v>1</x:v>
      </x:c>
      <x:c r="R10" s="13" t="n">
        <x:v>0</x:v>
      </x:c>
    </x:row>
    <x:row r="11">
      <x:c r="A11" s="7" t="str">
        <x:v>2026-09-07</x:v>
      </x:c>
      <x:c r="B11" s="7" t="str">
        <x:v>2026-09-08</x:v>
      </x:c>
      <x:c r="C11" s="7" t="n">
        <x:v>1</x:v>
      </x:c>
      <x:c r="D11" s="8" t="str">
        <x:v>002491</x:v>
      </x:c>
      <x:c r="E11" s="7" t="str">
        <x:v>通鼎互联</x:v>
      </x:c>
      <x:c r="F11" s="9" t="n">
        <x:v>0.01806444399076156</x:v>
      </x:c>
      <x:c r="G11" s="10" t="n">
        <x:v>21.11</x:v>
      </x:c>
      <x:c r="H11" s="10" t="n">
        <x:v>21.66</x:v>
      </x:c>
      <x:c r="I11" s="10" t="n">
        <x:v>21.58</x:v>
      </x:c>
      <x:c r="J11" s="9" t="n">
        <x:f>H11/G11-1</x:f>
        <x:v>0.026054002842254897</x:v>
      </x:c>
      <x:c r="K11" s="9" t="n">
        <x:f>I11/G11-1</x:f>
        <x:v>0.022264329701563224</x:v>
      </x:c>
      <x:c r="L11" s="9" t="n">
        <x:v>0.03581943</x:v>
      </x:c>
      <x:c r="M11" s="11" t="n">
        <x:v>0.81466808</x:v>
      </x:c>
      <x:c r="N11" s="9" t="n">
        <x:v>0.09129489910000001</x:v>
      </x:c>
      <x:c r="O11" s="12" t="n">
        <x:v>239.76434062</x:v>
      </x:c>
      <x:c r="P11" s="13" t="n">
        <x:v>0</x:v>
      </x:c>
      <x:c r="Q11" s="13" t="n">
        <x:v>0</x:v>
      </x:c>
      <x:c r="R11" s="13" t="n">
        <x:v>0</x:v>
      </x:c>
    </x:row>
    <x:row r="12">
      <x:c r="A12" s="7" t="str">
        <x:v>2026-09-07</x:v>
      </x:c>
      <x:c r="B12" s="7" t="str">
        <x:v>2026-09-08</x:v>
      </x:c>
      <x:c r="C12" s="7" t="n">
        <x:v>2</x:v>
      </x:c>
      <x:c r="D12" s="8" t="str">
        <x:v>000636</x:v>
      </x:c>
      <x:c r="E12" s="7" t="str">
        <x:v>风华高科</x:v>
      </x:c>
      <x:c r="F12" s="9" t="n">
        <x:v>0.01685284084785139</x:v>
      </x:c>
      <x:c r="G12" s="10" t="n">
        <x:v>50.49</x:v>
      </x:c>
      <x:c r="H12" s="10" t="n">
        <x:v>51.09</x:v>
      </x:c>
      <x:c r="I12" s="10" t="n">
        <x:v>50.95</x:v>
      </x:c>
      <x:c r="J12" s="9" t="n">
        <x:f>H12/G12-1</x:f>
        <x:v>0.011883541295306</x:v>
      </x:c>
      <x:c r="K12" s="9" t="n">
        <x:f>I12/G12-1</x:f>
        <x:v>0.009110714993068036</x:v>
      </x:c>
      <x:c r="L12" s="9" t="n">
        <x:v>0.04296633</x:v>
      </x:c>
      <x:c r="M12" s="11" t="n">
        <x:v>0.79806795</x:v>
      </x:c>
      <x:c r="N12" s="9" t="n">
        <x:v>0.0677281738</x:v>
      </x:c>
      <x:c r="O12" s="12" t="n">
        <x:v>555.49989399</x:v>
      </x:c>
      <x:c r="P12" s="13" t="n">
        <x:v>0</x:v>
      </x:c>
      <x:c r="Q12" s="13" t="n">
        <x:v>0</x:v>
      </x:c>
      <x:c r="R12" s="13" t="n">
        <x:v>0</x:v>
      </x:c>
    </x:row>
    <x:row r="13">
      <x:c r="A13" s="7" t="str">
        <x:v>2026-09-08</x:v>
      </x:c>
      <x:c r="B13" s="7" t="str">
        <x:v>2026-09-09</x:v>
      </x:c>
      <x:c r="C13" s="7" t="n">
        <x:v>1</x:v>
      </x:c>
      <x:c r="D13" s="8" t="str">
        <x:v>300917</x:v>
      </x:c>
      <x:c r="E13" s="7" t="str">
        <x:v>特发服务</x:v>
      </x:c>
      <x:c r="F13" s="9" t="n">
        <x:v>0.01709089681525037</x:v>
      </x:c>
      <x:c r="G13" s="10" t="n">
        <x:v>29.98</x:v>
      </x:c>
      <x:c r="H13" s="10" t="n">
        <x:v>29.53</x:v>
      </x:c>
      <x:c r="I13" s="10" t="n">
        <x:v>29.1</x:v>
      </x:c>
      <x:c r="J13" s="9" t="n">
        <x:f>H13/G13-1</x:f>
        <x:v>-0.015010006671114073</x:v>
      </x:c>
      <x:c r="K13" s="9" t="n">
        <x:f>I13/G13-1</x:f>
        <x:v>-0.029352901934623032</x:v>
      </x:c>
      <x:c r="L13" s="9" t="n">
        <x:v>0.04935247</x:v>
      </x:c>
      <x:c r="M13" s="11" t="n">
        <x:v>0.82148588</x:v>
      </x:c>
      <x:c r="N13" s="9" t="n">
        <x:v>0.0890733728</x:v>
      </x:c>
      <x:c r="O13" s="12" t="n">
        <x:v>48.2833</x:v>
      </x:c>
      <x:c r="P13" s="13" t="n">
        <x:v>0</x:v>
      </x:c>
      <x:c r="Q13" s="13" t="n">
        <x:v>1</x:v>
      </x:c>
      <x:c r="R13" s="13" t="n">
        <x:v>0</x:v>
      </x:c>
    </x:row>
    <x:row r="14">
      <x:c r="A14" s="7" t="str">
        <x:v>2026-09-08</x:v>
      </x:c>
      <x:c r="B14" s="7" t="str">
        <x:v>2026-09-09</x:v>
      </x:c>
      <x:c r="C14" s="7" t="n">
        <x:v>2</x:v>
      </x:c>
      <x:c r="D14" s="8" t="str">
        <x:v>600172</x:v>
      </x:c>
      <x:c r="E14" s="7" t="str">
        <x:v>黄河旋风</x:v>
      </x:c>
      <x:c r="F14" s="9" t="n">
        <x:v>0.0158422300386001</x:v>
      </x:c>
      <x:c r="G14" s="10" t="n">
        <x:v>16.41</x:v>
      </x:c>
      <x:c r="H14" s="10" t="n">
        <x:v>16.66</x:v>
      </x:c>
      <x:c r="I14" s="10" t="n">
        <x:v>16.56</x:v>
      </x:c>
      <x:c r="J14" s="9" t="n">
        <x:f>H14/G14-1</x:f>
        <x:v>0.015234613040828737</x:v>
      </x:c>
      <x:c r="K14" s="9" t="n">
        <x:f>I14/G14-1</x:f>
        <x:v>0.009140767824497242</x:v>
      </x:c>
      <x:c r="L14" s="9" t="n">
        <x:v>0.03272498</x:v>
      </x:c>
      <x:c r="M14" s="11" t="n">
        <x:v>0.88420543</x:v>
      </x:c>
      <x:c r="N14" s="9" t="n">
        <x:v>0.1798179138</x:v>
      </x:c>
      <x:c r="O14" s="12" t="n">
        <x:v>204.07187081</x:v>
      </x:c>
      <x:c r="P14" s="13" t="n">
        <x:v>0</x:v>
      </x:c>
      <x:c r="Q14" s="13" t="n">
        <x:v>1</x:v>
      </x:c>
      <x:c r="R14" s="13" t="n">
        <x:v>1</x:v>
      </x:c>
    </x:row>
    <x:row r="15">
      <x:c r="A15" s="7" t="str">
        <x:v>2026-09-09</x:v>
      </x:c>
      <x:c r="B15" s="7" t="str">
        <x:v>2026-09-10</x:v>
      </x:c>
      <x:c r="C15" s="7" t="n">
        <x:v>1</x:v>
      </x:c>
      <x:c r="D15" s="8" t="str">
        <x:v>600172</x:v>
      </x:c>
      <x:c r="E15" s="7" t="str">
        <x:v>黄河旋风</x:v>
      </x:c>
      <x:c r="F15" s="9" t="n">
        <x:v>0.018755309604327728</x:v>
      </x:c>
      <x:c r="G15" s="10" t="n">
        <x:v>17.15</x:v>
      </x:c>
      <x:c r="H15" s="10" t="n">
        <x:v>17.05</x:v>
      </x:c>
      <x:c r="I15" s="10" t="n">
        <x:v>16.98</x:v>
      </x:c>
      <x:c r="J15" s="9" t="n">
        <x:f>H15/G15-1</x:f>
        <x:v>-0.005830903790087327</x:v>
      </x:c>
      <x:c r="K15" s="9" t="n">
        <x:f>I15/G15-1</x:f>
        <x:v>-0.0099125364431486</x:v>
      </x:c>
      <x:c r="L15" s="9" t="n">
        <x:v>0.03939394</x:v>
      </x:c>
      <x:c r="M15" s="11" t="n">
        <x:v>0.81852071</x:v>
      </x:c>
      <x:c r="N15" s="9" t="n">
        <x:v>0.17407048490000002</x:v>
      </x:c>
      <x:c r="O15" s="12" t="n">
        <x:v>211.90597032</x:v>
      </x:c>
      <x:c r="P15" s="13" t="n">
        <x:v>0</x:v>
      </x:c>
      <x:c r="Q15" s="13" t="n">
        <x:v>1</x:v>
      </x:c>
      <x:c r="R15" s="13" t="n">
        <x:v>1</x:v>
      </x:c>
    </x:row>
    <x:row r="16">
      <x:c r="A16" s="7" t="str">
        <x:v>2026-09-09</x:v>
      </x:c>
      <x:c r="B16" s="7" t="str">
        <x:v>2026-09-10</x:v>
      </x:c>
      <x:c r="C16" s="7" t="n">
        <x:v>2</x:v>
      </x:c>
      <x:c r="D16" s="8" t="str">
        <x:v>688205</x:v>
      </x:c>
      <x:c r="E16" s="7" t="str">
        <x:v>德科立</x:v>
      </x:c>
      <x:c r="F16" s="9" t="n">
        <x:v>0.015227136607774708</x:v>
      </x:c>
      <x:c r="G16" s="10" t="n">
        <x:v>224.71</x:v>
      </x:c>
      <x:c r="H16" s="10" t="n">
        <x:v>227.36</x:v>
      </x:c>
      <x:c r="I16" s="10" t="n">
        <x:v>227</x:v>
      </x:c>
      <x:c r="J16" s="9" t="n">
        <x:f>H16/G16-1</x:f>
        <x:v>0.011792977615593392</x:v>
      </x:c>
      <x:c r="K16" s="9" t="n">
        <x:f>I16/G16-1</x:f>
        <x:v>0.010190912731965707</x:v>
      </x:c>
      <x:c r="L16" s="9" t="n">
        <x:v>0.05995283</x:v>
      </x:c>
      <x:c r="M16" s="11" t="n">
        <x:v>1.17253957</x:v>
      </x:c>
      <x:c r="N16" s="9" t="n">
        <x:v>0.1145841989</x:v>
      </x:c>
      <x:c r="O16" s="12" t="n">
        <x:v>337.58347456</x:v>
      </x:c>
      <x:c r="P16" s="13" t="n">
        <x:v>0</x:v>
      </x:c>
      <x:c r="Q16" s="13" t="n">
        <x:v>1</x:v>
      </x:c>
      <x:c r="R16" s="13" t="n">
        <x:v>1</x:v>
      </x:c>
    </x:row>
    <x:row r="17">
      <x:c r="A17" s="7" t="str">
        <x:v>2026-09-10</x:v>
      </x:c>
      <x:c r="B17" s="7" t="str">
        <x:v>2026-09-11</x:v>
      </x:c>
      <x:c r="C17" s="7" t="n">
        <x:v>1</x:v>
      </x:c>
      <x:c r="D17" s="8" t="str">
        <x:v>300840</x:v>
      </x:c>
      <x:c r="E17" s="7" t="str">
        <x:v>酷特智能</x:v>
      </x:c>
      <x:c r="F17" s="9" t="n">
        <x:v>0.012460343799325504</x:v>
      </x:c>
      <x:c r="G17" s="10" t="n">
        <x:v>19.65</x:v>
      </x:c>
      <x:c r="H17" s="10" t="n">
        <x:v>19.55</x:v>
      </x:c>
      <x:c r="I17" s="10" t="n">
        <x:v>19.1</x:v>
      </x:c>
      <x:c r="J17" s="9" t="n">
        <x:f>H17/G17-1</x:f>
        <x:v>-0.0050890585241729624</x:v>
      </x:c>
      <x:c r="K17" s="9" t="n">
        <x:f>I17/G17-1</x:f>
        <x:v>-0.027989821882951516</x:v>
      </x:c>
      <x:c r="L17" s="9" t="n">
        <x:v>0.03803487</x:v>
      </x:c>
      <x:c r="M17" s="11" t="n">
        <x:v>1.12005912</x:v>
      </x:c>
      <x:c r="N17" s="9" t="n">
        <x:v>0.0824756915</x:v>
      </x:c>
      <x:c r="O17" s="12" t="n">
        <x:v>33.60365292</x:v>
      </x:c>
      <x:c r="P17" s="13" t="n">
        <x:v>0</x:v>
      </x:c>
      <x:c r="Q17" s="13" t="n">
        <x:v>0</x:v>
      </x:c>
      <x:c r="R17" s="13" t="n">
        <x:v>0</x:v>
      </x:c>
    </x:row>
    <x:row r="18">
      <x:c r="A18" s="7" t="str">
        <x:v>2026-09-10</x:v>
      </x:c>
      <x:c r="B18" s="7" t="str">
        <x:v>2026-09-11</x:v>
      </x:c>
      <x:c r="C18" s="7" t="n">
        <x:v>2</x:v>
      </x:c>
      <x:c r="D18" s="8" t="str">
        <x:v>688167</x:v>
      </x:c>
      <x:c r="E18" s="7" t="str">
        <x:v>炬光科技</x:v>
      </x:c>
      <x:c r="F18" s="9" t="n">
        <x:v>0.01184109012897057</x:v>
      </x:c>
      <x:c r="G18" s="10" t="n">
        <x:v>318.79</x:v>
      </x:c>
      <x:c r="H18" s="10" t="n">
        <x:v>314</x:v>
      </x:c>
      <x:c r="I18" s="10" t="n">
        <x:v>312.5</x:v>
      </x:c>
      <x:c r="J18" s="9" t="n">
        <x:f>H18/G18-1</x:f>
        <x:v>-0.015025565419241604</x:v>
      </x:c>
      <x:c r="K18" s="9" t="n">
        <x:f>I18/G18-1</x:f>
        <x:v>-0.01973085730418145</x:v>
      </x:c>
      <x:c r="L18" s="9" t="n">
        <x:v>0.05367708</x:v>
      </x:c>
      <x:c r="M18" s="11" t="n">
        <x:v>1.05798414</x:v>
      </x:c>
      <x:c r="N18" s="9" t="n">
        <x:v>0.077780698</x:v>
      </x:c>
      <x:c r="O18" s="12" t="n">
        <x:v>393.73545676</x:v>
      </x:c>
      <x:c r="P18" s="13" t="n">
        <x:v>0</x:v>
      </x:c>
      <x:c r="Q18" s="13" t="n">
        <x:v>1</x:v>
      </x:c>
      <x:c r="R18" s="13" t="n">
        <x:v>0</x:v>
      </x:c>
    </x:row>
    <x:row r="19">
      <x:c r="A19" s="7" t="str">
        <x:v>2026-09-11</x:v>
      </x:c>
      <x:c r="B19" s="7" t="str">
        <x:v>2026-09-14</x:v>
      </x:c>
      <x:c r="C19" s="7" t="n">
        <x:v>1</x:v>
      </x:c>
      <x:c r="D19" s="8" t="str">
        <x:v>603989</x:v>
      </x:c>
      <x:c r="E19" s="7" t="str">
        <x:v>艾华集团</x:v>
      </x:c>
      <x:c r="F19" s="9" t="n">
        <x:v>0.012885132174706682</x:v>
      </x:c>
      <x:c r="G19" s="10" t="n">
        <x:v>32.75</x:v>
      </x:c>
      <x:c r="H19" s="10" t="n">
        <x:v>32.05</x:v>
      </x:c>
      <x:c r="I19" s="10" t="n">
        <x:v>31.54</x:v>
      </x:c>
      <x:c r="J19" s="9" t="n">
        <x:f>H19/G19-1</x:f>
        <x:v>-0.021374045801526798</x:v>
      </x:c>
      <x:c r="K19" s="9" t="n">
        <x:f>I19/G19-1</x:f>
        <x:v>-0.03694656488549619</x:v>
      </x:c>
      <x:c r="L19" s="9" t="n">
        <x:v>0.03312303</x:v>
      </x:c>
      <x:c r="M19" s="11" t="n">
        <x:v>0.87552899</x:v>
      </x:c>
      <x:c r="N19" s="9" t="n">
        <x:v>0.0857302573</x:v>
      </x:c>
      <x:c r="O19" s="12" t="n">
        <x:v>126.41321562</x:v>
      </x:c>
      <x:c r="P19" s="13" t="n">
        <x:v>0</x:v>
      </x:c>
      <x:c r="Q19" s="13" t="n">
        <x:v>1</x:v>
      </x:c>
      <x:c r="R19" s="13" t="n">
        <x:v>0</x:v>
      </x:c>
    </x:row>
    <x:row r="20">
      <x:c r="A20" s="7" t="str">
        <x:v>2026-09-11</x:v>
      </x:c>
      <x:c r="B20" s="7" t="str">
        <x:v>2026-09-14</x:v>
      </x:c>
      <x:c r="C20" s="7" t="n">
        <x:v>2</x:v>
      </x:c>
      <x:c r="D20" s="8" t="str">
        <x:v>601595</x:v>
      </x:c>
      <x:c r="E20" s="7" t="str">
        <x:v>上海电影</x:v>
      </x:c>
      <x:c r="F20" s="9" t="n">
        <x:v>0.01192364574090215</x:v>
      </x:c>
      <x:c r="G20" s="10" t="n">
        <x:v>23.36</x:v>
      </x:c>
      <x:c r="H20" s="10" t="n">
        <x:v>23.98</x:v>
      </x:c>
      <x:c r="I20" s="10" t="n">
        <x:v>23.96</x:v>
      </x:c>
      <x:c r="J20" s="9" t="n">
        <x:f>H20/G20-1</x:f>
        <x:v>0.026541095890411093</x:v>
      </x:c>
      <x:c r="K20" s="9" t="n">
        <x:f>I20/G20-1</x:f>
        <x:v>0.025684931506849473</x:v>
      </x:c>
      <x:c r="L20" s="9" t="n">
        <x:v>0.04941599</x:v>
      </x:c>
      <x:c r="M20" s="11" t="n">
        <x:v>0.7735573</x:v>
      </x:c>
      <x:c r="N20" s="9" t="n">
        <x:v>0.04807452030000001</x:v>
      </x:c>
      <x:c r="O20" s="12" t="n">
        <x:v>99.76932</x:v>
      </x:c>
      <x:c r="P20" s="13" t="n">
        <x:v>0</x:v>
      </x:c>
      <x:c r="Q20" s="13" t="n">
        <x:v>1</x:v>
      </x:c>
      <x:c r="R20" s="13" t="n">
        <x:v>1</x:v>
      </x:c>
    </x:row>
    <x:row r="21">
      <x:c r="A21" s="7" t="str">
        <x:v>2026-09-14</x:v>
      </x:c>
      <x:c r="B21" s="7" t="str">
        <x:v>2026-09-15</x:v>
      </x:c>
      <x:c r="C21" s="7" t="n">
        <x:v>1</x:v>
      </x:c>
      <x:c r="D21" s="8" t="str">
        <x:v>605177</x:v>
      </x:c>
      <x:c r="E21" s="7" t="str">
        <x:v>东亚药业</x:v>
      </x:c>
      <x:c r="F21" s="9" t="n">
        <x:v>0.01183853895866159</x:v>
      </x:c>
      <x:c r="G21" s="10" t="n">
        <x:v>24.84</x:v>
      </x:c>
      <x:c r="H21" s="10" t="n">
        <x:v>25.56</x:v>
      </x:c>
      <x:c r="I21" s="10" t="n">
        <x:v>25.48</x:v>
      </x:c>
      <x:c r="J21" s="9" t="n">
        <x:f>H21/G21-1</x:f>
        <x:v>0.02898550724637672</x:v>
      </x:c>
      <x:c r="K21" s="9" t="n">
        <x:f>I21/G21-1</x:f>
        <x:v>0.025764895330112836</x:v>
      </x:c>
      <x:c r="L21" s="9" t="n">
        <x:v>0.05388205</x:v>
      </x:c>
      <x:c r="M21" s="11" t="n">
        <x:v>0.72794334</x:v>
      </x:c>
      <x:c r="N21" s="9" t="n">
        <x:v>0.0804831484</x:v>
      </x:c>
      <x:c r="O21" s="12" t="n">
        <x:v>26.78786196</x:v>
      </x:c>
      <x:c r="P21" s="13" t="n">
        <x:v>0</x:v>
      </x:c>
      <x:c r="Q21" s="13" t="n">
        <x:v>1</x:v>
      </x:c>
      <x:c r="R21" s="13" t="n">
        <x:v>1</x:v>
      </x:c>
    </x:row>
    <x:row r="22">
      <x:c r="A22" s="7" t="str">
        <x:v>2026-09-14</x:v>
      </x:c>
      <x:c r="B22" s="7" t="str">
        <x:v>2026-09-15</x:v>
      </x:c>
      <x:c r="C22" s="7" t="n">
        <x:v>2</x:v>
      </x:c>
      <x:c r="D22" s="8" t="str">
        <x:v>688601</x:v>
      </x:c>
      <x:c r="E22" s="7" t="str">
        <x:v>力芯微</x:v>
      </x:c>
      <x:c r="F22" s="9" t="n">
        <x:v>0.011633966918952488</x:v>
      </x:c>
      <x:c r="G22" s="10" t="n">
        <x:v>58.19</x:v>
      </x:c>
      <x:c r="H22" s="10" t="n">
        <x:v>58.08</x:v>
      </x:c>
      <x:c r="I22" s="10" t="n">
        <x:v>57.7</x:v>
      </x:c>
      <x:c r="J22" s="9" t="n">
        <x:f>H22/G22-1</x:f>
        <x:v>-0.001890359168241984</x:v>
      </x:c>
      <x:c r="K22" s="9" t="n">
        <x:f>I22/G22-1</x:f>
        <x:v>-0.008420690840350464</x:v>
      </x:c>
      <x:c r="L22" s="9" t="n">
        <x:v>0.05055064</x:v>
      </x:c>
      <x:c r="M22" s="11" t="n">
        <x:v>0.85122569</x:v>
      </x:c>
      <x:c r="N22" s="9" t="n">
        <x:v>0.025725413600000004</x:v>
      </x:c>
      <x:c r="O22" s="12" t="n">
        <x:v>74.05238653</x:v>
      </x:c>
      <x:c r="P22" s="13" t="n">
        <x:v>0</x:v>
      </x:c>
      <x:c r="Q22" s="13" t="n">
        <x:v>0</x:v>
      </x:c>
      <x:c r="R22" s="13" t="n">
        <x:v>0</x:v>
      </x:c>
    </x:row>
    <x:row r="23">
      <x:c r="A23" s="7" t="str">
        <x:v>2026-09-15</x:v>
      </x:c>
      <x:c r="B23" s="7" t="str">
        <x:v>2026-09-16</x:v>
      </x:c>
      <x:c r="C23" s="7" t="n">
        <x:v>1</x:v>
      </x:c>
      <x:c r="D23" s="8" t="str">
        <x:v>603375</x:v>
      </x:c>
      <x:c r="E23" s="7" t="str">
        <x:v>盛景微</x:v>
      </x:c>
      <x:c r="F23" s="9" t="n">
        <x:v>0.009437733233497263</x:v>
      </x:c>
      <x:c r="G23" s="10" t="n">
        <x:v>44.91</x:v>
      </x:c>
      <x:c r="H23" s="10" t="n">
        <x:v>46.1</x:v>
      </x:c>
      <x:c r="I23" s="10" t="n">
        <x:v>45.97</x:v>
      </x:c>
      <x:c r="J23" s="9" t="n">
        <x:f>H23/G23-1</x:f>
        <x:v>0.026497439323090788</x:v>
      </x:c>
      <x:c r="K23" s="9" t="n">
        <x:f>I23/G23-1</x:f>
        <x:v>0.023602761077710976</x:v>
      </x:c>
      <x:c r="L23" s="9" t="n">
        <x:v>0.03526971</x:v>
      </x:c>
      <x:c r="M23" s="11" t="n">
        <x:v>0.85271535</x:v>
      </x:c>
      <x:c r="N23" s="9" t="n">
        <x:v>0.0282419844</x:v>
      </x:c>
      <x:c r="O23" s="12" t="n">
        <x:v>27.668167</x:v>
      </x:c>
      <x:c r="P23" s="13" t="n">
        <x:v>0</x:v>
      </x:c>
      <x:c r="Q23" s="13" t="n">
        <x:v>1</x:v>
      </x:c>
      <x:c r="R23" s="13" t="n">
        <x:v>0</x:v>
      </x:c>
    </x:row>
    <x:row r="24">
      <x:c r="A24" s="7" t="str">
        <x:v>2026-09-15</x:v>
      </x:c>
      <x:c r="B24" s="7" t="str">
        <x:v>2026-09-16</x:v>
      </x:c>
      <x:c r="C24" s="7" t="n">
        <x:v>2</x:v>
      </x:c>
      <x:c r="D24" s="8" t="str">
        <x:v>300225</x:v>
      </x:c>
      <x:c r="E24" s="7" t="str">
        <x:v>金力泰</x:v>
      </x:c>
      <x:c r="F24" s="9" t="n">
        <x:v>0.009422362907122464</x:v>
      </x:c>
      <x:c r="G24" s="10" t="n">
        <x:v>7.98</x:v>
      </x:c>
      <x:c r="H24" s="10" t="n">
        <x:v>8</x:v>
      </x:c>
      <x:c r="I24" s="10" t="n">
        <x:v>7.92</x:v>
      </x:c>
      <x:c r="J24" s="9" t="n">
        <x:f>H24/G24-1</x:f>
        <x:v>0.0025062656641603454</x:v>
      </x:c>
      <x:c r="K24" s="9" t="n">
        <x:f>I24/G24-1</x:f>
        <x:v>-0.007518796992481258</x:v>
      </x:c>
      <x:c r="L24" s="9" t="n">
        <x:v>0.03234153</x:v>
      </x:c>
      <x:c r="M24" s="11" t="n">
        <x:v>0.86753273</x:v>
      </x:c>
      <x:c r="N24" s="9" t="n">
        <x:v>0.032683387</x:v>
      </x:c>
      <x:c r="O24" s="12" t="n">
        <x:v>36.4961043</x:v>
      </x:c>
      <x:c r="P24" s="13" t="n">
        <x:v>0</x:v>
      </x:c>
      <x:c r="Q24" s="13" t="n">
        <x:v>1</x:v>
      </x:c>
      <x:c r="R24" s="13" t="n">
        <x:v>0</x:v>
      </x:c>
    </x:row>
    <x:row r="25">
      <x:c r="A25" s="7" t="str">
        <x:v>2026-09-16</x:v>
      </x:c>
      <x:c r="B25" s="7" t="str">
        <x:v>2026-09-17</x:v>
      </x:c>
      <x:c r="C25" s="7" t="n">
        <x:v>1</x:v>
      </x:c>
      <x:c r="D25" s="8" t="str">
        <x:v>300808</x:v>
      </x:c>
      <x:c r="E25" s="7" t="str">
        <x:v>久量股份</x:v>
      </x:c>
      <x:c r="F25" s="9" t="n">
        <x:v>0.012618053160570061</x:v>
      </x:c>
      <x:c r="G25" s="10" t="n">
        <x:v>18.99</x:v>
      </x:c>
      <x:c r="H25" s="10" t="n">
        <x:v>21.29</x:v>
      </x:c>
      <x:c r="I25" s="10" t="n">
        <x:v>21.15</x:v>
      </x:c>
      <x:c r="J25" s="9" t="n">
        <x:f>H25/G25-1</x:f>
        <x:v>0.12111637704054767</x:v>
      </x:c>
      <x:c r="K25" s="9" t="n">
        <x:f>I25/G25-1</x:f>
        <x:v>0.11374407582938395</x:v>
      </x:c>
      <x:c r="L25" s="9" t="n">
        <x:v>0.055</x:v>
      </x:c>
      <x:c r="M25" s="11" t="n">
        <x:v>0.80888501</x:v>
      </x:c>
      <x:c r="N25" s="9" t="n">
        <x:v>0.044193596700000004</x:v>
      </x:c>
      <x:c r="O25" s="12" t="n">
        <x:v>21.40192404</x:v>
      </x:c>
      <x:c r="P25" s="13" t="n">
        <x:v>0</x:v>
      </x:c>
      <x:c r="Q25" s="13" t="n">
        <x:v>0</x:v>
      </x:c>
      <x:c r="R25" s="13" t="n">
        <x:v>0</x:v>
      </x:c>
    </x:row>
    <x:row r="26">
      <x:c r="A26" s="7" t="str">
        <x:v>2026-09-16</x:v>
      </x:c>
      <x:c r="B26" s="7" t="str">
        <x:v>2026-09-17</x:v>
      </x:c>
      <x:c r="C26" s="7" t="n">
        <x:v>2</x:v>
      </x:c>
      <x:c r="D26" s="8" t="str">
        <x:v>301161</x:v>
      </x:c>
      <x:c r="E26" s="7" t="str">
        <x:v>唯万密封</x:v>
      </x:c>
      <x:c r="F26" s="9" t="n">
        <x:v>0.012410846298075809</x:v>
      </x:c>
      <x:c r="G26" s="10" t="n">
        <x:v>29.63</x:v>
      </x:c>
      <x:c r="H26" s="10" t="n">
        <x:v>30.19</x:v>
      </x:c>
      <x:c r="I26" s="10" t="n">
        <x:v>30.16</x:v>
      </x:c>
      <x:c r="J26" s="9" t="n">
        <x:f>H26/G26-1</x:f>
        <x:v>0.018899763752953103</x:v>
      </x:c>
      <x:c r="K26" s="9" t="n">
        <x:f>I26/G26-1</x:f>
        <x:v>0.017887276409044972</x:v>
      </x:c>
      <x:c r="L26" s="9" t="n">
        <x:v>0.05369844</x:v>
      </x:c>
      <x:c r="M26" s="11" t="n">
        <x:v>1.61958911</x:v>
      </x:c>
      <x:c r="N26" s="9" t="n">
        <x:v>0.041453374700000004</x:v>
      </x:c>
      <x:c r="O26" s="12" t="n">
        <x:v>21.70795809</x:v>
      </x:c>
      <x:c r="P26" s="13" t="n">
        <x:v>0</x:v>
      </x:c>
      <x:c r="Q26" s="13" t="n">
        <x:v>0</x:v>
      </x:c>
      <x:c r="R26" s="13" t="n">
        <x:v>0</x:v>
      </x:c>
    </x:row>
    <x:row r="27">
      <x:c r="A27" s="7" t="str">
        <x:v>2026-09-17</x:v>
      </x:c>
      <x:c r="B27" s="7" t="str">
        <x:v>2026-09-18</x:v>
      </x:c>
      <x:c r="C27" s="7" t="n">
        <x:v>1</x:v>
      </x:c>
      <x:c r="D27" s="8" t="str">
        <x:v>000679</x:v>
      </x:c>
      <x:c r="E27" s="7" t="str">
        <x:v>大连友谊</x:v>
      </x:c>
      <x:c r="F27" s="9" t="n">
        <x:v>0.013883067461201883</x:v>
      </x:c>
      <x:c r="G27" s="10" t="n">
        <x:v>6.45</x:v>
      </x:c>
      <x:c r="H27" s="10" t="n">
        <x:v>6.44</x:v>
      </x:c>
      <x:c r="I27" s="10" t="n">
        <x:v>6.44</x:v>
      </x:c>
      <x:c r="J27" s="9" t="n">
        <x:f>H27/G27-1</x:f>
        <x:v>-0.0015503875968991832</x:v>
      </x:c>
      <x:c r="K27" s="9" t="n">
        <x:f>I27/G27-1</x:f>
        <x:v>-0.0015503875968991832</x:v>
      </x:c>
      <x:c r="L27" s="9" t="n">
        <x:v>0.04707792</x:v>
      </x:c>
      <x:c r="M27" s="11" t="n">
        <x:v>0.70012968</x:v>
      </x:c>
      <x:c r="N27" s="9" t="n">
        <x:v>0.0387693603</x:v>
      </x:c>
      <x:c r="O27" s="12" t="n">
        <x:v>21.95424</x:v>
      </x:c>
      <x:c r="P27" s="13" t="n">
        <x:v>0</x:v>
      </x:c>
      <x:c r="Q27" s="13" t="n">
        <x:v>0</x:v>
      </x:c>
      <x:c r="R27" s="13" t="n">
        <x:v>0</x:v>
      </x:c>
    </x:row>
    <x:row r="28">
      <x:c r="A28" s="7" t="str">
        <x:v>2026-09-17</x:v>
      </x:c>
      <x:c r="B28" s="7" t="str">
        <x:v>2026-09-18</x:v>
      </x:c>
      <x:c r="C28" s="7" t="n">
        <x:v>2</x:v>
      </x:c>
      <x:c r="D28" s="8" t="str">
        <x:v>301018</x:v>
      </x:c>
      <x:c r="E28" s="7" t="str">
        <x:v>申菱环境</x:v>
      </x:c>
      <x:c r="F28" s="9" t="n">
        <x:v>0.012750019270864988</x:v>
      </x:c>
      <x:c r="G28" s="10" t="n">
        <x:v>104.68</x:v>
      </x:c>
      <x:c r="H28" s="10" t="n">
        <x:v>107.5</x:v>
      </x:c>
      <x:c r="I28" s="10" t="n">
        <x:v>105.41</x:v>
      </x:c>
      <x:c r="J28" s="9" t="n">
        <x:f>H28/G28-1</x:f>
        <x:v>0.02693924340848297</x:v>
      </x:c>
      <x:c r="K28" s="9" t="n">
        <x:f>I28/G28-1</x:f>
        <x:v>0.006973633931983025</x:v>
      </x:c>
      <x:c r="L28" s="9" t="n">
        <x:v>0.03316226</x:v>
      </x:c>
      <x:c r="M28" s="11" t="n">
        <x:v>1.79219068</x:v>
      </x:c>
      <x:c r="N28" s="9" t="n">
        <x:v>0.0720500358</x:v>
      </x:c>
      <x:c r="O28" s="12" t="n">
        <x:v>286.55616127</x:v>
      </x:c>
      <x:c r="P28" s="13" t="n">
        <x:v>0</x:v>
      </x:c>
      <x:c r="Q28" s="13" t="n">
        <x:v>0</x:v>
      </x:c>
      <x:c r="R28" s="13" t="n">
        <x:v>1</x:v>
      </x:c>
    </x:row>
    <x:row r="29">
      <x:c r="A29" s="7" t="str">
        <x:v>2026-09-18</x:v>
      </x:c>
      <x:c r="B29" s="7" t="str">
        <x:v>2026-09-21</x:v>
      </x:c>
      <x:c r="C29" s="7" t="n">
        <x:v>1</x:v>
      </x:c>
      <x:c r="D29" s="8" t="str">
        <x:v>300870</x:v>
      </x:c>
      <x:c r="E29" s="7" t="str">
        <x:v>欧陆通</x:v>
      </x:c>
      <x:c r="F29" s="9" t="n">
        <x:v>0.015191118038168992</x:v>
      </x:c>
      <x:c r="G29" s="10" t="n">
        <x:v>213.35</x:v>
      </x:c>
      <x:c r="H29" s="10" t="n">
        <x:v>223.2</x:v>
      </x:c>
      <x:c r="I29" s="10" t="n">
        <x:v>221.88</x:v>
      </x:c>
      <x:c r="J29" s="9" t="n">
        <x:f>H29/G29-1</x:f>
        <x:v>0.04616826810405428</x:v>
      </x:c>
      <x:c r="K29" s="9" t="n">
        <x:f>I29/G29-1</x:f>
        <x:v>0.039981251464729306</x:v>
      </x:c>
      <x:c r="L29" s="9" t="n">
        <x:v>0.05765417</x:v>
      </x:c>
      <x:c r="M29" s="11" t="n">
        <x:v>1.59819009</x:v>
      </x:c>
      <x:c r="N29" s="9" t="n">
        <x:v>0.043054709200000006</x:v>
      </x:c>
      <x:c r="O29" s="12" t="n">
        <x:v>307.87866396</x:v>
      </x:c>
      <x:c r="P29" s="13" t="n">
        <x:v>1</x:v>
      </x:c>
      <x:c r="Q29" s="13" t="n">
        <x:v>0</x:v>
      </x:c>
      <x:c r="R29" s="13" t="n">
        <x:v>0</x:v>
      </x:c>
    </x:row>
    <x:row r="30">
      <x:c r="A30" s="7" t="str">
        <x:v>2026-09-18</x:v>
      </x:c>
      <x:c r="B30" s="7" t="str">
        <x:v>2026-09-21</x:v>
      </x:c>
      <x:c r="C30" s="7" t="n">
        <x:v>2</x:v>
      </x:c>
      <x:c r="D30" s="8" t="str">
        <x:v>688146</x:v>
      </x:c>
      <x:c r="E30" s="7" t="str">
        <x:v>中船特气</x:v>
      </x:c>
      <x:c r="F30" s="9" t="n">
        <x:v>0.014364188246423415</x:v>
      </x:c>
      <x:c r="G30" s="10" t="n">
        <x:v>239.12</x:v>
      </x:c>
      <x:c r="H30" s="10" t="n">
        <x:v>246.98</x:v>
      </x:c>
      <x:c r="I30" s="10" t="n">
        <x:v>245.5</x:v>
      </x:c>
      <x:c r="J30" s="9" t="n">
        <x:f>H30/G30-1</x:f>
        <x:v>0.03287052525928402</x:v>
      </x:c>
      <x:c r="K30" s="9" t="n">
        <x:f>I30/G30-1</x:f>
        <x:v>0.026681164268986368</x:v>
      </x:c>
      <x:c r="L30" s="9" t="n">
        <x:v>0.05852147</x:v>
      </x:c>
      <x:c r="M30" s="11" t="n">
        <x:v>1.42665694</x:v>
      </x:c>
      <x:c r="N30" s="9" t="n">
        <x:v>0.1069125335</x:v>
      </x:c>
      <x:c r="O30" s="12" t="n">
        <x:v>327.48913208</x:v>
      </x:c>
      <x:c r="P30" s="13" t="n">
        <x:v>0</x:v>
      </x:c>
      <x:c r="Q30" s="13" t="n">
        <x:v>0</x:v>
      </x:c>
      <x:c r="R30" s="13" t="n">
        <x:v>0</x:v>
      </x:c>
    </x:row>
    <x:row r="31">
      <x:c r="A31" s="7" t="str">
        <x:v>2026-09-21</x:v>
      </x:c>
      <x:c r="B31" s="7" t="str">
        <x:v>2026-09-22</x:v>
      </x:c>
      <x:c r="C31" s="7" t="n">
        <x:v>1</x:v>
      </x:c>
      <x:c r="D31" s="8" t="str">
        <x:v>300475</x:v>
      </x:c>
      <x:c r="E31" s="7" t="str">
        <x:v>香农芯创</x:v>
      </x:c>
      <x:c r="F31" s="9" t="n">
        <x:v>0.015292410590668</x:v>
      </x:c>
      <x:c r="G31" s="10" t="n">
        <x:v>182.25</x:v>
      </x:c>
      <x:c r="H31" s="10" t="n">
        <x:v>187</x:v>
      </x:c>
      <x:c r="I31" s="10" t="n">
        <x:v>185.56</x:v>
      </x:c>
      <x:c r="J31" s="9" t="n">
        <x:f>H31/G31-1</x:f>
        <x:v>0.026063100137174278</x:v>
      </x:c>
      <x:c r="K31" s="9" t="n">
        <x:f>I31/G31-1</x:f>
        <x:v>0.018161865569273017</x:v>
      </x:c>
      <x:c r="L31" s="9" t="n">
        <x:v>0.04549105</x:v>
      </x:c>
      <x:c r="M31" s="11" t="n">
        <x:v>1.83610116</x:v>
      </x:c>
      <x:c r="N31" s="9" t="n">
        <x:v>0.08036394599999999</x:v>
      </x:c>
      <x:c r="O31" s="12" t="n">
        <x:v>781.82021619</x:v>
      </x:c>
      <x:c r="P31" s="13" t="n">
        <x:v>0</x:v>
      </x:c>
      <x:c r="Q31" s="13" t="n">
        <x:v>0</x:v>
      </x:c>
      <x:c r="R31" s="13" t="n">
        <x:v>1</x:v>
      </x:c>
    </x:row>
    <x:row r="32">
      <x:c r="A32" s="7" t="str">
        <x:v>2026-09-21</x:v>
      </x:c>
      <x:c r="B32" s="7" t="str">
        <x:v>2026-09-22</x:v>
      </x:c>
      <x:c r="C32" s="7" t="n">
        <x:v>2</x:v>
      </x:c>
      <x:c r="D32" s="8" t="str">
        <x:v>600699</x:v>
      </x:c>
      <x:c r="E32" s="7" t="str">
        <x:v>均胜电子</x:v>
      </x:c>
      <x:c r="F32" s="9" t="n">
        <x:v>0.014757109651613</x:v>
      </x:c>
      <x:c r="G32" s="10" t="n">
        <x:v>20.94</x:v>
      </x:c>
      <x:c r="H32" s="10" t="n">
        <x:v>21.5</x:v>
      </x:c>
      <x:c r="I32" s="10" t="n">
        <x:v>21.2</x:v>
      </x:c>
      <x:c r="J32" s="9" t="n">
        <x:f>H32/G32-1</x:f>
        <x:v>0.026743075453677045</x:v>
      </x:c>
      <x:c r="K32" s="9" t="n">
        <x:f>I32/G32-1</x:f>
        <x:v>0.01241642788920716</x:v>
      </x:c>
      <x:c r="L32" s="9" t="n">
        <x:v>0.03972195</x:v>
      </x:c>
      <x:c r="M32" s="11" t="n">
        <x:v>1.93178973</x:v>
      </x:c>
      <x:c r="N32" s="9" t="n">
        <x:v>0.0400580856</x:v>
      </x:c>
      <x:c r="O32" s="12" t="n">
        <x:v>281.08805139</x:v>
      </x:c>
      <x:c r="P32" s="13" t="n">
        <x:v>1</x:v>
      </x:c>
      <x:c r="Q32" s="13" t="n">
        <x:v>0</x:v>
      </x:c>
      <x:c r="R32" s="13" t="n">
        <x:v>1</x:v>
      </x:c>
    </x:row>
    <x:row r="33">
      <x:c r="A33" s="7" t="str">
        <x:v>2026-09-22</x:v>
      </x:c>
      <x:c r="B33" s="7" t="str">
        <x:v>2026-09-23</x:v>
      </x:c>
      <x:c r="C33" s="7" t="n">
        <x:v>1</x:v>
      </x:c>
      <x:c r="D33" s="8" t="str">
        <x:v>002913</x:v>
      </x:c>
      <x:c r="E33" s="7" t="str">
        <x:v>奥士康</x:v>
      </x:c>
      <x:c r="F33" s="9" t="n">
        <x:v>0.01632304696989116</x:v>
      </x:c>
      <x:c r="G33" s="10" t="n">
        <x:v>87.7</x:v>
      </x:c>
      <x:c r="H33" s="10" t="n">
        <x:v>89.59</x:v>
      </x:c>
      <x:c r="I33" s="10" t="n">
        <x:v>89.46</x:v>
      </x:c>
      <x:c r="J33" s="9" t="n">
        <x:f>H33/G33-1</x:f>
        <x:v>0.021550741163055775</x:v>
      </x:c>
      <x:c r="K33" s="9" t="n">
        <x:f>I33/G33-1</x:f>
        <x:v>0.020068415051311295</x:v>
      </x:c>
      <x:c r="L33" s="9" t="n">
        <x:v>0.03786982</x:v>
      </x:c>
      <x:c r="M33" s="11" t="n">
        <x:v>1.16300826</x:v>
      </x:c>
      <x:c r="N33" s="9" t="n">
        <x:v>0.0501982517</x:v>
      </x:c>
      <x:c r="O33" s="12" t="n">
        <x:v>258.09589078</x:v>
      </x:c>
      <x:c r="P33" s="13" t="n">
        <x:v>1</x:v>
      </x:c>
      <x:c r="Q33" s="13" t="n">
        <x:v>1</x:v>
      </x:c>
      <x:c r="R33" s="13" t="n">
        <x:v>1</x:v>
      </x:c>
    </x:row>
    <x:row r="34">
      <x:c r="A34" s="7" t="str">
        <x:v>2026-09-22</x:v>
      </x:c>
      <x:c r="B34" s="7" t="str">
        <x:v>2026-09-23</x:v>
      </x:c>
      <x:c r="C34" s="7" t="n">
        <x:v>2</x:v>
      </x:c>
      <x:c r="D34" s="8" t="str">
        <x:v>300489</x:v>
      </x:c>
      <x:c r="E34" s="7" t="str">
        <x:v>光智科技</x:v>
      </x:c>
      <x:c r="F34" s="9" t="n">
        <x:v>0.01617296495921513</x:v>
      </x:c>
      <x:c r="G34" s="10" t="n">
        <x:v>247.77</x:v>
      </x:c>
      <x:c r="H34" s="10" t="n">
        <x:v>256.86</x:v>
      </x:c>
      <x:c r="I34" s="10" t="n">
        <x:v>256.5</x:v>
      </x:c>
      <x:c r="J34" s="9" t="n">
        <x:f>H34/G34-1</x:f>
        <x:v>0.03668725027243003</x:v>
      </x:c>
      <x:c r="K34" s="9" t="n">
        <x:f>I34/G34-1</x:f>
        <x:v>0.035234289865601065</x:v>
      </x:c>
      <x:c r="L34" s="9" t="n">
        <x:v>0.03751937</x:v>
      </x:c>
      <x:c r="M34" s="11" t="n">
        <x:v>1.15806979</x:v>
      </x:c>
      <x:c r="N34" s="9" t="n">
        <x:v>0.10570558000000001</x:v>
      </x:c>
      <x:c r="O34" s="12" t="n">
        <x:v>329.13374747</x:v>
      </x:c>
      <x:c r="P34" s="13" t="n">
        <x:v>1</x:v>
      </x:c>
      <x:c r="Q34" s="13" t="n">
        <x:v>0</x:v>
      </x:c>
      <x:c r="R34" s="13" t="n">
        <x:v>1</x:v>
      </x:c>
    </x:row>
    <x:row r="35">
      <x:c r="A35" s="7" t="str">
        <x:v>2026-09-23</x:v>
      </x:c>
      <x:c r="B35" s="7" t="str">
        <x:v>2026-09-24</x:v>
      </x:c>
      <x:c r="C35" s="7" t="n">
        <x:v>1</x:v>
      </x:c>
      <x:c r="D35" s="8" t="str">
        <x:v>300489</x:v>
      </x:c>
      <x:c r="E35" s="7" t="str">
        <x:v>光智科技</x:v>
      </x:c>
      <x:c r="F35" s="9" t="n">
        <x:v>0.016150425082158942</x:v>
      </x:c>
      <x:c r="G35" s="10" t="n">
        <x:v>260.4</x:v>
      </x:c>
      <x:c r="H35" s="10" t="n">
        <x:v>271.55</x:v>
      </x:c>
      <x:c r="I35" s="10" t="n">
        <x:v>270.98</x:v>
      </x:c>
      <x:c r="J35" s="9" t="n">
        <x:f>H35/G35-1</x:f>
        <x:v>0.0428187403993856</x:v>
      </x:c>
      <x:c r="K35" s="9" t="n">
        <x:f>I35/G35-1</x:f>
        <x:v>0.040629800307219854</x:v>
      </x:c>
      <x:c r="L35" s="9" t="n">
        <x:v>0.04574113</x:v>
      </x:c>
      <x:c r="M35" s="11" t="n">
        <x:v>0.98931519</x:v>
      </x:c>
      <x:c r="N35" s="9" t="n">
        <x:v>0.1015466053</x:v>
      </x:c>
      <x:c r="O35" s="12" t="n">
        <x:v>343.19163543</x:v>
      </x:c>
      <x:c r="P35" s="13" t="n">
        <x:v>0</x:v>
      </x:c>
      <x:c r="Q35" s="13" t="n">
        <x:v>0</x:v>
      </x:c>
      <x:c r="R35" s="13" t="n">
        <x:v>1</x:v>
      </x:c>
    </x:row>
    <x:row r="36">
      <x:c r="A36" s="7" t="str">
        <x:v>2026-09-23</x:v>
      </x:c>
      <x:c r="B36" s="7" t="str">
        <x:v>2026-09-24</x:v>
      </x:c>
      <x:c r="C36" s="7" t="n">
        <x:v>2</x:v>
      </x:c>
      <x:c r="D36" s="8" t="str">
        <x:v>002913</x:v>
      </x:c>
      <x:c r="E36" s="7" t="str">
        <x:v>奥士康</x:v>
      </x:c>
      <x:c r="F36" s="9" t="n">
        <x:v>0.016017039223255224</x:v>
      </x:c>
      <x:c r="G36" s="10" t="n">
        <x:v>91.08</x:v>
      </x:c>
      <x:c r="H36" s="10" t="n">
        <x:v>90.99</x:v>
      </x:c>
      <x:c r="I36" s="10" t="n">
        <x:v>90.97</x:v>
      </x:c>
      <x:c r="J36" s="9" t="n">
        <x:f>H36/G36-1</x:f>
        <x:v>-0.0009881422924901129</x:v>
      </x:c>
      <x:c r="K36" s="9" t="n">
        <x:f>I36/G36-1</x:f>
        <x:v>-0.0012077294685990392</x:v>
      </x:c>
      <x:c r="L36" s="9" t="n">
        <x:v>0.03359056</x:v>
      </x:c>
      <x:c r="M36" s="11" t="n">
        <x:v>1.05125993</x:v>
      </x:c>
      <x:c r="N36" s="9" t="n">
        <x:v>0.04778925949999999</x:v>
      </x:c>
      <x:c r="O36" s="12" t="n">
        <x:v>269.15277983</x:v>
      </x:c>
      <x:c r="P36" s="13" t="n">
        <x:v>1</x:v>
      </x:c>
      <x:c r="Q36" s="13" t="n">
        <x:v>1</x:v>
      </x:c>
      <x:c r="R36" s="13" t="n">
        <x:v>1</x:v>
      </x:c>
    </x:row>
    <x:row r="37">
      <x:c r="A37" s="7" t="str">
        <x:v>2026-09-24</x:v>
      </x:c>
      <x:c r="B37" s="7" t="str">
        <x:v>2026-09-28</x:v>
      </x:c>
      <x:c r="C37" s="7" t="n">
        <x:v>1</x:v>
      </x:c>
      <x:c r="D37" s="8" t="str">
        <x:v>601579</x:v>
      </x:c>
      <x:c r="E37" s="7" t="str">
        <x:v>会稽山</x:v>
      </x:c>
      <x:c r="F37" s="9" t="n">
        <x:v>0.015580640556933024</x:v>
      </x:c>
      <x:c r="G37" s="10" t="n">
        <x:v>38.26</x:v>
      </x:c>
      <x:c r="H37" s="10" t="n">
        <x:v>41.84</x:v>
      </x:c>
      <x:c r="I37" s="10" t="n">
        <x:v>41.84</x:v>
      </x:c>
      <x:c r="J37" s="9" t="n">
        <x:f>H37/G37-1</x:f>
        <x:v>0.09357030841610059</x:v>
      </x:c>
      <x:c r="K37" s="9" t="n">
        <x:f>I37/G37-1</x:f>
        <x:v>0.09357030841610059</x:v>
      </x:c>
      <x:c r="L37" s="9" t="n">
        <x:v>0.04108844</x:v>
      </x:c>
      <x:c r="M37" s="11" t="n">
        <x:v>1.28935302</x:v>
      </x:c>
      <x:c r="N37" s="9" t="n">
        <x:v>0.10671367</x:v>
      </x:c>
      <x:c r="O37" s="12" t="n">
        <x:v>176.20280281</x:v>
      </x:c>
      <x:c r="P37" s="13" t="n">
        <x:v>1</x:v>
      </x:c>
      <x:c r="Q37" s="13" t="n">
        <x:v>1</x:v>
      </x:c>
      <x:c r="R37" s="13" t="n">
        <x:v>1</x:v>
      </x:c>
    </x:row>
    <x:row r="38">
      <x:c r="A38" s="7" t="str">
        <x:v>2026-09-24</x:v>
      </x:c>
      <x:c r="B38" s="7" t="str">
        <x:v>2026-09-28</x:v>
      </x:c>
      <x:c r="C38" s="7" t="n">
        <x:v>2</x:v>
      </x:c>
      <x:c r="D38" s="8" t="str">
        <x:v>301122</x:v>
      </x:c>
      <x:c r="E38" s="7" t="str">
        <x:v>采纳股份</x:v>
      </x:c>
      <x:c r="F38" s="9" t="n">
        <x:v>0.014964736560481312</x:v>
      </x:c>
      <x:c r="G38" s="10" t="n">
        <x:v>63.88</x:v>
      </x:c>
      <x:c r="H38" s="10" t="n">
        <x:v>64.72</x:v>
      </x:c>
      <x:c r="I38" s="10" t="n">
        <x:v>64.6</x:v>
      </x:c>
      <x:c r="J38" s="9" t="n">
        <x:f>H38/G38-1</x:f>
        <x:v>0.013149655604257848</x:v>
      </x:c>
      <x:c r="K38" s="9" t="n">
        <x:f>I38/G38-1</x:f>
        <x:v>0.011271133375078124</x:v>
      </x:c>
      <x:c r="L38" s="9" t="n">
        <x:v>0.04208809</x:v>
      </x:c>
      <x:c r="M38" s="11" t="n">
        <x:v>1.220645</x:v>
      </x:c>
      <x:c r="N38" s="9" t="n">
        <x:v>0.10353977199999999</x:v>
      </x:c>
      <x:c r="O38" s="12" t="n">
        <x:v>46.36703373</x:v>
      </x:c>
      <x:c r="P38" s="13" t="n">
        <x:v>1</x:v>
      </x:c>
      <x:c r="Q38" s="13" t="n">
        <x:v>1</x:v>
      </x:c>
      <x:c r="R38" s="13" t="n">
        <x:v>1</x:v>
      </x:c>
    </x:row>
    <x:row r="39">
      <x:c r="A39" s="7" t="str">
        <x:v>2026-09-28</x:v>
      </x:c>
      <x:c r="B39" s="7" t="str">
        <x:v>2026-09-29</x:v>
      </x:c>
      <x:c r="C39" s="7" t="n">
        <x:v>1</x:v>
      </x:c>
      <x:c r="D39" s="8" t="str">
        <x:v>300207</x:v>
      </x:c>
      <x:c r="E39" s="7" t="str">
        <x:v>欣旺达</x:v>
      </x:c>
      <x:c r="F39" s="9" t="n">
        <x:v>0.020280584454053854</x:v>
      </x:c>
      <x:c r="G39" s="10" t="n">
        <x:v>21.1</x:v>
      </x:c>
      <x:c r="H39" s="10" t="n">
        <x:v>22.3</x:v>
      </x:c>
      <x:c r="I39" s="10" t="n">
        <x:v>21.89</x:v>
      </x:c>
      <x:c r="J39" s="9" t="n">
        <x:f>H39/G39-1</x:f>
        <x:v>0.056872037914691864</x:v>
      </x:c>
      <x:c r="K39" s="9" t="n">
        <x:f>I39/G39-1</x:f>
        <x:v>0.03744075829383875</x:v>
      </x:c>
      <x:c r="L39" s="9" t="n">
        <x:v>0.05027377</x:v>
      </x:c>
      <x:c r="M39" s="11" t="n">
        <x:v>1.7117166</x:v>
      </x:c>
      <x:c r="N39" s="9" t="n">
        <x:v>0.0843860953</x:v>
      </x:c>
      <x:c r="O39" s="12" t="n">
        <x:v>344.32767936</x:v>
      </x:c>
      <x:c r="P39" s="13" t="n">
        <x:v>1</x:v>
      </x:c>
      <x:c r="Q39" s="13" t="n">
        <x:v>1</x:v>
      </x:c>
      <x:c r="R39" s="13" t="n">
        <x:v>1</x:v>
      </x:c>
    </x:row>
    <x:row r="40">
      <x:c r="A40" s="7" t="str">
        <x:v>2026-09-28</x:v>
      </x:c>
      <x:c r="B40" s="7" t="str">
        <x:v>2026-09-29</x:v>
      </x:c>
      <x:c r="C40" s="7" t="n">
        <x:v>2</x:v>
      </x:c>
      <x:c r="D40" s="8" t="str">
        <x:v>600206</x:v>
      </x:c>
      <x:c r="E40" s="7" t="str">
        <x:v>有研新材</x:v>
      </x:c>
      <x:c r="F40" s="9" t="n">
        <x:v>0.014823028429698444</x:v>
      </x:c>
      <x:c r="G40" s="10" t="n">
        <x:v>51.51</x:v>
      </x:c>
      <x:c r="H40" s="10" t="n">
        <x:v>49.91</x:v>
      </x:c>
      <x:c r="I40" s="10" t="n">
        <x:v>48.91</x:v>
      </x:c>
      <x:c r="J40" s="9" t="n">
        <x:f>H40/G40-1</x:f>
        <x:v>-0.031061929722384085</x:v>
      </x:c>
      <x:c r="K40" s="9" t="n">
        <x:f>I40/G40-1</x:f>
        <x:v>-0.05047563579887404</x:v>
      </x:c>
      <x:c r="L40" s="9" t="n">
        <x:v>0.03412969</x:v>
      </x:c>
      <x:c r="M40" s="11" t="n">
        <x:v>1.38630078</x:v>
      </x:c>
      <x:c r="N40" s="9" t="n">
        <x:v>0.1165630047</x:v>
      </x:c>
      <x:c r="O40" s="12" t="n">
        <x:v>421.66821467</x:v>
      </x:c>
      <x:c r="P40" s="13" t="n">
        <x:v>0</x:v>
      </x:c>
      <x:c r="Q40" s="13" t="n">
        <x:v>1</x:v>
      </x:c>
      <x:c r="R40" s="13" t="n">
        <x:v>0</x:v>
      </x:c>
    </x:row>
    <x:row r="41">
      <x:c r="A41" s="7" t="str">
        <x:v>2026-09-29</x:v>
      </x:c>
      <x:c r="B41" s="7" t="str">
        <x:v>2026-09-30</x:v>
      </x:c>
      <x:c r="C41" s="7" t="n">
        <x:v>1</x:v>
      </x:c>
      <x:c r="D41" s="8" t="str">
        <x:v>600418</x:v>
      </x:c>
      <x:c r="E41" s="7" t="str">
        <x:v>江淮汽车</x:v>
      </x:c>
      <x:c r="F41" s="9" t="n">
        <x:v>0.019808452236343508</x:v>
      </x:c>
      <x:c r="G41" s="10" t="n">
        <x:v>26.06</x:v>
      </x:c>
      <x:c r="H41" s="10" t="n">
        <x:v>26.17</x:v>
      </x:c>
      <x:c r="I41" s="10" t="n">
        <x:v>25.87</x:v>
      </x:c>
      <x:c r="J41" s="9" t="n">
        <x:f>H41/G41-1</x:f>
        <x:v>0.004221028396009352</x:v>
      </x:c>
      <x:c r="K41" s="9" t="n">
        <x:f>I41/G41-1</x:f>
        <x:v>-0.007290867229470366</x:v>
      </x:c>
      <x:c r="L41" s="9" t="n">
        <x:v>0.0333069</x:v>
      </x:c>
      <x:c r="M41" s="11" t="n">
        <x:v>1.47920918</x:v>
      </x:c>
      <x:c r="N41" s="9" t="n">
        <x:v>0.092214582</x:v>
      </x:c>
      <x:c r="O41" s="12" t="n">
        <x:v>568.50374078</x:v>
      </x:c>
      <x:c r="P41" s="13" t="n">
        <x:v>1</x:v>
      </x:c>
      <x:c r="Q41" s="13" t="n">
        <x:v>1</x:v>
      </x:c>
      <x:c r="R41" s="13" t="n">
        <x:v>1</x:v>
      </x:c>
    </x:row>
    <x:row r="42">
      <x:c r="A42" s="7" t="str">
        <x:v>2026-09-29</x:v>
      </x:c>
      <x:c r="B42" s="7" t="str">
        <x:v>2026-09-30</x:v>
      </x:c>
      <x:c r="C42" s="7" t="n">
        <x:v>2</x:v>
      </x:c>
      <x:c r="D42" s="8" t="str">
        <x:v>002487</x:v>
      </x:c>
      <x:c r="E42" s="7" t="str">
        <x:v>大金重工</x:v>
      </x:c>
      <x:c r="F42" s="9" t="n">
        <x:v>0.015289586661010266</x:v>
      </x:c>
      <x:c r="G42" s="10" t="n">
        <x:v>43.13</x:v>
      </x:c>
      <x:c r="H42" s="10" t="n">
        <x:v>44.78</x:v>
      </x:c>
      <x:c r="I42" s="10" t="n">
        <x:v>44.45</x:v>
      </x:c>
      <x:c r="J42" s="9" t="n">
        <x:f>H42/G42-1</x:f>
        <x:v>0.03825643403663337</x:v>
      </x:c>
      <x:c r="K42" s="9" t="n">
        <x:f>I42/G42-1</x:f>
        <x:v>0.03060514722930674</x:v>
      </x:c>
      <x:c r="L42" s="9" t="n">
        <x:v>0.04229096</x:v>
      </x:c>
      <x:c r="M42" s="11" t="n">
        <x:v>1.30463119</x:v>
      </x:c>
      <x:c r="N42" s="9" t="n">
        <x:v>0.1143795787</x:v>
      </x:c>
      <x:c r="O42" s="12" t="n">
        <x:v>261.07480607</x:v>
      </x:c>
      <x:c r="P42" s="13" t="n">
        <x:v>0</x:v>
      </x:c>
      <x:c r="Q42" s="13" t="n">
        <x:v>1</x:v>
      </x:c>
      <x:c r="R42" s="13" t="n">
        <x:v>1</x:v>
      </x:c>
    </x:row>
    <x:row r="43">
      <x:c r="A43" s="7" t="str">
        <x:v>2026-09-30</x:v>
      </x:c>
      <x:c r="B43" s="7" t="str">
        <x:v>2026-10-08</x:v>
      </x:c>
      <x:c r="C43" s="7" t="n">
        <x:v>1</x:v>
      </x:c>
      <x:c r="D43" s="8" t="str">
        <x:v>600707</x:v>
      </x:c>
      <x:c r="E43" s="7" t="str">
        <x:v>彩虹股份</x:v>
      </x:c>
      <x:c r="F43" s="9" t="n">
        <x:v>0.01712004308391447</x:v>
      </x:c>
      <x:c r="G43" s="10" t="n">
        <x:v>10.11</x:v>
      </x:c>
      <x:c r="H43" s="10" t="n">
        <x:v>10.1</x:v>
      </x:c>
      <x:c r="I43" s="10" t="n">
        <x:v>10.07</x:v>
      </x:c>
      <x:c r="J43" s="9" t="n">
        <x:f>H43/G43-1</x:f>
        <x:v>-0.0009891196834816984</x:v>
      </x:c>
      <x:c r="K43" s="9" t="n">
        <x:f>I43/G43-1</x:f>
        <x:v>-0.003956478733926683</x:v>
      </x:c>
      <x:c r="L43" s="9" t="n">
        <x:v>0.05642633</x:v>
      </x:c>
      <x:c r="M43" s="11" t="n">
        <x:v>1.20390797</x:v>
      </x:c>
      <x:c r="N43" s="9" t="n">
        <x:v>0.0718840415</x:v>
      </x:c>
      <x:c r="O43" s="12" t="n">
        <x:v>343.33999335</x:v>
      </x:c>
      <x:c r="P43" s="13" t="n">
        <x:v>0</x:v>
      </x:c>
      <x:c r="Q43" s="13" t="n">
        <x:v>1</x:v>
      </x:c>
      <x:c r="R43" s="13" t="n">
        <x:v>0</x:v>
      </x:c>
    </x:row>
    <x:row r="44">
      <x:c r="A44" s="7" t="str">
        <x:v>2026-09-30</x:v>
      </x:c>
      <x:c r="B44" s="7" t="str">
        <x:v>2026-10-08</x:v>
      </x:c>
      <x:c r="C44" s="7" t="n">
        <x:v>2</x:v>
      </x:c>
      <x:c r="D44" s="8" t="str">
        <x:v>000498</x:v>
      </x:c>
      <x:c r="E44" s="7" t="str">
        <x:v>山东路桥</x:v>
      </x:c>
      <x:c r="F44" s="9" t="n">
        <x:v>0.015574120305831426</x:v>
      </x:c>
      <x:c r="G44" s="10" t="n">
        <x:v>5.88</x:v>
      </x:c>
      <x:c r="H44" s="10" t="n">
        <x:v>6.35</x:v>
      </x:c>
      <x:c r="I44" s="10" t="n">
        <x:v>6.27</x:v>
      </x:c>
      <x:c r="J44" s="9" t="n">
        <x:f>H44/G44-1</x:f>
        <x:v>0.07993197278911568</x:v>
      </x:c>
      <x:c r="K44" s="9" t="n">
        <x:f>I44/G44-1</x:f>
        <x:v>0.06632653061224492</x:v>
      </x:c>
      <x:c r="L44" s="9" t="n">
        <x:v>0.04812834</x:v>
      </x:c>
      <x:c r="M44" s="11" t="n">
        <x:v>1.12586836</x:v>
      </x:c>
      <x:c r="N44" s="9" t="n">
        <x:v>0.0306420589</x:v>
      </x:c>
      <x:c r="O44" s="12" t="n">
        <x:v>81.3084104</x:v>
      </x:c>
      <x:c r="P44" s="13" t="n">
        <x:v>1</x:v>
      </x:c>
      <x:c r="Q44" s="13" t="n">
        <x:v>1</x:v>
      </x:c>
      <x:c r="R44" s="13" t="n">
        <x:v>1</x:v>
      </x:c>
    </x:row>
  </x:sheetData>
  <x:mergeCells>
    <x:mergeCell ref="A1:R1"/>
    <x:mergeCell ref="A2:R2"/>
  </x:mergeCells>
  <x:pageMargins left="0.7" right="0.7" top="0.75" bottom="0.75" header="0.3" footer="0.3"/>
  <x:tableParts count="1">
    <x:tablePart xmlns:r="http://schemas.openxmlformats.org/officeDocument/2006/relationships" r:id="Rd19317a9420f43c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18" t="str">
        <x:v>每日前二与当日候选池对照</x:v>
      </x:c>
      <x:c r="B1" s="18"/>
      <x:c r="C1" s="18"/>
      <x:c r="D1" s="18"/>
      <x:c r="E1" s="18"/>
      <x:c r="F1" s="18"/>
      <x:c r="G1" s="18"/>
      <x:c r="H1" s="18"/>
    </x:row>
    <x:row r="2">
      <x:c r="A2" s="19" t="str">
        <x:v>前二两股等权平均；候选池为同日全部符合 14:40 涨幅 3%–6% 条件的股票。</x:v>
      </x:c>
      <x:c r="B2" s="19"/>
      <x:c r="C2" s="19"/>
      <x:c r="D2" s="19"/>
      <x:c r="E2" s="19"/>
      <x:c r="F2" s="19"/>
      <x:c r="G2" s="19"/>
      <x:c r="H2" s="19"/>
    </x:row>
    <x:row r="4" ht="36" customHeight="1">
      <x:c r="A4" s="16" t="str">
        <x:v>信号日</x:v>
      </x:c>
      <x:c r="B4" s="16" t="str">
        <x:v>前二股票</x:v>
      </x:c>
      <x:c r="C4" s="16" t="str">
        <x:v>前二预测均值</x:v>
      </x:c>
      <x:c r="D4" s="16" t="str">
        <x:v>前二实际最高均值</x:v>
      </x:c>
      <x:c r="E4" s="16" t="str">
        <x:v>前二实际第二高均值</x:v>
      </x:c>
      <x:c r="F4" s="16" t="str">
        <x:v>候选池最高均值</x:v>
      </x:c>
      <x:c r="G4" s="16" t="str">
        <x:v>候选池第二高均值</x:v>
      </x:c>
      <x:c r="H4" s="16" t="str">
        <x:v>前二最高价优势</x:v>
      </x:c>
    </x:row>
    <x:row r="5">
      <x:c r="A5" s="7" t="str">
        <x:v>2026-09-02</x:v>
      </x:c>
      <x:c r="B5" s="7" t="str">
        <x:f>'每日前二'!E5&amp;" / "&amp;'每日前二'!E6</x:f>
        <x:v>湘油泵 / 长盈通</x:v>
      </x:c>
      <x:c r="C5" s="9" t="n">
        <x:f>AVERAGE('每日前二'!F5:F6)</x:f>
        <x:v>0.01625597678148633</x:v>
      </x:c>
      <x:c r="D5" s="9" t="n">
        <x:f>AVERAGE('每日前二'!J5:J6)</x:f>
        <x:v>0.03754523136225496</x:v>
      </x:c>
      <x:c r="E5" s="9" t="n">
        <x:f>AVERAGE('每日前二'!K5:K6)</x:f>
        <x:v>0.03608932552007704</x:v>
      </x:c>
      <x:c r="F5" s="9" t="n">
        <x:v>0.021829673371275667</x:v>
      </x:c>
      <x:c r="G5" s="9" t="n">
        <x:v>0.01603149410863789</x:v>
      </x:c>
      <x:c r="H5" s="9" t="n">
        <x:f>D5-F5</x:f>
        <x:v>0.015715557990979293</x:v>
      </x:c>
    </x:row>
    <x:row r="6">
      <x:c r="A6" s="7" t="str">
        <x:v>2026-09-03</x:v>
      </x:c>
      <x:c r="B6" s="7" t="str">
        <x:f>'每日前二'!E7&amp;" / "&amp;'每日前二'!E8</x:f>
        <x:v>江海股份 / 神工股份</x:v>
      </x:c>
      <x:c r="C6" s="9" t="n">
        <x:f>AVERAGE('每日前二'!F7:F8)</x:f>
        <x:v>0.0168463626506646</x:v>
      </x:c>
      <x:c r="D6" s="9" t="n">
        <x:f>AVERAGE('每日前二'!J7:J8)</x:f>
        <x:v>0.032093381997994386</x:v>
      </x:c>
      <x:c r="E6" s="9" t="n">
        <x:f>AVERAGE('每日前二'!K7:K8)</x:f>
        <x:v>0.027910823926323602</x:v>
      </x:c>
      <x:c r="F6" s="9" t="n">
        <x:v>0.022130181679181148</x:v>
      </x:c>
      <x:c r="G6" s="9" t="n">
        <x:v>0.017050915120072747</x:v>
      </x:c>
      <x:c r="H6" s="9" t="n">
        <x:f>D6-F6</x:f>
        <x:v>0.009963200318813238</x:v>
      </x:c>
    </x:row>
    <x:row r="7">
      <x:c r="A7" s="7" t="str">
        <x:v>2026-09-04</x:v>
      </x:c>
      <x:c r="B7" s="7" t="str">
        <x:f>'每日前二'!E9&amp;" / "&amp;'每日前二'!E10</x:f>
        <x:v>上海能源 / 青岛金王</x:v>
      </x:c>
      <x:c r="C7" s="9" t="n">
        <x:f>AVERAGE('每日前二'!F9:F10)</x:f>
        <x:v>0.01466499212106407</x:v>
      </x:c>
      <x:c r="D7" s="9" t="n">
        <x:f>AVERAGE('每日前二'!J9:J10)</x:f>
        <x:v>0.012915419260726146</x:v>
      </x:c>
      <x:c r="E7" s="9" t="n">
        <x:f>AVERAGE('每日前二'!K9:K10)</x:f>
        <x:v>0.0072143265253379885</x:v>
      </x:c>
      <x:c r="F7" s="9" t="n">
        <x:v>0.021439014810124016</x:v>
      </x:c>
      <x:c r="G7" s="9" t="n">
        <x:v>0.014371956254663264</x:v>
      </x:c>
      <x:c r="H7" s="9" t="n">
        <x:f>D7-F7</x:f>
        <x:v>-0.00852359554939787</x:v>
      </x:c>
    </x:row>
    <x:row r="8">
      <x:c r="A8" s="7" t="str">
        <x:v>2026-09-07</x:v>
      </x:c>
      <x:c r="B8" s="7" t="str">
        <x:f>'每日前二'!E11&amp;" / "&amp;'每日前二'!E12</x:f>
        <x:v>通鼎互联 / 风华高科</x:v>
      </x:c>
      <x:c r="C8" s="9" t="n">
        <x:f>AVERAGE('每日前二'!F11:F12)</x:f>
        <x:v>0.017458642419306475</x:v>
      </x:c>
      <x:c r="D8" s="9" t="n">
        <x:f>AVERAGE('每日前二'!J11:J12)</x:f>
        <x:v>0.01896877206878045</x:v>
      </x:c>
      <x:c r="E8" s="9" t="n">
        <x:f>AVERAGE('每日前二'!K11:K12)</x:f>
        <x:v>0.01568752234731563</x:v>
      </x:c>
      <x:c r="F8" s="9" t="n">
        <x:v>0.01474684742078885</x:v>
      </x:c>
      <x:c r="G8" s="9" t="n">
        <x:v>0.010202685305015013</x:v>
      </x:c>
      <x:c r="H8" s="9" t="n">
        <x:f>D8-F8</x:f>
        <x:v>0.004221924647991598</x:v>
      </x:c>
    </x:row>
    <x:row r="9">
      <x:c r="A9" s="7" t="str">
        <x:v>2026-09-08</x:v>
      </x:c>
      <x:c r="B9" s="7" t="str">
        <x:f>'每日前二'!E13&amp;" / "&amp;'每日前二'!E14</x:f>
        <x:v>特发服务 / 黄河旋风</x:v>
      </x:c>
      <x:c r="C9" s="9" t="n">
        <x:f>AVERAGE('每日前二'!F13:F14)</x:f>
        <x:v>0.016466563426925235</x:v>
      </x:c>
      <x:c r="D9" s="9" t="n">
        <x:f>AVERAGE('每日前二'!J13:J14)</x:f>
        <x:v>0.00011230318485733193</x:v>
      </x:c>
      <x:c r="E9" s="9" t="n">
        <x:f>AVERAGE('每日前二'!K13:K14)</x:f>
        <x:v>-0.010106067055062895</x:v>
      </x:c>
      <x:c r="F9" s="9" t="n">
        <x:v>0.00954203703246438</x:v>
      </x:c>
      <x:c r="G9" s="9" t="n">
        <x:v>0.004100836214579046</x:v>
      </x:c>
      <x:c r="H9" s="9" t="n">
        <x:f>D9-F9</x:f>
        <x:v>-0.009429733847607048</x:v>
      </x:c>
    </x:row>
    <x:row r="10">
      <x:c r="A10" s="7" t="str">
        <x:v>2026-09-09</x:v>
      </x:c>
      <x:c r="B10" s="7" t="str">
        <x:f>'每日前二'!E15&amp;" / "&amp;'每日前二'!E16</x:f>
        <x:v>黄河旋风 / 德科立</x:v>
      </x:c>
      <x:c r="C10" s="9" t="n">
        <x:f>AVERAGE('每日前二'!F15:F16)</x:f>
        <x:v>0.016991223106051216</x:v>
      </x:c>
      <x:c r="D10" s="9" t="n">
        <x:f>AVERAGE('每日前二'!J15:J16)</x:f>
        <x:v>0.0029810369127530323</x:v>
      </x:c>
      <x:c r="E10" s="9" t="n">
        <x:f>AVERAGE('每日前二'!K15:K16)</x:f>
        <x:v>0.00013918814440855298</x:v>
      </x:c>
      <x:c r="F10" s="9" t="n">
        <x:v>0.007205090102308932</x:v>
      </x:c>
      <x:c r="G10" s="9" t="n">
        <x:v>-0.00008080644612671542</x:v>
      </x:c>
      <x:c r="H10" s="9" t="n">
        <x:f>D10-F10</x:f>
        <x:v>-0.0042240531895559</x:v>
      </x:c>
    </x:row>
    <x:row r="11">
      <x:c r="A11" s="7" t="str">
        <x:v>2026-09-10</x:v>
      </x:c>
      <x:c r="B11" s="7" t="str">
        <x:f>'每日前二'!E17&amp;" / "&amp;'每日前二'!E18</x:f>
        <x:v>酷特智能 / 炬光科技</x:v>
      </x:c>
      <x:c r="C11" s="9" t="n">
        <x:f>AVERAGE('每日前二'!F17:F18)</x:f>
        <x:v>0.012150716964148038</x:v>
      </x:c>
      <x:c r="D11" s="9" t="n">
        <x:f>AVERAGE('每日前二'!J17:J18)</x:f>
        <x:v>-0.010057311971707283</x:v>
      </x:c>
      <x:c r="E11" s="9" t="n">
        <x:f>AVERAGE('每日前二'!K17:K18)</x:f>
        <x:v>-0.023860339593566482</x:v>
      </x:c>
      <x:c r="F11" s="9" t="n">
        <x:v>-0.00023345034372411241</x:v>
      </x:c>
      <x:c r="G11" s="9" t="n">
        <x:v>-0.008221635247792422</x:v>
      </x:c>
      <x:c r="H11" s="9" t="n">
        <x:f>D11-F11</x:f>
        <x:v>-0.00982386162798317</x:v>
      </x:c>
    </x:row>
    <x:row r="12">
      <x:c r="A12" s="7" t="str">
        <x:v>2026-09-11</x:v>
      </x:c>
      <x:c r="B12" s="7" t="str">
        <x:f>'每日前二'!E19&amp;" / "&amp;'每日前二'!E20</x:f>
        <x:v>艾华集团 / 上海电影</x:v>
      </x:c>
      <x:c r="C12" s="9" t="n">
        <x:f>AVERAGE('每日前二'!F19:F20)</x:f>
        <x:v>0.012404388957804416</x:v>
      </x:c>
      <x:c r="D12" s="9" t="n">
        <x:f>AVERAGE('每日前二'!J19:J20)</x:f>
        <x:v>0.0025835250444421476</x:v>
      </x:c>
      <x:c r="E12" s="9" t="n">
        <x:f>AVERAGE('每日前二'!K19:K20)</x:f>
        <x:v>-0.005630816689323359</x:v>
      </x:c>
      <x:c r="F12" s="9" t="n">
        <x:v>0.014619540153364675</x:v>
      </x:c>
      <x:c r="G12" s="9" t="n">
        <x:v>0.00852792373815945</x:v>
      </x:c>
      <x:c r="H12" s="9" t="n">
        <x:f>D12-F12</x:f>
        <x:v>-0.012036015108922528</x:v>
      </x:c>
    </x:row>
    <x:row r="13">
      <x:c r="A13" s="7" t="str">
        <x:v>2026-09-14</x:v>
      </x:c>
      <x:c r="B13" s="7" t="str">
        <x:f>'每日前二'!E21&amp;" / "&amp;'每日前二'!E22</x:f>
        <x:v>东亚药业 / 力芯微</x:v>
      </x:c>
      <x:c r="C13" s="9" t="n">
        <x:f>AVERAGE('每日前二'!F21:F22)</x:f>
        <x:v>0.011736252938807038</x:v>
      </x:c>
      <x:c r="D13" s="9" t="n">
        <x:f>AVERAGE('每日前二'!J21:J22)</x:f>
        <x:v>0.013547574039067367</x:v>
      </x:c>
      <x:c r="E13" s="9" t="n">
        <x:f>AVERAGE('每日前二'!K21:K22)</x:f>
        <x:v>0.008672102244881186</x:v>
      </x:c>
      <x:c r="F13" s="9" t="n">
        <x:v>0.012906868372948839</x:v>
      </x:c>
      <x:c r="G13" s="9" t="n">
        <x:v>0.006528968050060169</x:v>
      </x:c>
      <x:c r="H13" s="9" t="n">
        <x:f>D13-F13</x:f>
        <x:v>0.0006407056661185285</x:v>
      </x:c>
    </x:row>
    <x:row r="14">
      <x:c r="A14" s="7" t="str">
        <x:v>2026-09-15</x:v>
      </x:c>
      <x:c r="B14" s="7" t="str">
        <x:f>'每日前二'!E23&amp;" / "&amp;'每日前二'!E24</x:f>
        <x:v>盛景微 / 金力泰</x:v>
      </x:c>
      <x:c r="C14" s="9" t="n">
        <x:f>AVERAGE('每日前二'!F23:F24)</x:f>
        <x:v>0.009430048070309864</x:v>
      </x:c>
      <x:c r="D14" s="9" t="n">
        <x:f>AVERAGE('每日前二'!J23:J24)</x:f>
        <x:v>0.014501852493625567</x:v>
      </x:c>
      <x:c r="E14" s="9" t="n">
        <x:f>AVERAGE('每日前二'!K23:K24)</x:f>
        <x:v>0.00804198204261486</x:v>
      </x:c>
      <x:c r="F14" s="9" t="n">
        <x:v>0.016408111364853505</x:v>
      </x:c>
      <x:c r="G14" s="9" t="n">
        <x:v>0.008654733373434984</x:v>
      </x:c>
      <x:c r="H14" s="9" t="n">
        <x:f>D14-F14</x:f>
        <x:v>-0.001906258871227938</x:v>
      </x:c>
    </x:row>
    <x:row r="15">
      <x:c r="A15" s="7" t="str">
        <x:v>2026-09-16</x:v>
      </x:c>
      <x:c r="B15" s="7" t="str">
        <x:f>'每日前二'!E25&amp;" / "&amp;'每日前二'!E26</x:f>
        <x:v>久量股份 / 唯万密封</x:v>
      </x:c>
      <x:c r="C15" s="9" t="n">
        <x:f>AVERAGE('每日前二'!F25:F26)</x:f>
        <x:v>0.012514449729322936</x:v>
      </x:c>
      <x:c r="D15" s="9" t="n">
        <x:f>AVERAGE('每日前二'!J25:J26)</x:f>
        <x:v>0.07000807039675039</x:v>
      </x:c>
      <x:c r="E15" s="9" t="n">
        <x:f>AVERAGE('每日前二'!K25:K26)</x:f>
        <x:v>0.06581567611921446</x:v>
      </x:c>
      <x:c r="F15" s="9" t="n">
        <x:v>0.017616221795194672</x:v>
      </x:c>
      <x:c r="G15" s="9" t="n">
        <x:v>0.014240731279422752</x:v>
      </x:c>
      <x:c r="H15" s="9" t="n">
        <x:f>D15-F15</x:f>
        <x:v>0.05239184860155571</x:v>
      </x:c>
    </x:row>
    <x:row r="16">
      <x:c r="A16" s="7" t="str">
        <x:v>2026-09-17</x:v>
      </x:c>
      <x:c r="B16" s="7" t="str">
        <x:f>'每日前二'!E27&amp;" / "&amp;'每日前二'!E28</x:f>
        <x:v>大连友谊 / 申菱环境</x:v>
      </x:c>
      <x:c r="C16" s="9" t="n">
        <x:f>AVERAGE('每日前二'!F27:F28)</x:f>
        <x:v>0.013316543366033436</x:v>
      </x:c>
      <x:c r="D16" s="9" t="n">
        <x:f>AVERAGE('每日前二'!J27:J28)</x:f>
        <x:v>0.012694427905791894</x:v>
      </x:c>
      <x:c r="E16" s="9" t="n">
        <x:f>AVERAGE('每日前二'!K27:K28)</x:f>
        <x:v>0.002711623167541921</x:v>
      </x:c>
      <x:c r="F16" s="9" t="n">
        <x:v>0.024747215081700462</x:v>
      </x:c>
      <x:c r="G16" s="9" t="n">
        <x:v>0.019777710530690218</x:v>
      </x:c>
      <x:c r="H16" s="9" t="n">
        <x:f>D16-F16</x:f>
        <x:v>-0.012052787175908568</x:v>
      </x:c>
    </x:row>
    <x:row r="17">
      <x:c r="A17" s="7" t="str">
        <x:v>2026-09-18</x:v>
      </x:c>
      <x:c r="B17" s="7" t="str">
        <x:f>'每日前二'!E29&amp;" / "&amp;'每日前二'!E30</x:f>
        <x:v>欧陆通 / 中船特气</x:v>
      </x:c>
      <x:c r="C17" s="9" t="n">
        <x:f>AVERAGE('每日前二'!F29:F30)</x:f>
        <x:v>0.014777653142296204</x:v>
      </x:c>
      <x:c r="D17" s="9" t="n">
        <x:f>AVERAGE('每日前二'!J29:J30)</x:f>
        <x:v>0.03951939668166915</x:v>
      </x:c>
      <x:c r="E17" s="9" t="n">
        <x:f>AVERAGE('每日前二'!K29:K30)</x:f>
        <x:v>0.03333120786685784</x:v>
      </x:c>
      <x:c r="F17" s="9" t="n">
        <x:v>0.02125668062158521</x:v>
      </x:c>
      <x:c r="G17" s="9" t="n">
        <x:v>0.017032431809072445</x:v>
      </x:c>
      <x:c r="H17" s="9" t="n">
        <x:f>D17-F17</x:f>
        <x:v>0.01826271606008394</x:v>
      </x:c>
    </x:row>
    <x:row r="18">
      <x:c r="A18" s="7" t="str">
        <x:v>2026-09-21</x:v>
      </x:c>
      <x:c r="B18" s="7" t="str">
        <x:f>'每日前二'!E31&amp;" / "&amp;'每日前二'!E32</x:f>
        <x:v>香农芯创 / 均胜电子</x:v>
      </x:c>
      <x:c r="C18" s="9" t="n">
        <x:f>AVERAGE('每日前二'!F31:F32)</x:f>
        <x:v>0.0150247601211405</x:v>
      </x:c>
      <x:c r="D18" s="9" t="n">
        <x:f>AVERAGE('每日前二'!J31:J32)</x:f>
        <x:v>0.02640308779542566</x:v>
      </x:c>
      <x:c r="E18" s="9" t="n">
        <x:f>AVERAGE('每日前二'!K31:K32)</x:f>
        <x:v>0.015289146729240088</x:v>
      </x:c>
      <x:c r="F18" s="9" t="n">
        <x:v>0.012220684913976473</x:v>
      </x:c>
      <x:c r="G18" s="9" t="n">
        <x:v>0.006907933821682847</x:v>
      </x:c>
      <x:c r="H18" s="9" t="n">
        <x:f>D18-F18</x:f>
        <x:v>0.014182402881449188</x:v>
      </x:c>
    </x:row>
    <x:row r="19">
      <x:c r="A19" s="7" t="str">
        <x:v>2026-09-22</x:v>
      </x:c>
      <x:c r="B19" s="7" t="str">
        <x:f>'每日前二'!E33&amp;" / "&amp;'每日前二'!E34</x:f>
        <x:v>奥士康 / 光智科技</x:v>
      </x:c>
      <x:c r="C19" s="9" t="n">
        <x:f>AVERAGE('每日前二'!F33:F34)</x:f>
        <x:v>0.016248005964553145</x:v>
      </x:c>
      <x:c r="D19" s="9" t="n">
        <x:f>AVERAGE('每日前二'!J33:J34)</x:f>
        <x:v>0.0291189957177429</x:v>
      </x:c>
      <x:c r="E19" s="9" t="n">
        <x:f>AVERAGE('每日前二'!K33:K34)</x:f>
        <x:v>0.02765135245845618</x:v>
      </x:c>
      <x:c r="F19" s="9" t="n">
        <x:v>0.01451573029068544</x:v>
      </x:c>
      <x:c r="G19" s="9" t="n">
        <x:v>0.006804270469977817</x:v>
      </x:c>
      <x:c r="H19" s="9" t="n">
        <x:f>D19-F19</x:f>
        <x:v>0.014603265427057461</x:v>
      </x:c>
    </x:row>
    <x:row r="20">
      <x:c r="A20" s="7" t="str">
        <x:v>2026-09-23</x:v>
      </x:c>
      <x:c r="B20" s="7" t="str">
        <x:f>'每日前二'!E35&amp;" / "&amp;'每日前二'!E36</x:f>
        <x:v>光智科技 / 奥士康</x:v>
      </x:c>
      <x:c r="C20" s="9" t="n">
        <x:f>AVERAGE('每日前二'!F35:F36)</x:f>
        <x:v>0.016083732152707083</x:v>
      </x:c>
      <x:c r="D20" s="9" t="n">
        <x:f>AVERAGE('每日前二'!J35:J36)</x:f>
        <x:v>0.020915299053447745</x:v>
      </x:c>
      <x:c r="E20" s="9" t="n">
        <x:f>AVERAGE('每日前二'!K35:K36)</x:f>
        <x:v>0.019711035419310408</x:v>
      </x:c>
      <x:c r="F20" s="9" t="n">
        <x:v>0.009697782935188587</x:v>
      </x:c>
      <x:c r="G20" s="9" t="n">
        <x:v>0.004066113960925316</x:v>
      </x:c>
      <x:c r="H20" s="9" t="n">
        <x:f>D20-F20</x:f>
        <x:v>0.011217516118259158</x:v>
      </x:c>
    </x:row>
    <x:row r="21">
      <x:c r="A21" s="7" t="str">
        <x:v>2026-09-24</x:v>
      </x:c>
      <x:c r="B21" s="7" t="str">
        <x:f>'每日前二'!E37&amp;" / "&amp;'每日前二'!E38</x:f>
        <x:v>会稽山 / 采纳股份</x:v>
      </x:c>
      <x:c r="C21" s="9" t="n">
        <x:f>AVERAGE('每日前二'!F37:F38)</x:f>
        <x:v>0.015272688558707167</x:v>
      </x:c>
      <x:c r="D21" s="9" t="n">
        <x:f>AVERAGE('每日前二'!J37:J38)</x:f>
        <x:v>0.05335998201017922</x:v>
      </x:c>
      <x:c r="E21" s="9" t="n">
        <x:f>AVERAGE('每日前二'!K37:K38)</x:f>
        <x:v>0.05242072089558936</x:v>
      </x:c>
      <x:c r="F21" s="9" t="n">
        <x:v>0.01171248427101189</x:v>
      </x:c>
      <x:c r="G21" s="9" t="n">
        <x:v>0.0007721921344655714</x:v>
      </x:c>
      <x:c r="H21" s="9" t="n">
        <x:f>D21-F21</x:f>
        <x:v>0.04164749773916733</x:v>
      </x:c>
    </x:row>
    <x:row r="22">
      <x:c r="A22" s="7" t="str">
        <x:v>2026-09-28</x:v>
      </x:c>
      <x:c r="B22" s="7" t="str">
        <x:f>'每日前二'!E39&amp;" / "&amp;'每日前二'!E40</x:f>
        <x:v>欣旺达 / 有研新材</x:v>
      </x:c>
      <x:c r="C22" s="9" t="n">
        <x:f>AVERAGE('每日前二'!F39:F40)</x:f>
        <x:v>0.01755180644187615</x:v>
      </x:c>
      <x:c r="D22" s="9" t="n">
        <x:f>AVERAGE('每日前二'!J39:J40)</x:f>
        <x:v>0.01290505409615389</x:v>
      </x:c>
      <x:c r="E22" s="9" t="n">
        <x:f>AVERAGE('每日前二'!K39:K40)</x:f>
        <x:v>-0.006517438752517646</x:v>
      </x:c>
      <x:c r="F22" s="9" t="n">
        <x:v>0.00704077607808141</x:v>
      </x:c>
      <x:c r="G22" s="9" t="n">
        <x:v>0.0007886516916129194</x:v>
      </x:c>
      <x:c r="H22" s="9" t="n">
        <x:f>D22-F22</x:f>
        <x:v>0.00586427801807248</x:v>
      </x:c>
    </x:row>
    <x:row r="23">
      <x:c r="A23" s="7" t="str">
        <x:v>2026-09-29</x:v>
      </x:c>
      <x:c r="B23" s="7" t="str">
        <x:f>'每日前二'!E41&amp;" / "&amp;'每日前二'!E42</x:f>
        <x:v>江淮汽车 / 大金重工</x:v>
      </x:c>
      <x:c r="C23" s="9" t="n">
        <x:f>AVERAGE('每日前二'!F41:F42)</x:f>
        <x:v>0.017549019448676886</x:v>
      </x:c>
      <x:c r="D23" s="9" t="n">
        <x:f>AVERAGE('每日前二'!J41:J42)</x:f>
        <x:v>0.02123873121632136</x:v>
      </x:c>
      <x:c r="E23" s="9" t="n">
        <x:f>AVERAGE('每日前二'!K41:K42)</x:f>
        <x:v>0.011657139999918187</x:v>
      </x:c>
      <x:c r="F23" s="9" t="n">
        <x:v>0.010580749737390606</x:v>
      </x:c>
      <x:c r="G23" s="9" t="n">
        <x:v>0.0015355285204896728</x:v>
      </x:c>
      <x:c r="H23" s="9" t="n">
        <x:f>D23-F23</x:f>
        <x:v>0.010657981478930755</x:v>
      </x:c>
    </x:row>
    <x:row r="24">
      <x:c r="A24" s="7" t="str">
        <x:v>2026-09-30</x:v>
      </x:c>
      <x:c r="B24" s="7" t="str">
        <x:f>'每日前二'!E43&amp;" / "&amp;'每日前二'!E44</x:f>
        <x:v>彩虹股份 / 山东路桥</x:v>
      </x:c>
      <x:c r="C24" s="9" t="n">
        <x:f>AVERAGE('每日前二'!F43:F44)</x:f>
        <x:v>0.01634708169487295</x:v>
      </x:c>
      <x:c r="D24" s="9" t="n">
        <x:f>AVERAGE('每日前二'!J43:J44)</x:f>
        <x:v>0.03947142655281699</x:v>
      </x:c>
      <x:c r="E24" s="9" t="n">
        <x:f>AVERAGE('每日前二'!K43:K44)</x:f>
        <x:v>0.031185025939159117</x:v>
      </x:c>
      <x:c r="F24" s="9" t="n">
        <x:v>0.015658652503438297</x:v>
      </x:c>
      <x:c r="G24" s="9" t="n">
        <x:v>0.007348598458363563</x:v>
      </x:c>
      <x:c r="H24" s="9" t="n">
        <x:f>D24-F24</x:f>
        <x:v>0.023812774049378694</x:v>
      </x:c>
    </x:row>
    <x:row r="25">
      <x:c r="A25" s="7"/>
      <x:c r="B25" s="7"/>
      <x:c r="C25" s="9"/>
      <x:c r="D25" s="9"/>
      <x:c r="E25" s="9"/>
      <x:c r="F25" s="9"/>
      <x:c r="G25" s="9"/>
      <x:c r="H25" s="9"/>
    </x:row>
    <x:row r="26">
      <x:c r="A26" s="7"/>
      <x:c r="B26" s="7"/>
      <x:c r="C26" s="9"/>
      <x:c r="D26" s="9"/>
      <x:c r="E26" s="9"/>
      <x:c r="F26" s="9"/>
      <x:c r="G26" s="9"/>
      <x:c r="H26" s="9"/>
    </x:row>
    <x:row r="27">
      <x:c r="A27" s="22" t="str">
        <x:v>20 日平均</x:v>
      </x:c>
      <x:c r="B27" s="22"/>
      <x:c r="C27" s="23" t="n">
        <x:f>AVERAGE(C5:C24)</x:f>
        <x:v>0.014954545402837688</x:v>
      </x:c>
      <x:c r="D27" s="23" t="n">
        <x:f>AVERAGE(D5:D24)</x:f>
        <x:v>0.022541312790954664</x:v>
      </x:c>
      <x:c r="E27" s="23" t="n">
        <x:f>AVERAGE(E5:E24)</x:f>
        <x:v>0.015870676862788802</x:v>
      </x:c>
      <x:c r="F27" s="23" t="n">
        <x:f>AVERAGE(F5:F24)</x:f>
        <x:v>0.014282044609591945</x:v>
      </x:c>
      <x:c r="G27" s="23" t="n">
        <x:f>AVERAGE(G5:G24)</x:f>
        <x:v>0.007822061657370327</x:v>
      </x:c>
      <x:c r="H27" s="23" t="n">
        <x:f>AVERAGE(H5:H24)</x:f>
        <x:v>0.00825926818136272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8d44bb96bd84a88"/>
  </x:tableParts>
</x:worksheet>
</file>