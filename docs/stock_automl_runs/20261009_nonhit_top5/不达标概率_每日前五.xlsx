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9f1f1d4ce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前五明细" sheetId="1" r:id="R2ec71403207a4c80"/>
    <x:sheet xmlns:r="http://schemas.openxmlformats.org/officeDocument/2006/relationships" name="批次汇总" sheetId="2" r:id="R27503c1ec1ba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"/>
  </x:numFmts>
  <x:fonts count="6">
    <x:font>
      <x:sz val="11"/>
      <x:name val="Carlito"/>
    </x:font>
    <x:font>
      <x:b/>
      <x:sz val="15"/>
      <x:color rgb="FFFFFFFF"/>
      <x:name val="Arial"/>
    </x:font>
    <x:font>
      <x:sz val="10"/>
      <x:color rgb="FF29465F"/>
      <x:name val="Arial"/>
    </x:font>
    <x:font>
      <x:b/>
      <x:sz val="10"/>
      <x:color rgb="FFFFFFFF"/>
      <x:name val="Arial"/>
    </x:font>
    <x:font>
      <x:b/>
      <x:sz val="10"/>
      <x:color rgb="FF183047"/>
      <x:name val="Arial"/>
    </x:font>
    <x:font>
      <x:sz val="10"/>
      <x:color rgb="FF1830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3F8"/>
      </x:patternFill>
    </x:fill>
    <x:fill>
      <x:patternFill patternType="solid">
        <x:fgColor rgb="FF245E8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9078e2a6047cd" /><Relationship Type="http://schemas.openxmlformats.org/officeDocument/2006/relationships/theme" Target="/xl/theme/theme1.xml" Id="R7a535ddbb1f4451f" /><Relationship Type="http://schemas.openxmlformats.org/officeDocument/2006/relationships/sharedStrings" Target="/xl/sharedStrings.xml" Id="R3e07cc6bac8b4578" /><Relationship Type="http://schemas.openxmlformats.org/officeDocument/2006/relationships/worksheet" Target="/xl/worksheets/sheet1.xml" Id="R2ec71403207a4c80" /><Relationship Type="http://schemas.openxmlformats.org/officeDocument/2006/relationships/worksheet" Target="/xl/worksheets/sheet2.xml" Id="R27503c1ec1ba4d40" /></Relationships>
</file>

<file path=xl/tables/table1.xml><?xml version="1.0" encoding="utf-8"?>
<x:table xmlns:x="http://schemas.openxmlformats.org/spreadsheetml/2006/main" id="1" name="NonhitTop5" displayName="NonhitTop5" ref="A5:P110" headerRowCount="1" totalsRowCount="0" totalsRowShown="0">
  <x:tableColumns count="16">
    <x:tableColumn id="1" name="批次"/>
    <x:tableColumn id="2" name="不达标名次"/>
    <x:tableColumn id="3" name="股票代码"/>
    <x:tableColumn id="4" name="股票名称"/>
    <x:tableColumn id="5" name="P不达标"/>
    <x:tableColumn id="6" name="P达标"/>
    <x:tableColumn id="7" name="P中性"/>
    <x:tableColumn id="8" name="P严重"/>
    <x:tableColumn id="9" name="14:40价格"/>
    <x:tableColumn id="10" name="十分钟最高价"/>
    <x:tableColumn id="11" name="最高价涨幅"/>
    <x:tableColumn id="12" name="最高价类别"/>
    <x:tableColumn id="13" name="最大开盘价"/>
    <x:tableColumn id="14" name="开盘价涨幅"/>
    <x:tableColumn id="15" name="最大收盘价"/>
    <x:tableColumn id="16" name="收盘价涨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nhitBatches" displayName="NonhitBatches" ref="A5:F26" headerRowCount="1" totalsRowCount="0" totalsRowShown="0">
  <x:tableColumns count="6">
    <x:tableColumn id="1" name="批次"/>
    <x:tableColumn id="2" name="选出总数"/>
    <x:tableColumn id="3" name="不达标只数"/>
    <x:tableColumn id="4" name="达标只数"/>
    <x:tableColumn id="5" name="严重错误只数"/>
    <x:tableColumn id="6" name="该批最高涨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68c2546f1147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cbdb768d1248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2" customHeight="1">
      <x:c r="A1" s="2" t="str">
        <x:v>按预测不达标概率排列的每日前五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3" customHeight="1">
      <x:c r="A2" s="4" t="str">
        <x:v>三分类滚动20日模型；每批5只；不达标＝次晨十分钟最高价相对14:40价格≤1%。批次只用于分组，不展示日期。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3" customHeight="1">
      <x:c r="A3" s="4" t="str">
        <x:v>21批共105只：实际不达标59只，仍有46只超过1%；其中25只超过2%。概率未经可靠校准。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t="str">
        <x:v>次晨最大开盘、收盘、最高价分别取十根1分钟K中的最大值，可能不是同一分钟。</x:v>
      </x:c>
    </x:row>
    <x:row r="5" ht="31" customHeight="1">
      <x:c r="A5" s="7" t="str">
        <x:v>批次</x:v>
      </x:c>
      <x:c r="B5" s="7" t="str">
        <x:v>不达标名次</x:v>
      </x:c>
      <x:c r="C5" s="7" t="str">
        <x:v>股票代码</x:v>
      </x:c>
      <x:c r="D5" s="7" t="str">
        <x:v>股票名称</x:v>
      </x:c>
      <x:c r="E5" s="7" t="str">
        <x:v>P不达标</x:v>
      </x:c>
      <x:c r="F5" s="7" t="str">
        <x:v>P达标</x:v>
      </x:c>
      <x:c r="G5" s="7" t="str">
        <x:v>P中性</x:v>
      </x:c>
      <x:c r="H5" s="7" t="str">
        <x:v>P严重</x:v>
      </x:c>
      <x:c r="I5" s="7" t="str">
        <x:v>14:40价格</x:v>
      </x:c>
      <x:c r="J5" s="7" t="str">
        <x:v>十分钟最高价</x:v>
      </x:c>
      <x:c r="K5" s="7" t="str">
        <x:v>最高价涨幅</x:v>
      </x:c>
      <x:c r="L5" s="7" t="str">
        <x:v>最高价类别</x:v>
      </x:c>
      <x:c r="M5" s="7" t="str">
        <x:v>最大开盘价</x:v>
      </x:c>
      <x:c r="N5" s="7" t="str">
        <x:v>开盘价涨幅</x:v>
      </x:c>
      <x:c r="O5" s="7" t="str">
        <x:v>最大收盘价</x:v>
      </x:c>
      <x:c r="P5" s="7" t="str">
        <x:v>收盘价涨幅</x:v>
      </x:c>
    </x:row>
    <x:row r="6">
      <x:c r="A6" s="9" t="n">
        <x:v>1</x:v>
      </x:c>
      <x:c r="B6" s="9" t="n">
        <x:v>1</x:v>
      </x:c>
      <x:c r="C6" s="9" t="str">
        <x:f>"600540"</x:f>
        <x:v>600540</x:v>
      </x:c>
      <x:c r="D6" s="9" t="str">
        <x:v>新赛股份</x:v>
      </x:c>
      <x:c r="E6" s="10" t="n">
        <x:v>0.8879674295197586</x:v>
      </x:c>
      <x:c r="F6" s="10" t="n">
        <x:v>0.1120325704802414</x:v>
      </x:c>
      <x:c r="G6" s="10" t="n">
        <x:v>0.0376400195936108</x:v>
      </x:c>
      <x:c r="H6" s="10" t="n">
        <x:v>0.8503274099261477</x:v>
      </x:c>
      <x:c r="I6" s="11" t="n">
        <x:v>6.47</x:v>
      </x:c>
      <x:c r="J6" s="11" t="n">
        <x:v>6.0600000000000005</x:v>
      </x:c>
      <x:c r="K6" s="10" t="n">
        <x:v>-0.0633693972179288</x:v>
      </x:c>
      <x:c r="L6" s="9" t="n">
        <x:v>-1</x:v>
      </x:c>
      <x:c r="M6" s="11" t="n">
        <x:v>6.0600000000000005</x:v>
      </x:c>
      <x:c r="N6" s="10" t="n">
        <x:v>-0.0633693972179288</x:v>
      </x:c>
      <x:c r="O6" s="11" t="n">
        <x:v>6.0600000000000005</x:v>
      </x:c>
      <x:c r="P6" s="10" t="n">
        <x:v>-0.0633693972179288</x:v>
      </x:c>
    </x:row>
    <x:row r="7">
      <x:c r="A7" s="9" t="n">
        <x:v>1</x:v>
      </x:c>
      <x:c r="B7" s="9" t="n">
        <x:v>2</x:v>
      </x:c>
      <x:c r="C7" s="9" t="str">
        <x:f>"002278"</x:f>
        <x:v>002278</x:v>
      </x:c>
      <x:c r="D7" s="9" t="str">
        <x:v>神开股份</x:v>
      </x:c>
      <x:c r="E7" s="10" t="n">
        <x:v>0.8789478849899334</x:v>
      </x:c>
      <x:c r="F7" s="10" t="n">
        <x:v>0.1210521150100665</x:v>
      </x:c>
      <x:c r="G7" s="10" t="n">
        <x:v>0.1412962103662516</x:v>
      </x:c>
      <x:c r="H7" s="10" t="n">
        <x:v>0.7376516746236818</x:v>
      </x:c>
      <x:c r="I7" s="11" t="n">
        <x:v>8.86</x:v>
      </x:c>
      <x:c r="J7" s="11" t="n">
        <x:v>8.92</x:v>
      </x:c>
      <x:c r="K7" s="10" t="n">
        <x:v>0.0067720090293454</x:v>
      </x:c>
      <x:c r="L7" s="9" t="n">
        <x:v>0</x:v>
      </x:c>
      <x:c r="M7" s="11" t="n">
        <x:v>8.83</x:v>
      </x:c>
      <x:c r="N7" s="10" t="n">
        <x:v>-0.0033860045146726</x:v>
      </x:c>
      <x:c r="O7" s="11" t="n">
        <x:v>8.79</x:v>
      </x:c>
      <x:c r="P7" s="10" t="n">
        <x:v>-0.0079006772009029</x:v>
      </x:c>
    </x:row>
    <x:row r="8">
      <x:c r="A8" s="9" t="n">
        <x:v>1</x:v>
      </x:c>
      <x:c r="B8" s="9" t="n">
        <x:v>3</x:v>
      </x:c>
      <x:c r="C8" s="9" t="str">
        <x:f>"300414"</x:f>
        <x:v>300414</x:v>
      </x:c>
      <x:c r="D8" s="9" t="str">
        <x:v>中光防雷</x:v>
      </x:c>
      <x:c r="E8" s="10" t="n">
        <x:v>0.6995462642976</x:v>
      </x:c>
      <x:c r="F8" s="10" t="n">
        <x:v>0.3004537357023999</x:v>
      </x:c>
      <x:c r="G8" s="10" t="n">
        <x:v>0.2867125849514902</x:v>
      </x:c>
      <x:c r="H8" s="10" t="n">
        <x:v>0.4128336793461097</x:v>
      </x:c>
      <x:c r="I8" s="11" t="n">
        <x:v>11.56</x:v>
      </x:c>
      <x:c r="J8" s="11" t="n">
        <x:v>11.56</x:v>
      </x:c>
      <x:c r="K8" s="10" t="n">
        <x:v>0</x:v>
      </x:c>
      <x:c r="L8" s="9" t="n">
        <x:v>0</x:v>
      </x:c>
      <x:c r="M8" s="11" t="n">
        <x:v>11.54</x:v>
      </x:c>
      <x:c r="N8" s="10" t="n">
        <x:v>-0.0017301038062285</x:v>
      </x:c>
      <x:c r="O8" s="11" t="n">
        <x:v>11.35</x:v>
      </x:c>
      <x:c r="P8" s="10" t="n">
        <x:v>-0.018166089965398</x:v>
      </x:c>
    </x:row>
    <x:row r="9">
      <x:c r="A9" s="9" t="n">
        <x:v>1</x:v>
      </x:c>
      <x:c r="B9" s="9" t="n">
        <x:v>4</x:v>
      </x:c>
      <x:c r="C9" s="9" t="str">
        <x:f>"601718"</x:f>
        <x:v>601718</x:v>
      </x:c>
      <x:c r="D9" s="9" t="str">
        <x:v>际华集团</x:v>
      </x:c>
      <x:c r="E9" s="10" t="n">
        <x:v>0.6800758346523871</x:v>
      </x:c>
      <x:c r="F9" s="10" t="n">
        <x:v>0.3199241653476128</x:v>
      </x:c>
      <x:c r="G9" s="10" t="n">
        <x:v>0.3416733423658059</x:v>
      </x:c>
      <x:c r="H9" s="10" t="n">
        <x:v>0.3384024922865812</x:v>
      </x:c>
      <x:c r="I9" s="11" t="n">
        <x:v>2.01</x:v>
      </x:c>
      <x:c r="J9" s="11" t="n">
        <x:v>2.04</x:v>
      </x:c>
      <x:c r="K9" s="10" t="n">
        <x:v>0.0149253731343284</x:v>
      </x:c>
      <x:c r="L9" s="9" t="n">
        <x:v>1</x:v>
      </x:c>
      <x:c r="M9" s="11" t="n">
        <x:v>2.03</x:v>
      </x:c>
      <x:c r="N9" s="10" t="n">
        <x:v>0.0099502487562188</x:v>
      </x:c>
      <x:c r="O9" s="11" t="n">
        <x:v>2.03</x:v>
      </x:c>
      <x:c r="P9" s="10" t="n">
        <x:v>0.0099502487562188</x:v>
      </x:c>
    </x:row>
    <x:row r="10">
      <x:c r="A10" s="9" t="n">
        <x:v>1</x:v>
      </x:c>
      <x:c r="B10" s="9" t="n">
        <x:v>5</x:v>
      </x:c>
      <x:c r="C10" s="9" t="str">
        <x:f>"300808"</x:f>
        <x:v>300808</x:v>
      </x:c>
      <x:c r="D10" s="9" t="str">
        <x:v>久量股份</x:v>
      </x:c>
      <x:c r="E10" s="10" t="n">
        <x:v>0.6637337903359797</x:v>
      </x:c>
      <x:c r="F10" s="10" t="n">
        <x:v>0.3362662096640203</x:v>
      </x:c>
      <x:c r="G10" s="10" t="n">
        <x:v>0.3209315863031291</x:v>
      </x:c>
      <x:c r="H10" s="10" t="n">
        <x:v>0.3428022040328506</x:v>
      </x:c>
      <x:c r="I10" s="11" t="n">
        <x:v>21.34</x:v>
      </x:c>
      <x:c r="J10" s="11" t="n">
        <x:v>21.91</x:v>
      </x:c>
      <x:c r="K10" s="10" t="n">
        <x:v>0.0267104029990628</x:v>
      </x:c>
      <x:c r="L10" s="9" t="n">
        <x:v>1</x:v>
      </x:c>
      <x:c r="M10" s="11" t="n">
        <x:v>21.850000000000005</x:v>
      </x:c>
      <x:c r="N10" s="10" t="n">
        <x:v>0.0238987816307405</x:v>
      </x:c>
      <x:c r="O10" s="11" t="n">
        <x:v>21.829999999999995</x:v>
      </x:c>
      <x:c r="P10" s="10" t="n">
        <x:v>0.022961574507966</x:v>
      </x:c>
    </x:row>
    <x:row r="11">
      <x:c r="A11" s="9" t="n">
        <x:v>2</x:v>
      </x:c>
      <x:c r="B11" s="9" t="n">
        <x:v>1</x:v>
      </x:c>
      <x:c r="C11" s="9" t="str">
        <x:f>"600892"</x:f>
        <x:v>600892</x:v>
      </x:c>
      <x:c r="D11" s="9" t="str">
        <x:v>大晟文化</x:v>
      </x:c>
      <x:c r="E11" s="10" t="n">
        <x:v>0.8979444526731134</x:v>
      </x:c>
      <x:c r="F11" s="10" t="n">
        <x:v>0.1020555473268867</x:v>
      </x:c>
      <x:c r="G11" s="10" t="n">
        <x:v>0.0300050062740017</x:v>
      </x:c>
      <x:c r="H11" s="10" t="n">
        <x:v>0.8679394463991117</x:v>
      </x:c>
      <x:c r="I11" s="11" t="n">
        <x:v>5.56</x:v>
      </x:c>
      <x:c r="J11" s="11" t="n">
        <x:v>5.1</x:v>
      </x:c>
      <x:c r="K11" s="10" t="n">
        <x:v>-0.0827338129496403</x:v>
      </x:c>
      <x:c r="L11" s="9" t="n">
        <x:v>-1</x:v>
      </x:c>
      <x:c r="M11" s="11" t="n">
        <x:v>4.98</x:v>
      </x:c>
      <x:c r="N11" s="10" t="n">
        <x:v>-0.1043165467625898</x:v>
      </x:c>
      <x:c r="O11" s="11" t="n">
        <x:v>5.09</x:v>
      </x:c>
      <x:c r="P11" s="10" t="n">
        <x:v>-0.0845323741007193</x:v>
      </x:c>
    </x:row>
    <x:row r="12">
      <x:c r="A12" s="9" t="n">
        <x:v>2</x:v>
      </x:c>
      <x:c r="B12" s="9" t="n">
        <x:v>2</x:v>
      </x:c>
      <x:c r="C12" s="9" t="str">
        <x:f>"003005"</x:f>
        <x:v>003005</x:v>
      </x:c>
      <x:c r="D12" s="9" t="str">
        <x:v>竞业达</x:v>
      </x:c>
      <x:c r="E12" s="10" t="n">
        <x:v>0.8406241683030969</x:v>
      </x:c>
      <x:c r="F12" s="10" t="n">
        <x:v>0.159375831696903</x:v>
      </x:c>
      <x:c r="G12" s="10" t="n">
        <x:v>0.0224823448057207</x:v>
      </x:c>
      <x:c r="H12" s="10" t="n">
        <x:v>0.8181418234973762</x:v>
      </x:c>
      <x:c r="I12" s="11" t="n">
        <x:v>20.82</x:v>
      </x:c>
      <x:c r="J12" s="11" t="n">
        <x:v>18.48</x:v>
      </x:c>
      <x:c r="K12" s="10" t="n">
        <x:v>-0.1123919308357348</x:v>
      </x:c>
      <x:c r="L12" s="9" t="n">
        <x:v>-1</x:v>
      </x:c>
      <x:c r="M12" s="11" t="n">
        <x:v>18.48</x:v>
      </x:c>
      <x:c r="N12" s="10" t="n">
        <x:v>-0.1123919308357348</x:v>
      </x:c>
      <x:c r="O12" s="11" t="n">
        <x:v>18.48</x:v>
      </x:c>
      <x:c r="P12" s="10" t="n">
        <x:v>-0.1123919308357348</x:v>
      </x:c>
    </x:row>
    <x:row r="13">
      <x:c r="A13" s="9" t="n">
        <x:v>2</x:v>
      </x:c>
      <x:c r="B13" s="9" t="n">
        <x:v>3</x:v>
      </x:c>
      <x:c r="C13" s="9" t="str">
        <x:f>"600828"</x:f>
        <x:v>600828</x:v>
      </x:c>
      <x:c r="D13" s="9" t="str">
        <x:v>茂业商业</x:v>
      </x:c>
      <x:c r="E13" s="10" t="n">
        <x:v>0.8311667441369389</x:v>
      </x:c>
      <x:c r="F13" s="10" t="n">
        <x:v>0.168833255863061</x:v>
      </x:c>
      <x:c r="G13" s="10" t="n">
        <x:v>0.2202766977164767</x:v>
      </x:c>
      <x:c r="H13" s="10" t="n">
        <x:v>0.6108900464204622</x:v>
      </x:c>
      <x:c r="I13" s="11" t="n">
        <x:v>5.06</x:v>
      </x:c>
      <x:c r="J13" s="11" t="n">
        <x:v>4.79</x:v>
      </x:c>
      <x:c r="K13" s="10" t="n">
        <x:v>-0.0533596837944663</x:v>
      </x:c>
      <x:c r="L13" s="9" t="n">
        <x:v>-1</x:v>
      </x:c>
      <x:c r="M13" s="11" t="n">
        <x:v>4.63</x:v>
      </x:c>
      <x:c r="N13" s="10" t="n">
        <x:v>-0.0849802371541501</x:v>
      </x:c>
      <x:c r="O13" s="11" t="n">
        <x:v>4.64</x:v>
      </x:c>
      <x:c r="P13" s="10" t="n">
        <x:v>-0.0830039525691699</x:v>
      </x:c>
    </x:row>
    <x:row r="14">
      <x:c r="A14" s="9" t="n">
        <x:v>2</x:v>
      </x:c>
      <x:c r="B14" s="9" t="n">
        <x:v>4</x:v>
      </x:c>
      <x:c r="C14" s="9" t="str">
        <x:f>"601999"</x:f>
        <x:v>601999</x:v>
      </x:c>
      <x:c r="D14" s="9" t="str">
        <x:v>出版传媒</x:v>
      </x:c>
      <x:c r="E14" s="10" t="n">
        <x:v>0.7704676891244362</x:v>
      </x:c>
      <x:c r="F14" s="10" t="n">
        <x:v>0.2295323108755639</x:v>
      </x:c>
      <x:c r="G14" s="10" t="n">
        <x:v>0.2729778654152154</x:v>
      </x:c>
      <x:c r="H14" s="10" t="n">
        <x:v>0.4974898237092208</x:v>
      </x:c>
      <x:c r="I14" s="11" t="n">
        <x:v>6.69</x:v>
      </x:c>
      <x:c r="J14" s="11" t="n">
        <x:v>7.259999999999999</x:v>
      </x:c>
      <x:c r="K14" s="10" t="n">
        <x:v>0.0852017937219729</x:v>
      </x:c>
      <x:c r="L14" s="9" t="n">
        <x:v>1</x:v>
      </x:c>
      <x:c r="M14" s="11" t="n">
        <x:v>7.11</x:v>
      </x:c>
      <x:c r="N14" s="10" t="n">
        <x:v>0.0627802690582959</x:v>
      </x:c>
      <x:c r="O14" s="11" t="n">
        <x:v>7.1</x:v>
      </x:c>
      <x:c r="P14" s="10" t="n">
        <x:v>0.061285500747384</x:v>
      </x:c>
    </x:row>
    <x:row r="15">
      <x:c r="A15" s="9" t="n">
        <x:v>2</x:v>
      </x:c>
      <x:c r="B15" s="9" t="n">
        <x:v>5</x:v>
      </x:c>
      <x:c r="C15" s="9" t="str">
        <x:f>"002761"</x:f>
        <x:v>002761</x:v>
      </x:c>
      <x:c r="D15" s="9" t="str">
        <x:v>浙江建投</x:v>
      </x:c>
      <x:c r="E15" s="10" t="n">
        <x:v>0.7279226688732342</x:v>
      </x:c>
      <x:c r="F15" s="10" t="n">
        <x:v>0.2720773311267658</x:v>
      </x:c>
      <x:c r="G15" s="10" t="n">
        <x:v>0.3382320684878418</x:v>
      </x:c>
      <x:c r="H15" s="10" t="n">
        <x:v>0.3896906003853924</x:v>
      </x:c>
      <x:c r="I15" s="11" t="n">
        <x:v>7.75</x:v>
      </x:c>
      <x:c r="J15" s="11" t="n">
        <x:v>7.7</x:v>
      </x:c>
      <x:c r="K15" s="10" t="n">
        <x:v>-0.0064516129032258</x:v>
      </x:c>
      <x:c r="L15" s="9" t="n">
        <x:v>-1</x:v>
      </x:c>
      <x:c r="M15" s="11" t="n">
        <x:v>7.68</x:v>
      </x:c>
      <x:c r="N15" s="10" t="n">
        <x:v>-0.0090322580645161</x:v>
      </x:c>
      <x:c r="O15" s="11" t="n">
        <x:v>7.68</x:v>
      </x:c>
      <x:c r="P15" s="10" t="n">
        <x:v>-0.0090322580645161</x:v>
      </x:c>
    </x:row>
    <x:row r="16">
      <x:c r="A16" s="9" t="n">
        <x:v>3</x:v>
      </x:c>
      <x:c r="B16" s="9" t="n">
        <x:v>1</x:v>
      </x:c>
      <x:c r="C16" s="9" t="str">
        <x:f>"600616"</x:f>
        <x:v>600616</x:v>
      </x:c>
      <x:c r="D16" s="9" t="str">
        <x:v>金枫酒业</x:v>
      </x:c>
      <x:c r="E16" s="10" t="n">
        <x:v>0.7705355568651324</x:v>
      </x:c>
      <x:c r="F16" s="10" t="n">
        <x:v>0.2294644431348676</x:v>
      </x:c>
      <x:c r="G16" s="10" t="n">
        <x:v>0.3086721984002546</x:v>
      </x:c>
      <x:c r="H16" s="10" t="n">
        <x:v>0.4618633584648777</x:v>
      </x:c>
      <x:c r="I16" s="11" t="n">
        <x:v>4.6</x:v>
      </x:c>
      <x:c r="J16" s="11" t="n">
        <x:v>4.66</x:v>
      </x:c>
      <x:c r="K16" s="10" t="n">
        <x:v>0.0130434782608697</x:v>
      </x:c>
      <x:c r="L16" s="9" t="n">
        <x:v>1</x:v>
      </x:c>
      <x:c r="M16" s="11" t="n">
        <x:v>4.61</x:v>
      </x:c>
      <x:c r="N16" s="10" t="n">
        <x:v>0.0021739130434783</x:v>
      </x:c>
      <x:c r="O16" s="11" t="n">
        <x:v>4.61</x:v>
      </x:c>
      <x:c r="P16" s="10" t="n">
        <x:v>0.0021739130434783</x:v>
      </x:c>
    </x:row>
    <x:row r="17">
      <x:c r="A17" s="9" t="n">
        <x:v>3</x:v>
      </x:c>
      <x:c r="B17" s="9" t="n">
        <x:v>2</x:v>
      </x:c>
      <x:c r="C17" s="9" t="str">
        <x:f>"002438"</x:f>
        <x:v>002438</x:v>
      </x:c>
      <x:c r="D17" s="9" t="str">
        <x:v>江苏神通</x:v>
      </x:c>
      <x:c r="E17" s="10" t="n">
        <x:v>0.7256079272260929</x:v>
      </x:c>
      <x:c r="F17" s="10" t="n">
        <x:v>0.274392072773907</x:v>
      </x:c>
      <x:c r="G17" s="10" t="n">
        <x:v>0.2972311113666109</x:v>
      </x:c>
      <x:c r="H17" s="10" t="n">
        <x:v>0.428376815859482</x:v>
      </x:c>
      <x:c r="I17" s="11" t="n">
        <x:v>14.53</x:v>
      </x:c>
      <x:c r="J17" s="11" t="n">
        <x:v>14.750000000000002</x:v>
      </x:c>
      <x:c r="K17" s="10" t="n">
        <x:v>0.0151410874053683</x:v>
      </x:c>
      <x:c r="L17" s="9" t="n">
        <x:v>1</x:v>
      </x:c>
      <x:c r="M17" s="11" t="n">
        <x:v>14.590000000000002</x:v>
      </x:c>
      <x:c r="N17" s="10" t="n">
        <x:v>0.0041293874741914</x:v>
      </x:c>
      <x:c r="O17" s="11" t="n">
        <x:v>14.63</x:v>
      </x:c>
      <x:c r="P17" s="10" t="n">
        <x:v>0.0068823124569856</x:v>
      </x:c>
    </x:row>
    <x:row r="18">
      <x:c r="A18" s="9" t="n">
        <x:v>3</x:v>
      </x:c>
      <x:c r="B18" s="9" t="n">
        <x:v>3</x:v>
      </x:c>
      <x:c r="C18" s="9" t="str">
        <x:f>"601999"</x:f>
        <x:v>601999</x:v>
      </x:c>
      <x:c r="D18" s="9" t="str">
        <x:v>出版传媒</x:v>
      </x:c>
      <x:c r="E18" s="10" t="n">
        <x:v>0.7167478929095578</x:v>
      </x:c>
      <x:c r="F18" s="10" t="n">
        <x:v>0.2832521070904422</x:v>
      </x:c>
      <x:c r="G18" s="10" t="n">
        <x:v>0.2233640135955179</x:v>
      </x:c>
      <x:c r="H18" s="10" t="n">
        <x:v>0.4933838793140398</x:v>
      </x:c>
      <x:c r="I18" s="11" t="n">
        <x:v>6.99</x:v>
      </x:c>
      <x:c r="J18" s="11" t="n">
        <x:v>7.140000000000001</x:v>
      </x:c>
      <x:c r="K18" s="10" t="n">
        <x:v>0.0214592274678111</x:v>
      </x:c>
      <x:c r="L18" s="9" t="n">
        <x:v>1</x:v>
      </x:c>
      <x:c r="M18" s="11" t="n">
        <x:v>7.03</x:v>
      </x:c>
      <x:c r="N18" s="10" t="n">
        <x:v>0.005722460658083</x:v>
      </x:c>
      <x:c r="O18" s="11" t="n">
        <x:v>7.070000000000001</x:v>
      </x:c>
      <x:c r="P18" s="10" t="n">
        <x:v>0.011444921316166</x:v>
      </x:c>
    </x:row>
    <x:row r="19">
      <x:c r="A19" s="9" t="n">
        <x:v>3</x:v>
      </x:c>
      <x:c r="B19" s="9" t="n">
        <x:v>4</x:v>
      </x:c>
      <x:c r="C19" s="9" t="str">
        <x:f>"002011"</x:f>
        <x:v>002011</x:v>
      </x:c>
      <x:c r="D19" s="9" t="str">
        <x:v>盾安环境</x:v>
      </x:c>
      <x:c r="E19" s="10" t="n">
        <x:v>0.6817448037311568</x:v>
      </x:c>
      <x:c r="F19" s="10" t="n">
        <x:v>0.3182551962688433</x:v>
      </x:c>
      <x:c r="G19" s="10" t="n">
        <x:v>0.3960142530165093</x:v>
      </x:c>
      <x:c r="H19" s="10" t="n">
        <x:v>0.2857305507146475</x:v>
      </x:c>
      <x:c r="I19" s="11" t="n">
        <x:v>10.82</x:v>
      </x:c>
      <x:c r="J19" s="11" t="n">
        <x:v>11.570000000000002</x:v>
      </x:c>
      <x:c r="K19" s="10" t="n">
        <x:v>0.0693160813308688</x:v>
      </x:c>
      <x:c r="L19" s="9" t="n">
        <x:v>1</x:v>
      </x:c>
      <x:c r="M19" s="11" t="n">
        <x:v>11.51</x:v>
      </x:c>
      <x:c r="N19" s="10" t="n">
        <x:v>0.0637707948243992</x:v>
      </x:c>
      <x:c r="O19" s="11" t="n">
        <x:v>11.54</x:v>
      </x:c>
      <x:c r="P19" s="10" t="n">
        <x:v>0.0665434380776339</x:v>
      </x:c>
    </x:row>
    <x:row r="20">
      <x:c r="A20" s="9" t="n">
        <x:v>3</x:v>
      </x:c>
      <x:c r="B20" s="9" t="n">
        <x:v>5</x:v>
      </x:c>
      <x:c r="C20" s="9" t="str">
        <x:f>"600185"</x:f>
        <x:v>600185</x:v>
      </x:c>
      <x:c r="D20" s="9" t="str">
        <x:v>格力地产</x:v>
      </x:c>
      <x:c r="E20" s="10" t="n">
        <x:v>0.6816836833887876</x:v>
      </x:c>
      <x:c r="F20" s="10" t="n">
        <x:v>0.3183163166112124</x:v>
      </x:c>
      <x:c r="G20" s="10" t="n">
        <x:v>0.3211076928439486</x:v>
      </x:c>
      <x:c r="H20" s="10" t="n">
        <x:v>0.3605759905448389</x:v>
      </x:c>
      <x:c r="I20" s="11" t="n">
        <x:v>5.45</x:v>
      </x:c>
      <x:c r="J20" s="11" t="n">
        <x:v>5.49</x:v>
      </x:c>
      <x:c r="K20" s="10" t="n">
        <x:v>0.0073394495412844</x:v>
      </x:c>
      <x:c r="L20" s="9" t="n">
        <x:v>0</x:v>
      </x:c>
      <x:c r="M20" s="11" t="n">
        <x:v>5.43</x:v>
      </x:c>
      <x:c r="N20" s="10" t="n">
        <x:v>-0.0036697247706423</x:v>
      </x:c>
      <x:c r="O20" s="11" t="n">
        <x:v>5.43</x:v>
      </x:c>
      <x:c r="P20" s="10" t="n">
        <x:v>-0.0036697247706423</x:v>
      </x:c>
    </x:row>
    <x:row r="21">
      <x:c r="A21" s="9" t="n">
        <x:v>4</x:v>
      </x:c>
      <x:c r="B21" s="9" t="n">
        <x:v>1</x:v>
      </x:c>
      <x:c r="C21" s="9" t="str">
        <x:f>"605398"</x:f>
        <x:v>605398</x:v>
      </x:c>
      <x:c r="D21" s="9" t="str">
        <x:v>新炬网络</x:v>
      </x:c>
      <x:c r="E21" s="10" t="n">
        <x:v>0.8005687922857396</x:v>
      </x:c>
      <x:c r="F21" s="10" t="n">
        <x:v>0.1994312077142603</x:v>
      </x:c>
      <x:c r="G21" s="10" t="n">
        <x:v>0.229471388277489</x:v>
      </x:c>
      <x:c r="H21" s="10" t="n">
        <x:v>0.5710974040082506</x:v>
      </x:c>
      <x:c r="I21" s="11" t="n">
        <x:v>27.66</x:v>
      </x:c>
      <x:c r="J21" s="11" t="n">
        <x:v>26.77</x:v>
      </x:c>
      <x:c r="K21" s="10" t="n">
        <x:v>-0.032176428054953</x:v>
      </x:c>
      <x:c r="L21" s="9" t="n">
        <x:v>-1</x:v>
      </x:c>
      <x:c r="M21" s="11" t="n">
        <x:v>26.7</x:v>
      </x:c>
      <x:c r="N21" s="10" t="n">
        <x:v>-0.03470715835141</x:v>
      </x:c>
      <x:c r="O21" s="11" t="n">
        <x:v>26.000000000000004</x:v>
      </x:c>
      <x:c r="P21" s="10" t="n">
        <x:v>-0.0600144613159797</x:v>
      </x:c>
    </x:row>
    <x:row r="22">
      <x:c r="A22" s="9" t="n">
        <x:v>4</x:v>
      </x:c>
      <x:c r="B22" s="9" t="n">
        <x:v>2</x:v>
      </x:c>
      <x:c r="C22" s="9" t="str">
        <x:f>"002224"</x:f>
        <x:v>002224</x:v>
      </x:c>
      <x:c r="D22" s="9" t="str">
        <x:v>三力士</x:v>
      </x:c>
      <x:c r="E22" s="10" t="n">
        <x:v>0.6890322795334383</x:v>
      </x:c>
      <x:c r="F22" s="10" t="n">
        <x:v>0.3109677204665617</x:v>
      </x:c>
      <x:c r="G22" s="10" t="n">
        <x:v>0.3002190207098153</x:v>
      </x:c>
      <x:c r="H22" s="10" t="n">
        <x:v>0.3888132588236229</x:v>
      </x:c>
      <x:c r="I22" s="11" t="n">
        <x:v>3.94</x:v>
      </x:c>
      <x:c r="J22" s="11" t="n">
        <x:v>4.1</x:v>
      </x:c>
      <x:c r="K22" s="10" t="n">
        <x:v>0.0406091370558374</x:v>
      </x:c>
      <x:c r="L22" s="9" t="n">
        <x:v>1</x:v>
      </x:c>
      <x:c r="M22" s="11" t="n">
        <x:v>4.09</x:v>
      </x:c>
      <x:c r="N22" s="10" t="n">
        <x:v>0.0380710659898477</x:v>
      </x:c>
      <x:c r="O22" s="11" t="n">
        <x:v>4.09</x:v>
      </x:c>
      <x:c r="P22" s="10" t="n">
        <x:v>0.0380710659898477</x:v>
      </x:c>
    </x:row>
    <x:row r="23">
      <x:c r="A23" s="9" t="n">
        <x:v>4</x:v>
      </x:c>
      <x:c r="B23" s="9" t="n">
        <x:v>3</x:v>
      </x:c>
      <x:c r="C23" s="9" t="str">
        <x:f>"000822"</x:f>
        <x:v>000822</x:v>
      </x:c>
      <x:c r="D23" s="9" t="str">
        <x:v>山东海化</x:v>
      </x:c>
      <x:c r="E23" s="10" t="n">
        <x:v>0.6625572579046164</x:v>
      </x:c>
      <x:c r="F23" s="10" t="n">
        <x:v>0.3374427420953835</x:v>
      </x:c>
      <x:c r="G23" s="10" t="n">
        <x:v>0.3937431562241953</x:v>
      </x:c>
      <x:c r="H23" s="10" t="n">
        <x:v>0.2688141016804211</x:v>
      </x:c>
      <x:c r="I23" s="11" t="n">
        <x:v>4.59</x:v>
      </x:c>
      <x:c r="J23" s="11" t="n">
        <x:v>4.630000000000001</x:v>
      </x:c>
      <x:c r="K23" s="10" t="n">
        <x:v>0.0087145969498911</x:v>
      </x:c>
      <x:c r="L23" s="9" t="n">
        <x:v>0</x:v>
      </x:c>
      <x:c r="M23" s="11" t="n">
        <x:v>4.6</x:v>
      </x:c>
      <x:c r="N23" s="10" t="n">
        <x:v>0.0021786492374726</x:v>
      </x:c>
      <x:c r="O23" s="11" t="n">
        <x:v>4.6</x:v>
      </x:c>
      <x:c r="P23" s="10" t="n">
        <x:v>0.0021786492374726</x:v>
      </x:c>
    </x:row>
    <x:row r="24">
      <x:c r="A24" s="9" t="n">
        <x:v>4</x:v>
      </x:c>
      <x:c r="B24" s="9" t="n">
        <x:v>4</x:v>
      </x:c>
      <x:c r="C24" s="9" t="str">
        <x:f>"600822"</x:f>
        <x:v>600822</x:v>
      </x:c>
      <x:c r="D24" s="9" t="str">
        <x:v>上海物贸</x:v>
      </x:c>
      <x:c r="E24" s="10" t="n">
        <x:v>0.6509555750242058</x:v>
      </x:c>
      <x:c r="F24" s="10" t="n">
        <x:v>0.3490444249757941</x:v>
      </x:c>
      <x:c r="G24" s="10" t="n">
        <x:v>0.409423070759518</x:v>
      </x:c>
      <x:c r="H24" s="10" t="n">
        <x:v>0.2415325042646878</x:v>
      </x:c>
      <x:c r="I24" s="11" t="n">
        <x:v>8.78</x:v>
      </x:c>
      <x:c r="J24" s="11" t="n">
        <x:v>8.970000000000002</x:v>
      </x:c>
      <x:c r="K24" s="10" t="n">
        <x:v>0.0216400911161733</x:v>
      </x:c>
      <x:c r="L24" s="9" t="n">
        <x:v>1</x:v>
      </x:c>
      <x:c r="M24" s="11" t="n">
        <x:v>8.92</x:v>
      </x:c>
      <x:c r="N24" s="10" t="n">
        <x:v>0.0159453302961276</x:v>
      </x:c>
      <x:c r="O24" s="11" t="n">
        <x:v>8.9</x:v>
      </x:c>
      <x:c r="P24" s="10" t="n">
        <x:v>0.0136674259681095</x:v>
      </x:c>
    </x:row>
    <x:row r="25">
      <x:c r="A25" s="9" t="n">
        <x:v>4</x:v>
      </x:c>
      <x:c r="B25" s="9" t="n">
        <x:v>5</x:v>
      </x:c>
      <x:c r="C25" s="9" t="str">
        <x:f>"300703"</x:f>
        <x:v>300703</x:v>
      </x:c>
      <x:c r="D25" s="9" t="str">
        <x:v>创源股份</x:v>
      </x:c>
      <x:c r="E25" s="10" t="n">
        <x:v>0.6361226243234168</x:v>
      </x:c>
      <x:c r="F25" s="10" t="n">
        <x:v>0.3638773756765833</x:v>
      </x:c>
      <x:c r="G25" s="10" t="n">
        <x:v>0.3359441879666719</x:v>
      </x:c>
      <x:c r="H25" s="10" t="n">
        <x:v>0.3001784363567448</x:v>
      </x:c>
      <x:c r="I25" s="11" t="n">
        <x:v>14.81</x:v>
      </x:c>
      <x:c r="J25" s="11" t="n">
        <x:v>15.18</x:v>
      </x:c>
      <x:c r="K25" s="10" t="n">
        <x:v>0.0249831195138419</x:v>
      </x:c>
      <x:c r="L25" s="9" t="n">
        <x:v>1</x:v>
      </x:c>
      <x:c r="M25" s="11" t="n">
        <x:v>15.14</x:v>
      </x:c>
      <x:c r="N25" s="10" t="n">
        <x:v>0.0222822417285617</x:v>
      </x:c>
      <x:c r="O25" s="11" t="n">
        <x:v>15.160000000000002</x:v>
      </x:c>
      <x:c r="P25" s="10" t="n">
        <x:v>0.0236326806212019</x:v>
      </x:c>
    </x:row>
    <x:row r="26">
      <x:c r="A26" s="9" t="n">
        <x:v>5</x:v>
      </x:c>
      <x:c r="B26" s="9" t="n">
        <x:v>1</x:v>
      </x:c>
      <x:c r="C26" s="9" t="str">
        <x:f>"603888"</x:f>
        <x:v>603888</x:v>
      </x:c>
      <x:c r="D26" s="9" t="str">
        <x:v>新华网</x:v>
      </x:c>
      <x:c r="E26" s="10" t="n">
        <x:v>0.6982077926946808</x:v>
      </x:c>
      <x:c r="F26" s="10" t="n">
        <x:v>0.3017922073053191</x:v>
      </x:c>
      <x:c r="G26" s="10" t="n">
        <x:v>0.2427553435085718</x:v>
      </x:c>
      <x:c r="H26" s="10" t="n">
        <x:v>0.455452449186109</x:v>
      </x:c>
      <x:c r="I26" s="11" t="n">
        <x:v>17.71</x:v>
      </x:c>
      <x:c r="J26" s="11" t="n">
        <x:v>17.36</x:v>
      </x:c>
      <x:c r="K26" s="10" t="n">
        <x:v>-0.0197628458498024</x:v>
      </x:c>
      <x:c r="L26" s="9" t="n">
        <x:v>-1</x:v>
      </x:c>
      <x:c r="M26" s="11" t="n">
        <x:v>17.3</x:v>
      </x:c>
      <x:c r="N26" s="10" t="n">
        <x:v>-0.023150762281197</x:v>
      </x:c>
      <x:c r="O26" s="11" t="n">
        <x:v>17.06</x:v>
      </x:c>
      <x:c r="P26" s="10" t="n">
        <x:v>-0.0367024280067759</x:v>
      </x:c>
    </x:row>
    <x:row r="27">
      <x:c r="A27" s="9" t="n">
        <x:v>5</x:v>
      </x:c>
      <x:c r="B27" s="9" t="n">
        <x:v>2</x:v>
      </x:c>
      <x:c r="C27" s="9" t="str">
        <x:f>"300879"</x:f>
        <x:v>300879</x:v>
      </x:c>
      <x:c r="D27" s="9" t="str">
        <x:v>大叶股份</x:v>
      </x:c>
      <x:c r="E27" s="10" t="n">
        <x:v>0.6943341394765945</x:v>
      </x:c>
      <x:c r="F27" s="10" t="n">
        <x:v>0.3056658605234054</x:v>
      </x:c>
      <x:c r="G27" s="10" t="n">
        <x:v>0.2975503813642819</x:v>
      </x:c>
      <x:c r="H27" s="10" t="n">
        <x:v>0.3967837581123125</x:v>
      </x:c>
      <x:c r="I27" s="11" t="n">
        <x:v>18.26</x:v>
      </x:c>
      <x:c r="J27" s="11" t="n">
        <x:v>18.28</x:v>
      </x:c>
      <x:c r="K27" s="10" t="n">
        <x:v>0.0010952902519167</x:v>
      </x:c>
      <x:c r="L27" s="9" t="n">
        <x:v>0</x:v>
      </x:c>
      <x:c r="M27" s="11" t="n">
        <x:v>18</x:v>
      </x:c>
      <x:c r="N27" s="10" t="n">
        <x:v>-0.0142387732749179</x:v>
      </x:c>
      <x:c r="O27" s="11" t="n">
        <x:v>18</x:v>
      </x:c>
      <x:c r="P27" s="10" t="n">
        <x:v>-0.0142387732749179</x:v>
      </x:c>
    </x:row>
    <x:row r="28">
      <x:c r="A28" s="9" t="n">
        <x:v>5</x:v>
      </x:c>
      <x:c r="B28" s="9" t="n">
        <x:v>3</x:v>
      </x:c>
      <x:c r="C28" s="9" t="str">
        <x:f>"001368"</x:f>
        <x:v>001368</x:v>
      </x:c>
      <x:c r="D28" s="9" t="str">
        <x:v>通达创智</x:v>
      </x:c>
      <x:c r="E28" s="10" t="n">
        <x:v>0.6336996428204527</x:v>
      </x:c>
      <x:c r="F28" s="10" t="n">
        <x:v>0.3663003571795473</x:v>
      </x:c>
      <x:c r="G28" s="10" t="n">
        <x:v>0.2403114330005724</x:v>
      </x:c>
      <x:c r="H28" s="10" t="n">
        <x:v>0.3933882098198802</x:v>
      </x:c>
      <x:c r="I28" s="11" t="n">
        <x:v>25.45</x:v>
      </x:c>
      <x:c r="J28" s="11" t="n">
        <x:v>26.03</x:v>
      </x:c>
      <x:c r="K28" s="10" t="n">
        <x:v>0.0227897838899804</x:v>
      </x:c>
      <x:c r="L28" s="9" t="n">
        <x:v>1</x:v>
      </x:c>
      <x:c r="M28" s="11" t="n">
        <x:v>25.809999999999995</x:v>
      </x:c>
      <x:c r="N28" s="10" t="n">
        <x:v>0.0141453831041256</x:v>
      </x:c>
      <x:c r="O28" s="11" t="n">
        <x:v>25.8</x:v>
      </x:c>
      <x:c r="P28" s="10" t="n">
        <x:v>0.0137524557956778</x:v>
      </x:c>
    </x:row>
    <x:row r="29">
      <x:c r="A29" s="9" t="n">
        <x:v>5</x:v>
      </x:c>
      <x:c r="B29" s="9" t="n">
        <x:v>4</x:v>
      </x:c>
      <x:c r="C29" s="9" t="str">
        <x:f>"000516"</x:f>
        <x:v>000516</x:v>
      </x:c>
      <x:c r="D29" s="9" t="str">
        <x:v>国际医学</x:v>
      </x:c>
      <x:c r="E29" s="10" t="n">
        <x:v>0.6311881698576365</x:v>
      </x:c>
      <x:c r="F29" s="10" t="n">
        <x:v>0.3688118301423635</x:v>
      </x:c>
      <x:c r="G29" s="10" t="n">
        <x:v>0.3395614119983325</x:v>
      </x:c>
      <x:c r="H29" s="10" t="n">
        <x:v>0.2916267578593038</x:v>
      </x:c>
      <x:c r="I29" s="11" t="n">
        <x:v>4.28</x:v>
      </x:c>
      <x:c r="J29" s="11" t="n">
        <x:v>4.2700000000000005</x:v>
      </x:c>
      <x:c r="K29" s="10" t="n">
        <x:v>-0.0023364485981309</x:v>
      </x:c>
      <x:c r="L29" s="9" t="n">
        <x:v>-1</x:v>
      </x:c>
      <x:c r="M29" s="11" t="n">
        <x:v>4.2700000000000005</x:v>
      </x:c>
      <x:c r="N29" s="10" t="n">
        <x:v>-0.0023364485981309</x:v>
      </x:c>
      <x:c r="O29" s="11" t="n">
        <x:v>4.26</x:v>
      </x:c>
      <x:c r="P29" s="10" t="n">
        <x:v>-0.0046728971962617</x:v>
      </x:c>
    </x:row>
    <x:row r="30">
      <x:c r="A30" s="9" t="n">
        <x:v>5</x:v>
      </x:c>
      <x:c r="B30" s="9" t="n">
        <x:v>5</x:v>
      </x:c>
      <x:c r="C30" s="9" t="str">
        <x:f>"601005"</x:f>
        <x:v>601005</x:v>
      </x:c>
      <x:c r="D30" s="9" t="str">
        <x:v>重庆钢铁</x:v>
      </x:c>
      <x:c r="E30" s="10" t="n">
        <x:v>0.6044595691259808</x:v>
      </x:c>
      <x:c r="F30" s="10" t="n">
        <x:v>0.3955404308740192</x:v>
      </x:c>
      <x:c r="G30" s="10" t="n">
        <x:v>0.3698348812930316</x:v>
      </x:c>
      <x:c r="H30" s="10" t="n">
        <x:v>0.2346246878329491</x:v>
      </x:c>
      <x:c r="I30" s="11" t="n">
        <x:v>1.24</x:v>
      </x:c>
      <x:c r="J30" s="11" t="n">
        <x:v>1.25</x:v>
      </x:c>
      <x:c r="K30" s="10" t="n">
        <x:v>0.0080645161290322</x:v>
      </x:c>
      <x:c r="L30" s="9" t="n">
        <x:v>0</x:v>
      </x:c>
      <x:c r="M30" s="11" t="n">
        <x:v>1.25</x:v>
      </x:c>
      <x:c r="N30" s="10" t="n">
        <x:v>0.0080645161290322</x:v>
      </x:c>
      <x:c r="O30" s="11" t="n">
        <x:v>1.25</x:v>
      </x:c>
      <x:c r="P30" s="10" t="n">
        <x:v>0.0080645161290322</x:v>
      </x:c>
    </x:row>
    <x:row r="31">
      <x:c r="A31" s="9" t="n">
        <x:v>6</x:v>
      </x:c>
      <x:c r="B31" s="9" t="n">
        <x:v>1</x:v>
      </x:c>
      <x:c r="C31" s="9" t="str">
        <x:f>"603214"</x:f>
        <x:v>603214</x:v>
      </x:c>
      <x:c r="D31" s="9" t="str">
        <x:v>爱婴室</x:v>
      </x:c>
      <x:c r="E31" s="10" t="n">
        <x:v>0.8727905547469231</x:v>
      </x:c>
      <x:c r="F31" s="10" t="n">
        <x:v>0.1272094452530769</x:v>
      </x:c>
      <x:c r="G31" s="10" t="n">
        <x:v>0.1621846051024988</x:v>
      </x:c>
      <x:c r="H31" s="10" t="n">
        <x:v>0.7106059496444244</x:v>
      </x:c>
      <x:c r="I31" s="11" t="n">
        <x:v>14.69</x:v>
      </x:c>
      <x:c r="J31" s="11" t="n">
        <x:v>14.05</x:v>
      </x:c>
      <x:c r="K31" s="10" t="n">
        <x:v>-0.0435670524166098</x:v>
      </x:c>
      <x:c r="L31" s="9" t="n">
        <x:v>-1</x:v>
      </x:c>
      <x:c r="M31" s="11" t="n">
        <x:v>13.960000000000003</x:v>
      </x:c>
      <x:c r="N31" s="10" t="n">
        <x:v>-0.0496936691626955</x:v>
      </x:c>
      <x:c r="O31" s="11" t="n">
        <x:v>13.890000000000002</x:v>
      </x:c>
      <x:c r="P31" s="10" t="n">
        <x:v>-0.0544588155207623</x:v>
      </x:c>
    </x:row>
    <x:row r="32">
      <x:c r="A32" s="9" t="n">
        <x:v>6</x:v>
      </x:c>
      <x:c r="B32" s="9" t="n">
        <x:v>2</x:v>
      </x:c>
      <x:c r="C32" s="9" t="str">
        <x:f>"301355"</x:f>
        <x:v>301355</x:v>
      </x:c>
      <x:c r="D32" s="9" t="str">
        <x:v>南王科技</x:v>
      </x:c>
      <x:c r="E32" s="10" t="n">
        <x:v>0.7218272406935659</x:v>
      </x:c>
      <x:c r="F32" s="10" t="n">
        <x:v>0.2781727593064341</x:v>
      </x:c>
      <x:c r="G32" s="10" t="n">
        <x:v>0.1941295268161947</x:v>
      </x:c>
      <x:c r="H32" s="10" t="n">
        <x:v>0.5276977138773712</x:v>
      </x:c>
      <x:c r="I32" s="11" t="n">
        <x:v>11.57</x:v>
      </x:c>
      <x:c r="J32" s="11" t="n">
        <x:v>11.9</x:v>
      </x:c>
      <x:c r="K32" s="10" t="n">
        <x:v>0.0285220397579948</x:v>
      </x:c>
      <x:c r="L32" s="9" t="n">
        <x:v>1</x:v>
      </x:c>
      <x:c r="M32" s="11" t="n">
        <x:v>11.81</x:v>
      </x:c>
      <x:c r="N32" s="10" t="n">
        <x:v>0.020743301642178</x:v>
      </x:c>
      <x:c r="O32" s="11" t="n">
        <x:v>11.81</x:v>
      </x:c>
      <x:c r="P32" s="10" t="n">
        <x:v>0.020743301642178</x:v>
      </x:c>
    </x:row>
    <x:row r="33">
      <x:c r="A33" s="9" t="n">
        <x:v>6</x:v>
      </x:c>
      <x:c r="B33" s="9" t="n">
        <x:v>3</x:v>
      </x:c>
      <x:c r="C33" s="9" t="str">
        <x:f>"603066"</x:f>
        <x:v>603066</x:v>
      </x:c>
      <x:c r="D33" s="9" t="str">
        <x:v>音飞储存</x:v>
      </x:c>
      <x:c r="E33" s="10" t="n">
        <x:v>0.6950069275584048</x:v>
      </x:c>
      <x:c r="F33" s="10" t="n">
        <x:v>0.3049930724415953</x:v>
      </x:c>
      <x:c r="G33" s="10" t="n">
        <x:v>0.278750748337853</x:v>
      </x:c>
      <x:c r="H33" s="10" t="n">
        <x:v>0.4162561792205518</x:v>
      </x:c>
      <x:c r="I33" s="11" t="n">
        <x:v>9.74</x:v>
      </x:c>
      <x:c r="J33" s="11" t="n">
        <x:v>9.749999999999998</x:v>
      </x:c>
      <x:c r="K33" s="10" t="n">
        <x:v>0.0010266940451744</x:v>
      </x:c>
      <x:c r="L33" s="9" t="n">
        <x:v>0</x:v>
      </x:c>
      <x:c r="M33" s="11" t="n">
        <x:v>9.73</x:v>
      </x:c>
      <x:c r="N33" s="10" t="n">
        <x:v>-0.0010266940451745</x:v>
      </x:c>
      <x:c r="O33" s="11" t="n">
        <x:v>9.69</x:v>
      </x:c>
      <x:c r="P33" s="10" t="n">
        <x:v>-0.0051334702258727</x:v>
      </x:c>
    </x:row>
    <x:row r="34">
      <x:c r="A34" s="9" t="n">
        <x:v>6</x:v>
      </x:c>
      <x:c r="B34" s="9" t="n">
        <x:v>4</x:v>
      </x:c>
      <x:c r="C34" s="9" t="str">
        <x:f>"002121"</x:f>
        <x:v>002121</x:v>
      </x:c>
      <x:c r="D34" s="9" t="str">
        <x:v>科陆电子</x:v>
      </x:c>
      <x:c r="E34" s="10" t="n">
        <x:v>0.6668342339653843</x:v>
      </x:c>
      <x:c r="F34" s="10" t="n">
        <x:v>0.3331657660346157</x:v>
      </x:c>
      <x:c r="G34" s="10" t="n">
        <x:v>0.276127485847933</x:v>
      </x:c>
      <x:c r="H34" s="10" t="n">
        <x:v>0.3907067481174513</x:v>
      </x:c>
      <x:c r="I34" s="11" t="n">
        <x:v>5.25</x:v>
      </x:c>
      <x:c r="J34" s="11" t="n">
        <x:v>5.27</x:v>
      </x:c>
      <x:c r="K34" s="10" t="n">
        <x:v>0.0038095238095237</x:v>
      </x:c>
      <x:c r="L34" s="9" t="n">
        <x:v>0</x:v>
      </x:c>
      <x:c r="M34" s="11" t="n">
        <x:v>5.24</x:v>
      </x:c>
      <x:c r="N34" s="10" t="n">
        <x:v>-0.0019047619047618</x:v>
      </x:c>
      <x:c r="O34" s="11" t="n">
        <x:v>5.14</x:v>
      </x:c>
      <x:c r="P34" s="10" t="n">
        <x:v>-0.020952380952381</x:v>
      </x:c>
    </x:row>
    <x:row r="35">
      <x:c r="A35" s="9" t="n">
        <x:v>6</x:v>
      </x:c>
      <x:c r="B35" s="9" t="n">
        <x:v>5</x:v>
      </x:c>
      <x:c r="C35" s="9" t="str">
        <x:f>"300991"</x:f>
        <x:v>300991</x:v>
      </x:c>
      <x:c r="D35" s="9" t="str">
        <x:v>创益通</x:v>
      </x:c>
      <x:c r="E35" s="10" t="n">
        <x:v>0.6445245425652801</x:v>
      </x:c>
      <x:c r="F35" s="10" t="n">
        <x:v>0.3554754574347197</x:v>
      </x:c>
      <x:c r="G35" s="10" t="n">
        <x:v>0.2681584585245185</x:v>
      </x:c>
      <x:c r="H35" s="10" t="n">
        <x:v>0.3763660840407616</x:v>
      </x:c>
      <x:c r="I35" s="11" t="n">
        <x:v>28.46</x:v>
      </x:c>
      <x:c r="J35" s="11" t="n">
        <x:v>28.46</x:v>
      </x:c>
      <x:c r="K35" s="10" t="n">
        <x:v>0</x:v>
      </x:c>
      <x:c r="L35" s="9" t="n">
        <x:v>0</x:v>
      </x:c>
      <x:c r="M35" s="11" t="n">
        <x:v>28.2</x:v>
      </x:c>
      <x:c r="N35" s="10" t="n">
        <x:v>-0.0091356289529164</x:v>
      </x:c>
      <x:c r="O35" s="11" t="n">
        <x:v>28.23</x:v>
      </x:c>
      <x:c r="P35" s="10" t="n">
        <x:v>-0.0080815179198875</x:v>
      </x:c>
    </x:row>
    <x:row r="36">
      <x:c r="A36" s="9" t="n">
        <x:v>7</x:v>
      </x:c>
      <x:c r="B36" s="9" t="n">
        <x:v>1</x:v>
      </x:c>
      <x:c r="C36" s="9" t="str">
        <x:f>"003029"</x:f>
        <x:v>003029</x:v>
      </x:c>
      <x:c r="D36" s="9" t="str">
        <x:v>吉大正元</x:v>
      </x:c>
      <x:c r="E36" s="10" t="n">
        <x:v>0.7267592187162856</x:v>
      </x:c>
      <x:c r="F36" s="10" t="n">
        <x:v>0.2732407812837145</x:v>
      </x:c>
      <x:c r="G36" s="10" t="n">
        <x:v>0.2142752674777218</x:v>
      </x:c>
      <x:c r="H36" s="10" t="n">
        <x:v>0.5124839512385637</x:v>
      </x:c>
      <x:c r="I36" s="11" t="n">
        <x:v>18.39</x:v>
      </x:c>
      <x:c r="J36" s="11" t="n">
        <x:v>18.6</x:v>
      </x:c>
      <x:c r="K36" s="10" t="n">
        <x:v>0.0114192495921696</x:v>
      </x:c>
      <x:c r="L36" s="9" t="n">
        <x:v>1</x:v>
      </x:c>
      <x:c r="M36" s="11" t="n">
        <x:v>18.6</x:v>
      </x:c>
      <x:c r="N36" s="10" t="n">
        <x:v>0.0114192495921696</x:v>
      </x:c>
      <x:c r="O36" s="11" t="n">
        <x:v>18.15</x:v>
      </x:c>
      <x:c r="P36" s="10" t="n">
        <x:v>-0.0130505709624797</x:v>
      </x:c>
    </x:row>
    <x:row r="37">
      <x:c r="A37" s="9" t="n">
        <x:v>7</x:v>
      </x:c>
      <x:c r="B37" s="9" t="n">
        <x:v>2</x:v>
      </x:c>
      <x:c r="C37" s="9" t="str">
        <x:f>"002295"</x:f>
        <x:v>002295</x:v>
      </x:c>
      <x:c r="D37" s="9" t="str">
        <x:v>精艺股份</x:v>
      </x:c>
      <x:c r="E37" s="10" t="n">
        <x:v>0.6907775942439335</x:v>
      </x:c>
      <x:c r="F37" s="10" t="n">
        <x:v>0.3092224057560665</x:v>
      </x:c>
      <x:c r="G37" s="10" t="n">
        <x:v>0.0863426208806861</x:v>
      </x:c>
      <x:c r="H37" s="10" t="n">
        <x:v>0.6044349733632474</x:v>
      </x:c>
      <x:c r="I37" s="11" t="n">
        <x:v>12.12</x:v>
      </x:c>
      <x:c r="J37" s="11" t="n">
        <x:v>11.09</x:v>
      </x:c>
      <x:c r="K37" s="10" t="n">
        <x:v>-0.0849834983498349</x:v>
      </x:c>
      <x:c r="L37" s="9" t="n">
        <x:v>-1</x:v>
      </x:c>
      <x:c r="M37" s="11" t="n">
        <x:v>11.09</x:v>
      </x:c>
      <x:c r="N37" s="10" t="n">
        <x:v>-0.0849834983498349</x:v>
      </x:c>
      <x:c r="O37" s="11" t="n">
        <x:v>11.09</x:v>
      </x:c>
      <x:c r="P37" s="10" t="n">
        <x:v>-0.0849834983498349</x:v>
      </x:c>
    </x:row>
    <x:row r="38">
      <x:c r="A38" s="9" t="n">
        <x:v>7</x:v>
      </x:c>
      <x:c r="B38" s="9" t="n">
        <x:v>3</x:v>
      </x:c>
      <x:c r="C38" s="9" t="str">
        <x:f>"000899"</x:f>
        <x:v>000899</x:v>
      </x:c>
      <x:c r="D38" s="9" t="str">
        <x:v>赣能股份</x:v>
      </x:c>
      <x:c r="E38" s="10" t="n">
        <x:v>0.64092372835975</x:v>
      </x:c>
      <x:c r="F38" s="10" t="n">
        <x:v>0.3590762716402501</x:v>
      </x:c>
      <x:c r="G38" s="10" t="n">
        <x:v>0.3826794222399433</x:v>
      </x:c>
      <x:c r="H38" s="10" t="n">
        <x:v>0.2582443061198066</x:v>
      </x:c>
      <x:c r="I38" s="11" t="n">
        <x:v>9.91</x:v>
      </x:c>
      <x:c r="J38" s="11" t="n">
        <x:v>9.860000000000001</x:v>
      </x:c>
      <x:c r="K38" s="10" t="n">
        <x:v>-0.0050454086781029</x:v>
      </x:c>
      <x:c r="L38" s="9" t="n">
        <x:v>-1</x:v>
      </x:c>
      <x:c r="M38" s="11" t="n">
        <x:v>9.72</x:v>
      </x:c>
      <x:c r="N38" s="10" t="n">
        <x:v>-0.0191725529767911</x:v>
      </x:c>
      <x:c r="O38" s="11" t="n">
        <x:v>9.730000000000002</x:v>
      </x:c>
      <x:c r="P38" s="10" t="n">
        <x:v>-0.0181634712411704</x:v>
      </x:c>
    </x:row>
    <x:row r="39">
      <x:c r="A39" s="9" t="n">
        <x:v>7</x:v>
      </x:c>
      <x:c r="B39" s="9" t="n">
        <x:v>4</x:v>
      </x:c>
      <x:c r="C39" s="9" t="str">
        <x:f>"600864"</x:f>
        <x:v>600864</x:v>
      </x:c>
      <x:c r="D39" s="9" t="str">
        <x:v>哈投股份</x:v>
      </x:c>
      <x:c r="E39" s="10" t="n">
        <x:v>0.6298465469711672</x:v>
      </x:c>
      <x:c r="F39" s="10" t="n">
        <x:v>0.3701534530288328</x:v>
      </x:c>
      <x:c r="G39" s="10" t="n">
        <x:v>0.2646473314671296</x:v>
      </x:c>
      <x:c r="H39" s="10" t="n">
        <x:v>0.3651992155040375</x:v>
      </x:c>
      <x:c r="I39" s="11" t="n">
        <x:v>6.01</x:v>
      </x:c>
      <x:c r="J39" s="11" t="n">
        <x:v>5.93</x:v>
      </x:c>
      <x:c r="K39" s="10" t="n">
        <x:v>-0.0133111480865224</x:v>
      </x:c>
      <x:c r="L39" s="9" t="n">
        <x:v>-1</x:v>
      </x:c>
      <x:c r="M39" s="11" t="n">
        <x:v>5.890000000000001</x:v>
      </x:c>
      <x:c r="N39" s="10" t="n">
        <x:v>-0.0199667221297836</x:v>
      </x:c>
      <x:c r="O39" s="11" t="n">
        <x:v>5.79</x:v>
      </x:c>
      <x:c r="P39" s="10" t="n">
        <x:v>-0.0366056572379367</x:v>
      </x:c>
    </x:row>
    <x:row r="40">
      <x:c r="A40" s="9" t="n">
        <x:v>7</x:v>
      </x:c>
      <x:c r="B40" s="9" t="n">
        <x:v>5</x:v>
      </x:c>
      <x:c r="C40" s="9" t="str">
        <x:f>"600505"</x:f>
        <x:v>600505</x:v>
      </x:c>
      <x:c r="D40" s="9" t="str">
        <x:v>西昌电力</x:v>
      </x:c>
      <x:c r="E40" s="10" t="n">
        <x:v>0.6287151298038364</x:v>
      </x:c>
      <x:c r="F40" s="10" t="n">
        <x:v>0.3712848701961636</x:v>
      </x:c>
      <x:c r="G40" s="10" t="n">
        <x:v>0.2524350161522433</x:v>
      </x:c>
      <x:c r="H40" s="10" t="n">
        <x:v>0.3762801136515931</x:v>
      </x:c>
      <x:c r="I40" s="11" t="n">
        <x:v>11.32</x:v>
      </x:c>
      <x:c r="J40" s="11" t="n">
        <x:v>11.1</x:v>
      </x:c>
      <x:c r="K40" s="10" t="n">
        <x:v>-0.019434628975265</x:v>
      </x:c>
      <x:c r="L40" s="9" t="n">
        <x:v>-1</x:v>
      </x:c>
      <x:c r="M40" s="11" t="n">
        <x:v>11.06</x:v>
      </x:c>
      <x:c r="N40" s="10" t="n">
        <x:v>-0.0229681978798586</x:v>
      </x:c>
      <x:c r="O40" s="11" t="n">
        <x:v>11.020000000000001</x:v>
      </x:c>
      <x:c r="P40" s="10" t="n">
        <x:v>-0.0265017667844523</x:v>
      </x:c>
    </x:row>
    <x:row r="41">
      <x:c r="A41" s="9" t="n">
        <x:v>8</x:v>
      </x:c>
      <x:c r="B41" s="9" t="n">
        <x:v>1</x:v>
      </x:c>
      <x:c r="C41" s="9" t="str">
        <x:f>"002296"</x:f>
        <x:v>002296</x:v>
      </x:c>
      <x:c r="D41" s="9" t="str">
        <x:v>辉煌科技</x:v>
      </x:c>
      <x:c r="E41" s="10" t="n">
        <x:v>0.7016896609188733</x:v>
      </x:c>
      <x:c r="F41" s="10" t="n">
        <x:v>0.2983103390811267</x:v>
      </x:c>
      <x:c r="G41" s="10" t="n">
        <x:v>0.2549146686356721</x:v>
      </x:c>
      <x:c r="H41" s="10" t="n">
        <x:v>0.4467749922832012</x:v>
      </x:c>
      <x:c r="I41" s="11" t="n">
        <x:v>9.41</x:v>
      </x:c>
      <x:c r="J41" s="11" t="n">
        <x:v>9.54</x:v>
      </x:c>
      <x:c r="K41" s="10" t="n">
        <x:v>0.0138150903294367</x:v>
      </x:c>
      <x:c r="L41" s="9" t="n">
        <x:v>1</x:v>
      </x:c>
      <x:c r="M41" s="11" t="n">
        <x:v>9.439999999999998</x:v>
      </x:c>
      <x:c r="N41" s="10" t="n">
        <x:v>0.0031880977683313</x:v>
      </x:c>
      <x:c r="O41" s="11" t="n">
        <x:v>9.49</x:v>
      </x:c>
      <x:c r="P41" s="10" t="n">
        <x:v>0.0085015940488841</x:v>
      </x:c>
    </x:row>
    <x:row r="42">
      <x:c r="A42" s="9" t="n">
        <x:v>8</x:v>
      </x:c>
      <x:c r="B42" s="9" t="n">
        <x:v>2</x:v>
      </x:c>
      <x:c r="C42" s="9" t="str">
        <x:f>"002531"</x:f>
        <x:v>002531</x:v>
      </x:c>
      <x:c r="D42" s="9" t="str">
        <x:v>天顺风能</x:v>
      </x:c>
      <x:c r="E42" s="10" t="n">
        <x:v>0.6999064581022593</x:v>
      </x:c>
      <x:c r="F42" s="10" t="n">
        <x:v>0.3000935418977407</x:v>
      </x:c>
      <x:c r="G42" s="10" t="n">
        <x:v>0.1860470670728183</x:v>
      </x:c>
      <x:c r="H42" s="10" t="n">
        <x:v>0.513859391029441</x:v>
      </x:c>
      <x:c r="I42" s="11" t="n">
        <x:v>7.25</x:v>
      </x:c>
      <x:c r="J42" s="11" t="n">
        <x:v>7.3500000000000005</x:v>
      </x:c>
      <x:c r="K42" s="10" t="n">
        <x:v>0.0137931034482758</x:v>
      </x:c>
      <x:c r="L42" s="9" t="n">
        <x:v>1</x:v>
      </x:c>
      <x:c r="M42" s="11" t="n">
        <x:v>7.3</x:v>
      </x:c>
      <x:c r="N42" s="10" t="n">
        <x:v>0.0068965517241379</x:v>
      </x:c>
      <x:c r="O42" s="11" t="n">
        <x:v>7.3</x:v>
      </x:c>
      <x:c r="P42" s="10" t="n">
        <x:v>0.0068965517241379</x:v>
      </x:c>
    </x:row>
    <x:row r="43">
      <x:c r="A43" s="9" t="n">
        <x:v>8</x:v>
      </x:c>
      <x:c r="B43" s="9" t="n">
        <x:v>3</x:v>
      </x:c>
      <x:c r="C43" s="9" t="str">
        <x:f>"600682"</x:f>
        <x:v>600682</x:v>
      </x:c>
      <x:c r="D43" s="9" t="str">
        <x:v>南京新百</x:v>
      </x:c>
      <x:c r="E43" s="10" t="n">
        <x:v>0.6788918154845025</x:v>
      </x:c>
      <x:c r="F43" s="10" t="n">
        <x:v>0.3211081845154975</x:v>
      </x:c>
      <x:c r="G43" s="10" t="n">
        <x:v>0.314956179034282</x:v>
      </x:c>
      <x:c r="H43" s="10" t="n">
        <x:v>0.3639356364502205</x:v>
      </x:c>
      <x:c r="I43" s="11" t="n">
        <x:v>5.95</x:v>
      </x:c>
      <x:c r="J43" s="11" t="n">
        <x:v>5.96</x:v>
      </x:c>
      <x:c r="K43" s="10" t="n">
        <x:v>0.0016806722689075</x:v>
      </x:c>
      <x:c r="L43" s="9" t="n">
        <x:v>0</x:v>
      </x:c>
      <x:c r="M43" s="11" t="n">
        <x:v>5.93</x:v>
      </x:c>
      <x:c r="N43" s="10" t="n">
        <x:v>-0.0033613445378152</x:v>
      </x:c>
      <x:c r="O43" s="11" t="n">
        <x:v>5.86</x:v>
      </x:c>
      <x:c r="P43" s="10" t="n">
        <x:v>-0.015126050420168</x:v>
      </x:c>
    </x:row>
    <x:row r="44">
      <x:c r="A44" s="9" t="n">
        <x:v>8</x:v>
      </x:c>
      <x:c r="B44" s="9" t="n">
        <x:v>4</x:v>
      </x:c>
      <x:c r="C44" s="9" t="str">
        <x:f>"000151"</x:f>
        <x:v>000151</x:v>
      </x:c>
      <x:c r="D44" s="9" t="str">
        <x:v>中成股份</x:v>
      </x:c>
      <x:c r="E44" s="10" t="n">
        <x:v>0.6666904434466729</x:v>
      </x:c>
      <x:c r="F44" s="10" t="n">
        <x:v>0.333309556553327</x:v>
      </x:c>
      <x:c r="G44" s="10" t="n">
        <x:v>0.3011416371010723</x:v>
      </x:c>
      <x:c r="H44" s="10" t="n">
        <x:v>0.3655488063456006</x:v>
      </x:c>
      <x:c r="I44" s="11" t="n">
        <x:v>10.68</x:v>
      </x:c>
      <x:c r="J44" s="11" t="n">
        <x:v>10.889999999999999</x:v>
      </x:c>
      <x:c r="K44" s="10" t="n">
        <x:v>0.0196629213483146</x:v>
      </x:c>
      <x:c r="L44" s="9" t="n">
        <x:v>1</x:v>
      </x:c>
      <x:c r="M44" s="11" t="n">
        <x:v>10.8</x:v>
      </x:c>
      <x:c r="N44" s="10" t="n">
        <x:v>0.0112359550561798</x:v>
      </x:c>
      <x:c r="O44" s="11" t="n">
        <x:v>10.789999999999997</x:v>
      </x:c>
      <x:c r="P44" s="10" t="n">
        <x:v>0.0102996254681646</x:v>
      </x:c>
    </x:row>
    <x:row r="45">
      <x:c r="A45" s="9" t="n">
        <x:v>8</x:v>
      </x:c>
      <x:c r="B45" s="9" t="n">
        <x:v>5</x:v>
      </x:c>
      <x:c r="C45" s="9" t="str">
        <x:f>"600706"</x:f>
        <x:v>600706</x:v>
      </x:c>
      <x:c r="D45" s="9" t="str">
        <x:v>曲江文旅</x:v>
      </x:c>
      <x:c r="E45" s="10" t="n">
        <x:v>0.6660471617591</x:v>
      </x:c>
      <x:c r="F45" s="10" t="n">
        <x:v>0.3339528382409</x:v>
      </x:c>
      <x:c r="G45" s="10" t="n">
        <x:v>0.0729097696503689</x:v>
      </x:c>
      <x:c r="H45" s="10" t="n">
        <x:v>0.593137392108731</x:v>
      </x:c>
      <x:c r="I45" s="11" t="n">
        <x:v>9.52</x:v>
      </x:c>
      <x:c r="J45" s="11" t="n">
        <x:v>9.18</x:v>
      </x:c>
      <x:c r="K45" s="10" t="n">
        <x:v>-0.0357142857142857</x:v>
      </x:c>
      <x:c r="L45" s="9" t="n">
        <x:v>-1</x:v>
      </x:c>
      <x:c r="M45" s="11" t="n">
        <x:v>9.140000000000002</x:v>
      </x:c>
      <x:c r="N45" s="10" t="n">
        <x:v>-0.0399159663865544</x:v>
      </x:c>
      <x:c r="O45" s="11" t="n">
        <x:v>9.140000000000002</x:v>
      </x:c>
      <x:c r="P45" s="10" t="n">
        <x:v>-0.0399159663865544</x:v>
      </x:c>
    </x:row>
    <x:row r="46">
      <x:c r="A46" s="9" t="n">
        <x:v>9</x:v>
      </x:c>
      <x:c r="B46" s="9" t="n">
        <x:v>1</x:v>
      </x:c>
      <x:c r="C46" s="9" t="str">
        <x:f>"603136"</x:f>
        <x:v>603136</x:v>
      </x:c>
      <x:c r="D46" s="9" t="str">
        <x:v>天目湖</x:v>
      </x:c>
      <x:c r="E46" s="10" t="n">
        <x:v>0.6980995000991177</x:v>
      </x:c>
      <x:c r="F46" s="10" t="n">
        <x:v>0.3019004999008822</x:v>
      </x:c>
      <x:c r="G46" s="10" t="n">
        <x:v>0.1352613519768192</x:v>
      </x:c>
      <x:c r="H46" s="10" t="n">
        <x:v>0.5628381481222985</x:v>
      </x:c>
      <x:c r="I46" s="11" t="n">
        <x:v>10.94</x:v>
      </x:c>
      <x:c r="J46" s="11" t="n">
        <x:v>10.16</x:v>
      </x:c>
      <x:c r="K46" s="10" t="n">
        <x:v>-0.0712979890310785</x:v>
      </x:c>
      <x:c r="L46" s="9" t="n">
        <x:v>-1</x:v>
      </x:c>
      <x:c r="M46" s="11" t="n">
        <x:v>10.01</x:v>
      </x:c>
      <x:c r="N46" s="10" t="n">
        <x:v>-0.0850091407678245</x:v>
      </x:c>
      <x:c r="O46" s="11" t="n">
        <x:v>9.73</x:v>
      </x:c>
      <x:c r="P46" s="10" t="n">
        <x:v>-0.1106032906764167</x:v>
      </x:c>
    </x:row>
    <x:row r="47">
      <x:c r="A47" s="9" t="n">
        <x:v>9</x:v>
      </x:c>
      <x:c r="B47" s="9" t="n">
        <x:v>2</x:v>
      </x:c>
      <x:c r="C47" s="9" t="str">
        <x:f>"002339"</x:f>
        <x:v>002339</x:v>
      </x:c>
      <x:c r="D47" s="9" t="str">
        <x:v>积成电子</x:v>
      </x:c>
      <x:c r="E47" s="10" t="n">
        <x:v>0.6718999479274788</x:v>
      </x:c>
      <x:c r="F47" s="10" t="n">
        <x:v>0.3281000520725212</x:v>
      </x:c>
      <x:c r="G47" s="10" t="n">
        <x:v>0.2366138173745765</x:v>
      </x:c>
      <x:c r="H47" s="10" t="n">
        <x:v>0.4352861305529022</x:v>
      </x:c>
      <x:c r="I47" s="11" t="n">
        <x:v>7.65</x:v>
      </x:c>
      <x:c r="J47" s="11" t="n">
        <x:v>7.72</x:v>
      </x:c>
      <x:c r="K47" s="10" t="n">
        <x:v>0.0091503267973855</x:v>
      </x:c>
      <x:c r="L47" s="9" t="n">
        <x:v>0</x:v>
      </x:c>
      <x:c r="M47" s="11" t="n">
        <x:v>7.67</x:v>
      </x:c>
      <x:c r="N47" s="10" t="n">
        <x:v>0.0026143790849673</x:v>
      </x:c>
      <x:c r="O47" s="11" t="n">
        <x:v>7.66</x:v>
      </x:c>
      <x:c r="P47" s="10" t="n">
        <x:v>0.0013071895424836</x:v>
      </x:c>
    </x:row>
    <x:row r="48">
      <x:c r="A48" s="9" t="n">
        <x:v>9</x:v>
      </x:c>
      <x:c r="B48" s="9" t="n">
        <x:v>3</x:v>
      </x:c>
      <x:c r="C48" s="9" t="str">
        <x:f>"601279"</x:f>
        <x:v>601279</x:v>
      </x:c>
      <x:c r="D48" s="9" t="str">
        <x:v>英利汽车</x:v>
      </x:c>
      <x:c r="E48" s="10" t="n">
        <x:v>0.6591383977860175</x:v>
      </x:c>
      <x:c r="F48" s="10" t="n">
        <x:v>0.3408616022139825</x:v>
      </x:c>
      <x:c r="G48" s="10" t="n">
        <x:v>0.32959187730348</x:v>
      </x:c>
      <x:c r="H48" s="10" t="n">
        <x:v>0.3295465204825374</x:v>
      </x:c>
      <x:c r="I48" s="11" t="n">
        <x:v>3.53</x:v>
      </x:c>
      <x:c r="J48" s="11" t="n">
        <x:v>3.58</x:v>
      </x:c>
      <x:c r="K48" s="10" t="n">
        <x:v>0.0141643059490086</x:v>
      </x:c>
      <x:c r="L48" s="9" t="n">
        <x:v>1</x:v>
      </x:c>
      <x:c r="M48" s="11" t="n">
        <x:v>3.5500000000000003</x:v>
      </x:c>
      <x:c r="N48" s="10" t="n">
        <x:v>0.0056657223796034</x:v>
      </x:c>
      <x:c r="O48" s="11" t="n">
        <x:v>3.56</x:v>
      </x:c>
      <x:c r="P48" s="10" t="n">
        <x:v>0.0084985835694051</x:v>
      </x:c>
    </x:row>
    <x:row r="49">
      <x:c r="A49" s="9" t="n">
        <x:v>9</x:v>
      </x:c>
      <x:c r="B49" s="9" t="n">
        <x:v>4</x:v>
      </x:c>
      <x:c r="C49" s="9" t="str">
        <x:f>"002362"</x:f>
        <x:v>002362</x:v>
      </x:c>
      <x:c r="D49" s="9" t="str">
        <x:v>汉王科技</x:v>
      </x:c>
      <x:c r="E49" s="10" t="n">
        <x:v>0.6545386230008228</x:v>
      </x:c>
      <x:c r="F49" s="10" t="n">
        <x:v>0.3454613769991772</x:v>
      </x:c>
      <x:c r="G49" s="10" t="n">
        <x:v>0.2976474612709736</x:v>
      </x:c>
      <x:c r="H49" s="10" t="n">
        <x:v>0.3568911617298491</x:v>
      </x:c>
      <x:c r="I49" s="11" t="n">
        <x:v>15.89</x:v>
      </x:c>
      <x:c r="J49" s="11" t="n">
        <x:v>17.5</x:v>
      </x:c>
      <x:c r="K49" s="10" t="n">
        <x:v>0.1013215859030836</x:v>
      </x:c>
      <x:c r="L49" s="9" t="n">
        <x:v>1</x:v>
      </x:c>
      <x:c r="M49" s="11" t="n">
        <x:v>17.5</x:v>
      </x:c>
      <x:c r="N49" s="10" t="n">
        <x:v>0.1013215859030836</x:v>
      </x:c>
      <x:c r="O49" s="11" t="n">
        <x:v>17.5</x:v>
      </x:c>
      <x:c r="P49" s="10" t="n">
        <x:v>0.1013215859030836</x:v>
      </x:c>
    </x:row>
    <x:row r="50">
      <x:c r="A50" s="9" t="n">
        <x:v>9</x:v>
      </x:c>
      <x:c r="B50" s="9" t="n">
        <x:v>5</x:v>
      </x:c>
      <x:c r="C50" s="9" t="str">
        <x:f>"603982"</x:f>
        <x:v>603982</x:v>
      </x:c>
      <x:c r="D50" s="9" t="str">
        <x:v>泉峰汽车</x:v>
      </x:c>
      <x:c r="E50" s="10" t="n">
        <x:v>0.6133209376888716</x:v>
      </x:c>
      <x:c r="F50" s="10" t="n">
        <x:v>0.3866790623111283</x:v>
      </x:c>
      <x:c r="G50" s="10" t="n">
        <x:v>0.3432543100431183</x:v>
      </x:c>
      <x:c r="H50" s="10" t="n">
        <x:v>0.2700666276457533</x:v>
      </x:c>
      <x:c r="I50" s="11" t="n">
        <x:v>6.3</x:v>
      </x:c>
      <x:c r="J50" s="11" t="n">
        <x:v>6.419999999999999</x:v>
      </x:c>
      <x:c r="K50" s="10" t="n">
        <x:v>0.0190476190476189</x:v>
      </x:c>
      <x:c r="L50" s="9" t="n">
        <x:v>1</x:v>
      </x:c>
      <x:c r="M50" s="11" t="n">
        <x:v>6.33</x:v>
      </x:c>
      <x:c r="N50" s="10" t="n">
        <x:v>0.0047619047619047</x:v>
      </x:c>
      <x:c r="O50" s="11" t="n">
        <x:v>6.27</x:v>
      </x:c>
      <x:c r="P50" s="10" t="n">
        <x:v>-0.0047619047619048</x:v>
      </x:c>
    </x:row>
    <x:row r="51">
      <x:c r="A51" s="9" t="n">
        <x:v>10</x:v>
      </x:c>
      <x:c r="B51" s="9" t="n">
        <x:v>1</x:v>
      </x:c>
      <x:c r="C51" s="9" t="str">
        <x:f>"688244"</x:f>
        <x:v>688244</x:v>
      </x:c>
      <x:c r="D51" s="9" t="str">
        <x:v>永信至诚</x:v>
      </x:c>
      <x:c r="E51" s="10" t="n">
        <x:v>0.7142880876800854</x:v>
      </x:c>
      <x:c r="F51" s="10" t="n">
        <x:v>0.2857119123199145</x:v>
      </x:c>
      <x:c r="G51" s="10" t="n">
        <x:v>0.1888950988833205</x:v>
      </x:c>
      <x:c r="H51" s="10" t="n">
        <x:v>0.5253929887967649</x:v>
      </x:c>
      <x:c r="I51" s="11" t="n">
        <x:v>17</x:v>
      </x:c>
      <x:c r="J51" s="11" t="n">
        <x:v>16.75</x:v>
      </x:c>
      <x:c r="K51" s="10" t="n">
        <x:v>-0.0147058823529411</x:v>
      </x:c>
      <x:c r="L51" s="9" t="n">
        <x:v>-1</x:v>
      </x:c>
      <x:c r="M51" s="11" t="n">
        <x:v>16.280000000000005</x:v>
      </x:c>
      <x:c r="N51" s="10" t="n">
        <x:v>-0.0423529411764704</x:v>
      </x:c>
      <x:c r="O51" s="11" t="n">
        <x:v>16.01</x:v>
      </x:c>
      <x:c r="P51" s="10" t="n">
        <x:v>-0.0582352941176469</x:v>
      </x:c>
    </x:row>
    <x:row r="52">
      <x:c r="A52" s="9" t="n">
        <x:v>10</x:v>
      </x:c>
      <x:c r="B52" s="9" t="n">
        <x:v>2</x:v>
      </x:c>
      <x:c r="C52" s="9" t="str">
        <x:f>"600666"</x:f>
        <x:v>600666</x:v>
      </x:c>
      <x:c r="D52" s="9" t="str">
        <x:v>奥瑞德</x:v>
      </x:c>
      <x:c r="E52" s="10" t="n">
        <x:v>0.6850379977832337</x:v>
      </x:c>
      <x:c r="F52" s="10" t="n">
        <x:v>0.3149620022167662</x:v>
      </x:c>
      <x:c r="G52" s="10" t="n">
        <x:v>0.184378720503598</x:v>
      </x:c>
      <x:c r="H52" s="10" t="n">
        <x:v>0.5006592772796357</x:v>
      </x:c>
      <x:c r="I52" s="11" t="n">
        <x:v>3.63</x:v>
      </x:c>
      <x:c r="J52" s="11" t="n">
        <x:v>3.46</x:v>
      </x:c>
      <x:c r="K52" s="10" t="n">
        <x:v>-0.046831955922865</x:v>
      </x:c>
      <x:c r="L52" s="9" t="n">
        <x:v>-1</x:v>
      </x:c>
      <x:c r="M52" s="11" t="n">
        <x:v>3.4500000000000006</x:v>
      </x:c>
      <x:c r="N52" s="10" t="n">
        <x:v>-0.049586776859504</x:v>
      </x:c>
      <x:c r="O52" s="11" t="n">
        <x:v>3.4300000000000006</x:v>
      </x:c>
      <x:c r="P52" s="10" t="n">
        <x:v>-0.0550964187327822</x:v>
      </x:c>
    </x:row>
    <x:row r="53">
      <x:c r="A53" s="9" t="n">
        <x:v>10</x:v>
      </x:c>
      <x:c r="B53" s="9" t="n">
        <x:v>3</x:v>
      </x:c>
      <x:c r="C53" s="9" t="str">
        <x:f>"002669"</x:f>
        <x:v>002669</x:v>
      </x:c>
      <x:c r="D53" s="9" t="str">
        <x:v>康达新材</x:v>
      </x:c>
      <x:c r="E53" s="10" t="n">
        <x:v>0.6512744175898713</x:v>
      </x:c>
      <x:c r="F53" s="10" t="n">
        <x:v>0.3487255824101286</x:v>
      </x:c>
      <x:c r="G53" s="10" t="n">
        <x:v>0.1020929666854129</x:v>
      </x:c>
      <x:c r="H53" s="10" t="n">
        <x:v>0.5491814509044584</x:v>
      </x:c>
      <x:c r="I53" s="11" t="n">
        <x:v>14.36</x:v>
      </x:c>
      <x:c r="J53" s="11" t="n">
        <x:v>14.640000000000002</x:v>
      </x:c>
      <x:c r="K53" s="10" t="n">
        <x:v>0.0194986072423399</x:v>
      </x:c>
      <x:c r="L53" s="9" t="n">
        <x:v>1</x:v>
      </x:c>
      <x:c r="M53" s="11" t="n">
        <x:v>14.449999999999998</x:v>
      </x:c>
      <x:c r="N53" s="10" t="n">
        <x:v>0.0062674094707519</x:v>
      </x:c>
      <x:c r="O53" s="11" t="n">
        <x:v>14.449999999999998</x:v>
      </x:c>
      <x:c r="P53" s="10" t="n">
        <x:v>0.0062674094707519</x:v>
      </x:c>
    </x:row>
    <x:row r="54">
      <x:c r="A54" s="9" t="n">
        <x:v>10</x:v>
      </x:c>
      <x:c r="B54" s="9" t="n">
        <x:v>4</x:v>
      </x:c>
      <x:c r="C54" s="9" t="str">
        <x:f>"000823"</x:f>
        <x:v>000823</x:v>
      </x:c>
      <x:c r="D54" s="9" t="str">
        <x:v>超声电子</x:v>
      </x:c>
      <x:c r="E54" s="10" t="n">
        <x:v>0.6054708760317347</x:v>
      </x:c>
      <x:c r="F54" s="10" t="n">
        <x:v>0.3945291239682654</x:v>
      </x:c>
      <x:c r="G54" s="10" t="n">
        <x:v>0.0371958259641777</x:v>
      </x:c>
      <x:c r="H54" s="10" t="n">
        <x:v>0.5682750500675569</x:v>
      </x:c>
      <x:c r="I54" s="11" t="n">
        <x:v>23.77</x:v>
      </x:c>
      <x:c r="J54" s="11" t="n">
        <x:v>23.9</x:v>
      </x:c>
      <x:c r="K54" s="10" t="n">
        <x:v>0.005469078670593</x:v>
      </x:c>
      <x:c r="L54" s="9" t="n">
        <x:v>0</x:v>
      </x:c>
      <x:c r="M54" s="11" t="n">
        <x:v>23.83</x:v>
      </x:c>
      <x:c r="N54" s="10" t="n">
        <x:v>0.0025241901556583</x:v>
      </x:c>
      <x:c r="O54" s="11" t="n">
        <x:v>23.81</x:v>
      </x:c>
      <x:c r="P54" s="10" t="n">
        <x:v>0.0016827934371055</x:v>
      </x:c>
    </x:row>
    <x:row r="55">
      <x:c r="A55" s="9" t="n">
        <x:v>10</x:v>
      </x:c>
      <x:c r="B55" s="9" t="n">
        <x:v>5</x:v>
      </x:c>
      <x:c r="C55" s="9" t="str">
        <x:f>"688256"</x:f>
        <x:v>688256</x:v>
      </x:c>
      <x:c r="D55" s="9" t="str">
        <x:v>寒武纪</x:v>
      </x:c>
      <x:c r="E55" s="10" t="n">
        <x:v>0.598779013217429</x:v>
      </x:c>
      <x:c r="F55" s="10" t="n">
        <x:v>0.4012209867825709</x:v>
      </x:c>
      <x:c r="G55" s="10" t="n">
        <x:v>0.5253766606652687</x:v>
      </x:c>
      <x:c r="H55" s="10" t="n">
        <x:v>0.0734023525521603</x:v>
      </x:c>
      <x:c r="I55" s="11" t="n">
        <x:v>1075.05</x:v>
      </x:c>
      <x:c r="J55" s="11" t="n">
        <x:v>1098.88</x:v>
      </x:c>
      <x:c r="K55" s="10" t="n">
        <x:v>0.0221664108646111</x:v>
      </x:c>
      <x:c r="L55" s="9" t="n">
        <x:v>1</x:v>
      </x:c>
      <x:c r="M55" s="11" t="n">
        <x:v>1097.24</x:v>
      </x:c>
      <x:c r="N55" s="10" t="n">
        <x:v>0.0206409004232361</x:v>
      </x:c>
      <x:c r="O55" s="11" t="n">
        <x:v>1097.24</x:v>
      </x:c>
      <x:c r="P55" s="10" t="n">
        <x:v>0.0206409004232361</x:v>
      </x:c>
    </x:row>
    <x:row r="56">
      <x:c r="A56" s="9" t="n">
        <x:v>11</x:v>
      </x:c>
      <x:c r="B56" s="9" t="n">
        <x:v>1</x:v>
      </x:c>
      <x:c r="C56" s="9" t="str">
        <x:f>"002623"</x:f>
        <x:v>002623</x:v>
      </x:c>
      <x:c r="D56" s="9" t="str">
        <x:v>亚玛顿</x:v>
      </x:c>
      <x:c r="E56" s="10" t="n">
        <x:v>0.6109063806784516</x:v>
      </x:c>
      <x:c r="F56" s="10" t="n">
        <x:v>0.3890936193215484</x:v>
      </x:c>
      <x:c r="G56" s="10" t="n">
        <x:v>0.2619619313221776</x:v>
      </x:c>
      <x:c r="H56" s="10" t="n">
        <x:v>0.348944449356274</x:v>
      </x:c>
      <x:c r="I56" s="11" t="n">
        <x:v>16.67</x:v>
      </x:c>
      <x:c r="J56" s="11" t="n">
        <x:v>17.36</x:v>
      </x:c>
      <x:c r="K56" s="10" t="n">
        <x:v>0.0413917216556687</x:v>
      </x:c>
      <x:c r="L56" s="9" t="n">
        <x:v>1</x:v>
      </x:c>
      <x:c r="M56" s="11" t="n">
        <x:v>17.23</x:v>
      </x:c>
      <x:c r="N56" s="10" t="n">
        <x:v>0.0335932813437311</x:v>
      </x:c>
      <x:c r="O56" s="11" t="n">
        <x:v>17.26</x:v>
      </x:c>
      <x:c r="P56" s="10" t="n">
        <x:v>0.0353929214157169</x:v>
      </x:c>
    </x:row>
    <x:row r="57">
      <x:c r="A57" s="9" t="n">
        <x:v>11</x:v>
      </x:c>
      <x:c r="B57" s="9" t="n">
        <x:v>2</x:v>
      </x:c>
      <x:c r="C57" s="9" t="str">
        <x:f>"603507"</x:f>
        <x:v>603507</x:v>
      </x:c>
      <x:c r="D57" s="9" t="str">
        <x:v>振江股份</x:v>
      </x:c>
      <x:c r="E57" s="10" t="n">
        <x:v>0.5722304371081008</x:v>
      </x:c>
      <x:c r="F57" s="10" t="n">
        <x:v>0.4277695628918991</x:v>
      </x:c>
      <x:c r="G57" s="10" t="n">
        <x:v>0.2886529105588045</x:v>
      </x:c>
      <x:c r="H57" s="10" t="n">
        <x:v>0.2835775265492964</x:v>
      </x:c>
      <x:c r="I57" s="11" t="n">
        <x:v>23.46</x:v>
      </x:c>
      <x:c r="J57" s="11" t="n">
        <x:v>23.74</x:v>
      </x:c>
      <x:c r="K57" s="10" t="n">
        <x:v>0.011935208866155</x:v>
      </x:c>
      <x:c r="L57" s="9" t="n">
        <x:v>1</x:v>
      </x:c>
      <x:c r="M57" s="11" t="n">
        <x:v>23.62</x:v>
      </x:c>
      <x:c r="N57" s="10" t="n">
        <x:v>0.0068201193520887</x:v>
      </x:c>
      <x:c r="O57" s="11" t="n">
        <x:v>23.7</x:v>
      </x:c>
      <x:c r="P57" s="10" t="n">
        <x:v>0.0102301790281329</x:v>
      </x:c>
    </x:row>
    <x:row r="58">
      <x:c r="A58" s="9" t="n">
        <x:v>11</x:v>
      </x:c>
      <x:c r="B58" s="9" t="n">
        <x:v>3</x:v>
      </x:c>
      <x:c r="C58" s="9" t="str">
        <x:f>"002522"</x:f>
        <x:v>002522</x:v>
      </x:c>
      <x:c r="D58" s="9" t="str">
        <x:v>浙江众成</x:v>
      </x:c>
      <x:c r="E58" s="10" t="n">
        <x:v>0.5671746387200821</x:v>
      </x:c>
      <x:c r="F58" s="10" t="n">
        <x:v>0.4328253612799179</x:v>
      </x:c>
      <x:c r="G58" s="10" t="n">
        <x:v>0.1661433236825839</x:v>
      </x:c>
      <x:c r="H58" s="10" t="n">
        <x:v>0.4010313150374981</x:v>
      </x:c>
      <x:c r="I58" s="11" t="n">
        <x:v>6.01</x:v>
      </x:c>
      <x:c r="J58" s="11" t="n">
        <x:v>5.98</x:v>
      </x:c>
      <x:c r="K58" s="10" t="n">
        <x:v>-0.0049916805324458</x:v>
      </x:c>
      <x:c r="L58" s="9" t="n">
        <x:v>-1</x:v>
      </x:c>
      <x:c r="M58" s="11" t="n">
        <x:v>5.890000000000001</x:v>
      </x:c>
      <x:c r="N58" s="10" t="n">
        <x:v>-0.0199667221297836</x:v>
      </x:c>
      <x:c r="O58" s="11" t="n">
        <x:v>5.900000000000001</x:v>
      </x:c>
      <x:c r="P58" s="10" t="n">
        <x:v>-0.0183028286189682</x:v>
      </x:c>
    </x:row>
    <x:row r="59">
      <x:c r="A59" s="9" t="n">
        <x:v>11</x:v>
      </x:c>
      <x:c r="B59" s="9" t="n">
        <x:v>4</x:v>
      </x:c>
      <x:c r="C59" s="9" t="str">
        <x:f>"000561"</x:f>
        <x:v>000561</x:v>
      </x:c>
      <x:c r="D59" s="9" t="str">
        <x:v>烽火电子</x:v>
      </x:c>
      <x:c r="E59" s="10" t="n">
        <x:v>0.5670553279879744</x:v>
      </x:c>
      <x:c r="F59" s="10" t="n">
        <x:v>0.4329446720120256</x:v>
      </x:c>
      <x:c r="G59" s="10" t="n">
        <x:v>0.3118058217819261</x:v>
      </x:c>
      <x:c r="H59" s="10" t="n">
        <x:v>0.2552495062060483</x:v>
      </x:c>
      <x:c r="I59" s="11" t="n">
        <x:v>7.95</x:v>
      </x:c>
      <x:c r="J59" s="11" t="n">
        <x:v>7.91</x:v>
      </x:c>
      <x:c r="K59" s="10" t="n">
        <x:v>-0.0050314465408805</x:v>
      </x:c>
      <x:c r="L59" s="9" t="n">
        <x:v>-1</x:v>
      </x:c>
      <x:c r="M59" s="11" t="n">
        <x:v>7.9</x:v>
      </x:c>
      <x:c r="N59" s="10" t="n">
        <x:v>-0.0062893081761006</x:v>
      </x:c>
      <x:c r="O59" s="11" t="n">
        <x:v>7.880000000000001</x:v>
      </x:c>
      <x:c r="P59" s="10" t="n">
        <x:v>-0.0088050314465408</x:v>
      </x:c>
    </x:row>
    <x:row r="60">
      <x:c r="A60" s="9" t="n">
        <x:v>11</x:v>
      </x:c>
      <x:c r="B60" s="9" t="n">
        <x:v>5</x:v>
      </x:c>
      <x:c r="C60" s="9" t="str">
        <x:f>"600790"</x:f>
        <x:v>600790</x:v>
      </x:c>
      <x:c r="D60" s="9" t="str">
        <x:v>轻纺城</x:v>
      </x:c>
      <x:c r="E60" s="10" t="n">
        <x:v>0.5633992665452249</x:v>
      </x:c>
      <x:c r="F60" s="10" t="n">
        <x:v>0.4366007334547749</x:v>
      </x:c>
      <x:c r="G60" s="10" t="n">
        <x:v>0.3660626222254011</x:v>
      </x:c>
      <x:c r="H60" s="10" t="n">
        <x:v>0.1973366443198237</x:v>
      </x:c>
      <x:c r="I60" s="11" t="n">
        <x:v>3.41</x:v>
      </x:c>
      <x:c r="J60" s="11" t="n">
        <x:v>3.41</x:v>
      </x:c>
      <x:c r="K60" s="10" t="n">
        <x:v>0</x:v>
      </x:c>
      <x:c r="L60" s="9" t="n">
        <x:v>0</x:v>
      </x:c>
      <x:c r="M60" s="11" t="n">
        <x:v>3.4</x:v>
      </x:c>
      <x:c r="N60" s="10" t="n">
        <x:v>-0.0029325513196482</x:v>
      </x:c>
      <x:c r="O60" s="11" t="n">
        <x:v>3.4</x:v>
      </x:c>
      <x:c r="P60" s="10" t="n">
        <x:v>-0.0029325513196482</x:v>
      </x:c>
    </x:row>
    <x:row r="61">
      <x:c r="A61" s="9" t="n">
        <x:v>12</x:v>
      </x:c>
      <x:c r="B61" s="9" t="n">
        <x:v>1</x:v>
      </x:c>
      <x:c r="C61" s="9" t="str">
        <x:f>"002137"</x:f>
        <x:v>002137</x:v>
      </x:c>
      <x:c r="D61" s="9" t="str">
        <x:v>实益达</x:v>
      </x:c>
      <x:c r="E61" s="10" t="n">
        <x:v>0.7211890610724432</x:v>
      </x:c>
      <x:c r="F61" s="10" t="n">
        <x:v>0.2788109389275569</x:v>
      </x:c>
      <x:c r="G61" s="10" t="n">
        <x:v>0.0702971039560709</x:v>
      </x:c>
      <x:c r="H61" s="10" t="n">
        <x:v>0.6508919571163723</x:v>
      </x:c>
      <x:c r="I61" s="11" t="n">
        <x:v>8.51</x:v>
      </x:c>
      <x:c r="J61" s="11" t="n">
        <x:v>8.58</x:v>
      </x:c>
      <x:c r="K61" s="10" t="n">
        <x:v>0.0082256169212691</x:v>
      </x:c>
      <x:c r="L61" s="9" t="n">
        <x:v>0</x:v>
      </x:c>
      <x:c r="M61" s="11" t="n">
        <x:v>8.58</x:v>
      </x:c>
      <x:c r="N61" s="10" t="n">
        <x:v>0.0082256169212691</x:v>
      </x:c>
      <x:c r="O61" s="11" t="n">
        <x:v>8.58</x:v>
      </x:c>
      <x:c r="P61" s="10" t="n">
        <x:v>0.0082256169212691</x:v>
      </x:c>
    </x:row>
    <x:row r="62">
      <x:c r="A62" s="9" t="n">
        <x:v>12</x:v>
      </x:c>
      <x:c r="B62" s="9" t="n">
        <x:v>2</x:v>
      </x:c>
      <x:c r="C62" s="9" t="str">
        <x:f>"001209"</x:f>
        <x:v>001209</x:v>
      </x:c>
      <x:c r="D62" s="9" t="str">
        <x:v>洪兴股份</x:v>
      </x:c>
      <x:c r="E62" s="10" t="n">
        <x:v>0.6808746021870737</x:v>
      </x:c>
      <x:c r="F62" s="10" t="n">
        <x:v>0.3191253978129262</x:v>
      </x:c>
      <x:c r="G62" s="10" t="n">
        <x:v>0.1071717724698701</x:v>
      </x:c>
      <x:c r="H62" s="10" t="n">
        <x:v>0.5737028297172035</x:v>
      </x:c>
      <x:c r="I62" s="11" t="n">
        <x:v>20.3</x:v>
      </x:c>
      <x:c r="J62" s="11" t="n">
        <x:v>18.350000000000005</x:v>
      </x:c>
      <x:c r="K62" s="10" t="n">
        <x:v>-0.0960591133004925</x:v>
      </x:c>
      <x:c r="L62" s="9" t="n">
        <x:v>-1</x:v>
      </x:c>
      <x:c r="M62" s="11" t="n">
        <x:v>18.160000000000004</x:v>
      </x:c>
      <x:c r="N62" s="10" t="n">
        <x:v>-0.1054187192118226</x:v>
      </x:c>
      <x:c r="O62" s="11" t="n">
        <x:v>18.27</x:v>
      </x:c>
      <x:c r="P62" s="10" t="n">
        <x:v>-0.1</x:v>
      </x:c>
    </x:row>
    <x:row r="63">
      <x:c r="A63" s="9" t="n">
        <x:v>12</x:v>
      </x:c>
      <x:c r="B63" s="9" t="n">
        <x:v>3</x:v>
      </x:c>
      <x:c r="C63" s="9" t="str">
        <x:f>"002577"</x:f>
        <x:v>002577</x:v>
      </x:c>
      <x:c r="D63" s="9" t="str">
        <x:v>雷柏科技</x:v>
      </x:c>
      <x:c r="E63" s="10" t="n">
        <x:v>0.6085092798318049</x:v>
      </x:c>
      <x:c r="F63" s="10" t="n">
        <x:v>0.3914907201681951</x:v>
      </x:c>
      <x:c r="G63" s="10" t="n">
        <x:v>0.2129567275262014</x:v>
      </x:c>
      <x:c r="H63" s="10" t="n">
        <x:v>0.3955525523056035</x:v>
      </x:c>
      <x:c r="I63" s="11" t="n">
        <x:v>20.91</x:v>
      </x:c>
      <x:c r="J63" s="11" t="n">
        <x:v>21.599999999999998</x:v>
      </x:c>
      <x:c r="K63" s="10" t="n">
        <x:v>0.0329985652797704</x:v>
      </x:c>
      <x:c r="L63" s="9" t="n">
        <x:v>1</x:v>
      </x:c>
      <x:c r="M63" s="11" t="n">
        <x:v>21.57</x:v>
      </x:c>
      <x:c r="N63" s="10" t="n">
        <x:v>0.0315638450502151</x:v>
      </x:c>
      <x:c r="O63" s="11" t="n">
        <x:v>21.54</x:v>
      </x:c>
      <x:c r="P63" s="10" t="n">
        <x:v>0.0301291248206598</x:v>
      </x:c>
    </x:row>
    <x:row r="64">
      <x:c r="A64" s="9" t="n">
        <x:v>12</x:v>
      </x:c>
      <x:c r="B64" s="9" t="n">
        <x:v>4</x:v>
      </x:c>
      <x:c r="C64" s="9" t="str">
        <x:f>"002956"</x:f>
        <x:v>002956</x:v>
      </x:c>
      <x:c r="D64" s="9" t="str">
        <x:v>西麦食品</x:v>
      </x:c>
      <x:c r="E64" s="10" t="n">
        <x:v>0.5944451739320712</x:v>
      </x:c>
      <x:c r="F64" s="10" t="n">
        <x:v>0.4055548260679287</x:v>
      </x:c>
      <x:c r="G64" s="10" t="n">
        <x:v>0.2980332871788983</x:v>
      </x:c>
      <x:c r="H64" s="10" t="n">
        <x:v>0.2964118867531728</x:v>
      </x:c>
      <x:c r="I64" s="11" t="n">
        <x:v>17.29</x:v>
      </x:c>
      <x:c r="J64" s="11" t="n">
        <x:v>17.83</x:v>
      </x:c>
      <x:c r="K64" s="10" t="n">
        <x:v>0.0312319259687681</x:v>
      </x:c>
      <x:c r="L64" s="9" t="n">
        <x:v>1</x:v>
      </x:c>
      <x:c r="M64" s="11" t="n">
        <x:v>17.76</x:v>
      </x:c>
      <x:c r="N64" s="10" t="n">
        <x:v>0.0271833429728167</x:v>
      </x:c>
      <x:c r="O64" s="11" t="n">
        <x:v>17.73</x:v>
      </x:c>
      <x:c r="P64" s="10" t="n">
        <x:v>0.0254482359745518</x:v>
      </x:c>
    </x:row>
    <x:row r="65">
      <x:c r="A65" s="9" t="n">
        <x:v>12</x:v>
      </x:c>
      <x:c r="B65" s="9" t="n">
        <x:v>5</x:v>
      </x:c>
      <x:c r="C65" s="9" t="str">
        <x:f>"603107"</x:f>
        <x:v>603107</x:v>
      </x:c>
      <x:c r="D65" s="9" t="str">
        <x:v>上海汽配</x:v>
      </x:c>
      <x:c r="E65" s="10" t="n">
        <x:v>0.5864863217724952</x:v>
      </x:c>
      <x:c r="F65" s="10" t="n">
        <x:v>0.4135136782275048</x:v>
      </x:c>
      <x:c r="G65" s="10" t="n">
        <x:v>0.2910984142375654</x:v>
      </x:c>
      <x:c r="H65" s="10" t="n">
        <x:v>0.2953879075349298</x:v>
      </x:c>
      <x:c r="I65" s="11" t="n">
        <x:v>12.15</x:v>
      </x:c>
      <x:c r="J65" s="11" t="n">
        <x:v>12.23</x:v>
      </x:c>
      <x:c r="K65" s="10" t="n">
        <x:v>0.0065843621399177</x:v>
      </x:c>
      <x:c r="L65" s="9" t="n">
        <x:v>0</x:v>
      </x:c>
      <x:c r="M65" s="11" t="n">
        <x:v>12.17</x:v>
      </x:c>
      <x:c r="N65" s="10" t="n">
        <x:v>0.0016460905349793</x:v>
      </x:c>
      <x:c r="O65" s="11" t="n">
        <x:v>12.2</x:v>
      </x:c>
      <x:c r="P65" s="10" t="n">
        <x:v>0.0041152263374484</x:v>
      </x:c>
    </x:row>
    <x:row r="66">
      <x:c r="A66" s="9" t="n">
        <x:v>13</x:v>
      </x:c>
      <x:c r="B66" s="9" t="n">
        <x:v>1</x:v>
      </x:c>
      <x:c r="C66" s="9" t="str">
        <x:f>"000920"</x:f>
        <x:v>000920</x:v>
      </x:c>
      <x:c r="D66" s="9" t="str">
        <x:v>沃顿科技</x:v>
      </x:c>
      <x:c r="E66" s="10" t="n">
        <x:v>0.6905728809989633</x:v>
      </x:c>
      <x:c r="F66" s="10" t="n">
        <x:v>0.3094271190010368</x:v>
      </x:c>
      <x:c r="G66" s="10" t="n">
        <x:v>0.1892588031312527</x:v>
      </x:c>
      <x:c r="H66" s="10" t="n">
        <x:v>0.5013140778677105</x:v>
      </x:c>
      <x:c r="I66" s="11" t="n">
        <x:v>13.08</x:v>
      </x:c>
      <x:c r="J66" s="11" t="n">
        <x:v>13.25</x:v>
      </x:c>
      <x:c r="K66" s="10" t="n">
        <x:v>0.0129969418960245</x:v>
      </x:c>
      <x:c r="L66" s="9" t="n">
        <x:v>1</x:v>
      </x:c>
      <x:c r="M66" s="11" t="n">
        <x:v>13.16</x:v>
      </x:c>
      <x:c r="N66" s="10" t="n">
        <x:v>0.0061162079510703</x:v>
      </x:c>
      <x:c r="O66" s="11" t="n">
        <x:v>13.12</x:v>
      </x:c>
      <x:c r="P66" s="10" t="n">
        <x:v>0.003058103975535</x:v>
      </x:c>
    </x:row>
    <x:row r="67">
      <x:c r="A67" s="9" t="n">
        <x:v>13</x:v>
      </x:c>
      <x:c r="B67" s="9" t="n">
        <x:v>2</x:v>
      </x:c>
      <x:c r="C67" s="9" t="str">
        <x:f>"000978"</x:f>
        <x:v>000978</x:v>
      </x:c>
      <x:c r="D67" s="9" t="str">
        <x:v>桂林旅游</x:v>
      </x:c>
      <x:c r="E67" s="10" t="n">
        <x:v>0.5893225329461192</x:v>
      </x:c>
      <x:c r="F67" s="10" t="n">
        <x:v>0.4106774670538807</x:v>
      </x:c>
      <x:c r="G67" s="10" t="n">
        <x:v>0.0835150512080771</x:v>
      </x:c>
      <x:c r="H67" s="10" t="n">
        <x:v>0.505807481738042</x:v>
      </x:c>
      <x:c r="I67" s="11" t="n">
        <x:v>8.31</x:v>
      </x:c>
      <x:c r="J67" s="11" t="n">
        <x:v>8.49</x:v>
      </x:c>
      <x:c r="K67" s="10" t="n">
        <x:v>0.0216606498194944</x:v>
      </x:c>
      <x:c r="L67" s="9" t="n">
        <x:v>1</x:v>
      </x:c>
      <x:c r="M67" s="11" t="n">
        <x:v>8.42</x:v>
      </x:c>
      <x:c r="N67" s="10" t="n">
        <x:v>0.0132370637785799</x:v>
      </x:c>
      <x:c r="O67" s="11" t="n">
        <x:v>8.2</x:v>
      </x:c>
      <x:c r="P67" s="10" t="n">
        <x:v>-0.0132370637785801</x:v>
      </x:c>
    </x:row>
    <x:row r="68">
      <x:c r="A68" s="9" t="n">
        <x:v>13</x:v>
      </x:c>
      <x:c r="B68" s="9" t="n">
        <x:v>3</x:v>
      </x:c>
      <x:c r="C68" s="9" t="str">
        <x:f>"300158"</x:f>
        <x:v>300158</x:v>
      </x:c>
      <x:c r="D68" s="9" t="str">
        <x:v>振东制药</x:v>
      </x:c>
      <x:c r="E68" s="10" t="n">
        <x:v>0.5523439562256711</x:v>
      </x:c>
      <x:c r="F68" s="10" t="n">
        <x:v>0.447656043774329</x:v>
      </x:c>
      <x:c r="G68" s="10" t="n">
        <x:v>0.311512123398404</x:v>
      </x:c>
      <x:c r="H68" s="10" t="n">
        <x:v>0.240831832827267</x:v>
      </x:c>
      <x:c r="I68" s="11" t="n">
        <x:v>5.38</x:v>
      </x:c>
      <x:c r="J68" s="11" t="n">
        <x:v>5.6</x:v>
      </x:c>
      <x:c r="K68" s="10" t="n">
        <x:v>0.0408921933085502</x:v>
      </x:c>
      <x:c r="L68" s="9" t="n">
        <x:v>1</x:v>
      </x:c>
      <x:c r="M68" s="11" t="n">
        <x:v>5.580000000000001</x:v>
      </x:c>
      <x:c r="N68" s="10" t="n">
        <x:v>0.0371747211895912</x:v>
      </x:c>
      <x:c r="O68" s="11" t="n">
        <x:v>5.56</x:v>
      </x:c>
      <x:c r="P68" s="10" t="n">
        <x:v>0.0334572490706319</x:v>
      </x:c>
    </x:row>
    <x:row r="69">
      <x:c r="A69" s="9" t="n">
        <x:v>13</x:v>
      </x:c>
      <x:c r="B69" s="9" t="n">
        <x:v>4</x:v>
      </x:c>
      <x:c r="C69" s="9" t="str">
        <x:f>"688310"</x:f>
        <x:v>688310</x:v>
      </x:c>
      <x:c r="D69" s="9" t="str">
        <x:v>迈得医疗</x:v>
      </x:c>
      <x:c r="E69" s="10" t="n">
        <x:v>0.5405297157538351</x:v>
      </x:c>
      <x:c r="F69" s="10" t="n">
        <x:v>0.4594702842461647</x:v>
      </x:c>
      <x:c r="G69" s="10" t="n">
        <x:v>0.3694325695501631</x:v>
      </x:c>
      <x:c r="H69" s="10" t="n">
        <x:v>0.171097146203672</x:v>
      </x:c>
      <x:c r="I69" s="11" t="n">
        <x:v>15.45</x:v>
      </x:c>
      <x:c r="J69" s="11" t="n">
        <x:v>15.869999999999997</x:v>
      </x:c>
      <x:c r="K69" s="10" t="n">
        <x:v>0.0271844660194173</x:v>
      </x:c>
      <x:c r="L69" s="9" t="n">
        <x:v>1</x:v>
      </x:c>
      <x:c r="M69" s="11" t="n">
        <x:v>15.830000000000002</x:v>
      </x:c>
      <x:c r="N69" s="10" t="n">
        <x:v>0.0245954692556635</x:v>
      </x:c>
      <x:c r="O69" s="11" t="n">
        <x:v>15.830000000000002</x:v>
      </x:c>
      <x:c r="P69" s="10" t="n">
        <x:v>0.0245954692556635</x:v>
      </x:c>
    </x:row>
    <x:row r="70">
      <x:c r="A70" s="9" t="n">
        <x:v>13</x:v>
      </x:c>
      <x:c r="B70" s="9" t="n">
        <x:v>5</x:v>
      </x:c>
      <x:c r="C70" s="9" t="str">
        <x:f>"300652"</x:f>
        <x:v>300652</x:v>
      </x:c>
      <x:c r="D70" s="9" t="str">
        <x:v>雷迪克</x:v>
      </x:c>
      <x:c r="E70" s="10" t="n">
        <x:v>0.5394511440429304</x:v>
      </x:c>
      <x:c r="F70" s="10" t="n">
        <x:v>0.4605488559570696</x:v>
      </x:c>
      <x:c r="G70" s="10" t="n">
        <x:v>0.3056437494398835</x:v>
      </x:c>
      <x:c r="H70" s="10" t="n">
        <x:v>0.2338073946030468</x:v>
      </x:c>
      <x:c r="I70" s="11" t="n">
        <x:v>26.66</x:v>
      </x:c>
      <x:c r="J70" s="11" t="n">
        <x:v>27.200000000000003</x:v>
      </x:c>
      <x:c r="K70" s="10" t="n">
        <x:v>0.0202550637659415</x:v>
      </x:c>
      <x:c r="L70" s="9" t="n">
        <x:v>1</x:v>
      </x:c>
      <x:c r="M70" s="11" t="n">
        <x:v>27.12</x:v>
      </x:c>
      <x:c r="N70" s="10" t="n">
        <x:v>0.0172543135783946</x:v>
      </x:c>
      <x:c r="O70" s="11" t="n">
        <x:v>27.12</x:v>
      </x:c>
      <x:c r="P70" s="10" t="n">
        <x:v>0.0172543135783946</x:v>
      </x:c>
    </x:row>
    <x:row r="71">
      <x:c r="A71" s="9" t="n">
        <x:v>14</x:v>
      </x:c>
      <x:c r="B71" s="9" t="n">
        <x:v>1</x:v>
      </x:c>
      <x:c r="C71" s="9" t="str">
        <x:f>"001282"</x:f>
        <x:v>001282</x:v>
      </x:c>
      <x:c r="D71" s="9" t="str">
        <x:v>三联锻造</x:v>
      </x:c>
      <x:c r="E71" s="10" t="n">
        <x:v>0.5557845454952921</x:v>
      </x:c>
      <x:c r="F71" s="10" t="n">
        <x:v>0.4442154545047079</x:v>
      </x:c>
      <x:c r="G71" s="10" t="n">
        <x:v>0.2586408998774073</x:v>
      </x:c>
      <x:c r="H71" s="10" t="n">
        <x:v>0.2971436456178847</x:v>
      </x:c>
      <x:c r="I71" s="11" t="n">
        <x:v>16.36</x:v>
      </x:c>
      <x:c r="J71" s="11" t="n">
        <x:v>16.51</x:v>
      </x:c>
      <x:c r="K71" s="10" t="n">
        <x:v>0.0091687041564794</x:v>
      </x:c>
      <x:c r="L71" s="9" t="n">
        <x:v>0</x:v>
      </x:c>
      <x:c r="M71" s="11" t="n">
        <x:v>16.46</x:v>
      </x:c>
      <x:c r="N71" s="10" t="n">
        <x:v>0.0061124694376528</x:v>
      </x:c>
      <x:c r="O71" s="11" t="n">
        <x:v>16.5</x:v>
      </x:c>
      <x:c r="P71" s="10" t="n">
        <x:v>0.008557457212714</x:v>
      </x:c>
    </x:row>
    <x:row r="72">
      <x:c r="A72" s="9" t="n">
        <x:v>14</x:v>
      </x:c>
      <x:c r="B72" s="9" t="n">
        <x:v>2</x:v>
      </x:c>
      <x:c r="C72" s="9" t="str">
        <x:f>"600308"</x:f>
        <x:v>600308</x:v>
      </x:c>
      <x:c r="D72" s="9" t="str">
        <x:v>华泰股份</x:v>
      </x:c>
      <x:c r="E72" s="10" t="n">
        <x:v>0.5542346172475866</x:v>
      </x:c>
      <x:c r="F72" s="10" t="n">
        <x:v>0.4457653827524133</x:v>
      </x:c>
      <x:c r="G72" s="10" t="n">
        <x:v>0.2682280384133465</x:v>
      </x:c>
      <x:c r="H72" s="10" t="n">
        <x:v>0.2860065788342401</x:v>
      </x:c>
      <x:c r="I72" s="11" t="n">
        <x:v>3.41</x:v>
      </x:c>
      <x:c r="J72" s="11" t="n">
        <x:v>3.42</x:v>
      </x:c>
      <x:c r="K72" s="10" t="n">
        <x:v>0.002932551319648</x:v>
      </x:c>
      <x:c r="L72" s="9" t="n">
        <x:v>0</x:v>
      </x:c>
      <x:c r="M72" s="11" t="n">
        <x:v>3.41</x:v>
      </x:c>
      <x:c r="N72" s="10" t="n">
        <x:v>0</x:v>
      </x:c>
      <x:c r="O72" s="11" t="n">
        <x:v>3.3600000000000003</x:v>
      </x:c>
      <x:c r="P72" s="10" t="n">
        <x:v>-0.0146627565982405</x:v>
      </x:c>
    </x:row>
    <x:row r="73">
      <x:c r="A73" s="9" t="n">
        <x:v>14</x:v>
      </x:c>
      <x:c r="B73" s="9" t="n">
        <x:v>3</x:v>
      </x:c>
      <x:c r="C73" s="9" t="str">
        <x:f>"002226"</x:f>
        <x:v>002226</x:v>
      </x:c>
      <x:c r="D73" s="9" t="str">
        <x:v>江南化工</x:v>
      </x:c>
      <x:c r="E73" s="10" t="n">
        <x:v>0.5399446538930335</x:v>
      </x:c>
      <x:c r="F73" s="10" t="n">
        <x:v>0.4600553461069664</x:v>
      </x:c>
      <x:c r="G73" s="10" t="n">
        <x:v>0.3100462835486151</x:v>
      </x:c>
      <x:c r="H73" s="10" t="n">
        <x:v>0.2298983703444184</x:v>
      </x:c>
      <x:c r="I73" s="11" t="n">
        <x:v>5.33</x:v>
      </x:c>
      <x:c r="J73" s="11" t="n">
        <x:v>5.400000000000001</x:v>
      </x:c>
      <x:c r="K73" s="10" t="n">
        <x:v>0.0131332082551596</x:v>
      </x:c>
      <x:c r="L73" s="9" t="n">
        <x:v>1</x:v>
      </x:c>
      <x:c r="M73" s="11" t="n">
        <x:v>5.359999999999999</x:v>
      </x:c>
      <x:c r="N73" s="10" t="n">
        <x:v>0.0056285178236397</x:v>
      </x:c>
      <x:c r="O73" s="11" t="n">
        <x:v>5.359999999999999</x:v>
      </x:c>
      <x:c r="P73" s="10" t="n">
        <x:v>0.0056285178236397</x:v>
      </x:c>
    </x:row>
    <x:row r="74">
      <x:c r="A74" s="9" t="n">
        <x:v>14</x:v>
      </x:c>
      <x:c r="B74" s="9" t="n">
        <x:v>4</x:v>
      </x:c>
      <x:c r="C74" s="9" t="str">
        <x:f>"000710"</x:f>
        <x:v>000710</x:v>
      </x:c>
      <x:c r="D74" s="9" t="str">
        <x:v>贝瑞基因</x:v>
      </x:c>
      <x:c r="E74" s="10" t="n">
        <x:v>0.5287796387059225</x:v>
      </x:c>
      <x:c r="F74" s="10" t="n">
        <x:v>0.4712203612940775</x:v>
      </x:c>
      <x:c r="G74" s="10" t="n">
        <x:v>0.22495404326753</x:v>
      </x:c>
      <x:c r="H74" s="10" t="n">
        <x:v>0.3038255954383924</x:v>
      </x:c>
      <x:c r="I74" s="11" t="n">
        <x:v>9.37</x:v>
      </x:c>
      <x:c r="J74" s="11" t="n">
        <x:v>9.449999999999998</x:v>
      </x:c>
      <x:c r="K74" s="10" t="n">
        <x:v>0.0085378868729988</x:v>
      </x:c>
      <x:c r="L74" s="9" t="n">
        <x:v>0</x:v>
      </x:c>
      <x:c r="M74" s="11" t="n">
        <x:v>9.37</x:v>
      </x:c>
      <x:c r="N74" s="10" t="n">
        <x:v>0</x:v>
      </x:c>
      <x:c r="O74" s="11" t="n">
        <x:v>9.37</x:v>
      </x:c>
      <x:c r="P74" s="10" t="n">
        <x:v>0</x:v>
      </x:c>
    </x:row>
    <x:row r="75">
      <x:c r="A75" s="9" t="n">
        <x:v>14</x:v>
      </x:c>
      <x:c r="B75" s="9" t="n">
        <x:v>5</x:v>
      </x:c>
      <x:c r="C75" s="9" t="str">
        <x:f>"003001"</x:f>
        <x:v>003001</x:v>
      </x:c>
      <x:c r="D75" s="9" t="str">
        <x:v>中岩大地</x:v>
      </x:c>
      <x:c r="E75" s="10" t="n">
        <x:v>0.5248269339399938</x:v>
      </x:c>
      <x:c r="F75" s="10" t="n">
        <x:v>0.4751730660600061</x:v>
      </x:c>
      <x:c r="G75" s="10" t="n">
        <x:v>0.110618833326943</x:v>
      </x:c>
      <x:c r="H75" s="10" t="n">
        <x:v>0.4142081006130507</x:v>
      </x:c>
      <x:c r="I75" s="11" t="n">
        <x:v>20.82</x:v>
      </x:c>
      <x:c r="J75" s="11" t="n">
        <x:v>21.99</x:v>
      </x:c>
      <x:c r="K75" s="10" t="n">
        <x:v>0.0561959654178674</x:v>
      </x:c>
      <x:c r="L75" s="9" t="n">
        <x:v>1</x:v>
      </x:c>
      <x:c r="M75" s="11" t="n">
        <x:v>21.739999999999995</x:v>
      </x:c>
      <x:c r="N75" s="10" t="n">
        <x:v>0.0441882804995195</x:v>
      </x:c>
      <x:c r="O75" s="11" t="n">
        <x:v>21.739999999999995</x:v>
      </x:c>
      <x:c r="P75" s="10" t="n">
        <x:v>0.0441882804995195</x:v>
      </x:c>
    </x:row>
    <x:row r="76">
      <x:c r="A76" s="9" t="n">
        <x:v>15</x:v>
      </x:c>
      <x:c r="B76" s="9" t="n">
        <x:v>1</x:v>
      </x:c>
      <x:c r="C76" s="9" t="str">
        <x:f>"601236"</x:f>
        <x:v>601236</x:v>
      </x:c>
      <x:c r="D76" s="9" t="str">
        <x:v>红塔证券</x:v>
      </x:c>
      <x:c r="E76" s="10" t="n">
        <x:v>0.6240160126215929</x:v>
      </x:c>
      <x:c r="F76" s="10" t="n">
        <x:v>0.375983987378407</x:v>
      </x:c>
      <x:c r="G76" s="10" t="n">
        <x:v>0.4270057222255865</x:v>
      </x:c>
      <x:c r="H76" s="10" t="n">
        <x:v>0.1970102903960063</x:v>
      </x:c>
      <x:c r="I76" s="11" t="n">
        <x:v>7.08</x:v>
      </x:c>
      <x:c r="J76" s="11" t="n">
        <x:v>7.11</x:v>
      </x:c>
      <x:c r="K76" s="10" t="n">
        <x:v>0.0042372881355932</x:v>
      </x:c>
      <x:c r="L76" s="9" t="n">
        <x:v>0</x:v>
      </x:c>
      <x:c r="M76" s="11" t="n">
        <x:v>7.08</x:v>
      </x:c>
      <x:c r="N76" s="10" t="n">
        <x:v>0</x:v>
      </x:c>
      <x:c r="O76" s="11" t="n">
        <x:v>7.04</x:v>
      </x:c>
      <x:c r="P76" s="10" t="n">
        <x:v>-0.0056497175141243</x:v>
      </x:c>
    </x:row>
    <x:row r="77">
      <x:c r="A77" s="9" t="n">
        <x:v>15</x:v>
      </x:c>
      <x:c r="B77" s="9" t="n">
        <x:v>2</x:v>
      </x:c>
      <x:c r="C77" s="9" t="str">
        <x:f>"603258"</x:f>
        <x:v>603258</x:v>
      </x:c>
      <x:c r="D77" s="9" t="str">
        <x:v>电魂网络</x:v>
      </x:c>
      <x:c r="E77" s="10" t="n">
        <x:v>0.5978563070848155</x:v>
      </x:c>
      <x:c r="F77" s="10" t="n">
        <x:v>0.4021436929151845</x:v>
      </x:c>
      <x:c r="G77" s="10" t="n">
        <x:v>0.3165679641836332</x:v>
      </x:c>
      <x:c r="H77" s="10" t="n">
        <x:v>0.2812883429011822</x:v>
      </x:c>
      <x:c r="I77" s="11" t="n">
        <x:v>14.73</x:v>
      </x:c>
      <x:c r="J77" s="11" t="n">
        <x:v>14.600000000000001</x:v>
      </x:c>
      <x:c r="K77" s="10" t="n">
        <x:v>-0.0088255261371351</x:v>
      </x:c>
      <x:c r="L77" s="9" t="n">
        <x:v>-1</x:v>
      </x:c>
      <x:c r="M77" s="11" t="n">
        <x:v>14.600000000000001</x:v>
      </x:c>
      <x:c r="N77" s="10" t="n">
        <x:v>-0.0088255261371351</x:v>
      </x:c>
      <x:c r="O77" s="11" t="n">
        <x:v>14.490000000000002</x:v>
      </x:c>
      <x:c r="P77" s="10" t="n">
        <x:v>-0.0162932790224032</x:v>
      </x:c>
    </x:row>
    <x:row r="78">
      <x:c r="A78" s="9" t="n">
        <x:v>15</x:v>
      </x:c>
      <x:c r="B78" s="9" t="n">
        <x:v>3</x:v>
      </x:c>
      <x:c r="C78" s="9" t="str">
        <x:f>"002164"</x:f>
        <x:v>002164</x:v>
      </x:c>
      <x:c r="D78" s="9" t="str">
        <x:v>宁波东力</x:v>
      </x:c>
      <x:c r="E78" s="10" t="n">
        <x:v>0.5946490775698526</x:v>
      </x:c>
      <x:c r="F78" s="10" t="n">
        <x:v>0.4053509224301474</x:v>
      </x:c>
      <x:c r="G78" s="10" t="n">
        <x:v>0.1828830755625501</x:v>
      </x:c>
      <x:c r="H78" s="10" t="n">
        <x:v>0.4117660020073025</x:v>
      </x:c>
      <x:c r="I78" s="11" t="n">
        <x:v>11.74</x:v>
      </x:c>
      <x:c r="J78" s="11" t="n">
        <x:v>11.69</x:v>
      </x:c>
      <x:c r="K78" s="10" t="n">
        <x:v>-0.0042589437819421</x:v>
      </x:c>
      <x:c r="L78" s="9" t="n">
        <x:v>-1</x:v>
      </x:c>
      <x:c r="M78" s="11" t="n">
        <x:v>11.63</x:v>
      </x:c>
      <x:c r="N78" s="10" t="n">
        <x:v>-0.0093696763202725</x:v>
      </x:c>
      <x:c r="O78" s="11" t="n">
        <x:v>11.410000000000002</x:v>
      </x:c>
      <x:c r="P78" s="10" t="n">
        <x:v>-0.0281090289608176</x:v>
      </x:c>
    </x:row>
    <x:row r="79">
      <x:c r="A79" s="9" t="n">
        <x:v>15</x:v>
      </x:c>
      <x:c r="B79" s="9" t="n">
        <x:v>4</x:v>
      </x:c>
      <x:c r="C79" s="9" t="str">
        <x:f>"002575"</x:f>
        <x:v>002575</x:v>
      </x:c>
      <x:c r="D79" s="9" t="str">
        <x:v>群兴玩具</x:v>
      </x:c>
      <x:c r="E79" s="10" t="n">
        <x:v>0.5806380511828377</x:v>
      </x:c>
      <x:c r="F79" s="10" t="n">
        <x:v>0.4193619488171622</x:v>
      </x:c>
      <x:c r="G79" s="10" t="n">
        <x:v>0.3078673349787519</x:v>
      </x:c>
      <x:c r="H79" s="10" t="n">
        <x:v>0.2727707162040858</x:v>
      </x:c>
      <x:c r="I79" s="11" t="n">
        <x:v>5.36</x:v>
      </x:c>
      <x:c r="J79" s="11" t="n">
        <x:v>5.3500000000000005</x:v>
      </x:c>
      <x:c r="K79" s="10" t="n">
        <x:v>-0.0018656716417911</x:v>
      </x:c>
      <x:c r="L79" s="9" t="n">
        <x:v>-1</x:v>
      </x:c>
      <x:c r="M79" s="11" t="n">
        <x:v>5.300000000000001</x:v>
      </x:c>
      <x:c r="N79" s="10" t="n">
        <x:v>-0.0111940298507463</x:v>
      </x:c>
      <x:c r="O79" s="11" t="n">
        <x:v>5.230000000000001</x:v>
      </x:c>
      <x:c r="P79" s="10" t="n">
        <x:v>-0.0242537313432835</x:v>
      </x:c>
    </x:row>
    <x:row r="80">
      <x:c r="A80" s="9" t="n">
        <x:v>15</x:v>
      </x:c>
      <x:c r="B80" s="9" t="n">
        <x:v>5</x:v>
      </x:c>
      <x:c r="C80" s="9" t="str">
        <x:f>"600127"</x:f>
        <x:v>600127</x:v>
      </x:c>
      <x:c r="D80" s="9" t="str">
        <x:v>金健米业</x:v>
      </x:c>
      <x:c r="E80" s="10" t="n">
        <x:v>0.5620266770231482</x:v>
      </x:c>
      <x:c r="F80" s="10" t="n">
        <x:v>0.4379733229768517</x:v>
      </x:c>
      <x:c r="G80" s="10" t="n">
        <x:v>0.0562825240824238</x:v>
      </x:c>
      <x:c r="H80" s="10" t="n">
        <x:v>0.5057441529407244</x:v>
      </x:c>
      <x:c r="I80" s="11" t="n">
        <x:v>16.36</x:v>
      </x:c>
      <x:c r="J80" s="11" t="n">
        <x:v>16.6</x:v>
      </x:c>
      <x:c r="K80" s="10" t="n">
        <x:v>0.0146699266503669</x:v>
      </x:c>
      <x:c r="L80" s="9" t="n">
        <x:v>1</x:v>
      </x:c>
      <x:c r="M80" s="11" t="n">
        <x:v>16.47</x:v>
      </x:c>
      <x:c r="N80" s="10" t="n">
        <x:v>0.0067237163814179</x:v>
      </x:c>
      <x:c r="O80" s="11" t="n">
        <x:v>16.39</x:v>
      </x:c>
      <x:c r="P80" s="10" t="n">
        <x:v>0.0018337408312958</x:v>
      </x:c>
    </x:row>
    <x:row r="81">
      <x:c r="A81" s="9" t="n">
        <x:v>16</x:v>
      </x:c>
      <x:c r="B81" s="9" t="n">
        <x:v>1</x:v>
      </x:c>
      <x:c r="C81" s="9" t="str">
        <x:f>"000504"</x:f>
        <x:v>000504</x:v>
      </x:c>
      <x:c r="D81" s="9" t="str">
        <x:v>南华生物</x:v>
      </x:c>
      <x:c r="E81" s="10" t="n">
        <x:v>0.8896688683206606</x:v>
      </x:c>
      <x:c r="F81" s="10" t="n">
        <x:v>0.1103311316793393</x:v>
      </x:c>
      <x:c r="G81" s="10" t="n">
        <x:v>0.055368276555584</x:v>
      </x:c>
      <x:c r="H81" s="10" t="n">
        <x:v>0.8343005917650765</x:v>
      </x:c>
      <x:c r="I81" s="11" t="n">
        <x:v>12.6</x:v>
      </x:c>
      <x:c r="J81" s="11" t="n">
        <x:v>13.63</x:v>
      </x:c>
      <x:c r="K81" s="10" t="n">
        <x:v>0.0817460317460319</x:v>
      </x:c>
      <x:c r="L81" s="9" t="n">
        <x:v>1</x:v>
      </x:c>
      <x:c r="M81" s="11" t="n">
        <x:v>13.579999999999998</x:v>
      </x:c>
      <x:c r="N81" s="10" t="n">
        <x:v>0.0777777777777777</x:v>
      </x:c>
      <x:c r="O81" s="11" t="n">
        <x:v>13.579999999999998</x:v>
      </x:c>
      <x:c r="P81" s="10" t="n">
        <x:v>0.0777777777777777</x:v>
      </x:c>
    </x:row>
    <x:row r="82">
      <x:c r="A82" s="9" t="n">
        <x:v>16</x:v>
      </x:c>
      <x:c r="B82" s="9" t="n">
        <x:v>2</x:v>
      </x:c>
      <x:c r="C82" s="9" t="str">
        <x:f>"002646"</x:f>
        <x:v>002646</x:v>
      </x:c>
      <x:c r="D82" s="9" t="str">
        <x:v>天佑德酒</x:v>
      </x:c>
      <x:c r="E82" s="10" t="n">
        <x:v>0.6512858626581179</x:v>
      </x:c>
      <x:c r="F82" s="10" t="n">
        <x:v>0.3487141373418821</x:v>
      </x:c>
      <x:c r="G82" s="10" t="n">
        <x:v>0.3217867123721474</x:v>
      </x:c>
      <x:c r="H82" s="10" t="n">
        <x:v>0.3294991502859705</x:v>
      </x:c>
      <x:c r="I82" s="11" t="n">
        <x:v>7.37</x:v>
      </x:c>
      <x:c r="J82" s="11" t="n">
        <x:v>7.43</x:v>
      </x:c>
      <x:c r="K82" s="10" t="n">
        <x:v>0.0081411126187245</x:v>
      </x:c>
      <x:c r="L82" s="9" t="n">
        <x:v>0</x:v>
      </x:c>
      <x:c r="M82" s="11" t="n">
        <x:v>7.39</x:v>
      </x:c>
      <x:c r="N82" s="10" t="n">
        <x:v>0.0027137042062415</x:v>
      </x:c>
      <x:c r="O82" s="11" t="n">
        <x:v>7.4</x:v>
      </x:c>
      <x:c r="P82" s="10" t="n">
        <x:v>0.0040705563093623</x:v>
      </x:c>
    </x:row>
    <x:row r="83">
      <x:c r="A83" s="9" t="n">
        <x:v>16</x:v>
      </x:c>
      <x:c r="B83" s="9" t="n">
        <x:v>3</x:v>
      </x:c>
      <x:c r="C83" s="9" t="str">
        <x:f>"605268"</x:f>
        <x:v>605268</x:v>
      </x:c>
      <x:c r="D83" s="9" t="str">
        <x:v>王力安防</x:v>
      </x:c>
      <x:c r="E83" s="10" t="n">
        <x:v>0.6496483359728256</x:v>
      </x:c>
      <x:c r="F83" s="10" t="n">
        <x:v>0.3503516640271744</x:v>
      </x:c>
      <x:c r="G83" s="10" t="n">
        <x:v>0.3402838630407312</x:v>
      </x:c>
      <x:c r="H83" s="10" t="n">
        <x:v>0.3093644729320944</x:v>
      </x:c>
      <x:c r="I83" s="11" t="n">
        <x:v>10.33</x:v>
      </x:c>
      <x:c r="J83" s="11" t="n">
        <x:v>10.53</x:v>
      </x:c>
      <x:c r="K83" s="10" t="n">
        <x:v>0.0193610842207163</x:v>
      </x:c>
      <x:c r="L83" s="9" t="n">
        <x:v>1</x:v>
      </x:c>
      <x:c r="M83" s="11" t="n">
        <x:v>10.46</x:v>
      </x:c>
      <x:c r="N83" s="10" t="n">
        <x:v>0.0125847047434657</x:v>
      </x:c>
      <x:c r="O83" s="11" t="n">
        <x:v>10.51</x:v>
      </x:c>
      <x:c r="P83" s="10" t="n">
        <x:v>0.0174249757986446</x:v>
      </x:c>
    </x:row>
    <x:row r="84">
      <x:c r="A84" s="9" t="n">
        <x:v>16</x:v>
      </x:c>
      <x:c r="B84" s="9" t="n">
        <x:v>4</x:v>
      </x:c>
      <x:c r="C84" s="9" t="str">
        <x:f>"600231"</x:f>
        <x:v>600231</x:v>
      </x:c>
      <x:c r="D84" s="9" t="str">
        <x:v>凌钢股份</x:v>
      </x:c>
      <x:c r="E84" s="10" t="n">
        <x:v>0.6106158896419895</x:v>
      </x:c>
      <x:c r="F84" s="10" t="n">
        <x:v>0.3893841103580104</x:v>
      </x:c>
      <x:c r="G84" s="10" t="n">
        <x:v>0.3749089072047418</x:v>
      </x:c>
      <x:c r="H84" s="10" t="n">
        <x:v>0.2357069824372477</x:v>
      </x:c>
      <x:c r="I84" s="11" t="n">
        <x:v>1.74</x:v>
      </x:c>
      <x:c r="J84" s="11" t="n">
        <x:v>1.7300000000000002</x:v>
      </x:c>
      <x:c r="K84" s="10" t="n">
        <x:v>-0.0057471264367816</x:v>
      </x:c>
      <x:c r="L84" s="9" t="n">
        <x:v>-1</x:v>
      </x:c>
      <x:c r="M84" s="11" t="n">
        <x:v>1.72</x:v>
      </x:c>
      <x:c r="N84" s="10" t="n">
        <x:v>-0.0114942528735632</x:v>
      </x:c>
      <x:c r="O84" s="11" t="n">
        <x:v>1.7100000000000002</x:v>
      </x:c>
      <x:c r="P84" s="10" t="n">
        <x:v>-0.0172413793103448</x:v>
      </x:c>
    </x:row>
    <x:row r="85">
      <x:c r="A85" s="9" t="n">
        <x:v>16</x:v>
      </x:c>
      <x:c r="B85" s="9" t="n">
        <x:v>5</x:v>
      </x:c>
      <x:c r="C85" s="9" t="str">
        <x:f>"300848"</x:f>
        <x:v>300848</x:v>
      </x:c>
      <x:c r="D85" s="9" t="str">
        <x:v>美瑞新材</x:v>
      </x:c>
      <x:c r="E85" s="10" t="n">
        <x:v>0.5856578691016872</x:v>
      </x:c>
      <x:c r="F85" s="10" t="n">
        <x:v>0.4143421308983128</x:v>
      </x:c>
      <x:c r="G85" s="10" t="n">
        <x:v>0.3908140600477034</x:v>
      </x:c>
      <x:c r="H85" s="10" t="n">
        <x:v>0.1948438090539837</x:v>
      </x:c>
      <x:c r="I85" s="11" t="n">
        <x:v>11.66</x:v>
      </x:c>
      <x:c r="J85" s="11" t="n">
        <x:v>11.68</x:v>
      </x:c>
      <x:c r="K85" s="10" t="n">
        <x:v>0.0017152658662091</x:v>
      </x:c>
      <x:c r="L85" s="9" t="n">
        <x:v>0</x:v>
      </x:c>
      <x:c r="M85" s="11" t="n">
        <x:v>11.63</x:v>
      </x:c>
      <x:c r="N85" s="10" t="n">
        <x:v>-0.0025728987993138</x:v>
      </x:c>
      <x:c r="O85" s="11" t="n">
        <x:v>11.63</x:v>
      </x:c>
      <x:c r="P85" s="10" t="n">
        <x:v>-0.0025728987993138</x:v>
      </x:c>
    </x:row>
    <x:row r="86">
      <x:c r="A86" s="9" t="n">
        <x:v>17</x:v>
      </x:c>
      <x:c r="B86" s="9" t="n">
        <x:v>1</x:v>
      </x:c>
      <x:c r="C86" s="9" t="str">
        <x:f>"603937"</x:f>
        <x:v>603937</x:v>
      </x:c>
      <x:c r="D86" s="9" t="str">
        <x:v>丽岛新材</x:v>
      </x:c>
      <x:c r="E86" s="10" t="n">
        <x:v>0.6706587856441757</x:v>
      </x:c>
      <x:c r="F86" s="10" t="n">
        <x:v>0.3293412143558243</x:v>
      </x:c>
      <x:c r="G86" s="10" t="n">
        <x:v>0.2511521732177388</x:v>
      </x:c>
      <x:c r="H86" s="10" t="n">
        <x:v>0.4195066124264368</x:v>
      </x:c>
      <x:c r="I86" s="11" t="n">
        <x:v>13.39</x:v>
      </x:c>
      <x:c r="J86" s="11" t="n">
        <x:v>13.49</x:v>
      </x:c>
      <x:c r="K86" s="10" t="n">
        <x:v>0.0074682598954443</x:v>
      </x:c>
      <x:c r="L86" s="9" t="n">
        <x:v>0</x:v>
      </x:c>
      <x:c r="M86" s="11" t="n">
        <x:v>13.02</x:v>
      </x:c>
      <x:c r="N86" s="10" t="n">
        <x:v>-0.0276325616131442</x:v>
      </x:c>
      <x:c r="O86" s="11" t="n">
        <x:v>13.02</x:v>
      </x:c>
      <x:c r="P86" s="10" t="n">
        <x:v>-0.0276325616131442</x:v>
      </x:c>
    </x:row>
    <x:row r="87">
      <x:c r="A87" s="9" t="n">
        <x:v>17</x:v>
      </x:c>
      <x:c r="B87" s="9" t="n">
        <x:v>2</x:v>
      </x:c>
      <x:c r="C87" s="9" t="str">
        <x:f>"601956"</x:f>
        <x:v>601956</x:v>
      </x:c>
      <x:c r="D87" s="9" t="str">
        <x:v>东贝集团</x:v>
      </x:c>
      <x:c r="E87" s="10" t="n">
        <x:v>0.624200853910799</x:v>
      </x:c>
      <x:c r="F87" s="10" t="n">
        <x:v>0.375799146089201</x:v>
      </x:c>
      <x:c r="G87" s="10" t="n">
        <x:v>0.3774884538386222</x:v>
      </x:c>
      <x:c r="H87" s="10" t="n">
        <x:v>0.2467124000721768</x:v>
      </x:c>
      <x:c r="I87" s="11" t="n">
        <x:v>5.15</x:v>
      </x:c>
      <x:c r="J87" s="11" t="n">
        <x:v>5.21</x:v>
      </x:c>
      <x:c r="K87" s="10" t="n">
        <x:v>0.011650485436893</x:v>
      </x:c>
      <x:c r="L87" s="9" t="n">
        <x:v>1</x:v>
      </x:c>
      <x:c r="M87" s="11" t="n">
        <x:v>5.1899999999999995</x:v>
      </x:c>
      <x:c r="N87" s="10" t="n">
        <x:v>0.007766990291262</x:v>
      </x:c>
      <x:c r="O87" s="11" t="n">
        <x:v>5.21</x:v>
      </x:c>
      <x:c r="P87" s="10" t="n">
        <x:v>0.011650485436893</x:v>
      </x:c>
    </x:row>
    <x:row r="88">
      <x:c r="A88" s="9" t="n">
        <x:v>17</x:v>
      </x:c>
      <x:c r="B88" s="9" t="n">
        <x:v>3</x:v>
      </x:c>
      <x:c r="C88" s="9" t="str">
        <x:f>"000411"</x:f>
        <x:v>000411</x:v>
      </x:c>
      <x:c r="D88" s="9" t="str">
        <x:v>英特集团</x:v>
      </x:c>
      <x:c r="E88" s="10" t="n">
        <x:v>0.573028519648889</x:v>
      </x:c>
      <x:c r="F88" s="10" t="n">
        <x:v>0.4269714803511109</x:v>
      </x:c>
      <x:c r="G88" s="10" t="n">
        <x:v>0.3600570343110352</x:v>
      </x:c>
      <x:c r="H88" s="10" t="n">
        <x:v>0.2129714853378538</x:v>
      </x:c>
      <x:c r="I88" s="11" t="n">
        <x:v>10.41</x:v>
      </x:c>
      <x:c r="J88" s="11" t="n">
        <x:v>10.48</x:v>
      </x:c>
      <x:c r="K88" s="10" t="n">
        <x:v>0.0067243035542747</x:v>
      </x:c>
      <x:c r="L88" s="9" t="n">
        <x:v>0</x:v>
      </x:c>
      <x:c r="M88" s="11" t="n">
        <x:v>10.42</x:v>
      </x:c>
      <x:c r="N88" s="10" t="n">
        <x:v>0.0009606147934677</x:v>
      </x:c>
      <x:c r="O88" s="11" t="n">
        <x:v>10.41</x:v>
      </x:c>
      <x:c r="P88" s="10" t="n">
        <x:v>0</x:v>
      </x:c>
    </x:row>
    <x:row r="89">
      <x:c r="A89" s="9" t="n">
        <x:v>17</x:v>
      </x:c>
      <x:c r="B89" s="9" t="n">
        <x:v>4</x:v>
      </x:c>
      <x:c r="C89" s="9" t="str">
        <x:f>"002826"</x:f>
        <x:v>002826</x:v>
      </x:c>
      <x:c r="D89" s="9" t="str">
        <x:v>易明医药</x:v>
      </x:c>
      <x:c r="E89" s="10" t="n">
        <x:v>0.5655808604140009</x:v>
      </x:c>
      <x:c r="F89" s="10" t="n">
        <x:v>0.434419139585999</x:v>
      </x:c>
      <x:c r="G89" s="10" t="n">
        <x:v>0.3750076493387779</x:v>
      </x:c>
      <x:c r="H89" s="10" t="n">
        <x:v>0.190573211075223</x:v>
      </x:c>
      <x:c r="I89" s="11" t="n">
        <x:v>17.73</x:v>
      </x:c>
      <x:c r="J89" s="11" t="n">
        <x:v>17.94</x:v>
      </x:c>
      <x:c r="K89" s="10" t="n">
        <x:v>0.0118443316412859</x:v>
      </x:c>
      <x:c r="L89" s="9" t="n">
        <x:v>1</x:v>
      </x:c>
      <x:c r="M89" s="11" t="n">
        <x:v>17.84</x:v>
      </x:c>
      <x:c r="N89" s="10" t="n">
        <x:v>0.0062041737168641</x:v>
      </x:c>
      <x:c r="O89" s="11" t="n">
        <x:v>17.84</x:v>
      </x:c>
      <x:c r="P89" s="10" t="n">
        <x:v>0.0062041737168641</x:v>
      </x:c>
    </x:row>
    <x:row r="90">
      <x:c r="A90" s="9" t="n">
        <x:v>17</x:v>
      </x:c>
      <x:c r="B90" s="9" t="n">
        <x:v>5</x:v>
      </x:c>
      <x:c r="C90" s="9" t="str">
        <x:f>"600630"</x:f>
        <x:v>600630</x:v>
      </x:c>
      <x:c r="D90" s="9" t="str">
        <x:v>龙头股份</x:v>
      </x:c>
      <x:c r="E90" s="10" t="n">
        <x:v>0.5644060668257544</x:v>
      </x:c>
      <x:c r="F90" s="10" t="n">
        <x:v>0.4355939331742455</x:v>
      </x:c>
      <x:c r="G90" s="10" t="n">
        <x:v>0.1041097365691032</x:v>
      </x:c>
      <x:c r="H90" s="10" t="n">
        <x:v>0.4602963302566512</x:v>
      </x:c>
      <x:c r="I90" s="11" t="n">
        <x:v>8.85</x:v>
      </x:c>
      <x:c r="J90" s="11" t="n">
        <x:v>8.66</x:v>
      </x:c>
      <x:c r="K90" s="10" t="n">
        <x:v>-0.0214689265536722</x:v>
      </x:c>
      <x:c r="L90" s="9" t="n">
        <x:v>-1</x:v>
      </x:c>
      <x:c r="M90" s="11" t="n">
        <x:v>8.59</x:v>
      </x:c>
      <x:c r="N90" s="10" t="n">
        <x:v>-0.0293785310734463</x:v>
      </x:c>
      <x:c r="O90" s="11" t="n">
        <x:v>8.52</x:v>
      </x:c>
      <x:c r="P90" s="10" t="n">
        <x:v>-0.0372881355932203</x:v>
      </x:c>
    </x:row>
    <x:row r="91">
      <x:c r="A91" s="9" t="n">
        <x:v>18</x:v>
      </x:c>
      <x:c r="B91" s="9" t="n">
        <x:v>1</x:v>
      </x:c>
      <x:c r="C91" s="9" t="str">
        <x:f>"000850"</x:f>
        <x:v>000850</x:v>
      </x:c>
      <x:c r="D91" s="9" t="str">
        <x:v>华茂股份</x:v>
      </x:c>
      <x:c r="E91" s="10" t="n">
        <x:v>0.7633192784695532</x:v>
      </x:c>
      <x:c r="F91" s="10" t="n">
        <x:v>0.2366807215304468</x:v>
      </x:c>
      <x:c r="G91" s="10" t="n">
        <x:v>0.1033788213497159</x:v>
      </x:c>
      <x:c r="H91" s="10" t="n">
        <x:v>0.6599404571198373</x:v>
      </x:c>
      <x:c r="I91" s="11" t="n">
        <x:v>5.28</x:v>
      </x:c>
      <x:c r="J91" s="11" t="n">
        <x:v>4.630000000000001</x:v>
      </x:c>
      <x:c r="K91" s="10" t="n">
        <x:v>-0.1231060606060606</x:v>
      </x:c>
      <x:c r="L91" s="9" t="n">
        <x:v>-1</x:v>
      </x:c>
      <x:c r="M91" s="11" t="n">
        <x:v>4.630000000000001</x:v>
      </x:c>
      <x:c r="N91" s="10" t="n">
        <x:v>-0.1231060606060606</x:v>
      </x:c>
      <x:c r="O91" s="11" t="n">
        <x:v>4.630000000000001</x:v>
      </x:c>
      <x:c r="P91" s="10" t="n">
        <x:v>-0.1231060606060606</x:v>
      </x:c>
    </x:row>
    <x:row r="92">
      <x:c r="A92" s="9" t="n">
        <x:v>18</x:v>
      </x:c>
      <x:c r="B92" s="9" t="n">
        <x:v>2</x:v>
      </x:c>
      <x:c r="C92" s="9" t="str">
        <x:f>"002959"</x:f>
        <x:v>002959</x:v>
      </x:c>
      <x:c r="D92" s="9" t="str">
        <x:v>小熊电器</x:v>
      </x:c>
      <x:c r="E92" s="10" t="n">
        <x:v>0.712084521689159</x:v>
      </x:c>
      <x:c r="F92" s="10" t="n">
        <x:v>0.2879154783108409</x:v>
      </x:c>
      <x:c r="G92" s="10" t="n">
        <x:v>0.3158427189226266</x:v>
      </x:c>
      <x:c r="H92" s="10" t="n">
        <x:v>0.3962418027665324</x:v>
      </x:c>
      <x:c r="I92" s="11" t="n">
        <x:v>33.42</x:v>
      </x:c>
      <x:c r="J92" s="11" t="n">
        <x:v>33.49</x:v>
      </x:c>
      <x:c r="K92" s="10" t="n">
        <x:v>0.0020945541591861</x:v>
      </x:c>
      <x:c r="L92" s="9" t="n">
        <x:v>0</x:v>
      </x:c>
      <x:c r="M92" s="11" t="n">
        <x:v>33.4</x:v>
      </x:c>
      <x:c r="N92" s="10" t="n">
        <x:v>-0.0005984440454818</x:v>
      </x:c>
      <x:c r="O92" s="11" t="n">
        <x:v>33.35</x:v>
      </x:c>
      <x:c r="P92" s="10" t="n">
        <x:v>-0.0020945541591861</x:v>
      </x:c>
    </x:row>
    <x:row r="93">
      <x:c r="A93" s="9" t="n">
        <x:v>18</x:v>
      </x:c>
      <x:c r="B93" s="9" t="n">
        <x:v>3</x:v>
      </x:c>
      <x:c r="C93" s="9" t="str">
        <x:f>"300675"</x:f>
        <x:v>300675</x:v>
      </x:c>
      <x:c r="D93" s="9" t="str">
        <x:v>建科院</x:v>
      </x:c>
      <x:c r="E93" s="10" t="n">
        <x:v>0.6384022862524745</x:v>
      </x:c>
      <x:c r="F93" s="10" t="n">
        <x:v>0.3615977137475254</x:v>
      </x:c>
      <x:c r="G93" s="10" t="n">
        <x:v>0.2532935257545525</x:v>
      </x:c>
      <x:c r="H93" s="10" t="n">
        <x:v>0.385108760497922</x:v>
      </x:c>
      <x:c r="I93" s="11" t="n">
        <x:v>13.88</x:v>
      </x:c>
      <x:c r="J93" s="11" t="n">
        <x:v>14.53</x:v>
      </x:c>
      <x:c r="K93" s="10" t="n">
        <x:v>0.046829971181556</x:v>
      </x:c>
      <x:c r="L93" s="9" t="n">
        <x:v>1</x:v>
      </x:c>
      <x:c r="M93" s="11" t="n">
        <x:v>14.450000000000001</x:v>
      </x:c>
      <x:c r="N93" s="10" t="n">
        <x:v>0.0410662824207492</x:v>
      </x:c>
      <x:c r="O93" s="11" t="n">
        <x:v>14.46</x:v>
      </x:c>
      <x:c r="P93" s="10" t="n">
        <x:v>0.0417867435158501</x:v>
      </x:c>
    </x:row>
    <x:row r="94">
      <x:c r="A94" s="9" t="n">
        <x:v>18</x:v>
      </x:c>
      <x:c r="B94" s="9" t="n">
        <x:v>4</x:v>
      </x:c>
      <x:c r="C94" s="9" t="str">
        <x:f>"002583"</x:f>
        <x:v>002583</x:v>
      </x:c>
      <x:c r="D94" s="9" t="str">
        <x:v>海能达</x:v>
      </x:c>
      <x:c r="E94" s="10" t="n">
        <x:v>0.6030259906007434</x:v>
      </x:c>
      <x:c r="F94" s="10" t="n">
        <x:v>0.3969740093992566</x:v>
      </x:c>
      <x:c r="G94" s="10" t="n">
        <x:v>0.2884430904122589</x:v>
      </x:c>
      <x:c r="H94" s="10" t="n">
        <x:v>0.3145829001884844</x:v>
      </x:c>
      <x:c r="I94" s="11" t="n">
        <x:v>8.47</x:v>
      </x:c>
      <x:c r="J94" s="11" t="n">
        <x:v>8.16</x:v>
      </x:c>
      <x:c r="K94" s="10" t="n">
        <x:v>-0.0365997638724912</x:v>
      </x:c>
      <x:c r="L94" s="9" t="n">
        <x:v>-1</x:v>
      </x:c>
      <x:c r="M94" s="11" t="n">
        <x:v>8.060000000000002</x:v>
      </x:c>
      <x:c r="N94" s="10" t="n">
        <x:v>-0.0484061393152301</x:v>
      </x:c>
      <x:c r="O94" s="11" t="n">
        <x:v>8.060000000000002</x:v>
      </x:c>
      <x:c r="P94" s="10" t="n">
        <x:v>-0.0484061393152301</x:v>
      </x:c>
    </x:row>
    <x:row r="95">
      <x:c r="A95" s="9" t="n">
        <x:v>18</x:v>
      </x:c>
      <x:c r="B95" s="9" t="n">
        <x:v>5</x:v>
      </x:c>
      <x:c r="C95" s="9" t="str">
        <x:f>"002538"</x:f>
        <x:v>002538</x:v>
      </x:c>
      <x:c r="D95" s="9" t="str">
        <x:v>司尔特</x:v>
      </x:c>
      <x:c r="E95" s="10" t="n">
        <x:v>0.5957046237674571</x:v>
      </x:c>
      <x:c r="F95" s="10" t="n">
        <x:v>0.4042953762325427</x:v>
      </x:c>
      <x:c r="G95" s="10" t="n">
        <x:v>0.3946552935635847</x:v>
      </x:c>
      <x:c r="H95" s="10" t="n">
        <x:v>0.2010493302038724</x:v>
      </x:c>
      <x:c r="I95" s="11" t="n">
        <x:v>6.84</x:v>
      </x:c>
      <x:c r="J95" s="11" t="n">
        <x:v>7.030000000000001</x:v>
      </x:c>
      <x:c r="K95" s="10" t="n">
        <x:v>0.0277777777777779</x:v>
      </x:c>
      <x:c r="L95" s="9" t="n">
        <x:v>1</x:v>
      </x:c>
      <x:c r="M95" s="11" t="n">
        <x:v>6.98</x:v>
      </x:c>
      <x:c r="N95" s="10" t="n">
        <x:v>0.02046783625731</x:v>
      </x:c>
      <x:c r="O95" s="11" t="n">
        <x:v>6.98</x:v>
      </x:c>
      <x:c r="P95" s="10" t="n">
        <x:v>0.02046783625731</x:v>
      </x:c>
    </x:row>
    <x:row r="96">
      <x:c r="A96" s="9" t="n">
        <x:v>19</x:v>
      </x:c>
      <x:c r="B96" s="9" t="n">
        <x:v>1</x:v>
      </x:c>
      <x:c r="C96" s="9" t="str">
        <x:f>"000560"</x:f>
        <x:v>000560</x:v>
      </x:c>
      <x:c r="D96" s="9" t="str">
        <x:v>我爱我家</x:v>
      </x:c>
      <x:c r="E96" s="10" t="n">
        <x:v>0.6325084722826625</x:v>
      </x:c>
      <x:c r="F96" s="10" t="n">
        <x:v>0.3674915277173377</x:v>
      </x:c>
      <x:c r="G96" s="10" t="n">
        <x:v>0.0696267079905721</x:v>
      </x:c>
      <x:c r="H96" s="10" t="n">
        <x:v>0.5628817642920904</x:v>
      </x:c>
      <x:c r="I96" s="11" t="n">
        <x:v>3.84</x:v>
      </x:c>
      <x:c r="J96" s="11" t="n">
        <x:v>3.38</x:v>
      </x:c>
      <x:c r="K96" s="10" t="n">
        <x:v>-0.1197916666666666</x:v>
      </x:c>
      <x:c r="L96" s="9" t="n">
        <x:v>-1</x:v>
      </x:c>
      <x:c r="M96" s="11" t="n">
        <x:v>3.38</x:v>
      </x:c>
      <x:c r="N96" s="10" t="n">
        <x:v>-0.1197916666666666</x:v>
      </x:c>
      <x:c r="O96" s="11" t="n">
        <x:v>3.38</x:v>
      </x:c>
      <x:c r="P96" s="10" t="n">
        <x:v>-0.1197916666666666</x:v>
      </x:c>
    </x:row>
    <x:row r="97">
      <x:c r="A97" s="9" t="n">
        <x:v>19</x:v>
      </x:c>
      <x:c r="B97" s="9" t="n">
        <x:v>2</x:v>
      </x:c>
      <x:c r="C97" s="9" t="str">
        <x:f>"301103"</x:f>
        <x:v>301103</x:v>
      </x:c>
      <x:c r="D97" s="9" t="str">
        <x:v>何氏眼科</x:v>
      </x:c>
      <x:c r="E97" s="10" t="n">
        <x:v>0.5572585225245457</x:v>
      </x:c>
      <x:c r="F97" s="10" t="n">
        <x:v>0.4427414774754543</x:v>
      </x:c>
      <x:c r="G97" s="10" t="n">
        <x:v>0.3790940865629298</x:v>
      </x:c>
      <x:c r="H97" s="10" t="n">
        <x:v>0.1781644359616158</x:v>
      </x:c>
      <x:c r="I97" s="11" t="n">
        <x:v>16.97</x:v>
      </x:c>
      <x:c r="J97" s="11" t="n">
        <x:v>17.240000000000002</x:v>
      </x:c>
      <x:c r="K97" s="10" t="n">
        <x:v>0.0159104301708898</x:v>
      </x:c>
      <x:c r="L97" s="9" t="n">
        <x:v>1</x:v>
      </x:c>
      <x:c r="M97" s="11" t="n">
        <x:v>17.2</x:v>
      </x:c>
      <x:c r="N97" s="10" t="n">
        <x:v>0.013553329404832</x:v>
      </x:c>
      <x:c r="O97" s="11" t="n">
        <x:v>17.13</x:v>
      </x:c>
      <x:c r="P97" s="10" t="n">
        <x:v>0.009428403064231</x:v>
      </x:c>
    </x:row>
    <x:row r="98">
      <x:c r="A98" s="9" t="n">
        <x:v>19</x:v>
      </x:c>
      <x:c r="B98" s="9" t="n">
        <x:v>3</x:v>
      </x:c>
      <x:c r="C98" s="9" t="str">
        <x:f>"603017"</x:f>
        <x:v>603017</x:v>
      </x:c>
      <x:c r="D98" s="9" t="str">
        <x:v>中衡设计</x:v>
      </x:c>
      <x:c r="E98" s="10" t="n">
        <x:v>0.5546059160497402</x:v>
      </x:c>
      <x:c r="F98" s="10" t="n">
        <x:v>0.4453940839502597</x:v>
      </x:c>
      <x:c r="G98" s="10" t="n">
        <x:v>0.3765249743010252</x:v>
      </x:c>
      <x:c r="H98" s="10" t="n">
        <x:v>0.178080941748715</x:v>
      </x:c>
      <x:c r="I98" s="11" t="n">
        <x:v>10.23</x:v>
      </x:c>
      <x:c r="J98" s="11" t="n">
        <x:v>10.36</x:v>
      </x:c>
      <x:c r="K98" s="10" t="n">
        <x:v>0.0127077223851417</x:v>
      </x:c>
      <x:c r="L98" s="9" t="n">
        <x:v>1</x:v>
      </x:c>
      <x:c r="M98" s="11" t="n">
        <x:v>10.35</x:v>
      </x:c>
      <x:c r="N98" s="10" t="n">
        <x:v>0.0117302052785923</x:v>
      </x:c>
      <x:c r="O98" s="11" t="n">
        <x:v>10.07</x:v>
      </x:c>
      <x:c r="P98" s="10" t="n">
        <x:v>-0.0156402737047898</x:v>
      </x:c>
    </x:row>
    <x:row r="99">
      <x:c r="A99" s="9" t="n">
        <x:v>19</x:v>
      </x:c>
      <x:c r="B99" s="9" t="n">
        <x:v>4</x:v>
      </x:c>
      <x:c r="C99" s="9" t="str">
        <x:f>"603895"</x:f>
        <x:v>603895</x:v>
      </x:c>
      <x:c r="D99" s="9" t="str">
        <x:v>天永智能</x:v>
      </x:c>
      <x:c r="E99" s="10" t="n">
        <x:v>0.5412399083274545</x:v>
      </x:c>
      <x:c r="F99" s="10" t="n">
        <x:v>0.4587600916725455</x:v>
      </x:c>
      <x:c r="G99" s="10" t="n">
        <x:v>0.4144998492371187</x:v>
      </x:c>
      <x:c r="H99" s="10" t="n">
        <x:v>0.1267400590903357</x:v>
      </x:c>
      <x:c r="I99" s="11" t="n">
        <x:v>26.71</x:v>
      </x:c>
      <x:c r="J99" s="11" t="n">
        <x:v>26.859999999999996</x:v>
      </x:c>
      <x:c r="K99" s="10" t="n">
        <x:v>0.0056158742044176</x:v>
      </x:c>
      <x:c r="L99" s="9" t="n">
        <x:v>0</x:v>
      </x:c>
      <x:c r="M99" s="11" t="n">
        <x:v>26.83</x:v>
      </x:c>
      <x:c r="N99" s="10" t="n">
        <x:v>0.0044926993635341</x:v>
      </x:c>
      <x:c r="O99" s="11" t="n">
        <x:v>26.31</x:v>
      </x:c>
      <x:c r="P99" s="10" t="n">
        <x:v>-0.0149756645451142</x:v>
      </x:c>
    </x:row>
    <x:row r="100">
      <x:c r="A100" s="9" t="n">
        <x:v>19</x:v>
      </x:c>
      <x:c r="B100" s="9" t="n">
        <x:v>5</x:v>
      </x:c>
      <x:c r="C100" s="9" t="str">
        <x:f>"301168"</x:f>
        <x:v>301168</x:v>
      </x:c>
      <x:c r="D100" s="9" t="str">
        <x:v>通灵股份</x:v>
      </x:c>
      <x:c r="E100" s="10" t="n">
        <x:v>0.5404936646792748</x:v>
      </x:c>
      <x:c r="F100" s="10" t="n">
        <x:v>0.4595063353207251</x:v>
      </x:c>
      <x:c r="G100" s="10" t="n">
        <x:v>0.3964805595555051</x:v>
      </x:c>
      <x:c r="H100" s="10" t="n">
        <x:v>0.1440131051237697</x:v>
      </x:c>
      <x:c r="I100" s="11" t="n">
        <x:v>41.54</x:v>
      </x:c>
      <x:c r="J100" s="11" t="n">
        <x:v>41.78</x:v>
      </x:c>
      <x:c r="K100" s="10" t="n">
        <x:v>0.0057775637939336</x:v>
      </x:c>
      <x:c r="L100" s="9" t="n">
        <x:v>0</x:v>
      </x:c>
      <x:c r="M100" s="11" t="n">
        <x:v>41.48</x:v>
      </x:c>
      <x:c r="N100" s="10" t="n">
        <x:v>-0.0014443909484834</x:v>
      </x:c>
      <x:c r="O100" s="11" t="n">
        <x:v>41.35000000000001</x:v>
      </x:c>
      <x:c r="P100" s="10" t="n">
        <x:v>-0.0045739046701973</x:v>
      </x:c>
    </x:row>
    <x:row r="101">
      <x:c r="A101" s="9" t="n">
        <x:v>20</x:v>
      </x:c>
      <x:c r="B101" s="9" t="n">
        <x:v>1</x:v>
      </x:c>
      <x:c r="C101" s="9" t="str">
        <x:f>"002513"</x:f>
        <x:v>002513</x:v>
      </x:c>
      <x:c r="D101" s="9" t="str">
        <x:v>蓝丰生化</x:v>
      </x:c>
      <x:c r="E101" s="10" t="n">
        <x:v>0.6653361272400083</x:v>
      </x:c>
      <x:c r="F101" s="10" t="n">
        <x:v>0.3346638727599916</x:v>
      </x:c>
      <x:c r="G101" s="10" t="n">
        <x:v>0.1661010880982788</x:v>
      </x:c>
      <x:c r="H101" s="10" t="n">
        <x:v>0.4992350391417294</x:v>
      </x:c>
      <x:c r="I101" s="11" t="n">
        <x:v>5.77</x:v>
      </x:c>
      <x:c r="J101" s="11" t="n">
        <x:v>5.8500000000000005</x:v>
      </x:c>
      <x:c r="K101" s="10" t="n">
        <x:v>0.0138648180242635</x:v>
      </x:c>
      <x:c r="L101" s="9" t="n">
        <x:v>1</x:v>
      </x:c>
      <x:c r="M101" s="11" t="n">
        <x:v>5.81</x:v>
      </x:c>
      <x:c r="N101" s="10" t="n">
        <x:v>0.0069324090121316</x:v>
      </x:c>
      <x:c r="O101" s="11" t="n">
        <x:v>5.789999999999999</x:v>
      </x:c>
      <x:c r="P101" s="10" t="n">
        <x:v>0.0034662045060658</x:v>
      </x:c>
    </x:row>
    <x:row r="102">
      <x:c r="A102" s="9" t="n">
        <x:v>20</x:v>
      </x:c>
      <x:c r="B102" s="9" t="n">
        <x:v>2</x:v>
      </x:c>
      <x:c r="C102" s="9" t="str">
        <x:f>"603982"</x:f>
        <x:v>603982</x:v>
      </x:c>
      <x:c r="D102" s="9" t="str">
        <x:v>泉峰汽车</x:v>
      </x:c>
      <x:c r="E102" s="10" t="n">
        <x:v>0.6103475205836066</x:v>
      </x:c>
      <x:c r="F102" s="10" t="n">
        <x:v>0.3896524794163934</x:v>
      </x:c>
      <x:c r="G102" s="10" t="n">
        <x:v>0.220844661755761</x:v>
      </x:c>
      <x:c r="H102" s="10" t="n">
        <x:v>0.3895028588278456</x:v>
      </x:c>
      <x:c r="I102" s="11" t="n">
        <x:v>6.81</x:v>
      </x:c>
      <x:c r="J102" s="11" t="n">
        <x:v>6.87</x:v>
      </x:c>
      <x:c r="K102" s="10" t="n">
        <x:v>0.0088105726872247</x:v>
      </x:c>
      <x:c r="L102" s="9" t="n">
        <x:v>0</x:v>
      </x:c>
      <x:c r="M102" s="11" t="n">
        <x:v>6.81</x:v>
      </x:c>
      <x:c r="N102" s="10" t="n">
        <x:v>0</x:v>
      </x:c>
      <x:c r="O102" s="11" t="n">
        <x:v>6.86</x:v>
      </x:c>
      <x:c r="P102" s="10" t="n">
        <x:v>0.0073421439060206</x:v>
      </x:c>
    </x:row>
    <x:row r="103">
      <x:c r="A103" s="9" t="n">
        <x:v>20</x:v>
      </x:c>
      <x:c r="B103" s="9" t="n">
        <x:v>3</x:v>
      </x:c>
      <x:c r="C103" s="9" t="str">
        <x:f>"600064"</x:f>
        <x:v>600064</x:v>
      </x:c>
      <x:c r="D103" s="9" t="str">
        <x:v>南京高科</x:v>
      </x:c>
      <x:c r="E103" s="10" t="n">
        <x:v>0.5694908903788598</x:v>
      </x:c>
      <x:c r="F103" s="10" t="n">
        <x:v>0.4305091096211401</x:v>
      </x:c>
      <x:c r="G103" s="10" t="n">
        <x:v>0.3940414000636133</x:v>
      </x:c>
      <x:c r="H103" s="10" t="n">
        <x:v>0.1754494903152465</x:v>
      </x:c>
      <x:c r="I103" s="11" t="n">
        <x:v>8.04</x:v>
      </x:c>
      <x:c r="J103" s="11" t="n">
        <x:v>8.08</x:v>
      </x:c>
      <x:c r="K103" s="10" t="n">
        <x:v>0.0049751243781095</x:v>
      </x:c>
      <x:c r="L103" s="9" t="n">
        <x:v>0</x:v>
      </x:c>
      <x:c r="M103" s="11" t="n">
        <x:v>8.07</x:v>
      </x:c>
      <x:c r="N103" s="10" t="n">
        <x:v>0.0037313432835821</x:v>
      </x:c>
      <x:c r="O103" s="11" t="n">
        <x:v>8.06</x:v>
      </x:c>
      <x:c r="P103" s="10" t="n">
        <x:v>0.0024875621890549</x:v>
      </x:c>
    </x:row>
    <x:row r="104">
      <x:c r="A104" s="9" t="n">
        <x:v>20</x:v>
      </x:c>
      <x:c r="B104" s="9" t="n">
        <x:v>4</x:v>
      </x:c>
      <x:c r="C104" s="9" t="str">
        <x:f>"600848"</x:f>
        <x:v>600848</x:v>
      </x:c>
      <x:c r="D104" s="9" t="str">
        <x:v>上海临港</x:v>
      </x:c>
      <x:c r="E104" s="10" t="n">
        <x:v>0.5648399437720937</x:v>
      </x:c>
      <x:c r="F104" s="10" t="n">
        <x:v>0.4351600562279062</x:v>
      </x:c>
      <x:c r="G104" s="10" t="n">
        <x:v>0.399718942886055</x:v>
      </x:c>
      <x:c r="H104" s="10" t="n">
        <x:v>0.1651210008860387</x:v>
      </x:c>
      <x:c r="I104" s="11" t="n">
        <x:v>9.07</x:v>
      </x:c>
      <x:c r="J104" s="11" t="n">
        <x:v>9.1</x:v>
      </x:c>
      <x:c r="K104" s="10" t="n">
        <x:v>0.0033076074972435</x:v>
      </x:c>
      <x:c r="L104" s="9" t="n">
        <x:v>0</x:v>
      </x:c>
      <x:c r="M104" s="11" t="n">
        <x:v>9.060000000000002</x:v>
      </x:c>
      <x:c r="N104" s="10" t="n">
        <x:v>-0.0011025358324144</x:v>
      </x:c>
      <x:c r="O104" s="11" t="n">
        <x:v>9.060000000000002</x:v>
      </x:c>
      <x:c r="P104" s="10" t="n">
        <x:v>-0.0011025358324144</x:v>
      </x:c>
    </x:row>
    <x:row r="105">
      <x:c r="A105" s="9" t="n">
        <x:v>20</x:v>
      </x:c>
      <x:c r="B105" s="9" t="n">
        <x:v>5</x:v>
      </x:c>
      <x:c r="C105" s="9" t="str">
        <x:f>"002262"</x:f>
        <x:v>002262</x:v>
      </x:c>
      <x:c r="D105" s="9" t="str">
        <x:v>恩华药业</x:v>
      </x:c>
      <x:c r="E105" s="10" t="n">
        <x:v>0.5622583666583085</x:v>
      </x:c>
      <x:c r="F105" s="10" t="n">
        <x:v>0.4377416333416916</x:v>
      </x:c>
      <x:c r="G105" s="10" t="n">
        <x:v>0.3253993047141513</x:v>
      </x:c>
      <x:c r="H105" s="10" t="n">
        <x:v>0.2368590619441571</x:v>
      </x:c>
      <x:c r="I105" s="11" t="n">
        <x:v>22.65</x:v>
      </x:c>
      <x:c r="J105" s="11" t="n">
        <x:v>22.7</x:v>
      </x:c>
      <x:c r="K105" s="10" t="n">
        <x:v>0.0022075055187638</x:v>
      </x:c>
      <x:c r="L105" s="9" t="n">
        <x:v>0</x:v>
      </x:c>
      <x:c r="M105" s="11" t="n">
        <x:v>22.64</x:v>
      </x:c>
      <x:c r="N105" s="10" t="n">
        <x:v>-0.0004415011037526</x:v>
      </x:c>
      <x:c r="O105" s="11" t="n">
        <x:v>22.28</x:v>
      </x:c>
      <x:c r="P105" s="10" t="n">
        <x:v>-0.016335540838852</x:v>
      </x:c>
    </x:row>
    <x:row r="106">
      <x:c r="A106" s="9" t="n">
        <x:v>21</x:v>
      </x:c>
      <x:c r="B106" s="9" t="n">
        <x:v>1</x:v>
      </x:c>
      <x:c r="C106" s="9" t="str">
        <x:f>"002923"</x:f>
        <x:v>002923</x:v>
      </x:c>
      <x:c r="D106" s="9" t="str">
        <x:v>润都股份</x:v>
      </x:c>
      <x:c r="E106" s="10" t="n">
        <x:v>0.6701562857419177</x:v>
      </x:c>
      <x:c r="F106" s="10" t="n">
        <x:v>0.3298437142580823</x:v>
      </x:c>
      <x:c r="G106" s="10" t="n">
        <x:v>0.19412512536455104</x:v>
      </x:c>
      <x:c r="H106" s="10" t="n">
        <x:v>0.47603116037736665</x:v>
      </x:c>
      <x:c r="I106" s="11" t="n">
        <x:v>11.52</x:v>
      </x:c>
      <x:c r="J106" s="11" t="n">
        <x:v>12.08</x:v>
      </x:c>
      <x:c r="K106" s="10" t="n">
        <x:v>0.04861111111111116</x:v>
      </x:c>
      <x:c r="L106" s="9" t="n">
        <x:v>1</x:v>
      </x:c>
      <x:c r="M106" s="11" t="n">
        <x:v>11.91</x:v>
      </x:c>
      <x:c r="N106" s="10" t="n">
        <x:v>0.03385416666666674</x:v>
      </x:c>
      <x:c r="O106" s="11" t="n">
        <x:v>11.89</x:v>
      </x:c>
      <x:c r="P106" s="10" t="n">
        <x:v>0.03211805555555558</x:v>
      </x:c>
    </x:row>
    <x:row r="107">
      <x:c r="A107" s="9" t="n">
        <x:v>21</x:v>
      </x:c>
      <x:c r="B107" s="9" t="n">
        <x:v>2</x:v>
      </x:c>
      <x:c r="C107" s="9" t="str">
        <x:f>"300875"</x:f>
        <x:v>300875</x:v>
      </x:c>
      <x:c r="D107" s="9" t="str">
        <x:v>捷强装备</x:v>
      </x:c>
      <x:c r="E107" s="10" t="n">
        <x:v>0.6308114045540701</x:v>
      </x:c>
      <x:c r="F107" s="10" t="n">
        <x:v>0.3691885954459298</x:v>
      </x:c>
      <x:c r="G107" s="10" t="n">
        <x:v>0.23530448544804283</x:v>
      </x:c>
      <x:c r="H107" s="10" t="n">
        <x:v>0.3955069191060273</x:v>
      </x:c>
      <x:c r="I107" s="11" t="n">
        <x:v>33.09</x:v>
      </x:c>
      <x:c r="J107" s="11" t="n">
        <x:v>33.77</x:v>
      </x:c>
      <x:c r="K107" s="10" t="n">
        <x:v>0.020550015110305297</x:v>
      </x:c>
      <x:c r="L107" s="9" t="n">
        <x:v>1</x:v>
      </x:c>
      <x:c r="M107" s="11" t="n">
        <x:v>33.5</x:v>
      </x:c>
      <x:c r="N107" s="10" t="n">
        <x:v>0.012390450287095733</x:v>
      </x:c>
      <x:c r="O107" s="11" t="n">
        <x:v>33.5</x:v>
      </x:c>
      <x:c r="P107" s="10" t="n">
        <x:v>0.012390450287095733</x:v>
      </x:c>
    </x:row>
    <x:row r="108">
      <x:c r="A108" s="9" t="n">
        <x:v>21</x:v>
      </x:c>
      <x:c r="B108" s="9" t="n">
        <x:v>3</x:v>
      </x:c>
      <x:c r="C108" s="9" t="str">
        <x:f>"002182"</x:f>
        <x:v>002182</x:v>
      </x:c>
      <x:c r="D108" s="9" t="str">
        <x:v>宝武镁业</x:v>
      </x:c>
      <x:c r="E108" s="10" t="n">
        <x:v>0.6066675319775813</x:v>
      </x:c>
      <x:c r="F108" s="10" t="n">
        <x:v>0.39333246802241867</x:v>
      </x:c>
      <x:c r="G108" s="10" t="n">
        <x:v>0.36300976522782635</x:v>
      </x:c>
      <x:c r="H108" s="10" t="n">
        <x:v>0.24365776674975495</x:v>
      </x:c>
      <x:c r="I108" s="11" t="n">
        <x:v>11.5</x:v>
      </x:c>
      <x:c r="J108" s="11" t="n">
        <x:v>11.67</x:v>
      </x:c>
      <x:c r="K108" s="10" t="n">
        <x:v>0.014782608695652177</x:v>
      </x:c>
      <x:c r="L108" s="9" t="n">
        <x:v>1</x:v>
      </x:c>
      <x:c r="M108" s="11" t="n">
        <x:v>11.59</x:v>
      </x:c>
      <x:c r="N108" s="10" t="n">
        <x:v>0.00782608695652165</x:v>
      </x:c>
      <x:c r="O108" s="11" t="n">
        <x:v>11.580000000000002</x:v>
      </x:c>
      <x:c r="P108" s="10" t="n">
        <x:v>0.006956521739130528</x:v>
      </x:c>
    </x:row>
    <x:row r="109">
      <x:c r="A109" s="9" t="n">
        <x:v>21</x:v>
      </x:c>
      <x:c r="B109" s="9" t="n">
        <x:v>4</x:v>
      </x:c>
      <x:c r="C109" s="9" t="str">
        <x:f>"603085"</x:f>
        <x:v>603085</x:v>
      </x:c>
      <x:c r="D109" s="9" t="str">
        <x:v>天成自控</x:v>
      </x:c>
      <x:c r="E109" s="10" t="n">
        <x:v>0.568268047013411</x:v>
      </x:c>
      <x:c r="F109" s="10" t="n">
        <x:v>0.43173195298658895</x:v>
      </x:c>
      <x:c r="G109" s="10" t="n">
        <x:v>0.37080344201278237</x:v>
      </x:c>
      <x:c r="H109" s="10" t="n">
        <x:v>0.19746460500062865</x:v>
      </x:c>
      <x:c r="I109" s="11" t="n">
        <x:v>10.17</x:v>
      </x:c>
      <x:c r="J109" s="11" t="n">
        <x:v>10.22</x:v>
      </x:c>
      <x:c r="K109" s="10" t="n">
        <x:v>0.004916420845624492</x:v>
      </x:c>
      <x:c r="L109" s="9" t="n">
        <x:v>0</x:v>
      </x:c>
      <x:c r="M109" s="11" t="n">
        <x:v>10.16</x:v>
      </x:c>
      <x:c r="N109" s="10" t="n">
        <x:v>-0.000983284169124854</x:v>
      </x:c>
      <x:c r="O109" s="11" t="n">
        <x:v>10.13</x:v>
      </x:c>
      <x:c r="P109" s="10" t="n">
        <x:v>-0.003933136676499416</x:v>
      </x:c>
    </x:row>
    <x:row r="110">
      <x:c r="A110" s="9" t="n">
        <x:v>21</x:v>
      </x:c>
      <x:c r="B110" s="9" t="n">
        <x:v>5</x:v>
      </x:c>
      <x:c r="C110" s="9" t="str">
        <x:f>"600789"</x:f>
        <x:v>600789</x:v>
      </x:c>
      <x:c r="D110" s="9" t="str">
        <x:v>鲁抗医药</x:v>
      </x:c>
      <x:c r="E110" s="10" t="n">
        <x:v>0.5637686318189677</x:v>
      </x:c>
      <x:c r="F110" s="10" t="n">
        <x:v>0.4362313681810323</x:v>
      </x:c>
      <x:c r="G110" s="10" t="n">
        <x:v>0.19799435037834762</x:v>
      </x:c>
      <x:c r="H110" s="10" t="n">
        <x:v>0.36577428144062013</x:v>
      </x:c>
      <x:c r="I110" s="11" t="n">
        <x:v>8.12</x:v>
      </x:c>
      <x:c r="J110" s="11" t="n">
        <x:v>8.3</x:v>
      </x:c>
      <x:c r="K110" s="10" t="n">
        <x:v>0.022167487684729315</x:v>
      </x:c>
      <x:c r="L110" s="9" t="n">
        <x:v>1</x:v>
      </x:c>
      <x:c r="M110" s="11" t="n">
        <x:v>8.25</x:v>
      </x:c>
      <x:c r="N110" s="10" t="n">
        <x:v>0.016009852216748888</x:v>
      </x:c>
      <x:c r="O110" s="11" t="n">
        <x:v>8.25</x:v>
      </x:c>
      <x:c r="P110" s="10" t="n">
        <x:v>0.016009852216748888</x:v>
      </x:c>
    </x:row>
  </x:sheetData>
  <x:pageMargins left="0.7" right="0.7" top="0.75" bottom="0.75" header="0.3" footer="0.3"/>
  <x:tableParts count="1">
    <x:tablePart xmlns:r="http://schemas.openxmlformats.org/officeDocument/2006/relationships" r:id="R2768c2546f1147e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2" customHeight="1">
      <x:c r="A1" s="2" t="str">
        <x:v>每批五只的实际结果</x:v>
      </x:c>
      <x:c r="B1" s="2"/>
      <x:c r="C1" s="2"/>
      <x:c r="D1" s="2"/>
      <x:c r="E1" s="2"/>
      <x:c r="F1" s="2"/>
    </x:row>
    <x:row r="2" ht="23" customHeight="1">
      <x:c r="A2" s="4" t="str">
        <x:v>每批按P不达标从高到低取五只；最高价涨幅≤1%算不达标，&lt;0%同时记为严重错误。</x:v>
      </x:c>
      <x:c r="B2" s="4"/>
      <x:c r="C2" s="4"/>
      <x:c r="D2" s="4"/>
      <x:c r="E2" s="4"/>
      <x:c r="F2" s="4"/>
    </x:row>
    <x:row r="3" ht="23" customHeight="1">
      <x:c r="A3" s="4" t="str">
        <x:v>合计：105只，59只不达标、46只达标、28只严重错误；前20批候选池不达标比例48.87%。</x:v>
      </x:c>
      <x:c r="B3" s="4"/>
      <x:c r="C3" s="4"/>
      <x:c r="D3" s="4"/>
      <x:c r="E3" s="4"/>
      <x:c r="F3" s="4"/>
    </x:row>
    <x:row r="4">
      <x:c r="A4" t="str">
        <x:v>此表不显示日期；可按批次在“每日前五明细”里筛选具体股票。</x:v>
      </x:c>
    </x:row>
    <x:row r="5" ht="31" customHeight="1">
      <x:c r="A5" s="7" t="str">
        <x:v>批次</x:v>
      </x:c>
      <x:c r="B5" s="7" t="str">
        <x:v>选出总数</x:v>
      </x:c>
      <x:c r="C5" s="7" t="str">
        <x:v>不达标只数</x:v>
      </x:c>
      <x:c r="D5" s="7" t="str">
        <x:v>达标只数</x:v>
      </x:c>
      <x:c r="E5" s="7" t="str">
        <x:v>严重错误只数</x:v>
      </x:c>
      <x:c r="F5" s="7" t="str">
        <x:v>该批最高涨幅</x:v>
      </x:c>
    </x:row>
    <x:row r="6">
      <x:c r="A6" s="9" t="n">
        <x:v>1</x:v>
      </x:c>
      <x:c r="B6" s="9" t="n">
        <x:v>5</x:v>
      </x:c>
      <x:c r="C6" s="9" t="n">
        <x:v>3</x:v>
      </x:c>
      <x:c r="D6" s="9" t="n">
        <x:v>2</x:v>
      </x:c>
      <x:c r="E6" s="9" t="n">
        <x:v>1</x:v>
      </x:c>
      <x:c r="F6" s="10" t="n">
        <x:v>0.0267104029990628</x:v>
      </x:c>
    </x:row>
    <x:row r="7">
      <x:c r="A7" s="9" t="n">
        <x:v>2</x:v>
      </x:c>
      <x:c r="B7" s="9" t="n">
        <x:v>5</x:v>
      </x:c>
      <x:c r="C7" s="9" t="n">
        <x:v>4</x:v>
      </x:c>
      <x:c r="D7" s="9" t="n">
        <x:v>1</x:v>
      </x:c>
      <x:c r="E7" s="9" t="n">
        <x:v>4</x:v>
      </x:c>
      <x:c r="F7" s="10" t="n">
        <x:v>0.0852017937219729</x:v>
      </x:c>
    </x:row>
    <x:row r="8">
      <x:c r="A8" s="9" t="n">
        <x:v>3</x:v>
      </x:c>
      <x:c r="B8" s="9" t="n">
        <x:v>5</x:v>
      </x:c>
      <x:c r="C8" s="9" t="n">
        <x:v>1</x:v>
      </x:c>
      <x:c r="D8" s="9" t="n">
        <x:v>4</x:v>
      </x:c>
      <x:c r="E8" s="9" t="n">
        <x:v>0</x:v>
      </x:c>
      <x:c r="F8" s="10" t="n">
        <x:v>0.0693160813308688</x:v>
      </x:c>
    </x:row>
    <x:row r="9">
      <x:c r="A9" s="9" t="n">
        <x:v>4</x:v>
      </x:c>
      <x:c r="B9" s="9" t="n">
        <x:v>5</x:v>
      </x:c>
      <x:c r="C9" s="9" t="n">
        <x:v>2</x:v>
      </x:c>
      <x:c r="D9" s="9" t="n">
        <x:v>3</x:v>
      </x:c>
      <x:c r="E9" s="9" t="n">
        <x:v>1</x:v>
      </x:c>
      <x:c r="F9" s="10" t="n">
        <x:v>0.0406091370558374</x:v>
      </x:c>
    </x:row>
    <x:row r="10">
      <x:c r="A10" s="9" t="n">
        <x:v>5</x:v>
      </x:c>
      <x:c r="B10" s="9" t="n">
        <x:v>5</x:v>
      </x:c>
      <x:c r="C10" s="9" t="n">
        <x:v>4</x:v>
      </x:c>
      <x:c r="D10" s="9" t="n">
        <x:v>1</x:v>
      </x:c>
      <x:c r="E10" s="9" t="n">
        <x:v>2</x:v>
      </x:c>
      <x:c r="F10" s="10" t="n">
        <x:v>0.0227897838899804</x:v>
      </x:c>
    </x:row>
    <x:row r="11">
      <x:c r="A11" s="9" t="n">
        <x:v>6</x:v>
      </x:c>
      <x:c r="B11" s="9" t="n">
        <x:v>5</x:v>
      </x:c>
      <x:c r="C11" s="9" t="n">
        <x:v>4</x:v>
      </x:c>
      <x:c r="D11" s="9" t="n">
        <x:v>1</x:v>
      </x:c>
      <x:c r="E11" s="9" t="n">
        <x:v>1</x:v>
      </x:c>
      <x:c r="F11" s="10" t="n">
        <x:v>0.0285220397579948</x:v>
      </x:c>
    </x:row>
    <x:row r="12">
      <x:c r="A12" s="9" t="n">
        <x:v>7</x:v>
      </x:c>
      <x:c r="B12" s="9" t="n">
        <x:v>5</x:v>
      </x:c>
      <x:c r="C12" s="9" t="n">
        <x:v>4</x:v>
      </x:c>
      <x:c r="D12" s="9" t="n">
        <x:v>1</x:v>
      </x:c>
      <x:c r="E12" s="9" t="n">
        <x:v>4</x:v>
      </x:c>
      <x:c r="F12" s="10" t="n">
        <x:v>0.0114192495921696</x:v>
      </x:c>
    </x:row>
    <x:row r="13">
      <x:c r="A13" s="9" t="n">
        <x:v>8</x:v>
      </x:c>
      <x:c r="B13" s="9" t="n">
        <x:v>5</x:v>
      </x:c>
      <x:c r="C13" s="9" t="n">
        <x:v>2</x:v>
      </x:c>
      <x:c r="D13" s="9" t="n">
        <x:v>3</x:v>
      </x:c>
      <x:c r="E13" s="9" t="n">
        <x:v>1</x:v>
      </x:c>
      <x:c r="F13" s="10" t="n">
        <x:v>0.0196629213483146</x:v>
      </x:c>
    </x:row>
    <x:row r="14">
      <x:c r="A14" s="9" t="n">
        <x:v>9</x:v>
      </x:c>
      <x:c r="B14" s="9" t="n">
        <x:v>5</x:v>
      </x:c>
      <x:c r="C14" s="9" t="n">
        <x:v>2</x:v>
      </x:c>
      <x:c r="D14" s="9" t="n">
        <x:v>3</x:v>
      </x:c>
      <x:c r="E14" s="9" t="n">
        <x:v>1</x:v>
      </x:c>
      <x:c r="F14" s="10" t="n">
        <x:v>0.1013215859030836</x:v>
      </x:c>
    </x:row>
    <x:row r="15">
      <x:c r="A15" s="9" t="n">
        <x:v>10</x:v>
      </x:c>
      <x:c r="B15" s="9" t="n">
        <x:v>5</x:v>
      </x:c>
      <x:c r="C15" s="9" t="n">
        <x:v>3</x:v>
      </x:c>
      <x:c r="D15" s="9" t="n">
        <x:v>2</x:v>
      </x:c>
      <x:c r="E15" s="9" t="n">
        <x:v>2</x:v>
      </x:c>
      <x:c r="F15" s="10" t="n">
        <x:v>0.0221664108646111</x:v>
      </x:c>
    </x:row>
    <x:row r="16">
      <x:c r="A16" s="9" t="n">
        <x:v>11</x:v>
      </x:c>
      <x:c r="B16" s="9" t="n">
        <x:v>5</x:v>
      </x:c>
      <x:c r="C16" s="9" t="n">
        <x:v>3</x:v>
      </x:c>
      <x:c r="D16" s="9" t="n">
        <x:v>2</x:v>
      </x:c>
      <x:c r="E16" s="9" t="n">
        <x:v>2</x:v>
      </x:c>
      <x:c r="F16" s="10" t="n">
        <x:v>0.0413917216556687</x:v>
      </x:c>
    </x:row>
    <x:row r="17">
      <x:c r="A17" s="9" t="n">
        <x:v>12</x:v>
      </x:c>
      <x:c r="B17" s="9" t="n">
        <x:v>5</x:v>
      </x:c>
      <x:c r="C17" s="9" t="n">
        <x:v>3</x:v>
      </x:c>
      <x:c r="D17" s="9" t="n">
        <x:v>2</x:v>
      </x:c>
      <x:c r="E17" s="9" t="n">
        <x:v>1</x:v>
      </x:c>
      <x:c r="F17" s="10" t="n">
        <x:v>0.0329985652797704</x:v>
      </x:c>
    </x:row>
    <x:row r="18">
      <x:c r="A18" s="9" t="n">
        <x:v>13</x:v>
      </x:c>
      <x:c r="B18" s="9" t="n">
        <x:v>5</x:v>
      </x:c>
      <x:c r="C18" s="9" t="n">
        <x:v>0</x:v>
      </x:c>
      <x:c r="D18" s="9" t="n">
        <x:v>5</x:v>
      </x:c>
      <x:c r="E18" s="9" t="n">
        <x:v>0</x:v>
      </x:c>
      <x:c r="F18" s="10" t="n">
        <x:v>0.0408921933085502</x:v>
      </x:c>
    </x:row>
    <x:row r="19">
      <x:c r="A19" s="9" t="n">
        <x:v>14</x:v>
      </x:c>
      <x:c r="B19" s="9" t="n">
        <x:v>5</x:v>
      </x:c>
      <x:c r="C19" s="9" t="n">
        <x:v>3</x:v>
      </x:c>
      <x:c r="D19" s="9" t="n">
        <x:v>2</x:v>
      </x:c>
      <x:c r="E19" s="9" t="n">
        <x:v>0</x:v>
      </x:c>
      <x:c r="F19" s="10" t="n">
        <x:v>0.0561959654178674</x:v>
      </x:c>
    </x:row>
    <x:row r="20">
      <x:c r="A20" s="9" t="n">
        <x:v>15</x:v>
      </x:c>
      <x:c r="B20" s="9" t="n">
        <x:v>5</x:v>
      </x:c>
      <x:c r="C20" s="9" t="n">
        <x:v>4</x:v>
      </x:c>
      <x:c r="D20" s="9" t="n">
        <x:v>1</x:v>
      </x:c>
      <x:c r="E20" s="9" t="n">
        <x:v>3</x:v>
      </x:c>
      <x:c r="F20" s="10" t="n">
        <x:v>0.0146699266503669</x:v>
      </x:c>
    </x:row>
    <x:row r="21">
      <x:c r="A21" s="9" t="n">
        <x:v>16</x:v>
      </x:c>
      <x:c r="B21" s="9" t="n">
        <x:v>5</x:v>
      </x:c>
      <x:c r="C21" s="9" t="n">
        <x:v>3</x:v>
      </x:c>
      <x:c r="D21" s="9" t="n">
        <x:v>2</x:v>
      </x:c>
      <x:c r="E21" s="9" t="n">
        <x:v>1</x:v>
      </x:c>
      <x:c r="F21" s="10" t="n">
        <x:v>0.0817460317460319</x:v>
      </x:c>
    </x:row>
    <x:row r="22">
      <x:c r="A22" s="9" t="n">
        <x:v>17</x:v>
      </x:c>
      <x:c r="B22" s="9" t="n">
        <x:v>5</x:v>
      </x:c>
      <x:c r="C22" s="9" t="n">
        <x:v>3</x:v>
      </x:c>
      <x:c r="D22" s="9" t="n">
        <x:v>2</x:v>
      </x:c>
      <x:c r="E22" s="9" t="n">
        <x:v>1</x:v>
      </x:c>
      <x:c r="F22" s="10" t="n">
        <x:v>0.0118443316412859</x:v>
      </x:c>
    </x:row>
    <x:row r="23">
      <x:c r="A23" s="9" t="n">
        <x:v>18</x:v>
      </x:c>
      <x:c r="B23" s="9" t="n">
        <x:v>5</x:v>
      </x:c>
      <x:c r="C23" s="9" t="n">
        <x:v>3</x:v>
      </x:c>
      <x:c r="D23" s="9" t="n">
        <x:v>2</x:v>
      </x:c>
      <x:c r="E23" s="9" t="n">
        <x:v>2</x:v>
      </x:c>
      <x:c r="F23" s="10" t="n">
        <x:v>0.046829971181556</x:v>
      </x:c>
    </x:row>
    <x:row r="24">
      <x:c r="A24" s="9" t="n">
        <x:v>19</x:v>
      </x:c>
      <x:c r="B24" s="9" t="n">
        <x:v>5</x:v>
      </x:c>
      <x:c r="C24" s="9" t="n">
        <x:v>3</x:v>
      </x:c>
      <x:c r="D24" s="9" t="n">
        <x:v>2</x:v>
      </x:c>
      <x:c r="E24" s="9" t="n">
        <x:v>1</x:v>
      </x:c>
      <x:c r="F24" s="10" t="n">
        <x:v>0.0159104301708898</x:v>
      </x:c>
    </x:row>
    <x:row r="25">
      <x:c r="A25" s="9" t="n">
        <x:v>20</x:v>
      </x:c>
      <x:c r="B25" s="9" t="n">
        <x:v>5</x:v>
      </x:c>
      <x:c r="C25" s="9" t="n">
        <x:v>4</x:v>
      </x:c>
      <x:c r="D25" s="9" t="n">
        <x:v>1</x:v>
      </x:c>
      <x:c r="E25" s="9" t="n">
        <x:v>0</x:v>
      </x:c>
      <x:c r="F25" s="10" t="n">
        <x:v>0.0138648180242635</x:v>
      </x:c>
    </x:row>
    <x:row r="26">
      <x:c r="A26" s="9" t="n">
        <x:v>21</x:v>
      </x:c>
      <x:c r="B26" s="9" t="n">
        <x:v>5</x:v>
      </x:c>
      <x:c r="C26" s="9" t="n">
        <x:v>1</x:v>
      </x:c>
      <x:c r="D26" s="9" t="n">
        <x:v>4</x:v>
      </x:c>
      <x:c r="E26" s="9" t="n">
        <x:v>0</x:v>
      </x:c>
      <x:c r="F26" s="10" t="n">
        <x:v>0.04861111111111116</x:v>
      </x:c>
    </x:row>
  </x:sheetData>
  <x:pageMargins left="0.7" right="0.7" top="0.75" bottom="0.75" header="0.3" footer="0.3"/>
  <x:tableParts count="1">
    <x:tablePart xmlns:r="http://schemas.openxmlformats.org/officeDocument/2006/relationships" r:id="Rd7cbdb768d1248f6"/>
  </x:tableParts>
</x:worksheet>
</file>