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9409ac431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次晨结果" sheetId="1" r:id="R0cd3529d8f9c4c72"/>
    <x:sheet xmlns:r="http://schemas.openxmlformats.org/officeDocument/2006/relationships" name="前日收盘行情" sheetId="2" r:id="Refbdb38ab41d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%"/>
    <x:numFmt numFmtId="202" formatCode="#,##0.00"/>
    <x:numFmt numFmtId="203" formatCode="0.000"/>
    <x:numFmt numFmtId="204" formatCode="#,##0"/>
  </x:numFmts>
  <x:fonts count="5">
    <x:font>
      <x:sz val="11"/>
      <x:name val="Carlito"/>
    </x:font>
    <x:font>
      <x:sz val="10"/>
      <x:color rgb="FF183047"/>
      <x:name val="Arial"/>
    </x:font>
    <x:font>
      <x:b/>
      <x:sz val="15"/>
      <x:color rgb="FFFFFFFF"/>
      <x:name val="Arial"/>
    </x:font>
    <x:font>
      <x:sz val="10"/>
      <x:color rgb="FF29465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3F8"/>
      </x:patternFill>
    </x:fill>
    <x:fill>
      <x:patternFill patternType="solid">
        <x:fgColor rgb="FF245E80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ba891dc4d47c2" /><Relationship Type="http://schemas.openxmlformats.org/officeDocument/2006/relationships/theme" Target="/xl/theme/theme1.xml" Id="Rdf7e6a95475c496a" /><Relationship Type="http://schemas.openxmlformats.org/officeDocument/2006/relationships/sharedStrings" Target="/xl/sharedStrings.xml" Id="Re059ff2a3a834075" /><Relationship Type="http://schemas.openxmlformats.org/officeDocument/2006/relationships/worksheet" Target="/xl/worksheets/sheet1.xml" Id="R0cd3529d8f9c4c72" /><Relationship Type="http://schemas.openxmlformats.org/officeDocument/2006/relationships/worksheet" Target="/xl/worksheets/sheet2.xml" Id="Refbdb38ab41d4545" /></Relationships>
</file>

<file path=xl/tables/table1.xml><?xml version="1.0" encoding="utf-8"?>
<x:table xmlns:x="http://schemas.openxmlformats.org/spreadsheetml/2006/main" id="1" name="RiskRankedStocks" displayName="RiskRankedStocks" ref="A5:R211" headerRowCount="1" totalsRowCount="0" totalsRowShown="0">
  <x:tableColumns count="18">
    <x:tableColumn id="1" name="批次"/>
    <x:tableColumn id="2" name="风险名次"/>
    <x:tableColumn id="3" name="股票代码"/>
    <x:tableColumn id="4" name="股票名称"/>
    <x:tableColumn id="5" name="P严重"/>
    <x:tableColumn id="6" name="P中性"/>
    <x:tableColumn id="7" name="P达标"/>
    <x:tableColumn id="8" name="原排序分"/>
    <x:tableColumn id="9" name="14:40价格"/>
    <x:tableColumn id="10" name="十分钟最高价"/>
    <x:tableColumn id="11" name="最高价涨幅"/>
    <x:tableColumn id="12" name="最高价类别"/>
    <x:tableColumn id="13" name="最大开盘价"/>
    <x:tableColumn id="14" name="开盘价涨幅"/>
    <x:tableColumn id="15" name="最大收盘价"/>
    <x:tableColumn id="16" name="收盘价涨幅"/>
    <x:tableColumn id="17" name="前日收盘价"/>
    <x:tableColumn id="18" name="前日收盘涨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CloseStocks" displayName="PriorCloseStocks" ref="A5:M211" headerRowCount="1" totalsRowCount="0" totalsRowShown="0">
  <x:tableColumns count="13">
    <x:tableColumn id="1" name="批次"/>
    <x:tableColumn id="2" name="风险名次"/>
    <x:tableColumn id="3" name="股票代码"/>
    <x:tableColumn id="4" name="股票名称"/>
    <x:tableColumn id="5" name="前收盘价"/>
    <x:tableColumn id="6" name="当日开盘价"/>
    <x:tableColumn id="7" name="当日最高价"/>
    <x:tableColumn id="8" name="当日最低价"/>
    <x:tableColumn id="9" name="当日收盘价"/>
    <x:tableColumn id="10" name="收盘涨幅"/>
    <x:tableColumn id="11" name="成交量（股）"/>
    <x:tableColumn id="12" name="成交额（元）"/>
    <x:tableColumn id="13" name="换手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0ad44ce7b242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20915de82441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30" customHeight="1">
      <x:c r="A1" s="3" t="str">
        <x:v>按严重错误概率从低到高：每日最多十只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2" customHeight="1">
      <x:c r="A2" s="5" t="str">
        <x:v>21个独立批次；超过20%的剔除；合计206只。批次仅用于分组，不显示日期。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22" customHeight="1">
      <x:c r="A3" s="5" t="str">
        <x:v>达标：十分钟最大最高价相对14:40价格 &gt;1%；中性：0%–1%；严重：&lt;0%。开盘、收盘亦为十根K各自的最大值。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4">
      <x:c r="A4" s="1" t="str">
        <x:v>总数 206  |  最高价达标 98  |  中性 79  |  严重 29  |  最大收盘价达标 71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2" customHeight="1">
      <x:c r="A5" s="9" t="str">
        <x:v>批次</x:v>
      </x:c>
      <x:c r="B5" s="9" t="str">
        <x:v>风险名次</x:v>
      </x:c>
      <x:c r="C5" s="9" t="str">
        <x:v>股票代码</x:v>
      </x:c>
      <x:c r="D5" s="9" t="str">
        <x:v>股票名称</x:v>
      </x:c>
      <x:c r="E5" s="9" t="str">
        <x:v>P严重</x:v>
      </x:c>
      <x:c r="F5" s="9" t="str">
        <x:v>P中性</x:v>
      </x:c>
      <x:c r="G5" s="9" t="str">
        <x:v>P达标</x:v>
      </x:c>
      <x:c r="H5" s="9" t="str">
        <x:v>原排序分</x:v>
      </x:c>
      <x:c r="I5" s="9" t="str">
        <x:v>14:40价格</x:v>
      </x:c>
      <x:c r="J5" s="9" t="str">
        <x:v>十分钟最高价</x:v>
      </x:c>
      <x:c r="K5" s="9" t="str">
        <x:v>最高价涨幅</x:v>
      </x:c>
      <x:c r="L5" s="9" t="str">
        <x:v>最高价类别</x:v>
      </x:c>
      <x:c r="M5" s="9" t="str">
        <x:v>最大开盘价</x:v>
      </x:c>
      <x:c r="N5" s="9" t="str">
        <x:v>开盘价涨幅</x:v>
      </x:c>
      <x:c r="O5" s="9" t="str">
        <x:v>最大收盘价</x:v>
      </x:c>
      <x:c r="P5" s="9" t="str">
        <x:v>收盘价涨幅</x:v>
      </x:c>
      <x:c r="Q5" s="9" t="str">
        <x:v>前日收盘价</x:v>
      </x:c>
      <x:c r="R5" s="9" t="str">
        <x:v>前日收盘涨幅</x:v>
      </x:c>
    </x:row>
    <x:row r="6" ht="21" customHeight="1">
      <x:c r="A6" s="1" t="n">
        <x:v>1</x:v>
      </x:c>
      <x:c r="B6" s="1" t="n">
        <x:v>1</x:v>
      </x:c>
      <x:c r="C6" s="10" t="str">
        <x:f>"688292"</x:f>
        <x:v>688292</x:v>
      </x:c>
      <x:c r="D6" s="1" t="str">
        <x:v>浩瀚深度</x:v>
      </x:c>
      <x:c r="E6" s="11" t="n">
        <x:v>0.14073819617516184</x:v>
      </x:c>
      <x:c r="F6" s="11" t="n">
        <x:v>0.2709085683666346</x:v>
      </x:c>
      <x:c r="G6" s="11" t="n">
        <x:v>0.5883532354582036</x:v>
      </x:c>
      <x:c r="H6" s="13" t="n">
        <x:v>0.4476150392830418</x:v>
      </x:c>
      <x:c r="I6" s="12" t="n">
        <x:v>18.8</x:v>
      </x:c>
      <x:c r="J6" s="12" t="n">
        <x:v>18.98</x:v>
      </x:c>
      <x:c r="K6" s="11" t="n">
        <x:v>0.009574468085106425</x:v>
      </x:c>
      <x:c r="L6" s="1" t="n">
        <x:v>0</x:v>
      </x:c>
      <x:c r="M6" s="12" t="n">
        <x:v>18.93</x:v>
      </x:c>
      <x:c r="N6" s="11" t="n">
        <x:v>0.006914893617021134</x:v>
      </x:c>
      <x:c r="O6" s="12" t="n">
        <x:v>18.92</x:v>
      </x:c>
      <x:c r="P6" s="11" t="n">
        <x:v>0.006382978723404209</x:v>
      </x:c>
      <x:c r="Q6" s="12" t="n">
        <x:v>18.67</x:v>
      </x:c>
      <x:c r="R6" s="11" t="n">
        <x:v>0.02695269526952715</x:v>
      </x:c>
    </x:row>
    <x:row r="7" ht="21" customHeight="1">
      <x:c r="A7" s="1" t="n">
        <x:v>1</x:v>
      </x:c>
      <x:c r="B7" s="1" t="n">
        <x:v>2</x:v>
      </x:c>
      <x:c r="C7" s="10" t="str">
        <x:f>"301075"</x:f>
        <x:v>301075</x:v>
      </x:c>
      <x:c r="D7" s="1" t="str">
        <x:v>多瑞医药</x:v>
      </x:c>
      <x:c r="E7" s="11" t="n">
        <x:v>0.14189781738544066</x:v>
      </x:c>
      <x:c r="F7" s="11" t="n">
        <x:v>0.2377153748559576</x:v>
      </x:c>
      <x:c r="G7" s="11" t="n">
        <x:v>0.6203868077586018</x:v>
      </x:c>
      <x:c r="H7" s="13" t="n">
        <x:v>0.4784889903731611</x:v>
      </x:c>
      <x:c r="I7" s="12" t="n">
        <x:v>60.46</x:v>
      </x:c>
      <x:c r="J7" s="12" t="n">
        <x:v>62.5</x:v>
      </x:c>
      <x:c r="K7" s="11" t="n">
        <x:v>0.03374131657294077</x:v>
      </x:c>
      <x:c r="L7" s="1" t="n">
        <x:v>1</x:v>
      </x:c>
      <x:c r="M7" s="12" t="n">
        <x:v>62.41</x:v>
      </x:c>
      <x:c r="N7" s="11" t="n">
        <x:v>0.03225272907707577</x:v>
      </x:c>
      <x:c r="O7" s="12" t="n">
        <x:v>62.41</x:v>
      </x:c>
      <x:c r="P7" s="11" t="n">
        <x:v>0.03225272907707577</x:v>
      </x:c>
      <x:c r="Q7" s="12" t="n">
        <x:v>60.38</x:v>
      </x:c>
      <x:c r="R7" s="11" t="n">
        <x:v>0.040675629093416044</x:v>
      </x:c>
    </x:row>
    <x:row r="8" ht="21" customHeight="1">
      <x:c r="A8" s="1" t="n">
        <x:v>1</x:v>
      </x:c>
      <x:c r="B8" s="1" t="n">
        <x:v>3</x:v>
      </x:c>
      <x:c r="C8" s="10" t="str">
        <x:f>"603319"</x:f>
        <x:v>603319</x:v>
      </x:c>
      <x:c r="D8" s="1" t="str">
        <x:v>湘油泵</x:v>
      </x:c>
      <x:c r="E8" s="11" t="n">
        <x:v>0.1468347130631378</x:v>
      </x:c>
      <x:c r="F8" s="11" t="n">
        <x:v>0.22772131184520816</x:v>
      </x:c>
      <x:c r="G8" s="11" t="n">
        <x:v>0.625443975091654</x:v>
      </x:c>
      <x:c r="H8" s="13" t="n">
        <x:v>0.47860926202851617</x:v>
      </x:c>
      <x:c r="I8" s="12" t="n">
        <x:v>29.79</x:v>
      </x:c>
      <x:c r="J8" s="12" t="n">
        <x:v>30.97</x:v>
      </x:c>
      <x:c r="K8" s="11" t="n">
        <x:v>0.03961060758643842</x:v>
      </x:c>
      <x:c r="L8" s="1" t="n">
        <x:v>1</x:v>
      </x:c>
      <x:c r="M8" s="12" t="n">
        <x:v>30.76</x:v>
      </x:c>
      <x:c r="N8" s="11" t="n">
        <x:v>0.03256126216851296</x:v>
      </x:c>
      <x:c r="O8" s="12" t="n">
        <x:v>30.85</x:v>
      </x:c>
      <x:c r="P8" s="11" t="n">
        <x:v>0.03558241020476682</x:v>
      </x:c>
      <x:c r="Q8" s="12" t="n">
        <x:v>29.68</x:v>
      </x:c>
      <x:c r="R8" s="11" t="n">
        <x:v>0.029126213592232997</x:v>
      </x:c>
    </x:row>
    <x:row r="9" ht="21" customHeight="1">
      <x:c r="A9" s="1" t="n">
        <x:v>1</x:v>
      </x:c>
      <x:c r="B9" s="1" t="n">
        <x:v>4</x:v>
      </x:c>
      <x:c r="C9" s="10" t="str">
        <x:f>"002203"</x:f>
        <x:v>002203</x:v>
      </x:c>
      <x:c r="D9" s="1" t="str">
        <x:v>海亮股份</x:v>
      </x:c>
      <x:c r="E9" s="11" t="n">
        <x:v>0.15178797942289404</x:v>
      </x:c>
      <x:c r="F9" s="11" t="n">
        <x:v>0.33859140334650406</x:v>
      </x:c>
      <x:c r="G9" s="11" t="n">
        <x:v>0.5096206172306019</x:v>
      </x:c>
      <x:c r="H9" s="13" t="n">
        <x:v>0.3578326378077079</x:v>
      </x:c>
      <x:c r="I9" s="12" t="n">
        <x:v>19.32</x:v>
      </x:c>
      <x:c r="J9" s="12" t="n">
        <x:v>19.94</x:v>
      </x:c>
      <x:c r="K9" s="11" t="n">
        <x:v>0.03209109730848869</x:v>
      </x:c>
      <x:c r="L9" s="1" t="n">
        <x:v>1</x:v>
      </x:c>
      <x:c r="M9" s="12" t="n">
        <x:v>19.9</x:v>
      </x:c>
      <x:c r="N9" s="11" t="n">
        <x:v>0.030020703933747228</x:v>
      </x:c>
      <x:c r="O9" s="12" t="n">
        <x:v>19.91</x:v>
      </x:c>
      <x:c r="P9" s="11" t="n">
        <x:v>0.030538302277432594</x:v>
      </x:c>
      <x:c r="Q9" s="12" t="n">
        <x:v>19.5</x:v>
      </x:c>
      <x:c r="R9" s="11" t="n">
        <x:v>0.04278074866310155</x:v>
      </x:c>
    </x:row>
    <x:row r="10" ht="21" customHeight="1">
      <x:c r="A10" s="1" t="n">
        <x:v>1</x:v>
      </x:c>
      <x:c r="B10" s="1" t="n">
        <x:v>5</x:v>
      </x:c>
      <x:c r="C10" s="10" t="str">
        <x:f>"688410"</x:f>
        <x:v>688410</x:v>
      </x:c>
      <x:c r="D10" s="1" t="str">
        <x:v>山外山</x:v>
      </x:c>
      <x:c r="E10" s="11" t="n">
        <x:v>0.15490009883306405</x:v>
      </x:c>
      <x:c r="F10" s="11" t="n">
        <x:v>0.3244604481489323</x:v>
      </x:c>
      <x:c r="G10" s="11" t="n">
        <x:v>0.5206394530180036</x:v>
      </x:c>
      <x:c r="H10" s="13" t="n">
        <x:v>0.3657393541849396</x:v>
      </x:c>
      <x:c r="I10" s="12" t="n">
        <x:v>10.4</x:v>
      </x:c>
      <x:c r="J10" s="12" t="n">
        <x:v>10.47</x:v>
      </x:c>
      <x:c r="K10" s="11" t="n">
        <x:v>0.006730769230769207</x:v>
      </x:c>
      <x:c r="L10" s="1" t="n">
        <x:v>0</x:v>
      </x:c>
      <x:c r="M10" s="12" t="n">
        <x:v>10.44</x:v>
      </x:c>
      <x:c r="N10" s="11" t="n">
        <x:v>0.0038461538461538325</x:v>
      </x:c>
      <x:c r="O10" s="12" t="n">
        <x:v>10.45</x:v>
      </x:c>
      <x:c r="P10" s="11" t="n">
        <x:v>0.004807692307692291</x:v>
      </x:c>
      <x:c r="Q10" s="12" t="n">
        <x:v>10.41</x:v>
      </x:c>
      <x:c r="R10" s="11" t="n">
        <x:v>0.031714568880079286</x:v>
      </x:c>
    </x:row>
    <x:row r="11" ht="21" customHeight="1">
      <x:c r="A11" s="1" t="n">
        <x:v>1</x:v>
      </x:c>
      <x:c r="B11" s="1" t="n">
        <x:v>6</x:v>
      </x:c>
      <x:c r="C11" s="10" t="str">
        <x:f>"002062"</x:f>
        <x:v>002062</x:v>
      </x:c>
      <x:c r="D11" s="1" t="str">
        <x:v>宏润建设</x:v>
      </x:c>
      <x:c r="E11" s="11" t="n">
        <x:v>0.15546351811264567</x:v>
      </x:c>
      <x:c r="F11" s="11" t="n">
        <x:v>0.2971035498289252</x:v>
      </x:c>
      <x:c r="G11" s="11" t="n">
        <x:v>0.5474329320584291</x:v>
      </x:c>
      <x:c r="H11" s="13" t="n">
        <x:v>0.39196941394578344</x:v>
      </x:c>
      <x:c r="I11" s="12" t="n">
        <x:v>8.47</x:v>
      </x:c>
      <x:c r="J11" s="12" t="n">
        <x:v>8.55</x:v>
      </x:c>
      <x:c r="K11" s="11" t="n">
        <x:v>0.009445100354191327</x:v>
      </x:c>
      <x:c r="L11" s="1" t="n">
        <x:v>0</x:v>
      </x:c>
      <x:c r="M11" s="12" t="n">
        <x:v>8.5</x:v>
      </x:c>
      <x:c r="N11" s="11" t="n">
        <x:v>0.0035419126328215533</x:v>
      </x:c>
      <x:c r="O11" s="12" t="n">
        <x:v>8.5</x:v>
      </x:c>
      <x:c r="P11" s="11" t="n">
        <x:v>0.0035419126328215533</x:v>
      </x:c>
      <x:c r="Q11" s="12" t="n">
        <x:v>8.49</x:v>
      </x:c>
      <x:c r="R11" s="11" t="n">
        <x:v>0.03663003663003672</x:v>
      </x:c>
    </x:row>
    <x:row r="12" ht="21" customHeight="1">
      <x:c r="A12" s="1" t="n">
        <x:v>1</x:v>
      </x:c>
      <x:c r="B12" s="1" t="n">
        <x:v>7</x:v>
      </x:c>
      <x:c r="C12" s="10" t="str">
        <x:f>"300352"</x:f>
        <x:v>300352</x:v>
      </x:c>
      <x:c r="D12" s="1" t="str">
        <x:v>北信源</x:v>
      </x:c>
      <x:c r="E12" s="11" t="n">
        <x:v>0.15602054181738226</x:v>
      </x:c>
      <x:c r="F12" s="11" t="n">
        <x:v>0.23887195674382508</x:v>
      </x:c>
      <x:c r="G12" s="11" t="n">
        <x:v>0.6051075014387927</x:v>
      </x:c>
      <x:c r="H12" s="13" t="n">
        <x:v>0.44908695962141043</x:v>
      </x:c>
      <x:c r="I12" s="12" t="n">
        <x:v>2.73</x:v>
      </x:c>
      <x:c r="J12" s="12" t="n">
        <x:v>2.74</x:v>
      </x:c>
      <x:c r="K12" s="11" t="n">
        <x:v>0.00366300366300365</x:v>
      </x:c>
      <x:c r="L12" s="1" t="n">
        <x:v>0</x:v>
      </x:c>
      <x:c r="M12" s="12" t="n">
        <x:v>2.74</x:v>
      </x:c>
      <x:c r="N12" s="11" t="n">
        <x:v>0.00366300366300365</x:v>
      </x:c>
      <x:c r="O12" s="12" t="n">
        <x:v>2.74</x:v>
      </x:c>
      <x:c r="P12" s="11" t="n">
        <x:v>0.00366300366300365</x:v>
      </x:c>
      <x:c r="Q12" s="12" t="n">
        <x:v>2.74</x:v>
      </x:c>
      <x:c r="R12" s="11" t="n">
        <x:v>0.04580152671755733</x:v>
      </x:c>
    </x:row>
    <x:row r="13" ht="21" customHeight="1">
      <x:c r="A13" s="1" t="n">
        <x:v>1</x:v>
      </x:c>
      <x:c r="B13" s="1" t="n">
        <x:v>8</x:v>
      </x:c>
      <x:c r="C13" s="10" t="str">
        <x:f>"605303"</x:f>
        <x:v>605303</x:v>
      </x:c>
      <x:c r="D13" s="1" t="str">
        <x:v>园林股份</x:v>
      </x:c>
      <x:c r="E13" s="11" t="n">
        <x:v>0.1570895597712508</x:v>
      </x:c>
      <x:c r="F13" s="11" t="n">
        <x:v>0.3268356390463659</x:v>
      </x:c>
      <x:c r="G13" s="11" t="n">
        <x:v>0.5160748011823832</x:v>
      </x:c>
      <x:c r="H13" s="13" t="n">
        <x:v>0.3589852414111324</x:v>
      </x:c>
      <x:c r="I13" s="12" t="n">
        <x:v>25.36</x:v>
      </x:c>
      <x:c r="J13" s="12" t="n">
        <x:v>25.45</x:v>
      </x:c>
      <x:c r="K13" s="11" t="n">
        <x:v>0.0035488958990537167</x:v>
      </x:c>
      <x:c r="L13" s="1" t="n">
        <x:v>0</x:v>
      </x:c>
      <x:c r="M13" s="12" t="n">
        <x:v>25.42</x:v>
      </x:c>
      <x:c r="N13" s="11" t="n">
        <x:v>0.0023659305993690705</x:v>
      </x:c>
      <x:c r="O13" s="12" t="n">
        <x:v>25.41</x:v>
      </x:c>
      <x:c r="P13" s="11" t="n">
        <x:v>0.0019716088328076697</x:v>
      </x:c>
      <x:c r="Q13" s="12" t="n">
        <x:v>25.01</x:v>
      </x:c>
      <x:c r="R13" s="11" t="n">
        <x:v>0.01584077985377741</x:v>
      </x:c>
    </x:row>
    <x:row r="14" ht="21" customHeight="1">
      <x:c r="A14" s="1" t="n">
        <x:v>1</x:v>
      </x:c>
      <x:c r="B14" s="1" t="n">
        <x:v>9</x:v>
      </x:c>
      <x:c r="C14" s="10" t="str">
        <x:f>"688026"</x:f>
        <x:v>688026</x:v>
      </x:c>
      <x:c r="D14" s="1" t="str">
        <x:v>洁特生物</x:v>
      </x:c>
      <x:c r="E14" s="11" t="n">
        <x:v>0.1583617724802797</x:v>
      </x:c>
      <x:c r="F14" s="11" t="n">
        <x:v>0.22689353636640006</x:v>
      </x:c>
      <x:c r="G14" s="11" t="n">
        <x:v>0.6147446911533203</x:v>
      </x:c>
      <x:c r="H14" s="13" t="n">
        <x:v>0.4563829186730406</x:v>
      </x:c>
      <x:c r="I14" s="12" t="n">
        <x:v>18.64</x:v>
      </x:c>
      <x:c r="J14" s="12" t="n">
        <x:v>19.88</x:v>
      </x:c>
      <x:c r="K14" s="11" t="n">
        <x:v>0.0665236051502145</x:v>
      </x:c>
      <x:c r="L14" s="1" t="n">
        <x:v>1</x:v>
      </x:c>
      <x:c r="M14" s="12" t="n">
        <x:v>19.64</x:v>
      </x:c>
      <x:c r="N14" s="11" t="n">
        <x:v>0.05364806866952798</x:v>
      </x:c>
      <x:c r="O14" s="12" t="n">
        <x:v>19.68</x:v>
      </x:c>
      <x:c r="P14" s="11" t="n">
        <x:v>0.05579399141630903</x:v>
      </x:c>
      <x:c r="Q14" s="12" t="n">
        <x:v>18.6</x:v>
      </x:c>
      <x:c r="R14" s="11" t="n">
        <x:v>0.03678929765886285</x:v>
      </x:c>
    </x:row>
    <x:row r="15" ht="21" customHeight="1">
      <x:c r="A15" s="1" t="n">
        <x:v>1</x:v>
      </x:c>
      <x:c r="B15" s="1" t="n">
        <x:v>10</x:v>
      </x:c>
      <x:c r="C15" s="10" t="str">
        <x:f>"300849"</x:f>
        <x:v>300849</x:v>
      </x:c>
      <x:c r="D15" s="1" t="str">
        <x:v>锦盛新材</x:v>
      </x:c>
      <x:c r="E15" s="11" t="n">
        <x:v>0.1603298911373892</x:v>
      </x:c>
      <x:c r="F15" s="11" t="n">
        <x:v>0.19913977618911977</x:v>
      </x:c>
      <x:c r="G15" s="11" t="n">
        <x:v>0.6405303326734911</x:v>
      </x:c>
      <x:c r="H15" s="13" t="n">
        <x:v>0.4802004415361019</x:v>
      </x:c>
      <x:c r="I15" s="12" t="n">
        <x:v>23.17</x:v>
      </x:c>
      <x:c r="J15" s="12" t="n">
        <x:v>23.56</x:v>
      </x:c>
      <x:c r="K15" s="11" t="n">
        <x:v>0.016832110487699392</x:v>
      </x:c>
      <x:c r="L15" s="1" t="n">
        <x:v>1</x:v>
      </x:c>
      <x:c r="M15" s="12" t="n">
        <x:v>23.56</x:v>
      </x:c>
      <x:c r="N15" s="11" t="n">
        <x:v>0.016832110487699392</x:v>
      </x:c>
      <x:c r="O15" s="12" t="n">
        <x:v>23.39</x:v>
      </x:c>
      <x:c r="P15" s="11" t="n">
        <x:v>0.009495036685368996</x:v>
      </x:c>
      <x:c r="Q15" s="12" t="n">
        <x:v>23.1</x:v>
      </x:c>
      <x:c r="R15" s="11" t="n">
        <x:v>0.04619565217391308</x:v>
      </x:c>
    </x:row>
    <x:row r="16" ht="21" customHeight="1">
      <x:c r="A16" s="1" t="n">
        <x:v>2</x:v>
      </x:c>
      <x:c r="B16" s="1" t="n">
        <x:v>1</x:v>
      </x:c>
      <x:c r="C16" s="10" t="str">
        <x:f>"601628"</x:f>
        <x:v>601628</x:v>
      </x:c>
      <x:c r="D16" s="1" t="str">
        <x:v>中国人寿</x:v>
      </x:c>
      <x:c r="E16" s="11" t="n">
        <x:v>0.02588721284836568</x:v>
      </x:c>
      <x:c r="F16" s="11" t="n">
        <x:v>0.3173859400661899</x:v>
      </x:c>
      <x:c r="G16" s="11" t="n">
        <x:v>0.6567268470854445</x:v>
      </x:c>
      <x:c r="H16" s="13" t="n">
        <x:v>0.6308396342370788</x:v>
      </x:c>
      <x:c r="I16" s="12" t="n">
        <x:v>39.34</x:v>
      </x:c>
      <x:c r="J16" s="12" t="n">
        <x:v>39.6</x:v>
      </x:c>
      <x:c r="K16" s="11" t="n">
        <x:v>0.0066090493136756745</x:v>
      </x:c>
      <x:c r="L16" s="1" t="n">
        <x:v>0</x:v>
      </x:c>
      <x:c r="M16" s="12" t="n">
        <x:v>39.54</x:v>
      </x:c>
      <x:c r="N16" s="11" t="n">
        <x:v>0.005083884087442758</x:v>
      </x:c>
      <x:c r="O16" s="12" t="n">
        <x:v>39.6</x:v>
      </x:c>
      <x:c r="P16" s="11" t="n">
        <x:v>0.0066090493136756745</x:v>
      </x:c>
      <x:c r="Q16" s="12" t="n">
        <x:v>39.27</x:v>
      </x:c>
      <x:c r="R16" s="11" t="n">
        <x:v>0.02935779816513784</x:v>
      </x:c>
    </x:row>
    <x:row r="17" ht="21" customHeight="1">
      <x:c r="A17" s="1" t="n">
        <x:v>2</x:v>
      </x:c>
      <x:c r="B17" s="1" t="n">
        <x:v>2</x:v>
      </x:c>
      <x:c r="C17" s="10" t="str">
        <x:f>"300408"</x:f>
        <x:v>300408</x:v>
      </x:c>
      <x:c r="D17" s="1" t="str">
        <x:v>三环集团</x:v>
      </x:c>
      <x:c r="E17" s="11" t="n">
        <x:v>0.09430506796295808</x:v>
      </x:c>
      <x:c r="F17" s="11" t="n">
        <x:v>0.3091163266111223</x:v>
      </x:c>
      <x:c r="G17" s="11" t="n">
        <x:v>0.5965786054259197</x:v>
      </x:c>
      <x:c r="H17" s="13" t="n">
        <x:v>0.5022735374629616</x:v>
      </x:c>
      <x:c r="I17" s="12" t="n">
        <x:v>111.2</x:v>
      </x:c>
      <x:c r="J17" s="12" t="n">
        <x:v>115.32</x:v>
      </x:c>
      <x:c r="K17" s="11" t="n">
        <x:v>0.03705035971223003</x:v>
      </x:c>
      <x:c r="L17" s="1" t="n">
        <x:v>1</x:v>
      </x:c>
      <x:c r="M17" s="12" t="n">
        <x:v>114.58</x:v>
      </x:c>
      <x:c r="N17" s="11" t="n">
        <x:v>0.030395683453237288</x:v>
      </x:c>
      <x:c r="O17" s="12" t="n">
        <x:v>114.5</x:v>
      </x:c>
      <x:c r="P17" s="11" t="n">
        <x:v>0.029676258992805682</x:v>
      </x:c>
      <x:c r="Q17" s="12" t="n">
        <x:v>110.91</x:v>
      </x:c>
      <x:c r="R17" s="11" t="n">
        <x:v>0.028182071011402465</x:v>
      </x:c>
    </x:row>
    <x:row r="18" ht="21" customHeight="1">
      <x:c r="A18" s="1" t="n">
        <x:v>2</x:v>
      </x:c>
      <x:c r="B18" s="1" t="n">
        <x:v>3</x:v>
      </x:c>
      <x:c r="C18" s="10" t="str">
        <x:f>"600309"</x:f>
        <x:v>600309</x:v>
      </x:c>
      <x:c r="D18" s="1" t="str">
        <x:v>万华化学</x:v>
      </x:c>
      <x:c r="E18" s="11" t="n">
        <x:v>0.11084760549048567</x:v>
      </x:c>
      <x:c r="F18" s="11" t="n">
        <x:v>0.39578181296833076</x:v>
      </x:c>
      <x:c r="G18" s="11" t="n">
        <x:v>0.4933705815411836</x:v>
      </x:c>
      <x:c r="H18" s="13" t="n">
        <x:v>0.3825229760506979</x:v>
      </x:c>
      <x:c r="I18" s="12" t="n">
        <x:v>77.47</x:v>
      </x:c>
      <x:c r="J18" s="12" t="n">
        <x:v>78.88</x:v>
      </x:c>
      <x:c r="K18" s="11" t="n">
        <x:v>0.018200593778236795</x:v>
      </x:c>
      <x:c r="L18" s="1" t="n">
        <x:v>1</x:v>
      </x:c>
      <x:c r="M18" s="12" t="n">
        <x:v>78.76</x:v>
      </x:c>
      <x:c r="N18" s="11" t="n">
        <x:v>0.016651607073705943</x:v>
      </x:c>
      <x:c r="O18" s="12" t="n">
        <x:v>78.71</x:v>
      </x:c>
      <x:c r="P18" s="11" t="n">
        <x:v>0.01600619594681807</x:v>
      </x:c>
      <x:c r="Q18" s="12" t="n">
        <x:v>77.38</x:v>
      </x:c>
      <x:c r="R18" s="11" t="n">
        <x:v>0.029263101888800103</x:v>
      </x:c>
    </x:row>
    <x:row r="19" ht="21" customHeight="1">
      <x:c r="A19" s="1" t="n">
        <x:v>2</x:v>
      </x:c>
      <x:c r="B19" s="1" t="n">
        <x:v>4</x:v>
      </x:c>
      <x:c r="C19" s="10" t="str">
        <x:f>"301200"</x:f>
        <x:v>301200</x:v>
      </x:c>
      <x:c r="D19" s="1" t="str">
        <x:v>大族数控</x:v>
      </x:c>
      <x:c r="E19" s="11" t="n">
        <x:v>0.11122116128342406</x:v>
      </x:c>
      <x:c r="F19" s="11" t="n">
        <x:v>0.3347955954260941</x:v>
      </x:c>
      <x:c r="G19" s="11" t="n">
        <x:v>0.5539832432904819</x:v>
      </x:c>
      <x:c r="H19" s="13" t="n">
        <x:v>0.4427620820070578</x:v>
      </x:c>
      <x:c r="I19" s="12" t="n">
        <x:v>269.11</x:v>
      </x:c>
      <x:c r="J19" s="12" t="n">
        <x:v>275.6</x:v>
      </x:c>
      <x:c r="K19" s="11" t="n">
        <x:v>0.02411653227304833</x:v>
      </x:c>
      <x:c r="L19" s="1" t="n">
        <x:v>1</x:v>
      </x:c>
      <x:c r="M19" s="12" t="n">
        <x:v>275.13</x:v>
      </x:c>
      <x:c r="N19" s="11" t="n">
        <x:v>0.022370034558359064</x:v>
      </x:c>
      <x:c r="O19" s="12" t="n">
        <x:v>275.14</x:v>
      </x:c>
      <x:c r="P19" s="11" t="n">
        <x:v>0.02240719408420344</x:v>
      </x:c>
      <x:c r="Q19" s="12" t="n">
        <x:v>269.17</x:v>
      </x:c>
      <x:c r="R19" s="11" t="n">
        <x:v>0.032885648503453435</x:v>
      </x:c>
    </x:row>
    <x:row r="20" ht="21" customHeight="1">
      <x:c r="A20" s="1" t="n">
        <x:v>2</x:v>
      </x:c>
      <x:c r="B20" s="1" t="n">
        <x:v>5</x:v>
      </x:c>
      <x:c r="C20" s="10" t="str">
        <x:f>"600489"</x:f>
        <x:v>600489</x:v>
      </x:c>
      <x:c r="D20" s="1" t="str">
        <x:v>中金黄金</x:v>
      </x:c>
      <x:c r="E20" s="11" t="n">
        <x:v>0.11995635466208715</x:v>
      </x:c>
      <x:c r="F20" s="11" t="n">
        <x:v>0.27846183904080235</x:v>
      </x:c>
      <x:c r="G20" s="11" t="n">
        <x:v>0.6015818062971104</x:v>
      </x:c>
      <x:c r="H20" s="13" t="n">
        <x:v>0.4816254516350233</x:v>
      </x:c>
      <x:c r="I20" s="12" t="n">
        <x:v>25.72</x:v>
      </x:c>
      <x:c r="J20" s="12" t="n">
        <x:v>26.18</x:v>
      </x:c>
      <x:c r="K20" s="11" t="n">
        <x:v>0.017884914463452528</x:v>
      </x:c>
      <x:c r="L20" s="1" t="n">
        <x:v>1</x:v>
      </x:c>
      <x:c r="M20" s="12" t="n">
        <x:v>26.1</x:v>
      </x:c>
      <x:c r="N20" s="11" t="n">
        <x:v>0.014774494556765161</x:v>
      </x:c>
      <x:c r="O20" s="12" t="n">
        <x:v>25.91</x:v>
      </x:c>
      <x:c r="P20" s="11" t="n">
        <x:v>0.0073872472783826915</x:v>
      </x:c>
      <x:c r="Q20" s="12" t="n">
        <x:v>25.69</x:v>
      </x:c>
      <x:c r="R20" s="11" t="n">
        <x:v>0.040080971659919085</x:v>
      </x:c>
    </x:row>
    <x:row r="21" ht="21" customHeight="1">
      <x:c r="A21" s="1" t="n">
        <x:v>2</x:v>
      </x:c>
      <x:c r="B21" s="1" t="n">
        <x:v>6</x:v>
      </x:c>
      <x:c r="C21" s="10" t="str">
        <x:f>"688506"</x:f>
        <x:v>688506</x:v>
      </x:c>
      <x:c r="D21" s="1" t="str">
        <x:v>百利天恒</x:v>
      </x:c>
      <x:c r="E21" s="11" t="n">
        <x:v>0.12271317400356646</x:v>
      </x:c>
      <x:c r="F21" s="11" t="n">
        <x:v>0.2744820471830909</x:v>
      </x:c>
      <x:c r="G21" s="11" t="n">
        <x:v>0.6028047788133426</x:v>
      </x:c>
      <x:c r="H21" s="13" t="n">
        <x:v>0.48009160480977614</x:v>
      </x:c>
      <x:c r="I21" s="12" t="n">
        <x:v>265.92</x:v>
      </x:c>
      <x:c r="J21" s="12" t="n">
        <x:v>267.86</x:v>
      </x:c>
      <x:c r="K21" s="11" t="n">
        <x:v>0.0072954271961491735</x:v>
      </x:c>
      <x:c r="L21" s="1" t="n">
        <x:v>0</x:v>
      </x:c>
      <x:c r="M21" s="12" t="n">
        <x:v>265.84</x:v>
      </x:c>
      <x:c r="N21" s="11" t="n">
        <x:v>-0.00030084235860428077</x:v>
      </x:c>
      <x:c r="O21" s="12" t="n">
        <x:v>265.84</x:v>
      </x:c>
      <x:c r="P21" s="11" t="n">
        <x:v>-0.00030084235860428077</x:v>
      </x:c>
      <x:c r="Q21" s="12" t="n">
        <x:v>265.3</x:v>
      </x:c>
      <x:c r="R21" s="11" t="n">
        <x:v>0.046424486254092345</x:v>
      </x:c>
    </x:row>
    <x:row r="22" ht="21" customHeight="1">
      <x:c r="A22" s="1" t="n">
        <x:v>2</x:v>
      </x:c>
      <x:c r="B22" s="1" t="n">
        <x:v>7</x:v>
      </x:c>
      <x:c r="C22" s="10" t="str">
        <x:f>"601601"</x:f>
        <x:v>601601</x:v>
      </x:c>
      <x:c r="D22" s="1" t="str">
        <x:v>中国太保</x:v>
      </x:c>
      <x:c r="E22" s="11" t="n">
        <x:v>0.1231150124030659</x:v>
      </x:c>
      <x:c r="F22" s="11" t="n">
        <x:v>0.35251269144959135</x:v>
      </x:c>
      <x:c r="G22" s="11" t="n">
        <x:v>0.5243722961473427</x:v>
      </x:c>
      <x:c r="H22" s="13" t="n">
        <x:v>0.4012572837442768</x:v>
      </x:c>
      <x:c r="I22" s="12" t="n">
        <x:v>34.08</x:v>
      </x:c>
      <x:c r="J22" s="12" t="n">
        <x:v>34.32</x:v>
      </x:c>
      <x:c r="K22" s="11" t="n">
        <x:v>0.007042253521126751</x:v>
      </x:c>
      <x:c r="L22" s="1" t="n">
        <x:v>0</x:v>
      </x:c>
      <x:c r="M22" s="12" t="n">
        <x:v>34.18</x:v>
      </x:c>
      <x:c r="N22" s="11" t="n">
        <x:v>0.002934272300469498</x:v>
      </x:c>
      <x:c r="O22" s="12" t="n">
        <x:v>34.2</x:v>
      </x:c>
      <x:c r="P22" s="11" t="n">
        <x:v>0.0035211267605634866</x:v>
      </x:c>
      <x:c r="Q22" s="12" t="n">
        <x:v>34.04</x:v>
      </x:c>
      <x:c r="R22" s="11" t="n">
        <x:v>0.03685653365823938</x:v>
      </x:c>
    </x:row>
    <x:row r="23" ht="21" customHeight="1">
      <x:c r="A23" s="1" t="n">
        <x:v>2</x:v>
      </x:c>
      <x:c r="B23" s="1" t="n">
        <x:v>8</x:v>
      </x:c>
      <x:c r="C23" s="10" t="str">
        <x:f>"000426"</x:f>
        <x:v>000426</x:v>
      </x:c>
      <x:c r="D23" s="1" t="str">
        <x:v>兴业银锡</x:v>
      </x:c>
      <x:c r="E23" s="11" t="n">
        <x:v>0.13162622324905743</x:v>
      </x:c>
      <x:c r="F23" s="11" t="n">
        <x:v>0.2981345570221993</x:v>
      </x:c>
      <x:c r="G23" s="11" t="n">
        <x:v>0.5702392197287433</x:v>
      </x:c>
      <x:c r="H23" s="13" t="n">
        <x:v>0.4386129964796858</x:v>
      </x:c>
      <x:c r="I23" s="12" t="n">
        <x:v>39.28</x:v>
      </x:c>
      <x:c r="J23" s="12" t="n">
        <x:v>40.06</x:v>
      </x:c>
      <x:c r="K23" s="11" t="n">
        <x:v>0.01985743380855398</x:v>
      </x:c>
      <x:c r="L23" s="1" t="n">
        <x:v>1</x:v>
      </x:c>
      <x:c r="M23" s="12" t="n">
        <x:v>40.05</x:v>
      </x:c>
      <x:c r="N23" s="11" t="n">
        <x:v>0.019602851323828885</x:v>
      </x:c>
      <x:c r="O23" s="12" t="n">
        <x:v>39.87</x:v>
      </x:c>
      <x:c r="P23" s="11" t="n">
        <x:v>0.015020366598777812</x:v>
      </x:c>
      <x:c r="Q23" s="12" t="n">
        <x:v>39.27</x:v>
      </x:c>
      <x:c r="R23" s="11" t="n">
        <x:v>0.032877432930036754</x:v>
      </x:c>
    </x:row>
    <x:row r="24" ht="21" customHeight="1">
      <x:c r="A24" s="1" t="n">
        <x:v>2</x:v>
      </x:c>
      <x:c r="B24" s="1" t="n">
        <x:v>9</x:v>
      </x:c>
      <x:c r="C24" s="10" t="str">
        <x:f>"603699"</x:f>
        <x:v>603699</x:v>
      </x:c>
      <x:c r="D24" s="1" t="str">
        <x:v>纽威股份</x:v>
      </x:c>
      <x:c r="E24" s="11" t="n">
        <x:v>0.1372400468223731</x:v>
      </x:c>
      <x:c r="F24" s="11" t="n">
        <x:v>0.35057750634026164</x:v>
      </x:c>
      <x:c r="G24" s="11" t="n">
        <x:v>0.5121824468373652</x:v>
      </x:c>
      <x:c r="H24" s="13" t="n">
        <x:v>0.3749424000149921</x:v>
      </x:c>
      <x:c r="I24" s="12" t="n">
        <x:v>46.93</x:v>
      </x:c>
      <x:c r="J24" s="12" t="n">
        <x:v>47.49</x:v>
      </x:c>
      <x:c r="K24" s="11" t="n">
        <x:v>0.01193266567227802</x:v>
      </x:c>
      <x:c r="L24" s="1" t="n">
        <x:v>1</x:v>
      </x:c>
      <x:c r="M24" s="12" t="n">
        <x:v>47.41</x:v>
      </x:c>
      <x:c r="N24" s="11" t="n">
        <x:v>0.010227999147666589</x:v>
      </x:c>
      <x:c r="O24" s="12" t="n">
        <x:v>47.46</x:v>
      </x:c>
      <x:c r="P24" s="11" t="n">
        <x:v>0.01129341572554865</x:v>
      </x:c>
      <x:c r="Q24" s="12" t="n">
        <x:v>46.9</x:v>
      </x:c>
      <x:c r="R24" s="11" t="n">
        <x:v>0.030542737859811098</x:v>
      </x:c>
    </x:row>
    <x:row r="25" ht="21" customHeight="1">
      <x:c r="A25" s="1" t="n">
        <x:v>2</x:v>
      </x:c>
      <x:c r="B25" s="1" t="n">
        <x:v>10</x:v>
      </x:c>
      <x:c r="C25" s="10" t="str">
        <x:f>"300469"</x:f>
        <x:v>300469</x:v>
      </x:c>
      <x:c r="D25" s="1" t="str">
        <x:v>信息发展</x:v>
      </x:c>
      <x:c r="E25" s="11" t="n">
        <x:v>0.1403825051753079</x:v>
      </x:c>
      <x:c r="F25" s="11" t="n">
        <x:v>0.32527746205619873</x:v>
      </x:c>
      <x:c r="G25" s="11" t="n">
        <x:v>0.5343400327684934</x:v>
      </x:c>
      <x:c r="H25" s="13" t="n">
        <x:v>0.3939575275931855</x:v>
      </x:c>
      <x:c r="I25" s="12" t="n">
        <x:v>54.68</x:v>
      </x:c>
      <x:c r="J25" s="12" t="n">
        <x:v>55.95</x:v>
      </x:c>
      <x:c r="K25" s="11" t="n">
        <x:v>0.023226042428676097</x:v>
      </x:c>
      <x:c r="L25" s="1" t="n">
        <x:v>1</x:v>
      </x:c>
      <x:c r="M25" s="12" t="n">
        <x:v>55.83</x:v>
      </x:c>
      <x:c r="N25" s="11" t="n">
        <x:v>0.02103145574250176</x:v>
      </x:c>
      <x:c r="O25" s="12" t="n">
        <x:v>55.84</x:v>
      </x:c>
      <x:c r="P25" s="11" t="n">
        <x:v>0.02121433796634964</x:v>
      </x:c>
      <x:c r="Q25" s="12" t="n">
        <x:v>54.78</x:v>
      </x:c>
      <x:c r="R25" s="11" t="n">
        <x:v>0.033000188572506195</x:v>
      </x:c>
    </x:row>
    <x:row r="26" ht="21" customHeight="1">
      <x:c r="A26" s="1" t="n">
        <x:v>3</x:v>
      </x:c>
      <x:c r="B26" s="1" t="n">
        <x:v>1</x:v>
      </x:c>
      <x:c r="C26" s="10" t="str">
        <x:f>"000596"</x:f>
        <x:v>000596</x:v>
      </x:c>
      <x:c r="D26" s="1" t="str">
        <x:v>古井贡酒</x:v>
      </x:c>
      <x:c r="E26" s="11" t="n">
        <x:v>0.1382251057813597</x:v>
      </x:c>
      <x:c r="F26" s="11" t="n">
        <x:v>0.26923660627413204</x:v>
      </x:c>
      <x:c r="G26" s="11" t="n">
        <x:v>0.5925382879445084</x:v>
      </x:c>
      <x:c r="H26" s="13" t="n">
        <x:v>0.45431318216314864</x:v>
      </x:c>
      <x:c r="I26" s="12" t="n">
        <x:v>100.8</x:v>
      </x:c>
      <x:c r="J26" s="12" t="n">
        <x:v>100.8</x:v>
      </x:c>
      <x:c r="K26" s="11" t="n">
        <x:v>0</x:v>
      </x:c>
      <x:c r="L26" s="1" t="n">
        <x:v>0</x:v>
      </x:c>
      <x:c r="M26" s="12" t="n">
        <x:v>100.8</x:v>
      </x:c>
      <x:c r="N26" s="11" t="n">
        <x:v>0</x:v>
      </x:c>
      <x:c r="O26" s="12" t="n">
        <x:v>99.79</x:v>
      </x:c>
      <x:c r="P26" s="11" t="n">
        <x:v>-0.010019841269841234</x:v>
      </x:c>
      <x:c r="Q26" s="12" t="n">
        <x:v>101.17</x:v>
      </x:c>
      <x:c r="R26" s="11" t="n">
        <x:v>0.04557668458040509</x:v>
      </x:c>
    </x:row>
    <x:row r="27" ht="21" customHeight="1">
      <x:c r="A27" s="1" t="n">
        <x:v>3</x:v>
      </x:c>
      <x:c r="B27" s="1" t="n">
        <x:v>2</x:v>
      </x:c>
      <x:c r="C27" s="10" t="str">
        <x:f>"688617"</x:f>
        <x:v>688617</x:v>
      </x:c>
      <x:c r="D27" s="1" t="str">
        <x:v>惠泰医疗</x:v>
      </x:c>
      <x:c r="E27" s="11" t="n">
        <x:v>0.14634625112088012</x:v>
      </x:c>
      <x:c r="F27" s="11" t="n">
        <x:v>0.3599295205257263</x:v>
      </x:c>
      <x:c r="G27" s="11" t="n">
        <x:v>0.4937242283533936</x:v>
      </x:c>
      <x:c r="H27" s="13" t="n">
        <x:v>0.34737797723251346</x:v>
      </x:c>
      <x:c r="I27" s="12" t="n">
        <x:v>251.42</x:v>
      </x:c>
      <x:c r="J27" s="12" t="n">
        <x:v>251.88</x:v>
      </x:c>
      <x:c r="K27" s="11" t="n">
        <x:v>0.0018296078275397143</x:v>
      </x:c>
      <x:c r="L27" s="1" t="n">
        <x:v>0</x:v>
      </x:c>
      <x:c r="M27" s="12" t="n">
        <x:v>250.86</x:v>
      </x:c>
      <x:c r="N27" s="11" t="n">
        <x:v>-0.0022273486596132708</x:v>
      </x:c>
      <x:c r="O27" s="12" t="n">
        <x:v>251.01</x:v>
      </x:c>
      <x:c r="P27" s="11" t="n">
        <x:v>-0.0016307374115026585</x:v>
      </x:c>
      <x:c r="Q27" s="12" t="n">
        <x:v>251.41</x:v>
      </x:c>
      <x:c r="R27" s="11" t="n">
        <x:v>0.03019996721848872</x:v>
      </x:c>
    </x:row>
    <x:row r="28" ht="21" customHeight="1">
      <x:c r="A28" s="1" t="n">
        <x:v>3</x:v>
      </x:c>
      <x:c r="B28" s="1" t="n">
        <x:v>3</x:v>
      </x:c>
      <x:c r="C28" s="10" t="str">
        <x:f>"600809"</x:f>
        <x:v>600809</x:v>
      </x:c>
      <x:c r="D28" s="1" t="str">
        <x:v>山西汾酒</x:v>
      </x:c>
      <x:c r="E28" s="11" t="n">
        <x:v>0.1465712880985869</x:v>
      </x:c>
      <x:c r="F28" s="11" t="n">
        <x:v>0.3167367068439221</x:v>
      </x:c>
      <x:c r="G28" s="11" t="n">
        <x:v>0.536692005057491</x:v>
      </x:c>
      <x:c r="H28" s="13" t="n">
        <x:v>0.39012071695890416</x:v>
      </x:c>
      <x:c r="I28" s="12" t="n">
        <x:v>122.36</x:v>
      </x:c>
      <x:c r="J28" s="12" t="n">
        <x:v>123.79</x:v>
      </x:c>
      <x:c r="K28" s="11" t="n">
        <x:v>0.011686825760052422</x:v>
      </x:c>
      <x:c r="L28" s="1" t="n">
        <x:v>1</x:v>
      </x:c>
      <x:c r="M28" s="12" t="n">
        <x:v>123.55</x:v>
      </x:c>
      <x:c r="N28" s="11" t="n">
        <x:v>0.0097254004576659</x:v>
      </x:c>
      <x:c r="O28" s="12" t="n">
        <x:v>123.05</x:v>
      </x:c>
      <x:c r="P28" s="11" t="n">
        <x:v>0.005639097744360777</x:v>
      </x:c>
      <x:c r="Q28" s="12" t="n">
        <x:v>122.56</x:v>
      </x:c>
      <x:c r="R28" s="11" t="n">
        <x:v>0.04787961696306442</x:v>
      </x:c>
    </x:row>
    <x:row r="29" ht="21" customHeight="1">
      <x:c r="A29" s="1" t="n">
        <x:v>3</x:v>
      </x:c>
      <x:c r="B29" s="1" t="n">
        <x:v>4</x:v>
      </x:c>
      <x:c r="C29" s="10" t="str">
        <x:f>"603816"</x:f>
        <x:v>603816</x:v>
      </x:c>
      <x:c r="D29" s="1" t="str">
        <x:v>顾家家居</x:v>
      </x:c>
      <x:c r="E29" s="11" t="n">
        <x:v>0.14825133171107804</x:v>
      </x:c>
      <x:c r="F29" s="11" t="n">
        <x:v>0.30869521134042055</x:v>
      </x:c>
      <x:c r="G29" s="11" t="n">
        <x:v>0.5430534569485014</x:v>
      </x:c>
      <x:c r="H29" s="13" t="n">
        <x:v>0.3948021252374233</x:v>
      </x:c>
      <x:c r="I29" s="12" t="n">
        <x:v>23.7</x:v>
      </x:c>
      <x:c r="J29" s="12" t="n">
        <x:v>23.95</x:v>
      </x:c>
      <x:c r="K29" s="11" t="n">
        <x:v>0.010548523206751037</x:v>
      </x:c>
      <x:c r="L29" s="1" t="n">
        <x:v>1</x:v>
      </x:c>
      <x:c r="M29" s="12" t="n">
        <x:v>23.75</x:v>
      </x:c>
      <x:c r="N29" s="11" t="n">
        <x:v>0.0021097046413502962</x:v>
      </x:c>
      <x:c r="O29" s="12" t="n">
        <x:v>23.81</x:v>
      </x:c>
      <x:c r="P29" s="11" t="n">
        <x:v>0.004641350210970341</x:v>
      </x:c>
      <x:c r="Q29" s="12" t="n">
        <x:v>23.74</x:v>
      </x:c>
      <x:c r="R29" s="11" t="n">
        <x:v>0.04122807017543839</x:v>
      </x:c>
    </x:row>
    <x:row r="30" ht="21" customHeight="1">
      <x:c r="A30" s="1" t="n">
        <x:v>3</x:v>
      </x:c>
      <x:c r="B30" s="1" t="n">
        <x:v>5</x:v>
      </x:c>
      <x:c r="C30" s="10" t="str">
        <x:f>"600153"</x:f>
        <x:v>600153</x:v>
      </x:c>
      <x:c r="D30" s="1" t="str">
        <x:v>建发股份</x:v>
      </x:c>
      <x:c r="E30" s="11" t="n">
        <x:v>0.1483992574687063</x:v>
      </x:c>
      <x:c r="F30" s="11" t="n">
        <x:v>0.34827542793351807</x:v>
      </x:c>
      <x:c r="G30" s="11" t="n">
        <x:v>0.5033253145977756</x:v>
      </x:c>
      <x:c r="H30" s="13" t="n">
        <x:v>0.35492605712906933</x:v>
      </x:c>
      <x:c r="I30" s="12" t="n">
        <x:v>8.46</x:v>
      </x:c>
      <x:c r="J30" s="12" t="n">
        <x:v>8.53</x:v>
      </x:c>
      <x:c r="K30" s="11" t="n">
        <x:v>0.008274231678486732</x:v>
      </x:c>
      <x:c r="L30" s="1" t="n">
        <x:v>0</x:v>
      </x:c>
      <x:c r="M30" s="12" t="n">
        <x:v>8.5</x:v>
      </x:c>
      <x:c r="N30" s="11" t="n">
        <x:v>0.004728132387706863</x:v>
      </x:c>
      <x:c r="O30" s="12" t="n">
        <x:v>8.51</x:v>
      </x:c>
      <x:c r="P30" s="11" t="n">
        <x:v>0.005910165484633412</x:v>
      </x:c>
      <x:c r="Q30" s="12" t="n">
        <x:v>8.47</x:v>
      </x:c>
      <x:c r="R30" s="11" t="n">
        <x:v>0.03166869671132755</x:v>
      </x:c>
    </x:row>
    <x:row r="31" ht="21" customHeight="1">
      <x:c r="A31" s="1" t="n">
        <x:v>3</x:v>
      </x:c>
      <x:c r="B31" s="1" t="n">
        <x:v>6</x:v>
      </x:c>
      <x:c r="C31" s="10" t="str">
        <x:f>"000568"</x:f>
        <x:v>000568</x:v>
      </x:c>
      <x:c r="D31" s="1" t="str">
        <x:v>泸州老窖</x:v>
      </x:c>
      <x:c r="E31" s="11" t="n">
        <x:v>0.14896355940991599</x:v>
      </x:c>
      <x:c r="F31" s="11" t="n">
        <x:v>0.29295716974262936</x:v>
      </x:c>
      <x:c r="G31" s="11" t="n">
        <x:v>0.5580792708474547</x:v>
      </x:c>
      <x:c r="H31" s="13" t="n">
        <x:v>0.40911571143753866</x:v>
      </x:c>
      <x:c r="I31" s="12" t="n">
        <x:v>79.72</x:v>
      </x:c>
      <x:c r="J31" s="12" t="n">
        <x:v>80.3</x:v>
      </x:c>
      <x:c r="K31" s="11" t="n">
        <x:v>0.007275464124435471</x:v>
      </x:c>
      <x:c r="L31" s="1" t="n">
        <x:v>0</x:v>
      </x:c>
      <x:c r="M31" s="12" t="n">
        <x:v>79.66</x:v>
      </x:c>
      <x:c r="N31" s="11" t="n">
        <x:v>-0.0007526342197692326</x:v>
      </x:c>
      <x:c r="O31" s="12" t="n">
        <x:v>79.89</x:v>
      </x:c>
      <x:c r="P31" s="11" t="n">
        <x:v>0.0021324636226793814</x:v>
      </x:c>
      <x:c r="Q31" s="12" t="n">
        <x:v>79.92</x:v>
      </x:c>
      <x:c r="R31" s="11" t="n">
        <x:v>0.05157894736842117</x:v>
      </x:c>
    </x:row>
    <x:row r="32" ht="21" customHeight="1">
      <x:c r="A32" s="1" t="n">
        <x:v>3</x:v>
      </x:c>
      <x:c r="B32" s="1" t="n">
        <x:v>7</x:v>
      </x:c>
      <x:c r="C32" s="10" t="str">
        <x:f>"603838"</x:f>
        <x:v>603838</x:v>
      </x:c>
      <x:c r="D32" s="1" t="str">
        <x:v>四通股份</x:v>
      </x:c>
      <x:c r="E32" s="11" t="n">
        <x:v>0.14932498682965287</x:v>
      </x:c>
      <x:c r="F32" s="11" t="n">
        <x:v>0.34164645335193955</x:v>
      </x:c>
      <x:c r="G32" s="11" t="n">
        <x:v>0.5090285598184076</x:v>
      </x:c>
      <x:c r="H32" s="13" t="n">
        <x:v>0.35970357298875466</x:v>
      </x:c>
      <x:c r="I32" s="12" t="n">
        <x:v>11.73</x:v>
      </x:c>
      <x:c r="J32" s="12" t="n">
        <x:v>12.35</x:v>
      </x:c>
      <x:c r="K32" s="11" t="n">
        <x:v>0.052855924978687074</x:v>
      </x:c>
      <x:c r="L32" s="1" t="n">
        <x:v>1</x:v>
      </x:c>
      <x:c r="M32" s="12" t="n">
        <x:v>12.24</x:v>
      </x:c>
      <x:c r="N32" s="11" t="n">
        <x:v>0.04347826086956519</x:v>
      </x:c>
      <x:c r="O32" s="12" t="n">
        <x:v>12.35</x:v>
      </x:c>
      <x:c r="P32" s="11" t="n">
        <x:v>0.052855924978687074</x:v>
      </x:c>
      <x:c r="Q32" s="12" t="n">
        <x:v>11.83</x:v>
      </x:c>
      <x:c r="R32" s="11" t="n">
        <x:v>0.041373239436619746</x:v>
      </x:c>
    </x:row>
    <x:row r="33" ht="21" customHeight="1">
      <x:c r="A33" s="1" t="n">
        <x:v>3</x:v>
      </x:c>
      <x:c r="B33" s="1" t="n">
        <x:v>8</x:v>
      </x:c>
      <x:c r="C33" s="10" t="str">
        <x:f>"001328"</x:f>
        <x:v>001328</x:v>
      </x:c>
      <x:c r="D33" s="1" t="str">
        <x:v>登康口腔</x:v>
      </x:c>
      <x:c r="E33" s="11" t="n">
        <x:v>0.15007437534697768</x:v>
      </x:c>
      <x:c r="F33" s="11" t="n">
        <x:v>0.3179181145516371</x:v>
      </x:c>
      <x:c r="G33" s="11" t="n">
        <x:v>0.5320075101013853</x:v>
      </x:c>
      <x:c r="H33" s="13" t="n">
        <x:v>0.3819331347544076</x:v>
      </x:c>
      <x:c r="I33" s="12" t="n">
        <x:v>30.28</x:v>
      </x:c>
      <x:c r="J33" s="12" t="n">
        <x:v>30.52</x:v>
      </x:c>
      <x:c r="K33" s="11" t="n">
        <x:v>0.00792602377807139</x:v>
      </x:c>
      <x:c r="L33" s="1" t="n">
        <x:v>0</x:v>
      </x:c>
      <x:c r="M33" s="12" t="n">
        <x:v>30.38</x:v>
      </x:c>
      <x:c r="N33" s="11" t="n">
        <x:v>0.0033025099075296716</x:v>
      </x:c>
      <x:c r="O33" s="12" t="n">
        <x:v>30.13</x:v>
      </x:c>
      <x:c r="P33" s="11" t="n">
        <x:v>-0.004953764861294618</x:v>
      </x:c>
      <x:c r="Q33" s="12" t="n">
        <x:v>30.31</x:v>
      </x:c>
      <x:c r="R33" s="11" t="n">
        <x:v>0.03200544773578473</x:v>
      </x:c>
    </x:row>
    <x:row r="34" ht="21" customHeight="1">
      <x:c r="A34" s="1" t="n">
        <x:v>3</x:v>
      </x:c>
      <x:c r="B34" s="1" t="n">
        <x:v>9</x:v>
      </x:c>
      <x:c r="C34" s="10" t="str">
        <x:f>"603057"</x:f>
        <x:v>603057</x:v>
      </x:c>
      <x:c r="D34" s="1" t="str">
        <x:v>紫燕食品</x:v>
      </x:c>
      <x:c r="E34" s="11" t="n">
        <x:v>0.15397655520663403</x:v>
      </x:c>
      <x:c r="F34" s="11" t="n">
        <x:v>0.3286120117910301</x:v>
      </x:c>
      <x:c r="G34" s="11" t="n">
        <x:v>0.5174114330023358</x:v>
      </x:c>
      <x:c r="H34" s="13" t="n">
        <x:v>0.3634348777957018</x:v>
      </x:c>
      <x:c r="I34" s="12" t="n">
        <x:v>20.52</x:v>
      </x:c>
      <x:c r="J34" s="12" t="n">
        <x:v>20.76</x:v>
      </x:c>
      <x:c r="K34" s="11" t="n">
        <x:v>0.011695906432748648</x:v>
      </x:c>
      <x:c r="L34" s="1" t="n">
        <x:v>1</x:v>
      </x:c>
      <x:c r="M34" s="12" t="n">
        <x:v>20.72</x:v>
      </x:c>
      <x:c r="N34" s="11" t="n">
        <x:v>0.00974658869395717</x:v>
      </x:c>
      <x:c r="O34" s="12" t="n">
        <x:v>20.56</x:v>
      </x:c>
      <x:c r="P34" s="11" t="n">
        <x:v>0.0019493177387914784</x:v>
      </x:c>
      <x:c r="Q34" s="12" t="n">
        <x:v>20.69</x:v>
      </x:c>
      <x:c r="R34" s="11" t="n">
        <x:v>0.046006066734074924</x:v>
      </x:c>
    </x:row>
    <x:row r="35" ht="21" customHeight="1">
      <x:c r="A35" s="1" t="n">
        <x:v>3</x:v>
      </x:c>
      <x:c r="B35" s="1" t="n">
        <x:v>10</x:v>
      </x:c>
      <x:c r="C35" s="10" t="str">
        <x:f>"000039"</x:f>
        <x:v>000039</x:v>
      </x:c>
      <x:c r="D35" s="1" t="str">
        <x:v>中集集团</x:v>
      </x:c>
      <x:c r="E35" s="11" t="n">
        <x:v>0.16215536640053452</x:v>
      </x:c>
      <x:c r="F35" s="11" t="n">
        <x:v>0.2394690972999618</x:v>
      </x:c>
      <x:c r="G35" s="11" t="n">
        <x:v>0.5983755362995038</x:v>
      </x:c>
      <x:c r="H35" s="13" t="n">
        <x:v>0.4362201698989693</x:v>
      </x:c>
      <x:c r="I35" s="12" t="n">
        <x:v>9.38</x:v>
      </x:c>
      <x:c r="J35" s="12" t="n">
        <x:v>9.42</x:v>
      </x:c>
      <x:c r="K35" s="11" t="n">
        <x:v>0.004264392324093702</x:v>
      </x:c>
      <x:c r="L35" s="1" t="n">
        <x:v>0</x:v>
      </x:c>
      <x:c r="M35" s="12" t="n">
        <x:v>9.38</x:v>
      </x:c>
      <x:c r="N35" s="11" t="n">
        <x:v>0</x:v>
      </x:c>
      <x:c r="O35" s="12" t="n">
        <x:v>9.39</x:v>
      </x:c>
      <x:c r="P35" s="11" t="n">
        <x:v>0.0010660980810235365</x:v>
      </x:c>
      <x:c r="Q35" s="12" t="n">
        <x:v>9.39</x:v>
      </x:c>
      <x:c r="R35" s="11" t="n">
        <x:v>0.0598194130925509</x:v>
      </x:c>
    </x:row>
    <x:row r="36" ht="21" customHeight="1">
      <x:c r="A36" s="1" t="n">
        <x:v>4</x:v>
      </x:c>
      <x:c r="B36" s="1" t="n">
        <x:v>1</x:v>
      </x:c>
      <x:c r="C36" s="10" t="str">
        <x:f>"601138"</x:f>
        <x:v>601138</x:v>
      </x:c>
      <x:c r="D36" s="1" t="str">
        <x:v>工业富联</x:v>
      </x:c>
      <x:c r="E36" s="11" t="n">
        <x:v>0.007622074285712038</x:v>
      </x:c>
      <x:c r="F36" s="11" t="n">
        <x:v>0.17887928059089167</x:v>
      </x:c>
      <x:c r="G36" s="11" t="n">
        <x:v>0.8134986451233963</x:v>
      </x:c>
      <x:c r="H36" s="13" t="n">
        <x:v>0.8058765708376843</x:v>
      </x:c>
      <x:c r="I36" s="12" t="n">
        <x:v>66.59</x:v>
      </x:c>
      <x:c r="J36" s="12" t="n">
        <x:v>66.7</x:v>
      </x:c>
      <x:c r="K36" s="11" t="n">
        <x:v>0.0016518996846373035</x:v>
      </x:c>
      <x:c r="L36" s="1" t="n">
        <x:v>0</x:v>
      </x:c>
      <x:c r="M36" s="12" t="n">
        <x:v>66.58</x:v>
      </x:c>
      <x:c r="N36" s="11" t="n">
        <x:v>-0.00015017269860351234</x:v>
      </x:c>
      <x:c r="O36" s="12" t="n">
        <x:v>66.61</x:v>
      </x:c>
      <x:c r="P36" s="11" t="n">
        <x:v>0.00030034539720680264</x:v>
      </x:c>
      <x:c r="Q36" s="12" t="n">
        <x:v>66.57</x:v>
      </x:c>
      <x:c r="R36" s="11" t="n">
        <x:v>0.04521902967498814</x:v>
      </x:c>
    </x:row>
    <x:row r="37" ht="21" customHeight="1">
      <x:c r="A37" s="1" t="n">
        <x:v>4</x:v>
      </x:c>
      <x:c r="B37" s="1" t="n">
        <x:v>2</x:v>
      </x:c>
      <x:c r="C37" s="10" t="str">
        <x:f>"002371"</x:f>
        <x:v>002371</x:v>
      </x:c>
      <x:c r="D37" s="1" t="str">
        <x:v>北方华创</x:v>
      </x:c>
      <x:c r="E37" s="11" t="n">
        <x:v>0.06052462566207141</x:v>
      </x:c>
      <x:c r="F37" s="11" t="n">
        <x:v>0.3329700785083934</x:v>
      </x:c>
      <x:c r="G37" s="11" t="n">
        <x:v>0.6065052958295352</x:v>
      </x:c>
      <x:c r="H37" s="13" t="n">
        <x:v>0.5459806701674638</x:v>
      </x:c>
      <x:c r="I37" s="12" t="n">
        <x:v>659.58</x:v>
      </x:c>
      <x:c r="J37" s="12" t="n">
        <x:v>661.61</x:v>
      </x:c>
      <x:c r="K37" s="11" t="n">
        <x:v>0.003077716122380947</x:v>
      </x:c>
      <x:c r="L37" s="1" t="n">
        <x:v>0</x:v>
      </x:c>
      <x:c r="M37" s="12" t="n">
        <x:v>660.6</x:v>
      </x:c>
      <x:c r="N37" s="11" t="n">
        <x:v>0.0015464386427725962</x:v>
      </x:c>
      <x:c r="O37" s="12" t="n">
        <x:v>660.1</x:v>
      </x:c>
      <x:c r="P37" s="11" t="n">
        <x:v>0.0007883804845507658</x:v>
      </x:c>
      <x:c r="Q37" s="12" t="n">
        <x:v>660.65</x:v>
      </x:c>
      <x:c r="R37" s="11" t="n">
        <x:v>0.035225723553285126</x:v>
      </x:c>
    </x:row>
    <x:row r="38" ht="21" customHeight="1">
      <x:c r="A38" s="1" t="n">
        <x:v>4</x:v>
      </x:c>
      <x:c r="B38" s="1" t="n">
        <x:v>3</x:v>
      </x:c>
      <x:c r="C38" s="10" t="str">
        <x:f>"603986"</x:f>
        <x:v>603986</x:v>
      </x:c>
      <x:c r="D38" s="1" t="str">
        <x:v>兆易创新</x:v>
      </x:c>
      <x:c r="E38" s="11" t="n">
        <x:v>0.11497819859475156</x:v>
      </x:c>
      <x:c r="F38" s="11" t="n">
        <x:v>0.293978163935269</x:v>
      </x:c>
      <x:c r="G38" s="11" t="n">
        <x:v>0.5910436374699795</x:v>
      </x:c>
      <x:c r="H38" s="13" t="n">
        <x:v>0.4760654388752279</x:v>
      </x:c>
      <x:c r="I38" s="12" t="n">
        <x:v>384.68</x:v>
      </x:c>
      <x:c r="J38" s="12" t="n">
        <x:v>393.15</x:v>
      </x:c>
      <x:c r="K38" s="11" t="n">
        <x:v>0.022018300925444434</x:v>
      </x:c>
      <x:c r="L38" s="1" t="n">
        <x:v>1</x:v>
      </x:c>
      <x:c r="M38" s="12" t="n">
        <x:v>392.66</x:v>
      </x:c>
      <x:c r="N38" s="11" t="n">
        <x:v>0.020744514921493318</x:v>
      </x:c>
      <x:c r="O38" s="12" t="n">
        <x:v>393.01</x:v>
      </x:c>
      <x:c r="P38" s="11" t="n">
        <x:v>0.02165436206717275</x:v>
      </x:c>
      <x:c r="Q38" s="12" t="n">
        <x:v>385.44</x:v>
      </x:c>
      <x:c r="R38" s="11" t="n">
        <x:v>0.03646337528234911</x:v>
      </x:c>
    </x:row>
    <x:row r="39" ht="21" customHeight="1">
      <x:c r="A39" s="1" t="n">
        <x:v>4</x:v>
      </x:c>
      <x:c r="B39" s="1" t="n">
        <x:v>4</x:v>
      </x:c>
      <x:c r="C39" s="10" t="str">
        <x:f>"688008"</x:f>
        <x:v>688008</x:v>
      </x:c>
      <x:c r="D39" s="1" t="str">
        <x:v>澜起科技</x:v>
      </x:c>
      <x:c r="E39" s="11" t="n">
        <x:v>0.1185024851384822</x:v>
      </x:c>
      <x:c r="F39" s="11" t="n">
        <x:v>0.23019127719844273</x:v>
      </x:c>
      <x:c r="G39" s="11" t="n">
        <x:v>0.651306237663075</x:v>
      </x:c>
      <x:c r="H39" s="13" t="n">
        <x:v>0.5328037525245929</x:v>
      </x:c>
      <x:c r="I39" s="12" t="n">
        <x:v>198.06</x:v>
      </x:c>
      <x:c r="J39" s="12" t="n">
        <x:v>197.82</x:v>
      </x:c>
      <x:c r="K39" s="11" t="n">
        <x:v>-0.0012117540139352512</x:v>
      </x:c>
      <x:c r="L39" s="1" t="n">
        <x:v>-1</x:v>
      </x:c>
      <x:c r="M39" s="12" t="n">
        <x:v>197.82</x:v>
      </x:c>
      <x:c r="N39" s="11" t="n">
        <x:v>-0.0012117540139352512</x:v>
      </x:c>
      <x:c r="O39" s="12" t="n">
        <x:v>197</x:v>
      </x:c>
      <x:c r="P39" s="11" t="n">
        <x:v>-0.0053519135615470725</x:v>
      </x:c>
      <x:c r="Q39" s="12" t="n">
        <x:v>197.82</x:v>
      </x:c>
      <x:c r="R39" s="11" t="n">
        <x:v>0.05391582312200316</x:v>
      </x:c>
    </x:row>
    <x:row r="40" ht="21" customHeight="1">
      <x:c r="A40" s="1" t="n">
        <x:v>4</x:v>
      </x:c>
      <x:c r="B40" s="1" t="n">
        <x:v>5</x:v>
      </x:c>
      <x:c r="C40" s="10" t="str">
        <x:f>"002384"</x:f>
        <x:v>002384</x:v>
      </x:c>
      <x:c r="D40" s="1" t="str">
        <x:v>东山精密</x:v>
      </x:c>
      <x:c r="E40" s="11" t="n">
        <x:v>0.11957361028696441</x:v>
      </x:c>
      <x:c r="F40" s="11" t="n">
        <x:v>0.19896191123678397</x:v>
      </x:c>
      <x:c r="G40" s="11" t="n">
        <x:v>0.6814644784762516</x:v>
      </x:c>
      <x:c r="H40" s="13" t="n">
        <x:v>0.5618908681892871</x:v>
      </x:c>
      <x:c r="I40" s="12" t="n">
        <x:v>189.2</x:v>
      </x:c>
      <x:c r="J40" s="12" t="n">
        <x:v>191.82</x:v>
      </x:c>
      <x:c r="K40" s="11" t="n">
        <x:v>0.013847780126849951</x:v>
      </x:c>
      <x:c r="L40" s="1" t="n">
        <x:v>1</x:v>
      </x:c>
      <x:c r="M40" s="12" t="n">
        <x:v>191.2</x:v>
      </x:c>
      <x:c r="N40" s="11" t="n">
        <x:v>0.010570824524312794</x:v>
      </x:c>
      <x:c r="O40" s="12" t="n">
        <x:v>191.61</x:v>
      </x:c>
      <x:c r="P40" s="11" t="n">
        <x:v>0.012737843551797079</x:v>
      </x:c>
      <x:c r="Q40" s="12" t="n">
        <x:v>190.55</x:v>
      </x:c>
      <x:c r="R40" s="11" t="n">
        <x:v>0.06649129680416421</x:v>
      </x:c>
    </x:row>
    <x:row r="41" ht="21" customHeight="1">
      <x:c r="A41" s="1" t="n">
        <x:v>4</x:v>
      </x:c>
      <x:c r="B41" s="1" t="n">
        <x:v>6</x:v>
      </x:c>
      <x:c r="C41" s="10" t="str">
        <x:f>"688072"</x:f>
        <x:v>688072</x:v>
      </x:c>
      <x:c r="D41" s="1" t="str">
        <x:v>拓荆科技</x:v>
      </x:c>
      <x:c r="E41" s="11" t="n">
        <x:v>0.12217840723684673</x:v>
      </x:c>
      <x:c r="F41" s="11" t="n">
        <x:v>0.26918282393585874</x:v>
      </x:c>
      <x:c r="G41" s="11" t="n">
        <x:v>0.6086387688272945</x:v>
      </x:c>
      <x:c r="H41" s="13" t="n">
        <x:v>0.4864603615904478</x:v>
      </x:c>
      <x:c r="I41" s="12" t="n">
        <x:v>653.28</x:v>
      </x:c>
      <x:c r="J41" s="12" t="n">
        <x:v>650</x:v>
      </x:c>
      <x:c r="K41" s="11" t="n">
        <x:v>-0.005020818025961216</x:v>
      </x:c>
      <x:c r="L41" s="1" t="n">
        <x:v>-1</x:v>
      </x:c>
      <x:c r="M41" s="12" t="n">
        <x:v>648.95</x:v>
      </x:c>
      <x:c r="N41" s="11" t="n">
        <x:v>-0.0066280920891500505</x:v>
      </x:c>
      <x:c r="O41" s="12" t="n">
        <x:v>642.93</x:v>
      </x:c>
      <x:c r="P41" s="11" t="n">
        <x:v>-0.015843130051432786</x:v>
      </x:c>
      <x:c r="Q41" s="12" t="n">
        <x:v>651.92</x:v>
      </x:c>
      <x:c r="R41" s="11" t="n">
        <x:v>0.04822086086858657</x:v>
      </x:c>
    </x:row>
    <x:row r="42" ht="21" customHeight="1">
      <x:c r="A42" s="1" t="n">
        <x:v>4</x:v>
      </x:c>
      <x:c r="B42" s="1" t="n">
        <x:v>7</x:v>
      </x:c>
      <x:c r="C42" s="10" t="str">
        <x:f>"688082"</x:f>
        <x:v>688082</x:v>
      </x:c>
      <x:c r="D42" s="1" t="str">
        <x:v>盛美上海</x:v>
      </x:c>
      <x:c r="E42" s="11" t="n">
        <x:v>0.125687330594816</x:v>
      </x:c>
      <x:c r="F42" s="11" t="n">
        <x:v>0.3045399118271211</x:v>
      </x:c>
      <x:c r="G42" s="11" t="n">
        <x:v>0.569772757578063</x:v>
      </x:c>
      <x:c r="H42" s="13" t="n">
        <x:v>0.44408542698324704</x:v>
      </x:c>
      <x:c r="I42" s="12" t="n">
        <x:v>281.85</x:v>
      </x:c>
      <x:c r="J42" s="12" t="n">
        <x:v>282.4</x:v>
      </x:c>
      <x:c r="K42" s="11" t="n">
        <x:v>0.0019513925847081115</x:v>
      </x:c>
      <x:c r="L42" s="1" t="n">
        <x:v>0</x:v>
      </x:c>
      <x:c r="M42" s="12" t="n">
        <x:v>281.39</x:v>
      </x:c>
      <x:c r="N42" s="11" t="n">
        <x:v>-0.0016320737981196931</x:v>
      </x:c>
      <x:c r="O42" s="12" t="n">
        <x:v>281.5</x:v>
      </x:c>
      <x:c r="P42" s="11" t="n">
        <x:v>-0.0012417952811779598</x:v>
      </x:c>
      <x:c r="Q42" s="12" t="n">
        <x:v>281.4</x:v>
      </x:c>
      <x:c r="R42" s="11" t="n">
        <x:v>0.041450777202072464</x:v>
      </x:c>
    </x:row>
    <x:row r="43" ht="21" customHeight="1">
      <x:c r="A43" s="1" t="n">
        <x:v>4</x:v>
      </x:c>
      <x:c r="B43" s="1" t="n">
        <x:v>8</x:v>
      </x:c>
      <x:c r="C43" s="10" t="str">
        <x:f>"601869"</x:f>
        <x:v>601869</x:v>
      </x:c>
      <x:c r="D43" s="1" t="str">
        <x:v>长飞光纤</x:v>
      </x:c>
      <x:c r="E43" s="11" t="n">
        <x:v>0.12593086706604298</x:v>
      </x:c>
      <x:c r="F43" s="11" t="n">
        <x:v>0.24343132973894857</x:v>
      </x:c>
      <x:c r="G43" s="11" t="n">
        <x:v>0.6306378031950084</x:v>
      </x:c>
      <x:c r="H43" s="13" t="n">
        <x:v>0.5047069361289654</x:v>
      </x:c>
      <x:c r="I43" s="12" t="n">
        <x:v>399.99</x:v>
      </x:c>
      <x:c r="J43" s="12" t="n">
        <x:v>416</x:v>
      </x:c>
      <x:c r="K43" s="11" t="n">
        <x:v>0.04002600065001616</x:v>
      </x:c>
      <x:c r="L43" s="1" t="n">
        <x:v>1</x:v>
      </x:c>
      <x:c r="M43" s="12" t="n">
        <x:v>412</x:v>
      </x:c>
      <x:c r="N43" s="11" t="n">
        <x:v>0.030025750643766003</x:v>
      </x:c>
      <x:c r="O43" s="12" t="n">
        <x:v>415.84</x:v>
      </x:c>
      <x:c r="P43" s="11" t="n">
        <x:v>0.03962599064976624</x:v>
      </x:c>
      <x:c r="Q43" s="12" t="n">
        <x:v>400.51</x:v>
      </x:c>
      <x:c r="R43" s="11" t="n">
        <x:v>0.05731256599788792</x:v>
      </x:c>
    </x:row>
    <x:row r="44" ht="21" customHeight="1">
      <x:c r="A44" s="1" t="n">
        <x:v>4</x:v>
      </x:c>
      <x:c r="B44" s="1" t="n">
        <x:v>9</x:v>
      </x:c>
      <x:c r="C44" s="10" t="str">
        <x:f>"600176"</x:f>
        <x:v>600176</x:v>
      </x:c>
      <x:c r="D44" s="1" t="str">
        <x:v>中国巨石</x:v>
      </x:c>
      <x:c r="E44" s="11" t="n">
        <x:v>0.12597248205535475</x:v>
      </x:c>
      <x:c r="F44" s="11" t="n">
        <x:v>0.2706040453726024</x:v>
      </x:c>
      <x:c r="G44" s="11" t="n">
        <x:v>0.6034234725720429</x:v>
      </x:c>
      <x:c r="H44" s="13" t="n">
        <x:v>0.47745099051668816</x:v>
      </x:c>
      <x:c r="I44" s="12" t="n">
        <x:v>41.72</x:v>
      </x:c>
      <x:c r="J44" s="12" t="n">
        <x:v>42.38</x:v>
      </x:c>
      <x:c r="K44" s="11" t="n">
        <x:v>0.015819750719079595</x:v>
      </x:c>
      <x:c r="L44" s="1" t="n">
        <x:v>1</x:v>
      </x:c>
      <x:c r="M44" s="12" t="n">
        <x:v>42.16</x:v>
      </x:c>
      <x:c r="N44" s="11" t="n">
        <x:v>0.010546500479386323</x:v>
      </x:c>
      <x:c r="O44" s="12" t="n">
        <x:v>42.18</x:v>
      </x:c>
      <x:c r="P44" s="11" t="n">
        <x:v>0.011025886864812984</x:v>
      </x:c>
      <x:c r="Q44" s="12" t="n">
        <x:v>41.7</x:v>
      </x:c>
      <x:c r="R44" s="11" t="n">
        <x:v>0.03782976605276267</x:v>
      </x:c>
    </x:row>
    <x:row r="45" ht="21" customHeight="1">
      <x:c r="A45" s="1" t="n">
        <x:v>4</x:v>
      </x:c>
      <x:c r="B45" s="1" t="n">
        <x:v>10</x:v>
      </x:c>
      <x:c r="C45" s="10" t="str">
        <x:f>"600673"</x:f>
        <x:v>600673</x:v>
      </x:c>
      <x:c r="D45" s="1" t="str">
        <x:v>东阳光</x:v>
      </x:c>
      <x:c r="E45" s="11" t="n">
        <x:v>0.1329009595680933</x:v>
      </x:c>
      <x:c r="F45" s="11" t="n">
        <x:v>0.3270339497062472</x:v>
      </x:c>
      <x:c r="G45" s="11" t="n">
        <x:v>0.5400650907256596</x:v>
      </x:c>
      <x:c r="H45" s="13" t="n">
        <x:v>0.4071641311575662</x:v>
      </x:c>
      <x:c r="I45" s="12" t="n">
        <x:v>31.68</x:v>
      </x:c>
      <x:c r="J45" s="12" t="n">
        <x:v>31.97</x:v>
      </x:c>
      <x:c r="K45" s="11" t="n">
        <x:v>0.009154040404040442</x:v>
      </x:c>
      <x:c r="L45" s="1" t="n">
        <x:v>0</x:v>
      </x:c>
      <x:c r="M45" s="12" t="n">
        <x:v>31.94</x:v>
      </x:c>
      <x:c r="N45" s="11" t="n">
        <x:v>0.008207070707070718</x:v>
      </x:c>
      <x:c r="O45" s="12" t="n">
        <x:v>31.94</x:v>
      </x:c>
      <x:c r="P45" s="11" t="n">
        <x:v>0.008207070707070718</x:v>
      </x:c>
      <x:c r="Q45" s="12" t="n">
        <x:v>31.66</x:v>
      </x:c>
      <x:c r="R45" s="11" t="n">
        <x:v>0.03701277432034056</x:v>
      </x:c>
    </x:row>
    <x:row r="46" ht="21" customHeight="1">
      <x:c r="A46" s="1" t="n">
        <x:v>5</x:v>
      </x:c>
      <x:c r="B46" s="1" t="n">
        <x:v>1</x:v>
      </x:c>
      <x:c r="C46" s="10" t="str">
        <x:f>"601899"</x:f>
        <x:v>601899</x:v>
      </x:c>
      <x:c r="D46" s="1" t="str">
        <x:v>紫金矿业</x:v>
      </x:c>
      <x:c r="E46" s="11" t="n">
        <x:v>0.03454899650844293</x:v>
      </x:c>
      <x:c r="F46" s="11" t="n">
        <x:v>0.34744950275222447</x:v>
      </x:c>
      <x:c r="G46" s="11" t="n">
        <x:v>0.6180015007393326</x:v>
      </x:c>
      <x:c r="H46" s="13" t="n">
        <x:v>0.5834525042308897</x:v>
      </x:c>
      <x:c r="I46" s="12" t="n">
        <x:v>33.9</x:v>
      </x:c>
      <x:c r="J46" s="12" t="n">
        <x:v>34</x:v>
      </x:c>
      <x:c r="K46" s="11" t="n">
        <x:v>0.002949852507374784</x:v>
      </x:c>
      <x:c r="L46" s="1" t="n">
        <x:v>0</x:v>
      </x:c>
      <x:c r="M46" s="12" t="n">
        <x:v>33.97</x:v>
      </x:c>
      <x:c r="N46" s="11" t="n">
        <x:v>0.0020648967551621933</x:v>
      </x:c>
      <x:c r="O46" s="12" t="n">
        <x:v>33.94</x:v>
      </x:c>
      <x:c r="P46" s="11" t="n">
        <x:v>0.0011799410029498247</x:v>
      </x:c>
      <x:c r="Q46" s="12" t="n">
        <x:v>33.86</x:v>
      </x:c>
      <x:c r="R46" s="11" t="n">
        <x:v>0.030118649224216698</x:v>
      </x:c>
    </x:row>
    <x:row r="47" ht="21" customHeight="1">
      <x:c r="A47" s="1" t="n">
        <x:v>5</x:v>
      </x:c>
      <x:c r="B47" s="1" t="n">
        <x:v>2</x:v>
      </x:c>
      <x:c r="C47" s="10" t="str">
        <x:f>"600028"</x:f>
        <x:v>600028</x:v>
      </x:c>
      <x:c r="D47" s="1" t="str">
        <x:v>中国石化</x:v>
      </x:c>
      <x:c r="E47" s="11" t="n">
        <x:v>0.06087086440276049</x:v>
      </x:c>
      <x:c r="F47" s="11" t="n">
        <x:v>0.34876222491782993</x:v>
      </x:c>
      <x:c r="G47" s="11" t="n">
        <x:v>0.5903669106794096</x:v>
      </x:c>
      <x:c r="H47" s="13" t="n">
        <x:v>0.5294960462766491</x:v>
      </x:c>
      <x:c r="I47" s="12" t="n">
        <x:v>5.58</x:v>
      </x:c>
      <x:c r="J47" s="12" t="n">
        <x:v>5.58</x:v>
      </x:c>
      <x:c r="K47" s="11" t="n">
        <x:v>0</x:v>
      </x:c>
      <x:c r="L47" s="1" t="n">
        <x:v>0</x:v>
      </x:c>
      <x:c r="M47" s="12" t="n">
        <x:v>5.58</x:v>
      </x:c>
      <x:c r="N47" s="11" t="n">
        <x:v>0</x:v>
      </x:c>
      <x:c r="O47" s="12" t="n">
        <x:v>5.57</x:v>
      </x:c>
      <x:c r="P47" s="11" t="n">
        <x:v>-0.0017921146953404632</x:v>
      </x:c>
      <x:c r="Q47" s="12" t="n">
        <x:v>5.59</x:v>
      </x:c>
      <x:c r="R47" s="11" t="n">
        <x:v>0.040968342644320144</x:v>
      </x:c>
    </x:row>
    <x:row r="48" ht="21" customHeight="1">
      <x:c r="A48" s="1" t="n">
        <x:v>5</x:v>
      </x:c>
      <x:c r="B48" s="1" t="n">
        <x:v>3</x:v>
      </x:c>
      <x:c r="C48" s="10" t="str">
        <x:f>"603993"</x:f>
        <x:v>603993</x:v>
      </x:c>
      <x:c r="D48" s="1" t="str">
        <x:v>洛阳钼业</x:v>
      </x:c>
      <x:c r="E48" s="11" t="n">
        <x:v>0.0886520777862296</x:v>
      </x:c>
      <x:c r="F48" s="11" t="n">
        <x:v>0.36723568300974113</x:v>
      </x:c>
      <x:c r="G48" s="11" t="n">
        <x:v>0.5441122392040293</x:v>
      </x:c>
      <x:c r="H48" s="13" t="n">
        <x:v>0.45546016141779966</x:v>
      </x:c>
      <x:c r="I48" s="12" t="n">
        <x:v>18.97</x:v>
      </x:c>
      <x:c r="J48" s="12" t="n">
        <x:v>19.22</x:v>
      </x:c>
      <x:c r="K48" s="11" t="n">
        <x:v>0.01317870321560366</x:v>
      </x:c>
      <x:c r="L48" s="1" t="n">
        <x:v>1</x:v>
      </x:c>
      <x:c r="M48" s="12" t="n">
        <x:v>19.1</x:v>
      </x:c>
      <x:c r="N48" s="11" t="n">
        <x:v>0.00685292567211393</x:v>
      </x:c>
      <x:c r="O48" s="12" t="n">
        <x:v>19.11</x:v>
      </x:c>
      <x:c r="P48" s="11" t="n">
        <x:v>0.0073800738007381295</x:v>
      </x:c>
      <x:c r="Q48" s="12" t="n">
        <x:v>18.94</x:v>
      </x:c>
      <x:c r="R48" s="11" t="n">
        <x:v>0.03102885138813294</x:v>
      </x:c>
    </x:row>
    <x:row r="49" ht="21" customHeight="1">
      <x:c r="A49" s="1" t="n">
        <x:v>5</x:v>
      </x:c>
      <x:c r="B49" s="1" t="n">
        <x:v>4</x:v>
      </x:c>
      <x:c r="C49" s="10" t="str">
        <x:f>"600346"</x:f>
        <x:v>600346</x:v>
      </x:c>
      <x:c r="D49" s="1" t="str">
        <x:v>恒力石化</x:v>
      </x:c>
      <x:c r="E49" s="11" t="n">
        <x:v>0.11287783732331393</x:v>
      </x:c>
      <x:c r="F49" s="11" t="n">
        <x:v>0.34793801409276853</x:v>
      </x:c>
      <x:c r="G49" s="11" t="n">
        <x:v>0.5391841485839175</x:v>
      </x:c>
      <x:c r="H49" s="13" t="n">
        <x:v>0.4263063112606036</x:v>
      </x:c>
      <x:c r="I49" s="12" t="n">
        <x:v>18.82</x:v>
      </x:c>
      <x:c r="J49" s="12" t="n">
        <x:v>18.88</x:v>
      </x:c>
      <x:c r="K49" s="11" t="n">
        <x:v>0.0031880977683313994</x:v>
      </x:c>
      <x:c r="L49" s="1" t="n">
        <x:v>0</x:v>
      </x:c>
      <x:c r="M49" s="12" t="n">
        <x:v>18.87</x:v>
      </x:c>
      <x:c r="N49" s="11" t="n">
        <x:v>0.002656748140276388</x:v>
      </x:c>
      <x:c r="O49" s="12" t="n">
        <x:v>18.86</x:v>
      </x:c>
      <x:c r="P49" s="11" t="n">
        <x:v>0.002125398512220933</x:v>
      </x:c>
      <x:c r="Q49" s="12" t="n">
        <x:v>18.79</x:v>
      </x:c>
      <x:c r="R49" s="11" t="n">
        <x:v>0.030718595721338282</x:v>
      </x:c>
    </x:row>
    <x:row r="50" ht="21" customHeight="1">
      <x:c r="A50" s="1" t="n">
        <x:v>5</x:v>
      </x:c>
      <x:c r="B50" s="1" t="n">
        <x:v>5</x:v>
      </x:c>
      <x:c r="C50" s="10" t="str">
        <x:f>"002916"</x:f>
        <x:v>002916</x:v>
      </x:c>
      <x:c r="D50" s="1" t="str">
        <x:v>深南电路</x:v>
      </x:c>
      <x:c r="E50" s="11" t="n">
        <x:v>0.11953972514216629</x:v>
      </x:c>
      <x:c r="F50" s="11" t="n">
        <x:v>0.2969300163639861</x:v>
      </x:c>
      <x:c r="G50" s="11" t="n">
        <x:v>0.5835302584938477</x:v>
      </x:c>
      <x:c r="H50" s="13" t="n">
        <x:v>0.4639905333516814</x:v>
      </x:c>
      <x:c r="I50" s="12" t="n">
        <x:v>381.56</x:v>
      </x:c>
      <x:c r="J50" s="12" t="n">
        <x:v>388.57</x:v>
      </x:c>
      <x:c r="K50" s="11" t="n">
        <x:v>0.018371946744941692</x:v>
      </x:c>
      <x:c r="L50" s="1" t="n">
        <x:v>1</x:v>
      </x:c>
      <x:c r="M50" s="12" t="n">
        <x:v>386.3</x:v>
      </x:c>
      <x:c r="N50" s="11" t="n">
        <x:v>0.01242268581612338</x:v>
      </x:c>
      <x:c r="O50" s="12" t="n">
        <x:v>386.32</x:v>
      </x:c>
      <x:c r="P50" s="11" t="n">
        <x:v>0.01247510221197179</x:v>
      </x:c>
      <x:c r="Q50" s="12" t="n">
        <x:v>382.5</x:v>
      </x:c>
      <x:c r="R50" s="11" t="n">
        <x:v>0.04800263028111118</x:v>
      </x:c>
    </x:row>
    <x:row r="51" ht="21" customHeight="1">
      <x:c r="A51" s="1" t="n">
        <x:v>5</x:v>
      </x:c>
      <x:c r="B51" s="1" t="n">
        <x:v>6</x:v>
      </x:c>
      <x:c r="C51" s="10" t="str">
        <x:f>"600188"</x:f>
        <x:v>600188</x:v>
      </x:c>
      <x:c r="D51" s="1" t="str">
        <x:v>兖矿能源</x:v>
      </x:c>
      <x:c r="E51" s="11" t="n">
        <x:v>0.12222970744702956</x:v>
      </x:c>
      <x:c r="F51" s="11" t="n">
        <x:v>0.3605032802523269</x:v>
      </x:c>
      <x:c r="G51" s="11" t="n">
        <x:v>0.5172670123006434</x:v>
      </x:c>
      <x:c r="H51" s="13" t="n">
        <x:v>0.3950373048536139</x:v>
      </x:c>
      <x:c r="I51" s="12" t="n">
        <x:v>21.43</x:v>
      </x:c>
      <x:c r="J51" s="12" t="n">
        <x:v>21.57</x:v>
      </x:c>
      <x:c r="K51" s="11" t="n">
        <x:v>0.006532897806812876</x:v>
      </x:c>
      <x:c r="L51" s="1" t="n">
        <x:v>0</x:v>
      </x:c>
      <x:c r="M51" s="12" t="n">
        <x:v>21.53</x:v>
      </x:c>
      <x:c r="N51" s="11" t="n">
        <x:v>0.004666355576294912</x:v>
      </x:c>
      <x:c r="O51" s="12" t="n">
        <x:v>21.55</x:v>
      </x:c>
      <x:c r="P51" s="11" t="n">
        <x:v>0.005599626691553894</x:v>
      </x:c>
      <x:c r="Q51" s="12" t="n">
        <x:v>21.5</x:v>
      </x:c>
      <x:c r="R51" s="11" t="n">
        <x:v>0.03464870067372461</x:v>
      </x:c>
    </x:row>
    <x:row r="52" ht="21" customHeight="1">
      <x:c r="A52" s="1" t="n">
        <x:v>5</x:v>
      </x:c>
      <x:c r="B52" s="1" t="n">
        <x:v>7</x:v>
      </x:c>
      <x:c r="C52" s="10" t="str">
        <x:f>"600989"</x:f>
        <x:v>600989</x:v>
      </x:c>
      <x:c r="D52" s="1" t="str">
        <x:v>宝丰能源</x:v>
      </x:c>
      <x:c r="E52" s="11" t="n">
        <x:v>0.12255793950616783</x:v>
      </x:c>
      <x:c r="F52" s="11" t="n">
        <x:v>0.3401987003281447</x:v>
      </x:c>
      <x:c r="G52" s="11" t="n">
        <x:v>0.5372433601656874</x:v>
      </x:c>
      <x:c r="H52" s="13" t="n">
        <x:v>0.4146854206595196</x:v>
      </x:c>
      <x:c r="I52" s="12" t="n">
        <x:v>24.25</x:v>
      </x:c>
      <x:c r="J52" s="12" t="n">
        <x:v>24.67</x:v>
      </x:c>
      <x:c r="K52" s="11" t="n">
        <x:v>0.017319587628866095</x:v>
      </x:c>
      <x:c r="L52" s="1" t="n">
        <x:v>1</x:v>
      </x:c>
      <x:c r="M52" s="12" t="n">
        <x:v>24.59</x:v>
      </x:c>
      <x:c r="N52" s="11" t="n">
        <x:v>0.014020618556701114</x:v>
      </x:c>
      <x:c r="O52" s="12" t="n">
        <x:v>24.6</x:v>
      </x:c>
      <x:c r="P52" s="11" t="n">
        <x:v>0.014432989690721598</x:v>
      </x:c>
      <x:c r="Q52" s="12" t="n">
        <x:v>24.39</x:v>
      </x:c>
      <x:c r="R52" s="11" t="n">
        <x:v>0.04186245194361393</x:v>
      </x:c>
    </x:row>
    <x:row r="53" ht="21" customHeight="1">
      <x:c r="A53" s="1" t="n">
        <x:v>5</x:v>
      </x:c>
      <x:c r="B53" s="1" t="n">
        <x:v>8</x:v>
      </x:c>
      <x:c r="C53" s="10" t="str">
        <x:f>"600938"</x:f>
        <x:v>600938</x:v>
      </x:c>
      <x:c r="D53" s="1" t="str">
        <x:v>中国海油</x:v>
      </x:c>
      <x:c r="E53" s="11" t="n">
        <x:v>0.12961370481098278</x:v>
      </x:c>
      <x:c r="F53" s="11" t="n">
        <x:v>0.3478762982074359</x:v>
      </x:c>
      <x:c r="G53" s="11" t="n">
        <x:v>0.5225099969815813</x:v>
      </x:c>
      <x:c r="H53" s="13" t="n">
        <x:v>0.3928962921705985</x:v>
      </x:c>
      <x:c r="I53" s="12" t="n">
        <x:v>34.33</x:v>
      </x:c>
      <x:c r="J53" s="12" t="n">
        <x:v>34.45</x:v>
      </x:c>
      <x:c r="K53" s="11" t="n">
        <x:v>0.0034954849985435743</x:v>
      </x:c>
      <x:c r="L53" s="1" t="n">
        <x:v>0</x:v>
      </x:c>
      <x:c r="M53" s="12" t="n">
        <x:v>34.45</x:v>
      </x:c>
      <x:c r="N53" s="11" t="n">
        <x:v>0.0034954849985435743</x:v>
      </x:c>
      <x:c r="O53" s="12" t="n">
        <x:v>34.37</x:v>
      </x:c>
      <x:c r="P53" s="11" t="n">
        <x:v>0.0011651616661811914</x:v>
      </x:c>
      <x:c r="Q53" s="12" t="n">
        <x:v>34.39</x:v>
      </x:c>
      <x:c r="R53" s="11" t="n">
        <x:v>0.03834541062801944</x:v>
      </x:c>
    </x:row>
    <x:row r="54" ht="21" customHeight="1">
      <x:c r="A54" s="1" t="n">
        <x:v>5</x:v>
      </x:c>
      <x:c r="B54" s="1" t="n">
        <x:v>9</x:v>
      </x:c>
      <x:c r="C54" s="10" t="str">
        <x:f>"000408"</x:f>
        <x:v>000408</x:v>
      </x:c>
      <x:c r="D54" s="1" t="str">
        <x:v>藏格矿业</x:v>
      </x:c>
      <x:c r="E54" s="11" t="n">
        <x:v>0.13344254104855618</x:v>
      </x:c>
      <x:c r="F54" s="11" t="n">
        <x:v>0.36061279229462256</x:v>
      </x:c>
      <x:c r="G54" s="11" t="n">
        <x:v>0.5059446666568213</x:v>
      </x:c>
      <x:c r="H54" s="13" t="n">
        <x:v>0.37250212560826507</x:v>
      </x:c>
      <x:c r="I54" s="12" t="n">
        <x:v>76.45</x:v>
      </x:c>
      <x:c r="J54" s="12" t="n">
        <x:v>77.5</x:v>
      </x:c>
      <x:c r="K54" s="11" t="n">
        <x:v>0.01373446697187708</x:v>
      </x:c>
      <x:c r="L54" s="1" t="n">
        <x:v>1</x:v>
      </x:c>
      <x:c r="M54" s="12" t="n">
        <x:v>77.29</x:v>
      </x:c>
      <x:c r="N54" s="11" t="n">
        <x:v>0.010987573577501575</x:v>
      </x:c>
      <x:c r="O54" s="12" t="n">
        <x:v>77.29</x:v>
      </x:c>
      <x:c r="P54" s="11" t="n">
        <x:v>0.010987573577501575</x:v>
      </x:c>
      <x:c r="Q54" s="12" t="n">
        <x:v>76.29</x:v>
      </x:c>
      <x:c r="R54" s="11" t="n">
        <x:v>0.030528164257733525</x:v>
      </x:c>
    </x:row>
    <x:row r="55" ht="21" customHeight="1">
      <x:c r="A55" s="1" t="n">
        <x:v>5</x:v>
      </x:c>
      <x:c r="B55" s="1" t="n">
        <x:v>10</x:v>
      </x:c>
      <x:c r="C55" s="10" t="str">
        <x:f>"002493"</x:f>
        <x:v>002493</x:v>
      </x:c>
      <x:c r="D55" s="1" t="str">
        <x:v>荣盛石化</x:v>
      </x:c>
      <x:c r="E55" s="11" t="n">
        <x:v>0.1387092287304838</x:v>
      </x:c>
      <x:c r="F55" s="11" t="n">
        <x:v>0.3564360570762749</x:v>
      </x:c>
      <x:c r="G55" s="11" t="n">
        <x:v>0.5048547141932412</x:v>
      </x:c>
      <x:c r="H55" s="13" t="n">
        <x:v>0.36614548546275744</x:v>
      </x:c>
      <x:c r="I55" s="12" t="n">
        <x:v>14.47</x:v>
      </x:c>
      <x:c r="J55" s="12" t="n">
        <x:v>14.51</x:v>
      </x:c>
      <x:c r="K55" s="11" t="n">
        <x:v>0.0027643400138215313</x:v>
      </x:c>
      <x:c r="L55" s="1" t="n">
        <x:v>0</x:v>
      </x:c>
      <x:c r="M55" s="12" t="n">
        <x:v>14.49</x:v>
      </x:c>
      <x:c r="N55" s="11" t="n">
        <x:v>0.0013821700069107656</x:v>
      </x:c>
      <x:c r="O55" s="12" t="n">
        <x:v>14.5</x:v>
      </x:c>
      <x:c r="P55" s="11" t="n">
        <x:v>0.0020732550103661485</x:v>
      </x:c>
      <x:c r="Q55" s="12" t="n">
        <x:v>14.49</x:v>
      </x:c>
      <x:c r="R55" s="11" t="n">
        <x:v>0.03573981415296634</x:v>
      </x:c>
    </x:row>
    <x:row r="56" ht="21" customHeight="1">
      <x:c r="A56" s="1" t="n">
        <x:v>6</x:v>
      </x:c>
      <x:c r="B56" s="1" t="n">
        <x:v>1</x:v>
      </x:c>
      <x:c r="C56" s="10" t="str">
        <x:f>"601225"</x:f>
        <x:v>601225</x:v>
      </x:c>
      <x:c r="D56" s="1" t="str">
        <x:v>陕西煤业</x:v>
      </x:c>
      <x:c r="E56" s="11" t="n">
        <x:v>0.08458052518925716</x:v>
      </x:c>
      <x:c r="F56" s="11" t="n">
        <x:v>0.38053958270390587</x:v>
      </x:c>
      <x:c r="G56" s="11" t="n">
        <x:v>0.534879892106837</x:v>
      </x:c>
      <x:c r="H56" s="13" t="n">
        <x:v>0.45029936691757977</x:v>
      </x:c>
      <x:c r="I56" s="12" t="n">
        <x:v>26.52</x:v>
      </x:c>
      <x:c r="J56" s="12" t="n">
        <x:v>26.65</x:v>
      </x:c>
      <x:c r="K56" s="11" t="n">
        <x:v>0.004901960784313708</x:v>
      </x:c>
      <x:c r="L56" s="1" t="n">
        <x:v>0</x:v>
      </x:c>
      <x:c r="M56" s="12" t="n">
        <x:v>26.51</x:v>
      </x:c>
      <x:c r="N56" s="11" t="n">
        <x:v>-0.00037707390648555883</x:v>
      </x:c>
      <x:c r="O56" s="12" t="n">
        <x:v>26.48</x:v>
      </x:c>
      <x:c r="P56" s="11" t="n">
        <x:v>-0.0015082956259426794</x:v>
      </x:c>
      <x:c r="Q56" s="12" t="n">
        <x:v>26.54</x:v>
      </x:c>
      <x:c r="R56" s="11" t="n">
        <x:v>0.03228315830416184</x:v>
      </x:c>
    </x:row>
    <x:row r="57" ht="21" customHeight="1">
      <x:c r="A57" s="1" t="n">
        <x:v>6</x:v>
      </x:c>
      <x:c r="B57" s="1" t="n">
        <x:v>2</x:v>
      </x:c>
      <x:c r="C57" s="10" t="str">
        <x:f>"002384"</x:f>
        <x:v>002384</x:v>
      </x:c>
      <x:c r="D57" s="1" t="str">
        <x:v>东山精密</x:v>
      </x:c>
      <x:c r="E57" s="11" t="n">
        <x:v>0.10820112418776616</x:v>
      </x:c>
      <x:c r="F57" s="11" t="n">
        <x:v>0.24502417903657095</x:v>
      </x:c>
      <x:c r="G57" s="11" t="n">
        <x:v>0.6467746967756629</x:v>
      </x:c>
      <x:c r="H57" s="13" t="n">
        <x:v>0.5385735725878967</x:v>
      </x:c>
      <x:c r="I57" s="12" t="n">
        <x:v>196.5</x:v>
      </x:c>
      <x:c r="J57" s="12" t="n">
        <x:v>198.66</x:v>
      </x:c>
      <x:c r="K57" s="11" t="n">
        <x:v>0.010992366412213794</x:v>
      </x:c>
      <x:c r="L57" s="1" t="n">
        <x:v>1</x:v>
      </x:c>
      <x:c r="M57" s="12" t="n">
        <x:v>197.5</x:v>
      </x:c>
      <x:c r="N57" s="11" t="n">
        <x:v>0.0050890585241729624</x:v>
      </x:c>
      <x:c r="O57" s="12" t="n">
        <x:v>196.11</x:v>
      </x:c>
      <x:c r="P57" s="11" t="n">
        <x:v>-0.00198473282442746</x:v>
      </x:c>
      <x:c r="Q57" s="12" t="n">
        <x:v>196.06</x:v>
      </x:c>
      <x:c r="R57" s="11" t="n">
        <x:v>0.051711189786503686</x:v>
      </x:c>
    </x:row>
    <x:row r="58" ht="21" customHeight="1">
      <x:c r="A58" s="1" t="n">
        <x:v>6</x:v>
      </x:c>
      <x:c r="B58" s="1" t="n">
        <x:v>3</x:v>
      </x:c>
      <x:c r="C58" s="10" t="str">
        <x:f>"002493"</x:f>
        <x:v>002493</x:v>
      </x:c>
      <x:c r="D58" s="1" t="str">
        <x:v>荣盛石化</x:v>
      </x:c>
      <x:c r="E58" s="11" t="n">
        <x:v>0.12017425695212729</x:v>
      </x:c>
      <x:c r="F58" s="11" t="n">
        <x:v>0.33001363428943714</x:v>
      </x:c>
      <x:c r="G58" s="11" t="n">
        <x:v>0.5498121087584356</x:v>
      </x:c>
      <x:c r="H58" s="13" t="n">
        <x:v>0.42963785180630826</x:v>
      </x:c>
      <x:c r="I58" s="12" t="n">
        <x:v>15.14</x:v>
      </x:c>
      <x:c r="J58" s="12" t="n">
        <x:v>15.28</x:v>
      </x:c>
      <x:c r="K58" s="11" t="n">
        <x:v>0.009247027741083214</x:v>
      </x:c>
      <x:c r="L58" s="1" t="n">
        <x:v>0</x:v>
      </x:c>
      <x:c r="M58" s="12" t="n">
        <x:v>15.28</x:v>
      </x:c>
      <x:c r="N58" s="11" t="n">
        <x:v>0.009247027741083214</x:v>
      </x:c>
      <x:c r="O58" s="12" t="n">
        <x:v>14.97</x:v>
      </x:c>
      <x:c r="P58" s="11" t="n">
        <x:v>-0.011228533685601061</x:v>
      </x:c>
      <x:c r="Q58" s="12" t="n">
        <x:v>15.14</x:v>
      </x:c>
      <x:c r="R58" s="11" t="n">
        <x:v>0.04485852311939276</x:v>
      </x:c>
    </x:row>
    <x:row r="59" ht="21" customHeight="1">
      <x:c r="A59" s="1" t="n">
        <x:v>6</x:v>
      </x:c>
      <x:c r="B59" s="1" t="n">
        <x:v>4</x:v>
      </x:c>
      <x:c r="C59" s="10" t="str">
        <x:f>"601600"</x:f>
        <x:v>601600</x:v>
      </x:c>
      <x:c r="D59" s="1" t="str">
        <x:v>中国铝业</x:v>
      </x:c>
      <x:c r="E59" s="11" t="n">
        <x:v>0.12230481336945798</x:v>
      </x:c>
      <x:c r="F59" s="11" t="n">
        <x:v>0.34762545788452975</x:v>
      </x:c>
      <x:c r="G59" s="11" t="n">
        <x:v>0.5300697287460122</x:v>
      </x:c>
      <x:c r="H59" s="13" t="n">
        <x:v>0.40776491537655424</x:v>
      </x:c>
      <x:c r="I59" s="12" t="n">
        <x:v>10.04</x:v>
      </x:c>
      <x:c r="J59" s="12" t="n">
        <x:v>10.09</x:v>
      </x:c>
      <x:c r="K59" s="11" t="n">
        <x:v>0.004980079681274896</x:v>
      </x:c>
      <x:c r="L59" s="1" t="n">
        <x:v>0</x:v>
      </x:c>
      <x:c r="M59" s="12" t="n">
        <x:v>10.04</x:v>
      </x:c>
      <x:c r="N59" s="11" t="n">
        <x:v>0</x:v>
      </x:c>
      <x:c r="O59" s="12" t="n">
        <x:v>10.03</x:v>
      </x:c>
      <x:c r="P59" s="11" t="n">
        <x:v>-0.0009960159362549792</x:v>
      </x:c>
      <x:c r="Q59" s="12" t="n">
        <x:v>10.03</x:v>
      </x:c>
      <x:c r="R59" s="11" t="n">
        <x:v>0.02977412731006157</x:v>
      </x:c>
    </x:row>
    <x:row r="60" ht="21" customHeight="1">
      <x:c r="A60" s="1" t="n">
        <x:v>6</x:v>
      </x:c>
      <x:c r="B60" s="1" t="n">
        <x:v>5</x:v>
      </x:c>
      <x:c r="C60" s="10" t="str">
        <x:f>"600176"</x:f>
        <x:v>600176</x:v>
      </x:c>
      <x:c r="D60" s="1" t="str">
        <x:v>中国巨石</x:v>
      </x:c>
      <x:c r="E60" s="11" t="n">
        <x:v>0.12344487708835326</x:v>
      </x:c>
      <x:c r="F60" s="11" t="n">
        <x:v>0.30318911806457216</x:v>
      </x:c>
      <x:c r="G60" s="11" t="n">
        <x:v>0.5733660048470746</x:v>
      </x:c>
      <x:c r="H60" s="13" t="n">
        <x:v>0.4499211277587213</x:v>
      </x:c>
      <x:c r="I60" s="12" t="n">
        <x:v>42.77</x:v>
      </x:c>
      <x:c r="J60" s="12" t="n">
        <x:v>43.52</x:v>
      </x:c>
      <x:c r="K60" s="11" t="n">
        <x:v>0.01753565583352823</x:v>
      </x:c>
      <x:c r="L60" s="1" t="n">
        <x:v>1</x:v>
      </x:c>
      <x:c r="M60" s="12" t="n">
        <x:v>43.33</x:v>
      </x:c>
      <x:c r="N60" s="11" t="n">
        <x:v>0.013093289689034338</x:v>
      </x:c>
      <x:c r="O60" s="12" t="n">
        <x:v>43.34</x:v>
      </x:c>
      <x:c r="P60" s="11" t="n">
        <x:v>0.013327098433481455</x:v>
      </x:c>
      <x:c r="Q60" s="12" t="n">
        <x:v>42.67</x:v>
      </x:c>
      <x:c r="R60" s="11" t="n">
        <x:v>0.03092534428605953</x:v>
      </x:c>
    </x:row>
    <x:row r="61" ht="21" customHeight="1">
      <x:c r="A61" s="1" t="n">
        <x:v>6</x:v>
      </x:c>
      <x:c r="B61" s="1" t="n">
        <x:v>6</x:v>
      </x:c>
      <x:c r="C61" s="10" t="str">
        <x:f>"000338"</x:f>
        <x:v>000338</x:v>
      </x:c>
      <x:c r="D61" s="1" t="str">
        <x:v>潍柴动力</x:v>
      </x:c>
      <x:c r="E61" s="11" t="n">
        <x:v>0.12533871513409292</x:v>
      </x:c>
      <x:c r="F61" s="11" t="n">
        <x:v>0.29917707884666506</x:v>
      </x:c>
      <x:c r="G61" s="11" t="n">
        <x:v>0.575484206019242</x:v>
      </x:c>
      <x:c r="H61" s="13" t="n">
        <x:v>0.4501454908851491</x:v>
      </x:c>
      <x:c r="I61" s="12" t="n">
        <x:v>27.93</x:v>
      </x:c>
      <x:c r="J61" s="12" t="n">
        <x:v>27.7</x:v>
      </x:c>
      <x:c r="K61" s="11" t="n">
        <x:v>-0.008234872896527023</x:v>
      </x:c>
      <x:c r="L61" s="1" t="n">
        <x:v>-1</x:v>
      </x:c>
      <x:c r="M61" s="12" t="n">
        <x:v>27.65</x:v>
      </x:c>
      <x:c r="N61" s="11" t="n">
        <x:v>-0.010025062656641603</x:v>
      </x:c>
      <x:c r="O61" s="12" t="n">
        <x:v>27.64</x:v>
      </x:c>
      <x:c r="P61" s="11" t="n">
        <x:v>-0.010383100608664542</x:v>
      </x:c>
      <x:c r="Q61" s="12" t="n">
        <x:v>27.85</x:v>
      </x:c>
      <x:c r="R61" s="11" t="n">
        <x:v>0.046599022923712985</x:v>
      </x:c>
    </x:row>
    <x:row r="62" ht="21" customHeight="1">
      <x:c r="A62" s="1" t="n">
        <x:v>6</x:v>
      </x:c>
      <x:c r="B62" s="1" t="n">
        <x:v>7</x:v>
      </x:c>
      <x:c r="C62" s="10" t="str">
        <x:f>"600985"</x:f>
        <x:v>600985</x:v>
      </x:c>
      <x:c r="D62" s="1" t="str">
        <x:v>淮北矿业</x:v>
      </x:c>
      <x:c r="E62" s="11" t="n">
        <x:v>0.14345050120579178</x:v>
      </x:c>
      <x:c r="F62" s="11" t="n">
        <x:v>0.36038632767434764</x:v>
      </x:c>
      <x:c r="G62" s="11" t="n">
        <x:v>0.49616317111986064</x:v>
      </x:c>
      <x:c r="H62" s="13" t="n">
        <x:v>0.35271266991406885</x:v>
      </x:c>
      <x:c r="I62" s="12" t="n">
        <x:v>17.3</x:v>
      </x:c>
      <x:c r="J62" s="12" t="n">
        <x:v>17.44</x:v>
      </x:c>
      <x:c r="K62" s="11" t="n">
        <x:v>0.008092485549132888</x:v>
      </x:c>
      <x:c r="L62" s="1" t="n">
        <x:v>0</x:v>
      </x:c>
      <x:c r="M62" s="12" t="n">
        <x:v>17.27</x:v>
      </x:c>
      <x:c r="N62" s="11" t="n">
        <x:v>-0.001734104046242857</x:v>
      </x:c>
      <x:c r="O62" s="12" t="n">
        <x:v>17.33</x:v>
      </x:c>
      <x:c r="P62" s="11" t="n">
        <x:v>0.001734104046242635</x:v>
      </x:c>
      <x:c r="Q62" s="12" t="n">
        <x:v>17.26</x:v>
      </x:c>
      <x:c r="R62" s="11" t="n">
        <x:v>0.02799285288862441</x:v>
      </x:c>
    </x:row>
    <x:row r="63" ht="21" customHeight="1">
      <x:c r="A63" s="1" t="n">
        <x:v>6</x:v>
      </x:c>
      <x:c r="B63" s="1" t="n">
        <x:v>8</x:v>
      </x:c>
      <x:c r="C63" s="10" t="str">
        <x:f>"688127"</x:f>
        <x:v>688127</x:v>
      </x:c>
      <x:c r="D63" s="1" t="str">
        <x:v>蓝特光学</x:v>
      </x:c>
      <x:c r="E63" s="11" t="n">
        <x:v>0.1451519665145717</x:v>
      </x:c>
      <x:c r="F63" s="11" t="n">
        <x:v>0.2240846412801197</x:v>
      </x:c>
      <x:c r="G63" s="11" t="n">
        <x:v>0.6307633922053086</x:v>
      </x:c>
      <x:c r="H63" s="13" t="n">
        <x:v>0.4856114256907369</x:v>
      </x:c>
      <x:c r="I63" s="12" t="n">
        <x:v>70.77</x:v>
      </x:c>
      <x:c r="J63" s="12" t="n">
        <x:v>69.86</x:v>
      </x:c>
      <x:c r="K63" s="11" t="n">
        <x:v>-0.01285855588526208</x:v>
      </x:c>
      <x:c r="L63" s="1" t="n">
        <x:v>-1</x:v>
      </x:c>
      <x:c r="M63" s="12" t="n">
        <x:v>69.42</x:v>
      </x:c>
      <x:c r="N63" s="11" t="n">
        <x:v>-0.01907587961000412</x:v>
      </x:c>
      <x:c r="O63" s="12" t="n">
        <x:v>69.38</x:v>
      </x:c>
      <x:c r="P63" s="11" t="n">
        <x:v>-0.019641090857708043</x:v>
      </x:c>
      <x:c r="Q63" s="12" t="n">
        <x:v>71.11</x:v>
      </x:c>
      <x:c r="R63" s="11" t="n">
        <x:v>0.06277088626513239</x:v>
      </x:c>
    </x:row>
    <x:row r="64" ht="21" customHeight="1">
      <x:c r="A64" s="1" t="n">
        <x:v>6</x:v>
      </x:c>
      <x:c r="B64" s="1" t="n">
        <x:v>9</x:v>
      </x:c>
      <x:c r="C64" s="10" t="str">
        <x:f>"688536"</x:f>
        <x:v>688536</x:v>
      </x:c>
      <x:c r="D64" s="1" t="str">
        <x:v>思瑞浦</x:v>
      </x:c>
      <x:c r="E64" s="11" t="n">
        <x:v>0.14989933390283258</x:v>
      </x:c>
      <x:c r="F64" s="11" t="n">
        <x:v>0.3250910639496739</x:v>
      </x:c>
      <x:c r="G64" s="11" t="n">
        <x:v>0.5250096021474935</x:v>
      </x:c>
      <x:c r="H64" s="13" t="n">
        <x:v>0.37511026824466087</x:v>
      </x:c>
      <x:c r="I64" s="12" t="n">
        <x:v>309.47</x:v>
      </x:c>
      <x:c r="J64" s="12" t="n">
        <x:v>309</x:v>
      </x:c>
      <x:c r="K64" s="11" t="n">
        <x:v>-0.001518725563059542</x:v>
      </x:c>
      <x:c r="L64" s="1" t="n">
        <x:v>-1</x:v>
      </x:c>
      <x:c r="M64" s="12" t="n">
        <x:v>308.36</x:v>
      </x:c>
      <x:c r="N64" s="11" t="n">
        <x:v>-0.0035867773936084646</x:v>
      </x:c>
      <x:c r="O64" s="12" t="n">
        <x:v>309</x:v>
      </x:c>
      <x:c r="P64" s="11" t="n">
        <x:v>-0.001518725563059542</x:v>
      </x:c>
      <x:c r="Q64" s="12" t="n">
        <x:v>308.72</x:v>
      </x:c>
      <x:c r="R64" s="11" t="n">
        <x:v>0.03482720477323786</x:v>
      </x:c>
    </x:row>
    <x:row r="65" ht="21" customHeight="1">
      <x:c r="A65" s="1" t="n">
        <x:v>6</x:v>
      </x:c>
      <x:c r="B65" s="1" t="n">
        <x:v>10</x:v>
      </x:c>
      <x:c r="C65" s="10" t="str">
        <x:f>"688622"</x:f>
        <x:v>688622</x:v>
      </x:c>
      <x:c r="D65" s="1" t="str">
        <x:v>禾信仪器</x:v>
      </x:c>
      <x:c r="E65" s="11" t="n">
        <x:v>0.15220549257120256</x:v>
      </x:c>
      <x:c r="F65" s="11" t="n">
        <x:v>0.29415466492113956</x:v>
      </x:c>
      <x:c r="G65" s="11" t="n">
        <x:v>0.553639842507658</x:v>
      </x:c>
      <x:c r="H65" s="13" t="n">
        <x:v>0.40143434993645544</x:v>
      </x:c>
      <x:c r="I65" s="12" t="n">
        <x:v>102.5</x:v>
      </x:c>
      <x:c r="J65" s="12" t="n">
        <x:v>103.68</x:v>
      </x:c>
      <x:c r="K65" s="11" t="n">
        <x:v>0.01151219512195123</x:v>
      </x:c>
      <x:c r="L65" s="1" t="n">
        <x:v>1</x:v>
      </x:c>
      <x:c r="M65" s="12" t="n">
        <x:v>103.6</x:v>
      </x:c>
      <x:c r="N65" s="11" t="n">
        <x:v>0.01073170731707318</x:v>
      </x:c>
      <x:c r="O65" s="12" t="n">
        <x:v>102.99</x:v>
      </x:c>
      <x:c r="P65" s="11" t="n">
        <x:v>0.004780487804878053</x:v>
      </x:c>
      <x:c r="Q65" s="12" t="n">
        <x:v>102.19</x:v>
      </x:c>
      <x:c r="R65" s="11" t="n">
        <x:v>0.043820224719101075</x:v>
      </x:c>
    </x:row>
    <x:row r="66" ht="21" customHeight="1">
      <x:c r="A66" s="1" t="n">
        <x:v>7</x:v>
      </x:c>
      <x:c r="B66" s="1" t="n">
        <x:v>1</x:v>
      </x:c>
      <x:c r="C66" s="10" t="str">
        <x:f>"600150"</x:f>
        <x:v>600150</x:v>
      </x:c>
      <x:c r="D66" s="1" t="str">
        <x:v>中国船舶</x:v>
      </x:c>
      <x:c r="E66" s="11" t="n">
        <x:v>0.0914019444124208</x:v>
      </x:c>
      <x:c r="F66" s="11" t="n">
        <x:v>0.3404323068262104</x:v>
      </x:c>
      <x:c r="G66" s="11" t="n">
        <x:v>0.5681657487613688</x:v>
      </x:c>
      <x:c r="H66" s="13" t="n">
        <x:v>0.47676380434894805</x:v>
      </x:c>
      <x:c r="I66" s="12" t="n">
        <x:v>40.92</x:v>
      </x:c>
      <x:c r="J66" s="12" t="n">
        <x:v>39.95</x:v>
      </x:c>
      <x:c r="K66" s="11" t="n">
        <x:v>-0.02370478983382207</x:v>
      </x:c>
      <x:c r="L66" s="1" t="n">
        <x:v>-1</x:v>
      </x:c>
      <x:c r="M66" s="12" t="n">
        <x:v>39.7</x:v>
      </x:c>
      <x:c r="N66" s="11" t="n">
        <x:v>-0.029814271749755594</x:v>
      </x:c>
      <x:c r="O66" s="12" t="n">
        <x:v>39.73</x:v>
      </x:c>
      <x:c r="P66" s="11" t="n">
        <x:v>-0.029081133919843682</x:v>
      </x:c>
      <x:c r="Q66" s="12" t="n">
        <x:v>40.82</x:v>
      </x:c>
      <x:c r="R66" s="11" t="n">
        <x:v>0.03263344295471793</x:v>
      </x:c>
    </x:row>
    <x:row r="67" ht="21" customHeight="1">
      <x:c r="A67" s="1" t="n">
        <x:v>7</x:v>
      </x:c>
      <x:c r="B67" s="1" t="n">
        <x:v>2</x:v>
      </x:c>
      <x:c r="C67" s="10" t="str">
        <x:f>"300394"</x:f>
        <x:v>300394</x:v>
      </x:c>
      <x:c r="D67" s="1" t="str">
        <x:v>天孚通信</x:v>
      </x:c>
      <x:c r="E67" s="11" t="n">
        <x:v>0.11162017239305135</x:v>
      </x:c>
      <x:c r="F67" s="11" t="n">
        <x:v>0.3167968392708789</x:v>
      </x:c>
      <x:c r="G67" s="11" t="n">
        <x:v>0.5715829883360698</x:v>
      </x:c>
      <x:c r="H67" s="13" t="n">
        <x:v>0.45996281594301847</x:v>
      </x:c>
      <x:c r="I67" s="12" t="n">
        <x:v>269.3</x:v>
      </x:c>
      <x:c r="J67" s="12" t="n">
        <x:v>270.89</x:v>
      </x:c>
      <x:c r="K67" s="11" t="n">
        <x:v>0.005904196063869271</x:v>
      </x:c>
      <x:c r="L67" s="1" t="n">
        <x:v>0</x:v>
      </x:c>
      <x:c r="M67" s="12" t="n">
        <x:v>270.79</x:v>
      </x:c>
      <x:c r="N67" s="11" t="n">
        <x:v>0.005532862978091302</x:v>
      </x:c>
      <x:c r="O67" s="12" t="n">
        <x:v>270</x:v>
      </x:c>
      <x:c r="P67" s="11" t="n">
        <x:v>0.0025993316004455647</x:v>
      </x:c>
      <x:c r="Q67" s="12" t="n">
        <x:v>269</x:v>
      </x:c>
      <x:c r="R67" s="11" t="n">
        <x:v>0.04251443630585605</x:v>
      </x:c>
    </x:row>
    <x:row r="68" ht="21" customHeight="1">
      <x:c r="A68" s="1" t="n">
        <x:v>7</x:v>
      </x:c>
      <x:c r="B68" s="1" t="n">
        <x:v>3</x:v>
      </x:c>
      <x:c r="C68" s="10" t="str">
        <x:f>"002142"</x:f>
        <x:v>002142</x:v>
      </x:c>
      <x:c r="D68" s="1" t="str">
        <x:v>宁波银行</x:v>
      </x:c>
      <x:c r="E68" s="11" t="n">
        <x:v>0.11562704075151556</x:v>
      </x:c>
      <x:c r="F68" s="11" t="n">
        <x:v>0.36764767099117285</x:v>
      </x:c>
      <x:c r="G68" s="11" t="n">
        <x:v>0.5167252882573116</x:v>
      </x:c>
      <x:c r="H68" s="13" t="n">
        <x:v>0.40109824750579604</x:v>
      </x:c>
      <x:c r="I68" s="12" t="n">
        <x:v>35.98</x:v>
      </x:c>
      <x:c r="J68" s="12" t="n">
        <x:v>36</x:v>
      </x:c>
      <x:c r="K68" s="11" t="n">
        <x:v>0.0005558643690939391</x:v>
      </x:c>
      <x:c r="L68" s="1" t="n">
        <x:v>0</x:v>
      </x:c>
      <x:c r="M68" s="12" t="n">
        <x:v>35.95</x:v>
      </x:c>
      <x:c r="N68" s="11" t="n">
        <x:v>-0.0008337965536407976</x:v>
      </x:c>
      <x:c r="O68" s="12" t="n">
        <x:v>35.67</x:v>
      </x:c>
      <x:c r="P68" s="11" t="n">
        <x:v>-0.008615897720955945</x:v>
      </x:c>
      <x:c r="Q68" s="12" t="n">
        <x:v>35.87</x:v>
      </x:c>
      <x:c r="R68" s="11" t="n">
        <x:v>0.034910559723023704</x:v>
      </x:c>
    </x:row>
    <x:row r="69" ht="21" customHeight="1">
      <x:c r="A69" s="1" t="n">
        <x:v>7</x:v>
      </x:c>
      <x:c r="B69" s="1" t="n">
        <x:v>4</x:v>
      </x:c>
      <x:c r="C69" s="10" t="str">
        <x:f>"601009"</x:f>
        <x:v>601009</x:v>
      </x:c>
      <x:c r="D69" s="1" t="str">
        <x:v>南京银行</x:v>
      </x:c>
      <x:c r="E69" s="11" t="n">
        <x:v>0.12813822493751834</x:v>
      </x:c>
      <x:c r="F69" s="11" t="n">
        <x:v>0.37220359428454225</x:v>
      </x:c>
      <x:c r="G69" s="11" t="n">
        <x:v>0.4996581807779395</x:v>
      </x:c>
      <x:c r="H69" s="13" t="n">
        <x:v>0.3715199558404212</x:v>
      </x:c>
      <x:c r="I69" s="12" t="n">
        <x:v>12.39</x:v>
      </x:c>
      <x:c r="J69" s="12" t="n">
        <x:v>12.41</x:v>
      </x:c>
      <x:c r="K69" s="11" t="n">
        <x:v>0.0016142050040355294</x:v>
      </x:c>
      <x:c r="L69" s="1" t="n">
        <x:v>0</x:v>
      </x:c>
      <x:c r="M69" s="12" t="n">
        <x:v>12.38</x:v>
      </x:c>
      <x:c r="N69" s="11" t="n">
        <x:v>-0.0008071025020177647</x:v>
      </x:c>
      <x:c r="O69" s="12" t="n">
        <x:v>12.38</x:v>
      </x:c>
      <x:c r="P69" s="11" t="n">
        <x:v>-0.0008071025020177647</x:v>
      </x:c>
      <x:c r="Q69" s="12" t="n">
        <x:v>12.4</x:v>
      </x:c>
      <x:c r="R69" s="11" t="n">
        <x:v>0.03161397670549082</x:v>
      </x:c>
    </x:row>
    <x:row r="70" ht="21" customHeight="1">
      <x:c r="A70" s="1" t="n">
        <x:v>7</x:v>
      </x:c>
      <x:c r="B70" s="1" t="n">
        <x:v>5</x:v>
      </x:c>
      <x:c r="C70" s="10" t="str">
        <x:f>"688025"</x:f>
        <x:v>688025</x:v>
      </x:c>
      <x:c r="D70" s="1" t="str">
        <x:v>杰普特</x:v>
      </x:c>
      <x:c r="E70" s="11" t="n">
        <x:v>0.1656810352548166</x:v>
      </x:c>
      <x:c r="F70" s="11" t="n">
        <x:v>0.3319790302382614</x:v>
      </x:c>
      <x:c r="G70" s="11" t="n">
        <x:v>0.5023399345069219</x:v>
      </x:c>
      <x:c r="H70" s="13" t="n">
        <x:v>0.33665889925210535</x:v>
      </x:c>
      <x:c r="I70" s="12" t="n">
        <x:v>409.72</x:v>
      </x:c>
      <x:c r="J70" s="12" t="n">
        <x:v>406.82</x:v>
      </x:c>
      <x:c r="K70" s="11" t="n">
        <x:v>-0.007078004490871925</x:v>
      </x:c>
      <x:c r="L70" s="1" t="n">
        <x:v>-1</x:v>
      </x:c>
      <x:c r="M70" s="12" t="n">
        <x:v>405.58</x:v>
      </x:c>
      <x:c r="N70" s="11" t="n">
        <x:v>-0.010104461583520519</x:v>
      </x:c>
      <x:c r="O70" s="12" t="n">
        <x:v>405.5</x:v>
      </x:c>
      <x:c r="P70" s="11" t="n">
        <x:v>-0.010299716879820453</x:v>
      </x:c>
      <x:c r="Q70" s="12" t="n">
        <x:v>407.97</x:v>
      </x:c>
      <x:c r="R70" s="11" t="n">
        <x:v>0.030617658203865084</x:v>
      </x:c>
    </x:row>
    <x:row r="71" ht="21" customHeight="1">
      <x:c r="A71" s="1" t="n">
        <x:v>7</x:v>
      </x:c>
      <x:c r="B71" s="1" t="n">
        <x:v>6</x:v>
      </x:c>
      <x:c r="C71" s="10" t="str">
        <x:f>"600233"</x:f>
        <x:v>600233</x:v>
      </x:c>
      <x:c r="D71" s="1" t="str">
        <x:v>圆通速递</x:v>
      </x:c>
      <x:c r="E71" s="11" t="n">
        <x:v>0.16826314330481584</x:v>
      </x:c>
      <x:c r="F71" s="11" t="n">
        <x:v>0.33680846528758845</x:v>
      </x:c>
      <x:c r="G71" s="11" t="n">
        <x:v>0.4949283914075956</x:v>
      </x:c>
      <x:c r="H71" s="13" t="n">
        <x:v>0.32666524810277975</x:v>
      </x:c>
      <x:c r="I71" s="12" t="n">
        <x:v>17.57</x:v>
      </x:c>
      <x:c r="J71" s="12" t="n">
        <x:v>17.82</x:v>
      </x:c>
      <x:c r="K71" s="11" t="n">
        <x:v>0.014228799089356814</x:v>
      </x:c>
      <x:c r="L71" s="1" t="n">
        <x:v>1</x:v>
      </x:c>
      <x:c r="M71" s="12" t="n">
        <x:v>17.76</x:v>
      </x:c>
      <x:c r="N71" s="11" t="n">
        <x:v>0.01081388730791133</x:v>
      </x:c>
      <x:c r="O71" s="12" t="n">
        <x:v>17.77</x:v>
      </x:c>
      <x:c r="P71" s="11" t="n">
        <x:v>0.01138303927148554</x:v>
      </x:c>
      <x:c r="Q71" s="12" t="n">
        <x:v>17.59</x:v>
      </x:c>
      <x:c r="R71" s="11" t="n">
        <x:v>0.04702380952380958</x:v>
      </x:c>
    </x:row>
    <x:row r="72" ht="21" customHeight="1">
      <x:c r="A72" s="1" t="n">
        <x:v>7</x:v>
      </x:c>
      <x:c r="B72" s="1" t="n">
        <x:v>7</x:v>
      </x:c>
      <x:c r="C72" s="10" t="str">
        <x:f>"002789"</x:f>
        <x:v>002789</x:v>
      </x:c>
      <x:c r="D72" s="1" t="str">
        <x:v>建艺集团</x:v>
      </x:c>
      <x:c r="E72" s="11" t="n">
        <x:v>0.16908493900168578</x:v>
      </x:c>
      <x:c r="F72" s="11" t="n">
        <x:v>0.27738029526016794</x:v>
      </x:c>
      <x:c r="G72" s="11" t="n">
        <x:v>0.5535347657381463</x:v>
      </x:c>
      <x:c r="H72" s="13" t="n">
        <x:v>0.38444982673646055</x:v>
      </x:c>
      <x:c r="I72" s="12" t="n">
        <x:v>13.86</x:v>
      </x:c>
      <x:c r="J72" s="12" t="n">
        <x:v>13.96</x:v>
      </x:c>
      <x:c r="K72" s="11" t="n">
        <x:v>0.00721500721500723</x:v>
      </x:c>
      <x:c r="L72" s="1" t="n">
        <x:v>0</x:v>
      </x:c>
      <x:c r="M72" s="12" t="n">
        <x:v>13.78</x:v>
      </x:c>
      <x:c r="N72" s="11" t="n">
        <x:v>-0.005772005772005762</x:v>
      </x:c>
      <x:c r="O72" s="12" t="n">
        <x:v>13.71</x:v>
      </x:c>
      <x:c r="P72" s="11" t="n">
        <x:v>-0.010822510822510734</x:v>
      </x:c>
      <x:c r="Q72" s="12" t="n">
        <x:v>13.98</x:v>
      </x:c>
      <x:c r="R72" s="11" t="n">
        <x:v>0.052710843373493965</x:v>
      </x:c>
    </x:row>
    <x:row r="73" ht="21" customHeight="1">
      <x:c r="A73" s="1" t="n">
        <x:v>7</x:v>
      </x:c>
      <x:c r="B73" s="1" t="n">
        <x:v>8</x:v>
      </x:c>
      <x:c r="C73" s="10" t="str">
        <x:f>"300677"</x:f>
        <x:v>300677</x:v>
      </x:c>
      <x:c r="D73" s="1" t="str">
        <x:v>英科医疗</x:v>
      </x:c>
      <x:c r="E73" s="11" t="n">
        <x:v>0.17186999515160478</x:v>
      </x:c>
      <x:c r="F73" s="11" t="n">
        <x:v>0.3463146788447716</x:v>
      </x:c>
      <x:c r="G73" s="11" t="n">
        <x:v>0.4818153260036236</x:v>
      </x:c>
      <x:c r="H73" s="13" t="n">
        <x:v>0.3099453308520188</x:v>
      </x:c>
      <x:c r="I73" s="12" t="n">
        <x:v>55.68</x:v>
      </x:c>
      <x:c r="J73" s="12" t="n">
        <x:v>56.69</x:v>
      </x:c>
      <x:c r="K73" s="11" t="n">
        <x:v>0.018139367816091934</x:v>
      </x:c>
      <x:c r="L73" s="1" t="n">
        <x:v>1</x:v>
      </x:c>
      <x:c r="M73" s="12" t="n">
        <x:v>56.28</x:v>
      </x:c>
      <x:c r="N73" s="11" t="n">
        <x:v>0.010775862068965525</x:v>
      </x:c>
      <x:c r="O73" s="12" t="n">
        <x:v>56.3</x:v>
      </x:c>
      <x:c r="P73" s="11" t="n">
        <x:v>0.011135057471264309</x:v>
      </x:c>
      <x:c r="Q73" s="12" t="n">
        <x:v>55.63</x:v>
      </x:c>
      <x:c r="R73" s="11" t="n">
        <x:v>0.03420710169176444</x:v>
      </x:c>
    </x:row>
    <x:row r="74" ht="21" customHeight="1">
      <x:c r="A74" s="1" t="n">
        <x:v>7</x:v>
      </x:c>
      <x:c r="B74" s="1" t="n">
        <x:v>9</x:v>
      </x:c>
      <x:c r="C74" s="10" t="str">
        <x:f>"300212"</x:f>
        <x:v>300212</x:v>
      </x:c>
      <x:c r="D74" s="1" t="str">
        <x:v>易华录</x:v>
      </x:c>
      <x:c r="E74" s="11" t="n">
        <x:v>0.17273481222219908</x:v>
      </x:c>
      <x:c r="F74" s="11" t="n">
        <x:v>0.30225166223541317</x:v>
      </x:c>
      <x:c r="G74" s="11" t="n">
        <x:v>0.5250135255423877</x:v>
      </x:c>
      <x:c r="H74" s="13" t="n">
        <x:v>0.35227871332018856</x:v>
      </x:c>
      <x:c r="I74" s="12" t="n">
        <x:v>8.64</x:v>
      </x:c>
      <x:c r="J74" s="12" t="n">
        <x:v>8.53</x:v>
      </x:c>
      <x:c r="K74" s="11" t="n">
        <x:v>-0.012731481481481621</x:v>
      </x:c>
      <x:c r="L74" s="1" t="n">
        <x:v>-1</x:v>
      </x:c>
      <x:c r="M74" s="12" t="n">
        <x:v>8.53</x:v>
      </x:c>
      <x:c r="N74" s="11" t="n">
        <x:v>-0.012731481481481621</x:v>
      </x:c>
      <x:c r="O74" s="12" t="n">
        <x:v>8.49</x:v>
      </x:c>
      <x:c r="P74" s="11" t="n">
        <x:v>-0.01736111111111116</x:v>
      </x:c>
      <x:c r="Q74" s="12" t="n">
        <x:v>8.58</x:v>
      </x:c>
      <x:c r="R74" s="11" t="n">
        <x:v>0.033734939759036076</x:v>
      </x:c>
    </x:row>
    <x:row r="75" ht="21" customHeight="1">
      <x:c r="A75" s="1" t="n">
        <x:v>7</x:v>
      </x:c>
      <x:c r="B75" s="1" t="n">
        <x:v>10</x:v>
      </x:c>
      <x:c r="C75" s="10" t="str">
        <x:f>"688625"</x:f>
        <x:v>688625</x:v>
      </x:c>
      <x:c r="D75" s="1" t="str">
        <x:v>呈和科技</x:v>
      </x:c>
      <x:c r="E75" s="11" t="n">
        <x:v>0.17285741827488785</x:v>
      </x:c>
      <x:c r="F75" s="11" t="n">
        <x:v>0.3140905497564475</x:v>
      </x:c>
      <x:c r="G75" s="11" t="n">
        <x:v>0.5130520319686646</x:v>
      </x:c>
      <x:c r="H75" s="13" t="n">
        <x:v>0.3401946136937767</x:v>
      </x:c>
      <x:c r="I75" s="12" t="n">
        <x:v>58.99</x:v>
      </x:c>
      <x:c r="J75" s="12" t="n">
        <x:v>59.15</x:v>
      </x:c>
      <x:c r="K75" s="11" t="n">
        <x:v>0.002712324122732701</x:v>
      </x:c>
      <x:c r="L75" s="1" t="n">
        <x:v>0</x:v>
      </x:c>
      <x:c r="M75" s="12" t="n">
        <x:v>58.97</x:v>
      </x:c>
      <x:c r="N75" s="11" t="n">
        <x:v>-0.0003390405153416154</x:v>
      </x:c>
      <x:c r="O75" s="12" t="n">
        <x:v>58.95</x:v>
      </x:c>
      <x:c r="P75" s="11" t="n">
        <x:v>-0.0006780810306831198</x:v>
      </x:c>
      <x:c r="Q75" s="12" t="n">
        <x:v>58.53</x:v>
      </x:c>
      <x:c r="R75" s="11" t="n">
        <x:v>0.035379444542720684</x:v>
      </x:c>
    </x:row>
    <x:row r="76" ht="21" customHeight="1">
      <x:c r="A76" s="1" t="n">
        <x:v>8</x:v>
      </x:c>
      <x:c r="B76" s="1" t="n">
        <x:v>1</x:v>
      </x:c>
      <x:c r="C76" s="10" t="str">
        <x:f>"300408"</x:f>
        <x:v>300408</x:v>
      </x:c>
      <x:c r="D76" s="1" t="str">
        <x:v>三环集团</x:v>
      </x:c>
      <x:c r="E76" s="11" t="n">
        <x:v>0.13443718165351126</x:v>
      </x:c>
      <x:c r="F76" s="11" t="n">
        <x:v>0.29109222083632424</x:v>
      </x:c>
      <x:c r="G76" s="11" t="n">
        <x:v>0.5744705975101645</x:v>
      </x:c>
      <x:c r="H76" s="13" t="n">
        <x:v>0.44003341585665323</x:v>
      </x:c>
      <x:c r="I76" s="12" t="n">
        <x:v>123.76</x:v>
      </x:c>
      <x:c r="J76" s="12" t="n">
        <x:v>128</x:v>
      </x:c>
      <x:c r="K76" s="11" t="n">
        <x:v>0.03425985778926943</x:v>
      </x:c>
      <x:c r="L76" s="1" t="n">
        <x:v>1</x:v>
      </x:c>
      <x:c r="M76" s="12" t="n">
        <x:v>127.93</x:v>
      </x:c>
      <x:c r="N76" s="11" t="n">
        <x:v>0.03369424692954115</x:v>
      </x:c>
      <x:c r="O76" s="12" t="n">
        <x:v>127.83</x:v>
      </x:c>
      <x:c r="P76" s="11" t="n">
        <x:v>0.032886231415643064</x:v>
      </x:c>
      <x:c r="Q76" s="12" t="n">
        <x:v>124.36</x:v>
      </x:c>
      <x:c r="R76" s="11" t="n">
        <x:v>0.056584536958368625</x:v>
      </x:c>
    </x:row>
    <x:row r="77" ht="21" customHeight="1">
      <x:c r="A77" s="1" t="n">
        <x:v>8</x:v>
      </x:c>
      <x:c r="B77" s="1" t="n">
        <x:v>2</x:v>
      </x:c>
      <x:c r="C77" s="10" t="str">
        <x:f>"601869"</x:f>
        <x:v>601869</x:v>
      </x:c>
      <x:c r="D77" s="1" t="str">
        <x:v>长飞光纤</x:v>
      </x:c>
      <x:c r="E77" s="11" t="n">
        <x:v>0.1391482869553537</x:v>
      </x:c>
      <x:c r="F77" s="11" t="n">
        <x:v>0.2570292172519704</x:v>
      </x:c>
      <x:c r="G77" s="11" t="n">
        <x:v>0.6038224957926759</x:v>
      </x:c>
      <x:c r="H77" s="13" t="n">
        <x:v>0.4646742088373222</x:v>
      </x:c>
      <x:c r="I77" s="12" t="n">
        <x:v>461.61</x:v>
      </x:c>
      <x:c r="J77" s="12" t="n">
        <x:v>455</x:v>
      </x:c>
      <x:c r="K77" s="11" t="n">
        <x:v>-0.014319447152358111</x:v>
      </x:c>
      <x:c r="L77" s="1" t="n">
        <x:v>-1</x:v>
      </x:c>
      <x:c r="M77" s="12" t="n">
        <x:v>450</x:v>
      </x:c>
      <x:c r="N77" s="11" t="n">
        <x:v>-0.025151101579255264</x:v>
      </x:c>
      <x:c r="O77" s="12" t="n">
        <x:v>449.99</x:v>
      </x:c>
      <x:c r="P77" s="11" t="n">
        <x:v>-0.025172764888109045</x:v>
      </x:c>
      <x:c r="Q77" s="12" t="n">
        <x:v>473.99</x:v>
      </x:c>
      <x:c r="R77" s="11" t="n">
        <x:v>0.08778170468628077</x:v>
      </x:c>
    </x:row>
    <x:row r="78" ht="21" customHeight="1">
      <x:c r="A78" s="1" t="n">
        <x:v>8</x:v>
      </x:c>
      <x:c r="B78" s="1" t="n">
        <x:v>3</x:v>
      </x:c>
      <x:c r="C78" s="10" t="str">
        <x:f>"688519"</x:f>
        <x:v>688519</x:v>
      </x:c>
      <x:c r="D78" s="1" t="str">
        <x:v>南亚新材</x:v>
      </x:c>
      <x:c r="E78" s="11" t="n">
        <x:v>0.1738715874583779</x:v>
      </x:c>
      <x:c r="F78" s="11" t="n">
        <x:v>0.2809720204653794</x:v>
      </x:c>
      <x:c r="G78" s="11" t="n">
        <x:v>0.5451563920762427</x:v>
      </x:c>
      <x:c r="H78" s="13" t="n">
        <x:v>0.3712848046178647</x:v>
      </x:c>
      <x:c r="I78" s="12" t="n">
        <x:v>324.31</x:v>
      </x:c>
      <x:c r="J78" s="12" t="n">
        <x:v>325.6</x:v>
      </x:c>
      <x:c r="K78" s="11" t="n">
        <x:v>0.003977675680675974</x:v>
      </x:c>
      <x:c r="L78" s="1" t="n">
        <x:v>0</x:v>
      </x:c>
      <x:c r="M78" s="12" t="n">
        <x:v>323.56</x:v>
      </x:c>
      <x:c r="N78" s="11" t="n">
        <x:v>-0.0023126021399278995</x:v>
      </x:c>
      <x:c r="O78" s="12" t="n">
        <x:v>325.09</x:v>
      </x:c>
      <x:c r="P78" s="11" t="n">
        <x:v>0.0024051062255248112</x:v>
      </x:c>
      <x:c r="Q78" s="12" t="n">
        <x:v>327.07</x:v>
      </x:c>
      <x:c r="R78" s="11" t="n">
        <x:v>0.056461772021060286</x:v>
      </x:c>
    </x:row>
    <x:row r="79" ht="21" customHeight="1">
      <x:c r="A79" s="1" t="n">
        <x:v>8</x:v>
      </x:c>
      <x:c r="B79" s="1" t="n">
        <x:v>4</x:v>
      </x:c>
      <x:c r="C79" s="10" t="str">
        <x:f>"601595"</x:f>
        <x:v>601595</x:v>
      </x:c>
      <x:c r="D79" s="1" t="str">
        <x:v>上海电影</x:v>
      </x:c>
      <x:c r="E79" s="11" t="n">
        <x:v>0.1915854882288642</x:v>
      </x:c>
      <x:c r="F79" s="11" t="n">
        <x:v>0.22910248576948603</x:v>
      </x:c>
      <x:c r="G79" s="11" t="n">
        <x:v>0.5793120260016498</x:v>
      </x:c>
      <x:c r="H79" s="13" t="n">
        <x:v>0.38772653777278554</x:v>
      </x:c>
      <x:c r="I79" s="12" t="n">
        <x:v>23.36</x:v>
      </x:c>
      <x:c r="J79" s="12" t="n">
        <x:v>23.98</x:v>
      </x:c>
      <x:c r="K79" s="11" t="n">
        <x:v>0.026541095890411093</x:v>
      </x:c>
      <x:c r="L79" s="1" t="n">
        <x:v>1</x:v>
      </x:c>
      <x:c r="M79" s="12" t="n">
        <x:v>23.96</x:v>
      </x:c>
      <x:c r="N79" s="11" t="n">
        <x:v>0.025684931506849473</x:v>
      </x:c>
      <x:c r="O79" s="12" t="n">
        <x:v>23.93</x:v>
      </x:c>
      <x:c r="P79" s="11" t="n">
        <x:v>0.024400684931506822</x:v>
      </x:c>
      <x:c r="Q79" s="12" t="n">
        <x:v>23.53</x:v>
      </x:c>
      <x:c r="R79" s="11" t="n">
        <x:v>0.0570530098831985</x:v>
      </x:c>
    </x:row>
    <x:row r="80" ht="21" customHeight="1">
      <x:c r="A80" s="1" t="n">
        <x:v>8</x:v>
      </x:c>
      <x:c r="B80" s="1" t="n">
        <x:v>5</x:v>
      </x:c>
      <x:c r="C80" s="10" t="str">
        <x:f>"300486"</x:f>
        <x:v>300486</x:v>
      </x:c>
      <x:c r="D80" s="1" t="str">
        <x:v>东杰智能</x:v>
      </x:c>
      <x:c r="E80" s="11" t="n">
        <x:v>0.19563564485656323</x:v>
      </x:c>
      <x:c r="F80" s="11" t="n">
        <x:v>0.3302614780955615</x:v>
      </x:c>
      <x:c r="G80" s="11" t="n">
        <x:v>0.47410287704787524</x:v>
      </x:c>
      <x:c r="H80" s="13" t="n">
        <x:v>0.278467232191312</x:v>
      </x:c>
      <x:c r="I80" s="12" t="n">
        <x:v>18.83</x:v>
      </x:c>
      <x:c r="J80" s="12" t="n">
        <x:v>18.94</x:v>
      </x:c>
      <x:c r="K80" s="11" t="n">
        <x:v>0.005841741901221553</x:v>
      </x:c>
      <x:c r="L80" s="1" t="n">
        <x:v>0</x:v>
      </x:c>
      <x:c r="M80" s="12" t="n">
        <x:v>18.87</x:v>
      </x:c>
      <x:c r="N80" s="11" t="n">
        <x:v>0.0021242697822625445</x:v>
      </x:c>
      <x:c r="O80" s="12" t="n">
        <x:v>18.88</x:v>
      </x:c>
      <x:c r="P80" s="11" t="n">
        <x:v>0.0026553372278279586</x:v>
      </x:c>
      <x:c r="Q80" s="12" t="n">
        <x:v>18.94</x:v>
      </x:c>
      <x:c r="R80" s="11" t="n">
        <x:v>0.04640883977900545</x:v>
      </x:c>
    </x:row>
    <x:row r="81" ht="21" customHeight="1">
      <x:c r="A81" s="1" t="n">
        <x:v>8</x:v>
      </x:c>
      <x:c r="B81" s="1" t="n">
        <x:v>6</x:v>
      </x:c>
      <x:c r="C81" s="10" t="str">
        <x:f>"002694"</x:f>
        <x:v>002694</x:v>
      </x:c>
      <x:c r="D81" s="1" t="str">
        <x:v>顾地科技</x:v>
      </x:c>
      <x:c r="E81" s="11" t="n">
        <x:v>0.19691084764276057</x:v>
      </x:c>
      <x:c r="F81" s="11" t="n">
        <x:v>0.36081016386654724</x:v>
      </x:c>
      <x:c r="G81" s="11" t="n">
        <x:v>0.4422789884906922</x:v>
      </x:c>
      <x:c r="H81" s="13" t="n">
        <x:v>0.24536814084793163</x:v>
      </x:c>
      <x:c r="I81" s="12" t="n">
        <x:v>2.53</x:v>
      </x:c>
      <x:c r="J81" s="12" t="n">
        <x:v>2.55</x:v>
      </x:c>
      <x:c r="K81" s="11" t="n">
        <x:v>0.007905138339920903</x:v>
      </x:c>
      <x:c r="L81" s="1" t="n">
        <x:v>0</x:v>
      </x:c>
      <x:c r="M81" s="12" t="n">
        <x:v>2.54</x:v>
      </x:c>
      <x:c r="N81" s="11" t="n">
        <x:v>0.0039525691699606735</x:v>
      </x:c>
      <x:c r="O81" s="12" t="n">
        <x:v>2.54</x:v>
      </x:c>
      <x:c r="P81" s="11" t="n">
        <x:v>0.0039525691699606735</x:v>
      </x:c>
      <x:c r="Q81" s="12" t="n">
        <x:v>2.48</x:v>
      </x:c>
      <x:c r="R81" s="11" t="n">
        <x:v>0.012244897959183598</x:v>
      </x:c>
    </x:row>
    <x:row r="82" ht="21" customHeight="1">
      <x:c r="A82" s="1" t="n">
        <x:v>9</x:v>
      </x:c>
      <x:c r="B82" s="1" t="n">
        <x:v>1</x:v>
      </x:c>
      <x:c r="C82" s="10" t="str">
        <x:f>"603259"</x:f>
        <x:v>603259</x:v>
      </x:c>
      <x:c r="D82" s="1" t="str">
        <x:v>药明康德</x:v>
      </x:c>
      <x:c r="E82" s="11" t="n">
        <x:v>0.09812310317274309</x:v>
      </x:c>
      <x:c r="F82" s="11" t="n">
        <x:v>0.36500476265204723</x:v>
      </x:c>
      <x:c r="G82" s="11" t="n">
        <x:v>0.5368721341752096</x:v>
      </x:c>
      <x:c r="H82" s="13" t="n">
        <x:v>0.43874903100246654</x:v>
      </x:c>
      <x:c r="I82" s="12" t="n">
        <x:v>158.76</x:v>
      </x:c>
      <x:c r="J82" s="12" t="n">
        <x:v>159.68</x:v>
      </x:c>
      <x:c r="K82" s="11" t="n">
        <x:v>0.005794910556815358</x:v>
      </x:c>
      <x:c r="L82" s="1" t="n">
        <x:v>0</x:v>
      </x:c>
      <x:c r="M82" s="12" t="n">
        <x:v>158.8</x:v>
      </x:c>
      <x:c r="N82" s="11" t="n">
        <x:v>0.00025195263290522796</x:v>
      </x:c>
      <x:c r="O82" s="12" t="n">
        <x:v>158.9</x:v>
      </x:c>
      <x:c r="P82" s="11" t="n">
        <x:v>0.0008818342151677427</x:v>
      </x:c>
      <x:c r="Q82" s="12" t="n">
        <x:v>158.86</x:v>
      </x:c>
      <x:c r="R82" s="11" t="n">
        <x:v>0.050383496429516006</x:v>
      </x:c>
    </x:row>
    <x:row r="83" ht="21" customHeight="1">
      <x:c r="A83" s="1" t="n">
        <x:v>9</x:v>
      </x:c>
      <x:c r="B83" s="1" t="n">
        <x:v>2</x:v>
      </x:c>
      <x:c r="C83" s="10" t="str">
        <x:f>"688506"</x:f>
        <x:v>688506</x:v>
      </x:c>
      <x:c r="D83" s="1" t="str">
        <x:v>百利天恒</x:v>
      </x:c>
      <x:c r="E83" s="11" t="n">
        <x:v>0.15081830925142503</x:v>
      </x:c>
      <x:c r="F83" s="11" t="n">
        <x:v>0.3165538043044718</x:v>
      </x:c>
      <x:c r="G83" s="11" t="n">
        <x:v>0.5326278864441033</x:v>
      </x:c>
      <x:c r="H83" s="13" t="n">
        <x:v>0.3818095771926783</x:v>
      </x:c>
      <x:c r="I83" s="12" t="n">
        <x:v>251.81</x:v>
      </x:c>
      <x:c r="J83" s="12" t="n">
        <x:v>254</x:v>
      </x:c>
      <x:c r="K83" s="11" t="n">
        <x:v>0.008697033477621963</x:v>
      </x:c>
      <x:c r="L83" s="1" t="n">
        <x:v>0</x:v>
      </x:c>
      <x:c r="M83" s="12" t="n">
        <x:v>253.33</x:v>
      </x:c>
      <x:c r="N83" s="11" t="n">
        <x:v>0.006036297208212638</x:v>
      </x:c>
      <x:c r="O83" s="12" t="n">
        <x:v>249.49</x:v>
      </x:c>
      <x:c r="P83" s="11" t="n">
        <x:v>-0.009213295738850658</x:v>
      </x:c>
      <x:c r="Q83" s="12" t="n">
        <x:v>252</x:v>
      </x:c>
      <x:c r="R83" s="11" t="n">
        <x:v>0.056072416394266966</x:v>
      </x:c>
    </x:row>
    <x:row r="84" ht="21" customHeight="1">
      <x:c r="A84" s="1" t="n">
        <x:v>9</x:v>
      </x:c>
      <x:c r="B84" s="1" t="n">
        <x:v>3</x:v>
      </x:c>
      <x:c r="C84" s="10" t="str">
        <x:f>"688585"</x:f>
        <x:v>688585</x:v>
      </x:c>
      <x:c r="D84" s="1" t="str">
        <x:v>上纬新材</x:v>
      </x:c>
      <x:c r="E84" s="11" t="n">
        <x:v>0.16118495170254898</x:v>
      </x:c>
      <x:c r="F84" s="11" t="n">
        <x:v>0.3565427349138519</x:v>
      </x:c>
      <x:c r="G84" s="11" t="n">
        <x:v>0.48227231338359916</x:v>
      </x:c>
      <x:c r="H84" s="13" t="n">
        <x:v>0.3210873616810502</x:v>
      </x:c>
      <x:c r="I84" s="12" t="n">
        <x:v>145.74</x:v>
      </x:c>
      <x:c r="J84" s="12" t="n">
        <x:v>146.8</x:v>
      </x:c>
      <x:c r="K84" s="11" t="n">
        <x:v>0.007273226293399215</x:v>
      </x:c>
      <x:c r="L84" s="1" t="n">
        <x:v>0</x:v>
      </x:c>
      <x:c r="M84" s="12" t="n">
        <x:v>146.6</x:v>
      </x:c>
      <x:c r="N84" s="11" t="n">
        <x:v>0.005900919445587904</x:v>
      </x:c>
      <x:c r="O84" s="12" t="n">
        <x:v>146.6</x:v>
      </x:c>
      <x:c r="P84" s="11" t="n">
        <x:v>0.005900919445587904</x:v>
      </x:c>
      <x:c r="Q84" s="12" t="n">
        <x:v>145.5</x:v>
      </x:c>
      <x:c r="R84" s="11" t="n">
        <x:v>0.037211291702309746</x:v>
      </x:c>
    </x:row>
    <x:row r="85" ht="21" customHeight="1">
      <x:c r="A85" s="1" t="n">
        <x:v>9</x:v>
      </x:c>
      <x:c r="B85" s="1" t="n">
        <x:v>4</x:v>
      </x:c>
      <x:c r="C85" s="10" t="str">
        <x:f>"603129"</x:f>
        <x:v>603129</x:v>
      </x:c>
      <x:c r="D85" s="1" t="str">
        <x:v>春风动力</x:v>
      </x:c>
      <x:c r="E85" s="11" t="n">
        <x:v>0.16613236987641383</x:v>
      </x:c>
      <x:c r="F85" s="11" t="n">
        <x:v>0.38371422700852276</x:v>
      </x:c>
      <x:c r="G85" s="11" t="n">
        <x:v>0.4501534031150633</x:v>
      </x:c>
      <x:c r="H85" s="13" t="n">
        <x:v>0.28402103323864947</x:v>
      </x:c>
      <x:c r="I85" s="12" t="n">
        <x:v>298.37</x:v>
      </x:c>
      <x:c r="J85" s="12" t="n">
        <x:v>303.5</x:v>
      </x:c>
      <x:c r="K85" s="11" t="n">
        <x:v>0.017193417568790448</x:v>
      </x:c>
      <x:c r="L85" s="1" t="n">
        <x:v>1</x:v>
      </x:c>
      <x:c r="M85" s="12" t="n">
        <x:v>302.91</x:v>
      </x:c>
      <x:c r="N85" s="11" t="n">
        <x:v>0.015216006971210394</x:v>
      </x:c>
      <x:c r="O85" s="12" t="n">
        <x:v>303.35</x:v>
      </x:c>
      <x:c r="P85" s="11" t="n">
        <x:v>0.016690686060931048</x:v>
      </x:c>
      <x:c r="Q85" s="12" t="n">
        <x:v>299.88</x:v>
      </x:c>
      <x:c r="R85" s="11" t="n">
        <x:v>0.03585492227979281</x:v>
      </x:c>
    </x:row>
    <x:row r="86" ht="21" customHeight="1">
      <x:c r="A86" s="1" t="n">
        <x:v>9</x:v>
      </x:c>
      <x:c r="B86" s="1" t="n">
        <x:v>5</x:v>
      </x:c>
      <x:c r="C86" s="10" t="str">
        <x:f>"688235"</x:f>
        <x:v>688235</x:v>
      </x:c>
      <x:c r="D86" s="1" t="str">
        <x:v>百济神州</x:v>
      </x:c>
      <x:c r="E86" s="11" t="n">
        <x:v>0.16922389388930748</x:v>
      </x:c>
      <x:c r="F86" s="11" t="n">
        <x:v>0.3651106218009769</x:v>
      </x:c>
      <x:c r="G86" s="11" t="n">
        <x:v>0.4656654843097156</x:v>
      </x:c>
      <x:c r="H86" s="13" t="n">
        <x:v>0.29644159042040813</x:v>
      </x:c>
      <x:c r="I86" s="12" t="n">
        <x:v>256.57</x:v>
      </x:c>
      <x:c r="J86" s="12" t="n">
        <x:v>257</x:v>
      </x:c>
      <x:c r="K86" s="11" t="n">
        <x:v>0.001675955879487212</x:v>
      </x:c>
      <x:c r="L86" s="1" t="n">
        <x:v>0</x:v>
      </x:c>
      <x:c r="M86" s="12" t="n">
        <x:v>256.8</x:v>
      </x:c>
      <x:c r="N86" s="11" t="n">
        <x:v>0.0008964415169350204</x:v>
      </x:c>
      <x:c r="O86" s="12" t="n">
        <x:v>256.79</x:v>
      </x:c>
      <x:c r="P86" s="11" t="n">
        <x:v>0.0008574657988074108</x:v>
      </x:c>
      <x:c r="Q86" s="12" t="n">
        <x:v>256.6</x:v>
      </x:c>
      <x:c r="R86" s="11" t="n">
        <x:v>0.03760614638091386</x:v>
      </x:c>
    </x:row>
    <x:row r="87" ht="21" customHeight="1">
      <x:c r="A87" s="1" t="n">
        <x:v>9</x:v>
      </x:c>
      <x:c r="B87" s="1" t="n">
        <x:v>6</x:v>
      </x:c>
      <x:c r="C87" s="10" t="str">
        <x:f>"301015"</x:f>
        <x:v>301015</x:v>
      </x:c>
      <x:c r="D87" s="1" t="str">
        <x:v>百洋医药</x:v>
      </x:c>
      <x:c r="E87" s="11" t="n">
        <x:v>0.17056800444472547</x:v>
      </x:c>
      <x:c r="F87" s="11" t="n">
        <x:v>0.3314896114758597</x:v>
      </x:c>
      <x:c r="G87" s="11" t="n">
        <x:v>0.49794238407941493</x:v>
      </x:c>
      <x:c r="H87" s="13" t="n">
        <x:v>0.32737437963468946</x:v>
      </x:c>
      <x:c r="I87" s="12" t="n">
        <x:v>24.38</x:v>
      </x:c>
      <x:c r="J87" s="12" t="n">
        <x:v>24.4</x:v>
      </x:c>
      <x:c r="K87" s="11" t="n">
        <x:v>0.0008203445447088065</x:v>
      </x:c>
      <x:c r="L87" s="1" t="n">
        <x:v>0</x:v>
      </x:c>
      <x:c r="M87" s="12" t="n">
        <x:v>24.32</x:v>
      </x:c>
      <x:c r="N87" s="11" t="n">
        <x:v>-0.0024610336341263084</x:v>
      </x:c>
      <x:c r="O87" s="12" t="n">
        <x:v>24.25</x:v>
      </x:c>
      <x:c r="P87" s="11" t="n">
        <x:v>-0.00533223954060702</x:v>
      </x:c>
      <x:c r="Q87" s="12" t="n">
        <x:v>24.43</x:v>
      </x:c>
      <x:c r="R87" s="11" t="n">
        <x:v>0.04446344591705853</x:v>
      </x:c>
    </x:row>
    <x:row r="88" ht="21" customHeight="1">
      <x:c r="A88" s="1" t="n">
        <x:v>9</x:v>
      </x:c>
      <x:c r="B88" s="1" t="n">
        <x:v>7</x:v>
      </x:c>
      <x:c r="C88" s="10" t="str">
        <x:f>"605288"</x:f>
        <x:v>605288</x:v>
      </x:c>
      <x:c r="D88" s="1" t="str">
        <x:v>凯迪股份</x:v>
      </x:c>
      <x:c r="E88" s="11" t="n">
        <x:v>0.17098716468409153</x:v>
      </x:c>
      <x:c r="F88" s="11" t="n">
        <x:v>0.3299729037914428</x:v>
      </x:c>
      <x:c r="G88" s="11" t="n">
        <x:v>0.49903993152446563</x:v>
      </x:c>
      <x:c r="H88" s="13" t="n">
        <x:v>0.3280527668403741</x:v>
      </x:c>
      <x:c r="I88" s="12" t="n">
        <x:v>63.5</x:v>
      </x:c>
      <x:c r="J88" s="12" t="n">
        <x:v>63.21</x:v>
      </x:c>
      <x:c r="K88" s="11" t="n">
        <x:v>-0.004566929133858255</x:v>
      </x:c>
      <x:c r="L88" s="1" t="n">
        <x:v>-1</x:v>
      </x:c>
      <x:c r="M88" s="12" t="n">
        <x:v>62.92</x:v>
      </x:c>
      <x:c r="N88" s="11" t="n">
        <x:v>-0.00913385826771651</x:v>
      </x:c>
      <x:c r="O88" s="12" t="n">
        <x:v>62.92</x:v>
      </x:c>
      <x:c r="P88" s="11" t="n">
        <x:v>-0.00913385826771651</x:v>
      </x:c>
      <x:c r="Q88" s="12" t="n">
        <x:v>63.48</x:v>
      </x:c>
      <x:c r="R88" s="11" t="n">
        <x:v>0.037763609612555094</x:v>
      </x:c>
    </x:row>
    <x:row r="89" ht="21" customHeight="1">
      <x:c r="A89" s="1" t="n">
        <x:v>9</x:v>
      </x:c>
      <x:c r="B89" s="1" t="n">
        <x:v>8</x:v>
      </x:c>
      <x:c r="C89" s="10" t="str">
        <x:f>"688337"</x:f>
        <x:v>688337</x:v>
      </x:c>
      <x:c r="D89" s="1" t="str">
        <x:v>普源精电</x:v>
      </x:c>
      <x:c r="E89" s="11" t="n">
        <x:v>0.17234657326555353</x:v>
      </x:c>
      <x:c r="F89" s="11" t="n">
        <x:v>0.36377838932543893</x:v>
      </x:c>
      <x:c r="G89" s="11" t="n">
        <x:v>0.46387503740900743</x:v>
      </x:c>
      <x:c r="H89" s="13" t="n">
        <x:v>0.2915284641434539</x:v>
      </x:c>
      <x:c r="I89" s="12" t="n">
        <x:v>41.43</x:v>
      </x:c>
      <x:c r="J89" s="12" t="n">
        <x:v>41.5</x:v>
      </x:c>
      <x:c r="K89" s="11" t="n">
        <x:v>0.0016895969104513409</x:v>
      </x:c>
      <x:c r="L89" s="1" t="n">
        <x:v>0</x:v>
      </x:c>
      <x:c r="M89" s="12" t="n">
        <x:v>41.37</x:v>
      </x:c>
      <x:c r="N89" s="11" t="n">
        <x:v>-0.0014482259232441175</x:v>
      </x:c>
      <x:c r="O89" s="12" t="n">
        <x:v>41.37</x:v>
      </x:c>
      <x:c r="P89" s="11" t="n">
        <x:v>-0.0014482259232441175</x:v>
      </x:c>
      <x:c r="Q89" s="12" t="n">
        <x:v>41.5</x:v>
      </x:c>
      <x:c r="R89" s="11" t="n">
        <x:v>0.03233830845771135</x:v>
      </x:c>
    </x:row>
    <x:row r="90" ht="21" customHeight="1">
      <x:c r="A90" s="1" t="n">
        <x:v>9</x:v>
      </x:c>
      <x:c r="B90" s="1" t="n">
        <x:v>9</x:v>
      </x:c>
      <x:c r="C90" s="10" t="str">
        <x:f>"605118"</x:f>
        <x:v>605118</x:v>
      </x:c>
      <x:c r="D90" s="1" t="str">
        <x:v>力鼎光电</x:v>
      </x:c>
      <x:c r="E90" s="11" t="n">
        <x:v>0.17238081651711812</x:v>
      </x:c>
      <x:c r="F90" s="11" t="n">
        <x:v>0.2926312932813257</x:v>
      </x:c>
      <x:c r="G90" s="11" t="n">
        <x:v>0.5349878902015562</x:v>
      </x:c>
      <x:c r="H90" s="13" t="n">
        <x:v>0.3626070736844381</x:v>
      </x:c>
      <x:c r="I90" s="12" t="n">
        <x:v>34.61</x:v>
      </x:c>
      <x:c r="J90" s="12" t="n">
        <x:v>34.19</x:v>
      </x:c>
      <x:c r="K90" s="11" t="n">
        <x:v>-0.012135221034383137</x:v>
      </x:c>
      <x:c r="L90" s="1" t="n">
        <x:v>-1</x:v>
      </x:c>
      <x:c r="M90" s="12" t="n">
        <x:v>34.19</x:v>
      </x:c>
      <x:c r="N90" s="11" t="n">
        <x:v>-0.012135221034383137</x:v>
      </x:c>
      <x:c r="O90" s="12" t="n">
        <x:v>33.98</x:v>
      </x:c>
      <x:c r="P90" s="11" t="n">
        <x:v>-0.01820283155157476</x:v>
      </x:c>
      <x:c r="Q90" s="12" t="n">
        <x:v>34.31</x:v>
      </x:c>
      <x:c r="R90" s="11" t="n">
        <x:v>0.04444444444444451</x:v>
      </x:c>
    </x:row>
    <x:row r="91" ht="21" customHeight="1">
      <x:c r="A91" s="1" t="n">
        <x:v>9</x:v>
      </x:c>
      <x:c r="B91" s="1" t="n">
        <x:v>10</x:v>
      </x:c>
      <x:c r="C91" s="10" t="str">
        <x:f>"603389"</x:f>
        <x:v>603389</x:v>
      </x:c>
      <x:c r="D91" s="1" t="str">
        <x:v>亚振家居</x:v>
      </x:c>
      <x:c r="E91" s="11" t="n">
        <x:v>0.17241188765604173</x:v>
      </x:c>
      <x:c r="F91" s="11" t="n">
        <x:v>0.3400427391394911</x:v>
      </x:c>
      <x:c r="G91" s="11" t="n">
        <x:v>0.4875453732044671</x:v>
      </x:c>
      <x:c r="H91" s="13" t="n">
        <x:v>0.31513348554842535</x:v>
      </x:c>
      <x:c r="I91" s="12" t="n">
        <x:v>47.32</x:v>
      </x:c>
      <x:c r="J91" s="12" t="n">
        <x:v>47.51</x:v>
      </x:c>
      <x:c r="K91" s="11" t="n">
        <x:v>0.0040152155536770096</x:v>
      </x:c>
      <x:c r="L91" s="1" t="n">
        <x:v>0</x:v>
      </x:c>
      <x:c r="M91" s="12" t="n">
        <x:v>47.4</x:v>
      </x:c>
      <x:c r="N91" s="11" t="n">
        <x:v>0.0016906170752324368</x:v>
      </x:c>
      <x:c r="O91" s="12" t="n">
        <x:v>47.45</x:v>
      </x:c>
      <x:c r="P91" s="11" t="n">
        <x:v>0.0027472527472527375</x:v>
      </x:c>
      <x:c r="Q91" s="12" t="n">
        <x:v>47.15</x:v>
      </x:c>
      <x:c r="R91" s="11" t="n">
        <x:v>0.0299257317605941</x:v>
      </x:c>
    </x:row>
    <x:row r="92" ht="21" customHeight="1">
      <x:c r="A92" s="1" t="n">
        <x:v>10</x:v>
      </x:c>
      <x:c r="B92" s="1" t="n">
        <x:v>1</x:v>
      </x:c>
      <x:c r="C92" s="10" t="str">
        <x:f>"688256"</x:f>
        <x:v>688256</x:v>
      </x:c>
      <x:c r="D92" s="1" t="str">
        <x:v>寒武纪</x:v>
      </x:c>
      <x:c r="E92" s="11" t="n">
        <x:v>0.07340235255216034</x:v>
      </x:c>
      <x:c r="F92" s="11" t="n">
        <x:v>0.5253766606652687</x:v>
      </x:c>
      <x:c r="G92" s="11" t="n">
        <x:v>0.4012209867825709</x:v>
      </x:c>
      <x:c r="H92" s="13" t="n">
        <x:v>0.3278186342304106</x:v>
      </x:c>
      <x:c r="I92" s="12" t="n">
        <x:v>1075.05</x:v>
      </x:c>
      <x:c r="J92" s="12" t="n">
        <x:v>1098.88</x:v>
      </x:c>
      <x:c r="K92" s="11" t="n">
        <x:v>0.02216641086461113</x:v>
      </x:c>
      <x:c r="L92" s="1" t="n">
        <x:v>1</x:v>
      </x:c>
      <x:c r="M92" s="12" t="n">
        <x:v>1097.24</x:v>
      </x:c>
      <x:c r="N92" s="11" t="n">
        <x:v>0.020640900423236186</x:v>
      </x:c>
      <x:c r="O92" s="12" t="n">
        <x:v>1097.24</x:v>
      </x:c>
      <x:c r="P92" s="11" t="n">
        <x:v>0.020640900423236186</x:v>
      </x:c>
      <x:c r="Q92" s="12" t="n">
        <x:v>1075.79</x:v>
      </x:c>
      <x:c r="R92" s="11" t="n">
        <x:v>0.034413461538461476</x:v>
      </x:c>
    </x:row>
    <x:row r="93" ht="21" customHeight="1">
      <x:c r="A93" s="1" t="n">
        <x:v>10</x:v>
      </x:c>
      <x:c r="B93" s="1" t="n">
        <x:v>2</x:v>
      </x:c>
      <x:c r="C93" s="10" t="str">
        <x:f>"300604"</x:f>
        <x:v>300604</x:v>
      </x:c>
      <x:c r="D93" s="1" t="str">
        <x:v>长川科技</x:v>
      </x:c>
      <x:c r="E93" s="11" t="n">
        <x:v>0.17019297646893122</x:v>
      </x:c>
      <x:c r="F93" s="11" t="n">
        <x:v>0.31944329860405685</x:v>
      </x:c>
      <x:c r="G93" s="11" t="n">
        <x:v>0.5103637249270119</x:v>
      </x:c>
      <x:c r="H93" s="13" t="n">
        <x:v>0.34017074845808065</x:v>
      </x:c>
      <x:c r="I93" s="12" t="n">
        <x:v>266.21</x:v>
      </x:c>
      <x:c r="J93" s="12" t="n">
        <x:v>269.5</x:v>
      </x:c>
      <x:c r="K93" s="11" t="n">
        <x:v>0.01235866421246401</x:v>
      </x:c>
      <x:c r="L93" s="1" t="n">
        <x:v>1</x:v>
      </x:c>
      <x:c r="M93" s="12" t="n">
        <x:v>268.19</x:v>
      </x:c>
      <x:c r="N93" s="11" t="n">
        <x:v>0.007437737124826427</x:v>
      </x:c>
      <x:c r="O93" s="12" t="n">
        <x:v>265.51</x:v>
      </x:c>
      <x:c r="P93" s="11" t="n">
        <x:v>-0.0026295030239283923</x:v>
      </x:c>
      <x:c r="Q93" s="12" t="n">
        <x:v>267.25</x:v>
      </x:c>
      <x:c r="R93" s="11" t="n">
        <x:v>0.05394959971605484</x:v>
      </x:c>
    </x:row>
    <x:row r="94" ht="21" customHeight="1">
      <x:c r="A94" s="1" t="n">
        <x:v>10</x:v>
      </x:c>
      <x:c r="B94" s="1" t="n">
        <x:v>3</x:v>
      </x:c>
      <x:c r="C94" s="10" t="str">
        <x:f>"688521"</x:f>
        <x:v>688521</x:v>
      </x:c>
      <x:c r="D94" s="1" t="str">
        <x:v>芯原股份</x:v>
      </x:c>
      <x:c r="E94" s="11" t="n">
        <x:v>0.1737054672502907</x:v>
      </x:c>
      <x:c r="F94" s="11" t="n">
        <x:v>0.36257199961718134</x:v>
      </x:c>
      <x:c r="G94" s="11" t="n">
        <x:v>0.4637225331325281</x:v>
      </x:c>
      <x:c r="H94" s="13" t="n">
        <x:v>0.2900170658822374</x:v>
      </x:c>
      <x:c r="I94" s="12" t="n">
        <x:v>184.8</x:v>
      </x:c>
      <x:c r="J94" s="12" t="n">
        <x:v>188</x:v>
      </x:c>
      <x:c r="K94" s="11" t="n">
        <x:v>0.017316017316017174</x:v>
      </x:c>
      <x:c r="L94" s="1" t="n">
        <x:v>1</x:v>
      </x:c>
      <x:c r="M94" s="12" t="n">
        <x:v>187.96</x:v>
      </x:c>
      <x:c r="N94" s="11" t="n">
        <x:v>0.01709956709956706</x:v>
      </x:c>
      <x:c r="O94" s="12" t="n">
        <x:v>186.54</x:v>
      </x:c>
      <x:c r="P94" s="11" t="n">
        <x:v>0.009415584415584322</x:v>
      </x:c>
      <x:c r="Q94" s="12" t="n">
        <x:v>185</x:v>
      </x:c>
      <x:c r="R94" s="11" t="n">
        <x:v>0.03213568399910738</x:v>
      </x:c>
    </x:row>
    <x:row r="95" ht="21" customHeight="1">
      <x:c r="A95" s="1" t="n">
        <x:v>10</x:v>
      </x:c>
      <x:c r="B95" s="1" t="n">
        <x:v>4</x:v>
      </x:c>
      <x:c r="C95" s="10" t="str">
        <x:f>"002827"</x:f>
        <x:v>002827</x:v>
      </x:c>
      <x:c r="D95" s="1" t="str">
        <x:v>高争民爆</x:v>
      </x:c>
      <x:c r="E95" s="11" t="n">
        <x:v>0.1794481194530797</x:v>
      </x:c>
      <x:c r="F95" s="11" t="n">
        <x:v>0.3082463886227193</x:v>
      </x:c>
      <x:c r="G95" s="11" t="n">
        <x:v>0.512305491924201</x:v>
      </x:c>
      <x:c r="H95" s="13" t="n">
        <x:v>0.33285737247112135</x:v>
      </x:c>
      <x:c r="I95" s="12" t="n">
        <x:v>64.08</x:v>
      </x:c>
      <x:c r="J95" s="12" t="n">
        <x:v>64.36</x:v>
      </x:c>
      <x:c r="K95" s="11" t="n">
        <x:v>0.004369538077403368</x:v>
      </x:c>
      <x:c r="L95" s="1" t="n">
        <x:v>0</x:v>
      </x:c>
      <x:c r="M95" s="12" t="n">
        <x:v>64.1</x:v>
      </x:c>
      <x:c r="N95" s="11" t="n">
        <x:v>0.00031210986267149465</x:v>
      </x:c>
      <x:c r="O95" s="12" t="n">
        <x:v>64.03</x:v>
      </x:c>
      <x:c r="P95" s="11" t="n">
        <x:v>-0.0007802746566790697</x:v>
      </x:c>
      <x:c r="Q95" s="12" t="n">
        <x:v>64.36</x:v>
      </x:c>
      <x:c r="R95" s="11" t="n">
        <x:v>0.04906275468622656</x:v>
      </x:c>
    </x:row>
    <x:row r="96" ht="21" customHeight="1">
      <x:c r="A96" s="1" t="n">
        <x:v>10</x:v>
      </x:c>
      <x:c r="B96" s="1" t="n">
        <x:v>5</x:v>
      </x:c>
      <x:c r="C96" s="10" t="str">
        <x:f>"301377"</x:f>
        <x:v>301377</x:v>
      </x:c>
      <x:c r="D96" s="1" t="str">
        <x:v>鼎泰高科</x:v>
      </x:c>
      <x:c r="E96" s="11" t="n">
        <x:v>0.1843435425502771</x:v>
      </x:c>
      <x:c r="F96" s="11" t="n">
        <x:v>0.3288813500768345</x:v>
      </x:c>
      <x:c r="G96" s="11" t="n">
        <x:v>0.48677510737288826</x:v>
      </x:c>
      <x:c r="H96" s="13" t="n">
        <x:v>0.30243156482261113</x:v>
      </x:c>
      <x:c r="I96" s="12" t="n">
        <x:v>401.45</x:v>
      </x:c>
      <x:c r="J96" s="12" t="n">
        <x:v>412</x:v>
      </x:c>
      <x:c r="K96" s="11" t="n">
        <x:v>0.02627973595715538</x:v>
      </x:c>
      <x:c r="L96" s="1" t="n">
        <x:v>1</x:v>
      </x:c>
      <x:c r="M96" s="12" t="n">
        <x:v>404.21</x:v>
      </x:c>
      <x:c r="N96" s="11" t="n">
        <x:v>0.00687507784281971</x:v>
      </x:c>
      <x:c r="O96" s="12" t="n">
        <x:v>400.65</x:v>
      </x:c>
      <x:c r="P96" s="11" t="n">
        <x:v>-0.001992776186324652</x:v>
      </x:c>
      <x:c r="Q96" s="12" t="n">
        <x:v>402.4</x:v>
      </x:c>
      <x:c r="R96" s="11" t="n">
        <x:v>0.04522195381698224</x:v>
      </x:c>
    </x:row>
    <x:row r="97" ht="21" customHeight="1">
      <x:c r="A97" s="1" t="n">
        <x:v>10</x:v>
      </x:c>
      <x:c r="B97" s="1" t="n">
        <x:v>6</x:v>
      </x:c>
      <x:c r="C97" s="10" t="str">
        <x:f>"603256"</x:f>
        <x:v>603256</x:v>
      </x:c>
      <x:c r="D97" s="1" t="str">
        <x:v>宏和科技</x:v>
      </x:c>
      <x:c r="E97" s="11" t="n">
        <x:v>0.18537601672819745</x:v>
      </x:c>
      <x:c r="F97" s="11" t="n">
        <x:v>0.308200954698955</x:v>
      </x:c>
      <x:c r="G97" s="11" t="n">
        <x:v>0.5064230285728476</x:v>
      </x:c>
      <x:c r="H97" s="13" t="n">
        <x:v>0.3210470118446501</x:v>
      </x:c>
      <x:c r="I97" s="12" t="n">
        <x:v>137.7</x:v>
      </x:c>
      <x:c r="J97" s="12" t="n">
        <x:v>140.5</x:v>
      </x:c>
      <x:c r="K97" s="11" t="n">
        <x:v>0.020334059549745875</x:v>
      </x:c>
      <x:c r="L97" s="1" t="n">
        <x:v>1</x:v>
      </x:c>
      <x:c r="M97" s="12" t="n">
        <x:v>140.13</x:v>
      </x:c>
      <x:c r="N97" s="11" t="n">
        <x:v>0.01764705882352957</x:v>
      </x:c>
      <x:c r="O97" s="12" t="n">
        <x:v>139.91</x:v>
      </x:c>
      <x:c r="P97" s="11" t="n">
        <x:v>0.0160493827160495</x:v>
      </x:c>
      <x:c r="Q97" s="12" t="n">
        <x:v>138.23</x:v>
      </x:c>
      <x:c r="R97" s="11" t="n">
        <x:v>0.057855666947271844</x:v>
      </x:c>
    </x:row>
    <x:row r="98" ht="21" customHeight="1">
      <x:c r="A98" s="1" t="n">
        <x:v>10</x:v>
      </x:c>
      <x:c r="B98" s="1" t="n">
        <x:v>7</x:v>
      </x:c>
      <x:c r="C98" s="10" t="str">
        <x:f>"688141"</x:f>
        <x:v>688141</x:v>
      </x:c>
      <x:c r="D98" s="1" t="str">
        <x:v>杰华特</x:v>
      </x:c>
      <x:c r="E98" s="11" t="n">
        <x:v>0.18588313651781213</x:v>
      </x:c>
      <x:c r="F98" s="11" t="n">
        <x:v>0.34600366710939845</x:v>
      </x:c>
      <x:c r="G98" s="11" t="n">
        <x:v>0.4681131963727894</x:v>
      </x:c>
      <x:c r="H98" s="13" t="n">
        <x:v>0.2822300598549773</x:v>
      </x:c>
      <x:c r="I98" s="12" t="n">
        <x:v>108.96</x:v>
      </x:c>
      <x:c r="J98" s="12" t="n">
        <x:v>110.33</x:v>
      </x:c>
      <x:c r="K98" s="11" t="n">
        <x:v>0.012573421439060262</x:v>
      </x:c>
      <x:c r="L98" s="1" t="n">
        <x:v>1</x:v>
      </x:c>
      <x:c r="M98" s="12" t="n">
        <x:v>109.87</x:v>
      </x:c>
      <x:c r="N98" s="11" t="n">
        <x:v>0.008351688693098547</x:v>
      </x:c>
      <x:c r="O98" s="12" t="n">
        <x:v>110.02</x:v>
      </x:c>
      <x:c r="P98" s="11" t="n">
        <x:v>0.009728340675477343</x:v>
      </x:c>
      <x:c r="Q98" s="12" t="n">
        <x:v>108.89</x:v>
      </x:c>
      <x:c r="R98" s="11" t="n">
        <x:v>0.03419128122328807</x:v>
      </x:c>
    </x:row>
    <x:row r="99" ht="21" customHeight="1">
      <x:c r="A99" s="1" t="n">
        <x:v>10</x:v>
      </x:c>
      <x:c r="B99" s="1" t="n">
        <x:v>8</x:v>
      </x:c>
      <x:c r="C99" s="10" t="str">
        <x:f>"603160"</x:f>
        <x:v>603160</x:v>
      </x:c>
      <x:c r="D99" s="1" t="str">
        <x:v>汇顶科技</x:v>
      </x:c>
      <x:c r="E99" s="11" t="n">
        <x:v>0.18658044547322294</x:v>
      </x:c>
      <x:c r="F99" s="11" t="n">
        <x:v>0.37769634546593966</x:v>
      </x:c>
      <x:c r="G99" s="11" t="n">
        <x:v>0.43572320906083745</x:v>
      </x:c>
      <x:c r="H99" s="13" t="n">
        <x:v>0.2491427635876145</x:v>
      </x:c>
      <x:c r="I99" s="12" t="n">
        <x:v>52</x:v>
      </x:c>
      <x:c r="J99" s="12" t="n">
        <x:v>53.4</x:v>
      </x:c>
      <x:c r="K99" s="11" t="n">
        <x:v>0.026923076923076827</x:v>
      </x:c>
      <x:c r="L99" s="1" t="n">
        <x:v>1</x:v>
      </x:c>
      <x:c r="M99" s="12" t="n">
        <x:v>52.73</x:v>
      </x:c>
      <x:c r="N99" s="11" t="n">
        <x:v>0.014038461538461444</x:v>
      </x:c>
      <x:c r="O99" s="12" t="n">
        <x:v>52.7</x:v>
      </x:c>
      <x:c r="P99" s="11" t="n">
        <x:v>0.013461538461538414</x:v>
      </x:c>
      <x:c r="Q99" s="12" t="n">
        <x:v>52.01</x:v>
      </x:c>
      <x:c r="R99" s="11" t="n">
        <x:v>0.03194444444444433</x:v>
      </x:c>
    </x:row>
    <x:row r="100" ht="21" customHeight="1">
      <x:c r="A100" s="1" t="n">
        <x:v>10</x:v>
      </x:c>
      <x:c r="B100" s="1" t="n">
        <x:v>9</x:v>
      </x:c>
      <x:c r="C100" s="10" t="str">
        <x:f>"301217"</x:f>
        <x:v>301217</x:v>
      </x:c>
      <x:c r="D100" s="1" t="str">
        <x:v>铜冠铜箔</x:v>
      </x:c>
      <x:c r="E100" s="11" t="n">
        <x:v>0.1880366939863511</x:v>
      </x:c>
      <x:c r="F100" s="11" t="n">
        <x:v>0.3257114029088793</x:v>
      </x:c>
      <x:c r="G100" s="11" t="n">
        <x:v>0.48625190310476957</x:v>
      </x:c>
      <x:c r="H100" s="13" t="n">
        <x:v>0.2982152091184185</x:v>
      </x:c>
      <x:c r="I100" s="12" t="n">
        <x:v>113.02</x:v>
      </x:c>
      <x:c r="J100" s="12" t="n">
        <x:v>114</x:v>
      </x:c>
      <x:c r="K100" s="11" t="n">
        <x:v>0.008671031675809626</x:v>
      </x:c>
      <x:c r="L100" s="1" t="n">
        <x:v>0</x:v>
      </x:c>
      <x:c r="M100" s="12" t="n">
        <x:v>113.52</x:v>
      </x:c>
      <x:c r="N100" s="11" t="n">
        <x:v>0.004423995752964149</x:v>
      </x:c>
      <x:c r="O100" s="12" t="n">
        <x:v>112.1</x:v>
      </x:c>
      <x:c r="P100" s="11" t="n">
        <x:v>-0.008140152185453942</x:v>
      </x:c>
      <x:c r="Q100" s="12" t="n">
        <x:v>113.61</x:v>
      </x:c>
      <x:c r="R100" s="11" t="n">
        <x:v>0.045170193192272334</x:v>
      </x:c>
    </x:row>
    <x:row r="101" ht="21" customHeight="1">
      <x:c r="A101" s="1" t="n">
        <x:v>10</x:v>
      </x:c>
      <x:c r="B101" s="1" t="n">
        <x:v>10</x:v>
      </x:c>
      <x:c r="C101" s="10" t="str">
        <x:f>"688270"</x:f>
        <x:v>688270</x:v>
      </x:c>
      <x:c r="D101" s="1" t="str">
        <x:v>臻镭科技</x:v>
      </x:c>
      <x:c r="E101" s="11" t="n">
        <x:v>0.19031642153421627</x:v>
      </x:c>
      <x:c r="F101" s="11" t="n">
        <x:v>0.3520946510802264</x:v>
      </x:c>
      <x:c r="G101" s="11" t="n">
        <x:v>0.45758892738555745</x:v>
      </x:c>
      <x:c r="H101" s="13" t="n">
        <x:v>0.2672725058513412</x:v>
      </x:c>
      <x:c r="I101" s="12" t="n">
        <x:v>56.4</x:v>
      </x:c>
      <x:c r="J101" s="12" t="n">
        <x:v>58.5</x:v>
      </x:c>
      <x:c r="K101" s="11" t="n">
        <x:v>0.037234042553191626</x:v>
      </x:c>
      <x:c r="L101" s="1" t="n">
        <x:v>1</x:v>
      </x:c>
      <x:c r="M101" s="12" t="n">
        <x:v>58.41</x:v>
      </x:c>
      <x:c r="N101" s="11" t="n">
        <x:v>0.03563829787234041</x:v>
      </x:c>
      <x:c r="O101" s="12" t="n">
        <x:v>58.47</x:v>
      </x:c>
      <x:c r="P101" s="11" t="n">
        <x:v>0.03670212765957448</x:v>
      </x:c>
      <x:c r="Q101" s="12" t="n">
        <x:v>56.7</x:v>
      </x:c>
      <x:c r="R101" s="11" t="n">
        <x:v>0.04093996695428692</x:v>
      </x:c>
    </x:row>
    <x:row r="102" ht="21" customHeight="1">
      <x:c r="A102" s="1" t="n">
        <x:v>11</x:v>
      </x:c>
      <x:c r="B102" s="1" t="n">
        <x:v>1</x:v>
      </x:c>
      <x:c r="C102" s="10" t="str">
        <x:f>"300308"</x:f>
        <x:v>300308</x:v>
      </x:c>
      <x:c r="D102" s="1" t="str">
        <x:v>中际旭创</x:v>
      </x:c>
      <x:c r="E102" s="11" t="n">
        <x:v>0.02250293292763052</x:v>
      </x:c>
      <x:c r="F102" s="11" t="n">
        <x:v>0.5189688183769882</x:v>
      </x:c>
      <x:c r="G102" s="11" t="n">
        <x:v>0.4585282486953812</x:v>
      </x:c>
      <x:c r="H102" s="13" t="n">
        <x:v>0.4360253157677507</x:v>
      </x:c>
      <x:c r="I102" s="12" t="n">
        <x:v>905.85</x:v>
      </x:c>
      <x:c r="J102" s="12" t="n">
        <x:v>926.8</x:v>
      </x:c>
      <x:c r="K102" s="11" t="n">
        <x:v>0.02312744935695754</x:v>
      </x:c>
      <x:c r="L102" s="1" t="n">
        <x:v>1</x:v>
      </x:c>
      <x:c r="M102" s="12" t="n">
        <x:v>924.77</x:v>
      </x:c>
      <x:c r="N102" s="11" t="n">
        <x:v>0.02088646023072238</x:v>
      </x:c>
      <x:c r="O102" s="12" t="n">
        <x:v>924.91</x:v>
      </x:c>
      <x:c r="P102" s="11" t="n">
        <x:v>0.021041011204945503</x:v>
      </x:c>
      <x:c r="Q102" s="12" t="n">
        <x:v>907.8</x:v>
      </x:c>
      <x:c r="R102" s="11" t="n">
        <x:v>0.05068228376986372</x:v>
      </x:c>
    </x:row>
    <x:row r="103" ht="21" customHeight="1">
      <x:c r="A103" s="1" t="n">
        <x:v>11</x:v>
      </x:c>
      <x:c r="B103" s="1" t="n">
        <x:v>2</x:v>
      </x:c>
      <x:c r="C103" s="10" t="str">
        <x:f>"688041"</x:f>
        <x:v>688041</x:v>
      </x:c>
      <x:c r="D103" s="1" t="str">
        <x:v>海光信息</x:v>
      </x:c>
      <x:c r="E103" s="11" t="n">
        <x:v>0.05999437855890282</x:v>
      </x:c>
      <x:c r="F103" s="11" t="n">
        <x:v>0.4535647702825189</x:v>
      </x:c>
      <x:c r="G103" s="11" t="n">
        <x:v>0.4864408511585784</x:v>
      </x:c>
      <x:c r="H103" s="13" t="n">
        <x:v>0.42644647259967555</x:v>
      </x:c>
      <x:c r="I103" s="12" t="n">
        <x:v>234.98</x:v>
      </x:c>
      <x:c r="J103" s="12" t="n">
        <x:v>238.2</x:v>
      </x:c>
      <x:c r="K103" s="11" t="n">
        <x:v>0.01370329389735292</x:v>
      </x:c>
      <x:c r="L103" s="1" t="n">
        <x:v>1</x:v>
      </x:c>
      <x:c r="M103" s="12" t="n">
        <x:v>236.98</x:v>
      </x:c>
      <x:c r="N103" s="11" t="n">
        <x:v>0.008511362669163303</x:v>
      </x:c>
      <x:c r="O103" s="12" t="n">
        <x:v>237.15</x:v>
      </x:c>
      <x:c r="P103" s="11" t="n">
        <x:v>0.00923482849604218</x:v>
      </x:c>
      <x:c r="Q103" s="12" t="n">
        <x:v>235.09</x:v>
      </x:c>
      <x:c r="R103" s="11" t="n">
        <x:v>0.04670525378450585</x:v>
      </x:c>
    </x:row>
    <x:row r="104" ht="21" customHeight="1">
      <x:c r="A104" s="1" t="n">
        <x:v>11</x:v>
      </x:c>
      <x:c r="B104" s="1" t="n">
        <x:v>3</x:v>
      </x:c>
      <x:c r="C104" s="10" t="str">
        <x:f>"002371"</x:f>
        <x:v>002371</x:v>
      </x:c>
      <x:c r="D104" s="1" t="str">
        <x:v>北方华创</x:v>
      </x:c>
      <x:c r="E104" s="11" t="n">
        <x:v>0.08102536226229697</x:v>
      </x:c>
      <x:c r="F104" s="11" t="n">
        <x:v>0.45008279236021415</x:v>
      </x:c>
      <x:c r="G104" s="11" t="n">
        <x:v>0.4688918453774889</x:v>
      </x:c>
      <x:c r="H104" s="13" t="n">
        <x:v>0.38786648311519195</x:v>
      </x:c>
      <x:c r="I104" s="12" t="n">
        <x:v>660.73</x:v>
      </x:c>
      <x:c r="J104" s="12" t="n">
        <x:v>672.77</x:v>
      </x:c>
      <x:c r="K104" s="11" t="n">
        <x:v>0.018222269308189265</x:v>
      </x:c>
      <x:c r="L104" s="1" t="n">
        <x:v>1</x:v>
      </x:c>
      <x:c r="M104" s="12" t="n">
        <x:v>671.5</x:v>
      </x:c>
      <x:c r="N104" s="11" t="n">
        <x:v>0.01630015286122921</x:v>
      </x:c>
      <x:c r="O104" s="12" t="n">
        <x:v>671.27</x:v>
      </x:c>
      <x:c r="P104" s="11" t="n">
        <x:v>0.01595205303225211</x:v>
      </x:c>
      <x:c r="Q104" s="12" t="n">
        <x:v>662.89</x:v>
      </x:c>
      <x:c r="R104" s="11" t="n">
        <x:v>0.03875203710668185</x:v>
      </x:c>
    </x:row>
    <x:row r="105" ht="21" customHeight="1">
      <x:c r="A105" s="1" t="n">
        <x:v>11</x:v>
      </x:c>
      <x:c r="B105" s="1" t="n">
        <x:v>4</x:v>
      </x:c>
      <x:c r="C105" s="10" t="str">
        <x:f>"300394"</x:f>
        <x:v>300394</x:v>
      </x:c>
      <x:c r="D105" s="1" t="str">
        <x:v>天孚通信</x:v>
      </x:c>
      <x:c r="E105" s="11" t="n">
        <x:v>0.11305191819528891</x:v>
      </x:c>
      <x:c r="F105" s="11" t="n">
        <x:v>0.3665013619791594</x:v>
      </x:c>
      <x:c r="G105" s="11" t="n">
        <x:v>0.5204467198255518</x:v>
      </x:c>
      <x:c r="H105" s="13" t="n">
        <x:v>0.40739480163026287</x:v>
      </x:c>
      <x:c r="I105" s="12" t="n">
        <x:v>268.92</x:v>
      </x:c>
      <x:c r="J105" s="12" t="n">
        <x:v>279.9</x:v>
      </x:c>
      <x:c r="K105" s="11" t="n">
        <x:v>0.040829986613118985</x:v>
      </x:c>
      <x:c r="L105" s="1" t="n">
        <x:v>1</x:v>
      </x:c>
      <x:c r="M105" s="12" t="n">
        <x:v>279.46</x:v>
      </x:c>
      <x:c r="N105" s="11" t="n">
        <x:v>0.039193812286181684</x:v>
      </x:c>
      <x:c r="O105" s="12" t="n">
        <x:v>279.3</x:v>
      </x:c>
      <x:c r="P105" s="11" t="n">
        <x:v>0.03859883980365897</x:v>
      </x:c>
      <x:c r="Q105" s="12" t="n">
        <x:v>268.99</x:v>
      </x:c>
      <x:c r="R105" s="11" t="n">
        <x:v>0.04510840003108241</x:v>
      </x:c>
    </x:row>
    <x:row r="106" ht="21" customHeight="1">
      <x:c r="A106" s="1" t="n">
        <x:v>11</x:v>
      </x:c>
      <x:c r="B106" s="1" t="n">
        <x:v>5</x:v>
      </x:c>
      <x:c r="C106" s="10" t="str">
        <x:f>"002384"</x:f>
        <x:v>002384</x:v>
      </x:c>
      <x:c r="D106" s="1" t="str">
        <x:v>东山精密</x:v>
      </x:c>
      <x:c r="E106" s="11" t="n">
        <x:v>0.1164927933747806</x:v>
      </x:c>
      <x:c r="F106" s="11" t="n">
        <x:v>0.33758655516761177</x:v>
      </x:c>
      <x:c r="G106" s="11" t="n">
        <x:v>0.5459206514576076</x:v>
      </x:c>
      <x:c r="H106" s="13" t="n">
        <x:v>0.429427858082827</x:v>
      </x:c>
      <x:c r="I106" s="12" t="n">
        <x:v>191.99</x:v>
      </x:c>
      <x:c r="J106" s="12" t="n">
        <x:v>195.2</x:v>
      </x:c>
      <x:c r="K106" s="11" t="n">
        <x:v>0.016719620813584024</x:v>
      </x:c>
      <x:c r="L106" s="1" t="n">
        <x:v>1</x:v>
      </x:c>
      <x:c r="M106" s="12" t="n">
        <x:v>194.5</x:v>
      </x:c>
      <x:c r="N106" s="11" t="n">
        <x:v>0.013073597583207475</x:v>
      </x:c>
      <x:c r="O106" s="12" t="n">
        <x:v>194.62</x:v>
      </x:c>
      <x:c r="P106" s="11" t="n">
        <x:v>0.013698630136986356</x:v>
      </x:c>
      <x:c r="Q106" s="12" t="n">
        <x:v>192</x:v>
      </x:c>
      <x:c r="R106" s="11" t="n">
        <x:v>0.050213324581555696</x:v>
      </x:c>
    </x:row>
    <x:row r="107" ht="21" customHeight="1">
      <x:c r="A107" s="1" t="n">
        <x:v>11</x:v>
      </x:c>
      <x:c r="B107" s="1" t="n">
        <x:v>6</x:v>
      </x:c>
      <x:c r="C107" s="10" t="str">
        <x:f>"000725"</x:f>
        <x:v>000725</x:v>
      </x:c>
      <x:c r="D107" s="1" t="str">
        <x:v>京东方A</x:v>
      </x:c>
      <x:c r="E107" s="11" t="n">
        <x:v>0.1389805166428256</x:v>
      </x:c>
      <x:c r="F107" s="11" t="n">
        <x:v>0.4040263698170724</x:v>
      </x:c>
      <x:c r="G107" s="11" t="n">
        <x:v>0.456993113540102</x:v>
      </x:c>
      <x:c r="H107" s="13" t="n">
        <x:v>0.31801259689727646</x:v>
      </x:c>
      <x:c r="I107" s="12" t="n">
        <x:v>5.43</x:v>
      </x:c>
      <x:c r="J107" s="12" t="n">
        <x:v>5.75</x:v>
      </x:c>
      <x:c r="K107" s="11" t="n">
        <x:v>0.058931860036832484</x:v>
      </x:c>
      <x:c r="L107" s="1" t="n">
        <x:v>1</x:v>
      </x:c>
      <x:c r="M107" s="12" t="n">
        <x:v>5.72</x:v>
      </x:c>
      <x:c r="N107" s="11" t="n">
        <x:v>0.05340699815837935</x:v>
      </x:c>
      <x:c r="O107" s="12" t="n">
        <x:v>5.72</x:v>
      </x:c>
      <x:c r="P107" s="11" t="n">
        <x:v>0.05340699815837935</x:v>
      </x:c>
      <x:c r="Q107" s="12" t="n">
        <x:v>5.45</x:v>
      </x:c>
      <x:c r="R107" s="11" t="n">
        <x:v>0.034155597722960174</x:v>
      </x:c>
    </x:row>
    <x:row r="108" ht="21" customHeight="1">
      <x:c r="A108" s="1" t="n">
        <x:v>11</x:v>
      </x:c>
      <x:c r="B108" s="1" t="n">
        <x:v>7</x:v>
      </x:c>
      <x:c r="C108" s="10" t="str">
        <x:f>"600489"</x:f>
        <x:v>600489</x:v>
      </x:c>
      <x:c r="D108" s="1" t="str">
        <x:v>中金黄金</x:v>
      </x:c>
      <x:c r="E108" s="11" t="n">
        <x:v>0.14137212316503917</x:v>
      </x:c>
      <x:c r="F108" s="11" t="n">
        <x:v>0.4002213640839008</x:v>
      </x:c>
      <x:c r="G108" s="11" t="n">
        <x:v>0.4584065127510599</x:v>
      </x:c>
      <x:c r="H108" s="13" t="n">
        <x:v>0.31703438958602076</x:v>
      </x:c>
      <x:c r="I108" s="12" t="n">
        <x:v>25.23</x:v>
      </x:c>
      <x:c r="J108" s="12" t="n">
        <x:v>25.2</x:v>
      </x:c>
      <x:c r="K108" s="11" t="n">
        <x:v>-0.0011890606420927874</x:v>
      </x:c>
      <x:c r="L108" s="1" t="n">
        <x:v>-1</x:v>
      </x:c>
      <x:c r="M108" s="12" t="n">
        <x:v>25.16</x:v>
      </x:c>
      <x:c r="N108" s="11" t="n">
        <x:v>-0.0027744748315498002</x:v>
      </x:c>
      <x:c r="O108" s="12" t="n">
        <x:v>25</x:v>
      </x:c>
      <x:c r="P108" s="11" t="n">
        <x:v>-0.00911613158937774</x:v>
      </x:c>
      <x:c r="Q108" s="12" t="n">
        <x:v>25.22</x:v>
      </x:c>
      <x:c r="R108" s="11" t="n">
        <x:v>0.030228758169934533</x:v>
      </x:c>
    </x:row>
    <x:row r="109" ht="21" customHeight="1">
      <x:c r="A109" s="1" t="n">
        <x:v>11</x:v>
      </x:c>
      <x:c r="B109" s="1" t="n">
        <x:v>8</x:v>
      </x:c>
      <x:c r="C109" s="10" t="str">
        <x:f>"688072"</x:f>
        <x:v>688072</x:v>
      </x:c>
      <x:c r="D109" s="1" t="str">
        <x:v>拓荆科技</x:v>
      </x:c>
      <x:c r="E109" s="11" t="n">
        <x:v>0.14263383591265402</x:v>
      </x:c>
      <x:c r="F109" s="11" t="n">
        <x:v>0.35820645345373914</x:v>
      </x:c>
      <x:c r="G109" s="11" t="n">
        <x:v>0.49915971063360676</x:v>
      </x:c>
      <x:c r="H109" s="13" t="n">
        <x:v>0.35652587472095276</x:v>
      </x:c>
      <x:c r="I109" s="12" t="n">
        <x:v>678.93</x:v>
      </x:c>
      <x:c r="J109" s="12" t="n">
        <x:v>690.8</x:v>
      </x:c>
      <x:c r="K109" s="11" t="n">
        <x:v>0.017483392986022084</x:v>
      </x:c>
      <x:c r="L109" s="1" t="n">
        <x:v>1</x:v>
      </x:c>
      <x:c r="M109" s="12" t="n">
        <x:v>690.03</x:v>
      </x:c>
      <x:c r="N109" s="11" t="n">
        <x:v>0.016349255446069577</x:v>
      </x:c>
      <x:c r="O109" s="12" t="n">
        <x:v>690.03</x:v>
      </x:c>
      <x:c r="P109" s="11" t="n">
        <x:v>0.016349255446069577</x:v>
      </x:c>
      <x:c r="Q109" s="12" t="n">
        <x:v>679.54</x:v>
      </x:c>
      <x:c r="R109" s="11" t="n">
        <x:v>0.04705701078582436</x:v>
      </x:c>
    </x:row>
    <x:row r="110" ht="21" customHeight="1">
      <x:c r="A110" s="1" t="n">
        <x:v>11</x:v>
      </x:c>
      <x:c r="B110" s="1" t="n">
        <x:v>9</x:v>
      </x:c>
      <x:c r="C110" s="10" t="str">
        <x:f>"688120"</x:f>
        <x:v>688120</x:v>
      </x:c>
      <x:c r="D110" s="1" t="str">
        <x:v>华海清科</x:v>
      </x:c>
      <x:c r="E110" s="11" t="n">
        <x:v>0.14532902259539549</x:v>
      </x:c>
      <x:c r="F110" s="11" t="n">
        <x:v>0.34157155406307926</x:v>
      </x:c>
      <x:c r="G110" s="11" t="n">
        <x:v>0.5130994233415253</x:v>
      </x:c>
      <x:c r="H110" s="13" t="n">
        <x:v>0.36777040074612977</x:v>
      </x:c>
      <x:c r="I110" s="12" t="n">
        <x:v>265.8</x:v>
      </x:c>
      <x:c r="J110" s="12" t="n">
        <x:v>268</x:v>
      </x:c>
      <x:c r="K110" s="11" t="n">
        <x:v>0.008276899924755332</x:v>
      </x:c>
      <x:c r="L110" s="1" t="n">
        <x:v>0</x:v>
      </x:c>
      <x:c r="M110" s="12" t="n">
        <x:v>267.04</x:v>
      </x:c>
      <x:c r="N110" s="11" t="n">
        <x:v>0.004665161775771365</x:v>
      </x:c>
      <x:c r="O110" s="12" t="n">
        <x:v>267.05</x:v>
      </x:c>
      <x:c r="P110" s="11" t="n">
        <x:v>0.004702784048156605</x:v>
      </x:c>
      <x:c r="Q110" s="12" t="n">
        <x:v>266.47</x:v>
      </x:c>
      <x:c r="R110" s="11" t="n">
        <x:v>0.042935420743640096</x:v>
      </x:c>
    </x:row>
    <x:row r="111" ht="21" customHeight="1">
      <x:c r="A111" s="1" t="n">
        <x:v>11</x:v>
      </x:c>
      <x:c r="B111" s="1" t="n">
        <x:v>10</x:v>
      </x:c>
      <x:c r="C111" s="10" t="str">
        <x:f>"300857"</x:f>
        <x:v>300857</x:v>
      </x:c>
      <x:c r="D111" s="1" t="str">
        <x:v>协创数据</x:v>
      </x:c>
      <x:c r="E111" s="11" t="n">
        <x:v>0.1473238524752589</x:v>
      </x:c>
      <x:c r="F111" s="11" t="n">
        <x:v>0.3869464976009541</x:v>
      </x:c>
      <x:c r="G111" s="11" t="n">
        <x:v>0.46572964992378696</x:v>
      </x:c>
      <x:c r="H111" s="13" t="n">
        <x:v>0.31840579744852804</x:v>
      </x:c>
      <x:c r="I111" s="12" t="n">
        <x:v>258.34</x:v>
      </x:c>
      <x:c r="J111" s="12" t="n">
        <x:v>275.99</x:v>
      </x:c>
      <x:c r="K111" s="11" t="n">
        <x:v>0.0683208175272898</x:v>
      </x:c>
      <x:c r="L111" s="1" t="n">
        <x:v>1</x:v>
      </x:c>
      <x:c r="M111" s="12" t="n">
        <x:v>274.99</x:v>
      </x:c>
      <x:c r="N111" s="11" t="n">
        <x:v>0.06444994967871809</x:v>
      </x:c>
      <x:c r="O111" s="12" t="n">
        <x:v>275.1</x:v>
      </x:c>
      <x:c r="P111" s="11" t="n">
        <x:v>0.06487574514206096</x:v>
      </x:c>
      <x:c r="Q111" s="12" t="n">
        <x:v>258.98</x:v>
      </x:c>
      <x:c r="R111" s="11" t="n">
        <x:v>0.0328215353938186</x:v>
      </x:c>
    </x:row>
    <x:row r="112" ht="21" customHeight="1">
      <x:c r="A112" s="1" t="n">
        <x:v>12</x:v>
      </x:c>
      <x:c r="B112" s="1" t="n">
        <x:v>1</x:v>
      </x:c>
      <x:c r="C112" s="10" t="str">
        <x:f>"300394"</x:f>
        <x:v>300394</x:v>
      </x:c>
      <x:c r="D112" s="1" t="str">
        <x:v>天孚通信</x:v>
      </x:c>
      <x:c r="E112" s="11" t="n">
        <x:v>0.0905790762227735</x:v>
      </x:c>
      <x:c r="F112" s="11" t="n">
        <x:v>0.39331536099958736</x:v>
      </x:c>
      <x:c r="G112" s="11" t="n">
        <x:v>0.5161055627776392</x:v>
      </x:c>
      <x:c r="H112" s="13" t="n">
        <x:v>0.4255264865548657</x:v>
      </x:c>
      <x:c r="I112" s="12" t="n">
        <x:v>277.74</x:v>
      </x:c>
      <x:c r="J112" s="12" t="n">
        <x:v>289.88</x:v>
      </x:c>
      <x:c r="K112" s="11" t="n">
        <x:v>0.043709944552459135</x:v>
      </x:c>
      <x:c r="L112" s="1" t="n">
        <x:v>1</x:v>
      </x:c>
      <x:c r="M112" s="12" t="n">
        <x:v>289.61</x:v>
      </x:c>
      <x:c r="N112" s="11" t="n">
        <x:v>0.04273781234247864</x:v>
      </x:c>
      <x:c r="O112" s="12" t="n">
        <x:v>289.61</x:v>
      </x:c>
      <x:c r="P112" s="11" t="n">
        <x:v>0.04273781234247864</x:v>
      </x:c>
      <x:c r="Q112" s="12" t="n">
        <x:v>277.65</x:v>
      </x:c>
      <x:c r="R112" s="11" t="n">
        <x:v>0.03411672687995826</x:v>
      </x:c>
    </x:row>
    <x:row r="113" ht="21" customHeight="1">
      <x:c r="A113" s="1" t="n">
        <x:v>12</x:v>
      </x:c>
      <x:c r="B113" s="1" t="n">
        <x:v>2</x:v>
      </x:c>
      <x:c r="C113" s="10" t="str">
        <x:f>"300857"</x:f>
        <x:v>300857</x:v>
      </x:c>
      <x:c r="D113" s="1" t="str">
        <x:v>协创数据</x:v>
      </x:c>
      <x:c r="E113" s="11" t="n">
        <x:v>0.13435200515021492</x:v>
      </x:c>
      <x:c r="F113" s="11" t="n">
        <x:v>0.38002554930521354</x:v>
      </x:c>
      <x:c r="G113" s="11" t="n">
        <x:v>0.48562244554457157</x:v>
      </x:c>
      <x:c r="H113" s="13" t="n">
        <x:v>0.3512704403943566</x:v>
      </x:c>
      <x:c r="I113" s="12" t="n">
        <x:v>267.18</x:v>
      </x:c>
      <x:c r="J113" s="12" t="n">
        <x:v>273.38</x:v>
      </x:c>
      <x:c r="K113" s="11" t="n">
        <x:v>0.023205329740249914</x:v>
      </x:c>
      <x:c r="L113" s="1" t="n">
        <x:v>1</x:v>
      </x:c>
      <x:c r="M113" s="12" t="n">
        <x:v>271.78</x:v>
      </x:c>
      <x:c r="N113" s="11" t="n">
        <x:v>0.017216857549217535</x:v>
      </x:c>
      <x:c r="O113" s="12" t="n">
        <x:v>268.15</x:v>
      </x:c>
      <x:c r="P113" s="11" t="n">
        <x:v>0.0036305112658132632</x:v>
      </x:c>
      <x:c r="Q113" s="12" t="n">
        <x:v>266.98</x:v>
      </x:c>
      <x:c r="R113" s="11" t="n">
        <x:v>0.030890416248358976</x:v>
      </x:c>
    </x:row>
    <x:row r="114" ht="21" customHeight="1">
      <x:c r="A114" s="1" t="n">
        <x:v>12</x:v>
      </x:c>
      <x:c r="B114" s="1" t="n">
        <x:v>3</x:v>
      </x:c>
      <x:c r="C114" s="10" t="str">
        <x:f>"688361"</x:f>
        <x:v>688361</x:v>
      </x:c>
      <x:c r="D114" s="1" t="str">
        <x:v>中科飞测</x:v>
      </x:c>
      <x:c r="E114" s="11" t="n">
        <x:v>0.1372647548176513</x:v>
      </x:c>
      <x:c r="F114" s="11" t="n">
        <x:v>0.2657049578941449</x:v>
      </x:c>
      <x:c r="G114" s="11" t="n">
        <x:v>0.5970302872882038</x:v>
      </x:c>
      <x:c r="H114" s="13" t="n">
        <x:v>0.4597655324705525</x:v>
      </x:c>
      <x:c r="I114" s="12" t="n">
        <x:v>358.2</x:v>
      </x:c>
      <x:c r="J114" s="12" t="n">
        <x:v>380</x:v>
      </x:c>
      <x:c r="K114" s="11" t="n">
        <x:v>0.06085985482970413</x:v>
      </x:c>
      <x:c r="L114" s="1" t="n">
        <x:v>1</x:v>
      </x:c>
      <x:c r="M114" s="12" t="n">
        <x:v>375.8</x:v>
      </x:c>
      <x:c r="N114" s="11" t="n">
        <x:v>0.049134561697375734</x:v>
      </x:c>
      <x:c r="O114" s="12" t="n">
        <x:v>376.81</x:v>
      </x:c>
      <x:c r="P114" s="11" t="n">
        <x:v>0.0519542155220547</x:v>
      </x:c>
      <x:c r="Q114" s="12" t="n">
        <x:v>358.71</x:v>
      </x:c>
      <x:c r="R114" s="11" t="n">
        <x:v>0.06127218934911238</x:v>
      </x:c>
    </x:row>
    <x:row r="115" ht="21" customHeight="1">
      <x:c r="A115" s="1" t="n">
        <x:v>12</x:v>
      </x:c>
      <x:c r="B115" s="1" t="n">
        <x:v>4</x:v>
      </x:c>
      <x:c r="C115" s="10" t="str">
        <x:f>"688521"</x:f>
        <x:v>688521</x:v>
      </x:c>
      <x:c r="D115" s="1" t="str">
        <x:v>芯原股份</x:v>
      </x:c>
      <x:c r="E115" s="11" t="n">
        <x:v>0.13835885707209614</x:v>
      </x:c>
      <x:c r="F115" s="11" t="n">
        <x:v>0.3628101130360565</x:v>
      </x:c>
      <x:c r="G115" s="11" t="n">
        <x:v>0.4988310298918474</x:v>
      </x:c>
      <x:c r="H115" s="13" t="n">
        <x:v>0.3604721728197513</x:v>
      </x:c>
      <x:c r="I115" s="12" t="n">
        <x:v>196.3</x:v>
      </x:c>
      <x:c r="J115" s="12" t="n">
        <x:v>204.88</x:v>
      </x:c>
      <x:c r="K115" s="11" t="n">
        <x:v>0.04370860927152309</x:v>
      </x:c>
      <x:c r="L115" s="1" t="n">
        <x:v>1</x:v>
      </x:c>
      <x:c r="M115" s="12" t="n">
        <x:v>203</x:v>
      </x:c>
      <x:c r="N115" s="11" t="n">
        <x:v>0.03413143148242481</x:v>
      </x:c>
      <x:c r="O115" s="12" t="n">
        <x:v>203</x:v>
      </x:c>
      <x:c r="P115" s="11" t="n">
        <x:v>0.03413143148242481</x:v>
      </x:c>
      <x:c r="Q115" s="12" t="n">
        <x:v>196.1</x:v>
      </x:c>
      <x:c r="R115" s="11" t="n">
        <x:v>0.03308397429143395</x:v>
      </x:c>
    </x:row>
    <x:row r="116" ht="21" customHeight="1">
      <x:c r="A116" s="1" t="n">
        <x:v>12</x:v>
      </x:c>
      <x:c r="B116" s="1" t="n">
        <x:v>5</x:v>
      </x:c>
      <x:c r="C116" s="10" t="str">
        <x:f>"002827"</x:f>
        <x:v>002827</x:v>
      </x:c>
      <x:c r="D116" s="1" t="str">
        <x:v>高争民爆</x:v>
      </x:c>
      <x:c r="E116" s="11" t="n">
        <x:v>0.14757437317922464</x:v>
      </x:c>
      <x:c r="F116" s="11" t="n">
        <x:v>0.30856489915647195</x:v>
      </x:c>
      <x:c r="G116" s="11" t="n">
        <x:v>0.5438607276643034</x:v>
      </x:c>
      <x:c r="H116" s="13" t="n">
        <x:v>0.39628635448507876</x:v>
      </x:c>
      <x:c r="I116" s="12" t="n">
        <x:v>67.52</x:v>
      </x:c>
      <x:c r="J116" s="12" t="n">
        <x:v>68.3</x:v>
      </x:c>
      <x:c r="K116" s="11" t="n">
        <x:v>0.011552132701421858</x:v>
      </x:c>
      <x:c r="L116" s="1" t="n">
        <x:v>1</x:v>
      </x:c>
      <x:c r="M116" s="12" t="n">
        <x:v>68.01</x:v>
      </x:c>
      <x:c r="N116" s="11" t="n">
        <x:v>0.007257109004739526</x:v>
      </x:c>
      <x:c r="O116" s="12" t="n">
        <x:v>67.95</x:v>
      </x:c>
      <x:c r="P116" s="11" t="n">
        <x:v>0.006368483412322323</x:v>
      </x:c>
      <x:c r="Q116" s="12" t="n">
        <x:v>67.88</x:v>
      </x:c>
      <x:c r="R116" s="11" t="n">
        <x:v>0.05502020516008699</x:v>
      </x:c>
    </x:row>
    <x:row r="117" ht="21" customHeight="1">
      <x:c r="A117" s="1" t="n">
        <x:v>12</x:v>
      </x:c>
      <x:c r="B117" s="1" t="n">
        <x:v>6</x:v>
      </x:c>
      <x:c r="C117" s="10" t="str">
        <x:f>"300661"</x:f>
        <x:v>300661</x:v>
      </x:c>
      <x:c r="D117" s="1" t="str">
        <x:v>圣邦股份</x:v>
      </x:c>
      <x:c r="E117" s="11" t="n">
        <x:v>0.14762929021521987</x:v>
      </x:c>
      <x:c r="F117" s="11" t="n">
        <x:v>0.3432543258113628</x:v>
      </x:c>
      <x:c r="G117" s="11" t="n">
        <x:v>0.5091163839734174</x:v>
      </x:c>
      <x:c r="H117" s="13" t="n">
        <x:v>0.36148709375819754</x:v>
      </x:c>
      <x:c r="I117" s="12" t="n">
        <x:v>116.7</x:v>
      </x:c>
      <x:c r="J117" s="12" t="n">
        <x:v>122.96</x:v>
      </x:c>
      <x:c r="K117" s="11" t="n">
        <x:v>0.053641816623821725</x:v>
      </x:c>
      <x:c r="L117" s="1" t="n">
        <x:v>1</x:v>
      </x:c>
      <x:c r="M117" s="12" t="n">
        <x:v>122.41</x:v>
      </x:c>
      <x:c r="N117" s="11" t="n">
        <x:v>0.04892887746358188</x:v>
      </x:c>
      <x:c r="O117" s="12" t="n">
        <x:v>122.8</x:v>
      </x:c>
      <x:c r="P117" s="11" t="n">
        <x:v>0.0522707797772064</x:v>
      </x:c>
      <x:c r="Q117" s="12" t="n">
        <x:v>116.46</x:v>
      </x:c>
      <x:c r="R117" s="11" t="n">
        <x:v>0.04168157423971364</x:v>
      </x:c>
    </x:row>
    <x:row r="118" ht="21" customHeight="1">
      <x:c r="A118" s="1" t="n">
        <x:v>12</x:v>
      </x:c>
      <x:c r="B118" s="1" t="n">
        <x:v>7</x:v>
      </x:c>
      <x:c r="C118" s="10" t="str">
        <x:f>"000338"</x:f>
        <x:v>000338</x:v>
      </x:c>
      <x:c r="D118" s="1" t="str">
        <x:v>潍柴动力</x:v>
      </x:c>
      <x:c r="E118" s="11" t="n">
        <x:v>0.1511452467480671</x:v>
      </x:c>
      <x:c r="F118" s="11" t="n">
        <x:v>0.33704329392988824</x:v>
      </x:c>
      <x:c r="G118" s="11" t="n">
        <x:v>0.5118114593220447</x:v>
      </x:c>
      <x:c r="H118" s="13" t="n">
        <x:v>0.3606662125739777</x:v>
      </x:c>
      <x:c r="I118" s="12" t="n">
        <x:v>26.67</x:v>
      </x:c>
      <x:c r="J118" s="12" t="n">
        <x:v>27.5</x:v>
      </x:c>
      <x:c r="K118" s="11" t="n">
        <x:v>0.03112110986126737</x:v>
      </x:c>
      <x:c r="L118" s="1" t="n">
        <x:v>1</x:v>
      </x:c>
      <x:c r="M118" s="12" t="n">
        <x:v>27.2</x:v>
      </x:c>
      <x:c r="N118" s="11" t="n">
        <x:v>0.019872515935507984</x:v>
      </x:c>
      <x:c r="O118" s="12" t="n">
        <x:v>27.13</x:v>
      </x:c>
      <x:c r="P118" s="11" t="n">
        <x:v>0.017247844019497416</x:v>
      </x:c>
      <x:c r="Q118" s="12" t="n">
        <x:v>26.65</x:v>
      </x:c>
      <x:c r="R118" s="11" t="n">
        <x:v>0.04427899686520376</x:v>
      </x:c>
    </x:row>
    <x:row r="119" ht="21" customHeight="1">
      <x:c r="A119" s="1" t="n">
        <x:v>12</x:v>
      </x:c>
      <x:c r="B119" s="1" t="n">
        <x:v>8</x:v>
      </x:c>
      <x:c r="C119" s="10" t="str">
        <x:f>"600487"</x:f>
        <x:v>600487</x:v>
      </x:c>
      <x:c r="D119" s="1" t="str">
        <x:v>亨通光电</x:v>
      </x:c>
      <x:c r="E119" s="11" t="n">
        <x:v>0.15397649583282458</x:v>
      </x:c>
      <x:c r="F119" s="11" t="n">
        <x:v>0.2903999229452269</x:v>
      </x:c>
      <x:c r="G119" s="11" t="n">
        <x:v>0.5556235812219487</x:v>
      </x:c>
      <x:c r="H119" s="13" t="n">
        <x:v>0.4016470853891241</x:v>
      </x:c>
      <x:c r="I119" s="12" t="n">
        <x:v>68.25</x:v>
      </x:c>
      <x:c r="J119" s="12" t="n">
        <x:v>70.94</x:v>
      </x:c>
      <x:c r="K119" s="11" t="n">
        <x:v>0.03941391941391936</x:v>
      </x:c>
      <x:c r="L119" s="1" t="n">
        <x:v>1</x:v>
      </x:c>
      <x:c r="M119" s="12" t="n">
        <x:v>70.75</x:v>
      </x:c>
      <x:c r="N119" s="11" t="n">
        <x:v>0.03663003663003672</x:v>
      </x:c>
      <x:c r="O119" s="12" t="n">
        <x:v>70.68</x:v>
      </x:c>
      <x:c r="P119" s="11" t="n">
        <x:v>0.035604395604395656</x:v>
      </x:c>
      <x:c r="Q119" s="12" t="n">
        <x:v>68.49</x:v>
      </x:c>
      <x:c r="R119" s="11" t="n">
        <x:v>0.047247706422018254</x:v>
      </x:c>
    </x:row>
    <x:row r="120" ht="21" customHeight="1">
      <x:c r="A120" s="1" t="n">
        <x:v>12</x:v>
      </x:c>
      <x:c r="B120" s="1" t="n">
        <x:v>9</x:v>
      </x:c>
      <x:c r="C120" s="10" t="str">
        <x:f>"301165"</x:f>
        <x:v>301165</x:v>
      </x:c>
      <x:c r="D120" s="1" t="str">
        <x:v>锐捷网络</x:v>
      </x:c>
      <x:c r="E120" s="11" t="n">
        <x:v>0.1540084138106786</x:v>
      </x:c>
      <x:c r="F120" s="11" t="n">
        <x:v>0.3633014087144549</x:v>
      </x:c>
      <x:c r="G120" s="11" t="n">
        <x:v>0.4826901774748666</x:v>
      </x:c>
      <x:c r="H120" s="13" t="n">
        <x:v>0.328681763664188</x:v>
      </x:c>
      <x:c r="I120" s="12" t="n">
        <x:v>116.2</x:v>
      </x:c>
      <x:c r="J120" s="12" t="n">
        <x:v>118.9</x:v>
      </x:c>
      <x:c r="K120" s="11" t="n">
        <x:v>0.023235800344234114</x:v>
      </x:c>
      <x:c r="L120" s="1" t="n">
        <x:v>1</x:v>
      </x:c>
      <x:c r="M120" s="12" t="n">
        <x:v>117.77</x:v>
      </x:c>
      <x:c r="N120" s="11" t="n">
        <x:v>0.013511187607573083</x:v>
      </x:c>
      <x:c r="O120" s="12" t="n">
        <x:v>117.16</x:v>
      </x:c>
      <x:c r="P120" s="11" t="n">
        <x:v>0.008261617900171991</x:v>
      </x:c>
      <x:c r="Q120" s="12" t="n">
        <x:v>116.08</x:v>
      </x:c>
      <x:c r="R120" s="11" t="n">
        <x:v>0.029717022975250584</x:v>
      </x:c>
    </x:row>
    <x:row r="121" ht="21" customHeight="1">
      <x:c r="A121" s="1" t="n">
        <x:v>12</x:v>
      </x:c>
      <x:c r="B121" s="1" t="n">
        <x:v>10</x:v>
      </x:c>
      <x:c r="C121" s="10" t="str">
        <x:f>"002080"</x:f>
        <x:v>002080</x:v>
      </x:c>
      <x:c r="D121" s="1" t="str">
        <x:v>中材科技</x:v>
      </x:c>
      <x:c r="E121" s="11" t="n">
        <x:v>0.1546760909873275</x:v>
      </x:c>
      <x:c r="F121" s="11" t="n">
        <x:v>0.27322395801426475</x:v>
      </x:c>
      <x:c r="G121" s="11" t="n">
        <x:v>0.5720999509984078</x:v>
      </x:c>
      <x:c r="H121" s="13" t="n">
        <x:v>0.41742386001108034</x:v>
      </x:c>
      <x:c r="I121" s="12" t="n">
        <x:v>58.71</x:v>
      </x:c>
      <x:c r="J121" s="12" t="n">
        <x:v>64.56</x:v>
      </x:c>
      <x:c r="K121" s="11" t="n">
        <x:v>0.09964230965763932</x:v>
      </x:c>
      <x:c r="L121" s="1" t="n">
        <x:v>1</x:v>
      </x:c>
      <x:c r="M121" s="12" t="n">
        <x:v>64.56</x:v>
      </x:c>
      <x:c r="N121" s="11" t="n">
        <x:v>0.09964230965763932</x:v>
      </x:c>
      <x:c r="O121" s="12" t="n">
        <x:v>64.56</x:v>
      </x:c>
      <x:c r="P121" s="11" t="n">
        <x:v>0.09964230965763932</x:v>
      </x:c>
      <x:c r="Q121" s="12" t="n">
        <x:v>58.69</x:v>
      </x:c>
      <x:c r="R121" s="11" t="n">
        <x:v>0.050286327845382894</x:v>
      </x:c>
    </x:row>
    <x:row r="122" ht="21" customHeight="1">
      <x:c r="A122" s="1" t="n">
        <x:v>13</x:v>
      </x:c>
      <x:c r="B122" s="1" t="n">
        <x:v>1</x:v>
      </x:c>
      <x:c r="C122" s="10" t="str">
        <x:f>"300308"</x:f>
        <x:v>300308</x:v>
      </x:c>
      <x:c r="D122" s="1" t="str">
        <x:v>中际旭创</x:v>
      </x:c>
      <x:c r="E122" s="11" t="n">
        <x:v>0.06304998584123707</x:v>
      </x:c>
      <x:c r="F122" s="11" t="n">
        <x:v>0.4120735845089476</x:v>
      </x:c>
      <x:c r="G122" s="11" t="n">
        <x:v>0.5248764296498153</x:v>
      </x:c>
      <x:c r="H122" s="13" t="n">
        <x:v>0.46182644380857824</x:v>
      </x:c>
      <x:c r="I122" s="12" t="n">
        <x:v>928.32</x:v>
      </x:c>
      <x:c r="J122" s="12" t="n">
        <x:v>958.86</x:v>
      </x:c>
      <x:c r="K122" s="11" t="n">
        <x:v>0.03289813857290591</x:v>
      </x:c>
      <x:c r="L122" s="1" t="n">
        <x:v>1</x:v>
      </x:c>
      <x:c r="M122" s="12" t="n">
        <x:v>958.1</x:v>
      </x:c>
      <x:c r="N122" s="11" t="n">
        <x:v>0.03207945536022061</x:v>
      </x:c>
      <x:c r="O122" s="12" t="n">
        <x:v>957.99</x:v>
      </x:c>
      <x:c r="P122" s="11" t="n">
        <x:v>0.03196096173733198</x:v>
      </x:c>
      <x:c r="Q122" s="12" t="n">
        <x:v>926.43</x:v>
      </x:c>
      <x:c r="R122" s="11" t="n">
        <x:v>0.03396205357142845</x:v>
      </x:c>
    </x:row>
    <x:row r="123" ht="21" customHeight="1">
      <x:c r="A123" s="1" t="n">
        <x:v>13</x:v>
      </x:c>
      <x:c r="B123" s="1" t="n">
        <x:v>2</x:v>
      </x:c>
      <x:c r="C123" s="10" t="str">
        <x:f>"688041"</x:f>
        <x:v>688041</x:v>
      </x:c>
      <x:c r="D123" s="1" t="str">
        <x:v>海光信息</x:v>
      </x:c>
      <x:c r="E123" s="11" t="n">
        <x:v>0.08597898409230759</x:v>
      </x:c>
      <x:c r="F123" s="11" t="n">
        <x:v>0.39302311612991725</x:v>
      </x:c>
      <x:c r="G123" s="11" t="n">
        <x:v>0.5209978997777751</x:v>
      </x:c>
      <x:c r="H123" s="13" t="n">
        <x:v>0.4350189156854675</x:v>
      </x:c>
      <x:c r="I123" s="12" t="n">
        <x:v>241.44</x:v>
      </x:c>
      <x:c r="J123" s="12" t="n">
        <x:v>247.38</x:v>
      </x:c>
      <x:c r="K123" s="11" t="n">
        <x:v>0.024602385685884576</x:v>
      </x:c>
      <x:c r="L123" s="1" t="n">
        <x:v>1</x:v>
      </x:c>
      <x:c r="M123" s="12" t="n">
        <x:v>247</x:v>
      </x:c>
      <x:c r="N123" s="11" t="n">
        <x:v>0.02302849569251153</x:v>
      </x:c>
      <x:c r="O123" s="12" t="n">
        <x:v>245.95</x:v>
      </x:c>
      <x:c r="P123" s="11" t="n">
        <x:v>0.018679589131875396</x:v>
      </x:c>
      <x:c r="Q123" s="12" t="n">
        <x:v>241.38</x:v>
      </x:c>
      <x:c r="R123" s="11" t="n">
        <x:v>0.04043103448275853</x:v>
      </x:c>
    </x:row>
    <x:row r="124" ht="21" customHeight="1">
      <x:c r="A124" s="1" t="n">
        <x:v>13</x:v>
      </x:c>
      <x:c r="B124" s="1" t="n">
        <x:v>3</x:v>
      </x:c>
      <x:c r="C124" s="10" t="str">
        <x:f>"002371"</x:f>
        <x:v>002371</x:v>
      </x:c>
      <x:c r="D124" s="1" t="str">
        <x:v>北方华创</x:v>
      </x:c>
      <x:c r="E124" s="11" t="n">
        <x:v>0.08926273818352554</x:v>
      </x:c>
      <x:c r="F124" s="11" t="n">
        <x:v>0.40612937071265787</x:v>
      </x:c>
      <x:c r="G124" s="11" t="n">
        <x:v>0.5046078911038165</x:v>
      </x:c>
      <x:c r="H124" s="13" t="n">
        <x:v>0.415345152920291</x:v>
      </x:c>
      <x:c r="I124" s="12" t="n">
        <x:v>688.68</x:v>
      </x:c>
      <x:c r="J124" s="12" t="n">
        <x:v>691</x:v>
      </x:c>
      <x:c r="K124" s="11" t="n">
        <x:v>0.003368763431492283</x:v>
      </x:c>
      <x:c r="L124" s="1" t="n">
        <x:v>0</x:v>
      </x:c>
      <x:c r="M124" s="12" t="n">
        <x:v>688.68</x:v>
      </x:c>
      <x:c r="N124" s="11" t="n">
        <x:v>0</x:v>
      </x:c>
      <x:c r="O124" s="12" t="n">
        <x:v>690.06</x:v>
      </x:c>
      <x:c r="P124" s="11" t="n">
        <x:v>0.0020038334204566244</x:v>
      </x:c>
      <x:c r="Q124" s="12" t="n">
        <x:v>686.51</x:v>
      </x:c>
      <x:c r="R124" s="11" t="n">
        <x:v>0.03157024793388419</x:v>
      </x:c>
    </x:row>
    <x:row r="125" ht="21" customHeight="1">
      <x:c r="A125" s="1" t="n">
        <x:v>13</x:v>
      </x:c>
      <x:c r="B125" s="1" t="n">
        <x:v>4</x:v>
      </x:c>
      <x:c r="C125" s="10" t="str">
        <x:f>"002475"</x:f>
        <x:v>002475</x:v>
      </x:c>
      <x:c r="D125" s="1" t="str">
        <x:v>立讯精密</x:v>
      </x:c>
      <x:c r="E125" s="11" t="n">
        <x:v>0.09814007423995656</x:v>
      </x:c>
      <x:c r="F125" s="11" t="n">
        <x:v>0.36903510453110905</x:v>
      </x:c>
      <x:c r="G125" s="11" t="n">
        <x:v>0.5328248212289344</x:v>
      </x:c>
      <x:c r="H125" s="13" t="n">
        <x:v>0.4346847469889778</x:v>
      </x:c>
      <x:c r="I125" s="12" t="n">
        <x:v>54.3</x:v>
      </x:c>
      <x:c r="J125" s="12" t="n">
        <x:v>54.99</x:v>
      </x:c>
      <x:c r="K125" s="11" t="n">
        <x:v>0.0127071823204421</x:v>
      </x:c>
      <x:c r="L125" s="1" t="n">
        <x:v>1</x:v>
      </x:c>
      <x:c r="M125" s="12" t="n">
        <x:v>54.98</x:v>
      </x:c>
      <x:c r="N125" s="11" t="n">
        <x:v>0.012523020257826811</x:v>
      </x:c>
      <x:c r="O125" s="12" t="n">
        <x:v>54.94</x:v>
      </x:c>
      <x:c r="P125" s="11" t="n">
        <x:v>0.011786372007366541</x:v>
      </x:c>
      <x:c r="Q125" s="12" t="n">
        <x:v>54.1</x:v>
      </x:c>
      <x:c r="R125" s="11" t="n">
        <x:v>0.037790140034529074</x:v>
      </x:c>
    </x:row>
    <x:row r="126" ht="21" customHeight="1">
      <x:c r="A126" s="1" t="n">
        <x:v>13</x:v>
      </x:c>
      <x:c r="B126" s="1" t="n">
        <x:v>5</x:v>
      </x:c>
      <x:c r="C126" s="10" t="str">
        <x:f>"688981"</x:f>
        <x:v>688981</x:v>
      </x:c>
      <x:c r="D126" s="1" t="str">
        <x:v>中芯国际</x:v>
      </x:c>
      <x:c r="E126" s="11" t="n">
        <x:v>0.10483352583592596</x:v>
      </x:c>
      <x:c r="F126" s="11" t="n">
        <x:v>0.4032265799695593</x:v>
      </x:c>
      <x:c r="G126" s="11" t="n">
        <x:v>0.4919398941945147</x:v>
      </x:c>
      <x:c r="H126" s="13" t="n">
        <x:v>0.38710636835858875</x:v>
      </x:c>
      <x:c r="I126" s="12" t="n">
        <x:v>122.26</x:v>
      </x:c>
      <x:c r="J126" s="12" t="n">
        <x:v>123.94</x:v>
      </x:c>
      <x:c r="K126" s="11" t="n">
        <x:v>0.013741207263209487</x:v>
      </x:c>
      <x:c r="L126" s="1" t="n">
        <x:v>1</x:v>
      </x:c>
      <x:c r="M126" s="12" t="n">
        <x:v>123.62</x:v>
      </x:c>
      <x:c r="N126" s="11" t="n">
        <x:v>0.011123834451169712</x:v>
      </x:c>
      <x:c r="O126" s="12" t="n">
        <x:v>123.66</x:v>
      </x:c>
      <x:c r="P126" s="11" t="n">
        <x:v>0.011451006052674462</x:v>
      </x:c>
      <x:c r="Q126" s="12" t="n">
        <x:v>122</x:v>
      </x:c>
      <x:c r="R126" s="11" t="n">
        <x:v>0.028494351711347177</x:v>
      </x:c>
    </x:row>
    <x:row r="127" ht="21" customHeight="1">
      <x:c r="A127" s="1" t="n">
        <x:v>13</x:v>
      </x:c>
      <x:c r="B127" s="1" t="n">
        <x:v>6</x:v>
      </x:c>
      <x:c r="C127" s="10" t="str">
        <x:f>"300502"</x:f>
        <x:v>300502</x:v>
      </x:c>
      <x:c r="D127" s="1" t="str">
        <x:v>新易盛</x:v>
      </x:c>
      <x:c r="E127" s="11" t="n">
        <x:v>0.10500939604557952</x:v>
      </x:c>
      <x:c r="F127" s="11" t="n">
        <x:v>0.3205275022822381</x:v>
      </x:c>
      <x:c r="G127" s="11" t="n">
        <x:v>0.5744631016721824</x:v>
      </x:c>
      <x:c r="H127" s="13" t="n">
        <x:v>0.4694537056266029</x:v>
      </x:c>
      <x:c r="I127" s="12" t="n">
        <x:v>446.01</x:v>
      </x:c>
      <x:c r="J127" s="12" t="n">
        <x:v>467.33</x:v>
      </x:c>
      <x:c r="K127" s="11" t="n">
        <x:v>0.04780161879778477</x:v>
      </x:c>
      <x:c r="L127" s="1" t="n">
        <x:v>1</x:v>
      </x:c>
      <x:c r="M127" s="12" t="n">
        <x:v>466.2</x:v>
      </x:c>
      <x:c r="N127" s="11" t="n">
        <x:v>0.04526804331741441</x:v>
      </x:c>
      <x:c r="O127" s="12" t="n">
        <x:v>466.39</x:v>
      </x:c>
      <x:c r="P127" s="11" t="n">
        <x:v>0.045694042734467866</x:v>
      </x:c>
      <x:c r="Q127" s="12" t="n">
        <x:v>445</x:v>
      </x:c>
      <x:c r="R127" s="11" t="n">
        <x:v>0.0486873733327049</x:v>
      </x:c>
    </x:row>
    <x:row r="128" ht="21" customHeight="1">
      <x:c r="A128" s="1" t="n">
        <x:v>13</x:v>
      </x:c>
      <x:c r="B128" s="1" t="n">
        <x:v>7</x:v>
      </x:c>
      <x:c r="C128" s="10" t="str">
        <x:f>"601061"</x:f>
        <x:v>601061</x:v>
      </x:c>
      <x:c r="D128" s="1" t="str">
        <x:v>中信金属</x:v>
      </x:c>
      <x:c r="E128" s="11" t="n">
        <x:v>0.11460499673587497</x:v>
      </x:c>
      <x:c r="F128" s="11" t="n">
        <x:v>0.36836485347601894</x:v>
      </x:c>
      <x:c r="G128" s="11" t="n">
        <x:v>0.5170301497881061</x:v>
      </x:c>
      <x:c r="H128" s="13" t="n">
        <x:v>0.40242515305223114</x:v>
      </x:c>
      <x:c r="I128" s="12" t="n">
        <x:v>11.52</x:v>
      </x:c>
      <x:c r="J128" s="12" t="n">
        <x:v>11.68</x:v>
      </x:c>
      <x:c r="K128" s="11" t="n">
        <x:v>0.01388888888888884</x:v>
      </x:c>
      <x:c r="L128" s="1" t="n">
        <x:v>1</x:v>
      </x:c>
      <x:c r="M128" s="12" t="n">
        <x:v>11.62</x:v>
      </x:c>
      <x:c r="N128" s="11" t="n">
        <x:v>0.00868055555555558</x:v>
      </x:c>
      <x:c r="O128" s="12" t="n">
        <x:v>11.6</x:v>
      </x:c>
      <x:c r="P128" s="11" t="n">
        <x:v>0.00694444444444442</x:v>
      </x:c>
      <x:c r="Q128" s="12" t="n">
        <x:v>11.54</x:v>
      </x:c>
      <x:c r="R128" s="11" t="n">
        <x:v>0.036837376460017834</x:v>
      </x:c>
    </x:row>
    <x:row r="129" ht="21" customHeight="1">
      <x:c r="A129" s="1" t="n">
        <x:v>13</x:v>
      </x:c>
      <x:c r="B129" s="1" t="n">
        <x:v>8</x:v>
      </x:c>
      <x:c r="C129" s="10" t="str">
        <x:f>"000776"</x:f>
        <x:v>000776</x:v>
      </x:c>
      <x:c r="D129" s="1" t="str">
        <x:v>广发证券</x:v>
      </x:c>
      <x:c r="E129" s="11" t="n">
        <x:v>0.114817453334071</x:v>
      </x:c>
      <x:c r="F129" s="11" t="n">
        <x:v>0.37097609691051775</x:v>
      </x:c>
      <x:c r="G129" s="11" t="n">
        <x:v>0.5142064497554112</x:v>
      </x:c>
      <x:c r="H129" s="13" t="n">
        <x:v>0.3993889964213402</x:v>
      </x:c>
      <x:c r="I129" s="12" t="n">
        <x:v>20.73</x:v>
      </x:c>
      <x:c r="J129" s="12" t="n">
        <x:v>21.08</x:v>
      </x:c>
      <x:c r="K129" s="11" t="n">
        <x:v>0.016883743367100745</x:v>
      </x:c>
      <x:c r="L129" s="1" t="n">
        <x:v>1</x:v>
      </x:c>
      <x:c r="M129" s="12" t="n">
        <x:v>21.03</x:v>
      </x:c>
      <x:c r="N129" s="11" t="n">
        <x:v>0.01447178002894356</x:v>
      </x:c>
      <x:c r="O129" s="12" t="n">
        <x:v>21.02</x:v>
      </x:c>
      <x:c r="P129" s="11" t="n">
        <x:v>0.013989387361312167</x:v>
      </x:c>
      <x:c r="Q129" s="12" t="n">
        <x:v>20.79</x:v>
      </x:c>
      <x:c r="R129" s="11" t="n">
        <x:v>0.03846153846153855</x:v>
      </x:c>
    </x:row>
    <x:row r="130" ht="21" customHeight="1">
      <x:c r="A130" s="1" t="n">
        <x:v>13</x:v>
      </x:c>
      <x:c r="B130" s="1" t="n">
        <x:v>9</x:v>
      </x:c>
      <x:c r="C130" s="10" t="str">
        <x:f>"600482"</x:f>
        <x:v>600482</x:v>
      </x:c>
      <x:c r="D130" s="1" t="str">
        <x:v>中国动力</x:v>
      </x:c>
      <x:c r="E130" s="11" t="n">
        <x:v>0.11582775961535532</x:v>
      </x:c>
      <x:c r="F130" s="11" t="n">
        <x:v>0.3486369512088228</x:v>
      </x:c>
      <x:c r="G130" s="11" t="n">
        <x:v>0.5355352891758218</x:v>
      </x:c>
      <x:c r="H130" s="13" t="n">
        <x:v>0.41970752956046653</x:v>
      </x:c>
      <x:c r="I130" s="12" t="n">
        <x:v>33.91</x:v>
      </x:c>
      <x:c r="J130" s="12" t="n">
        <x:v>34.8</x:v>
      </x:c>
      <x:c r="K130" s="11" t="n">
        <x:v>0.026245945148923644</x:v>
      </x:c>
      <x:c r="L130" s="1" t="n">
        <x:v>1</x:v>
      </x:c>
      <x:c r="M130" s="12" t="n">
        <x:v>34.7</x:v>
      </x:c>
      <x:c r="N130" s="11" t="n">
        <x:v>0.02329696254792113</x:v>
      </x:c>
      <x:c r="O130" s="12" t="n">
        <x:v>34.76</x:v>
      </x:c>
      <x:c r="P130" s="11" t="n">
        <x:v>0.025066352108522594</x:v>
      </x:c>
      <x:c r="Q130" s="12" t="n">
        <x:v>33.95</x:v>
      </x:c>
      <x:c r="R130" s="11" t="n">
        <x:v>0.04141104294478537</x:v>
      </x:c>
    </x:row>
    <x:row r="131" ht="21" customHeight="1">
      <x:c r="A131" s="1" t="n">
        <x:v>13</x:v>
      </x:c>
      <x:c r="B131" s="1" t="n">
        <x:v>10</x:v>
      </x:c>
      <x:c r="C131" s="10" t="str">
        <x:f>"920019"</x:f>
        <x:v>920019</x:v>
      </x:c>
      <x:c r="D131" s="1" t="str">
        <x:v>铜冠矿建</x:v>
      </x:c>
      <x:c r="E131" s="11" t="n">
        <x:v>0.11962148936652854</x:v>
      </x:c>
      <x:c r="F131" s="11" t="n">
        <x:v>0.37223478117384395</x:v>
      </x:c>
      <x:c r="G131" s="11" t="n">
        <x:v>0.5081437294596275</x:v>
      </x:c>
      <x:c r="H131" s="13" t="n">
        <x:v>0.38852224009309894</x:v>
      </x:c>
      <x:c r="I131" s="12" t="n">
        <x:v>15.35</x:v>
      </x:c>
      <x:c r="J131" s="12" t="n">
        <x:v>15.43</x:v>
      </x:c>
      <x:c r="K131" s="11" t="n">
        <x:v>0.005211726384364734</x:v>
      </x:c>
      <x:c r="L131" s="1" t="n">
        <x:v>0</x:v>
      </x:c>
      <x:c r="M131" s="12" t="n">
        <x:v>15.37</x:v>
      </x:c>
      <x:c r="N131" s="11" t="n">
        <x:v>0.0013029315960910726</x:v>
      </x:c>
      <x:c r="O131" s="12" t="n">
        <x:v>15.43</x:v>
      </x:c>
      <x:c r="P131" s="11" t="n">
        <x:v>0.005211726384364734</x:v>
      </x:c>
      <x:c r="Q131" s="12" t="n">
        <x:v>15.25</x:v>
      </x:c>
      <x:c r="R131" s="11" t="n">
        <x:v>0.02348993288590595</x:v>
      </x:c>
    </x:row>
    <x:row r="132" ht="21" customHeight="1">
      <x:c r="A132" s="1" t="n">
        <x:v>14</x:v>
      </x:c>
      <x:c r="B132" s="1" t="n">
        <x:v>1</x:v>
      </x:c>
      <x:c r="C132" s="10" t="str">
        <x:f>"603259"</x:f>
        <x:v>603259</x:v>
      </x:c>
      <x:c r="D132" s="1" t="str">
        <x:v>药明康德</x:v>
      </x:c>
      <x:c r="E132" s="11" t="n">
        <x:v>0.08204690146367537</x:v>
      </x:c>
      <x:c r="F132" s="11" t="n">
        <x:v>0.29102864919434535</x:v>
      </x:c>
      <x:c r="G132" s="11" t="n">
        <x:v>0.6269244493419792</x:v>
      </x:c>
      <x:c r="H132" s="13" t="n">
        <x:v>0.5448775478783039</x:v>
      </x:c>
      <x:c r="I132" s="12" t="n">
        <x:v>167.96</x:v>
      </x:c>
      <x:c r="J132" s="12" t="n">
        <x:v>167.91</x:v>
      </x:c>
      <x:c r="K132" s="11" t="n">
        <x:v>-0.00029768992617296153</x:v>
      </x:c>
      <x:c r="L132" s="1" t="n">
        <x:v>-1</x:v>
      </x:c>
      <x:c r="M132" s="12" t="n">
        <x:v>167.91</x:v>
      </x:c>
      <x:c r="N132" s="11" t="n">
        <x:v>-0.00029768992617296153</x:v>
      </x:c>
      <x:c r="O132" s="12" t="n">
        <x:v>166.72</x:v>
      </x:c>
      <x:c r="P132" s="11" t="n">
        <x:v>-0.00738271016908798</x:v>
      </x:c>
      <x:c r="Q132" s="12" t="n">
        <x:v>167.96</x:v>
      </x:c>
      <x:c r="R132" s="11" t="n">
        <x:v>0.04974999999999996</x:v>
      </x:c>
    </x:row>
    <x:row r="133" ht="21" customHeight="1">
      <x:c r="A133" s="1" t="n">
        <x:v>14</x:v>
      </x:c>
      <x:c r="B133" s="1" t="n">
        <x:v>2</x:v>
      </x:c>
      <x:c r="C133" s="10" t="str">
        <x:f>"600150"</x:f>
        <x:v>600150</x:v>
      </x:c>
      <x:c r="D133" s="1" t="str">
        <x:v>中国船舶</x:v>
      </x:c>
      <x:c r="E133" s="11" t="n">
        <x:v>0.08718361204093604</x:v>
      </x:c>
      <x:c r="F133" s="11" t="n">
        <x:v>0.34028575762766405</x:v>
      </x:c>
      <x:c r="G133" s="11" t="n">
        <x:v>0.5725306303314</x:v>
      </x:c>
      <x:c r="H133" s="13" t="n">
        <x:v>0.4853470182904639</x:v>
      </x:c>
      <x:c r="I133" s="12" t="n">
        <x:v>40.92</x:v>
      </x:c>
      <x:c r="J133" s="12" t="n">
        <x:v>41.1</x:v>
      </x:c>
      <x:c r="K133" s="11" t="n">
        <x:v>0.004398826979472137</x:v>
      </x:c>
      <x:c r="L133" s="1" t="n">
        <x:v>0</x:v>
      </x:c>
      <x:c r="M133" s="12" t="n">
        <x:v>40.88</x:v>
      </x:c>
      <x:c r="N133" s="11" t="n">
        <x:v>-0.0009775171065493637</x:v>
      </x:c>
      <x:c r="O133" s="12" t="n">
        <x:v>40.88</x:v>
      </x:c>
      <x:c r="P133" s="11" t="n">
        <x:v>-0.0009775171065493637</x:v>
      </x:c>
      <x:c r="Q133" s="12" t="n">
        <x:v>41.02</x:v>
      </x:c>
      <x:c r="R133" s="11" t="n">
        <x:v>0.03927033189764395</x:v>
      </x:c>
    </x:row>
    <x:row r="134" ht="21" customHeight="1">
      <x:c r="A134" s="1" t="n">
        <x:v>14</x:v>
      </x:c>
      <x:c r="B134" s="1" t="n">
        <x:v>3</x:v>
      </x:c>
      <x:c r="C134" s="10" t="str">
        <x:f>"601919"</x:f>
        <x:v>601919</x:v>
      </x:c>
      <x:c r="D134" s="1" t="str">
        <x:v>中远海控</x:v>
      </x:c>
      <x:c r="E134" s="11" t="n">
        <x:v>0.09650940173964927</x:v>
      </x:c>
      <x:c r="F134" s="11" t="n">
        <x:v>0.3510778519058638</x:v>
      </x:c>
      <x:c r="G134" s="11" t="n">
        <x:v>0.552412746354487</x:v>
      </x:c>
      <x:c r="H134" s="13" t="n">
        <x:v>0.4559033446148377</x:v>
      </x:c>
      <x:c r="I134" s="12" t="n">
        <x:v>16.69</x:v>
      </x:c>
      <x:c r="J134" s="12" t="n">
        <x:v>16.72</x:v>
      </x:c>
      <x:c r="K134" s="11" t="n">
        <x:v>0.0017974835230676334</x:v>
      </x:c>
      <x:c r="L134" s="1" t="n">
        <x:v>0</x:v>
      </x:c>
      <x:c r="M134" s="12" t="n">
        <x:v>16.68</x:v>
      </x:c>
      <x:c r="N134" s="11" t="n">
        <x:v>-0.0005991611743559888</x:v>
      </x:c>
      <x:c r="O134" s="12" t="n">
        <x:v>16.58</x:v>
      </x:c>
      <x:c r="P134" s="11" t="n">
        <x:v>-0.0065907729179151</x:v>
      </x:c>
      <x:c r="Q134" s="12" t="n">
        <x:v>16.71</x:v>
      </x:c>
      <x:c r="R134" s="11" t="n">
        <x:v>0.03788819875776395</x:v>
      </x:c>
    </x:row>
    <x:row r="135" ht="21" customHeight="1">
      <x:c r="A135" s="1" t="n">
        <x:v>14</x:v>
      </x:c>
      <x:c r="B135" s="1" t="n">
        <x:v>4</x:v>
      </x:c>
      <x:c r="C135" s="10" t="str">
        <x:f>"600188"</x:f>
        <x:v>600188</x:v>
      </x:c>
      <x:c r="D135" s="1" t="str">
        <x:v>兖矿能源</x:v>
      </x:c>
      <x:c r="E135" s="11" t="n">
        <x:v>0.09959181190000432</x:v>
      </x:c>
      <x:c r="F135" s="11" t="n">
        <x:v>0.35009348650303723</x:v>
      </x:c>
      <x:c r="G135" s="11" t="n">
        <x:v>0.5503147015969584</x:v>
      </x:c>
      <x:c r="H135" s="13" t="n">
        <x:v>0.45072288969695407</x:v>
      </x:c>
      <x:c r="I135" s="12" t="n">
        <x:v>20.4</x:v>
      </x:c>
      <x:c r="J135" s="12" t="n">
        <x:v>20.3</x:v>
      </x:c>
      <x:c r="K135" s="11" t="n">
        <x:v>-0.004901960784313597</x:v>
      </x:c>
      <x:c r="L135" s="1" t="n">
        <x:v>-1</x:v>
      </x:c>
      <x:c r="M135" s="12" t="n">
        <x:v>20.3</x:v>
      </x:c>
      <x:c r="N135" s="11" t="n">
        <x:v>-0.004901960784313597</x:v>
      </x:c>
      <x:c r="O135" s="12" t="n">
        <x:v>20.23</x:v>
      </x:c>
      <x:c r="P135" s="11" t="n">
        <x:v>-0.008333333333333193</x:v>
      </x:c>
      <x:c r="Q135" s="12" t="n">
        <x:v>20.44</x:v>
      </x:c>
      <x:c r="R135" s="11" t="n">
        <x:v>0.03861788617886197</x:v>
      </x:c>
    </x:row>
    <x:row r="136" ht="21" customHeight="1">
      <x:c r="A136" s="1" t="n">
        <x:v>14</x:v>
      </x:c>
      <x:c r="B136" s="1" t="n">
        <x:v>5</x:v>
      </x:c>
      <x:c r="C136" s="10" t="str">
        <x:f>"600482"</x:f>
        <x:v>600482</x:v>
      </x:c>
      <x:c r="D136" s="1" t="str">
        <x:v>中国动力</x:v>
      </x:c>
      <x:c r="E136" s="11" t="n">
        <x:v>0.10162627843093852</x:v>
      </x:c>
      <x:c r="F136" s="11" t="n">
        <x:v>0.28300765688010043</x:v>
      </x:c>
      <x:c r="G136" s="11" t="n">
        <x:v>0.615366064688961</x:v>
      </x:c>
      <x:c r="H136" s="13" t="n">
        <x:v>0.5137397862580225</x:v>
      </x:c>
      <x:c r="I136" s="12" t="n">
        <x:v>35.58</x:v>
      </x:c>
      <x:c r="J136" s="12" t="n">
        <x:v>36.2</x:v>
      </x:c>
      <x:c r="K136" s="11" t="n">
        <x:v>0.017425519955031055</x:v>
      </x:c>
      <x:c r="L136" s="1" t="n">
        <x:v>1</x:v>
      </x:c>
      <x:c r="M136" s="12" t="n">
        <x:v>35.58</x:v>
      </x:c>
      <x:c r="N136" s="11" t="n">
        <x:v>0</x:v>
      </x:c>
      <x:c r="O136" s="12" t="n">
        <x:v>35.58</x:v>
      </x:c>
      <x:c r="P136" s="11" t="n">
        <x:v>0</x:v>
      </x:c>
      <x:c r="Q136" s="12" t="n">
        <x:v>35.55</x:v>
      </x:c>
      <x:c r="R136" s="11" t="n">
        <x:v>0.04712812960235624</x:v>
      </x:c>
    </x:row>
    <x:row r="137" ht="21" customHeight="1">
      <x:c r="A137" s="1" t="n">
        <x:v>14</x:v>
      </x:c>
      <x:c r="B137" s="1" t="n">
        <x:v>6</x:v>
      </x:c>
      <x:c r="C137" s="10" t="str">
        <x:f>"600938"</x:f>
        <x:v>600938</x:v>
      </x:c>
      <x:c r="D137" s="1" t="str">
        <x:v>中国海油</x:v>
      </x:c>
      <x:c r="E137" s="11" t="n">
        <x:v>0.10347438060596516</x:v>
      </x:c>
      <x:c r="F137" s="11" t="n">
        <x:v>0.36059217067650917</x:v>
      </x:c>
      <x:c r="G137" s="11" t="n">
        <x:v>0.5359334487175257</x:v>
      </x:c>
      <x:c r="H137" s="13" t="n">
        <x:v>0.43245906811156054</x:v>
      </x:c>
      <x:c r="I137" s="12" t="n">
        <x:v>33.42</x:v>
      </x:c>
      <x:c r="J137" s="12" t="n">
        <x:v>33.26</x:v>
      </x:c>
      <x:c r="K137" s="11" t="n">
        <x:v>-0.004787552363854086</x:v>
      </x:c>
      <x:c r="L137" s="1" t="n">
        <x:v>-1</x:v>
      </x:c>
      <x:c r="M137" s="12" t="n">
        <x:v>33.17</x:v>
      </x:c>
      <x:c r="N137" s="11" t="n">
        <x:v>-0.0074805505685218154</x:v>
      </x:c>
      <x:c r="O137" s="12" t="n">
        <x:v>33.15</x:v>
      </x:c>
      <x:c r="P137" s="11" t="n">
        <x:v>-0.008078994614003632</x:v>
      </x:c>
      <x:c r="Q137" s="12" t="n">
        <x:v>33.54</x:v>
      </x:c>
      <x:c r="R137" s="11" t="n">
        <x:v>0.0383900928792571</x:v>
      </x:c>
    </x:row>
    <x:row r="138" ht="21" customHeight="1">
      <x:c r="A138" s="1" t="n">
        <x:v>14</x:v>
      </x:c>
      <x:c r="B138" s="1" t="n">
        <x:v>7</x:v>
      </x:c>
      <x:c r="C138" s="10" t="str">
        <x:f>"688008"</x:f>
        <x:v>688008</x:v>
      </x:c>
      <x:c r="D138" s="1" t="str">
        <x:v>澜起科技</x:v>
      </x:c>
      <x:c r="E138" s="11" t="n">
        <x:v>0.10472363992869102</x:v>
      </x:c>
      <x:c r="F138" s="11" t="n">
        <x:v>0.2876215468173399</x:v>
      </x:c>
      <x:c r="G138" s="11" t="n">
        <x:v>0.6076548132539691</x:v>
      </x:c>
      <x:c r="H138" s="13" t="n">
        <x:v>0.502931173325278</x:v>
      </x:c>
      <x:c r="I138" s="12" t="n">
        <x:v>210.24</x:v>
      </x:c>
      <x:c r="J138" s="12" t="n">
        <x:v>233.19</x:v>
      </x:c>
      <x:c r="K138" s="11" t="n">
        <x:v>0.1091609589041096</x:v>
      </x:c>
      <x:c r="L138" s="1" t="n">
        <x:v>1</x:v>
      </x:c>
      <x:c r="M138" s="12" t="n">
        <x:v>232.9</x:v>
      </x:c>
      <x:c r="N138" s="11" t="n">
        <x:v>0.1077815829528157</x:v>
      </x:c>
      <x:c r="O138" s="12" t="n">
        <x:v>232.93</x:v>
      </x:c>
      <x:c r="P138" s="11" t="n">
        <x:v>0.10792427701674279</x:v>
      </x:c>
      <x:c r="Q138" s="12" t="n">
        <x:v>210.1</x:v>
      </x:c>
      <x:c r="R138" s="11" t="n">
        <x:v>0.037377178689576906</x:v>
      </x:c>
    </x:row>
    <x:row r="139" ht="21" customHeight="1">
      <x:c r="A139" s="1" t="n">
        <x:v>14</x:v>
      </x:c>
      <x:c r="B139" s="1" t="n">
        <x:v>8</x:v>
      </x:c>
      <x:c r="C139" s="10" t="str">
        <x:f>"003039"</x:f>
        <x:v>003039</x:v>
      </x:c>
      <x:c r="D139" s="1" t="str">
        <x:v>顺控发展</x:v>
      </x:c>
      <x:c r="E139" s="11" t="n">
        <x:v>0.10931414028043088</x:v>
      </x:c>
      <x:c r="F139" s="11" t="n">
        <x:v>0.3504501323208216</x:v>
      </x:c>
      <x:c r="G139" s="11" t="n">
        <x:v>0.5402357273987475</x:v>
      </x:c>
      <x:c r="H139" s="13" t="n">
        <x:v>0.43092158711831663</x:v>
      </x:c>
      <x:c r="I139" s="12" t="n">
        <x:v>13.13</x:v>
      </x:c>
      <x:c r="J139" s="12" t="n">
        <x:v>13.11</x:v>
      </x:c>
      <x:c r="K139" s="11" t="n">
        <x:v>-0.0015232292460016783</x:v>
      </x:c>
      <x:c r="L139" s="1" t="n">
        <x:v>-1</x:v>
      </x:c>
      <x:c r="M139" s="12" t="n">
        <x:v>13.11</x:v>
      </x:c>
      <x:c r="N139" s="11" t="n">
        <x:v>-0.0015232292460016783</x:v>
      </x:c>
      <x:c r="O139" s="12" t="n">
        <x:v>13.03</x:v>
      </x:c>
      <x:c r="P139" s="11" t="n">
        <x:v>-0.007616146230007725</x:v>
      </x:c>
      <x:c r="Q139" s="12" t="n">
        <x:v>13.12</x:v>
      </x:c>
      <x:c r="R139" s="11" t="n">
        <x:v>0.032258064516129004</x:v>
      </x:c>
    </x:row>
    <x:row r="140" ht="21" customHeight="1">
      <x:c r="A140" s="1" t="n">
        <x:v>14</x:v>
      </x:c>
      <x:c r="B140" s="1" t="n">
        <x:v>9</x:v>
      </x:c>
      <x:c r="C140" s="10" t="str">
        <x:f>"603208"</x:f>
        <x:v>603208</x:v>
      </x:c>
      <x:c r="D140" s="1" t="str">
        <x:v>江山欧派</x:v>
      </x:c>
      <x:c r="E140" s="11" t="n">
        <x:v>0.11017300854244372</x:v>
      </x:c>
      <x:c r="F140" s="11" t="n">
        <x:v>0.29442925711700546</x:v>
      </x:c>
      <x:c r="G140" s="11" t="n">
        <x:v>0.5953977343405509</x:v>
      </x:c>
      <x:c r="H140" s="13" t="n">
        <x:v>0.48522472579810716</x:v>
      </x:c>
      <x:c r="I140" s="12" t="n">
        <x:v>11.33</x:v>
      </x:c>
      <x:c r="J140" s="12" t="n">
        <x:v>11.43</x:v>
      </x:c>
      <x:c r="K140" s="11" t="n">
        <x:v>0.008826125330979595</x:v>
      </x:c>
      <x:c r="L140" s="1" t="n">
        <x:v>0</x:v>
      </x:c>
      <x:c r="M140" s="12" t="n">
        <x:v>11.42</x:v>
      </x:c>
      <x:c r="N140" s="11" t="n">
        <x:v>0.007943512797881747</x:v>
      </x:c>
      <x:c r="O140" s="12" t="n">
        <x:v>11.33</x:v>
      </x:c>
      <x:c r="P140" s="11" t="n">
        <x:v>0</x:v>
      </x:c>
      <x:c r="Q140" s="12" t="n">
        <x:v>11.31</x:v>
      </x:c>
      <x:c r="R140" s="11" t="n">
        <x:v>0.050139275766016844</x:v>
      </x:c>
    </x:row>
    <x:row r="141" ht="21" customHeight="1">
      <x:c r="A141" s="1" t="n">
        <x:v>14</x:v>
      </x:c>
      <x:c r="B141" s="1" t="n">
        <x:v>10</x:v>
      </x:c>
      <x:c r="C141" s="10" t="str">
        <x:f>"601808"</x:f>
        <x:v>601808</x:v>
      </x:c>
      <x:c r="D141" s="1" t="str">
        <x:v>中海油服</x:v>
      </x:c>
      <x:c r="E141" s="11" t="n">
        <x:v>0.11052382842039815</x:v>
      </x:c>
      <x:c r="F141" s="11" t="n">
        <x:v>0.3684258752592567</x:v>
      </x:c>
      <x:c r="G141" s="11" t="n">
        <x:v>0.5210502963203452</x:v>
      </x:c>
      <x:c r="H141" s="13" t="n">
        <x:v>0.410526467899947</x:v>
      </x:c>
      <x:c r="I141" s="12" t="n">
        <x:v>12.53</x:v>
      </x:c>
      <x:c r="J141" s="12" t="n">
        <x:v>12.48</x:v>
      </x:c>
      <x:c r="K141" s="11" t="n">
        <x:v>-0.003990422984836317</x:v>
      </x:c>
      <x:c r="L141" s="1" t="n">
        <x:v>-1</x:v>
      </x:c>
      <x:c r="M141" s="12" t="n">
        <x:v>12.4</x:v>
      </x:c>
      <x:c r="N141" s="11" t="n">
        <x:v>-0.010375099760574491</x:v>
      </x:c>
      <x:c r="O141" s="12" t="n">
        <x:v>12.41</x:v>
      </x:c>
      <x:c r="P141" s="11" t="n">
        <x:v>-0.009577015163607316</x:v>
      </x:c>
      <x:c r="Q141" s="12" t="n">
        <x:v>12.52</x:v>
      </x:c>
      <x:c r="R141" s="11" t="n">
        <x:v>0.030452674897119225</x:v>
      </x:c>
    </x:row>
    <x:row r="142" ht="21" customHeight="1">
      <x:c r="A142" s="1" t="n">
        <x:v>15</x:v>
      </x:c>
      <x:c r="B142" s="1" t="n">
        <x:v>1</x:v>
      </x:c>
      <x:c r="C142" s="10" t="str">
        <x:f>"688041"</x:f>
        <x:v>688041</x:v>
      </x:c>
      <x:c r="D142" s="1" t="str">
        <x:v>海光信息</x:v>
      </x:c>
      <x:c r="E142" s="11" t="n">
        <x:v>0.09889691365810857</x:v>
      </x:c>
      <x:c r="F142" s="11" t="n">
        <x:v>0.29453306138369434</x:v>
      </x:c>
      <x:c r="G142" s="11" t="n">
        <x:v>0.606570024958197</x:v>
      </x:c>
      <x:c r="H142" s="13" t="n">
        <x:v>0.5076731113000884</x:v>
      </x:c>
      <x:c r="I142" s="12" t="n">
        <x:v>254.84</x:v>
      </x:c>
      <x:c r="J142" s="12" t="n">
        <x:v>259.8</x:v>
      </x:c>
      <x:c r="K142" s="11" t="n">
        <x:v>0.019463192591429923</x:v>
      </x:c>
      <x:c r="L142" s="1" t="n">
        <x:v>1</x:v>
      </x:c>
      <x:c r="M142" s="12" t="n">
        <x:v>258.5</x:v>
      </x:c>
      <x:c r="N142" s="11" t="n">
        <x:v>0.014361952597708338</x:v>
      </x:c>
      <x:c r="O142" s="12" t="n">
        <x:v>256.66</x:v>
      </x:c>
      <x:c r="P142" s="11" t="n">
        <x:v>0.007141735991210263</x:v>
      </x:c>
      <x:c r="Q142" s="12" t="n">
        <x:v>256</x:v>
      </x:c>
      <x:c r="R142" s="11" t="n">
        <x:v>0.03875025360113615</x:v>
      </x:c>
    </x:row>
    <x:row r="143" ht="21" customHeight="1">
      <x:c r="A143" s="1" t="n">
        <x:v>15</x:v>
      </x:c>
      <x:c r="B143" s="1" t="n">
        <x:v>2</x:v>
      </x:c>
      <x:c r="C143" s="10" t="str">
        <x:f>"603983"</x:f>
        <x:v>603983</x:v>
      </x:c>
      <x:c r="D143" s="1" t="str">
        <x:v>丸美生物</x:v>
      </x:c>
      <x:c r="E143" s="11" t="n">
        <x:v>0.10615497101186035</x:v>
      </x:c>
      <x:c r="F143" s="11" t="n">
        <x:v>0.3622967299681428</x:v>
      </x:c>
      <x:c r="G143" s="11" t="n">
        <x:v>0.5315482990199968</x:v>
      </x:c>
      <x:c r="H143" s="13" t="n">
        <x:v>0.42539332800813645</x:v>
      </x:c>
      <x:c r="I143" s="12" t="n">
        <x:v>32.03</x:v>
      </x:c>
      <x:c r="J143" s="12" t="n">
        <x:v>32.03</x:v>
      </x:c>
      <x:c r="K143" s="11" t="n">
        <x:v>0</x:v>
      </x:c>
      <x:c r="L143" s="1" t="n">
        <x:v>0</x:v>
      </x:c>
      <x:c r="M143" s="12" t="n">
        <x:v>32.03</x:v>
      </x:c>
      <x:c r="N143" s="11" t="n">
        <x:v>0</x:v>
      </x:c>
      <x:c r="O143" s="12" t="n">
        <x:v>31.84</x:v>
      </x:c>
      <x:c r="P143" s="11" t="n">
        <x:v>-0.005931938807368087</x:v>
      </x:c>
      <x:c r="Q143" s="12" t="n">
        <x:v>32.04</x:v>
      </x:c>
      <x:c r="R143" s="11" t="n">
        <x:v>0.041273968150796314</x:v>
      </x:c>
    </x:row>
    <x:row r="144" ht="21" customHeight="1">
      <x:c r="A144" s="1" t="n">
        <x:v>15</x:v>
      </x:c>
      <x:c r="B144" s="1" t="n">
        <x:v>3</x:v>
      </x:c>
      <x:c r="C144" s="10" t="str">
        <x:f>"688428"</x:f>
        <x:v>688428</x:v>
      </x:c>
      <x:c r="D144" s="1" t="str">
        <x:v>诺诚健华</x:v>
      </x:c>
      <x:c r="E144" s="11" t="n">
        <x:v>0.11750756890917086</x:v>
      </x:c>
      <x:c r="F144" s="11" t="n">
        <x:v>0.3104571696069402</x:v>
      </x:c>
      <x:c r="G144" s="11" t="n">
        <x:v>0.572035261483889</x:v>
      </x:c>
      <x:c r="H144" s="13" t="n">
        <x:v>0.4545276925747181</x:v>
      </x:c>
      <x:c r="I144" s="12" t="n">
        <x:v>31.75</x:v>
      </x:c>
      <x:c r="J144" s="12" t="n">
        <x:v>32.29</x:v>
      </x:c>
      <x:c r="K144" s="11" t="n">
        <x:v>0.017007874015747992</x:v>
      </x:c>
      <x:c r="L144" s="1" t="n">
        <x:v>1</x:v>
      </x:c>
      <x:c r="M144" s="12" t="n">
        <x:v>32.21</x:v>
      </x:c>
      <x:c r="N144" s="11" t="n">
        <x:v>0.014488188976377936</x:v>
      </x:c>
      <x:c r="O144" s="12" t="n">
        <x:v>32.19</x:v>
      </x:c>
      <x:c r="P144" s="11" t="n">
        <x:v>0.01385826771653531</x:v>
      </x:c>
      <x:c r="Q144" s="12" t="n">
        <x:v>32</x:v>
      </x:c>
      <x:c r="R144" s="11" t="n">
        <x:v>0.05124835742444156</x:v>
      </x:c>
    </x:row>
    <x:row r="145" ht="21" customHeight="1">
      <x:c r="A145" s="1" t="n">
        <x:v>15</x:v>
      </x:c>
      <x:c r="B145" s="1" t="n">
        <x:v>4</x:v>
      </x:c>
      <x:c r="C145" s="10" t="str">
        <x:f>"603530"</x:f>
        <x:v>603530</x:v>
      </x:c>
      <x:c r="D145" s="1" t="str">
        <x:v>神马电力</x:v>
      </x:c>
      <x:c r="E145" s="11" t="n">
        <x:v>0.11856767318630831</x:v>
      </x:c>
      <x:c r="F145" s="11" t="n">
        <x:v>0.39784860226337304</x:v>
      </x:c>
      <x:c r="G145" s="11" t="n">
        <x:v>0.4835837245503185</x:v>
      </x:c>
      <x:c r="H145" s="13" t="n">
        <x:v>0.36501605136401016</x:v>
      </x:c>
      <x:c r="I145" s="12" t="n">
        <x:v>46.41</x:v>
      </x:c>
      <x:c r="J145" s="12" t="n">
        <x:v>47.39</x:v>
      </x:c>
      <x:c r="K145" s="11" t="n">
        <x:v>0.021116138763197734</x:v>
      </x:c>
      <x:c r="L145" s="1" t="n">
        <x:v>1</x:v>
      </x:c>
      <x:c r="M145" s="12" t="n">
        <x:v>47.21</x:v>
      </x:c>
      <x:c r="N145" s="11" t="n">
        <x:v>0.017237664296487987</x:v>
      </x:c>
      <x:c r="O145" s="12" t="n">
        <x:v>47.2</x:v>
      </x:c>
      <x:c r="P145" s="11" t="n">
        <x:v>0.01702219349278189</x:v>
      </x:c>
      <x:c r="Q145" s="12" t="n">
        <x:v>46.72</x:v>
      </x:c>
      <x:c r="R145" s="11" t="n">
        <x:v>0.03822222222222216</x:v>
      </x:c>
    </x:row>
    <x:row r="146" ht="21" customHeight="1">
      <x:c r="A146" s="1" t="n">
        <x:v>15</x:v>
      </x:c>
      <x:c r="B146" s="1" t="n">
        <x:v>5</x:v>
      </x:c>
      <x:c r="C146" s="10" t="str">
        <x:f>"601001"</x:f>
        <x:v>601001</x:v>
      </x:c>
      <x:c r="D146" s="1" t="str">
        <x:v>晋控煤业</x:v>
      </x:c>
      <x:c r="E146" s="11" t="n">
        <x:v>0.11925271996459748</x:v>
      </x:c>
      <x:c r="F146" s="11" t="n">
        <x:v>0.34684545948195544</x:v>
      </x:c>
      <x:c r="G146" s="11" t="n">
        <x:v>0.533901820553447</x:v>
      </x:c>
      <x:c r="H146" s="13" t="n">
        <x:v>0.4146491005888496</x:v>
      </x:c>
      <x:c r="I146" s="12" t="n">
        <x:v>18.24</x:v>
      </x:c>
      <x:c r="J146" s="12" t="n">
        <x:v>18.49</x:v>
      </x:c>
      <x:c r="K146" s="11" t="n">
        <x:v>0.013706140350877138</x:v>
      </x:c>
      <x:c r="L146" s="1" t="n">
        <x:v>1</x:v>
      </x:c>
      <x:c r="M146" s="12" t="n">
        <x:v>18.37</x:v>
      </x:c>
      <x:c r="N146" s="11" t="n">
        <x:v>0.007127192982456343</x:v>
      </x:c>
      <x:c r="O146" s="12" t="n">
        <x:v>18.38</x:v>
      </x:c>
      <x:c r="P146" s="11" t="n">
        <x:v>0.007675438596491224</x:v>
      </x:c>
      <x:c r="Q146" s="12" t="n">
        <x:v>18.28</x:v>
      </x:c>
      <x:c r="R146" s="11" t="n">
        <x:v>0.03804656445201604</x:v>
      </x:c>
    </x:row>
    <x:row r="147" ht="21" customHeight="1">
      <x:c r="A147" s="1" t="n">
        <x:v>15</x:v>
      </x:c>
      <x:c r="B147" s="1" t="n">
        <x:v>6</x:v>
      </x:c>
      <x:c r="C147" s="10" t="str">
        <x:f>"688193"</x:f>
        <x:v>688193</x:v>
      </x:c>
      <x:c r="D147" s="1" t="str">
        <x:v>仁度生物</x:v>
      </x:c>
      <x:c r="E147" s="11" t="n">
        <x:v>0.11965814036831109</x:v>
      </x:c>
      <x:c r="F147" s="11" t="n">
        <x:v>0.3900003137064743</x:v>
      </x:c>
      <x:c r="G147" s="11" t="n">
        <x:v>0.49034154592521445</x:v>
      </x:c>
      <x:c r="H147" s="13" t="n">
        <x:v>0.3706834055569034</x:v>
      </x:c>
      <x:c r="I147" s="12" t="n">
        <x:v>48.33</x:v>
      </x:c>
      <x:c r="J147" s="12" t="n">
        <x:v>48.88</x:v>
      </x:c>
      <x:c r="K147" s="11" t="n">
        <x:v>0.011380095178977978</x:v>
      </x:c>
      <x:c r="L147" s="1" t="n">
        <x:v>1</x:v>
      </x:c>
      <x:c r="M147" s="12" t="n">
        <x:v>48.72</x:v>
      </x:c>
      <x:c r="N147" s="11" t="n">
        <x:v>0.00806952203600253</x:v>
      </x:c>
      <x:c r="O147" s="12" t="n">
        <x:v>48.87</x:v>
      </x:c>
      <x:c r="P147" s="11" t="n">
        <x:v>0.011173184357541777</x:v>
      </x:c>
      <x:c r="Q147" s="12" t="n">
        <x:v>48.38</x:v>
      </x:c>
      <x:c r="R147" s="11" t="n">
        <x:v>0.033981620004274404</x:v>
      </x:c>
    </x:row>
    <x:row r="148" ht="21" customHeight="1">
      <x:c r="A148" s="1" t="n">
        <x:v>15</x:v>
      </x:c>
      <x:c r="B148" s="1" t="n">
        <x:v>7</x:v>
      </x:c>
      <x:c r="C148" s="10" t="str">
        <x:f>"002534"</x:f>
        <x:v>002534</x:v>
      </x:c>
      <x:c r="D148" s="1" t="str">
        <x:v>西子洁能</x:v>
      </x:c>
      <x:c r="E148" s="11" t="n">
        <x:v>0.12062782136312065</x:v>
      </x:c>
      <x:c r="F148" s="11" t="n">
        <x:v>0.34234955234116726</x:v>
      </x:c>
      <x:c r="G148" s="11" t="n">
        <x:v>0.5370226262957121</x:v>
      </x:c>
      <x:c r="H148" s="13" t="n">
        <x:v>0.4163948049325914</x:v>
      </x:c>
      <x:c r="I148" s="12" t="n">
        <x:v>17.61</x:v>
      </x:c>
      <x:c r="J148" s="12" t="n">
        <x:v>17.71</x:v>
      </x:c>
      <x:c r="K148" s="11" t="n">
        <x:v>0.005678591709256109</x:v>
      </x:c>
      <x:c r="L148" s="1" t="n">
        <x:v>0</x:v>
      </x:c>
      <x:c r="M148" s="12" t="n">
        <x:v>17.68</x:v>
      </x:c>
      <x:c r="N148" s="11" t="n">
        <x:v>0.003975014196479387</x:v>
      </x:c>
      <x:c r="O148" s="12" t="n">
        <x:v>17.68</x:v>
      </x:c>
      <x:c r="P148" s="11" t="n">
        <x:v>0.003975014196479387</x:v>
      </x:c>
      <x:c r="Q148" s="12" t="n">
        <x:v>17.65</x:v>
      </x:c>
      <x:c r="R148" s="11" t="n">
        <x:v>0.041297935103244754</x:v>
      </x:c>
    </x:row>
    <x:row r="149" ht="21" customHeight="1">
      <x:c r="A149" s="1" t="n">
        <x:v>15</x:v>
      </x:c>
      <x:c r="B149" s="1" t="n">
        <x:v>8</x:v>
      </x:c>
      <x:c r="C149" s="10" t="str">
        <x:f>"688060"</x:f>
        <x:v>688060</x:v>
      </x:c>
      <x:c r="D149" s="1" t="str">
        <x:v>云涌科技</x:v>
      </x:c>
      <x:c r="E149" s="11" t="n">
        <x:v>0.12063439292328972</x:v>
      </x:c>
      <x:c r="F149" s="11" t="n">
        <x:v>0.34459407645062623</x:v>
      </x:c>
      <x:c r="G149" s="11" t="n">
        <x:v>0.5347715306260841</x:v>
      </x:c>
      <x:c r="H149" s="13" t="n">
        <x:v>0.41413713770279437</x:v>
      </x:c>
      <x:c r="I149" s="12" t="n">
        <x:v>38.05</x:v>
      </x:c>
      <x:c r="J149" s="12" t="n">
        <x:v>38.27</x:v>
      </x:c>
      <x:c r="K149" s="11" t="n">
        <x:v>0.005781865965834632</x:v>
      </x:c>
      <x:c r="L149" s="1" t="n">
        <x:v>0</x:v>
      </x:c>
      <x:c r="M149" s="12" t="n">
        <x:v>38.27</x:v>
      </x:c>
      <x:c r="N149" s="11" t="n">
        <x:v>0.005781865965834632</x:v>
      </x:c>
      <x:c r="O149" s="12" t="n">
        <x:v>37.71</x:v>
      </x:c>
      <x:c r="P149" s="11" t="n">
        <x:v>-0.008935611038107694</x:v>
      </x:c>
      <x:c r="Q149" s="12" t="n">
        <x:v>38.2</x:v>
      </x:c>
      <x:c r="R149" s="11" t="n">
        <x:v>0.04343075662387341</x:v>
      </x:c>
    </x:row>
    <x:row r="150" ht="21" customHeight="1">
      <x:c r="A150" s="1" t="n">
        <x:v>15</x:v>
      </x:c>
      <x:c r="B150" s="1" t="n">
        <x:v>9</x:v>
      </x:c>
      <x:c r="C150" s="10" t="str">
        <x:f>"688210"</x:f>
        <x:v>688210</x:v>
      </x:c>
      <x:c r="D150" s="1" t="str">
        <x:v>统联精密</x:v>
      </x:c>
      <x:c r="E150" s="11" t="n">
        <x:v>0.12126119362092674</x:v>
      </x:c>
      <x:c r="F150" s="11" t="n">
        <x:v>0.3651448245226695</x:v>
      </x:c>
      <x:c r="G150" s="11" t="n">
        <x:v>0.5135939818564038</x:v>
      </x:c>
      <x:c r="H150" s="13" t="n">
        <x:v>0.39233278823547707</x:v>
      </x:c>
      <x:c r="I150" s="12" t="n">
        <x:v>30.41</x:v>
      </x:c>
      <x:c r="J150" s="12" t="n">
        <x:v>30.76</x:v>
      </x:c>
      <x:c r="K150" s="11" t="n">
        <x:v>0.011509371917132638</x:v>
      </x:c>
      <x:c r="L150" s="1" t="n">
        <x:v>1</x:v>
      </x:c>
      <x:c r="M150" s="12" t="n">
        <x:v>30.66</x:v>
      </x:c>
      <x:c r="N150" s="11" t="n">
        <x:v>0.008220979940808837</x:v>
      </x:c>
      <x:c r="O150" s="12" t="n">
        <x:v>30.66</x:v>
      </x:c>
      <x:c r="P150" s="11" t="n">
        <x:v>0.008220979940808837</x:v>
      </x:c>
      <x:c r="Q150" s="12" t="n">
        <x:v>30.41</x:v>
      </x:c>
      <x:c r="R150" s="11" t="n">
        <x:v>0.03400204012240726</x:v>
      </x:c>
    </x:row>
    <x:row r="151" ht="21" customHeight="1">
      <x:c r="A151" s="1" t="n">
        <x:v>15</x:v>
      </x:c>
      <x:c r="B151" s="1" t="n">
        <x:v>10</x:v>
      </x:c>
      <x:c r="C151" s="10" t="str">
        <x:f>"300440"</x:f>
        <x:v>300440</x:v>
      </x:c>
      <x:c r="D151" s="1" t="str">
        <x:v>运达科技</x:v>
      </x:c>
      <x:c r="E151" s="11" t="n">
        <x:v>0.12181879942553453</x:v>
      </x:c>
      <x:c r="F151" s="11" t="n">
        <x:v>0.36597728869800833</x:v>
      </x:c>
      <x:c r="G151" s="11" t="n">
        <x:v>0.5122039118764571</x:v>
      </x:c>
      <x:c r="H151" s="13" t="n">
        <x:v>0.39038511245092256</x:v>
      </x:c>
      <x:c r="I151" s="12" t="n">
        <x:v>17.81</x:v>
      </x:c>
      <x:c r="J151" s="12" t="n">
        <x:v>18.05</x:v>
      </x:c>
      <x:c r="K151" s="11" t="n">
        <x:v>0.013475575519371175</x:v>
      </x:c>
      <x:c r="L151" s="1" t="n">
        <x:v>1</x:v>
      </x:c>
      <x:c r="M151" s="12" t="n">
        <x:v>18.03</x:v>
      </x:c>
      <x:c r="N151" s="11" t="n">
        <x:v>0.012352610892756966</x:v>
      </x:c>
      <x:c r="O151" s="12" t="n">
        <x:v>18.01</x:v>
      </x:c>
      <x:c r="P151" s="11" t="n">
        <x:v>0.011229646266142757</x:v>
      </x:c>
      <x:c r="Q151" s="12" t="n">
        <x:v>17.84</x:v>
      </x:c>
      <x:c r="R151" s="11" t="n">
        <x:v>0.03420289855072456</x:v>
      </x:c>
    </x:row>
    <x:row r="152" ht="21" customHeight="1">
      <x:c r="A152" s="1" t="n">
        <x:v>16</x:v>
      </x:c>
      <x:c r="B152" s="1" t="n">
        <x:v>1</x:v>
      </x:c>
      <x:c r="C152" s="10" t="str">
        <x:f>"002916"</x:f>
        <x:v>002916</x:v>
      </x:c>
      <x:c r="D152" s="1" t="str">
        <x:v>深南电路</x:v>
      </x:c>
      <x:c r="E152" s="11" t="n">
        <x:v>0.09799644309556846</x:v>
      </x:c>
      <x:c r="F152" s="11" t="n">
        <x:v>0.2826504101769651</x:v>
      </x:c>
      <x:c r="G152" s="11" t="n">
        <x:v>0.6193531467274666</x:v>
      </x:c>
      <x:c r="H152" s="13" t="n">
        <x:v>0.5213567036318981</x:v>
      </x:c>
      <x:c r="I152" s="12" t="n">
        <x:v>414.15</x:v>
      </x:c>
      <x:c r="J152" s="12" t="n">
        <x:v>415.92</x:v>
      </x:c>
      <x:c r="K152" s="11" t="n">
        <x:v>0.004273813835566909</x:v>
      </x:c>
      <x:c r="L152" s="1" t="n">
        <x:v>0</x:v>
      </x:c>
      <x:c r="M152" s="12" t="n">
        <x:v>414.77</x:v>
      </x:c>
      <x:c r="N152" s="11" t="n">
        <x:v>0.0014970421344924212</x:v>
      </x:c>
      <x:c r="O152" s="12" t="n">
        <x:v>410.68</x:v>
      </x:c>
      <x:c r="P152" s="11" t="n">
        <x:v>-0.008378606784981257</x:v>
      </x:c>
      <x:c r="Q152" s="12" t="n">
        <x:v>414.77</x:v>
      </x:c>
      <x:c r="R152" s="11" t="n">
        <x:v>0.036924999999999875</x:v>
      </x:c>
    </x:row>
    <x:row r="153" ht="21" customHeight="1">
      <x:c r="A153" s="1" t="n">
        <x:v>16</x:v>
      </x:c>
      <x:c r="B153" s="1" t="n">
        <x:v>2</x:v>
      </x:c>
      <x:c r="C153" s="10" t="str">
        <x:f>"002493"</x:f>
        <x:v>002493</x:v>
      </x:c>
      <x:c r="D153" s="1" t="str">
        <x:v>荣盛石化</x:v>
      </x:c>
      <x:c r="E153" s="11" t="n">
        <x:v>0.10650310166386016</x:v>
      </x:c>
      <x:c r="F153" s="11" t="n">
        <x:v>0.37805018537537843</x:v>
      </x:c>
      <x:c r="G153" s="11" t="n">
        <x:v>0.5154467129607614</x:v>
      </x:c>
      <x:c r="H153" s="13" t="n">
        <x:v>0.4089436112969012</x:v>
      </x:c>
      <x:c r="I153" s="12" t="n">
        <x:v>13.58</x:v>
      </x:c>
      <x:c r="J153" s="12" t="n">
        <x:v>13.51</x:v>
      </x:c>
      <x:c r="K153" s="11" t="n">
        <x:v>-0.005154639175257714</x:v>
      </x:c>
      <x:c r="L153" s="1" t="n">
        <x:v>-1</x:v>
      </x:c>
      <x:c r="M153" s="12" t="n">
        <x:v>13.5</x:v>
      </x:c>
      <x:c r="N153" s="11" t="n">
        <x:v>-0.00589101620029453</x:v>
      </x:c>
      <x:c r="O153" s="12" t="n">
        <x:v>13.5</x:v>
      </x:c>
      <x:c r="P153" s="11" t="n">
        <x:v>-0.00589101620029453</x:v>
      </x:c>
      <x:c r="Q153" s="12" t="n">
        <x:v>13.55</x:v>
      </x:c>
      <x:c r="R153" s="11" t="n">
        <x:v>0.031987814166031914</x:v>
      </x:c>
    </x:row>
    <x:row r="154" ht="21" customHeight="1">
      <x:c r="A154" s="1" t="n">
        <x:v>16</x:v>
      </x:c>
      <x:c r="B154" s="1" t="n">
        <x:v>3</x:v>
      </x:c>
      <x:c r="C154" s="10" t="str">
        <x:f>"000739"</x:f>
        <x:v>000739</x:v>
      </x:c>
      <x:c r="D154" s="1" t="str">
        <x:v>普洛药业</x:v>
      </x:c>
      <x:c r="E154" s="11" t="n">
        <x:v>0.11319149200586966</x:v>
      </x:c>
      <x:c r="F154" s="11" t="n">
        <x:v>0.22925936112773831</x:v>
      </x:c>
      <x:c r="G154" s="11" t="n">
        <x:v>0.657549146866392</x:v>
      </x:c>
      <x:c r="H154" s="13" t="n">
        <x:v>0.5443576548605223</x:v>
      </x:c>
      <x:c r="I154" s="12" t="n">
        <x:v>25.32</x:v>
      </x:c>
      <x:c r="J154" s="12" t="n">
        <x:v>25.65</x:v>
      </x:c>
      <x:c r="K154" s="11" t="n">
        <x:v>0.013033175355450233</x:v>
      </x:c>
      <x:c r="L154" s="1" t="n">
        <x:v>1</x:v>
      </x:c>
      <x:c r="M154" s="12" t="n">
        <x:v>25.61</x:v>
      </x:c>
      <x:c r="N154" s="11" t="n">
        <x:v>0.011453396524486514</x:v>
      </x:c>
      <x:c r="O154" s="12" t="n">
        <x:v>25.61</x:v>
      </x:c>
      <x:c r="P154" s="11" t="n">
        <x:v>0.011453396524486514</x:v>
      </x:c>
      <x:c r="Q154" s="12" t="n">
        <x:v>25.32</x:v>
      </x:c>
      <x:c r="R154" s="11" t="n">
        <x:v>0.05499999999999994</x:v>
      </x:c>
    </x:row>
    <x:row r="155" ht="21" customHeight="1">
      <x:c r="A155" s="1" t="n">
        <x:v>16</x:v>
      </x:c>
      <x:c r="B155" s="1" t="n">
        <x:v>4</x:v>
      </x:c>
      <x:c r="C155" s="10" t="str">
        <x:f>"688428"</x:f>
        <x:v>688428</x:v>
      </x:c>
      <x:c r="D155" s="1" t="str">
        <x:v>诺诚健华</x:v>
      </x:c>
      <x:c r="E155" s="11" t="n">
        <x:v>0.11384517466742543</x:v>
      </x:c>
      <x:c r="F155" s="11" t="n">
        <x:v>0.29917796388690987</x:v>
      </x:c>
      <x:c r="G155" s="11" t="n">
        <x:v>0.5869768614456646</x:v>
      </x:c>
      <x:c r="H155" s="13" t="n">
        <x:v>0.4731316867782392</x:v>
      </x:c>
      <x:c r="I155" s="12" t="n">
        <x:v>33.45</x:v>
      </x:c>
      <x:c r="J155" s="12" t="n">
        <x:v>33.79</x:v>
      </x:c>
      <x:c r="K155" s="11" t="n">
        <x:v>0.010164424514200077</x:v>
      </x:c>
      <x:c r="L155" s="1" t="n">
        <x:v>1</x:v>
      </x:c>
      <x:c r="M155" s="12" t="n">
        <x:v>33.14</x:v>
      </x:c>
      <x:c r="N155" s="11" t="n">
        <x:v>-0.009267563527653233</x:v>
      </x:c>
      <x:c r="O155" s="12" t="n">
        <x:v>32.84</x:v>
      </x:c>
      <x:c r="P155" s="11" t="n">
        <x:v>-0.018236173393124</x:v>
      </x:c>
      <x:c r="Q155" s="12" t="n">
        <x:v>33.4</x:v>
      </x:c>
      <x:c r="R155" s="11" t="n">
        <x:v>0.043749999999999956</x:v>
      </x:c>
    </x:row>
    <x:row r="156" ht="21" customHeight="1">
      <x:c r="A156" s="1" t="n">
        <x:v>16</x:v>
      </x:c>
      <x:c r="B156" s="1" t="n">
        <x:v>5</x:v>
      </x:c>
      <x:c r="C156" s="10" t="str">
        <x:f>"688234"</x:f>
        <x:v>688234</x:v>
      </x:c>
      <x:c r="D156" s="1" t="str">
        <x:v>天岳先进</x:v>
      </x:c>
      <x:c r="E156" s="11" t="n">
        <x:v>0.11686416266680413</x:v>
      </x:c>
      <x:c r="F156" s="11" t="n">
        <x:v>0.3243745414230423</x:v>
      </x:c>
      <x:c r="G156" s="11" t="n">
        <x:v>0.5587612959101537</x:v>
      </x:c>
      <x:c r="H156" s="13" t="n">
        <x:v>0.44189713324334956</x:v>
      </x:c>
      <x:c r="I156" s="12" t="n">
        <x:v>113.92</x:v>
      </x:c>
      <x:c r="J156" s="12" t="n">
        <x:v>114.14</x:v>
      </x:c>
      <x:c r="K156" s="11" t="n">
        <x:v>0.001931179775280789</x:v>
      </x:c>
      <x:c r="L156" s="1" t="n">
        <x:v>0</x:v>
      </x:c>
      <x:c r="M156" s="12" t="n">
        <x:v>113.56</x:v>
      </x:c>
      <x:c r="N156" s="11" t="n">
        <x:v>-0.003160112359550604</x:v>
      </x:c>
      <x:c r="O156" s="12" t="n">
        <x:v>112.72</x:v>
      </x:c>
      <x:c r="P156" s="11" t="n">
        <x:v>-0.010533707865168607</x:v>
      </x:c>
      <x:c r="Q156" s="12" t="n">
        <x:v>114.07</x:v>
      </x:c>
      <x:c r="R156" s="11" t="n">
        <x:v>0.042687385740401984</x:v>
      </x:c>
    </x:row>
    <x:row r="157" ht="21" customHeight="1">
      <x:c r="A157" s="1" t="n">
        <x:v>16</x:v>
      </x:c>
      <x:c r="B157" s="1" t="n">
        <x:v>6</x:v>
      </x:c>
      <x:c r="C157" s="10" t="str">
        <x:f>"301024"</x:f>
        <x:v>301024</x:v>
      </x:c>
      <x:c r="D157" s="1" t="str">
        <x:v>霍普股份</x:v>
      </x:c>
      <x:c r="E157" s="11" t="n">
        <x:v>0.11781151508594126</x:v>
      </x:c>
      <x:c r="F157" s="11" t="n">
        <x:v>0.32927615027236884</x:v>
      </x:c>
      <x:c r="G157" s="11" t="n">
        <x:v>0.5529123346416899</x:v>
      </x:c>
      <x:c r="H157" s="13" t="n">
        <x:v>0.43510081955574864</x:v>
      </x:c>
      <x:c r="I157" s="12" t="n">
        <x:v>35.09</x:v>
      </x:c>
      <x:c r="J157" s="12" t="n">
        <x:v>35.72</x:v>
      </x:c>
      <x:c r="K157" s="11" t="n">
        <x:v>0.017953833000854846</x:v>
      </x:c>
      <x:c r="L157" s="1" t="n">
        <x:v>1</x:v>
      </x:c>
      <x:c r="M157" s="12" t="n">
        <x:v>35.44</x:v>
      </x:c>
      <x:c r="N157" s="11" t="n">
        <x:v>0.009974351667141557</x:v>
      </x:c>
      <x:c r="O157" s="12" t="n">
        <x:v>35.53</x:v>
      </x:c>
      <x:c r="P157" s="11" t="n">
        <x:v>0.0125391849529779</x:v>
      </x:c>
      <x:c r="Q157" s="12" t="n">
        <x:v>35.19</x:v>
      </x:c>
      <x:c r="R157" s="11" t="n">
        <x:v>0.047945205479452024</x:v>
      </x:c>
    </x:row>
    <x:row r="158" ht="21" customHeight="1">
      <x:c r="A158" s="1" t="n">
        <x:v>16</x:v>
      </x:c>
      <x:c r="B158" s="1" t="n">
        <x:v>7</x:v>
      </x:c>
      <x:c r="C158" s="10" t="str">
        <x:f>"688092"</x:f>
        <x:v>688092</x:v>
      </x:c>
      <x:c r="D158" s="1" t="str">
        <x:v>爱科科技</x:v>
      </x:c>
      <x:c r="E158" s="11" t="n">
        <x:v>0.11980268513018999</x:v>
      </x:c>
      <x:c r="F158" s="11" t="n">
        <x:v>0.3475358286967244</x:v>
      </x:c>
      <x:c r="G158" s="11" t="n">
        <x:v>0.5326614861730855</x:v>
      </x:c>
      <x:c r="H158" s="13" t="n">
        <x:v>0.4128588010428955</x:v>
      </x:c>
      <x:c r="I158" s="12" t="n">
        <x:v>22.58</x:v>
      </x:c>
      <x:c r="J158" s="12" t="n">
        <x:v>22.83</x:v>
      </x:c>
      <x:c r="K158" s="11" t="n">
        <x:v>0.01107174490699725</x:v>
      </x:c>
      <x:c r="L158" s="1" t="n">
        <x:v>1</x:v>
      </x:c>
      <x:c r="M158" s="12" t="n">
        <x:v>22.83</x:v>
      </x:c>
      <x:c r="N158" s="11" t="n">
        <x:v>0.01107174490699725</x:v>
      </x:c>
      <x:c r="O158" s="12" t="n">
        <x:v>22.64</x:v>
      </x:c>
      <x:c r="P158" s="11" t="n">
        <x:v>0.0026572187776794376</x:v>
      </x:c>
      <x:c r="Q158" s="12" t="n">
        <x:v>22.83</x:v>
      </x:c>
      <x:c r="R158" s="11" t="n">
        <x:v>0.04389574759945125</x:v>
      </x:c>
    </x:row>
    <x:row r="159" ht="21" customHeight="1">
      <x:c r="A159" s="1" t="n">
        <x:v>16</x:v>
      </x:c>
      <x:c r="B159" s="1" t="n">
        <x:v>8</x:v>
      </x:c>
      <x:c r="C159" s="10" t="str">
        <x:f>"603307"</x:f>
        <x:v>603307</x:v>
      </x:c>
      <x:c r="D159" s="1" t="str">
        <x:v>扬州金泉</x:v>
      </x:c>
      <x:c r="E159" s="11" t="n">
        <x:v>0.11997227542422485</x:v>
      </x:c>
      <x:c r="F159" s="11" t="n">
        <x:v>0.37291062878956793</x:v>
      </x:c>
      <x:c r="G159" s="11" t="n">
        <x:v>0.5071170957862073</x:v>
      </x:c>
      <x:c r="H159" s="13" t="n">
        <x:v>0.3871448203619825</x:v>
      </x:c>
      <x:c r="I159" s="12" t="n">
        <x:v>26.39</x:v>
      </x:c>
      <x:c r="J159" s="12" t="n">
        <x:v>26.75</x:v>
      </x:c>
      <x:c r="K159" s="11" t="n">
        <x:v>0.013641530882910091</x:v>
      </x:c>
      <x:c r="L159" s="1" t="n">
        <x:v>1</x:v>
      </x:c>
      <x:c r="M159" s="12" t="n">
        <x:v>26.5</x:v>
      </x:c>
      <x:c r="N159" s="11" t="n">
        <x:v>0.004168245547555793</x:v>
      </x:c>
      <x:c r="O159" s="12" t="n">
        <x:v>26.4</x:v>
      </x:c>
      <x:c r="P159" s="11" t="n">
        <x:v>0.00037893141341416303</x:v>
      </x:c>
      <x:c r="Q159" s="12" t="n">
        <x:v>26.43</x:v>
      </x:c>
      <x:c r="R159" s="11" t="n">
        <x:v>0.03201874267864113</x:v>
      </x:c>
    </x:row>
    <x:row r="160" ht="21" customHeight="1">
      <x:c r="A160" s="1" t="n">
        <x:v>16</x:v>
      </x:c>
      <x:c r="B160" s="1" t="n">
        <x:v>9</x:v>
      </x:c>
      <x:c r="C160" s="10" t="str">
        <x:f>"688529"</x:f>
        <x:v>688529</x:v>
      </x:c>
      <x:c r="D160" s="1" t="str">
        <x:v>豪森智能</x:v>
      </x:c>
      <x:c r="E160" s="11" t="n">
        <x:v>0.12051512925981667</x:v>
      </x:c>
      <x:c r="F160" s="11" t="n">
        <x:v>0.37307214089023455</x:v>
      </x:c>
      <x:c r="G160" s="11" t="n">
        <x:v>0.5064127298499488</x:v>
      </x:c>
      <x:c r="H160" s="13" t="n">
        <x:v>0.3858976005901321</x:v>
      </x:c>
      <x:c r="I160" s="12" t="n">
        <x:v>15.45</x:v>
      </x:c>
      <x:c r="J160" s="12" t="n">
        <x:v>15.41</x:v>
      </x:c>
      <x:c r="K160" s="11" t="n">
        <x:v>-0.0025889967637540146</x:v>
      </x:c>
      <x:c r="L160" s="1" t="n">
        <x:v>-1</x:v>
      </x:c>
      <x:c r="M160" s="12" t="n">
        <x:v>15.35</x:v>
      </x:c>
      <x:c r="N160" s="11" t="n">
        <x:v>-0.006472491909385036</x:v>
      </x:c>
      <x:c r="O160" s="12" t="n">
        <x:v>15.41</x:v>
      </x:c>
      <x:c r="P160" s="11" t="n">
        <x:v>-0.0025889967637540146</x:v>
      </x:c>
      <x:c r="Q160" s="12" t="n">
        <x:v>15.39</x:v>
      </x:c>
      <x:c r="R160" s="11" t="n">
        <x:v>0.03566621803499337</x:v>
      </x:c>
    </x:row>
    <x:row r="161" ht="21" customHeight="1">
      <x:c r="A161" s="1" t="n">
        <x:v>16</x:v>
      </x:c>
      <x:c r="B161" s="1" t="n">
        <x:v>10</x:v>
      </x:c>
      <x:c r="C161" s="10" t="str">
        <x:f>"688516"</x:f>
        <x:v>688516</x:v>
      </x:c>
      <x:c r="D161" s="1" t="str">
        <x:v>奥特维</x:v>
      </x:c>
      <x:c r="E161" s="11" t="n">
        <x:v>0.12059175545463638</x:v>
      </x:c>
      <x:c r="F161" s="11" t="n">
        <x:v>0.33854918250760424</x:v>
      </x:c>
      <x:c r="G161" s="11" t="n">
        <x:v>0.5408590620377594</x:v>
      </x:c>
      <x:c r="H161" s="13" t="n">
        <x:v>0.42026730658312295</x:v>
      </x:c>
      <x:c r="I161" s="12" t="n">
        <x:v>46</x:v>
      </x:c>
      <x:c r="J161" s="12" t="n">
        <x:v>45.68</x:v>
      </x:c>
      <x:c r="K161" s="11" t="n">
        <x:v>-0.006956521739130417</x:v>
      </x:c>
      <x:c r="L161" s="1" t="n">
        <x:v>-1</x:v>
      </x:c>
      <x:c r="M161" s="12" t="n">
        <x:v>45.62</x:v>
      </x:c>
      <x:c r="N161" s="11" t="n">
        <x:v>-0.008260869565217432</x:v>
      </x:c>
      <x:c r="O161" s="12" t="n">
        <x:v>45.62</x:v>
      </x:c>
      <x:c r="P161" s="11" t="n">
        <x:v>-0.008260869565217432</x:v>
      </x:c>
      <x:c r="Q161" s="12" t="n">
        <x:v>45.9</x:v>
      </x:c>
      <x:c r="R161" s="11" t="n">
        <x:v>0.03494926719278468</x:v>
      </x:c>
    </x:row>
    <x:row r="162" ht="21" customHeight="1">
      <x:c r="A162" s="1" t="n">
        <x:v>17</x:v>
      </x:c>
      <x:c r="B162" s="1" t="n">
        <x:v>1</x:v>
      </x:c>
      <x:c r="C162" s="10" t="str">
        <x:f>"600066"</x:f>
        <x:v>600066</x:v>
      </x:c>
      <x:c r="D162" s="1" t="str">
        <x:v>宇通客车</x:v>
      </x:c>
      <x:c r="E162" s="11" t="n">
        <x:v>0.11640412800489458</x:v>
      </x:c>
      <x:c r="F162" s="11" t="n">
        <x:v>0.3370960809734768</x:v>
      </x:c>
      <x:c r="G162" s="11" t="n">
        <x:v>0.5464997910216286</x:v>
      </x:c>
      <x:c r="H162" s="13" t="n">
        <x:v>0.430095663016734</x:v>
      </x:c>
      <x:c r="I162" s="12" t="n">
        <x:v>26.06</x:v>
      </x:c>
      <x:c r="J162" s="12" t="n">
        <x:v>26.4</x:v>
      </x:c>
      <x:c r="K162" s="11" t="n">
        <x:v>0.01304681504221028</x:v>
      </x:c>
      <x:c r="L162" s="1" t="n">
        <x:v>1</x:v>
      </x:c>
      <x:c r="M162" s="12" t="n">
        <x:v>26.36</x:v>
      </x:c>
      <x:c r="N162" s="11" t="n">
        <x:v>0.011511895625479607</x:v>
      </x:c>
      <x:c r="O162" s="12" t="n">
        <x:v>26.39</x:v>
      </x:c>
      <x:c r="P162" s="11" t="n">
        <x:v>0.012663085188027612</x:v>
      </x:c>
      <x:c r="Q162" s="12" t="n">
        <x:v>26.01</x:v>
      </x:c>
      <x:c r="R162" s="11" t="n">
        <x:v>0.030099009900990126</x:v>
      </x:c>
    </x:row>
    <x:row r="163" ht="21" customHeight="1">
      <x:c r="A163" s="1" t="n">
        <x:v>17</x:v>
      </x:c>
      <x:c r="B163" s="1" t="n">
        <x:v>2</x:v>
      </x:c>
      <x:c r="C163" s="10" t="str">
        <x:f>"300669"</x:f>
        <x:v>300669</x:v>
      </x:c>
      <x:c r="D163" s="1" t="str">
        <x:v>沪宁股份</x:v>
      </x:c>
      <x:c r="E163" s="11" t="n">
        <x:v>0.11670302581855084</x:v>
      </x:c>
      <x:c r="F163" s="11" t="n">
        <x:v>0.34780352455473684</x:v>
      </x:c>
      <x:c r="G163" s="11" t="n">
        <x:v>0.5354934496267122</x:v>
      </x:c>
      <x:c r="H163" s="13" t="n">
        <x:v>0.41879042380816134</x:v>
      </x:c>
      <x:c r="I163" s="12" t="n">
        <x:v>25.6</x:v>
      </x:c>
      <x:c r="J163" s="12" t="n">
        <x:v>26.5</x:v>
      </x:c>
      <x:c r="K163" s="11" t="n">
        <x:v>0.03515625</x:v>
      </x:c>
      <x:c r="L163" s="1" t="n">
        <x:v>1</x:v>
      </x:c>
      <x:c r="M163" s="12" t="n">
        <x:v>25.7</x:v>
      </x:c>
      <x:c r="N163" s="11" t="n">
        <x:v>0.00390625</x:v>
      </x:c>
      <x:c r="O163" s="12" t="n">
        <x:v>25.81</x:v>
      </x:c>
      <x:c r="P163" s="11" t="n">
        <x:v>0.008203124999999867</x:v>
      </x:c>
      <x:c r="Q163" s="12" t="n">
        <x:v>25.54</x:v>
      </x:c>
      <x:c r="R163" s="11" t="n">
        <x:v>0.034846029173419835</x:v>
      </x:c>
    </x:row>
    <x:row r="164" ht="21" customHeight="1">
      <x:c r="A164" s="1" t="n">
        <x:v>17</x:v>
      </x:c>
      <x:c r="B164" s="1" t="n">
        <x:v>3</x:v>
      </x:c>
      <x:c r="C164" s="10" t="str">
        <x:f>"603813"</x:f>
        <x:v>603813</x:v>
      </x:c>
      <x:c r="D164" s="1" t="str">
        <x:v>原尚股份</x:v>
      </x:c>
      <x:c r="E164" s="11" t="n">
        <x:v>0.11678762350678608</x:v>
      </x:c>
      <x:c r="F164" s="11" t="n">
        <x:v>0.34803164410791537</x:v>
      </x:c>
      <x:c r="G164" s="11" t="n">
        <x:v>0.5351807323852985</x:v>
      </x:c>
      <x:c r="H164" s="13" t="n">
        <x:v>0.41839310887851244</x:v>
      </x:c>
      <x:c r="I164" s="12" t="n">
        <x:v>26.34</x:v>
      </x:c>
      <x:c r="J164" s="12" t="n">
        <x:v>27</x:v>
      </x:c>
      <x:c r="K164" s="11" t="n">
        <x:v>0.02505694760820054</x:v>
      </x:c>
      <x:c r="L164" s="1" t="n">
        <x:v>1</x:v>
      </x:c>
      <x:c r="M164" s="12" t="n">
        <x:v>26.99</x:v>
      </x:c>
      <x:c r="N164" s="11" t="n">
        <x:v>0.024677296886864042</x:v>
      </x:c>
      <x:c r="O164" s="12" t="n">
        <x:v>26.99</x:v>
      </x:c>
      <x:c r="P164" s="11" t="n">
        <x:v>0.024677296886864042</x:v>
      </x:c>
      <x:c r="Q164" s="12" t="n">
        <x:v>26.72</x:v>
      </x:c>
      <x:c r="R164" s="11" t="n">
        <x:v>0.04784313725490197</x:v>
      </x:c>
    </x:row>
    <x:row r="165" ht="21" customHeight="1">
      <x:c r="A165" s="1" t="n">
        <x:v>17</x:v>
      </x:c>
      <x:c r="B165" s="1" t="n">
        <x:v>4</x:v>
      </x:c>
      <x:c r="C165" s="10" t="str">
        <x:f>"688082"</x:f>
        <x:v>688082</x:v>
      </x:c>
      <x:c r="D165" s="1" t="str">
        <x:v>盛美上海</x:v>
      </x:c>
      <x:c r="E165" s="11" t="n">
        <x:v>0.11879655874616575</x:v>
      </x:c>
      <x:c r="F165" s="11" t="n">
        <x:v>0.3375871912914924</x:v>
      </x:c>
      <x:c r="G165" s="11" t="n">
        <x:v>0.5436162499623419</x:v>
      </x:c>
      <x:c r="H165" s="13" t="n">
        <x:v>0.4248196912161762</x:v>
      </x:c>
      <x:c r="I165" s="12" t="n">
        <x:v>304.46</x:v>
      </x:c>
      <x:c r="J165" s="12" t="n">
        <x:v>309.5</x:v>
      </x:c>
      <x:c r="K165" s="11" t="n">
        <x:v>0.016553898705905512</x:v>
      </x:c>
      <x:c r="L165" s="1" t="n">
        <x:v>1</x:v>
      </x:c>
      <x:c r="M165" s="12" t="n">
        <x:v>308.54</x:v>
      </x:c>
      <x:c r="N165" s="11" t="n">
        <x:v>0.013400775142875965</x:v>
      </x:c>
      <x:c r="O165" s="12" t="n">
        <x:v>309</x:v>
      </x:c>
      <x:c r="P165" s="11" t="n">
        <x:v>0.014911646850161109</x:v>
      </x:c>
      <x:c r="Q165" s="12" t="n">
        <x:v>304.11</x:v>
      </x:c>
      <x:c r="R165" s="11" t="n">
        <x:v>0.043867778807537894</x:v>
      </x:c>
    </x:row>
    <x:row r="166" ht="21" customHeight="1">
      <x:c r="A166" s="1" t="n">
        <x:v>17</x:v>
      </x:c>
      <x:c r="B166" s="1" t="n">
        <x:v>5</x:v>
      </x:c>
      <x:c r="C166" s="10" t="str">
        <x:f>"300081"</x:f>
        <x:v>300081</x:v>
      </x:c>
      <x:c r="D166" s="1" t="str">
        <x:v>恒信东方</x:v>
      </x:c>
      <x:c r="E166" s="11" t="n">
        <x:v>0.1199531961750611</x:v>
      </x:c>
      <x:c r="F166" s="11" t="n">
        <x:v>0.38158628982704773</x:v>
      </x:c>
      <x:c r="G166" s="11" t="n">
        <x:v>0.4984605139978911</x:v>
      </x:c>
      <x:c r="H166" s="13" t="n">
        <x:v>0.37850731782283</x:v>
      </x:c>
      <x:c r="I166" s="12" t="n">
        <x:v>3.47</x:v>
      </x:c>
      <x:c r="J166" s="12" t="n">
        <x:v>3.49</x:v>
      </x:c>
      <x:c r="K166" s="11" t="n">
        <x:v>0.0057636887608070175</x:v>
      </x:c>
      <x:c r="L166" s="1" t="n">
        <x:v>0</x:v>
      </x:c>
      <x:c r="M166" s="12" t="n">
        <x:v>3.49</x:v>
      </x:c>
      <x:c r="N166" s="11" t="n">
        <x:v>0.0057636887608070175</x:v>
      </x:c>
      <x:c r="O166" s="12" t="n">
        <x:v>3.49</x:v>
      </x:c>
      <x:c r="P166" s="11" t="n">
        <x:v>0.0057636887608070175</x:v>
      </x:c>
      <x:c r="Q166" s="12" t="n">
        <x:v>3.47</x:v>
      </x:c>
      <x:c r="R166" s="11" t="n">
        <x:v>0.035820895522387985</x:v>
      </x:c>
    </x:row>
    <x:row r="167" ht="21" customHeight="1">
      <x:c r="A167" s="1" t="n">
        <x:v>17</x:v>
      </x:c>
      <x:c r="B167" s="1" t="n">
        <x:v>6</x:v>
      </x:c>
      <x:c r="C167" s="10" t="str">
        <x:f>"600337"</x:f>
        <x:v>600337</x:v>
      </x:c>
      <x:c r="D167" s="1" t="str">
        <x:v>美克家居</x:v>
      </x:c>
      <x:c r="E167" s="11" t="n">
        <x:v>0.12280368099506753</x:v>
      </x:c>
      <x:c r="F167" s="11" t="n">
        <x:v>0.3115458365809852</x:v>
      </x:c>
      <x:c r="G167" s="11" t="n">
        <x:v>0.5656504824239472</x:v>
      </x:c>
      <x:c r="H167" s="13" t="n">
        <x:v>0.44284680142887967</x:v>
      </x:c>
      <x:c r="I167" s="12" t="n">
        <x:v>3.43</x:v>
      </x:c>
      <x:c r="J167" s="12" t="n">
        <x:v>3.52</x:v>
      </x:c>
      <x:c r="K167" s="11" t="n">
        <x:v>0.026239067055393583</x:v>
      </x:c>
      <x:c r="L167" s="1" t="n">
        <x:v>1</x:v>
      </x:c>
      <x:c r="M167" s="12" t="n">
        <x:v>3.5</x:v>
      </x:c>
      <x:c r="N167" s="11" t="n">
        <x:v>0.020408163265306145</x:v>
      </x:c>
      <x:c r="O167" s="12" t="n">
        <x:v>3.5</x:v>
      </x:c>
      <x:c r="P167" s="11" t="n">
        <x:v>0.020408163265306145</x:v>
      </x:c>
      <x:c r="Q167" s="12" t="n">
        <x:v>3.43</x:v>
      </x:c>
      <x:c r="R167" s="11" t="n">
        <x:v>0.03313253012048212</x:v>
      </x:c>
    </x:row>
    <x:row r="168" ht="21" customHeight="1">
      <x:c r="A168" s="1" t="n">
        <x:v>17</x:v>
      </x:c>
      <x:c r="B168" s="1" t="n">
        <x:v>7</x:v>
      </x:c>
      <x:c r="C168" s="10" t="str">
        <x:f>"688622"</x:f>
        <x:v>688622</x:v>
      </x:c>
      <x:c r="D168" s="1" t="str">
        <x:v>禾信仪器</x:v>
      </x:c>
      <x:c r="E168" s="11" t="n">
        <x:v>0.12507550924903257</x:v>
      </x:c>
      <x:c r="F168" s="11" t="n">
        <x:v>0.31075752747409047</x:v>
      </x:c>
      <x:c r="G168" s="11" t="n">
        <x:v>0.564166963276877</x:v>
      </x:c>
      <x:c r="H168" s="13" t="n">
        <x:v>0.43909145402784444</x:v>
      </x:c>
      <x:c r="I168" s="12" t="n">
        <x:v>142</x:v>
      </x:c>
      <x:c r="J168" s="12" t="n">
        <x:v>144.95</x:v>
      </x:c>
      <x:c r="K168" s="11" t="n">
        <x:v>0.02077464788732386</x:v>
      </x:c>
      <x:c r="L168" s="1" t="n">
        <x:v>1</x:v>
      </x:c>
      <x:c r="M168" s="12" t="n">
        <x:v>144.8</x:v>
      </x:c>
      <x:c r="N168" s="11" t="n">
        <x:v>0.019718309859154903</x:v>
      </x:c>
      <x:c r="O168" s="12" t="n">
        <x:v>144.84</x:v>
      </x:c>
      <x:c r="P168" s="11" t="n">
        <x:v>0.020000000000000018</x:v>
      </x:c>
      <x:c r="Q168" s="12" t="n">
        <x:v>142.39</x:v>
      </x:c>
      <x:c r="R168" s="11" t="n">
        <x:v>0.04071042245285783</x:v>
      </x:c>
    </x:row>
    <x:row r="169" ht="21" customHeight="1">
      <x:c r="A169" s="1" t="n">
        <x:v>17</x:v>
      </x:c>
      <x:c r="B169" s="1" t="n">
        <x:v>8</x:v>
      </x:c>
      <x:c r="C169" s="10" t="str">
        <x:f>"603511"</x:f>
        <x:v>603511</x:v>
      </x:c>
      <x:c r="D169" s="1" t="str">
        <x:v>爱慕股份</x:v>
      </x:c>
      <x:c r="E169" s="11" t="n">
        <x:v>0.12757503677470025</x:v>
      </x:c>
      <x:c r="F169" s="11" t="n">
        <x:v>0.4079726606622138</x:v>
      </x:c>
      <x:c r="G169" s="11" t="n">
        <x:v>0.464452302563086</x:v>
      </x:c>
      <x:c r="H169" s="13" t="n">
        <x:v>0.3368772657883857</x:v>
      </x:c>
      <x:c r="I169" s="12" t="n">
        <x:v>12.81</x:v>
      </x:c>
      <x:c r="J169" s="12" t="n">
        <x:v>12.9</x:v>
      </x:c>
      <x:c r="K169" s="11" t="n">
        <x:v>0.007025761124121788</x:v>
      </x:c>
      <x:c r="L169" s="1" t="n">
        <x:v>0</x:v>
      </x:c>
      <x:c r="M169" s="12" t="n">
        <x:v>12.88</x:v>
      </x:c>
      <x:c r="N169" s="11" t="n">
        <x:v>0.005464480874316946</x:v>
      </x:c>
      <x:c r="O169" s="12" t="n">
        <x:v>12.81</x:v>
      </x:c>
      <x:c r="P169" s="11" t="n">
        <x:v>0</x:v>
      </x:c>
      <x:c r="Q169" s="12" t="n">
        <x:v>12.77</x:v>
      </x:c>
      <x:c r="R169" s="11" t="n">
        <x:v>0.028180354267310692</x:v>
      </x:c>
    </x:row>
    <x:row r="170" ht="21" customHeight="1">
      <x:c r="A170" s="1" t="n">
        <x:v>17</x:v>
      </x:c>
      <x:c r="B170" s="1" t="n">
        <x:v>9</x:v>
      </x:c>
      <x:c r="C170" s="10" t="str">
        <x:f>"600897"</x:f>
        <x:v>600897</x:v>
      </x:c>
      <x:c r="D170" s="1" t="str">
        <x:v>厦门空港</x:v>
      </x:c>
      <x:c r="E170" s="11" t="n">
        <x:v>0.1291758966078949</x:v>
      </x:c>
      <x:c r="F170" s="11" t="n">
        <x:v>0.3855329664730999</x:v>
      </x:c>
      <x:c r="G170" s="11" t="n">
        <x:v>0.48529113691900533</x:v>
      </x:c>
      <x:c r="H170" s="13" t="n">
        <x:v>0.3561152403111104</x:v>
      </x:c>
      <x:c r="I170" s="12" t="n">
        <x:v>15.63</x:v>
      </x:c>
      <x:c r="J170" s="12" t="n">
        <x:v>15.45</x:v>
      </x:c>
      <x:c r="K170" s="11" t="n">
        <x:v>-0.011516314779270731</x:v>
      </x:c>
      <x:c r="L170" s="1" t="n">
        <x:v>-1</x:v>
      </x:c>
      <x:c r="M170" s="12" t="n">
        <x:v>15.38</x:v>
      </x:c>
      <x:c r="N170" s="11" t="n">
        <x:v>-0.01599488163787588</x:v>
      </x:c>
      <x:c r="O170" s="12" t="n">
        <x:v>15.38</x:v>
      </x:c>
      <x:c r="P170" s="11" t="n">
        <x:v>-0.01599488163787588</x:v>
      </x:c>
      <x:c r="Q170" s="12" t="n">
        <x:v>16.25</x:v>
      </x:c>
      <x:c r="R170" s="11" t="n">
        <x:v>0.07973421926910285</x:v>
      </x:c>
    </x:row>
    <x:row r="171" ht="21" customHeight="1">
      <x:c r="A171" s="1" t="n">
        <x:v>17</x:v>
      </x:c>
      <x:c r="B171" s="1" t="n">
        <x:v>10</x:v>
      </x:c>
      <x:c r="C171" s="10" t="str">
        <x:f>"002743"</x:f>
        <x:v>002743</x:v>
      </x:c>
      <x:c r="D171" s="1" t="str">
        <x:v>富煌钢构</x:v>
      </x:c>
      <x:c r="E171" s="11" t="n">
        <x:v>0.13193585213510992</x:v>
      </x:c>
      <x:c r="F171" s="11" t="n">
        <x:v>0.3503919894911888</x:v>
      </x:c>
      <x:c r="G171" s="11" t="n">
        <x:v>0.5176721583737013</x:v>
      </x:c>
      <x:c r="H171" s="13" t="n">
        <x:v>0.38573630623859134</x:v>
      </x:c>
      <x:c r="I171" s="12" t="n">
        <x:v>4.73</x:v>
      </x:c>
      <x:c r="J171" s="12" t="n">
        <x:v>4.75</x:v>
      </x:c>
      <x:c r="K171" s="11" t="n">
        <x:v>0.004228329809724984</x:v>
      </x:c>
      <x:c r="L171" s="1" t="n">
        <x:v>0</x:v>
      </x:c>
      <x:c r="M171" s="12" t="n">
        <x:v>4.71</x:v>
      </x:c>
      <x:c r="N171" s="11" t="n">
        <x:v>-0.0042283298097252064</x:v>
      </x:c>
      <x:c r="O171" s="12" t="n">
        <x:v>4.73</x:v>
      </x:c>
      <x:c r="P171" s="11" t="n">
        <x:v>0</x:v>
      </x:c>
      <x:c r="Q171" s="12" t="n">
        <x:v>4.75</x:v>
      </x:c>
      <x:c r="R171" s="11" t="n">
        <x:v>0.0393873085339167</x:v>
      </x:c>
    </x:row>
    <x:row r="172" ht="21" customHeight="1">
      <x:c r="A172" s="1" t="n">
        <x:v>18</x:v>
      </x:c>
      <x:c r="B172" s="1" t="n">
        <x:v>1</x:v>
      </x:c>
      <x:c r="C172" s="10" t="str">
        <x:f>"002493"</x:f>
        <x:v>002493</x:v>
      </x:c>
      <x:c r="D172" s="1" t="str">
        <x:v>荣盛石化</x:v>
      </x:c>
      <x:c r="E172" s="11" t="n">
        <x:v>0.11538337379852764</x:v>
      </x:c>
      <x:c r="F172" s="11" t="n">
        <x:v>0.3569914059435124</x:v>
      </x:c>
      <x:c r="G172" s="11" t="n">
        <x:v>0.5276252202579599</x:v>
      </x:c>
      <x:c r="H172" s="13" t="n">
        <x:v>0.41224184645943224</x:v>
      </x:c>
      <x:c r="I172" s="12" t="n">
        <x:v>13.69</x:v>
      </x:c>
      <x:c r="J172" s="12" t="n">
        <x:v>13.76</x:v>
      </x:c>
      <x:c r="K172" s="11" t="n">
        <x:v>0.0051132213294375894</x:v>
      </x:c>
      <x:c r="L172" s="1" t="n">
        <x:v>0</x:v>
      </x:c>
      <x:c r="M172" s="12" t="n">
        <x:v>13.69</x:v>
      </x:c>
      <x:c r="N172" s="11" t="n">
        <x:v>0</x:v>
      </x:c>
      <x:c r="O172" s="12" t="n">
        <x:v>13.57</x:v>
      </x:c>
      <x:c r="P172" s="11" t="n">
        <x:v>-0.008765522279035709</x:v>
      </x:c>
      <x:c r="Q172" s="12" t="n">
        <x:v>13.69</x:v>
      </x:c>
      <x:c r="R172" s="11" t="n">
        <x:v>0.0442410373760489</x:v>
      </x:c>
    </x:row>
    <x:row r="173" ht="21" customHeight="1">
      <x:c r="A173" s="1" t="n">
        <x:v>18</x:v>
      </x:c>
      <x:c r="B173" s="1" t="n">
        <x:v>2</x:v>
      </x:c>
      <x:c r="C173" s="10" t="str">
        <x:f>"600886"</x:f>
        <x:v>600886</x:v>
      </x:c>
      <x:c r="D173" s="1" t="str">
        <x:v>国投电力</x:v>
      </x:c>
      <x:c r="E173" s="11" t="n">
        <x:v>0.1162853023035219</x:v>
      </x:c>
      <x:c r="F173" s="11" t="n">
        <x:v>0.3268204967688708</x:v>
      </x:c>
      <x:c r="G173" s="11" t="n">
        <x:v>0.5568942009276072</x:v>
      </x:c>
      <x:c r="H173" s="13" t="n">
        <x:v>0.4406088986240853</x:v>
      </x:c>
      <x:c r="I173" s="12" t="n">
        <x:v>15.32</x:v>
      </x:c>
      <x:c r="J173" s="12" t="n">
        <x:v>15.39</x:v>
      </x:c>
      <x:c r="K173" s="11" t="n">
        <x:v>0.004569190600522299</x:v>
      </x:c>
      <x:c r="L173" s="1" t="n">
        <x:v>0</x:v>
      </x:c>
      <x:c r="M173" s="12" t="n">
        <x:v>15.3</x:v>
      </x:c>
      <x:c r="N173" s="11" t="n">
        <x:v>-0.0013054830287205776</x:v>
      </x:c>
      <x:c r="O173" s="12" t="n">
        <x:v>15.33</x:v>
      </x:c>
      <x:c r="P173" s="11" t="n">
        <x:v>0.0006527415143602333</x:v>
      </x:c>
      <x:c r="Q173" s="12" t="n">
        <x:v>15.33</x:v>
      </x:c>
      <x:c r="R173" s="11" t="n">
        <x:v>0.031628532974428136</x:v>
      </x:c>
    </x:row>
    <x:row r="174" ht="21" customHeight="1">
      <x:c r="A174" s="1" t="n">
        <x:v>18</x:v>
      </x:c>
      <x:c r="B174" s="1" t="n">
        <x:v>3</x:v>
      </x:c>
      <x:c r="C174" s="10" t="str">
        <x:f>"600053"</x:f>
        <x:v>600053</x:v>
      </x:c>
      <x:c r="D174" s="1" t="str">
        <x:v>九鼎投资</x:v>
      </x:c>
      <x:c r="E174" s="11" t="n">
        <x:v>0.1188145013196801</x:v>
      </x:c>
      <x:c r="F174" s="11" t="n">
        <x:v>0.40113484607927385</x:v>
      </x:c>
      <x:c r="G174" s="11" t="n">
        <x:v>0.4800506526010462</x:v>
      </x:c>
      <x:c r="H174" s="13" t="n">
        <x:v>0.3612361512813661</x:v>
      </x:c>
      <x:c r="I174" s="12" t="n">
        <x:v>7.51</x:v>
      </x:c>
      <x:c r="J174" s="12" t="n">
        <x:v>7.78</x:v>
      </x:c>
      <x:c r="K174" s="11" t="n">
        <x:v>0.03595206391478034</x:v>
      </x:c>
      <x:c r="L174" s="1" t="n">
        <x:v>1</x:v>
      </x:c>
      <x:c r="M174" s="12" t="n">
        <x:v>7.75</x:v>
      </x:c>
      <x:c r="N174" s="11" t="n">
        <x:v>0.031957390146471365</x:v>
      </x:c>
      <x:c r="O174" s="12" t="n">
        <x:v>7.75</x:v>
      </x:c>
      <x:c r="P174" s="11" t="n">
        <x:v>0.031957390146471365</x:v>
      </x:c>
      <x:c r="Q174" s="12" t="n">
        <x:v>7.68</x:v>
      </x:c>
      <x:c r="R174" s="11" t="n">
        <x:v>0.05785123966942152</x:v>
      </x:c>
    </x:row>
    <x:row r="175" ht="21" customHeight="1">
      <x:c r="A175" s="1" t="n">
        <x:v>18</x:v>
      </x:c>
      <x:c r="B175" s="1" t="n">
        <x:v>4</x:v>
      </x:c>
      <x:c r="C175" s="10" t="str">
        <x:f>"002714"</x:f>
        <x:v>002714</x:v>
      </x:c>
      <x:c r="D175" s="1" t="str">
        <x:v>牧原股份</x:v>
      </x:c>
      <x:c r="E175" s="11" t="n">
        <x:v>0.12119033125504315</x:v>
      </x:c>
      <x:c r="F175" s="11" t="n">
        <x:v>0.3776595679384634</x:v>
      </x:c>
      <x:c r="G175" s="11" t="n">
        <x:v>0.5011501008064935</x:v>
      </x:c>
      <x:c r="H175" s="13" t="n">
        <x:v>0.37995976955145033</x:v>
      </x:c>
      <x:c r="I175" s="12" t="n">
        <x:v>41.77</x:v>
      </x:c>
      <x:c r="J175" s="12" t="n">
        <x:v>42.04</x:v>
      </x:c>
      <x:c r="K175" s="11" t="n">
        <x:v>0.0064639693559971345</x:v>
      </x:c>
      <x:c r="L175" s="1" t="n">
        <x:v>0</x:v>
      </x:c>
      <x:c r="M175" s="12" t="n">
        <x:v>41.89</x:v>
      </x:c>
      <x:c r="N175" s="11" t="n">
        <x:v>0.002872875269331887</x:v>
      </x:c>
      <x:c r="O175" s="12" t="n">
        <x:v>41.86</x:v>
      </x:c>
      <x:c r="P175" s="11" t="n">
        <x:v>0.002154656451998971</x:v>
      </x:c>
      <x:c r="Q175" s="12" t="n">
        <x:v>41.71</x:v>
      </x:c>
      <x:c r="R175" s="11" t="n">
        <x:v>0.030385375494071276</x:v>
      </x:c>
    </x:row>
    <x:row r="176" ht="21" customHeight="1">
      <x:c r="A176" s="1" t="n">
        <x:v>18</x:v>
      </x:c>
      <x:c r="B176" s="1" t="n">
        <x:v>5</x:v>
      </x:c>
      <x:c r="C176" s="10" t="str">
        <x:f>"300702"</x:f>
        <x:v>300702</x:v>
      </x:c>
      <x:c r="D176" s="1" t="str">
        <x:v>天宇股份</x:v>
      </x:c>
      <x:c r="E176" s="11" t="n">
        <x:v>0.12362769176191386</x:v>
      </x:c>
      <x:c r="F176" s="11" t="n">
        <x:v>0.40202041248213055</x:v>
      </x:c>
      <x:c r="G176" s="11" t="n">
        <x:v>0.4743518957559556</x:v>
      </x:c>
      <x:c r="H176" s="13" t="n">
        <x:v>0.35072420399404175</x:v>
      </x:c>
      <x:c r="I176" s="12" t="n">
        <x:v>21.96</x:v>
      </x:c>
      <x:c r="J176" s="12" t="n">
        <x:v>21.98</x:v>
      </x:c>
      <x:c r="K176" s="11" t="n">
        <x:v>0.0009107468123861207</x:v>
      </x:c>
      <x:c r="L176" s="1" t="n">
        <x:v>0</x:v>
      </x:c>
      <x:c r="M176" s="12" t="n">
        <x:v>21.85</x:v>
      </x:c>
      <x:c r="N176" s="11" t="n">
        <x:v>-0.005009107468123886</x:v>
      </x:c>
      <x:c r="O176" s="12" t="n">
        <x:v>21.85</x:v>
      </x:c>
      <x:c r="P176" s="11" t="n">
        <x:v>-0.005009107468123886</x:v>
      </x:c>
      <x:c r="Q176" s="12" t="n">
        <x:v>22.25</x:v>
      </x:c>
      <x:c r="R176" s="11" t="n">
        <x:v>0.04460093896713602</x:v>
      </x:c>
    </x:row>
    <x:row r="177" ht="21" customHeight="1">
      <x:c r="A177" s="1" t="n">
        <x:v>18</x:v>
      </x:c>
      <x:c r="B177" s="1" t="n">
        <x:v>6</x:v>
      </x:c>
      <x:c r="C177" s="10" t="str">
        <x:f>"600795"</x:f>
        <x:v>600795</x:v>
      </x:c>
      <x:c r="D177" s="1" t="str">
        <x:v>国电电力</x:v>
      </x:c>
      <x:c r="E177" s="11" t="n">
        <x:v>0.12504851936611502</x:v>
      </x:c>
      <x:c r="F177" s="11" t="n">
        <x:v>0.3934636741443634</x:v>
      </x:c>
      <x:c r="G177" s="11" t="n">
        <x:v>0.48148780648952166</x:v>
      </x:c>
      <x:c r="H177" s="13" t="n">
        <x:v>0.35643928712340667</x:v>
      </x:c>
      <x:c r="I177" s="12" t="n">
        <x:v>5.4</x:v>
      </x:c>
      <x:c r="J177" s="12" t="n">
        <x:v>5.41</x:v>
      </x:c>
      <x:c r="K177" s="11" t="n">
        <x:v>0.0018518518518517713</x:v>
      </x:c>
      <x:c r="L177" s="1" t="n">
        <x:v>0</x:v>
      </x:c>
      <x:c r="M177" s="12" t="n">
        <x:v>5.4</x:v>
      </x:c>
      <x:c r="N177" s="11" t="n">
        <x:v>0</x:v>
      </x:c>
      <x:c r="O177" s="12" t="n">
        <x:v>5.39</x:v>
      </x:c>
      <x:c r="P177" s="11" t="n">
        <x:v>-0.0018518518518519933</x:v>
      </x:c>
      <x:c r="Q177" s="12" t="n">
        <x:v>5.4</x:v>
      </x:c>
      <x:c r="R177" s="11" t="n">
        <x:v>0.03053435114503822</x:v>
      </x:c>
    </x:row>
    <x:row r="178" ht="21" customHeight="1">
      <x:c r="A178" s="1" t="n">
        <x:v>18</x:v>
      </x:c>
      <x:c r="B178" s="1" t="n">
        <x:v>7</x:v>
      </x:c>
      <x:c r="C178" s="10" t="str">
        <x:f>"300832"</x:f>
        <x:v>300832</x:v>
      </x:c>
      <x:c r="D178" s="1" t="str">
        <x:v>新产业</x:v>
      </x:c>
      <x:c r="E178" s="11" t="n">
        <x:v>0.126355408968186</x:v>
      </x:c>
      <x:c r="F178" s="11" t="n">
        <x:v>0.38577397097391564</x:v>
      </x:c>
      <x:c r="G178" s="11" t="n">
        <x:v>0.48787062005789844</x:v>
      </x:c>
      <x:c r="H178" s="13" t="n">
        <x:v>0.3615152110897124</x:v>
      </x:c>
      <x:c r="I178" s="12" t="n">
        <x:v>49.65</x:v>
      </x:c>
      <x:c r="J178" s="12" t="n">
        <x:v>49.86</x:v>
      </x:c>
      <x:c r="K178" s="11" t="n">
        <x:v>0.004229607250755274</x:v>
      </x:c>
      <x:c r="L178" s="1" t="n">
        <x:v>0</x:v>
      </x:c>
      <x:c r="M178" s="12" t="n">
        <x:v>49.64</x:v>
      </x:c>
      <x:c r="N178" s="11" t="n">
        <x:v>-0.00020140986908356862</x:v>
      </x:c>
      <x:c r="O178" s="12" t="n">
        <x:v>49.61</x:v>
      </x:c>
      <x:c r="P178" s="11" t="n">
        <x:v>-0.0008056394763342745</x:v>
      </x:c>
      <x:c r="Q178" s="12" t="n">
        <x:v>49.61</x:v>
      </x:c>
      <x:c r="R178" s="11" t="n">
        <x:v>0.03938822543473708</x:v>
      </x:c>
    </x:row>
    <x:row r="179" ht="21" customHeight="1">
      <x:c r="A179" s="1" t="n">
        <x:v>18</x:v>
      </x:c>
      <x:c r="B179" s="1" t="n">
        <x:v>8</x:v>
      </x:c>
      <x:c r="C179" s="10" t="str">
        <x:f>"002244"</x:f>
        <x:v>002244</x:v>
      </x:c>
      <x:c r="D179" s="1" t="str">
        <x:v>滨江集团</x:v>
      </x:c>
      <x:c r="E179" s="11" t="n">
        <x:v>0.126604092265786</x:v>
      </x:c>
      <x:c r="F179" s="11" t="n">
        <x:v>0.37784358251598876</x:v>
      </x:c>
      <x:c r="G179" s="11" t="n">
        <x:v>0.4955523252182253</x:v>
      </x:c>
      <x:c r="H179" s="13" t="n">
        <x:v>0.3689482329524393</x:v>
      </x:c>
      <x:c r="I179" s="12" t="n">
        <x:v>8.63</x:v>
      </x:c>
      <x:c r="J179" s="12" t="n">
        <x:v>8.97</x:v>
      </x:c>
      <x:c r="K179" s="11" t="n">
        <x:v>0.03939745075318646</x:v>
      </x:c>
      <x:c r="L179" s="1" t="n">
        <x:v>1</x:v>
      </x:c>
      <x:c r="M179" s="12" t="n">
        <x:v>8.92</x:v>
      </x:c>
      <x:c r="N179" s="11" t="n">
        <x:v>0.03360370799536483</x:v>
      </x:c>
      <x:c r="O179" s="12" t="n">
        <x:v>8.95</x:v>
      </x:c>
      <x:c r="P179" s="11" t="n">
        <x:v>0.03707995365005767</x:v>
      </x:c>
      <x:c r="Q179" s="12" t="n">
        <x:v>8.6</x:v>
      </x:c>
      <x:c r="R179" s="11" t="n">
        <x:v>0.033653846153846034</x:v>
      </x:c>
    </x:row>
    <x:row r="180" ht="21" customHeight="1">
      <x:c r="A180" s="1" t="n">
        <x:v>18</x:v>
      </x:c>
      <x:c r="B180" s="1" t="n">
        <x:v>9</x:v>
      </x:c>
      <x:c r="C180" s="10" t="str">
        <x:f>"688622"</x:f>
        <x:v>688622</x:v>
      </x:c>
      <x:c r="D180" s="1" t="str">
        <x:v>禾信仪器</x:v>
      </x:c>
      <x:c r="E180" s="11" t="n">
        <x:v>0.13228591399843276</x:v>
      </x:c>
      <x:c r="F180" s="11" t="n">
        <x:v>0.32348788807124</x:v>
      </x:c>
      <x:c r="G180" s="11" t="n">
        <x:v>0.5442261979303272</x:v>
      </x:c>
      <x:c r="H180" s="13" t="n">
        <x:v>0.41194028393189447</x:v>
      </x:c>
      <x:c r="I180" s="12" t="n">
        <x:v>147.4</x:v>
      </x:c>
      <x:c r="J180" s="12" t="n">
        <x:v>144.99</x:v>
      </x:c>
      <x:c r="K180" s="11" t="n">
        <x:v>-0.016350067842605176</x:v>
      </x:c>
      <x:c r="L180" s="1" t="n">
        <x:v>-1</x:v>
      </x:c>
      <x:c r="M180" s="12" t="n">
        <x:v>144.86</x:v>
      </x:c>
      <x:c r="N180" s="11" t="n">
        <x:v>-0.01723202170963356</x:v>
      </x:c>
      <x:c r="O180" s="12" t="n">
        <x:v>144.86</x:v>
      </x:c>
      <x:c r="P180" s="11" t="n">
        <x:v>-0.01723202170963356</x:v>
      </x:c>
      <x:c r="Q180" s="12" t="n">
        <x:v>145.18</x:v>
      </x:c>
      <x:c r="R180" s="11" t="n">
        <x:v>0.01959407261745927</x:v>
      </x:c>
    </x:row>
    <x:row r="181" ht="21" customHeight="1">
      <x:c r="A181" s="1" t="n">
        <x:v>18</x:v>
      </x:c>
      <x:c r="B181" s="1" t="n">
        <x:v>10</x:v>
      </x:c>
      <x:c r="C181" s="10" t="str">
        <x:f>"601858"</x:f>
        <x:v>601858</x:v>
      </x:c>
      <x:c r="D181" s="1" t="str">
        <x:v>中国科传</x:v>
      </x:c>
      <x:c r="E181" s="11" t="n">
        <x:v>0.13308537744650115</x:v>
      </x:c>
      <x:c r="F181" s="11" t="n">
        <x:v>0.39344358492976356</x:v>
      </x:c>
      <x:c r="G181" s="11" t="n">
        <x:v>0.4734710376237353</x:v>
      </x:c>
      <x:c r="H181" s="13" t="n">
        <x:v>0.34038566017723415</x:v>
      </x:c>
      <x:c r="I181" s="12" t="n">
        <x:v>21.6</x:v>
      </x:c>
      <x:c r="J181" s="12" t="n">
        <x:v>22.03</x:v>
      </x:c>
      <x:c r="K181" s="11" t="n">
        <x:v>0.019907407407407485</x:v>
      </x:c>
      <x:c r="L181" s="1" t="n">
        <x:v>1</x:v>
      </x:c>
      <x:c r="M181" s="12" t="n">
        <x:v>22</x:v>
      </x:c>
      <x:c r="N181" s="11" t="n">
        <x:v>0.01851851851851838</x:v>
      </x:c>
      <x:c r="O181" s="12" t="n">
        <x:v>21.93</x:v>
      </x:c>
      <x:c r="P181" s="11" t="n">
        <x:v>0.015277777777777724</x:v>
      </x:c>
      <x:c r="Q181" s="12" t="n">
        <x:v>21.65</x:v>
      </x:c>
      <x:c r="R181" s="11" t="n">
        <x:v>0.03588516746411474</x:v>
      </x:c>
    </x:row>
    <x:row r="182" ht="21" customHeight="1">
      <x:c r="A182" s="1" t="n">
        <x:v>19</x:v>
      </x:c>
      <x:c r="B182" s="1" t="n">
        <x:v>1</x:v>
      </x:c>
      <x:c r="C182" s="10" t="str">
        <x:f>"601869"</x:f>
        <x:v>601869</x:v>
      </x:c>
      <x:c r="D182" s="1" t="str">
        <x:v>长飞光纤</x:v>
      </x:c>
      <x:c r="E182" s="11" t="n">
        <x:v>0.10421033643151727</x:v>
      </x:c>
      <x:c r="F182" s="11" t="n">
        <x:v>0.36037718998030177</x:v>
      </x:c>
      <x:c r="G182" s="11" t="n">
        <x:v>0.535412473588181</x:v>
      </x:c>
      <x:c r="H182" s="13" t="n">
        <x:v>0.4312021371566637</x:v>
      </x:c>
      <x:c r="I182" s="12" t="n">
        <x:v>408.15</x:v>
      </x:c>
      <x:c r="J182" s="12" t="n">
        <x:v>416.2</x:v>
      </x:c>
      <x:c r="K182" s="11" t="n">
        <x:v>0.01972314100208261</x:v>
      </x:c>
      <x:c r="L182" s="1" t="n">
        <x:v>1</x:v>
      </x:c>
      <x:c r="M182" s="12" t="n">
        <x:v>415.18</x:v>
      </x:c>
      <x:c r="N182" s="11" t="n">
        <x:v>0.01722405978194308</x:v>
      </x:c>
      <x:c r="O182" s="12" t="n">
        <x:v>415.5</x:v>
      </x:c>
      <x:c r="P182" s="11" t="n">
        <x:v>0.01800808526277109</x:v>
      </x:c>
      <x:c r="Q182" s="12" t="n">
        <x:v>407.95</x:v>
      </x:c>
      <x:c r="R182" s="11" t="n">
        <x:v>0.034828268479529134</x:v>
      </x:c>
    </x:row>
    <x:row r="183" ht="21" customHeight="1">
      <x:c r="A183" s="1" t="n">
        <x:v>19</x:v>
      </x:c>
      <x:c r="B183" s="1" t="n">
        <x:v>2</x:v>
      </x:c>
      <x:c r="C183" s="10" t="str">
        <x:f>"601600"</x:f>
        <x:v>601600</x:v>
      </x:c>
      <x:c r="D183" s="1" t="str">
        <x:v>中国铝业</x:v>
      </x:c>
      <x:c r="E183" s="11" t="n">
        <x:v>0.10485795002905082</x:v>
      </x:c>
      <x:c r="F183" s="11" t="n">
        <x:v>0.38621292845134636</x:v>
      </x:c>
      <x:c r="G183" s="11" t="n">
        <x:v>0.5089291215196029</x:v>
      </x:c>
      <x:c r="H183" s="13" t="n">
        <x:v>0.40407117149055205</x:v>
      </x:c>
      <x:c r="I183" s="12" t="n">
        <x:v>8.95</x:v>
      </x:c>
      <x:c r="J183" s="12" t="n">
        <x:v>8.92</x:v>
      </x:c>
      <x:c r="K183" s="11" t="n">
        <x:v>-0.003351955307262511</x:v>
      </x:c>
      <x:c r="L183" s="1" t="n">
        <x:v>-1</x:v>
      </x:c>
      <x:c r="M183" s="12" t="n">
        <x:v>8.89</x:v>
      </x:c>
      <x:c r="N183" s="11" t="n">
        <x:v>-0.006703910614525022</x:v>
      </x:c>
      <x:c r="O183" s="12" t="n">
        <x:v>8.88</x:v>
      </x:c>
      <x:c r="P183" s="11" t="n">
        <x:v>-0.007821229050279155</x:v>
      </x:c>
      <x:c r="Q183" s="12" t="n">
        <x:v>8.94</x:v>
      </x:c>
      <x:c r="R183" s="11" t="n">
        <x:v>0.02995391705069128</x:v>
      </x:c>
    </x:row>
    <x:row r="184" ht="21" customHeight="1">
      <x:c r="A184" s="1" t="n">
        <x:v>19</x:v>
      </x:c>
      <x:c r="B184" s="1" t="n">
        <x:v>3</x:v>
      </x:c>
      <x:c r="C184" s="10" t="str">
        <x:f>"000631"</x:f>
        <x:v>000631</x:v>
      </x:c>
      <x:c r="D184" s="1" t="str">
        <x:v>顺发恒业</x:v>
      </x:c>
      <x:c r="E184" s="11" t="n">
        <x:v>0.10761447756938566</x:v>
      </x:c>
      <x:c r="F184" s="11" t="n">
        <x:v>0.418580199347283</x:v>
      </x:c>
      <x:c r="G184" s="11" t="n">
        <x:v>0.47380532308333134</x:v>
      </x:c>
      <x:c r="H184" s="13" t="n">
        <x:v>0.36619084551394565</x:v>
      </x:c>
      <x:c r="I184" s="12" t="n">
        <x:v>3.05</x:v>
      </x:c>
      <x:c r="J184" s="12" t="n">
        <x:v>3.05</x:v>
      </x:c>
      <x:c r="K184" s="11" t="n">
        <x:v>0</x:v>
      </x:c>
      <x:c r="L184" s="1" t="n">
        <x:v>0</x:v>
      </x:c>
      <x:c r="M184" s="12" t="n">
        <x:v>3.04</x:v>
      </x:c>
      <x:c r="N184" s="11" t="n">
        <x:v>-0.003278688524590123</x:v>
      </x:c>
      <x:c r="O184" s="12" t="n">
        <x:v>3.01</x:v>
      </x:c>
      <x:c r="P184" s="11" t="n">
        <x:v>-0.013114754098360715</x:v>
      </x:c>
      <x:c r="Q184" s="12" t="n">
        <x:v>3.04</x:v>
      </x:c>
      <x:c r="R184" s="11" t="n">
        <x:v>0.027027027027026973</x:v>
      </x:c>
    </x:row>
    <x:row r="185" ht="21" customHeight="1">
      <x:c r="A185" s="1" t="n">
        <x:v>19</x:v>
      </x:c>
      <x:c r="B185" s="1" t="n">
        <x:v>4</x:v>
      </x:c>
      <x:c r="C185" s="10" t="str">
        <x:f>"601168"</x:f>
        <x:v>601168</x:v>
      </x:c>
      <x:c r="D185" s="1" t="str">
        <x:v>西部矿业</x:v>
      </x:c>
      <x:c r="E185" s="11" t="n">
        <x:v>0.10809780586469547</x:v>
      </x:c>
      <x:c r="F185" s="11" t="n">
        <x:v>0.36945292219240666</x:v>
      </x:c>
      <x:c r="G185" s="11" t="n">
        <x:v>0.5224492719428978</x:v>
      </x:c>
      <x:c r="H185" s="13" t="n">
        <x:v>0.41435146607820234</x:v>
      </x:c>
      <x:c r="I185" s="12" t="n">
        <x:v>35.14</x:v>
      </x:c>
      <x:c r="J185" s="12" t="n">
        <x:v>35.29</x:v>
      </x:c>
      <x:c r="K185" s="11" t="n">
        <x:v>0.004268639726807022</x:v>
      </x:c>
      <x:c r="L185" s="1" t="n">
        <x:v>0</x:v>
      </x:c>
      <x:c r="M185" s="12" t="n">
        <x:v>35.21</x:v>
      </x:c>
      <x:c r="N185" s="11" t="n">
        <x:v>0.0019920318725099584</x:v>
      </x:c>
      <x:c r="O185" s="12" t="n">
        <x:v>35.22</x:v>
      </x:c>
      <x:c r="P185" s="11" t="n">
        <x:v>0.0022766078542970636</x:v>
      </x:c>
      <x:c r="Q185" s="12" t="n">
        <x:v>35.17</x:v>
      </x:c>
      <x:c r="R185" s="11" t="n">
        <x:v>0.04145691442108368</x:v>
      </x:c>
    </x:row>
    <x:row r="186" ht="21" customHeight="1">
      <x:c r="A186" s="1" t="n">
        <x:v>19</x:v>
      </x:c>
      <x:c r="B186" s="1" t="n">
        <x:v>5</x:v>
      </x:c>
      <x:c r="C186" s="10" t="str">
        <x:f>"002919"</x:f>
        <x:v>002919</x:v>
      </x:c>
      <x:c r="D186" s="1" t="str">
        <x:v>名臣健康</x:v>
      </x:c>
      <x:c r="E186" s="11" t="n">
        <x:v>0.10809987597068446</x:v>
      </x:c>
      <x:c r="F186" s="11" t="n">
        <x:v>0.36863323854371494</x:v>
      </x:c>
      <x:c r="G186" s="11" t="n">
        <x:v>0.5232668854856006</x:v>
      </x:c>
      <x:c r="H186" s="13" t="n">
        <x:v>0.41516700951491614</x:v>
      </x:c>
      <x:c r="I186" s="12" t="n">
        <x:v>16.2</x:v>
      </x:c>
      <x:c r="J186" s="12" t="n">
        <x:v>16.59</x:v>
      </x:c>
      <x:c r="K186" s="11" t="n">
        <x:v>0.024074074074074137</x:v>
      </x:c>
      <x:c r="L186" s="1" t="n">
        <x:v>1</x:v>
      </x:c>
      <x:c r="M186" s="12" t="n">
        <x:v>16.54</x:v>
      </x:c>
      <x:c r="N186" s="11" t="n">
        <x:v>0.020987654320987703</x:v>
      </x:c>
      <x:c r="O186" s="12" t="n">
        <x:v>16.46</x:v>
      </x:c>
      <x:c r="P186" s="11" t="n">
        <x:v>0.0160493827160495</x:v>
      </x:c>
      <x:c r="Q186" s="12" t="n">
        <x:v>16.1</x:v>
      </x:c>
      <x:c r="R186" s="11" t="n">
        <x:v>0.024173027989822016</x:v>
      </x:c>
    </x:row>
    <x:row r="187" ht="21" customHeight="1">
      <x:c r="A187" s="1" t="n">
        <x:v>19</x:v>
      </x:c>
      <x:c r="B187" s="1" t="n">
        <x:v>6</x:v>
      </x:c>
      <x:c r="C187" s="10" t="str">
        <x:f>"300394"</x:f>
        <x:v>300394</x:v>
      </x:c>
      <x:c r="D187" s="1" t="str">
        <x:v>天孚通信</x:v>
      </x:c>
      <x:c r="E187" s="11" t="n">
        <x:v>0.10847201214087143</x:v>
      </x:c>
      <x:c r="F187" s="11" t="n">
        <x:v>0.2936551380669437</x:v>
      </x:c>
      <x:c r="G187" s="11" t="n">
        <x:v>0.5978728497921848</x:v>
      </x:c>
      <x:c r="H187" s="13" t="n">
        <x:v>0.48940083765131337</x:v>
      </x:c>
      <x:c r="I187" s="12" t="n">
        <x:v>256.23</x:v>
      </x:c>
      <x:c r="J187" s="12" t="n">
        <x:v>264.88</x:v>
      </x:c>
      <x:c r="K187" s="11" t="n">
        <x:v>0.033758732388869284</x:v>
      </x:c>
      <x:c r="L187" s="1" t="n">
        <x:v>1</x:v>
      </x:c>
      <x:c r="M187" s="12" t="n">
        <x:v>262.24</x:v>
      </x:c>
      <x:c r="N187" s="11" t="n">
        <x:v>0.023455489208913827</x:v>
      </x:c>
      <x:c r="O187" s="12" t="n">
        <x:v>264.69</x:v>
      </x:c>
      <x:c r="P187" s="11" t="n">
        <x:v>0.0330172110994027</x:v>
      </x:c>
      <x:c r="Q187" s="12" t="n">
        <x:v>255.99</x:v>
      </x:c>
      <x:c r="R187" s="11" t="n">
        <x:v>0.04571078431372544</x:v>
      </x:c>
    </x:row>
    <x:row r="188" ht="21" customHeight="1">
      <x:c r="A188" s="1" t="n">
        <x:v>19</x:v>
      </x:c>
      <x:c r="B188" s="1" t="n">
        <x:v>7</x:v>
      </x:c>
      <x:c r="C188" s="10" t="str">
        <x:f>"000898"</x:f>
        <x:v>000898</x:v>
      </x:c>
      <x:c r="D188" s="1" t="str">
        <x:v>鞍钢股份</x:v>
      </x:c>
      <x:c r="E188" s="11" t="n">
        <x:v>0.10870986096362906</x:v>
      </x:c>
      <x:c r="F188" s="11" t="n">
        <x:v>0.41925764481072597</x:v>
      </x:c>
      <x:c r="G188" s="11" t="n">
        <x:v>0.472032494225645</x:v>
      </x:c>
      <x:c r="H188" s="13" t="n">
        <x:v>0.36332263326201597</x:v>
      </x:c>
      <x:c r="I188" s="12" t="n">
        <x:v>2.03</x:v>
      </x:c>
      <x:c r="J188" s="12" t="n">
        <x:v>2.03</x:v>
      </x:c>
      <x:c r="K188" s="11" t="n">
        <x:v>0</x:v>
      </x:c>
      <x:c r="L188" s="1" t="n">
        <x:v>0</x:v>
      </x:c>
      <x:c r="M188" s="12" t="n">
        <x:v>2.03</x:v>
      </x:c>
      <x:c r="N188" s="11" t="n">
        <x:v>0</x:v>
      </x:c>
      <x:c r="O188" s="12" t="n">
        <x:v>2.02</x:v>
      </x:c>
      <x:c r="P188" s="11" t="n">
        <x:v>-0.004926108374384119</x:v>
      </x:c>
      <x:c r="Q188" s="12" t="n">
        <x:v>2.02</x:v>
      </x:c>
      <x:c r="R188" s="11" t="n">
        <x:v>0.025380710659898442</x:v>
      </x:c>
    </x:row>
    <x:row r="189" ht="21" customHeight="1">
      <x:c r="A189" s="1" t="n">
        <x:v>19</x:v>
      </x:c>
      <x:c r="B189" s="1" t="n">
        <x:v>8</x:v>
      </x:c>
      <x:c r="C189" s="10" t="str">
        <x:f>"688208"</x:f>
        <x:v>688208</x:v>
      </x:c>
      <x:c r="D189" s="1" t="str">
        <x:v>道通科技</x:v>
      </x:c>
      <x:c r="E189" s="11" t="n">
        <x:v>0.10922146021941215</x:v>
      </x:c>
      <x:c r="F189" s="11" t="n">
        <x:v>0.40964395775622936</x:v>
      </x:c>
      <x:c r="G189" s="11" t="n">
        <x:v>0.4811345820243586</x:v>
      </x:c>
      <x:c r="H189" s="13" t="n">
        <x:v>0.37191312180494646</x:v>
      </x:c>
      <x:c r="I189" s="12" t="n">
        <x:v>25.49</x:v>
      </x:c>
      <x:c r="J189" s="12" t="n">
        <x:v>25.3</x:v>
      </x:c>
      <x:c r="K189" s="11" t="n">
        <x:v>-0.007453903491565272</x:v>
      </x:c>
      <x:c r="L189" s="1" t="n">
        <x:v>-1</x:v>
      </x:c>
      <x:c r="M189" s="12" t="n">
        <x:v>25.17</x:v>
      </x:c>
      <x:c r="N189" s="11" t="n">
        <x:v>-0.012553942722636213</x:v>
      </x:c>
      <x:c r="O189" s="12" t="n">
        <x:v>25.24</x:v>
      </x:c>
      <x:c r="P189" s="11" t="n">
        <x:v>-0.009807767752059604</x:v>
      </x:c>
      <x:c r="Q189" s="12" t="n">
        <x:v>25.38</x:v>
      </x:c>
      <x:c r="R189" s="11" t="n">
        <x:v>0.0279465370595382</x:v>
      </x:c>
    </x:row>
    <x:row r="190" ht="21" customHeight="1">
      <x:c r="A190" s="1" t="n">
        <x:v>19</x:v>
      </x:c>
      <x:c r="B190" s="1" t="n">
        <x:v>9</x:v>
      </x:c>
      <x:c r="C190" s="10" t="str">
        <x:f>"688280"</x:f>
        <x:v>688280</x:v>
      </x:c>
      <x:c r="D190" s="1" t="str">
        <x:v>精进电动</x:v>
      </x:c>
      <x:c r="E190" s="11" t="n">
        <x:v>0.10930890027060564</x:v>
      </x:c>
      <x:c r="F190" s="11" t="n">
        <x:v>0.35920383074603657</x:v>
      </x:c>
      <x:c r="G190" s="11" t="n">
        <x:v>0.5314872689833579</x:v>
      </x:c>
      <x:c r="H190" s="13" t="n">
        <x:v>0.4221783687127522</x:v>
      </x:c>
      <x:c r="I190" s="12" t="n">
        <x:v>5.02</x:v>
      </x:c>
      <x:c r="J190" s="12" t="n">
        <x:v>5.02</x:v>
      </x:c>
      <x:c r="K190" s="11" t="n">
        <x:v>0</x:v>
      </x:c>
      <x:c r="L190" s="1" t="n">
        <x:v>0</x:v>
      </x:c>
      <x:c r="M190" s="12" t="n">
        <x:v>5.02</x:v>
      </x:c>
      <x:c r="N190" s="11" t="n">
        <x:v>0</x:v>
      </x:c>
      <x:c r="O190" s="12" t="n">
        <x:v>4.97</x:v>
      </x:c>
      <x:c r="P190" s="11" t="n">
        <x:v>-0.009960159362549792</x:v>
      </x:c>
      <x:c r="Q190" s="12" t="n">
        <x:v>5</x:v>
      </x:c>
      <x:c r="R190" s="11" t="n">
        <x:v>0.026694045174537884</x:v>
      </x:c>
    </x:row>
    <x:row r="191" ht="21" customHeight="1">
      <x:c r="A191" s="1" t="n">
        <x:v>19</x:v>
      </x:c>
      <x:c r="B191" s="1" t="n">
        <x:v>10</x:v>
      </x:c>
      <x:c r="C191" s="10" t="str">
        <x:f>"600231"</x:f>
        <x:v>600231</x:v>
      </x:c>
      <x:c r="D191" s="1" t="str">
        <x:v>凌钢股份</x:v>
      </x:c>
      <x:c r="E191" s="11" t="n">
        <x:v>0.11080714098134024</x:v>
      </x:c>
      <x:c r="F191" s="11" t="n">
        <x:v>0.41157039845585575</x:v>
      </x:c>
      <x:c r="G191" s="11" t="n">
        <x:v>0.4776224605628041</x:v>
      </x:c>
      <x:c r="H191" s="13" t="n">
        <x:v>0.36681531958146385</x:v>
      </x:c>
      <x:c r="I191" s="12" t="n">
        <x:v>1.66</x:v>
      </x:c>
      <x:c r="J191" s="12" t="n">
        <x:v>1.68</x:v>
      </x:c>
      <x:c r="K191" s="11" t="n">
        <x:v>0.012048192771084265</x:v>
      </x:c>
      <x:c r="L191" s="1" t="n">
        <x:v>1</x:v>
      </x:c>
      <x:c r="M191" s="12" t="n">
        <x:v>1.66</x:v>
      </x:c>
      <x:c r="N191" s="11" t="n">
        <x:v>0</x:v>
      </x:c>
      <x:c r="O191" s="12" t="n">
        <x:v>1.65</x:v>
      </x:c>
      <x:c r="P191" s="11" t="n">
        <x:v>-0.0060240963855421326</x:v>
      </x:c>
      <x:c r="Q191" s="12" t="n">
        <x:v>1.65</x:v>
      </x:c>
      <x:c r="R191" s="11" t="n">
        <x:v>0.024844720496894235</x:v>
      </x:c>
    </x:row>
    <x:row r="192" ht="21" customHeight="1">
      <x:c r="A192" s="1" t="n">
        <x:v>20</x:v>
      </x:c>
      <x:c r="B192" s="1" t="n">
        <x:v>1</x:v>
      </x:c>
      <x:c r="C192" s="10" t="str">
        <x:f>"603259"</x:f>
        <x:v>603259</x:v>
      </x:c>
      <x:c r="D192" s="1" t="str">
        <x:v>药明康德</x:v>
      </x:c>
      <x:c r="E192" s="11" t="n">
        <x:v>0.10382731246364754</x:v>
      </x:c>
      <x:c r="F192" s="11" t="n">
        <x:v>0.24703252871757161</x:v>
      </x:c>
      <x:c r="G192" s="11" t="n">
        <x:v>0.6491401588187808</x:v>
      </x:c>
      <x:c r="H192" s="13" t="n">
        <x:v>0.5453128463551333</x:v>
      </x:c>
      <x:c r="I192" s="12" t="n">
        <x:v>167.44</x:v>
      </x:c>
      <x:c r="J192" s="12" t="n">
        <x:v>170</x:v>
      </x:c>
      <x:c r="K192" s="11" t="n">
        <x:v>0.015289058767319563</x:v>
      </x:c>
      <x:c r="L192" s="1" t="n">
        <x:v>1</x:v>
      </x:c>
      <x:c r="M192" s="12" t="n">
        <x:v>170</x:v>
      </x:c>
      <x:c r="N192" s="11" t="n">
        <x:v>0.015289058767319563</x:v>
      </x:c>
      <x:c r="O192" s="12" t="n">
        <x:v>169.91</x:v>
      </x:c>
      <x:c r="P192" s="11" t="n">
        <x:v>0.014751552795031042</x:v>
      </x:c>
      <x:c r="Q192" s="12" t="n">
        <x:v>167.34</x:v>
      </x:c>
      <x:c r="R192" s="11" t="n">
        <x:v>0.041578488733972296</x:v>
      </x:c>
    </x:row>
    <x:row r="193" ht="21" customHeight="1">
      <x:c r="A193" s="1" t="n">
        <x:v>20</x:v>
      </x:c>
      <x:c r="B193" s="1" t="n">
        <x:v>2</x:v>
      </x:c>
      <x:c r="C193" s="10" t="str">
        <x:f>"600000"</x:f>
        <x:v>600000</x:v>
      </x:c>
      <x:c r="D193" s="1" t="str">
        <x:v>浦发银行</x:v>
      </x:c>
      <x:c r="E193" s="11" t="n">
        <x:v>0.10467329165253393</x:v>
      </x:c>
      <x:c r="F193" s="11" t="n">
        <x:v>0.3501995852308418</x:v>
      </x:c>
      <x:c r="G193" s="11" t="n">
        <x:v>0.5451271231166241</x:v>
      </x:c>
      <x:c r="H193" s="13" t="n">
        <x:v>0.44045383146409023</x:v>
      </x:c>
      <x:c r="I193" s="12" t="n">
        <x:v>9.48</x:v>
      </x:c>
      <x:c r="J193" s="12" t="n">
        <x:v>9.5</x:v>
      </x:c>
      <x:c r="K193" s="11" t="n">
        <x:v>0.002109704641350074</x:v>
      </x:c>
      <x:c r="L193" s="1" t="n">
        <x:v>0</x:v>
      </x:c>
      <x:c r="M193" s="12" t="n">
        <x:v>9.49</x:v>
      </x:c>
      <x:c r="N193" s="11" t="n">
        <x:v>0.001054852320675037</x:v>
      </x:c>
      <x:c r="O193" s="12" t="n">
        <x:v>9.49</x:v>
      </x:c>
      <x:c r="P193" s="11" t="n">
        <x:v>0.001054852320675037</x:v>
      </x:c>
      <x:c r="Q193" s="12" t="n">
        <x:v>9.48</x:v>
      </x:c>
      <x:c r="R193" s="11" t="n">
        <x:v>0.03267973856209161</x:v>
      </x:c>
    </x:row>
    <x:row r="194" ht="21" customHeight="1">
      <x:c r="A194" s="1" t="n">
        <x:v>20</x:v>
      </x:c>
      <x:c r="B194" s="1" t="n">
        <x:v>3</x:v>
      </x:c>
      <x:c r="C194" s="10" t="str">
        <x:f>"600415"</x:f>
        <x:v>600415</x:v>
      </x:c>
      <x:c r="D194" s="1" t="str">
        <x:v>小商品城</x:v>
      </x:c>
      <x:c r="E194" s="11" t="n">
        <x:v>0.1061157346332646</x:v>
      </x:c>
      <x:c r="F194" s="11" t="n">
        <x:v>0.39710946013356874</x:v>
      </x:c>
      <x:c r="G194" s="11" t="n">
        <x:v>0.49677480523316664</x:v>
      </x:c>
      <x:c r="H194" s="13" t="n">
        <x:v>0.390659070599902</x:v>
      </x:c>
      <x:c r="I194" s="12" t="n">
        <x:v>11.08</x:v>
      </x:c>
      <x:c r="J194" s="12" t="n">
        <x:v>11.14</x:v>
      </x:c>
      <x:c r="K194" s="11" t="n">
        <x:v>0.005415162454873723</x:v>
      </x:c>
      <x:c r="L194" s="1" t="n">
        <x:v>0</x:v>
      </x:c>
      <x:c r="M194" s="12" t="n">
        <x:v>11.06</x:v>
      </x:c>
      <x:c r="N194" s="11" t="n">
        <x:v>-0.0018050541516244634</x:v>
      </x:c>
      <x:c r="O194" s="12" t="n">
        <x:v>11.06</x:v>
      </x:c>
      <x:c r="P194" s="11" t="n">
        <x:v>-0.0018050541516244634</x:v>
      </x:c>
      <x:c r="Q194" s="12" t="n">
        <x:v>11.08</x:v>
      </x:c>
      <x:c r="R194" s="11" t="n">
        <x:v>0.033582089552238736</x:v>
      </x:c>
    </x:row>
    <x:row r="195" ht="21" customHeight="1">
      <x:c r="A195" s="1" t="n">
        <x:v>20</x:v>
      </x:c>
      <x:c r="B195" s="1" t="n">
        <x:v>4</x:v>
      </x:c>
      <x:c r="C195" s="10" t="str">
        <x:f>"603130"</x:f>
        <x:v>603130</x:v>
      </x:c>
      <x:c r="D195" s="1" t="str">
        <x:v>云中马</x:v>
      </x:c>
      <x:c r="E195" s="11" t="n">
        <x:v>0.1067228826863526</x:v>
      </x:c>
      <x:c r="F195" s="11" t="n">
        <x:v>0.33727230482273624</x:v>
      </x:c>
      <x:c r="G195" s="11" t="n">
        <x:v>0.5560048124909112</x:v>
      </x:c>
      <x:c r="H195" s="13" t="n">
        <x:v>0.44928192980455856</x:v>
      </x:c>
      <x:c r="I195" s="12" t="n">
        <x:v>40.07</x:v>
      </x:c>
      <x:c r="J195" s="12" t="n">
        <x:v>39.96</x:v>
      </x:c>
      <x:c r="K195" s="11" t="n">
        <x:v>-0.00274519590716249</x:v>
      </x:c>
      <x:c r="L195" s="1" t="n">
        <x:v>-1</x:v>
      </x:c>
      <x:c r="M195" s="12" t="n">
        <x:v>39.82</x:v>
      </x:c>
      <x:c r="N195" s="11" t="n">
        <x:v>-0.006239081607187447</x:v>
      </x:c>
      <x:c r="O195" s="12" t="n">
        <x:v>39.96</x:v>
      </x:c>
      <x:c r="P195" s="11" t="n">
        <x:v>-0.00274519590716249</x:v>
      </x:c>
      <x:c r="Q195" s="12" t="n">
        <x:v>39.63</x:v>
      </x:c>
      <x:c r="R195" s="11" t="n">
        <x:v>0.025090532850491565</x:v>
      </x:c>
    </x:row>
    <x:row r="196" ht="21" customHeight="1">
      <x:c r="A196" s="1" t="n">
        <x:v>20</x:v>
      </x:c>
      <x:c r="B196" s="1" t="n">
        <x:v>5</x:v>
      </x:c>
      <x:c r="C196" s="10" t="str">
        <x:f>"300677"</x:f>
        <x:v>300677</x:v>
      </x:c>
      <x:c r="D196" s="1" t="str">
        <x:v>英科医疗</x:v>
      </x:c>
      <x:c r="E196" s="11" t="n">
        <x:v>0.11085274927731159</x:v>
      </x:c>
      <x:c r="F196" s="11" t="n">
        <x:v>0.35430838515584406</x:v>
      </x:c>
      <x:c r="G196" s="11" t="n">
        <x:v>0.5348388655668443</x:v>
      </x:c>
      <x:c r="H196" s="13" t="n">
        <x:v>0.42398611628953276</x:v>
      </x:c>
      <x:c r="I196" s="12" t="n">
        <x:v>50.97</x:v>
      </x:c>
      <x:c r="J196" s="12" t="n">
        <x:v>51.43</x:v>
      </x:c>
      <x:c r="K196" s="11" t="n">
        <x:v>0.009024916617618173</x:v>
      </x:c>
      <x:c r="L196" s="1" t="n">
        <x:v>0</x:v>
      </x:c>
      <x:c r="M196" s="12" t="n">
        <x:v>50.96</x:v>
      </x:c>
      <x:c r="N196" s="11" t="n">
        <x:v>-0.0001961938395134144</x:v>
      </x:c>
      <x:c r="O196" s="12" t="n">
        <x:v>50.45</x:v>
      </x:c>
      <x:c r="P196" s="11" t="n">
        <x:v>-0.01020207965469877</x:v>
      </x:c>
      <x:c r="Q196" s="12" t="n">
        <x:v>50.96</x:v>
      </x:c>
      <x:c r="R196" s="11" t="n">
        <x:v>0.03619357462383088</x:v>
      </x:c>
    </x:row>
    <x:row r="197" ht="21" customHeight="1">
      <x:c r="A197" s="1" t="n">
        <x:v>20</x:v>
      </x:c>
      <x:c r="B197" s="1" t="n">
        <x:v>6</x:v>
      </x:c>
      <x:c r="C197" s="10" t="str">
        <x:f>"600276"</x:f>
        <x:v>600276</x:v>
      </x:c>
      <x:c r="D197" s="1" t="str">
        <x:v>恒瑞医药</x:v>
      </x:c>
      <x:c r="E197" s="11" t="n">
        <x:v>0.11333599215999039</x:v>
      </x:c>
      <x:c r="F197" s="11" t="n">
        <x:v>0.33249854704491455</x:v>
      </x:c>
      <x:c r="G197" s="11" t="n">
        <x:v>0.5541654607950951</x:v>
      </x:c>
      <x:c r="H197" s="13" t="n">
        <x:v>0.4408294686351047</x:v>
      </x:c>
      <x:c r="I197" s="12" t="n">
        <x:v>47.26</x:v>
      </x:c>
      <x:c r="J197" s="12" t="n">
        <x:v>47.2</x:v>
      </x:c>
      <x:c r="K197" s="11" t="n">
        <x:v>-0.0012695725772322586</x:v>
      </x:c>
      <x:c r="L197" s="1" t="n">
        <x:v>-1</x:v>
      </x:c>
      <x:c r="M197" s="12" t="n">
        <x:v>47.2</x:v>
      </x:c>
      <x:c r="N197" s="11" t="n">
        <x:v>-0.0012695725772322586</x:v>
      </x:c>
      <x:c r="O197" s="12" t="n">
        <x:v>47</x:v>
      </x:c>
      <x:c r="P197" s="11" t="n">
        <x:v>-0.00550148116800675</x:v>
      </x:c>
      <x:c r="Q197" s="12" t="n">
        <x:v>47.2</x:v>
      </x:c>
      <x:c r="R197" s="11" t="n">
        <x:v>0.034633932485752084</x:v>
      </x:c>
    </x:row>
    <x:row r="198" ht="21" customHeight="1">
      <x:c r="A198" s="1" t="n">
        <x:v>20</x:v>
      </x:c>
      <x:c r="B198" s="1" t="n">
        <x:v>7</x:v>
      </x:c>
      <x:c r="C198" s="10" t="str">
        <x:f>"600547"</x:f>
        <x:v>600547</x:v>
      </x:c>
      <x:c r="D198" s="1" t="str">
        <x:v>山东黄金</x:v>
      </x:c>
      <x:c r="E198" s="11" t="n">
        <x:v>0.11339810845914124</x:v>
      </x:c>
      <x:c r="F198" s="11" t="n">
        <x:v>0.3828505748689016</x:v>
      </x:c>
      <x:c r="G198" s="11" t="n">
        <x:v>0.5037513166719572</x:v>
      </x:c>
      <x:c r="H198" s="13" t="n">
        <x:v>0.39035320821281594</x:v>
      </x:c>
      <x:c r="I198" s="12" t="n">
        <x:v>27.31</x:v>
      </x:c>
      <x:c r="J198" s="12" t="n">
        <x:v>26.69</x:v>
      </x:c>
      <x:c r="K198" s="11" t="n">
        <x:v>-0.022702306847308562</x:v>
      </x:c>
      <x:c r="L198" s="1" t="n">
        <x:v>-1</x:v>
      </x:c>
      <x:c r="M198" s="12" t="n">
        <x:v>26.6</x:v>
      </x:c>
      <x:c r="N198" s="11" t="n">
        <x:v>-0.025997803002563047</x:v>
      </x:c>
      <x:c r="O198" s="12" t="n">
        <x:v>26.61</x:v>
      </x:c>
      <x:c r="P198" s="11" t="n">
        <x:v>-0.025631636763090437</x:v>
      </x:c>
      <x:c r="Q198" s="12" t="n">
        <x:v>27.3</x:v>
      </x:c>
      <x:c r="R198" s="11" t="n">
        <x:v>0.0305775764439411</x:v>
      </x:c>
    </x:row>
    <x:row r="199" ht="21" customHeight="1">
      <x:c r="A199" s="1" t="n">
        <x:v>20</x:v>
      </x:c>
      <x:c r="B199" s="1" t="n">
        <x:v>8</x:v>
      </x:c>
      <x:c r="C199" s="10" t="str">
        <x:f>"600809"</x:f>
        <x:v>600809</x:v>
      </x:c>
      <x:c r="D199" s="1" t="str">
        <x:v>山西汾酒</x:v>
      </x:c>
      <x:c r="E199" s="11" t="n">
        <x:v>0.11356268664240103</x:v>
      </x:c>
      <x:c r="F199" s="11" t="n">
        <x:v>0.37273904995433393</x:v>
      </x:c>
      <x:c r="G199" s="11" t="n">
        <x:v>0.513698263403265</x:v>
      </x:c>
      <x:c r="H199" s="13" t="n">
        <x:v>0.4001355767608639</x:v>
      </x:c>
      <x:c r="I199" s="12" t="n">
        <x:v>115.9</x:v>
      </x:c>
      <x:c r="J199" s="12" t="n">
        <x:v>115</x:v>
      </x:c>
      <x:c r="K199" s="11" t="n">
        <x:v>-0.007765314926660993</x:v>
      </x:c>
      <x:c r="L199" s="1" t="n">
        <x:v>-1</x:v>
      </x:c>
      <x:c r="M199" s="12" t="n">
        <x:v>114.6</x:v>
      </x:c>
      <x:c r="N199" s="11" t="n">
        <x:v>-0.011216566005176953</x:v>
      </x:c>
      <x:c r="O199" s="12" t="n">
        <x:v>114.52</x:v>
      </x:c>
      <x:c r="P199" s="11" t="n">
        <x:v>-0.01190681622088019</x:v>
      </x:c>
      <x:c r="Q199" s="12" t="n">
        <x:v>115.6</x:v>
      </x:c>
      <x:c r="R199" s="11" t="n">
        <x:v>0.036771300448430466</x:v>
      </x:c>
    </x:row>
    <x:row r="200" ht="21" customHeight="1">
      <x:c r="A200" s="1" t="n">
        <x:v>20</x:v>
      </x:c>
      <x:c r="B200" s="1" t="n">
        <x:v>9</x:v>
      </x:c>
      <x:c r="C200" s="10" t="str">
        <x:f>"688223"</x:f>
        <x:v>688223</x:v>
      </x:c>
      <x:c r="D200" s="1" t="str">
        <x:v>晶科能源</x:v>
      </x:c>
      <x:c r="E200" s="11" t="n">
        <x:v>0.11381319214466978</x:v>
      </x:c>
      <x:c r="F200" s="11" t="n">
        <x:v>0.4110002833162609</x:v>
      </x:c>
      <x:c r="G200" s="11" t="n">
        <x:v>0.47518652453906945</x:v>
      </x:c>
      <x:c r="H200" s="13" t="n">
        <x:v>0.36137333239439967</x:v>
      </x:c>
      <x:c r="I200" s="12" t="n">
        <x:v>3.86</x:v>
      </x:c>
      <x:c r="J200" s="12" t="n">
        <x:v>3.82</x:v>
      </x:c>
      <x:c r="K200" s="11" t="n">
        <x:v>-0.010362694300518172</x:v>
      </x:c>
      <x:c r="L200" s="1" t="n">
        <x:v>-1</x:v>
      </x:c>
      <x:c r="M200" s="12" t="n">
        <x:v>3.82</x:v>
      </x:c>
      <x:c r="N200" s="11" t="n">
        <x:v>-0.010362694300518172</x:v>
      </x:c>
      <x:c r="O200" s="12" t="n">
        <x:v>3.82</x:v>
      </x:c>
      <x:c r="P200" s="11" t="n">
        <x:v>-0.010362694300518172</x:v>
      </x:c>
      <x:c r="Q200" s="12" t="n">
        <x:v>3.83</x:v>
      </x:c>
      <x:c r="R200" s="11" t="n">
        <x:v>0.024064171122994527</x:v>
      </x:c>
    </x:row>
    <x:row r="201" ht="21" customHeight="1">
      <x:c r="A201" s="1" t="n">
        <x:v>20</x:v>
      </x:c>
      <x:c r="B201" s="1" t="n">
        <x:v>10</x:v>
      </x:c>
      <x:c r="C201" s="10" t="str">
        <x:f>"300087"</x:f>
        <x:v>300087</x:v>
      </x:c>
      <x:c r="D201" s="1" t="str">
        <x:v>荃银高科</x:v>
      </x:c>
      <x:c r="E201" s="11" t="n">
        <x:v>0.11383853312558019</x:v>
      </x:c>
      <x:c r="F201" s="11" t="n">
        <x:v>0.42136667191044636</x:v>
      </x:c>
      <x:c r="G201" s="11" t="n">
        <x:v>0.4647947949639736</x:v>
      </x:c>
      <x:c r="H201" s="13" t="n">
        <x:v>0.3509562618383934</x:v>
      </x:c>
      <x:c r="I201" s="12" t="n">
        <x:v>5.69</x:v>
      </x:c>
      <x:c r="J201" s="12" t="n">
        <x:v>5.73</x:v>
      </x:c>
      <x:c r="K201" s="11" t="n">
        <x:v>0.007029876977152849</x:v>
      </x:c>
      <x:c r="L201" s="1" t="n">
        <x:v>0</x:v>
      </x:c>
      <x:c r="M201" s="12" t="n">
        <x:v>5.72</x:v>
      </x:c>
      <x:c r="N201" s="11" t="n">
        <x:v>0.005272407732864526</x:v>
      </x:c>
      <x:c r="O201" s="12" t="n">
        <x:v>5.71</x:v>
      </x:c>
      <x:c r="P201" s="11" t="n">
        <x:v>0.0035149384885764245</x:v>
      </x:c>
      <x:c r="Q201" s="12" t="n">
        <x:v>5.69</x:v>
      </x:c>
      <x:c r="R201" s="11" t="n">
        <x:v>0.03079710144927561</x:v>
      </x:c>
    </x:row>
    <x:row r="202" ht="21" customHeight="1">
      <x:c r="A202" s="1" t="n">
        <x:v>21</x:v>
      </x:c>
      <x:c r="B202" s="1" t="n">
        <x:v>1</x:v>
      </x:c>
      <x:c r="C202" s="10" t="str">
        <x:f>"601857"</x:f>
        <x:v>601857</x:v>
      </x:c>
      <x:c r="D202" s="1" t="str">
        <x:v>中国石油</x:v>
      </x:c>
      <x:c r="E202" s="11" t="n">
        <x:v>0.09861247498201928</x:v>
      </x:c>
      <x:c r="F202" s="11" t="n">
        <x:v>0.0803981529191938</x:v>
      </x:c>
      <x:c r="G202" s="11" t="n">
        <x:v>0.8209893720987869</x:v>
      </x:c>
      <x:c r="H202" s="13" t="n">
        <x:v>0.7223768971167676</x:v>
      </x:c>
      <x:c r="I202" s="12" t="n">
        <x:v>11.6</x:v>
      </x:c>
      <x:c r="J202" s="12" t="n">
        <x:v>11.81</x:v>
      </x:c>
      <x:c r="K202" s="11" t="n">
        <x:v>0.01810344827586219</x:v>
      </x:c>
      <x:c r="L202" s="1" t="n">
        <x:v>1</x:v>
      </x:c>
      <x:c r="M202" s="12" t="n">
        <x:v>11.79</x:v>
      </x:c>
      <x:c r="N202" s="11" t="n">
        <x:v>0.016379310344827536</x:v>
      </x:c>
      <x:c r="O202" s="12" t="n">
        <x:v>11.79</x:v>
      </x:c>
      <x:c r="P202" s="11" t="n">
        <x:v>0.016379310344827536</x:v>
      </x:c>
      <x:c r="Q202" s="12" t="n">
        <x:v>11.59</x:v>
      </x:c>
      <x:c r="R202" s="11" t="n">
        <x:v>0.03389830508474567</x:v>
      </x:c>
    </x:row>
    <x:row r="203" ht="21" customHeight="1">
      <x:c r="A203" s="1" t="n">
        <x:v>21</x:v>
      </x:c>
      <x:c r="B203" s="1" t="n">
        <x:v>2</x:v>
      </x:c>
      <x:c r="C203" s="10" t="str">
        <x:f>"600027"</x:f>
        <x:v>600027</x:v>
      </x:c>
      <x:c r="D203" s="1" t="str">
        <x:v>华电国际</x:v>
      </x:c>
      <x:c r="E203" s="11" t="n">
        <x:v>0.10429142062312535</x:v>
      </x:c>
      <x:c r="F203" s="11" t="n">
        <x:v>0.31078971593631494</x:v>
      </x:c>
      <x:c r="G203" s="11" t="n">
        <x:v>0.5849188634405597</x:v>
      </x:c>
      <x:c r="H203" s="13" t="n">
        <x:v>0.4806274428174343</x:v>
      </x:c>
      <x:c r="I203" s="12" t="n">
        <x:v>5.16</x:v>
      </x:c>
      <x:c r="J203" s="12" t="n">
        <x:v>5.2</x:v>
      </x:c>
      <x:c r="K203" s="11" t="n">
        <x:v>0.007751937984496138</x:v>
      </x:c>
      <x:c r="L203" s="1" t="n">
        <x:v>0</x:v>
      </x:c>
      <x:c r="M203" s="12" t="n">
        <x:v>5.2</x:v>
      </x:c>
      <x:c r="N203" s="11" t="n">
        <x:v>0.007751937984496138</x:v>
      </x:c>
      <x:c r="O203" s="12" t="n">
        <x:v>5.19</x:v>
      </x:c>
      <x:c r="P203" s="11" t="n">
        <x:v>0.005813953488372103</x:v>
      </x:c>
      <x:c r="Q203" s="12" t="n">
        <x:v>5.16</x:v>
      </x:c>
      <x:c r="R203" s="11" t="n">
        <x:v>0.042424242424242475</x:v>
      </x:c>
    </x:row>
    <x:row r="204" ht="21" customHeight="1">
      <x:c r="A204" s="1" t="n">
        <x:v>21</x:v>
      </x:c>
      <x:c r="B204" s="1" t="n">
        <x:v>3</x:v>
      </x:c>
      <x:c r="C204" s="10" t="str">
        <x:f>"603301"</x:f>
        <x:v>603301</x:v>
      </x:c>
      <x:c r="D204" s="1" t="str">
        <x:v>振德医疗</x:v>
      </x:c>
      <x:c r="E204" s="11" t="n">
        <x:v>0.10575934406106142</x:v>
      </x:c>
      <x:c r="F204" s="11" t="n">
        <x:v>0.394489201156559</x:v>
      </x:c>
      <x:c r="G204" s="11" t="n">
        <x:v>0.4997514547823795</x:v>
      </x:c>
      <x:c r="H204" s="13" t="n">
        <x:v>0.39399211072131807</x:v>
      </x:c>
      <x:c r="I204" s="12" t="n">
        <x:v>78.1</x:v>
      </x:c>
      <x:c r="J204" s="12" t="n">
        <x:v>79.8</x:v>
      </x:c>
      <x:c r="K204" s="11" t="n">
        <x:v>0.02176696542893719</x:v>
      </x:c>
      <x:c r="L204" s="1" t="n">
        <x:v>1</x:v>
      </x:c>
      <x:c r="M204" s="12" t="n">
        <x:v>79.7</x:v>
      </x:c>
      <x:c r="N204" s="11" t="n">
        <x:v>0.020486555697823317</x:v>
      </x:c>
      <x:c r="O204" s="12" t="n">
        <x:v>79.7</x:v>
      </x:c>
      <x:c r="P204" s="11" t="n">
        <x:v>0.020486555697823317</x:v>
      </x:c>
      <x:c r="Q204" s="12" t="n">
        <x:v>78.49</x:v>
      </x:c>
      <x:c r="R204" s="11" t="n">
        <x:v>0.044166555806837815</x:v>
      </x:c>
    </x:row>
    <x:row r="205" ht="21" customHeight="1">
      <x:c r="A205" s="1" t="n">
        <x:v>21</x:v>
      </x:c>
      <x:c r="B205" s="1" t="n">
        <x:v>4</x:v>
      </x:c>
      <x:c r="C205" s="10" t="str">
        <x:f>"600475"</x:f>
        <x:v>600475</x:v>
      </x:c>
      <x:c r="D205" s="1" t="str">
        <x:v>华光环能</x:v>
      </x:c>
      <x:c r="E205" s="11" t="n">
        <x:v>0.10582802121849884</x:v>
      </x:c>
      <x:c r="F205" s="11" t="n">
        <x:v>0.4155554233673277</x:v>
      </x:c>
      <x:c r="G205" s="11" t="n">
        <x:v>0.4786165554141735</x:v>
      </x:c>
      <x:c r="H205" s="13" t="n">
        <x:v>0.37278853419567465</x:v>
      </x:c>
      <x:c r="I205" s="12" t="n">
        <x:v>14.4</x:v>
      </x:c>
      <x:c r="J205" s="12" t="n">
        <x:v>14.59</x:v>
      </x:c>
      <x:c r="K205" s="11" t="n">
        <x:v>0.013194444444444509</x:v>
      </x:c>
      <x:c r="L205" s="1" t="n">
        <x:v>1</x:v>
      </x:c>
      <x:c r="M205" s="12" t="n">
        <x:v>14.59</x:v>
      </x:c>
      <x:c r="N205" s="11" t="n">
        <x:v>0.013194444444444509</x:v>
      </x:c>
      <x:c r="O205" s="12" t="n">
        <x:v>14.54</x:v>
      </x:c>
      <x:c r="P205" s="11" t="n">
        <x:v>0.009722222222222188</x:v>
      </x:c>
      <x:c r="Q205" s="12" t="n">
        <x:v>14.4</x:v>
      </x:c>
      <x:c r="R205" s="11" t="n">
        <x:v>0.03078024337866858</x:v>
      </x:c>
    </x:row>
    <x:row r="206" ht="21" customHeight="1">
      <x:c r="A206" s="1" t="n">
        <x:v>21</x:v>
      </x:c>
      <x:c r="B206" s="1" t="n">
        <x:v>5</x:v>
      </x:c>
      <x:c r="C206" s="10" t="str">
        <x:f>"002648"</x:f>
        <x:v>002648</x:v>
      </x:c>
      <x:c r="D206" s="1" t="str">
        <x:v>卫星化学</x:v>
      </x:c>
      <x:c r="E206" s="11" t="n">
        <x:v>0.10638022836497299</x:v>
      </x:c>
      <x:c r="F206" s="11" t="n">
        <x:v>0.3531395595943525</x:v>
      </x:c>
      <x:c r="G206" s="11" t="n">
        <x:v>0.5404802120406744</x:v>
      </x:c>
      <x:c r="H206" s="13" t="n">
        <x:v>0.43409998367570146</x:v>
      </x:c>
      <x:c r="I206" s="12" t="n">
        <x:v>27.35</x:v>
      </x:c>
      <x:c r="J206" s="12" t="n">
        <x:v>27.53</x:v>
      </x:c>
      <x:c r="K206" s="11" t="n">
        <x:v>0.006581352833638032</x:v>
      </x:c>
      <x:c r="L206" s="1" t="n">
        <x:v>0</x:v>
      </x:c>
      <x:c r="M206" s="12" t="n">
        <x:v>27.48</x:v>
      </x:c>
      <x:c r="N206" s="11" t="n">
        <x:v>0.004753199268738628</x:v>
      </x:c>
      <x:c r="O206" s="12" t="n">
        <x:v>27.5</x:v>
      </x:c>
      <x:c r="P206" s="11" t="n">
        <x:v>0.005484460694698212</x:v>
      </x:c>
      <x:c r="Q206" s="12" t="n">
        <x:v>27.36</x:v>
      </x:c>
      <x:c r="R206" s="11" t="n">
        <x:v>0.032063372312334915</x:v>
      </x:c>
    </x:row>
    <x:row r="207" ht="21" customHeight="1">
      <x:c r="A207" s="1" t="n">
        <x:v>21</x:v>
      </x:c>
      <x:c r="B207" s="1" t="n">
        <x:v>6</x:v>
      </x:c>
      <x:c r="C207" s="10" t="str">
        <x:f>"688066"</x:f>
        <x:v>688066</x:v>
      </x:c>
      <x:c r="D207" s="1" t="str">
        <x:v>航天宏图</x:v>
      </x:c>
      <x:c r="E207" s="11" t="n">
        <x:v>0.10893683120923986</x:v>
      </x:c>
      <x:c r="F207" s="11" t="n">
        <x:v>0.3297563005027078</x:v>
      </x:c>
      <x:c r="G207" s="11" t="n">
        <x:v>0.5613068682880523</x:v>
      </x:c>
      <x:c r="H207" s="13" t="n">
        <x:v>0.45237003707881246</x:v>
      </x:c>
      <x:c r="I207" s="12" t="n">
        <x:v>9.12</x:v>
      </x:c>
      <x:c r="J207" s="12" t="n">
        <x:v>9.27</x:v>
      </x:c>
      <x:c r="K207" s="11" t="n">
        <x:v>0.016447368421052655</x:v>
      </x:c>
      <x:c r="L207" s="1" t="n">
        <x:v>1</x:v>
      </x:c>
      <x:c r="M207" s="12" t="n">
        <x:v>9.24</x:v>
      </x:c>
      <x:c r="N207" s="11" t="n">
        <x:v>0.013157894736842257</x:v>
      </x:c>
      <x:c r="O207" s="12" t="n">
        <x:v>9.25</x:v>
      </x:c>
      <x:c r="P207" s="11" t="n">
        <x:v>0.014254385964912464</x:v>
      </x:c>
      <x:c r="Q207" s="12" t="n">
        <x:v>9.17</x:v>
      </x:c>
      <x:c r="R207" s="11" t="n">
        <x:v>0.0420454545454545</x:v>
      </x:c>
    </x:row>
    <x:row r="208" ht="21" customHeight="1">
      <x:c r="A208" s="1" t="n">
        <x:v>21</x:v>
      </x:c>
      <x:c r="B208" s="1" t="n">
        <x:v>7</x:v>
      </x:c>
      <x:c r="C208" s="10" t="str">
        <x:f>"600011"</x:f>
        <x:v>600011</x:v>
      </x:c>
      <x:c r="D208" s="1" t="str">
        <x:v>华能国际</x:v>
      </x:c>
      <x:c r="E208" s="11" t="n">
        <x:v>0.10918920633162985</x:v>
      </x:c>
      <x:c r="F208" s="11" t="n">
        <x:v>0.3656046177915455</x:v>
      </x:c>
      <x:c r="G208" s="11" t="n">
        <x:v>0.5252061758768246</x:v>
      </x:c>
      <x:c r="H208" s="13" t="n">
        <x:v>0.41601696954519474</x:v>
      </x:c>
      <x:c r="I208" s="12" t="n">
        <x:v>7.26</x:v>
      </x:c>
      <x:c r="J208" s="12" t="n">
        <x:v>7.3</x:v>
      </x:c>
      <x:c r="K208" s="11" t="n">
        <x:v>0.005509641873278293</x:v>
      </x:c>
      <x:c r="L208" s="1" t="n">
        <x:v>0</x:v>
      </x:c>
      <x:c r="M208" s="12" t="n">
        <x:v>7.3</x:v>
      </x:c>
      <x:c r="N208" s="11" t="n">
        <x:v>0.005509641873278293</x:v>
      </x:c>
      <x:c r="O208" s="12" t="n">
        <x:v>7.29</x:v>
      </x:c>
      <x:c r="P208" s="11" t="n">
        <x:v>0.004132231404958775</x:v>
      </x:c>
      <x:c r="Q208" s="12" t="n">
        <x:v>7.24</x:v>
      </x:c>
      <x:c r="R208" s="11" t="n">
        <x:v>0.02840909090909083</x:v>
      </x:c>
    </x:row>
    <x:row r="209" ht="21" customHeight="1">
      <x:c r="A209" s="1" t="n">
        <x:v>21</x:v>
      </x:c>
      <x:c r="B209" s="1" t="n">
        <x:v>8</x:v>
      </x:c>
      <x:c r="C209" s="10" t="str">
        <x:f>"600681"</x:f>
        <x:v>600681</x:v>
      </x:c>
      <x:c r="D209" s="1" t="str">
        <x:v>百川能源</x:v>
      </x:c>
      <x:c r="E209" s="11" t="n">
        <x:v>0.11019059842055105</x:v>
      </x:c>
      <x:c r="F209" s="11" t="n">
        <x:v>0.327289620751203</x:v>
      </x:c>
      <x:c r="G209" s="11" t="n">
        <x:v>0.562519780828246</x:v>
      </x:c>
      <x:c r="H209" s="13" t="n">
        <x:v>0.452329182407695</x:v>
      </x:c>
      <x:c r="I209" s="12" t="n">
        <x:v>3.63</x:v>
      </x:c>
      <x:c r="J209" s="12" t="n">
        <x:v>3.64</x:v>
      </x:c>
      <x:c r="K209" s="11" t="n">
        <x:v>0.0027548209366392573</x:v>
      </x:c>
      <x:c r="L209" s="1" t="n">
        <x:v>0</x:v>
      </x:c>
      <x:c r="M209" s="12" t="n">
        <x:v>3.63</x:v>
      </x:c>
      <x:c r="N209" s="11" t="n">
        <x:v>0</x:v>
      </x:c>
      <x:c r="O209" s="12" t="n">
        <x:v>3.63</x:v>
      </x:c>
      <x:c r="P209" s="11" t="n">
        <x:v>0</x:v>
      </x:c>
      <x:c r="Q209" s="12" t="n">
        <x:v>3.63</x:v>
      </x:c>
      <x:c r="R209" s="11" t="n">
        <x:v>0.03125</x:v>
      </x:c>
    </x:row>
    <x:row r="210" ht="21" customHeight="1">
      <x:c r="A210" s="1" t="n">
        <x:v>21</x:v>
      </x:c>
      <x:c r="B210" s="1" t="n">
        <x:v>9</x:v>
      </x:c>
      <x:c r="C210" s="10" t="str">
        <x:f>"002180"</x:f>
        <x:v>002180</x:v>
      </x:c>
      <x:c r="D210" s="1" t="str">
        <x:v>纳思达</x:v>
      </x:c>
      <x:c r="E210" s="11" t="n">
        <x:v>0.11059438030983504</x:v>
      </x:c>
      <x:c r="F210" s="11" t="n">
        <x:v>0.40658264102008473</x:v>
      </x:c>
      <x:c r="G210" s="11" t="n">
        <x:v>0.4828229786700801</x:v>
      </x:c>
      <x:c r="H210" s="13" t="n">
        <x:v>0.3722285983602451</x:v>
      </x:c>
      <x:c r="I210" s="12" t="n">
        <x:v>16.68</x:v>
      </x:c>
      <x:c r="J210" s="12" t="n">
        <x:v>16.77</x:v>
      </x:c>
      <x:c r="K210" s="11" t="n">
        <x:v>0.0053956834532373765</x:v>
      </x:c>
      <x:c r="L210" s="1" t="n">
        <x:v>0</x:v>
      </x:c>
      <x:c r="M210" s="12" t="n">
        <x:v>16.76</x:v>
      </x:c>
      <x:c r="N210" s="11" t="n">
        <x:v>0.004796163069544557</x:v>
      </x:c>
      <x:c r="O210" s="12" t="n">
        <x:v>16.74</x:v>
      </x:c>
      <x:c r="P210" s="11" t="n">
        <x:v>0.003597122302158251</x:v>
      </x:c>
      <x:c r="Q210" s="12" t="n">
        <x:v>16.83</x:v>
      </x:c>
      <x:c r="R210" s="11" t="n">
        <x:v>0.04275092936802949</x:v>
      </x:c>
    </x:row>
    <x:row r="211" ht="21" customHeight="1">
      <x:c r="A211" s="1" t="n">
        <x:v>21</x:v>
      </x:c>
      <x:c r="B211" s="1" t="n">
        <x:v>10</x:v>
      </x:c>
      <x:c r="C211" s="10" t="str">
        <x:f>"600028"</x:f>
        <x:v>600028</x:v>
      </x:c>
      <x:c r="D211" s="1" t="str">
        <x:v>中国石化</x:v>
      </x:c>
      <x:c r="E211" s="11" t="n">
        <x:v>0.11147665681919718</x:v>
      </x:c>
      <x:c r="F211" s="11" t="n">
        <x:v>0.2609530536712531</x:v>
      </x:c>
      <x:c r="G211" s="11" t="n">
        <x:v>0.6275702895095497</x:v>
      </x:c>
      <x:c r="H211" s="13" t="n">
        <x:v>0.5160936326903526</x:v>
      </x:c>
      <x:c r="I211" s="12" t="n">
        <x:v>5.48</x:v>
      </x:c>
      <x:c r="J211" s="12" t="n">
        <x:v>5.52</x:v>
      </x:c>
      <x:c r="K211" s="11" t="n">
        <x:v>0.007299270072992581</x:v>
      </x:c>
      <x:c r="L211" s="1" t="n">
        <x:v>0</x:v>
      </x:c>
      <x:c r="M211" s="12" t="n">
        <x:v>5.49</x:v>
      </x:c>
      <x:c r="N211" s="11" t="n">
        <x:v>0.0018248175182480342</x:v>
      </x:c>
      <x:c r="O211" s="12" t="n">
        <x:v>5.49</x:v>
      </x:c>
      <x:c r="P211" s="11" t="n">
        <x:v>0.0018248175182480342</x:v>
      </x:c>
      <x:c r="Q211" s="12" t="n">
        <x:v>5.48</x:v>
      </x:c>
      <x:c r="R211" s="11" t="n">
        <x:v>0.037878787878787845</x:v>
      </x:c>
    </x:row>
  </x:sheetData>
  <x:pageMargins left="0.7" right="0.7" top="0.75" bottom="0.75" header="0.3" footer="0.3"/>
  <x:tableParts count="1">
    <x:tablePart xmlns:r="http://schemas.openxmlformats.org/officeDocument/2006/relationships" r:id="Rad0ad44ce7b2421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2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0" customHeight="1">
      <x:c r="A1" s="3" t="str">
        <x:v>入选股票在信号日的完整日行情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2" customHeight="1">
      <x:c r="A2" s="5" t="str">
        <x:v>前日指次晨验证之前的信号日；这些收盘数据只用于事后观察，没有参与14:40选股。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2" customHeight="1">
      <x:c r="A3" s="5" t="str">
        <x:v>收盘涨幅以日行情前收盘价计算；成交量单位股，成交额单位元，换手率为百分数。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A4" s="1" t="str">
        <x:v>覆盖 21 批次、206 只；与“次晨结果”按批次＋风险名次＋股票代码一一对应。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2" customHeight="1">
      <x:c r="A5" s="9" t="str">
        <x:v>批次</x:v>
      </x:c>
      <x:c r="B5" s="9" t="str">
        <x:v>风险名次</x:v>
      </x:c>
      <x:c r="C5" s="9" t="str">
        <x:v>股票代码</x:v>
      </x:c>
      <x:c r="D5" s="9" t="str">
        <x:v>股票名称</x:v>
      </x:c>
      <x:c r="E5" s="9" t="str">
        <x:v>前收盘价</x:v>
      </x:c>
      <x:c r="F5" s="9" t="str">
        <x:v>当日开盘价</x:v>
      </x:c>
      <x:c r="G5" s="9" t="str">
        <x:v>当日最高价</x:v>
      </x:c>
      <x:c r="H5" s="9" t="str">
        <x:v>当日最低价</x:v>
      </x:c>
      <x:c r="I5" s="9" t="str">
        <x:v>当日收盘价</x:v>
      </x:c>
      <x:c r="J5" s="9" t="str">
        <x:v>收盘涨幅</x:v>
      </x:c>
      <x:c r="K5" s="9" t="str">
        <x:v>成交量（股）</x:v>
      </x:c>
      <x:c r="L5" s="9" t="str">
        <x:v>成交额（元）</x:v>
      </x:c>
      <x:c r="M5" s="9" t="str">
        <x:v>换手率</x:v>
      </x:c>
    </x:row>
    <x:row r="6" ht="21" customHeight="1">
      <x:c r="A6" s="1" t="n">
        <x:v>1</x:v>
      </x:c>
      <x:c r="B6" s="1" t="n">
        <x:v>1</x:v>
      </x:c>
      <x:c r="C6" s="10" t="str">
        <x:f>"688292"</x:f>
        <x:v>688292</x:v>
      </x:c>
      <x:c r="D6" s="1" t="str">
        <x:v>浩瀚深度</x:v>
      </x:c>
      <x:c r="E6" s="12" t="n">
        <x:v>18.18</x:v>
      </x:c>
      <x:c r="F6" s="12" t="n">
        <x:v>18</x:v>
      </x:c>
      <x:c r="G6" s="12" t="n">
        <x:v>19.18</x:v>
      </x:c>
      <x:c r="H6" s="12" t="n">
        <x:v>17.91</x:v>
      </x:c>
      <x:c r="I6" s="12" t="n">
        <x:v>18.67</x:v>
      </x:c>
      <x:c r="J6" s="11" t="n">
        <x:v>0.02695269526952715</x:v>
      </x:c>
      <x:c r="K6" s="14" t="n">
        <x:v>4415003</x:v>
      </x:c>
      <x:c r="L6" s="14" t="n">
        <x:v>82268147</x:v>
      </x:c>
      <x:c r="M6" s="11" t="n">
        <x:v>0.027881</x:v>
      </x:c>
    </x:row>
    <x:row r="7" ht="21" customHeight="1">
      <x:c r="A7" s="1" t="n">
        <x:v>1</x:v>
      </x:c>
      <x:c r="B7" s="1" t="n">
        <x:v>2</x:v>
      </x:c>
      <x:c r="C7" s="10" t="str">
        <x:f>"301075"</x:f>
        <x:v>301075</x:v>
      </x:c>
      <x:c r="D7" s="1" t="str">
        <x:v>多瑞医药</x:v>
      </x:c>
      <x:c r="E7" s="12" t="n">
        <x:v>58.02</x:v>
      </x:c>
      <x:c r="F7" s="12" t="n">
        <x:v>57.99</x:v>
      </x:c>
      <x:c r="G7" s="12" t="n">
        <x:v>61.1</x:v>
      </x:c>
      <x:c r="H7" s="12" t="n">
        <x:v>56.92</x:v>
      </x:c>
      <x:c r="I7" s="12" t="n">
        <x:v>60.38</x:v>
      </x:c>
      <x:c r="J7" s="11" t="n">
        <x:v>0.040675629093416044</x:v>
      </x:c>
      <x:c r="K7" s="14" t="n">
        <x:v>1693101</x:v>
      </x:c>
      <x:c r="L7" s="14" t="n">
        <x:v>100724325.31</x:v>
      </x:c>
      <x:c r="M7" s="11" t="n">
        <x:v>0.029913</x:v>
      </x:c>
    </x:row>
    <x:row r="8" ht="21" customHeight="1">
      <x:c r="A8" s="1" t="n">
        <x:v>1</x:v>
      </x:c>
      <x:c r="B8" s="1" t="n">
        <x:v>3</x:v>
      </x:c>
      <x:c r="C8" s="10" t="str">
        <x:f>"603319"</x:f>
        <x:v>603319</x:v>
      </x:c>
      <x:c r="D8" s="1" t="str">
        <x:v>湘油泵</x:v>
      </x:c>
      <x:c r="E8" s="12" t="n">
        <x:v>28.84</x:v>
      </x:c>
      <x:c r="F8" s="12" t="n">
        <x:v>28.5</x:v>
      </x:c>
      <x:c r="G8" s="12" t="n">
        <x:v>29.88</x:v>
      </x:c>
      <x:c r="H8" s="12" t="n">
        <x:v>28.3</x:v>
      </x:c>
      <x:c r="I8" s="12" t="n">
        <x:v>29.68</x:v>
      </x:c>
      <x:c r="J8" s="11" t="n">
        <x:v>0.029126213592232997</x:v>
      </x:c>
      <x:c r="K8" s="14" t="n">
        <x:v>21651939</x:v>
      </x:c>
      <x:c r="L8" s="14" t="n">
        <x:v>634240035</x:v>
      </x:c>
      <x:c r="M8" s="11" t="n">
        <x:v>0.063842</x:v>
      </x:c>
    </x:row>
    <x:row r="9" ht="21" customHeight="1">
      <x:c r="A9" s="1" t="n">
        <x:v>1</x:v>
      </x:c>
      <x:c r="B9" s="1" t="n">
        <x:v>4</x:v>
      </x:c>
      <x:c r="C9" s="10" t="str">
        <x:f>"002203"</x:f>
        <x:v>002203</x:v>
      </x:c>
      <x:c r="D9" s="1" t="str">
        <x:v>海亮股份</x:v>
      </x:c>
      <x:c r="E9" s="12" t="n">
        <x:v>18.7</x:v>
      </x:c>
      <x:c r="F9" s="12" t="n">
        <x:v>18.3</x:v>
      </x:c>
      <x:c r="G9" s="12" t="n">
        <x:v>19.6</x:v>
      </x:c>
      <x:c r="H9" s="12" t="n">
        <x:v>18.01</x:v>
      </x:c>
      <x:c r="I9" s="12" t="n">
        <x:v>19.5</x:v>
      </x:c>
      <x:c r="J9" s="11" t="n">
        <x:v>0.04278074866310155</x:v>
      </x:c>
      <x:c r="K9" s="14" t="n">
        <x:v>33652388</x:v>
      </x:c>
      <x:c r="L9" s="14" t="n">
        <x:v>640901422.2</x:v>
      </x:c>
      <x:c r="M9" s="11" t="n">
        <x:v>0.014954</x:v>
      </x:c>
    </x:row>
    <x:row r="10" ht="21" customHeight="1">
      <x:c r="A10" s="1" t="n">
        <x:v>1</x:v>
      </x:c>
      <x:c r="B10" s="1" t="n">
        <x:v>5</x:v>
      </x:c>
      <x:c r="C10" s="10" t="str">
        <x:f>"688410"</x:f>
        <x:v>688410</x:v>
      </x:c>
      <x:c r="D10" s="1" t="str">
        <x:v>山外山</x:v>
      </x:c>
      <x:c r="E10" s="12" t="n">
        <x:v>10.09</x:v>
      </x:c>
      <x:c r="F10" s="12" t="n">
        <x:v>10.03</x:v>
      </x:c>
      <x:c r="G10" s="12" t="n">
        <x:v>10.47</x:v>
      </x:c>
      <x:c r="H10" s="12" t="n">
        <x:v>9.94</x:v>
      </x:c>
      <x:c r="I10" s="12" t="n">
        <x:v>10.41</x:v>
      </x:c>
      <x:c r="J10" s="11" t="n">
        <x:v>0.031714568880079286</x:v>
      </x:c>
      <x:c r="K10" s="14" t="n">
        <x:v>12937910</x:v>
      </x:c>
      <x:c r="L10" s="14" t="n">
        <x:v>131940776</x:v>
      </x:c>
      <x:c r="M10" s="11" t="n">
        <x:v>0.028915000000000003</x:v>
      </x:c>
    </x:row>
    <x:row r="11" ht="21" customHeight="1">
      <x:c r="A11" s="1" t="n">
        <x:v>1</x:v>
      </x:c>
      <x:c r="B11" s="1" t="n">
        <x:v>6</x:v>
      </x:c>
      <x:c r="C11" s="10" t="str">
        <x:f>"002062"</x:f>
        <x:v>002062</x:v>
      </x:c>
      <x:c r="D11" s="1" t="str">
        <x:v>宏润建设</x:v>
      </x:c>
      <x:c r="E11" s="12" t="n">
        <x:v>8.19</x:v>
      </x:c>
      <x:c r="F11" s="12" t="n">
        <x:v>8.19</x:v>
      </x:c>
      <x:c r="G11" s="12" t="n">
        <x:v>8.53</x:v>
      </x:c>
      <x:c r="H11" s="12" t="n">
        <x:v>8.08</x:v>
      </x:c>
      <x:c r="I11" s="12" t="n">
        <x:v>8.49</x:v>
      </x:c>
      <x:c r="J11" s="11" t="n">
        <x:v>0.03663003663003672</x:v>
      </x:c>
      <x:c r="K11" s="14" t="n">
        <x:v>26512992</x:v>
      </x:c>
      <x:c r="L11" s="14" t="n">
        <x:v>221869137</x:v>
      </x:c>
      <x:c r="M11" s="11" t="n">
        <x:v>0.023573</x:v>
      </x:c>
    </x:row>
    <x:row r="12" ht="21" customHeight="1">
      <x:c r="A12" s="1" t="n">
        <x:v>1</x:v>
      </x:c>
      <x:c r="B12" s="1" t="n">
        <x:v>7</x:v>
      </x:c>
      <x:c r="C12" s="10" t="str">
        <x:f>"300352"</x:f>
        <x:v>300352</x:v>
      </x:c>
      <x:c r="D12" s="1" t="str">
        <x:v>北信源</x:v>
      </x:c>
      <x:c r="E12" s="12" t="n">
        <x:v>2.62</x:v>
      </x:c>
      <x:c r="F12" s="12" t="n">
        <x:v>2.58</x:v>
      </x:c>
      <x:c r="G12" s="12" t="n">
        <x:v>2.8</x:v>
      </x:c>
      <x:c r="H12" s="12" t="n">
        <x:v>2.58</x:v>
      </x:c>
      <x:c r="I12" s="12" t="n">
        <x:v>2.74</x:v>
      </x:c>
      <x:c r="J12" s="11" t="n">
        <x:v>0.04580152671755733</x:v>
      </x:c>
      <x:c r="K12" s="14" t="n">
        <x:v>49205600</x:v>
      </x:c>
      <x:c r="L12" s="14" t="n">
        <x:v>134146419.63</x:v>
      </x:c>
      <x:c r="M12" s="11" t="n">
        <x:v>0.038475</x:v>
      </x:c>
    </x:row>
    <x:row r="13" ht="21" customHeight="1">
      <x:c r="A13" s="1" t="n">
        <x:v>1</x:v>
      </x:c>
      <x:c r="B13" s="1" t="n">
        <x:v>8</x:v>
      </x:c>
      <x:c r="C13" s="10" t="str">
        <x:f>"605303"</x:f>
        <x:v>605303</x:v>
      </x:c>
      <x:c r="D13" s="1" t="str">
        <x:v>园林股份</x:v>
      </x:c>
      <x:c r="E13" s="12" t="n">
        <x:v>24.62</x:v>
      </x:c>
      <x:c r="F13" s="12" t="n">
        <x:v>24.38</x:v>
      </x:c>
      <x:c r="G13" s="12" t="n">
        <x:v>25.55</x:v>
      </x:c>
      <x:c r="H13" s="12" t="n">
        <x:v>24.15</x:v>
      </x:c>
      <x:c r="I13" s="12" t="n">
        <x:v>25.01</x:v>
      </x:c>
      <x:c r="J13" s="11" t="n">
        <x:v>0.01584077985377741</x:v>
      </x:c>
      <x:c r="K13" s="14" t="n">
        <x:v>4424200</x:v>
      </x:c>
      <x:c r="L13" s="14" t="n">
        <x:v>111181201</x:v>
      </x:c>
      <x:c r="M13" s="11" t="n">
        <x:v>0.027439</x:v>
      </x:c>
    </x:row>
    <x:row r="14" ht="21" customHeight="1">
      <x:c r="A14" s="1" t="n">
        <x:v>1</x:v>
      </x:c>
      <x:c r="B14" s="1" t="n">
        <x:v>9</x:v>
      </x:c>
      <x:c r="C14" s="10" t="str">
        <x:f>"688026"</x:f>
        <x:v>688026</x:v>
      </x:c>
      <x:c r="D14" s="1" t="str">
        <x:v>洁特生物</x:v>
      </x:c>
      <x:c r="E14" s="12" t="n">
        <x:v>17.94</x:v>
      </x:c>
      <x:c r="F14" s="12" t="n">
        <x:v>17.76</x:v>
      </x:c>
      <x:c r="G14" s="12" t="n">
        <x:v>18.75</x:v>
      </x:c>
      <x:c r="H14" s="12" t="n">
        <x:v>17.35</x:v>
      </x:c>
      <x:c r="I14" s="12" t="n">
        <x:v>18.6</x:v>
      </x:c>
      <x:c r="J14" s="11" t="n">
        <x:v>0.03678929765886285</x:v>
      </x:c>
      <x:c r="K14" s="14" t="n">
        <x:v>8102387</x:v>
      </x:c>
      <x:c r="L14" s="14" t="n">
        <x:v>146558840</x:v>
      </x:c>
      <x:c r="M14" s="11" t="n">
        <x:v>0.057742</x:v>
      </x:c>
    </x:row>
    <x:row r="15" ht="21" customHeight="1">
      <x:c r="A15" s="1" t="n">
        <x:v>1</x:v>
      </x:c>
      <x:c r="B15" s="1" t="n">
        <x:v>10</x:v>
      </x:c>
      <x:c r="C15" s="10" t="str">
        <x:f>"300849"</x:f>
        <x:v>300849</x:v>
      </x:c>
      <x:c r="D15" s="1" t="str">
        <x:v>锦盛新材</x:v>
      </x:c>
      <x:c r="E15" s="12" t="n">
        <x:v>22.08</x:v>
      </x:c>
      <x:c r="F15" s="12" t="n">
        <x:v>22.03</x:v>
      </x:c>
      <x:c r="G15" s="12" t="n">
        <x:v>23.24</x:v>
      </x:c>
      <x:c r="H15" s="12" t="n">
        <x:v>21.66</x:v>
      </x:c>
      <x:c r="I15" s="12" t="n">
        <x:v>23.1</x:v>
      </x:c>
      <x:c r="J15" s="11" t="n">
        <x:v>0.04619565217391308</x:v>
      </x:c>
      <x:c r="K15" s="14" t="n">
        <x:v>3847600</x:v>
      </x:c>
      <x:c r="L15" s="14" t="n">
        <x:v>87339085.5</x:v>
      </x:c>
      <x:c r="M15" s="11" t="n">
        <x:v>0.026547</x:v>
      </x:c>
    </x:row>
    <x:row r="16" ht="21" customHeight="1">
      <x:c r="A16" s="1" t="n">
        <x:v>2</x:v>
      </x:c>
      <x:c r="B16" s="1" t="n">
        <x:v>1</x:v>
      </x:c>
      <x:c r="C16" s="10" t="str">
        <x:f>"601628"</x:f>
        <x:v>601628</x:v>
      </x:c>
      <x:c r="D16" s="1" t="str">
        <x:v>中国人寿</x:v>
      </x:c>
      <x:c r="E16" s="12" t="n">
        <x:v>38.15</x:v>
      </x:c>
      <x:c r="F16" s="12" t="n">
        <x:v>38.15</x:v>
      </x:c>
      <x:c r="G16" s="12" t="n">
        <x:v>39.68</x:v>
      </x:c>
      <x:c r="H16" s="12" t="n">
        <x:v>38.15</x:v>
      </x:c>
      <x:c r="I16" s="12" t="n">
        <x:v>39.27</x:v>
      </x:c>
      <x:c r="J16" s="11" t="n">
        <x:v>0.02935779816513784</x:v>
      </x:c>
      <x:c r="K16" s="14" t="n">
        <x:v>49363156</x:v>
      </x:c>
      <x:c r="L16" s="14" t="n">
        <x:v>1939517357</x:v>
      </x:c>
      <x:c r="M16" s="11" t="n">
        <x:v>0.002371</x:v>
      </x:c>
    </x:row>
    <x:row r="17" ht="21" customHeight="1">
      <x:c r="A17" s="1" t="n">
        <x:v>2</x:v>
      </x:c>
      <x:c r="B17" s="1" t="n">
        <x:v>2</x:v>
      </x:c>
      <x:c r="C17" s="10" t="str">
        <x:f>"300408"</x:f>
        <x:v>300408</x:v>
      </x:c>
      <x:c r="D17" s="1" t="str">
        <x:v>三环集团</x:v>
      </x:c>
      <x:c r="E17" s="12" t="n">
        <x:v>107.87</x:v>
      </x:c>
      <x:c r="F17" s="12" t="n">
        <x:v>110.02</x:v>
      </x:c>
      <x:c r="G17" s="12" t="n">
        <x:v>113.95</x:v>
      </x:c>
      <x:c r="H17" s="12" t="n">
        <x:v>109.09</x:v>
      </x:c>
      <x:c r="I17" s="12" t="n">
        <x:v>110.91</x:v>
      </x:c>
      <x:c r="J17" s="11" t="n">
        <x:v>0.028182071011402465</x:v>
      </x:c>
      <x:c r="K17" s="14" t="n">
        <x:v>42292242</x:v>
      </x:c>
      <x:c r="L17" s="14" t="n">
        <x:v>4714256839.06</x:v>
      </x:c>
      <x:c r="M17" s="11" t="n">
        <x:v>0.022618999999999997</x:v>
      </x:c>
    </x:row>
    <x:row r="18" ht="21" customHeight="1">
      <x:c r="A18" s="1" t="n">
        <x:v>2</x:v>
      </x:c>
      <x:c r="B18" s="1" t="n">
        <x:v>3</x:v>
      </x:c>
      <x:c r="C18" s="10" t="str">
        <x:f>"600309"</x:f>
        <x:v>600309</x:v>
      </x:c>
      <x:c r="D18" s="1" t="str">
        <x:v>万华化学</x:v>
      </x:c>
      <x:c r="E18" s="12" t="n">
        <x:v>75.18</x:v>
      </x:c>
      <x:c r="F18" s="12" t="n">
        <x:v>75.18</x:v>
      </x:c>
      <x:c r="G18" s="12" t="n">
        <x:v>77.69</x:v>
      </x:c>
      <x:c r="H18" s="12" t="n">
        <x:v>74.91</x:v>
      </x:c>
      <x:c r="I18" s="12" t="n">
        <x:v>77.38</x:v>
      </x:c>
      <x:c r="J18" s="11" t="n">
        <x:v>0.029263101888800103</x:v>
      </x:c>
      <x:c r="K18" s="14" t="n">
        <x:v>40677967</x:v>
      </x:c>
      <x:c r="L18" s="14" t="n">
        <x:v>3123573312</x:v>
      </x:c>
      <x:c r="M18" s="11" t="n">
        <x:v>0.012994</x:v>
      </x:c>
    </x:row>
    <x:row r="19" ht="21" customHeight="1">
      <x:c r="A19" s="1" t="n">
        <x:v>2</x:v>
      </x:c>
      <x:c r="B19" s="1" t="n">
        <x:v>4</x:v>
      </x:c>
      <x:c r="C19" s="10" t="str">
        <x:f>"301200"</x:f>
        <x:v>301200</x:v>
      </x:c>
      <x:c r="D19" s="1" t="str">
        <x:v>大族数控</x:v>
      </x:c>
      <x:c r="E19" s="12" t="n">
        <x:v>260.6</x:v>
      </x:c>
      <x:c r="F19" s="12" t="n">
        <x:v>264</x:v>
      </x:c>
      <x:c r="G19" s="12" t="n">
        <x:v>271.9</x:v>
      </x:c>
      <x:c r="H19" s="12" t="n">
        <x:v>256.67</x:v>
      </x:c>
      <x:c r="I19" s="12" t="n">
        <x:v>269.17</x:v>
      </x:c>
      <x:c r="J19" s="11" t="n">
        <x:v>0.032885648503453435</x:v>
      </x:c>
      <x:c r="K19" s="14" t="n">
        <x:v>2259856</x:v>
      </x:c>
      <x:c r="L19" s="14" t="n">
        <x:v>597928001.71</x:v>
      </x:c>
      <x:c r="M19" s="11" t="n">
        <x:v>0.005314</x:v>
      </x:c>
    </x:row>
    <x:row r="20" ht="21" customHeight="1">
      <x:c r="A20" s="1" t="n">
        <x:v>2</x:v>
      </x:c>
      <x:c r="B20" s="1" t="n">
        <x:v>5</x:v>
      </x:c>
      <x:c r="C20" s="10" t="str">
        <x:f>"600489"</x:f>
        <x:v>600489</x:v>
      </x:c>
      <x:c r="D20" s="1" t="str">
        <x:v>中金黄金</x:v>
      </x:c>
      <x:c r="E20" s="12" t="n">
        <x:v>24.7</x:v>
      </x:c>
      <x:c r="F20" s="12" t="n">
        <x:v>25.2</x:v>
      </x:c>
      <x:c r="G20" s="12" t="n">
        <x:v>26</x:v>
      </x:c>
      <x:c r="H20" s="12" t="n">
        <x:v>25.01</x:v>
      </x:c>
      <x:c r="I20" s="12" t="n">
        <x:v>25.69</x:v>
      </x:c>
      <x:c r="J20" s="11" t="n">
        <x:v>0.040080971659919085</x:v>
      </x:c>
      <x:c r="K20" s="14" t="n">
        <x:v>100344885</x:v>
      </x:c>
      <x:c r="L20" s="14" t="n">
        <x:v>2566822429</x:v>
      </x:c>
      <x:c r="M20" s="11" t="n">
        <x:v>0.020701</x:v>
      </x:c>
    </x:row>
    <x:row r="21" ht="21" customHeight="1">
      <x:c r="A21" s="1" t="n">
        <x:v>2</x:v>
      </x:c>
      <x:c r="B21" s="1" t="n">
        <x:v>6</x:v>
      </x:c>
      <x:c r="C21" s="10" t="str">
        <x:f>"688506"</x:f>
        <x:v>688506</x:v>
      </x:c>
      <x:c r="D21" s="1" t="str">
        <x:v>百利天恒</x:v>
      </x:c>
      <x:c r="E21" s="12" t="n">
        <x:v>253.53</x:v>
      </x:c>
      <x:c r="F21" s="12" t="n">
        <x:v>252.99</x:v>
      </x:c>
      <x:c r="G21" s="12" t="n">
        <x:v>268</x:v>
      </x:c>
      <x:c r="H21" s="12" t="n">
        <x:v>252.99</x:v>
      </x:c>
      <x:c r="I21" s="12" t="n">
        <x:v>265.3</x:v>
      </x:c>
      <x:c r="J21" s="11" t="n">
        <x:v>0.046424486254092345</x:v>
      </x:c>
      <x:c r="K21" s="14" t="n">
        <x:v>1706870</x:v>
      </x:c>
      <x:c r="L21" s="14" t="n">
        <x:v>445216070</x:v>
      </x:c>
      <x:c r="M21" s="11" t="n">
        <x:v>0.004134</x:v>
      </x:c>
    </x:row>
    <x:row r="22" ht="21" customHeight="1">
      <x:c r="A22" s="1" t="n">
        <x:v>2</x:v>
      </x:c>
      <x:c r="B22" s="1" t="n">
        <x:v>7</x:v>
      </x:c>
      <x:c r="C22" s="10" t="str">
        <x:f>"601601"</x:f>
        <x:v>601601</x:v>
      </x:c>
      <x:c r="D22" s="1" t="str">
        <x:v>中国太保</x:v>
      </x:c>
      <x:c r="E22" s="12" t="n">
        <x:v>32.83</x:v>
      </x:c>
      <x:c r="F22" s="12" t="n">
        <x:v>32.75</x:v>
      </x:c>
      <x:c r="G22" s="12" t="n">
        <x:v>34.48</x:v>
      </x:c>
      <x:c r="H22" s="12" t="n">
        <x:v>32.74</x:v>
      </x:c>
      <x:c r="I22" s="12" t="n">
        <x:v>34.04</x:v>
      </x:c>
      <x:c r="J22" s="11" t="n">
        <x:v>0.03685653365823938</x:v>
      </x:c>
      <x:c r="K22" s="14" t="n">
        <x:v>76023768</x:v>
      </x:c>
      <x:c r="L22" s="14" t="n">
        <x:v>2585118166</x:v>
      </x:c>
      <x:c r="M22" s="11" t="n">
        <x:v>0.011106</x:v>
      </x:c>
    </x:row>
    <x:row r="23" ht="21" customHeight="1">
      <x:c r="A23" s="1" t="n">
        <x:v>2</x:v>
      </x:c>
      <x:c r="B23" s="1" t="n">
        <x:v>8</x:v>
      </x:c>
      <x:c r="C23" s="10" t="str">
        <x:f>"000426"</x:f>
        <x:v>000426</x:v>
      </x:c>
      <x:c r="D23" s="1" t="str">
        <x:v>兴业银锡</x:v>
      </x:c>
      <x:c r="E23" s="12" t="n">
        <x:v>38.02</x:v>
      </x:c>
      <x:c r="F23" s="12" t="n">
        <x:v>39</x:v>
      </x:c>
      <x:c r="G23" s="12" t="n">
        <x:v>39.65</x:v>
      </x:c>
      <x:c r="H23" s="12" t="n">
        <x:v>38.75</x:v>
      </x:c>
      <x:c r="I23" s="12" t="n">
        <x:v>39.27</x:v>
      </x:c>
      <x:c r="J23" s="11" t="n">
        <x:v>0.032877432930036754</x:v>
      </x:c>
      <x:c r="K23" s="14" t="n">
        <x:v>53385275</x:v>
      </x:c>
      <x:c r="L23" s="14" t="n">
        <x:v>2090823409.47</x:v>
      </x:c>
      <x:c r="M23" s="11" t="n">
        <x:v>0.030073</x:v>
      </x:c>
    </x:row>
    <x:row r="24" ht="21" customHeight="1">
      <x:c r="A24" s="1" t="n">
        <x:v>2</x:v>
      </x:c>
      <x:c r="B24" s="1" t="n">
        <x:v>9</x:v>
      </x:c>
      <x:c r="C24" s="10" t="str">
        <x:f>"603699"</x:f>
        <x:v>603699</x:v>
      </x:c>
      <x:c r="D24" s="1" t="str">
        <x:v>纽威股份</x:v>
      </x:c>
      <x:c r="E24" s="12" t="n">
        <x:v>45.51</x:v>
      </x:c>
      <x:c r="F24" s="12" t="n">
        <x:v>45.78</x:v>
      </x:c>
      <x:c r="G24" s="12" t="n">
        <x:v>47.29</x:v>
      </x:c>
      <x:c r="H24" s="12" t="n">
        <x:v>45.51</x:v>
      </x:c>
      <x:c r="I24" s="12" t="n">
        <x:v>46.9</x:v>
      </x:c>
      <x:c r="J24" s="11" t="n">
        <x:v>0.030542737859811098</x:v>
      </x:c>
      <x:c r="K24" s="14" t="n">
        <x:v>5155700</x:v>
      </x:c>
      <x:c r="L24" s="14" t="n">
        <x:v>239124805</x:v>
      </x:c>
      <x:c r="M24" s="11" t="n">
        <x:v>0.0068000000000000005</x:v>
      </x:c>
    </x:row>
    <x:row r="25" ht="21" customHeight="1">
      <x:c r="A25" s="1" t="n">
        <x:v>2</x:v>
      </x:c>
      <x:c r="B25" s="1" t="n">
        <x:v>10</x:v>
      </x:c>
      <x:c r="C25" s="10" t="str">
        <x:f>"300469"</x:f>
        <x:v>300469</x:v>
      </x:c>
      <x:c r="D25" s="1" t="str">
        <x:v>信息发展</x:v>
      </x:c>
      <x:c r="E25" s="12" t="n">
        <x:v>53.03</x:v>
      </x:c>
      <x:c r="F25" s="12" t="n">
        <x:v>53.4</x:v>
      </x:c>
      <x:c r="G25" s="12" t="n">
        <x:v>56</x:v>
      </x:c>
      <x:c r="H25" s="12" t="n">
        <x:v>53.18</x:v>
      </x:c>
      <x:c r="I25" s="12" t="n">
        <x:v>54.78</x:v>
      </x:c>
      <x:c r="J25" s="11" t="n">
        <x:v>0.033000188572506195</x:v>
      </x:c>
      <x:c r="K25" s="14" t="n">
        <x:v>4532821</x:v>
      </x:c>
      <x:c r="L25" s="14" t="n">
        <x:v>248534863.15</x:v>
      </x:c>
      <x:c r="M25" s="11" t="n">
        <x:v>0.018269</x:v>
      </x:c>
    </x:row>
    <x:row r="26" ht="21" customHeight="1">
      <x:c r="A26" s="1" t="n">
        <x:v>3</x:v>
      </x:c>
      <x:c r="B26" s="1" t="n">
        <x:v>1</x:v>
      </x:c>
      <x:c r="C26" s="10" t="str">
        <x:f>"000596"</x:f>
        <x:v>000596</x:v>
      </x:c>
      <x:c r="D26" s="1" t="str">
        <x:v>古井贡酒</x:v>
      </x:c>
      <x:c r="E26" s="12" t="n">
        <x:v>96.76</x:v>
      </x:c>
      <x:c r="F26" s="12" t="n">
        <x:v>97.06</x:v>
      </x:c>
      <x:c r="G26" s="12" t="n">
        <x:v>101.89</x:v>
      </x:c>
      <x:c r="H26" s="12" t="n">
        <x:v>96.3</x:v>
      </x:c>
      <x:c r="I26" s="12" t="n">
        <x:v>101.17</x:v>
      </x:c>
      <x:c r="J26" s="11" t="n">
        <x:v>0.04557668458040509</x:v>
      </x:c>
      <x:c r="K26" s="14" t="n">
        <x:v>6935207</x:v>
      </x:c>
      <x:c r="L26" s="14" t="n">
        <x:v>697613769.5</x:v>
      </x:c>
      <x:c r="M26" s="11" t="n">
        <x:v>0.016973000000000002</x:v>
      </x:c>
    </x:row>
    <x:row r="27" ht="21" customHeight="1">
      <x:c r="A27" s="1" t="n">
        <x:v>3</x:v>
      </x:c>
      <x:c r="B27" s="1" t="n">
        <x:v>2</x:v>
      </x:c>
      <x:c r="C27" s="10" t="str">
        <x:f>"688617"</x:f>
        <x:v>688617</x:v>
      </x:c>
      <x:c r="D27" s="1" t="str">
        <x:v>惠泰医疗</x:v>
      </x:c>
      <x:c r="E27" s="12" t="n">
        <x:v>244.04</x:v>
      </x:c>
      <x:c r="F27" s="12" t="n">
        <x:v>244.04</x:v>
      </x:c>
      <x:c r="G27" s="12" t="n">
        <x:v>253.78</x:v>
      </x:c>
      <x:c r="H27" s="12" t="n">
        <x:v>244.01</x:v>
      </x:c>
      <x:c r="I27" s="12" t="n">
        <x:v>251.41</x:v>
      </x:c>
      <x:c r="J27" s="11" t="n">
        <x:v>0.03019996721848872</x:v>
      </x:c>
      <x:c r="K27" s="14" t="n">
        <x:v>1498171</x:v>
      </x:c>
      <x:c r="L27" s="14" t="n">
        <x:v>374296762</x:v>
      </x:c>
      <x:c r="M27" s="11" t="n">
        <x:v>0.010586</x:v>
      </x:c>
    </x:row>
    <x:row r="28" ht="21" customHeight="1">
      <x:c r="A28" s="1" t="n">
        <x:v>3</x:v>
      </x:c>
      <x:c r="B28" s="1" t="n">
        <x:v>3</x:v>
      </x:c>
      <x:c r="C28" s="10" t="str">
        <x:f>"600809"</x:f>
        <x:v>600809</x:v>
      </x:c>
      <x:c r="D28" s="1" t="str">
        <x:v>山西汾酒</x:v>
      </x:c>
      <x:c r="E28" s="12" t="n">
        <x:v>116.96</x:v>
      </x:c>
      <x:c r="F28" s="12" t="n">
        <x:v>116.86</x:v>
      </x:c>
      <x:c r="G28" s="12" t="n">
        <x:v>124.98</x:v>
      </x:c>
      <x:c r="H28" s="12" t="n">
        <x:v>116.86</x:v>
      </x:c>
      <x:c r="I28" s="12" t="n">
        <x:v>122.56</x:v>
      </x:c>
      <x:c r="J28" s="11" t="n">
        <x:v>0.04787961696306442</x:v>
      </x:c>
      <x:c r="K28" s="14" t="n">
        <x:v>13675983</x:v>
      </x:c>
      <x:c r="L28" s="14" t="n">
        <x:v>1677772346</x:v>
      </x:c>
      <x:c r="M28" s="11" t="n">
        <x:v>0.01121</x:v>
      </x:c>
    </x:row>
    <x:row r="29" ht="21" customHeight="1">
      <x:c r="A29" s="1" t="n">
        <x:v>3</x:v>
      </x:c>
      <x:c r="B29" s="1" t="n">
        <x:v>4</x:v>
      </x:c>
      <x:c r="C29" s="10" t="str">
        <x:f>"603816"</x:f>
        <x:v>603816</x:v>
      </x:c>
      <x:c r="D29" s="1" t="str">
        <x:v>顾家家居</x:v>
      </x:c>
      <x:c r="E29" s="12" t="n">
        <x:v>22.8</x:v>
      </x:c>
      <x:c r="F29" s="12" t="n">
        <x:v>22.83</x:v>
      </x:c>
      <x:c r="G29" s="12" t="n">
        <x:v>23.96</x:v>
      </x:c>
      <x:c r="H29" s="12" t="n">
        <x:v>22.8</x:v>
      </x:c>
      <x:c r="I29" s="12" t="n">
        <x:v>23.74</x:v>
      </x:c>
      <x:c r="J29" s="11" t="n">
        <x:v>0.04122807017543839</x:v>
      </x:c>
      <x:c r="K29" s="14" t="n">
        <x:v>8321458</x:v>
      </x:c>
      <x:c r="L29" s="14" t="n">
        <x:v>196964645</x:v>
      </x:c>
      <x:c r="M29" s="11" t="n">
        <x:v>0.010199</x:v>
      </x:c>
    </x:row>
    <x:row r="30" ht="21" customHeight="1">
      <x:c r="A30" s="1" t="n">
        <x:v>3</x:v>
      </x:c>
      <x:c r="B30" s="1" t="n">
        <x:v>5</x:v>
      </x:c>
      <x:c r="C30" s="10" t="str">
        <x:f>"600153"</x:f>
        <x:v>600153</x:v>
      </x:c>
      <x:c r="D30" s="1" t="str">
        <x:v>建发股份</x:v>
      </x:c>
      <x:c r="E30" s="12" t="n">
        <x:v>8.21</x:v>
      </x:c>
      <x:c r="F30" s="12" t="n">
        <x:v>8.2</x:v>
      </x:c>
      <x:c r="G30" s="12" t="n">
        <x:v>8.51</x:v>
      </x:c>
      <x:c r="H30" s="12" t="n">
        <x:v>8.18</x:v>
      </x:c>
      <x:c r="I30" s="12" t="n">
        <x:v>8.47</x:v>
      </x:c>
      <x:c r="J30" s="11" t="n">
        <x:v>0.03166869671132755</x:v>
      </x:c>
      <x:c r="K30" s="14" t="n">
        <x:v>41743164</x:v>
      </x:c>
      <x:c r="L30" s="14" t="n">
        <x:v>351583819</x:v>
      </x:c>
      <x:c r="M30" s="11" t="n">
        <x:v>0.014395999999999999</x:v>
      </x:c>
    </x:row>
    <x:row r="31" ht="21" customHeight="1">
      <x:c r="A31" s="1" t="n">
        <x:v>3</x:v>
      </x:c>
      <x:c r="B31" s="1" t="n">
        <x:v>6</x:v>
      </x:c>
      <x:c r="C31" s="10" t="str">
        <x:f>"000568"</x:f>
        <x:v>000568</x:v>
      </x:c>
      <x:c r="D31" s="1" t="str">
        <x:v>泸州老窖</x:v>
      </x:c>
      <x:c r="E31" s="12" t="n">
        <x:v>76</x:v>
      </x:c>
      <x:c r="F31" s="12" t="n">
        <x:v>76.02</x:v>
      </x:c>
      <x:c r="G31" s="12" t="n">
        <x:v>81.31</x:v>
      </x:c>
      <x:c r="H31" s="12" t="n">
        <x:v>76.02</x:v>
      </x:c>
      <x:c r="I31" s="12" t="n">
        <x:v>79.92</x:v>
      </x:c>
      <x:c r="J31" s="11" t="n">
        <x:v>0.05157894736842117</x:v>
      </x:c>
      <x:c r="K31" s="14" t="n">
        <x:v>18425525</x:v>
      </x:c>
      <x:c r="L31" s="14" t="n">
        <x:v>1465579314.91</x:v>
      </x:c>
      <x:c r="M31" s="11" t="n">
        <x:v>0.012525</x:v>
      </x:c>
    </x:row>
    <x:row r="32" ht="21" customHeight="1">
      <x:c r="A32" s="1" t="n">
        <x:v>3</x:v>
      </x:c>
      <x:c r="B32" s="1" t="n">
        <x:v>7</x:v>
      </x:c>
      <x:c r="C32" s="10" t="str">
        <x:f>"603838"</x:f>
        <x:v>603838</x:v>
      </x:c>
      <x:c r="D32" s="1" t="str">
        <x:v>四通股份</x:v>
      </x:c>
      <x:c r="E32" s="12" t="n">
        <x:v>11.36</x:v>
      </x:c>
      <x:c r="F32" s="12" t="n">
        <x:v>11.57</x:v>
      </x:c>
      <x:c r="G32" s="12" t="n">
        <x:v>11.91</x:v>
      </x:c>
      <x:c r="H32" s="12" t="n">
        <x:v>11.21</x:v>
      </x:c>
      <x:c r="I32" s="12" t="n">
        <x:v>11.83</x:v>
      </x:c>
      <x:c r="J32" s="11" t="n">
        <x:v>0.041373239436619746</x:v>
      </x:c>
      <x:c r="K32" s="14" t="n">
        <x:v>3026118</x:v>
      </x:c>
      <x:c r="L32" s="14" t="n">
        <x:v>35453840</x:v>
      </x:c>
      <x:c r="M32" s="11" t="n">
        <x:v>0.009455999999999999</x:v>
      </x:c>
    </x:row>
    <x:row r="33" ht="21" customHeight="1">
      <x:c r="A33" s="1" t="n">
        <x:v>3</x:v>
      </x:c>
      <x:c r="B33" s="1" t="n">
        <x:v>8</x:v>
      </x:c>
      <x:c r="C33" s="10" t="str">
        <x:f>"001328"</x:f>
        <x:v>001328</x:v>
      </x:c>
      <x:c r="D33" s="1" t="str">
        <x:v>登康口腔</x:v>
      </x:c>
      <x:c r="E33" s="12" t="n">
        <x:v>29.37</x:v>
      </x:c>
      <x:c r="F33" s="12" t="n">
        <x:v>29.57</x:v>
      </x:c>
      <x:c r="G33" s="12" t="n">
        <x:v>30.5</x:v>
      </x:c>
      <x:c r="H33" s="12" t="n">
        <x:v>29.29</x:v>
      </x:c>
      <x:c r="I33" s="12" t="n">
        <x:v>30.31</x:v>
      </x:c>
      <x:c r="J33" s="11" t="n">
        <x:v>0.03200544773578473</x:v>
      </x:c>
      <x:c r="K33" s="14" t="n">
        <x:v>2178457</x:v>
      </x:c>
      <x:c r="L33" s="14" t="n">
        <x:v>65733483.38</x:v>
      </x:c>
      <x:c r="M33" s="11" t="n">
        <x:v>0.013471</x:v>
      </x:c>
    </x:row>
    <x:row r="34" ht="21" customHeight="1">
      <x:c r="A34" s="1" t="n">
        <x:v>3</x:v>
      </x:c>
      <x:c r="B34" s="1" t="n">
        <x:v>9</x:v>
      </x:c>
      <x:c r="C34" s="10" t="str">
        <x:f>"603057"</x:f>
        <x:v>603057</x:v>
      </x:c>
      <x:c r="D34" s="1" t="str">
        <x:v>紫燕食品</x:v>
      </x:c>
      <x:c r="E34" s="12" t="n">
        <x:v>19.78</x:v>
      </x:c>
      <x:c r="F34" s="12" t="n">
        <x:v>19.76</x:v>
      </x:c>
      <x:c r="G34" s="12" t="n">
        <x:v>20.82</x:v>
      </x:c>
      <x:c r="H34" s="12" t="n">
        <x:v>19.76</x:v>
      </x:c>
      <x:c r="I34" s="12" t="n">
        <x:v>20.69</x:v>
      </x:c>
      <x:c r="J34" s="11" t="n">
        <x:v>0.046006066734074924</x:v>
      </x:c>
      <x:c r="K34" s="14" t="n">
        <x:v>2894800</x:v>
      </x:c>
      <x:c r="L34" s="14" t="n">
        <x:v>59268401</x:v>
      </x:c>
      <x:c r="M34" s="11" t="n">
        <x:v>0.007026</x:v>
      </x:c>
    </x:row>
    <x:row r="35" ht="21" customHeight="1">
      <x:c r="A35" s="1" t="n">
        <x:v>3</x:v>
      </x:c>
      <x:c r="B35" s="1" t="n">
        <x:v>10</x:v>
      </x:c>
      <x:c r="C35" s="10" t="str">
        <x:f>"000039"</x:f>
        <x:v>000039</x:v>
      </x:c>
      <x:c r="D35" s="1" t="str">
        <x:v>中集集团</x:v>
      </x:c>
      <x:c r="E35" s="12" t="n">
        <x:v>8.86</x:v>
      </x:c>
      <x:c r="F35" s="12" t="n">
        <x:v>8.88</x:v>
      </x:c>
      <x:c r="G35" s="12" t="n">
        <x:v>9.41</x:v>
      </x:c>
      <x:c r="H35" s="12" t="n">
        <x:v>8.88</x:v>
      </x:c>
      <x:c r="I35" s="12" t="n">
        <x:v>9.39</x:v>
      </x:c>
      <x:c r="J35" s="11" t="n">
        <x:v>0.0598194130925509</x:v>
      </x:c>
      <x:c r="K35" s="14" t="n">
        <x:v>56793505</x:v>
      </x:c>
      <x:c r="L35" s="14" t="n">
        <x:v>525063328.82</x:v>
      </x:c>
      <x:c r="M35" s="11" t="n">
        <x:v>0.024678</x:v>
      </x:c>
    </x:row>
    <x:row r="36" ht="21" customHeight="1">
      <x:c r="A36" s="1" t="n">
        <x:v>4</x:v>
      </x:c>
      <x:c r="B36" s="1" t="n">
        <x:v>1</x:v>
      </x:c>
      <x:c r="C36" s="10" t="str">
        <x:f>"601138"</x:f>
        <x:v>601138</x:v>
      </x:c>
      <x:c r="D36" s="1" t="str">
        <x:v>工业富联</x:v>
      </x:c>
      <x:c r="E36" s="12" t="n">
        <x:v>63.69</x:v>
      </x:c>
      <x:c r="F36" s="12" t="n">
        <x:v>64.6</x:v>
      </x:c>
      <x:c r="G36" s="12" t="n">
        <x:v>66.88</x:v>
      </x:c>
      <x:c r="H36" s="12" t="n">
        <x:v>64.6</x:v>
      </x:c>
      <x:c r="I36" s="12" t="n">
        <x:v>66.57</x:v>
      </x:c>
      <x:c r="J36" s="11" t="n">
        <x:v>0.04521902967498814</x:v>
      </x:c>
      <x:c r="K36" s="14" t="n">
        <x:v>174347550</x:v>
      </x:c>
      <x:c r="L36" s="14" t="n">
        <x:v>11506069535</x:v>
      </x:c>
      <x:c r="M36" s="11" t="n">
        <x:v>0.008786</x:v>
      </x:c>
    </x:row>
    <x:row r="37" ht="21" customHeight="1">
      <x:c r="A37" s="1" t="n">
        <x:v>4</x:v>
      </x:c>
      <x:c r="B37" s="1" t="n">
        <x:v>2</x:v>
      </x:c>
      <x:c r="C37" s="10" t="str">
        <x:f>"002371"</x:f>
        <x:v>002371</x:v>
      </x:c>
      <x:c r="D37" s="1" t="str">
        <x:v>北方华创</x:v>
      </x:c>
      <x:c r="E37" s="12" t="n">
        <x:v>638.17</x:v>
      </x:c>
      <x:c r="F37" s="12" t="n">
        <x:v>652.21</x:v>
      </x:c>
      <x:c r="G37" s="12" t="n">
        <x:v>667.86</x:v>
      </x:c>
      <x:c r="H37" s="12" t="n">
        <x:v>652.02</x:v>
      </x:c>
      <x:c r="I37" s="12" t="n">
        <x:v>660.65</x:v>
      </x:c>
      <x:c r="J37" s="11" t="n">
        <x:v>0.035225723553285126</x:v>
      </x:c>
      <x:c r="K37" s="14" t="n">
        <x:v>8058141</x:v>
      </x:c>
      <x:c r="L37" s="14" t="n">
        <x:v>5314211739.99</x:v>
      </x:c>
      <x:c r="M37" s="11" t="n">
        <x:v>0.011113</x:v>
      </x:c>
    </x:row>
    <x:row r="38" ht="21" customHeight="1">
      <x:c r="A38" s="1" t="n">
        <x:v>4</x:v>
      </x:c>
      <x:c r="B38" s="1" t="n">
        <x:v>3</x:v>
      </x:c>
      <x:c r="C38" s="10" t="str">
        <x:f>"603986"</x:f>
        <x:v>603986</x:v>
      </x:c>
      <x:c r="D38" s="1" t="str">
        <x:v>兆易创新</x:v>
      </x:c>
      <x:c r="E38" s="12" t="n">
        <x:v>371.88</x:v>
      </x:c>
      <x:c r="F38" s="12" t="n">
        <x:v>382.81</x:v>
      </x:c>
      <x:c r="G38" s="12" t="n">
        <x:v>386.26</x:v>
      </x:c>
      <x:c r="H38" s="12" t="n">
        <x:v>380.3</x:v>
      </x:c>
      <x:c r="I38" s="12" t="n">
        <x:v>385.44</x:v>
      </x:c>
      <x:c r="J38" s="11" t="n">
        <x:v>0.03646337528234911</x:v>
      </x:c>
      <x:c r="K38" s="14" t="n">
        <x:v>34965554</x:v>
      </x:c>
      <x:c r="L38" s="14" t="n">
        <x:v>13412085197</x:v>
      </x:c>
      <x:c r="M38" s="11" t="n">
        <x:v>0.052132</x:v>
      </x:c>
    </x:row>
    <x:row r="39" ht="21" customHeight="1">
      <x:c r="A39" s="1" t="n">
        <x:v>4</x:v>
      </x:c>
      <x:c r="B39" s="1" t="n">
        <x:v>4</x:v>
      </x:c>
      <x:c r="C39" s="10" t="str">
        <x:f>"688008"</x:f>
        <x:v>688008</x:v>
      </x:c>
      <x:c r="D39" s="1" t="str">
        <x:v>澜起科技</x:v>
      </x:c>
      <x:c r="E39" s="12" t="n">
        <x:v>187.7</x:v>
      </x:c>
      <x:c r="F39" s="12" t="n">
        <x:v>194.88</x:v>
      </x:c>
      <x:c r="G39" s="12" t="n">
        <x:v>198.6</x:v>
      </x:c>
      <x:c r="H39" s="12" t="n">
        <x:v>192.71</x:v>
      </x:c>
      <x:c r="I39" s="12" t="n">
        <x:v>197.82</x:v>
      </x:c>
      <x:c r="J39" s="11" t="n">
        <x:v>0.05391582312200316</x:v>
      </x:c>
      <x:c r="K39" s="14" t="n">
        <x:v>38159931</x:v>
      </x:c>
      <x:c r="L39" s="14" t="n">
        <x:v>7472378902</x:v>
      </x:c>
      <x:c r="M39" s="11" t="n">
        <x:v>0.033334</x:v>
      </x:c>
    </x:row>
    <x:row r="40" ht="21" customHeight="1">
      <x:c r="A40" s="1" t="n">
        <x:v>4</x:v>
      </x:c>
      <x:c r="B40" s="1" t="n">
        <x:v>5</x:v>
      </x:c>
      <x:c r="C40" s="10" t="str">
        <x:f>"002384"</x:f>
        <x:v>002384</x:v>
      </x:c>
      <x:c r="D40" s="1" t="str">
        <x:v>东山精密</x:v>
      </x:c>
      <x:c r="E40" s="12" t="n">
        <x:v>178.67</x:v>
      </x:c>
      <x:c r="F40" s="12" t="n">
        <x:v>185.01</x:v>
      </x:c>
      <x:c r="G40" s="12" t="n">
        <x:v>191.22</x:v>
      </x:c>
      <x:c r="H40" s="12" t="n">
        <x:v>182.13</x:v>
      </x:c>
      <x:c r="I40" s="12" t="n">
        <x:v>190.55</x:v>
      </x:c>
      <x:c r="J40" s="11" t="n">
        <x:v>0.06649129680416421</x:v>
      </x:c>
      <x:c r="K40" s="14" t="n">
        <x:v>73179215</x:v>
      </x:c>
      <x:c r="L40" s="14" t="n">
        <x:v>13688993797.13</x:v>
      </x:c>
      <x:c r="M40" s="11" t="n">
        <x:v>0.052787</x:v>
      </x:c>
    </x:row>
    <x:row r="41" ht="21" customHeight="1">
      <x:c r="A41" s="1" t="n">
        <x:v>4</x:v>
      </x:c>
      <x:c r="B41" s="1" t="n">
        <x:v>6</x:v>
      </x:c>
      <x:c r="C41" s="10" t="str">
        <x:f>"688072"</x:f>
        <x:v>688072</x:v>
      </x:c>
      <x:c r="D41" s="1" t="str">
        <x:v>拓荆科技</x:v>
      </x:c>
      <x:c r="E41" s="12" t="n">
        <x:v>621.93</x:v>
      </x:c>
      <x:c r="F41" s="12" t="n">
        <x:v>638</x:v>
      </x:c>
      <x:c r="G41" s="12" t="n">
        <x:v>658.88</x:v>
      </x:c>
      <x:c r="H41" s="12" t="n">
        <x:v>623</x:v>
      </x:c>
      <x:c r="I41" s="12" t="n">
        <x:v>651.92</x:v>
      </x:c>
      <x:c r="J41" s="11" t="n">
        <x:v>0.04822086086858657</x:v>
      </x:c>
      <x:c r="K41" s="14" t="n">
        <x:v>4136865</x:v>
      </x:c>
      <x:c r="L41" s="14" t="n">
        <x:v>2668032230</x:v>
      </x:c>
      <x:c r="M41" s="11" t="n">
        <x:v>0.014557</x:v>
      </x:c>
    </x:row>
    <x:row r="42" ht="21" customHeight="1">
      <x:c r="A42" s="1" t="n">
        <x:v>4</x:v>
      </x:c>
      <x:c r="B42" s="1" t="n">
        <x:v>7</x:v>
      </x:c>
      <x:c r="C42" s="10" t="str">
        <x:f>"688082"</x:f>
        <x:v>688082</x:v>
      </x:c>
      <x:c r="D42" s="1" t="str">
        <x:v>盛美上海</x:v>
      </x:c>
      <x:c r="E42" s="12" t="n">
        <x:v>270.2</x:v>
      </x:c>
      <x:c r="F42" s="12" t="n">
        <x:v>275</x:v>
      </x:c>
      <x:c r="G42" s="12" t="n">
        <x:v>282.08</x:v>
      </x:c>
      <x:c r="H42" s="12" t="n">
        <x:v>272.98</x:v>
      </x:c>
      <x:c r="I42" s="12" t="n">
        <x:v>281.4</x:v>
      </x:c>
      <x:c r="J42" s="11" t="n">
        <x:v>0.041450777202072464</x:v>
      </x:c>
      <x:c r="K42" s="14" t="n">
        <x:v>3424220</x:v>
      </x:c>
      <x:c r="L42" s="14" t="n">
        <x:v>954063661</x:v>
      </x:c>
      <x:c r="M42" s="11" t="n">
        <x:v>0.00714</x:v>
      </x:c>
    </x:row>
    <x:row r="43" ht="21" customHeight="1">
      <x:c r="A43" s="1" t="n">
        <x:v>4</x:v>
      </x:c>
      <x:c r="B43" s="1" t="n">
        <x:v>8</x:v>
      </x:c>
      <x:c r="C43" s="10" t="str">
        <x:f>"601869"</x:f>
        <x:v>601869</x:v>
      </x:c>
      <x:c r="D43" s="1" t="str">
        <x:v>长飞光纤</x:v>
      </x:c>
      <x:c r="E43" s="12" t="n">
        <x:v>378.8</x:v>
      </x:c>
      <x:c r="F43" s="12" t="n">
        <x:v>390</x:v>
      </x:c>
      <x:c r="G43" s="12" t="n">
        <x:v>404</x:v>
      </x:c>
      <x:c r="H43" s="12" t="n">
        <x:v>383.38</x:v>
      </x:c>
      <x:c r="I43" s="12" t="n">
        <x:v>400.51</x:v>
      </x:c>
      <x:c r="J43" s="11" t="n">
        <x:v>0.05731256599788792</x:v>
      </x:c>
      <x:c r="K43" s="14" t="n">
        <x:v>12472456</x:v>
      </x:c>
      <x:c r="L43" s="14" t="n">
        <x:v>4912282839</x:v>
      </x:c>
      <x:c r="M43" s="11" t="n">
        <x:v>0.030695</x:v>
      </x:c>
    </x:row>
    <x:row r="44" ht="21" customHeight="1">
      <x:c r="A44" s="1" t="n">
        <x:v>4</x:v>
      </x:c>
      <x:c r="B44" s="1" t="n">
        <x:v>9</x:v>
      </x:c>
      <x:c r="C44" s="10" t="str">
        <x:f>"600176"</x:f>
        <x:v>600176</x:v>
      </x:c>
      <x:c r="D44" s="1" t="str">
        <x:v>中国巨石</x:v>
      </x:c>
      <x:c r="E44" s="12" t="n">
        <x:v>40.18</x:v>
      </x:c>
      <x:c r="F44" s="12" t="n">
        <x:v>40.45</x:v>
      </x:c>
      <x:c r="G44" s="12" t="n">
        <x:v>42.05</x:v>
      </x:c>
      <x:c r="H44" s="12" t="n">
        <x:v>40.3</x:v>
      </x:c>
      <x:c r="I44" s="12" t="n">
        <x:v>41.7</x:v>
      </x:c>
      <x:c r="J44" s="11" t="n">
        <x:v>0.03782976605276267</x:v>
      </x:c>
      <x:c r="K44" s="14" t="n">
        <x:v>174289309</x:v>
      </x:c>
      <x:c r="L44" s="14" t="n">
        <x:v>7199937674</x:v>
      </x:c>
      <x:c r="M44" s="11" t="n">
        <x:v>0.043884</x:v>
      </x:c>
    </x:row>
    <x:row r="45" ht="21" customHeight="1">
      <x:c r="A45" s="1" t="n">
        <x:v>4</x:v>
      </x:c>
      <x:c r="B45" s="1" t="n">
        <x:v>10</x:v>
      </x:c>
      <x:c r="C45" s="10" t="str">
        <x:f>"600673"</x:f>
        <x:v>600673</x:v>
      </x:c>
      <x:c r="D45" s="1" t="str">
        <x:v>东阳光</x:v>
      </x:c>
      <x:c r="E45" s="12" t="n">
        <x:v>30.53</x:v>
      </x:c>
      <x:c r="F45" s="12" t="n">
        <x:v>30.53</x:v>
      </x:c>
      <x:c r="G45" s="12" t="n">
        <x:v>31.8</x:v>
      </x:c>
      <x:c r="H45" s="12" t="n">
        <x:v>30.5</x:v>
      </x:c>
      <x:c r="I45" s="12" t="n">
        <x:v>31.66</x:v>
      </x:c>
      <x:c r="J45" s="11" t="n">
        <x:v>0.03701277432034056</x:v>
      </x:c>
      <x:c r="K45" s="14" t="n">
        <x:v>22392226</x:v>
      </x:c>
      <x:c r="L45" s="14" t="n">
        <x:v>704162841</x:v>
      </x:c>
      <x:c r="M45" s="11" t="n">
        <x:v>0.00746</x:v>
      </x:c>
    </x:row>
    <x:row r="46" ht="21" customHeight="1">
      <x:c r="A46" s="1" t="n">
        <x:v>5</x:v>
      </x:c>
      <x:c r="B46" s="1" t="n">
        <x:v>1</x:v>
      </x:c>
      <x:c r="C46" s="10" t="str">
        <x:f>"601899"</x:f>
        <x:v>601899</x:v>
      </x:c>
      <x:c r="D46" s="1" t="str">
        <x:v>紫金矿业</x:v>
      </x:c>
      <x:c r="E46" s="12" t="n">
        <x:v>32.87</x:v>
      </x:c>
      <x:c r="F46" s="12" t="n">
        <x:v>33.44</x:v>
      </x:c>
      <x:c r="G46" s="12" t="n">
        <x:v>34.14</x:v>
      </x:c>
      <x:c r="H46" s="12" t="n">
        <x:v>33.24</x:v>
      </x:c>
      <x:c r="I46" s="12" t="n">
        <x:v>33.86</x:v>
      </x:c>
      <x:c r="J46" s="11" t="n">
        <x:v>0.030118649224216698</x:v>
      </x:c>
      <x:c r="K46" s="14" t="n">
        <x:v>250241523</x:v>
      </x:c>
      <x:c r="L46" s="14" t="n">
        <x:v>8459984919</x:v>
      </x:c>
      <x:c r="M46" s="11" t="n">
        <x:v>0.012146999999999998</x:v>
      </x:c>
    </x:row>
    <x:row r="47" ht="21" customHeight="1">
      <x:c r="A47" s="1" t="n">
        <x:v>5</x:v>
      </x:c>
      <x:c r="B47" s="1" t="n">
        <x:v>2</x:v>
      </x:c>
      <x:c r="C47" s="10" t="str">
        <x:f>"600028"</x:f>
        <x:v>600028</x:v>
      </x:c>
      <x:c r="D47" s="1" t="str">
        <x:v>中国石化</x:v>
      </x:c>
      <x:c r="E47" s="12" t="n">
        <x:v>5.37</x:v>
      </x:c>
      <x:c r="F47" s="12" t="n">
        <x:v>5.37</x:v>
      </x:c>
      <x:c r="G47" s="12" t="n">
        <x:v>5.6</x:v>
      </x:c>
      <x:c r="H47" s="12" t="n">
        <x:v>5.35</x:v>
      </x:c>
      <x:c r="I47" s="12" t="n">
        <x:v>5.59</x:v>
      </x:c>
      <x:c r="J47" s="11" t="n">
        <x:v>0.040968342644320144</x:v>
      </x:c>
      <x:c r="K47" s="14" t="n">
        <x:v>317260448</x:v>
      </x:c>
      <x:c r="L47" s="14" t="n">
        <x:v>1747650267</x:v>
      </x:c>
      <x:c r="M47" s="11" t="n">
        <x:v>0.003348</x:v>
      </x:c>
    </x:row>
    <x:row r="48" ht="21" customHeight="1">
      <x:c r="A48" s="1" t="n">
        <x:v>5</x:v>
      </x:c>
      <x:c r="B48" s="1" t="n">
        <x:v>3</x:v>
      </x:c>
      <x:c r="C48" s="10" t="str">
        <x:f>"603993"</x:f>
        <x:v>603993</x:v>
      </x:c>
      <x:c r="D48" s="1" t="str">
        <x:v>洛阳钼业</x:v>
      </x:c>
      <x:c r="E48" s="12" t="n">
        <x:v>18.37</x:v>
      </x:c>
      <x:c r="F48" s="12" t="n">
        <x:v>18.8</x:v>
      </x:c>
      <x:c r="G48" s="12" t="n">
        <x:v>19.1</x:v>
      </x:c>
      <x:c r="H48" s="12" t="n">
        <x:v>18.76</x:v>
      </x:c>
      <x:c r="I48" s="12" t="n">
        <x:v>18.94</x:v>
      </x:c>
      <x:c r="J48" s="11" t="n">
        <x:v>0.03102885138813294</x:v>
      </x:c>
      <x:c r="K48" s="14" t="n">
        <x:v>244839514</x:v>
      </x:c>
      <x:c r="L48" s="14" t="n">
        <x:v>4638398390</x:v>
      </x:c>
      <x:c r="M48" s="11" t="n">
        <x:v>0.014022</x:v>
      </x:c>
    </x:row>
    <x:row r="49" ht="21" customHeight="1">
      <x:c r="A49" s="1" t="n">
        <x:v>5</x:v>
      </x:c>
      <x:c r="B49" s="1" t="n">
        <x:v>4</x:v>
      </x:c>
      <x:c r="C49" s="10" t="str">
        <x:f>"600346"</x:f>
        <x:v>600346</x:v>
      </x:c>
      <x:c r="D49" s="1" t="str">
        <x:v>恒力石化</x:v>
      </x:c>
      <x:c r="E49" s="12" t="n">
        <x:v>18.23</x:v>
      </x:c>
      <x:c r="F49" s="12" t="n">
        <x:v>18.24</x:v>
      </x:c>
      <x:c r="G49" s="12" t="n">
        <x:v>18.86</x:v>
      </x:c>
      <x:c r="H49" s="12" t="n">
        <x:v>18.12</x:v>
      </x:c>
      <x:c r="I49" s="12" t="n">
        <x:v>18.79</x:v>
      </x:c>
      <x:c r="J49" s="11" t="n">
        <x:v>0.030718595721338282</x:v>
      </x:c>
      <x:c r="K49" s="14" t="n">
        <x:v>27966660</x:v>
      </x:c>
      <x:c r="L49" s="14" t="n">
        <x:v>519962984</x:v>
      </x:c>
      <x:c r="M49" s="11" t="n">
        <x:v>0.003973</x:v>
      </x:c>
    </x:row>
    <x:row r="50" ht="21" customHeight="1">
      <x:c r="A50" s="1" t="n">
        <x:v>5</x:v>
      </x:c>
      <x:c r="B50" s="1" t="n">
        <x:v>5</x:v>
      </x:c>
      <x:c r="C50" s="10" t="str">
        <x:f>"002916"</x:f>
        <x:v>002916</x:v>
      </x:c>
      <x:c r="D50" s="1" t="str">
        <x:v>深南电路</x:v>
      </x:c>
      <x:c r="E50" s="12" t="n">
        <x:v>364.98</x:v>
      </x:c>
      <x:c r="F50" s="12" t="n">
        <x:v>375.37</x:v>
      </x:c>
      <x:c r="G50" s="12" t="n">
        <x:v>393.77</x:v>
      </x:c>
      <x:c r="H50" s="12" t="n">
        <x:v>370.01</x:v>
      </x:c>
      <x:c r="I50" s="12" t="n">
        <x:v>382.5</x:v>
      </x:c>
      <x:c r="J50" s="11" t="n">
        <x:v>0.04800263028111118</x:v>
      </x:c>
      <x:c r="K50" s="14" t="n">
        <x:v>13299626</x:v>
      </x:c>
      <x:c r="L50" s="14" t="n">
        <x:v>5110614699.85</x:v>
      </x:c>
      <x:c r="M50" s="11" t="n">
        <x:v>0.020005000000000002</x:v>
      </x:c>
    </x:row>
    <x:row r="51" ht="21" customHeight="1">
      <x:c r="A51" s="1" t="n">
        <x:v>5</x:v>
      </x:c>
      <x:c r="B51" s="1" t="n">
        <x:v>6</x:v>
      </x:c>
      <x:c r="C51" s="10" t="str">
        <x:f>"600188"</x:f>
        <x:v>600188</x:v>
      </x:c>
      <x:c r="D51" s="1" t="str">
        <x:v>兖矿能源</x:v>
      </x:c>
      <x:c r="E51" s="12" t="n">
        <x:v>20.78</x:v>
      </x:c>
      <x:c r="F51" s="12" t="n">
        <x:v>20.8</x:v>
      </x:c>
      <x:c r="G51" s="12" t="n">
        <x:v>21.55</x:v>
      </x:c>
      <x:c r="H51" s="12" t="n">
        <x:v>20.62</x:v>
      </x:c>
      <x:c r="I51" s="12" t="n">
        <x:v>21.5</x:v>
      </x:c>
      <x:c r="J51" s="11" t="n">
        <x:v>0.03464870067372461</x:v>
      </x:c>
      <x:c r="K51" s="14" t="n">
        <x:v>57561793</x:v>
      </x:c>
      <x:c r="L51" s="14" t="n">
        <x:v>1222104720</x:v>
      </x:c>
      <x:c r="M51" s="11" t="n">
        <x:v>0.009656</x:v>
      </x:c>
    </x:row>
    <x:row r="52" ht="21" customHeight="1">
      <x:c r="A52" s="1" t="n">
        <x:v>5</x:v>
      </x:c>
      <x:c r="B52" s="1" t="n">
        <x:v>7</x:v>
      </x:c>
      <x:c r="C52" s="10" t="str">
        <x:f>"600989"</x:f>
        <x:v>600989</x:v>
      </x:c>
      <x:c r="D52" s="1" t="str">
        <x:v>宝丰能源</x:v>
      </x:c>
      <x:c r="E52" s="12" t="n">
        <x:v>23.41</x:v>
      </x:c>
      <x:c r="F52" s="12" t="n">
        <x:v>23.52</x:v>
      </x:c>
      <x:c r="G52" s="12" t="n">
        <x:v>24.5</x:v>
      </x:c>
      <x:c r="H52" s="12" t="n">
        <x:v>23.38</x:v>
      </x:c>
      <x:c r="I52" s="12" t="n">
        <x:v>24.39</x:v>
      </x:c>
      <x:c r="J52" s="11" t="n">
        <x:v>0.04186245194361393</x:v>
      </x:c>
      <x:c r="K52" s="14" t="n">
        <x:v>69188676</x:v>
      </x:c>
      <x:c r="L52" s="14" t="n">
        <x:v>1655876957</x:v>
      </x:c>
      <x:c r="M52" s="11" t="n">
        <x:v>0.009435</x:v>
      </x:c>
    </x:row>
    <x:row r="53" ht="21" customHeight="1">
      <x:c r="A53" s="1" t="n">
        <x:v>5</x:v>
      </x:c>
      <x:c r="B53" s="1" t="n">
        <x:v>8</x:v>
      </x:c>
      <x:c r="C53" s="10" t="str">
        <x:f>"600938"</x:f>
        <x:v>600938</x:v>
      </x:c>
      <x:c r="D53" s="1" t="str">
        <x:v>中国海油</x:v>
      </x:c>
      <x:c r="E53" s="12" t="n">
        <x:v>33.12</x:v>
      </x:c>
      <x:c r="F53" s="12" t="n">
        <x:v>33.02</x:v>
      </x:c>
      <x:c r="G53" s="12" t="n">
        <x:v>34.4</x:v>
      </x:c>
      <x:c r="H53" s="12" t="n">
        <x:v>33.02</x:v>
      </x:c>
      <x:c r="I53" s="12" t="n">
        <x:v>34.39</x:v>
      </x:c>
      <x:c r="J53" s="11" t="n">
        <x:v>0.03834541062801944</x:v>
      </x:c>
      <x:c r="K53" s="14" t="n">
        <x:v>48704389</x:v>
      </x:c>
      <x:c r="L53" s="14" t="n">
        <x:v>1645628430</x:v>
      </x:c>
      <x:c r="M53" s="11" t="n">
        <x:v>0.016289</x:v>
      </x:c>
    </x:row>
    <x:row r="54" ht="21" customHeight="1">
      <x:c r="A54" s="1" t="n">
        <x:v>5</x:v>
      </x:c>
      <x:c r="B54" s="1" t="n">
        <x:v>9</x:v>
      </x:c>
      <x:c r="C54" s="10" t="str">
        <x:f>"000408"</x:f>
        <x:v>000408</x:v>
      </x:c>
      <x:c r="D54" s="1" t="str">
        <x:v>藏格矿业</x:v>
      </x:c>
      <x:c r="E54" s="12" t="n">
        <x:v>74.03</x:v>
      </x:c>
      <x:c r="F54" s="12" t="n">
        <x:v>75.93</x:v>
      </x:c>
      <x:c r="G54" s="12" t="n">
        <x:v>77.2</x:v>
      </x:c>
      <x:c r="H54" s="12" t="n">
        <x:v>75.29</x:v>
      </x:c>
      <x:c r="I54" s="12" t="n">
        <x:v>76.29</x:v>
      </x:c>
      <x:c r="J54" s="11" t="n">
        <x:v>0.030528164257733525</x:v>
      </x:c>
      <x:c r="K54" s="14" t="n">
        <x:v>13262886</x:v>
      </x:c>
      <x:c r="L54" s="14" t="n">
        <x:v>1011208512.96</x:v>
      </x:c>
      <x:c r="M54" s="11" t="n">
        <x:v>0.008454</x:v>
      </x:c>
    </x:row>
    <x:row r="55" ht="21" customHeight="1">
      <x:c r="A55" s="1" t="n">
        <x:v>5</x:v>
      </x:c>
      <x:c r="B55" s="1" t="n">
        <x:v>10</x:v>
      </x:c>
      <x:c r="C55" s="10" t="str">
        <x:f>"002493"</x:f>
        <x:v>002493</x:v>
      </x:c>
      <x:c r="D55" s="1" t="str">
        <x:v>荣盛石化</x:v>
      </x:c>
      <x:c r="E55" s="12" t="n">
        <x:v>13.99</x:v>
      </x:c>
      <x:c r="F55" s="12" t="n">
        <x:v>14.07</x:v>
      </x:c>
      <x:c r="G55" s="12" t="n">
        <x:v>14.52</x:v>
      </x:c>
      <x:c r="H55" s="12" t="n">
        <x:v>13.91</x:v>
      </x:c>
      <x:c r="I55" s="12" t="n">
        <x:v>14.49</x:v>
      </x:c>
      <x:c r="J55" s="11" t="n">
        <x:v>0.03573981415296634</x:v>
      </x:c>
      <x:c r="K55" s="14" t="n">
        <x:v>49475903</x:v>
      </x:c>
      <x:c r="L55" s="14" t="n">
        <x:v>706897167.03</x:v>
      </x:c>
      <x:c r="M55" s="11" t="n">
        <x:v>0.005285</x:v>
      </x:c>
    </x:row>
    <x:row r="56" ht="21" customHeight="1">
      <x:c r="A56" s="1" t="n">
        <x:v>6</x:v>
      </x:c>
      <x:c r="B56" s="1" t="n">
        <x:v>1</x:v>
      </x:c>
      <x:c r="C56" s="10" t="str">
        <x:f>"601225"</x:f>
        <x:v>601225</x:v>
      </x:c>
      <x:c r="D56" s="1" t="str">
        <x:v>陕西煤业</x:v>
      </x:c>
      <x:c r="E56" s="12" t="n">
        <x:v>25.71</x:v>
      </x:c>
      <x:c r="F56" s="12" t="n">
        <x:v>25.68</x:v>
      </x:c>
      <x:c r="G56" s="12" t="n">
        <x:v>26.6</x:v>
      </x:c>
      <x:c r="H56" s="12" t="n">
        <x:v>25.54</x:v>
      </x:c>
      <x:c r="I56" s="12" t="n">
        <x:v>26.54</x:v>
      </x:c>
      <x:c r="J56" s="11" t="n">
        <x:v>0.03228315830416184</x:v>
      </x:c>
      <x:c r="K56" s="14" t="n">
        <x:v>42867974</x:v>
      </x:c>
      <x:c r="L56" s="14" t="n">
        <x:v>1124440403</x:v>
      </x:c>
      <x:c r="M56" s="11" t="n">
        <x:v>0.004422</x:v>
      </x:c>
    </x:row>
    <x:row r="57" ht="21" customHeight="1">
      <x:c r="A57" s="1" t="n">
        <x:v>6</x:v>
      </x:c>
      <x:c r="B57" s="1" t="n">
        <x:v>2</x:v>
      </x:c>
      <x:c r="C57" s="10" t="str">
        <x:f>"002384"</x:f>
        <x:v>002384</x:v>
      </x:c>
      <x:c r="D57" s="1" t="str">
        <x:v>东山精密</x:v>
      </x:c>
      <x:c r="E57" s="12" t="n">
        <x:v>186.42</x:v>
      </x:c>
      <x:c r="F57" s="12" t="n">
        <x:v>193.99</x:v>
      </x:c>
      <x:c r="G57" s="12" t="n">
        <x:v>198.88</x:v>
      </x:c>
      <x:c r="H57" s="12" t="n">
        <x:v>188.7</x:v>
      </x:c>
      <x:c r="I57" s="12" t="n">
        <x:v>196.06</x:v>
      </x:c>
      <x:c r="J57" s="11" t="n">
        <x:v>0.051711189786503686</x:v>
      </x:c>
      <x:c r="K57" s="14" t="n">
        <x:v>83403209</x:v>
      </x:c>
      <x:c r="L57" s="14" t="n">
        <x:v>16160062787.41</x:v>
      </x:c>
      <x:c r="M57" s="11" t="n">
        <x:v>0.06016200000000001</x:v>
      </x:c>
    </x:row>
    <x:row r="58" ht="21" customHeight="1">
      <x:c r="A58" s="1" t="n">
        <x:v>6</x:v>
      </x:c>
      <x:c r="B58" s="1" t="n">
        <x:v>3</x:v>
      </x:c>
      <x:c r="C58" s="10" t="str">
        <x:f>"002493"</x:f>
        <x:v>002493</x:v>
      </x:c>
      <x:c r="D58" s="1" t="str">
        <x:v>荣盛石化</x:v>
      </x:c>
      <x:c r="E58" s="12" t="n">
        <x:v>14.49</x:v>
      </x:c>
      <x:c r="F58" s="12" t="n">
        <x:v>14.35</x:v>
      </x:c>
      <x:c r="G58" s="12" t="n">
        <x:v>15.17</x:v>
      </x:c>
      <x:c r="H58" s="12" t="n">
        <x:v>14.18</x:v>
      </x:c>
      <x:c r="I58" s="12" t="n">
        <x:v>15.14</x:v>
      </x:c>
      <x:c r="J58" s="11" t="n">
        <x:v>0.04485852311939276</x:v>
      </x:c>
      <x:c r="K58" s="14" t="n">
        <x:v>59116093</x:v>
      </x:c>
      <x:c r="L58" s="14" t="n">
        <x:v>876395161.99</x:v>
      </x:c>
      <x:c r="M58" s="11" t="n">
        <x:v>0.006313999999999999</x:v>
      </x:c>
    </x:row>
    <x:row r="59" ht="21" customHeight="1">
      <x:c r="A59" s="1" t="n">
        <x:v>6</x:v>
      </x:c>
      <x:c r="B59" s="1" t="n">
        <x:v>4</x:v>
      </x:c>
      <x:c r="C59" s="10" t="str">
        <x:f>"601600"</x:f>
        <x:v>601600</x:v>
      </x:c>
      <x:c r="D59" s="1" t="str">
        <x:v>中国铝业</x:v>
      </x:c>
      <x:c r="E59" s="12" t="n">
        <x:v>9.74</x:v>
      </x:c>
      <x:c r="F59" s="12" t="n">
        <x:v>9.78</x:v>
      </x:c>
      <x:c r="G59" s="12" t="n">
        <x:v>10.05</x:v>
      </x:c>
      <x:c r="H59" s="12" t="n">
        <x:v>9.73</x:v>
      </x:c>
      <x:c r="I59" s="12" t="n">
        <x:v>10.03</x:v>
      </x:c>
      <x:c r="J59" s="11" t="n">
        <x:v>0.02977412731006157</x:v>
      </x:c>
      <x:c r="K59" s="14" t="n">
        <x:v>252535484</x:v>
      </x:c>
      <x:c r="L59" s="14" t="n">
        <x:v>2506284194</x:v>
      </x:c>
      <x:c r="M59" s="11" t="n">
        <x:v>0.019127</x:v>
      </x:c>
    </x:row>
    <x:row r="60" ht="21" customHeight="1">
      <x:c r="A60" s="1" t="n">
        <x:v>6</x:v>
      </x:c>
      <x:c r="B60" s="1" t="n">
        <x:v>5</x:v>
      </x:c>
      <x:c r="C60" s="10" t="str">
        <x:f>"600176"</x:f>
        <x:v>600176</x:v>
      </x:c>
      <x:c r="D60" s="1" t="str">
        <x:v>中国巨石</x:v>
      </x:c>
      <x:c r="E60" s="12" t="n">
        <x:v>41.39</x:v>
      </x:c>
      <x:c r="F60" s="12" t="n">
        <x:v>42.4</x:v>
      </x:c>
      <x:c r="G60" s="12" t="n">
        <x:v>43.45</x:v>
      </x:c>
      <x:c r="H60" s="12" t="n">
        <x:v>41.73</x:v>
      </x:c>
      <x:c r="I60" s="12" t="n">
        <x:v>42.67</x:v>
      </x:c>
      <x:c r="J60" s="11" t="n">
        <x:v>0.03092534428605953</x:v>
      </x:c>
      <x:c r="K60" s="14" t="n">
        <x:v>197200532</x:v>
      </x:c>
      <x:c r="L60" s="14" t="n">
        <x:v>8408234978</x:v>
      </x:c>
      <x:c r="M60" s="11" t="n">
        <x:v>0.049653</x:v>
      </x:c>
    </x:row>
    <x:row r="61" ht="21" customHeight="1">
      <x:c r="A61" s="1" t="n">
        <x:v>6</x:v>
      </x:c>
      <x:c r="B61" s="1" t="n">
        <x:v>6</x:v>
      </x:c>
      <x:c r="C61" s="10" t="str">
        <x:f>"000338"</x:f>
        <x:v>000338</x:v>
      </x:c>
      <x:c r="D61" s="1" t="str">
        <x:v>潍柴动力</x:v>
      </x:c>
      <x:c r="E61" s="12" t="n">
        <x:v>26.61</x:v>
      </x:c>
      <x:c r="F61" s="12" t="n">
        <x:v>27</x:v>
      </x:c>
      <x:c r="G61" s="12" t="n">
        <x:v>28.12</x:v>
      </x:c>
      <x:c r="H61" s="12" t="n">
        <x:v>27</x:v>
      </x:c>
      <x:c r="I61" s="12" t="n">
        <x:v>27.85</x:v>
      </x:c>
      <x:c r="J61" s="11" t="n">
        <x:v>0.046599022923712985</x:v>
      </x:c>
      <x:c r="K61" s="14" t="n">
        <x:v>111249466</x:v>
      </x:c>
      <x:c r="L61" s="14" t="n">
        <x:v>3085515060.95</x:v>
      </x:c>
      <x:c r="M61" s="11" t="n">
        <x:v>0.022446</x:v>
      </x:c>
    </x:row>
    <x:row r="62" ht="21" customHeight="1">
      <x:c r="A62" s="1" t="n">
        <x:v>6</x:v>
      </x:c>
      <x:c r="B62" s="1" t="n">
        <x:v>7</x:v>
      </x:c>
      <x:c r="C62" s="10" t="str">
        <x:f>"600985"</x:f>
        <x:v>600985</x:v>
      </x:c>
      <x:c r="D62" s="1" t="str">
        <x:v>淮北矿业</x:v>
      </x:c>
      <x:c r="E62" s="12" t="n">
        <x:v>16.79</x:v>
      </x:c>
      <x:c r="F62" s="12" t="n">
        <x:v>16.75</x:v>
      </x:c>
      <x:c r="G62" s="12" t="n">
        <x:v>17.49</x:v>
      </x:c>
      <x:c r="H62" s="12" t="n">
        <x:v>16.7</x:v>
      </x:c>
      <x:c r="I62" s="12" t="n">
        <x:v>17.26</x:v>
      </x:c>
      <x:c r="J62" s="11" t="n">
        <x:v>0.02799285288862441</x:v>
      </x:c>
      <x:c r="K62" s="14" t="n">
        <x:v>24950658</x:v>
      </x:c>
      <x:c r="L62" s="14" t="n">
        <x:v>428876516</x:v>
      </x:c>
      <x:c r="M62" s="11" t="n">
        <x:v>0.009264</x:v>
      </x:c>
    </x:row>
    <x:row r="63" ht="21" customHeight="1">
      <x:c r="A63" s="1" t="n">
        <x:v>6</x:v>
      </x:c>
      <x:c r="B63" s="1" t="n">
        <x:v>8</x:v>
      </x:c>
      <x:c r="C63" s="10" t="str">
        <x:f>"688127"</x:f>
        <x:v>688127</x:v>
      </x:c>
      <x:c r="D63" s="1" t="str">
        <x:v>蓝特光学</x:v>
      </x:c>
      <x:c r="E63" s="12" t="n">
        <x:v>66.91</x:v>
      </x:c>
      <x:c r="F63" s="12" t="n">
        <x:v>68.18</x:v>
      </x:c>
      <x:c r="G63" s="12" t="n">
        <x:v>71.37</x:v>
      </x:c>
      <x:c r="H63" s="12" t="n">
        <x:v>67</x:v>
      </x:c>
      <x:c r="I63" s="12" t="n">
        <x:v>71.11</x:v>
      </x:c>
      <x:c r="J63" s="11" t="n">
        <x:v>0.06277088626513239</x:v>
      </x:c>
      <x:c r="K63" s="14" t="n">
        <x:v>12064575</x:v>
      </x:c>
      <x:c r="L63" s="14" t="n">
        <x:v>842307647</x:v>
      </x:c>
      <x:c r="M63" s="11" t="n">
        <x:v>0.029723000000000003</x:v>
      </x:c>
    </x:row>
    <x:row r="64" ht="21" customHeight="1">
      <x:c r="A64" s="1" t="n">
        <x:v>6</x:v>
      </x:c>
      <x:c r="B64" s="1" t="n">
        <x:v>9</x:v>
      </x:c>
      <x:c r="C64" s="10" t="str">
        <x:f>"688536"</x:f>
        <x:v>688536</x:v>
      </x:c>
      <x:c r="D64" s="1" t="str">
        <x:v>思瑞浦</x:v>
      </x:c>
      <x:c r="E64" s="12" t="n">
        <x:v>298.33</x:v>
      </x:c>
      <x:c r="F64" s="12" t="n">
        <x:v>303.39</x:v>
      </x:c>
      <x:c r="G64" s="12" t="n">
        <x:v>316.5</x:v>
      </x:c>
      <x:c r="H64" s="12" t="n">
        <x:v>299.55</x:v>
      </x:c>
      <x:c r="I64" s="12" t="n">
        <x:v>308.72</x:v>
      </x:c>
      <x:c r="J64" s="11" t="n">
        <x:v>0.03482720477323786</x:v>
      </x:c>
      <x:c r="K64" s="14" t="n">
        <x:v>2223738</x:v>
      </x:c>
      <x:c r="L64" s="14" t="n">
        <x:v>689189968</x:v>
      </x:c>
      <x:c r="M64" s="11" t="n">
        <x:v>0.016393</x:v>
      </x:c>
    </x:row>
    <x:row r="65" ht="21" customHeight="1">
      <x:c r="A65" s="1" t="n">
        <x:v>6</x:v>
      </x:c>
      <x:c r="B65" s="1" t="n">
        <x:v>10</x:v>
      </x:c>
      <x:c r="C65" s="10" t="str">
        <x:f>"688622"</x:f>
        <x:v>688622</x:v>
      </x:c>
      <x:c r="D65" s="1" t="str">
        <x:v>禾信仪器</x:v>
      </x:c>
      <x:c r="E65" s="12" t="n">
        <x:v>97.9</x:v>
      </x:c>
      <x:c r="F65" s="12" t="n">
        <x:v>98</x:v>
      </x:c>
      <x:c r="G65" s="12" t="n">
        <x:v>105</x:v>
      </x:c>
      <x:c r="H65" s="12" t="n">
        <x:v>96.33</x:v>
      </x:c>
      <x:c r="I65" s="12" t="n">
        <x:v>102.19</x:v>
      </x:c>
      <x:c r="J65" s="11" t="n">
        <x:v>0.043820224719101075</x:v>
      </x:c>
      <x:c r="K65" s="14" t="n">
        <x:v>567857</x:v>
      </x:c>
      <x:c r="L65" s="14" t="n">
        <x:v>57303401</x:v>
      </x:c>
      <x:c r="M65" s="11" t="n">
        <x:v>0.008059</x:v>
      </x:c>
    </x:row>
    <x:row r="66" ht="21" customHeight="1">
      <x:c r="A66" s="1" t="n">
        <x:v>7</x:v>
      </x:c>
      <x:c r="B66" s="1" t="n">
        <x:v>1</x:v>
      </x:c>
      <x:c r="C66" s="10" t="str">
        <x:f>"600150"</x:f>
        <x:v>600150</x:v>
      </x:c>
      <x:c r="D66" s="1" t="str">
        <x:v>中国船舶</x:v>
      </x:c>
      <x:c r="E66" s="12" t="n">
        <x:v>39.53</x:v>
      </x:c>
      <x:c r="F66" s="12" t="n">
        <x:v>39.25</x:v>
      </x:c>
      <x:c r="G66" s="12" t="n">
        <x:v>41.18</x:v>
      </x:c>
      <x:c r="H66" s="12" t="n">
        <x:v>39.25</x:v>
      </x:c>
      <x:c r="I66" s="12" t="n">
        <x:v>40.82</x:v>
      </x:c>
      <x:c r="J66" s="11" t="n">
        <x:v>0.03263344295471793</x:v>
      </x:c>
      <x:c r="K66" s="14" t="n">
        <x:v>175740221</x:v>
      </x:c>
      <x:c r="L66" s="14" t="n">
        <x:v>7144558405</x:v>
      </x:c>
      <x:c r="M66" s="11" t="n">
        <x:v>0.023351999999999998</x:v>
      </x:c>
    </x:row>
    <x:row r="67" ht="21" customHeight="1">
      <x:c r="A67" s="1" t="n">
        <x:v>7</x:v>
      </x:c>
      <x:c r="B67" s="1" t="n">
        <x:v>2</x:v>
      </x:c>
      <x:c r="C67" s="10" t="str">
        <x:f>"300394"</x:f>
        <x:v>300394</x:v>
      </x:c>
      <x:c r="D67" s="1" t="str">
        <x:v>天孚通信</x:v>
      </x:c>
      <x:c r="E67" s="12" t="n">
        <x:v>258.03</x:v>
      </x:c>
      <x:c r="F67" s="12" t="n">
        <x:v>253.92</x:v>
      </x:c>
      <x:c r="G67" s="12" t="n">
        <x:v>276.99</x:v>
      </x:c>
      <x:c r="H67" s="12" t="n">
        <x:v>253.07</x:v>
      </x:c>
      <x:c r="I67" s="12" t="n">
        <x:v>269</x:v>
      </x:c>
      <x:c r="J67" s="11" t="n">
        <x:v>0.04251443630585605</x:v>
      </x:c>
      <x:c r="K67" s="14" t="n">
        <x:v>50983659</x:v>
      </x:c>
      <x:c r="L67" s="14" t="n">
        <x:v>13799920487.71</x:v>
      </x:c>
      <x:c r="M67" s="11" t="n">
        <x:v>0.046843</x:v>
      </x:c>
    </x:row>
    <x:row r="68" ht="21" customHeight="1">
      <x:c r="A68" s="1" t="n">
        <x:v>7</x:v>
      </x:c>
      <x:c r="B68" s="1" t="n">
        <x:v>3</x:v>
      </x:c>
      <x:c r="C68" s="10" t="str">
        <x:f>"002142"</x:f>
        <x:v>002142</x:v>
      </x:c>
      <x:c r="D68" s="1" t="str">
        <x:v>宁波银行</x:v>
      </x:c>
      <x:c r="E68" s="12" t="n">
        <x:v>34.66</x:v>
      </x:c>
      <x:c r="F68" s="12" t="n">
        <x:v>34.81</x:v>
      </x:c>
      <x:c r="G68" s="12" t="n">
        <x:v>36.03</x:v>
      </x:c>
      <x:c r="H68" s="12" t="n">
        <x:v>34.62</x:v>
      </x:c>
      <x:c r="I68" s="12" t="n">
        <x:v>35.87</x:v>
      </x:c>
      <x:c r="J68" s="11" t="n">
        <x:v>0.034910559723023704</x:v>
      </x:c>
      <x:c r="K68" s="14" t="n">
        <x:v>44975091</x:v>
      </x:c>
      <x:c r="L68" s="14" t="n">
        <x:v>1602459052.49</x:v>
      </x:c>
      <x:c r="M68" s="11" t="n">
        <x:v>0.006815</x:v>
      </x:c>
    </x:row>
    <x:row r="69" ht="21" customHeight="1">
      <x:c r="A69" s="1" t="n">
        <x:v>7</x:v>
      </x:c>
      <x:c r="B69" s="1" t="n">
        <x:v>4</x:v>
      </x:c>
      <x:c r="C69" s="10" t="str">
        <x:f>"601009"</x:f>
        <x:v>601009</x:v>
      </x:c>
      <x:c r="D69" s="1" t="str">
        <x:v>南京银行</x:v>
      </x:c>
      <x:c r="E69" s="12" t="n">
        <x:v>12.02</x:v>
      </x:c>
      <x:c r="F69" s="12" t="n">
        <x:v>12.06</x:v>
      </x:c>
      <x:c r="G69" s="12" t="n">
        <x:v>12.41</x:v>
      </x:c>
      <x:c r="H69" s="12" t="n">
        <x:v>12</x:v>
      </x:c>
      <x:c r="I69" s="12" t="n">
        <x:v>12.4</x:v>
      </x:c>
      <x:c r="J69" s="11" t="n">
        <x:v>0.03161397670549082</x:v>
      </x:c>
      <x:c r="K69" s="14" t="n">
        <x:v>68832834</x:v>
      </x:c>
      <x:c r="L69" s="14" t="n">
        <x:v>847371923</x:v>
      </x:c>
      <x:c r="M69" s="11" t="n">
        <x:v>0.005567</x:v>
      </x:c>
    </x:row>
    <x:row r="70" ht="21" customHeight="1">
      <x:c r="A70" s="1" t="n">
        <x:v>7</x:v>
      </x:c>
      <x:c r="B70" s="1" t="n">
        <x:v>5</x:v>
      </x:c>
      <x:c r="C70" s="10" t="str">
        <x:f>"688025"</x:f>
        <x:v>688025</x:v>
      </x:c>
      <x:c r="D70" s="1" t="str">
        <x:v>杰普特</x:v>
      </x:c>
      <x:c r="E70" s="12" t="n">
        <x:v>395.85</x:v>
      </x:c>
      <x:c r="F70" s="12" t="n">
        <x:v>393.85</x:v>
      </x:c>
      <x:c r="G70" s="12" t="n">
        <x:v>412</x:v>
      </x:c>
      <x:c r="H70" s="12" t="n">
        <x:v>392.17</x:v>
      </x:c>
      <x:c r="I70" s="12" t="n">
        <x:v>407.97</x:v>
      </x:c>
      <x:c r="J70" s="11" t="n">
        <x:v>0.030617658203865084</x:v>
      </x:c>
      <x:c r="K70" s="14" t="n">
        <x:v>2499226</x:v>
      </x:c>
      <x:c r="L70" s="14" t="n">
        <x:v>1011914940</x:v>
      </x:c>
      <x:c r="M70" s="11" t="n">
        <x:v>0.026293999999999998</x:v>
      </x:c>
    </x:row>
    <x:row r="71" ht="21" customHeight="1">
      <x:c r="A71" s="1" t="n">
        <x:v>7</x:v>
      </x:c>
      <x:c r="B71" s="1" t="n">
        <x:v>6</x:v>
      </x:c>
      <x:c r="C71" s="10" t="str">
        <x:f>"600233"</x:f>
        <x:v>600233</x:v>
      </x:c>
      <x:c r="D71" s="1" t="str">
        <x:v>圆通速递</x:v>
      </x:c>
      <x:c r="E71" s="12" t="n">
        <x:v>16.8</x:v>
      </x:c>
      <x:c r="F71" s="12" t="n">
        <x:v>16.79</x:v>
      </x:c>
      <x:c r="G71" s="12" t="n">
        <x:v>17.6</x:v>
      </x:c>
      <x:c r="H71" s="12" t="n">
        <x:v>16.7</x:v>
      </x:c>
      <x:c r="I71" s="12" t="n">
        <x:v>17.59</x:v>
      </x:c>
      <x:c r="J71" s="11" t="n">
        <x:v>0.04702380952380958</x:v>
      </x:c>
      <x:c r="K71" s="14" t="n">
        <x:v>35899446</x:v>
      </x:c>
      <x:c r="L71" s="14" t="n">
        <x:v>620238107</x:v>
      </x:c>
      <x:c r="M71" s="11" t="n">
        <x:v>0.010481</x:v>
      </x:c>
    </x:row>
    <x:row r="72" ht="21" customHeight="1">
      <x:c r="A72" s="1" t="n">
        <x:v>7</x:v>
      </x:c>
      <x:c r="B72" s="1" t="n">
        <x:v>7</x:v>
      </x:c>
      <x:c r="C72" s="10" t="str">
        <x:f>"002789"</x:f>
        <x:v>002789</x:v>
      </x:c>
      <x:c r="D72" s="1" t="str">
        <x:v>建艺集团</x:v>
      </x:c>
      <x:c r="E72" s="12" t="n">
        <x:v>13.28</x:v>
      </x:c>
      <x:c r="F72" s="12" t="n">
        <x:v>13.29</x:v>
      </x:c>
      <x:c r="G72" s="12" t="n">
        <x:v>14.12</x:v>
      </x:c>
      <x:c r="H72" s="12" t="n">
        <x:v>13.24</x:v>
      </x:c>
      <x:c r="I72" s="12" t="n">
        <x:v>13.98</x:v>
      </x:c>
      <x:c r="J72" s="11" t="n">
        <x:v>0.052710843373493965</x:v>
      </x:c>
      <x:c r="K72" s="14" t="n">
        <x:v>3504759</x:v>
      </x:c>
      <x:c r="L72" s="14" t="n">
        <x:v>47994107.73</x:v>
      </x:c>
      <x:c r="M72" s="11" t="n">
        <x:v>0.022397999999999998</x:v>
      </x:c>
    </x:row>
    <x:row r="73" ht="21" customHeight="1">
      <x:c r="A73" s="1" t="n">
        <x:v>7</x:v>
      </x:c>
      <x:c r="B73" s="1" t="n">
        <x:v>8</x:v>
      </x:c>
      <x:c r="C73" s="10" t="str">
        <x:f>"300677"</x:f>
        <x:v>300677</x:v>
      </x:c>
      <x:c r="D73" s="1" t="str">
        <x:v>英科医疗</x:v>
      </x:c>
      <x:c r="E73" s="12" t="n">
        <x:v>53.79</x:v>
      </x:c>
      <x:c r="F73" s="12" t="n">
        <x:v>53.92</x:v>
      </x:c>
      <x:c r="G73" s="12" t="n">
        <x:v>55.79</x:v>
      </x:c>
      <x:c r="H73" s="12" t="n">
        <x:v>53.15</x:v>
      </x:c>
      <x:c r="I73" s="12" t="n">
        <x:v>55.63</x:v>
      </x:c>
      <x:c r="J73" s="11" t="n">
        <x:v>0.03420710169176444</x:v>
      </x:c>
      <x:c r="K73" s="14" t="n">
        <x:v>8337088</x:v>
      </x:c>
      <x:c r="L73" s="14" t="n">
        <x:v>457594119.89</x:v>
      </x:c>
      <x:c r="M73" s="11" t="n">
        <x:v>0.017906</x:v>
      </x:c>
    </x:row>
    <x:row r="74" ht="21" customHeight="1">
      <x:c r="A74" s="1" t="n">
        <x:v>7</x:v>
      </x:c>
      <x:c r="B74" s="1" t="n">
        <x:v>9</x:v>
      </x:c>
      <x:c r="C74" s="10" t="str">
        <x:f>"300212"</x:f>
        <x:v>300212</x:v>
      </x:c>
      <x:c r="D74" s="1" t="str">
        <x:v>易华录</x:v>
      </x:c>
      <x:c r="E74" s="12" t="n">
        <x:v>8.3</x:v>
      </x:c>
      <x:c r="F74" s="12" t="n">
        <x:v>8.26</x:v>
      </x:c>
      <x:c r="G74" s="12" t="n">
        <x:v>8.68</x:v>
      </x:c>
      <x:c r="H74" s="12" t="n">
        <x:v>8.23</x:v>
      </x:c>
      <x:c r="I74" s="12" t="n">
        <x:v>8.58</x:v>
      </x:c>
      <x:c r="J74" s="11" t="n">
        <x:v>0.033734939759036076</x:v>
      </x:c>
      <x:c r="K74" s="14" t="n">
        <x:v>12360357</x:v>
      </x:c>
      <x:c r="L74" s="14" t="n">
        <x:v>104882805.82</x:v>
      </x:c>
      <x:c r="M74" s="11" t="n">
        <x:v>0.017561</x:v>
      </x:c>
    </x:row>
    <x:row r="75" ht="21" customHeight="1">
      <x:c r="A75" s="1" t="n">
        <x:v>7</x:v>
      </x:c>
      <x:c r="B75" s="1" t="n">
        <x:v>10</x:v>
      </x:c>
      <x:c r="C75" s="10" t="str">
        <x:f>"688625"</x:f>
        <x:v>688625</x:v>
      </x:c>
      <x:c r="D75" s="1" t="str">
        <x:v>呈和科技</x:v>
      </x:c>
      <x:c r="E75" s="12" t="n">
        <x:v>56.53</x:v>
      </x:c>
      <x:c r="F75" s="12" t="n">
        <x:v>55.63</x:v>
      </x:c>
      <x:c r="G75" s="12" t="n">
        <x:v>59.09</x:v>
      </x:c>
      <x:c r="H75" s="12" t="n">
        <x:v>55.5</x:v>
      </x:c>
      <x:c r="I75" s="12" t="n">
        <x:v>58.53</x:v>
      </x:c>
      <x:c r="J75" s="11" t="n">
        <x:v>0.035379444542720684</x:v>
      </x:c>
      <x:c r="K75" s="14" t="n">
        <x:v>4681008</x:v>
      </x:c>
      <x:c r="L75" s="14" t="n">
        <x:v>271764531</x:v>
      </x:c>
      <x:c r="M75" s="11" t="n">
        <x:v>0.018027</x:v>
      </x:c>
    </x:row>
    <x:row r="76" ht="21" customHeight="1">
      <x:c r="A76" s="1" t="n">
        <x:v>8</x:v>
      </x:c>
      <x:c r="B76" s="1" t="n">
        <x:v>1</x:v>
      </x:c>
      <x:c r="C76" s="10" t="str">
        <x:f>"300408"</x:f>
        <x:v>300408</x:v>
      </x:c>
      <x:c r="D76" s="1" t="str">
        <x:v>三环集团</x:v>
      </x:c>
      <x:c r="E76" s="12" t="n">
        <x:v>117.7</x:v>
      </x:c>
      <x:c r="F76" s="12" t="n">
        <x:v>117</x:v>
      </x:c>
      <x:c r="G76" s="12" t="n">
        <x:v>127</x:v>
      </x:c>
      <x:c r="H76" s="12" t="n">
        <x:v>115.05</x:v>
      </x:c>
      <x:c r="I76" s="12" t="n">
        <x:v>124.36</x:v>
      </x:c>
      <x:c r="J76" s="11" t="n">
        <x:v>0.056584536958368625</x:v>
      </x:c>
      <x:c r="K76" s="14" t="n">
        <x:v>76563515</x:v>
      </x:c>
      <x:c r="L76" s="14" t="n">
        <x:v>9300522442.45</x:v>
      </x:c>
      <x:c r="M76" s="11" t="n">
        <x:v>0.040947</x:v>
      </x:c>
    </x:row>
    <x:row r="77" ht="21" customHeight="1">
      <x:c r="A77" s="1" t="n">
        <x:v>8</x:v>
      </x:c>
      <x:c r="B77" s="1" t="n">
        <x:v>2</x:v>
      </x:c>
      <x:c r="C77" s="10" t="str">
        <x:f>"601869"</x:f>
        <x:v>601869</x:v>
      </x:c>
      <x:c r="D77" s="1" t="str">
        <x:v>长飞光纤</x:v>
      </x:c>
      <x:c r="E77" s="12" t="n">
        <x:v>435.74</x:v>
      </x:c>
      <x:c r="F77" s="12" t="n">
        <x:v>428</x:v>
      </x:c>
      <x:c r="G77" s="12" t="n">
        <x:v>475.52</x:v>
      </x:c>
      <x:c r="H77" s="12" t="n">
        <x:v>428</x:v>
      </x:c>
      <x:c r="I77" s="12" t="n">
        <x:v>473.99</x:v>
      </x:c>
      <x:c r="J77" s="11" t="n">
        <x:v>0.08778170468628077</x:v>
      </x:c>
      <x:c r="K77" s="14" t="n">
        <x:v>18773550</x:v>
      </x:c>
      <x:c r="L77" s="14" t="n">
        <x:v>8447753026</x:v>
      </x:c>
      <x:c r="M77" s="11" t="n">
        <x:v>0.04620199999999999</x:v>
      </x:c>
    </x:row>
    <x:row r="78" ht="21" customHeight="1">
      <x:c r="A78" s="1" t="n">
        <x:v>8</x:v>
      </x:c>
      <x:c r="B78" s="1" t="n">
        <x:v>3</x:v>
      </x:c>
      <x:c r="C78" s="10" t="str">
        <x:f>"688519"</x:f>
        <x:v>688519</x:v>
      </x:c>
      <x:c r="D78" s="1" t="str">
        <x:v>南亚新材</x:v>
      </x:c>
      <x:c r="E78" s="12" t="n">
        <x:v>309.59</x:v>
      </x:c>
      <x:c r="F78" s="12" t="n">
        <x:v>304.97</x:v>
      </x:c>
      <x:c r="G78" s="12" t="n">
        <x:v>334.97</x:v>
      </x:c>
      <x:c r="H78" s="12" t="n">
        <x:v>295.28</x:v>
      </x:c>
      <x:c r="I78" s="12" t="n">
        <x:v>327.07</x:v>
      </x:c>
      <x:c r="J78" s="11" t="n">
        <x:v>0.056461772021060286</x:v>
      </x:c>
      <x:c r="K78" s="14" t="n">
        <x:v>8424711</x:v>
      </x:c>
      <x:c r="L78" s="14" t="n">
        <x:v>2644248916</x:v>
      </x:c>
      <x:c r="M78" s="11" t="n">
        <x:v>0.035822</x:v>
      </x:c>
    </x:row>
    <x:row r="79" ht="21" customHeight="1">
      <x:c r="A79" s="1" t="n">
        <x:v>8</x:v>
      </x:c>
      <x:c r="B79" s="1" t="n">
        <x:v>4</x:v>
      </x:c>
      <x:c r="C79" s="10" t="str">
        <x:f>"601595"</x:f>
        <x:v>601595</x:v>
      </x:c>
      <x:c r="D79" s="1" t="str">
        <x:v>上海电影</x:v>
      </x:c>
      <x:c r="E79" s="12" t="n">
        <x:v>22.26</x:v>
      </x:c>
      <x:c r="F79" s="12" t="n">
        <x:v>22.13</x:v>
      </x:c>
      <x:c r="G79" s="12" t="n">
        <x:v>23.55</x:v>
      </x:c>
      <x:c r="H79" s="12" t="n">
        <x:v>21.67</x:v>
      </x:c>
      <x:c r="I79" s="12" t="n">
        <x:v>23.53</x:v>
      </x:c>
      <x:c r="J79" s="11" t="n">
        <x:v>0.0570530098831985</x:v>
      </x:c>
      <x:c r="K79" s="14" t="n">
        <x:v>24445249</x:v>
      </x:c>
      <x:c r="L79" s="14" t="n">
        <x:v>552147313</x:v>
      </x:c>
      <x:c r="M79" s="11" t="n">
        <x:v>0.054541000000000006</x:v>
      </x:c>
    </x:row>
    <x:row r="80" ht="21" customHeight="1">
      <x:c r="A80" s="1" t="n">
        <x:v>8</x:v>
      </x:c>
      <x:c r="B80" s="1" t="n">
        <x:v>5</x:v>
      </x:c>
      <x:c r="C80" s="10" t="str">
        <x:f>"300486"</x:f>
        <x:v>300486</x:v>
      </x:c>
      <x:c r="D80" s="1" t="str">
        <x:v>东杰智能</x:v>
      </x:c>
      <x:c r="E80" s="12" t="n">
        <x:v>18.1</x:v>
      </x:c>
      <x:c r="F80" s="12" t="n">
        <x:v>18.01</x:v>
      </x:c>
      <x:c r="G80" s="12" t="n">
        <x:v>19</x:v>
      </x:c>
      <x:c r="H80" s="12" t="n">
        <x:v>17.91</x:v>
      </x:c>
      <x:c r="I80" s="12" t="n">
        <x:v>18.94</x:v>
      </x:c>
      <x:c r="J80" s="11" t="n">
        <x:v>0.04640883977900545</x:v>
      </x:c>
      <x:c r="K80" s="14" t="n">
        <x:v>10339275</x:v>
      </x:c>
      <x:c r="L80" s="14" t="n">
        <x:v>191746426.52</x:v>
      </x:c>
      <x:c r="M80" s="11" t="n">
        <x:v>0.021675</x:v>
      </x:c>
    </x:row>
    <x:row r="81" ht="21" customHeight="1">
      <x:c r="A81" s="1" t="n">
        <x:v>8</x:v>
      </x:c>
      <x:c r="B81" s="1" t="n">
        <x:v>6</x:v>
      </x:c>
      <x:c r="C81" s="10" t="str">
        <x:f>"002694"</x:f>
        <x:v>002694</x:v>
      </x:c>
      <x:c r="D81" s="1" t="str">
        <x:v>顾地科技</x:v>
      </x:c>
      <x:c r="E81" s="12" t="n">
        <x:v>2.45</x:v>
      </x:c>
      <x:c r="F81" s="12" t="n">
        <x:v>2.46</x:v>
      </x:c>
      <x:c r="G81" s="12" t="n">
        <x:v>2.55</x:v>
      </x:c>
      <x:c r="H81" s="12" t="n">
        <x:v>2.41</x:v>
      </x:c>
      <x:c r="I81" s="12" t="n">
        <x:v>2.48</x:v>
      </x:c>
      <x:c r="J81" s="11" t="n">
        <x:v>0.012244897959183598</x:v>
      </x:c>
      <x:c r="K81" s="14" t="n">
        <x:v>5462300</x:v>
      </x:c>
      <x:c r="L81" s="14" t="n">
        <x:v>13497841</x:v>
      </x:c>
      <x:c r="M81" s="11" t="n">
        <x:v>0.007599</x:v>
      </x:c>
    </x:row>
    <x:row r="82" ht="21" customHeight="1">
      <x:c r="A82" s="1" t="n">
        <x:v>9</x:v>
      </x:c>
      <x:c r="B82" s="1" t="n">
        <x:v>1</x:v>
      </x:c>
      <x:c r="C82" s="10" t="str">
        <x:f>"603259"</x:f>
        <x:v>603259</x:v>
      </x:c>
      <x:c r="D82" s="1" t="str">
        <x:v>药明康德</x:v>
      </x:c>
      <x:c r="E82" s="12" t="n">
        <x:v>151.24</x:v>
      </x:c>
      <x:c r="F82" s="12" t="n">
        <x:v>151.23</x:v>
      </x:c>
      <x:c r="G82" s="12" t="n">
        <x:v>158.88</x:v>
      </x:c>
      <x:c r="H82" s="12" t="n">
        <x:v>150</x:v>
      </x:c>
      <x:c r="I82" s="12" t="n">
        <x:v>158.86</x:v>
      </x:c>
      <x:c r="J82" s="11" t="n">
        <x:v>0.050383496429516006</x:v>
      </x:c>
      <x:c r="K82" s="14" t="n">
        <x:v>44025561</x:v>
      </x:c>
      <x:c r="L82" s="14" t="n">
        <x:v>6869429777</x:v>
      </x:c>
      <x:c r="M82" s="11" t="n">
        <x:v>0.0178</x:v>
      </x:c>
    </x:row>
    <x:row r="83" ht="21" customHeight="1">
      <x:c r="A83" s="1" t="n">
        <x:v>9</x:v>
      </x:c>
      <x:c r="B83" s="1" t="n">
        <x:v>2</x:v>
      </x:c>
      <x:c r="C83" s="10" t="str">
        <x:f>"688506"</x:f>
        <x:v>688506</x:v>
      </x:c>
      <x:c r="D83" s="1" t="str">
        <x:v>百利天恒</x:v>
      </x:c>
      <x:c r="E83" s="12" t="n">
        <x:v>238.62</x:v>
      </x:c>
      <x:c r="F83" s="12" t="n">
        <x:v>233.66</x:v>
      </x:c>
      <x:c r="G83" s="12" t="n">
        <x:v>252.7</x:v>
      </x:c>
      <x:c r="H83" s="12" t="n">
        <x:v>231.52</x:v>
      </x:c>
      <x:c r="I83" s="12" t="n">
        <x:v>252</x:v>
      </x:c>
      <x:c r="J83" s="11" t="n">
        <x:v>0.056072416394266966</x:v>
      </x:c>
      <x:c r="K83" s="14" t="n">
        <x:v>2250449</x:v>
      </x:c>
      <x:c r="L83" s="14" t="n">
        <x:v>550019170</x:v>
      </x:c>
      <x:c r="M83" s="11" t="n">
        <x:v>0.005451</x:v>
      </x:c>
    </x:row>
    <x:row r="84" ht="21" customHeight="1">
      <x:c r="A84" s="1" t="n">
        <x:v>9</x:v>
      </x:c>
      <x:c r="B84" s="1" t="n">
        <x:v>3</x:v>
      </x:c>
      <x:c r="C84" s="10" t="str">
        <x:f>"688585"</x:f>
        <x:v>688585</x:v>
      </x:c>
      <x:c r="D84" s="1" t="str">
        <x:v>上纬新材</x:v>
      </x:c>
      <x:c r="E84" s="12" t="n">
        <x:v>140.28</x:v>
      </x:c>
      <x:c r="F84" s="12" t="n">
        <x:v>139</x:v>
      </x:c>
      <x:c r="G84" s="12" t="n">
        <x:v>149.68</x:v>
      </x:c>
      <x:c r="H84" s="12" t="n">
        <x:v>136.71</x:v>
      </x:c>
      <x:c r="I84" s="12" t="n">
        <x:v>145.5</x:v>
      </x:c>
      <x:c r="J84" s="11" t="n">
        <x:v>0.037211291702309746</x:v>
      </x:c>
      <x:c r="K84" s="14" t="n">
        <x:v>2673074</x:v>
      </x:c>
      <x:c r="L84" s="14" t="n">
        <x:v>387818977</x:v>
      </x:c>
      <x:c r="M84" s="11" t="n">
        <x:v>0.006626999999999999</x:v>
      </x:c>
    </x:row>
    <x:row r="85" ht="21" customHeight="1">
      <x:c r="A85" s="1" t="n">
        <x:v>9</x:v>
      </x:c>
      <x:c r="B85" s="1" t="n">
        <x:v>4</x:v>
      </x:c>
      <x:c r="C85" s="10" t="str">
        <x:f>"603129"</x:f>
        <x:v>603129</x:v>
      </x:c>
      <x:c r="D85" s="1" t="str">
        <x:v>春风动力</x:v>
      </x:c>
      <x:c r="E85" s="12" t="n">
        <x:v>289.5</x:v>
      </x:c>
      <x:c r="F85" s="12" t="n">
        <x:v>286.61</x:v>
      </x:c>
      <x:c r="G85" s="12" t="n">
        <x:v>299.88</x:v>
      </x:c>
      <x:c r="H85" s="12" t="n">
        <x:v>286.61</x:v>
      </x:c>
      <x:c r="I85" s="12" t="n">
        <x:v>299.88</x:v>
      </x:c>
      <x:c r="J85" s="11" t="n">
        <x:v>0.03585492227979281</x:v>
      </x:c>
      <x:c r="K85" s="14" t="n">
        <x:v>999629</x:v>
      </x:c>
      <x:c r="L85" s="14" t="n">
        <x:v>294540985</x:v>
      </x:c>
      <x:c r="M85" s="11" t="n">
        <x:v>0.006513</x:v>
      </x:c>
    </x:row>
    <x:row r="86" ht="21" customHeight="1">
      <x:c r="A86" s="1" t="n">
        <x:v>9</x:v>
      </x:c>
      <x:c r="B86" s="1" t="n">
        <x:v>5</x:v>
      </x:c>
      <x:c r="C86" s="10" t="str">
        <x:f>"688235"</x:f>
        <x:v>688235</x:v>
      </x:c>
      <x:c r="D86" s="1" t="str">
        <x:v>百济神州</x:v>
      </x:c>
      <x:c r="E86" s="12" t="n">
        <x:v>247.3</x:v>
      </x:c>
      <x:c r="F86" s="12" t="n">
        <x:v>246</x:v>
      </x:c>
      <x:c r="G86" s="12" t="n">
        <x:v>257.48</x:v>
      </x:c>
      <x:c r="H86" s="12" t="n">
        <x:v>245.54</x:v>
      </x:c>
      <x:c r="I86" s="12" t="n">
        <x:v>256.6</x:v>
      </x:c>
      <x:c r="J86" s="11" t="n">
        <x:v>0.03760614638091386</x:v>
      </x:c>
      <x:c r="K86" s="14" t="n">
        <x:v>3158217</x:v>
      </x:c>
      <x:c r="L86" s="14" t="n">
        <x:v>799251298</x:v>
      </x:c>
      <x:c r="M86" s="11" t="n">
        <x:v>0.027450000000000002</x:v>
      </x:c>
    </x:row>
    <x:row r="87" ht="21" customHeight="1">
      <x:c r="A87" s="1" t="n">
        <x:v>9</x:v>
      </x:c>
      <x:c r="B87" s="1" t="n">
        <x:v>6</x:v>
      </x:c>
      <x:c r="C87" s="10" t="str">
        <x:f>"301015"</x:f>
        <x:v>301015</x:v>
      </x:c>
      <x:c r="D87" s="1" t="str">
        <x:v>百洋医药</x:v>
      </x:c>
      <x:c r="E87" s="12" t="n">
        <x:v>23.39</x:v>
      </x:c>
      <x:c r="F87" s="12" t="n">
        <x:v>23.38</x:v>
      </x:c>
      <x:c r="G87" s="12" t="n">
        <x:v>24.56</x:v>
      </x:c>
      <x:c r="H87" s="12" t="n">
        <x:v>23.18</x:v>
      </x:c>
      <x:c r="I87" s="12" t="n">
        <x:v>24.43</x:v>
      </x:c>
      <x:c r="J87" s="11" t="n">
        <x:v>0.04446344591705853</x:v>
      </x:c>
      <x:c r="K87" s="14" t="n">
        <x:v>5359300</x:v>
      </x:c>
      <x:c r="L87" s="14" t="n">
        <x:v>129115300.46</x:v>
      </x:c>
      <x:c r="M87" s="11" t="n">
        <x:v>0.010197000000000001</x:v>
      </x:c>
    </x:row>
    <x:row r="88" ht="21" customHeight="1">
      <x:c r="A88" s="1" t="n">
        <x:v>9</x:v>
      </x:c>
      <x:c r="B88" s="1" t="n">
        <x:v>7</x:v>
      </x:c>
      <x:c r="C88" s="10" t="str">
        <x:f>"605288"</x:f>
        <x:v>605288</x:v>
      </x:c>
      <x:c r="D88" s="1" t="str">
        <x:v>凯迪股份</x:v>
      </x:c>
      <x:c r="E88" s="12" t="n">
        <x:v>61.17</x:v>
      </x:c>
      <x:c r="F88" s="12" t="n">
        <x:v>61.02</x:v>
      </x:c>
      <x:c r="G88" s="12" t="n">
        <x:v>64.62</x:v>
      </x:c>
      <x:c r="H88" s="12" t="n">
        <x:v>60.01</x:v>
      </x:c>
      <x:c r="I88" s="12" t="n">
        <x:v>63.48</x:v>
      </x:c>
      <x:c r="J88" s="11" t="n">
        <x:v>0.037763609612555094</x:v>
      </x:c>
      <x:c r="K88" s="14" t="n">
        <x:v>1599546</x:v>
      </x:c>
      <x:c r="L88" s="14" t="n">
        <x:v>101154042</x:v>
      </x:c>
      <x:c r="M88" s="11" t="n">
        <x:v>0.016276</x:v>
      </x:c>
    </x:row>
    <x:row r="89" ht="21" customHeight="1">
      <x:c r="A89" s="1" t="n">
        <x:v>9</x:v>
      </x:c>
      <x:c r="B89" s="1" t="n">
        <x:v>8</x:v>
      </x:c>
      <x:c r="C89" s="10" t="str">
        <x:f>"688337"</x:f>
        <x:v>688337</x:v>
      </x:c>
      <x:c r="D89" s="1" t="str">
        <x:v>普源精电</x:v>
      </x:c>
      <x:c r="E89" s="12" t="n">
        <x:v>40.2</x:v>
      </x:c>
      <x:c r="F89" s="12" t="n">
        <x:v>40.27</x:v>
      </x:c>
      <x:c r="G89" s="12" t="n">
        <x:v>41.99</x:v>
      </x:c>
      <x:c r="H89" s="12" t="n">
        <x:v>39.1</x:v>
      </x:c>
      <x:c r="I89" s="12" t="n">
        <x:v>41.5</x:v>
      </x:c>
      <x:c r="J89" s="11" t="n">
        <x:v>0.03233830845771135</x:v>
      </x:c>
      <x:c r="K89" s="14" t="n">
        <x:v>2393236</x:v>
      </x:c>
      <x:c r="L89" s="14" t="n">
        <x:v>98099637</x:v>
      </x:c>
      <x:c r="M89" s="11" t="n">
        <x:v>0.012861000000000001</x:v>
      </x:c>
    </x:row>
    <x:row r="90" ht="21" customHeight="1">
      <x:c r="A90" s="1" t="n">
        <x:v>9</x:v>
      </x:c>
      <x:c r="B90" s="1" t="n">
        <x:v>9</x:v>
      </x:c>
      <x:c r="C90" s="10" t="str">
        <x:f>"605118"</x:f>
        <x:v>605118</x:v>
      </x:c>
      <x:c r="D90" s="1" t="str">
        <x:v>力鼎光电</x:v>
      </x:c>
      <x:c r="E90" s="12" t="n">
        <x:v>32.85</x:v>
      </x:c>
      <x:c r="F90" s="12" t="n">
        <x:v>32.66</x:v>
      </x:c>
      <x:c r="G90" s="12" t="n">
        <x:v>34.96</x:v>
      </x:c>
      <x:c r="H90" s="12" t="n">
        <x:v>31.77</x:v>
      </x:c>
      <x:c r="I90" s="12" t="n">
        <x:v>34.31</x:v>
      </x:c>
      <x:c r="J90" s="11" t="n">
        <x:v>0.04444444444444451</x:v>
      </x:c>
      <x:c r="K90" s="14" t="n">
        <x:v>6318439</x:v>
      </x:c>
      <x:c r="L90" s="14" t="n">
        <x:v>212165068</x:v>
      </x:c>
      <x:c r="M90" s="11" t="n">
        <x:v>0.015453</x:v>
      </x:c>
    </x:row>
    <x:row r="91" ht="21" customHeight="1">
      <x:c r="A91" s="1" t="n">
        <x:v>9</x:v>
      </x:c>
      <x:c r="B91" s="1" t="n">
        <x:v>10</x:v>
      </x:c>
      <x:c r="C91" s="10" t="str">
        <x:f>"603389"</x:f>
        <x:v>603389</x:v>
      </x:c>
      <x:c r="D91" s="1" t="str">
        <x:v>亚振家居</x:v>
      </x:c>
      <x:c r="E91" s="12" t="n">
        <x:v>45.78</x:v>
      </x:c>
      <x:c r="F91" s="12" t="n">
        <x:v>45.79</x:v>
      </x:c>
      <x:c r="G91" s="12" t="n">
        <x:v>47.92</x:v>
      </x:c>
      <x:c r="H91" s="12" t="n">
        <x:v>45.48</x:v>
      </x:c>
      <x:c r="I91" s="12" t="n">
        <x:v>47.15</x:v>
      </x:c>
      <x:c r="J91" s="11" t="n">
        <x:v>0.0299257317605941</x:v>
      </x:c>
      <x:c r="K91" s="14" t="n">
        <x:v>2998040</x:v>
      </x:c>
      <x:c r="L91" s="14" t="n">
        <x:v>141168239</x:v>
      </x:c>
      <x:c r="M91" s="11" t="n">
        <x:v>0.01141</x:v>
      </x:c>
    </x:row>
    <x:row r="92" ht="21" customHeight="1">
      <x:c r="A92" s="1" t="n">
        <x:v>10</x:v>
      </x:c>
      <x:c r="B92" s="1" t="n">
        <x:v>1</x:v>
      </x:c>
      <x:c r="C92" s="10" t="str">
        <x:f>"688256"</x:f>
        <x:v>688256</x:v>
      </x:c>
      <x:c r="D92" s="1" t="str">
        <x:v>寒武纪</x:v>
      </x:c>
      <x:c r="E92" s="12" t="n">
        <x:v>1040</x:v>
      </x:c>
      <x:c r="F92" s="12" t="n">
        <x:v>1045</x:v>
      </x:c>
      <x:c r="G92" s="12" t="n">
        <x:v>1109.99</x:v>
      </x:c>
      <x:c r="H92" s="12" t="n">
        <x:v>1040.02</x:v>
      </x:c>
      <x:c r="I92" s="12" t="n">
        <x:v>1075.79</x:v>
      </x:c>
      <x:c r="J92" s="11" t="n">
        <x:v>0.034413461538461476</x:v>
      </x:c>
      <x:c r="K92" s="14" t="n">
        <x:v>10729852</x:v>
      </x:c>
      <x:c r="L92" s="14" t="n">
        <x:v>11605192827</x:v>
      </x:c>
      <x:c r="M92" s="11" t="n">
        <x:v>0.017063</x:v>
      </x:c>
    </x:row>
    <x:row r="93" ht="21" customHeight="1">
      <x:c r="A93" s="1" t="n">
        <x:v>10</x:v>
      </x:c>
      <x:c r="B93" s="1" t="n">
        <x:v>2</x:v>
      </x:c>
      <x:c r="C93" s="10" t="str">
        <x:f>"300604"</x:f>
        <x:v>300604</x:v>
      </x:c>
      <x:c r="D93" s="1" t="str">
        <x:v>长川科技</x:v>
      </x:c>
      <x:c r="E93" s="12" t="n">
        <x:v>253.57</x:v>
      </x:c>
      <x:c r="F93" s="12" t="n">
        <x:v>252.99</x:v>
      </x:c>
      <x:c r="G93" s="12" t="n">
        <x:v>270.5</x:v>
      </x:c>
      <x:c r="H93" s="12" t="n">
        <x:v>251.1</x:v>
      </x:c>
      <x:c r="I93" s="12" t="n">
        <x:v>267.25</x:v>
      </x:c>
      <x:c r="J93" s="11" t="n">
        <x:v>0.05394959971605484</x:v>
      </x:c>
      <x:c r="K93" s="14" t="n">
        <x:v>16868990</x:v>
      </x:c>
      <x:c r="L93" s="14" t="n">
        <x:v>4455560113.55</x:v>
      </x:c>
      <x:c r="M93" s="11" t="n">
        <x:v>0.034463</x:v>
      </x:c>
    </x:row>
    <x:row r="94" ht="21" customHeight="1">
      <x:c r="A94" s="1" t="n">
        <x:v>10</x:v>
      </x:c>
      <x:c r="B94" s="1" t="n">
        <x:v>3</x:v>
      </x:c>
      <x:c r="C94" s="10" t="str">
        <x:f>"688521"</x:f>
        <x:v>688521</x:v>
      </x:c>
      <x:c r="D94" s="1" t="str">
        <x:v>芯原股份</x:v>
      </x:c>
      <x:c r="E94" s="12" t="n">
        <x:v>179.24</x:v>
      </x:c>
      <x:c r="F94" s="12" t="n">
        <x:v>178.61</x:v>
      </x:c>
      <x:c r="G94" s="12" t="n">
        <x:v>190.96</x:v>
      </x:c>
      <x:c r="H94" s="12" t="n">
        <x:v>178</x:v>
      </x:c>
      <x:c r="I94" s="12" t="n">
        <x:v>185</x:v>
      </x:c>
      <x:c r="J94" s="11" t="n">
        <x:v>0.03213568399910738</x:v>
      </x:c>
      <x:c r="K94" s="14" t="n">
        <x:v>17751776</x:v>
      </x:c>
      <x:c r="L94" s="14" t="n">
        <x:v>3294251136</x:v>
      </x:c>
      <x:c r="M94" s="11" t="n">
        <x:v>0.033754</x:v>
      </x:c>
    </x:row>
    <x:row r="95" ht="21" customHeight="1">
      <x:c r="A95" s="1" t="n">
        <x:v>10</x:v>
      </x:c>
      <x:c r="B95" s="1" t="n">
        <x:v>4</x:v>
      </x:c>
      <x:c r="C95" s="10" t="str">
        <x:f>"002827"</x:f>
        <x:v>002827</x:v>
      </x:c>
      <x:c r="D95" s="1" t="str">
        <x:v>高争民爆</x:v>
      </x:c>
      <x:c r="E95" s="12" t="n">
        <x:v>61.35</x:v>
      </x:c>
      <x:c r="F95" s="12" t="n">
        <x:v>62</x:v>
      </x:c>
      <x:c r="G95" s="12" t="n">
        <x:v>65.38</x:v>
      </x:c>
      <x:c r="H95" s="12" t="n">
        <x:v>61.09</x:v>
      </x:c>
      <x:c r="I95" s="12" t="n">
        <x:v>64.36</x:v>
      </x:c>
      <x:c r="J95" s="11" t="n">
        <x:v>0.04906275468622656</x:v>
      </x:c>
      <x:c r="K95" s="14" t="n">
        <x:v>8672250</x:v>
      </x:c>
      <x:c r="L95" s="14" t="n">
        <x:v>553688565.5</x:v>
      </x:c>
      <x:c r="M95" s="11" t="n">
        <x:v>0.031421000000000004</x:v>
      </x:c>
    </x:row>
    <x:row r="96" ht="21" customHeight="1">
      <x:c r="A96" s="1" t="n">
        <x:v>10</x:v>
      </x:c>
      <x:c r="B96" s="1" t="n">
        <x:v>5</x:v>
      </x:c>
      <x:c r="C96" s="10" t="str">
        <x:f>"301377"</x:f>
        <x:v>301377</x:v>
      </x:c>
      <x:c r="D96" s="1" t="str">
        <x:v>鼎泰高科</x:v>
      </x:c>
      <x:c r="E96" s="12" t="n">
        <x:v>384.99</x:v>
      </x:c>
      <x:c r="F96" s="12" t="n">
        <x:v>388.96</x:v>
      </x:c>
      <x:c r="G96" s="12" t="n">
        <x:v>408.2</x:v>
      </x:c>
      <x:c r="H96" s="12" t="n">
        <x:v>382.69</x:v>
      </x:c>
      <x:c r="I96" s="12" t="n">
        <x:v>402.4</x:v>
      </x:c>
      <x:c r="J96" s="11" t="n">
        <x:v>0.04522195381698224</x:v>
      </x:c>
      <x:c r="K96" s="14" t="n">
        <x:v>2888090</x:v>
      </x:c>
      <x:c r="L96" s="14" t="n">
        <x:v>1153148102.64</x:v>
      </x:c>
      <x:c r="M96" s="11" t="n">
        <x:v>0.029214000000000004</x:v>
      </x:c>
    </x:row>
    <x:row r="97" ht="21" customHeight="1">
      <x:c r="A97" s="1" t="n">
        <x:v>10</x:v>
      </x:c>
      <x:c r="B97" s="1" t="n">
        <x:v>6</x:v>
      </x:c>
      <x:c r="C97" s="10" t="str">
        <x:f>"603256"</x:f>
        <x:v>603256</x:v>
      </x:c>
      <x:c r="D97" s="1" t="str">
        <x:v>宏和科技</x:v>
      </x:c>
      <x:c r="E97" s="12" t="n">
        <x:v>130.67</x:v>
      </x:c>
      <x:c r="F97" s="12" t="n">
        <x:v>131</x:v>
      </x:c>
      <x:c r="G97" s="12" t="n">
        <x:v>143.74</x:v>
      </x:c>
      <x:c r="H97" s="12" t="n">
        <x:v>131</x:v>
      </x:c>
      <x:c r="I97" s="12" t="n">
        <x:v>138.23</x:v>
      </x:c>
      <x:c r="J97" s="11" t="n">
        <x:v>0.057855666947271844</x:v>
      </x:c>
      <x:c r="K97" s="14" t="n">
        <x:v>32801742</x:v>
      </x:c>
      <x:c r="L97" s="14" t="n">
        <x:v>4588322829</x:v>
      </x:c>
      <x:c r="M97" s="11" t="n">
        <x:v>0.036261999999999996</x:v>
      </x:c>
    </x:row>
    <x:row r="98" ht="21" customHeight="1">
      <x:c r="A98" s="1" t="n">
        <x:v>10</x:v>
      </x:c>
      <x:c r="B98" s="1" t="n">
        <x:v>7</x:v>
      </x:c>
      <x:c r="C98" s="10" t="str">
        <x:f>"688141"</x:f>
        <x:v>688141</x:v>
      </x:c>
      <x:c r="D98" s="1" t="str">
        <x:v>杰华特</x:v>
      </x:c>
      <x:c r="E98" s="12" t="n">
        <x:v>105.29</x:v>
      </x:c>
      <x:c r="F98" s="12" t="n">
        <x:v>106</x:v>
      </x:c>
      <x:c r="G98" s="12" t="n">
        <x:v>112.96</x:v>
      </x:c>
      <x:c r="H98" s="12" t="n">
        <x:v>106</x:v>
      </x:c>
      <x:c r="I98" s="12" t="n">
        <x:v>108.89</x:v>
      </x:c>
      <x:c r="J98" s="11" t="n">
        <x:v>0.03419128122328807</x:v>
      </x:c>
      <x:c r="K98" s="14" t="n">
        <x:v>14080856</x:v>
      </x:c>
      <x:c r="L98" s="14" t="n">
        <x:v>1549705018</x:v>
      </x:c>
      <x:c r="M98" s="11" t="n">
        <x:v>0.031268</x:v>
      </x:c>
    </x:row>
    <x:row r="99" ht="21" customHeight="1">
      <x:c r="A99" s="1" t="n">
        <x:v>10</x:v>
      </x:c>
      <x:c r="B99" s="1" t="n">
        <x:v>8</x:v>
      </x:c>
      <x:c r="C99" s="10" t="str">
        <x:f>"603160"</x:f>
        <x:v>603160</x:v>
      </x:c>
      <x:c r="D99" s="1" t="str">
        <x:v>汇顶科技</x:v>
      </x:c>
      <x:c r="E99" s="12" t="n">
        <x:v>50.4</x:v>
      </x:c>
      <x:c r="F99" s="12" t="n">
        <x:v>50.35</x:v>
      </x:c>
      <x:c r="G99" s="12" t="n">
        <x:v>52.47</x:v>
      </x:c>
      <x:c r="H99" s="12" t="n">
        <x:v>50.2</x:v>
      </x:c>
      <x:c r="I99" s="12" t="n">
        <x:v>52.01</x:v>
      </x:c>
      <x:c r="J99" s="11" t="n">
        <x:v>0.03194444444444433</x:v>
      </x:c>
      <x:c r="K99" s="14" t="n">
        <x:v>4678401</x:v>
      </x:c>
      <x:c r="L99" s="14" t="n">
        <x:v>242956999</x:v>
      </x:c>
      <x:c r="M99" s="11" t="n">
        <x:v>0.01004</x:v>
      </x:c>
    </x:row>
    <x:row r="100" ht="21" customHeight="1">
      <x:c r="A100" s="1" t="n">
        <x:v>10</x:v>
      </x:c>
      <x:c r="B100" s="1" t="n">
        <x:v>9</x:v>
      </x:c>
      <x:c r="C100" s="10" t="str">
        <x:f>"301217"</x:f>
        <x:v>301217</x:v>
      </x:c>
      <x:c r="D100" s="1" t="str">
        <x:v>铜冠铜箔</x:v>
      </x:c>
      <x:c r="E100" s="12" t="n">
        <x:v>108.7</x:v>
      </x:c>
      <x:c r="F100" s="12" t="n">
        <x:v>108.72</x:v>
      </x:c>
      <x:c r="G100" s="12" t="n">
        <x:v>116.27</x:v>
      </x:c>
      <x:c r="H100" s="12" t="n">
        <x:v>108.72</x:v>
      </x:c>
      <x:c r="I100" s="12" t="n">
        <x:v>113.61</x:v>
      </x:c>
      <x:c r="J100" s="11" t="n">
        <x:v>0.045170193192272334</x:v>
      </x:c>
      <x:c r="K100" s="14" t="n">
        <x:v>37638135</x:v>
      </x:c>
      <x:c r="L100" s="14" t="n">
        <x:v>4270949728.55</x:v>
      </x:c>
      <x:c r="M100" s="11" t="n">
        <x:v>0.045401</x:v>
      </x:c>
    </x:row>
    <x:row r="101" ht="21" customHeight="1">
      <x:c r="A101" s="1" t="n">
        <x:v>10</x:v>
      </x:c>
      <x:c r="B101" s="1" t="n">
        <x:v>10</x:v>
      </x:c>
      <x:c r="C101" s="10" t="str">
        <x:f>"688270"</x:f>
        <x:v>688270</x:v>
      </x:c>
      <x:c r="D101" s="1" t="str">
        <x:v>臻镭科技</x:v>
      </x:c>
      <x:c r="E101" s="12" t="n">
        <x:v>54.47</x:v>
      </x:c>
      <x:c r="F101" s="12" t="n">
        <x:v>54.8</x:v>
      </x:c>
      <x:c r="G101" s="12" t="n">
        <x:v>57.69</x:v>
      </x:c>
      <x:c r="H101" s="12" t="n">
        <x:v>54.5</x:v>
      </x:c>
      <x:c r="I101" s="12" t="n">
        <x:v>56.7</x:v>
      </x:c>
      <x:c r="J101" s="11" t="n">
        <x:v>0.04093996695428692</x:v>
      </x:c>
      <x:c r="K101" s="14" t="n">
        <x:v>5863460</x:v>
      </x:c>
      <x:c r="L101" s="14" t="n">
        <x:v>328643452</x:v>
      </x:c>
      <x:c r="M101" s="11" t="n">
        <x:v>0.019577</x:v>
      </x:c>
    </x:row>
    <x:row r="102" ht="21" customHeight="1">
      <x:c r="A102" s="1" t="n">
        <x:v>11</x:v>
      </x:c>
      <x:c r="B102" s="1" t="n">
        <x:v>1</x:v>
      </x:c>
      <x:c r="C102" s="10" t="str">
        <x:f>"300308"</x:f>
        <x:v>300308</x:v>
      </x:c>
      <x:c r="D102" s="1" t="str">
        <x:v>中际旭创</x:v>
      </x:c>
      <x:c r="E102" s="12" t="n">
        <x:v>864.01</x:v>
      </x:c>
      <x:c r="F102" s="12" t="n">
        <x:v>869.02</x:v>
      </x:c>
      <x:c r="G102" s="12" t="n">
        <x:v>918.38</x:v>
      </x:c>
      <x:c r="H102" s="12" t="n">
        <x:v>866</x:v>
      </x:c>
      <x:c r="I102" s="12" t="n">
        <x:v>907.8</x:v>
      </x:c>
      <x:c r="J102" s="11" t="n">
        <x:v>0.05068228376986372</x:v>
      </x:c>
      <x:c r="K102" s="14" t="n">
        <x:v>24021846</x:v>
      </x:c>
      <x:c r="L102" s="14" t="n">
        <x:v>21471490117.99</x:v>
      </x:c>
      <x:c r="M102" s="11" t="n">
        <x:v>0.021643</x:v>
      </x:c>
    </x:row>
    <x:row r="103" ht="21" customHeight="1">
      <x:c r="A103" s="1" t="n">
        <x:v>11</x:v>
      </x:c>
      <x:c r="B103" s="1" t="n">
        <x:v>2</x:v>
      </x:c>
      <x:c r="C103" s="10" t="str">
        <x:f>"688041"</x:f>
        <x:v>688041</x:v>
      </x:c>
      <x:c r="D103" s="1" t="str">
        <x:v>海光信息</x:v>
      </x:c>
      <x:c r="E103" s="12" t="n">
        <x:v>224.6</x:v>
      </x:c>
      <x:c r="F103" s="12" t="n">
        <x:v>224.98</x:v>
      </x:c>
      <x:c r="G103" s="12" t="n">
        <x:v>237.51</x:v>
      </x:c>
      <x:c r="H103" s="12" t="n">
        <x:v>224</x:v>
      </x:c>
      <x:c r="I103" s="12" t="n">
        <x:v>235.09</x:v>
      </x:c>
      <x:c r="J103" s="11" t="n">
        <x:v>0.04670525378450585</x:v>
      </x:c>
      <x:c r="K103" s="14" t="n">
        <x:v>19400342</x:v>
      </x:c>
      <x:c r="L103" s="14" t="n">
        <x:v>4503004549</x:v>
      </x:c>
      <x:c r="M103" s="11" t="n">
        <x:v>0.008347</x:v>
      </x:c>
    </x:row>
    <x:row r="104" ht="21" customHeight="1">
      <x:c r="A104" s="1" t="n">
        <x:v>11</x:v>
      </x:c>
      <x:c r="B104" s="1" t="n">
        <x:v>3</x:v>
      </x:c>
      <x:c r="C104" s="10" t="str">
        <x:f>"002371"</x:f>
        <x:v>002371</x:v>
      </x:c>
      <x:c r="D104" s="1" t="str">
        <x:v>北方华创</x:v>
      </x:c>
      <x:c r="E104" s="12" t="n">
        <x:v>638.16</x:v>
      </x:c>
      <x:c r="F104" s="12" t="n">
        <x:v>638.2</x:v>
      </x:c>
      <x:c r="G104" s="12" t="n">
        <x:v>673.33</x:v>
      </x:c>
      <x:c r="H104" s="12" t="n">
        <x:v>635.01</x:v>
      </x:c>
      <x:c r="I104" s="12" t="n">
        <x:v>662.89</x:v>
      </x:c>
      <x:c r="J104" s="11" t="n">
        <x:v>0.03875203710668185</x:v>
      </x:c>
      <x:c r="K104" s="14" t="n">
        <x:v>9836425</x:v>
      </x:c>
      <x:c r="L104" s="14" t="n">
        <x:v>6463950936.49</x:v>
      </x:c>
      <x:c r="M104" s="11" t="n">
        <x:v>0.013566</x:v>
      </x:c>
    </x:row>
    <x:row r="105" ht="21" customHeight="1">
      <x:c r="A105" s="1" t="n">
        <x:v>11</x:v>
      </x:c>
      <x:c r="B105" s="1" t="n">
        <x:v>4</x:v>
      </x:c>
      <x:c r="C105" s="10" t="str">
        <x:f>"300394"</x:f>
        <x:v>300394</x:v>
      </x:c>
      <x:c r="D105" s="1" t="str">
        <x:v>天孚通信</x:v>
      </x:c>
      <x:c r="E105" s="12" t="n">
        <x:v>257.38</x:v>
      </x:c>
      <x:c r="F105" s="12" t="n">
        <x:v>258.61</x:v>
      </x:c>
      <x:c r="G105" s="12" t="n">
        <x:v>273.95</x:v>
      </x:c>
      <x:c r="H105" s="12" t="n">
        <x:v>256.93</x:v>
      </x:c>
      <x:c r="I105" s="12" t="n">
        <x:v>268.99</x:v>
      </x:c>
      <x:c r="J105" s="11" t="n">
        <x:v>0.04510840003108241</x:v>
      </x:c>
      <x:c r="K105" s="14" t="n">
        <x:v>42987747</x:v>
      </x:c>
      <x:c r="L105" s="14" t="n">
        <x:v>11499354968.76</x:v>
      </x:c>
      <x:c r="M105" s="11" t="n">
        <x:v>0.039497</x:v>
      </x:c>
    </x:row>
    <x:row r="106" ht="21" customHeight="1">
      <x:c r="A106" s="1" t="n">
        <x:v>11</x:v>
      </x:c>
      <x:c r="B106" s="1" t="n">
        <x:v>5</x:v>
      </x:c>
      <x:c r="C106" s="10" t="str">
        <x:f>"002384"</x:f>
        <x:v>002384</x:v>
      </x:c>
      <x:c r="D106" s="1" t="str">
        <x:v>东山精密</x:v>
      </x:c>
      <x:c r="E106" s="12" t="n">
        <x:v>182.82</x:v>
      </x:c>
      <x:c r="F106" s="12" t="n">
        <x:v>183.01</x:v>
      </x:c>
      <x:c r="G106" s="12" t="n">
        <x:v>195.26</x:v>
      </x:c>
      <x:c r="H106" s="12" t="n">
        <x:v>182.5</x:v>
      </x:c>
      <x:c r="I106" s="12" t="n">
        <x:v>192</x:v>
      </x:c>
      <x:c r="J106" s="11" t="n">
        <x:v>0.050213324581555696</x:v>
      </x:c>
      <x:c r="K106" s="14" t="n">
        <x:v>61496074</x:v>
      </x:c>
      <x:c r="L106" s="14" t="n">
        <x:v>11639687839.57</x:v>
      </x:c>
      <x:c r="M106" s="11" t="n">
        <x:v>0.044359</x:v>
      </x:c>
    </x:row>
    <x:row r="107" ht="21" customHeight="1">
      <x:c r="A107" s="1" t="n">
        <x:v>11</x:v>
      </x:c>
      <x:c r="B107" s="1" t="n">
        <x:v>6</x:v>
      </x:c>
      <x:c r="C107" s="10" t="str">
        <x:f>"000725"</x:f>
        <x:v>000725</x:v>
      </x:c>
      <x:c r="D107" s="1" t="str">
        <x:v>京东方A</x:v>
      </x:c>
      <x:c r="E107" s="12" t="n">
        <x:v>5.27</x:v>
      </x:c>
      <x:c r="F107" s="12" t="n">
        <x:v>5.28</x:v>
      </x:c>
      <x:c r="G107" s="12" t="n">
        <x:v>5.45</x:v>
      </x:c>
      <x:c r="H107" s="12" t="n">
        <x:v>5.23</x:v>
      </x:c>
      <x:c r="I107" s="12" t="n">
        <x:v>5.45</x:v>
      </x:c>
      <x:c r="J107" s="11" t="n">
        <x:v>0.034155597722960174</x:v>
      </x:c>
      <x:c r="K107" s="14" t="n">
        <x:v>1027247985</x:v>
      </x:c>
      <x:c r="L107" s="14" t="n">
        <x:v>5504682721.95</x:v>
      </x:c>
      <x:c r="M107" s="11" t="n">
        <x:v>0.029045</x:v>
      </x:c>
    </x:row>
    <x:row r="108" ht="21" customHeight="1">
      <x:c r="A108" s="1" t="n">
        <x:v>11</x:v>
      </x:c>
      <x:c r="B108" s="1" t="n">
        <x:v>7</x:v>
      </x:c>
      <x:c r="C108" s="10" t="str">
        <x:f>"600489"</x:f>
        <x:v>600489</x:v>
      </x:c>
      <x:c r="D108" s="1" t="str">
        <x:v>中金黄金</x:v>
      </x:c>
      <x:c r="E108" s="12" t="n">
        <x:v>24.48</x:v>
      </x:c>
      <x:c r="F108" s="12" t="n">
        <x:v>24.5</x:v>
      </x:c>
      <x:c r="G108" s="12" t="n">
        <x:v>25.32</x:v>
      </x:c>
      <x:c r="H108" s="12" t="n">
        <x:v>24.36</x:v>
      </x:c>
      <x:c r="I108" s="12" t="n">
        <x:v>25.22</x:v>
      </x:c>
      <x:c r="J108" s="11" t="n">
        <x:v>0.030228758169934533</x:v>
      </x:c>
      <x:c r="K108" s="14" t="n">
        <x:v>55709328</x:v>
      </x:c>
      <x:c r="L108" s="14" t="n">
        <x:v>1391243857</x:v>
      </x:c>
      <x:c r="M108" s="11" t="n">
        <x:v>0.011493</x:v>
      </x:c>
    </x:row>
    <x:row r="109" ht="21" customHeight="1">
      <x:c r="A109" s="1" t="n">
        <x:v>11</x:v>
      </x:c>
      <x:c r="B109" s="1" t="n">
        <x:v>8</x:v>
      </x:c>
      <x:c r="C109" s="10" t="str">
        <x:f>"688072"</x:f>
        <x:v>688072</x:v>
      </x:c>
      <x:c r="D109" s="1" t="str">
        <x:v>拓荆科技</x:v>
      </x:c>
      <x:c r="E109" s="12" t="n">
        <x:v>649</x:v>
      </x:c>
      <x:c r="F109" s="12" t="n">
        <x:v>653.94</x:v>
      </x:c>
      <x:c r="G109" s="12" t="n">
        <x:v>685.77</x:v>
      </x:c>
      <x:c r="H109" s="12" t="n">
        <x:v>650.03</x:v>
      </x:c>
      <x:c r="I109" s="12" t="n">
        <x:v>679.54</x:v>
      </x:c>
      <x:c r="J109" s="11" t="n">
        <x:v>0.04705701078582436</x:v>
      </x:c>
      <x:c r="K109" s="14" t="n">
        <x:v>7043182</x:v>
      </x:c>
      <x:c r="L109" s="14" t="n">
        <x:v>4730423335</x:v>
      </x:c>
      <x:c r="M109" s="11" t="n">
        <x:v>0.024784</x:v>
      </x:c>
    </x:row>
    <x:row r="110" ht="21" customHeight="1">
      <x:c r="A110" s="1" t="n">
        <x:v>11</x:v>
      </x:c>
      <x:c r="B110" s="1" t="n">
        <x:v>9</x:v>
      </x:c>
      <x:c r="C110" s="10" t="str">
        <x:f>"688120"</x:f>
        <x:v>688120</x:v>
      </x:c>
      <x:c r="D110" s="1" t="str">
        <x:v>华海清科</x:v>
      </x:c>
      <x:c r="E110" s="12" t="n">
        <x:v>255.5</x:v>
      </x:c>
      <x:c r="F110" s="12" t="n">
        <x:v>257</x:v>
      </x:c>
      <x:c r="G110" s="12" t="n">
        <x:v>268</x:v>
      </x:c>
      <x:c r="H110" s="12" t="n">
        <x:v>255.57</x:v>
      </x:c>
      <x:c r="I110" s="12" t="n">
        <x:v>266.47</x:v>
      </x:c>
      <x:c r="J110" s="11" t="n">
        <x:v>0.042935420743640096</x:v>
      </x:c>
      <x:c r="K110" s="14" t="n">
        <x:v>11886621</x:v>
      </x:c>
      <x:c r="L110" s="14" t="n">
        <x:v>3121293782</x:v>
      </x:c>
      <x:c r="M110" s="11" t="n">
        <x:v>0.023950999999999997</x:v>
      </x:c>
    </x:row>
    <x:row r="111" ht="21" customHeight="1">
      <x:c r="A111" s="1" t="n">
        <x:v>11</x:v>
      </x:c>
      <x:c r="B111" s="1" t="n">
        <x:v>10</x:v>
      </x:c>
      <x:c r="C111" s="10" t="str">
        <x:f>"300857"</x:f>
        <x:v>300857</x:v>
      </x:c>
      <x:c r="D111" s="1" t="str">
        <x:v>协创数据</x:v>
      </x:c>
      <x:c r="E111" s="12" t="n">
        <x:v>250.75</x:v>
      </x:c>
      <x:c r="F111" s="12" t="n">
        <x:v>252.5</x:v>
      </x:c>
      <x:c r="G111" s="12" t="n">
        <x:v>261</x:v>
      </x:c>
      <x:c r="H111" s="12" t="n">
        <x:v>248.28</x:v>
      </x:c>
      <x:c r="I111" s="12" t="n">
        <x:v>258.98</x:v>
      </x:c>
      <x:c r="J111" s="11" t="n">
        <x:v>0.0328215353938186</x:v>
      </x:c>
      <x:c r="K111" s="14" t="n">
        <x:v>11924737</x:v>
      </x:c>
      <x:c r="L111" s="14" t="n">
        <x:v>3054942515.41</x:v>
      </x:c>
      <x:c r="M111" s="11" t="n">
        <x:v>0.024592999999999997</x:v>
      </x:c>
    </x:row>
    <x:row r="112" ht="21" customHeight="1">
      <x:c r="A112" s="1" t="n">
        <x:v>12</x:v>
      </x:c>
      <x:c r="B112" s="1" t="n">
        <x:v>1</x:v>
      </x:c>
      <x:c r="C112" s="10" t="str">
        <x:f>"300394"</x:f>
        <x:v>300394</x:v>
      </x:c>
      <x:c r="D112" s="1" t="str">
        <x:v>天孚通信</x:v>
      </x:c>
      <x:c r="E112" s="12" t="n">
        <x:v>268.49</x:v>
      </x:c>
      <x:c r="F112" s="12" t="n">
        <x:v>268.54</x:v>
      </x:c>
      <x:c r="G112" s="12" t="n">
        <x:v>282.6</x:v>
      </x:c>
      <x:c r="H112" s="12" t="n">
        <x:v>268.54</x:v>
      </x:c>
      <x:c r="I112" s="12" t="n">
        <x:v>277.65</x:v>
      </x:c>
      <x:c r="J112" s="11" t="n">
        <x:v>0.03411672687995826</x:v>
      </x:c>
      <x:c r="K112" s="14" t="n">
        <x:v>45635249</x:v>
      </x:c>
      <x:c r="L112" s="14" t="n">
        <x:v>12686236587.43</x:v>
      </x:c>
      <x:c r="M112" s="11" t="n">
        <x:v>0.041929</x:v>
      </x:c>
    </x:row>
    <x:row r="113" ht="21" customHeight="1">
      <x:c r="A113" s="1" t="n">
        <x:v>12</x:v>
      </x:c>
      <x:c r="B113" s="1" t="n">
        <x:v>2</x:v>
      </x:c>
      <x:c r="C113" s="10" t="str">
        <x:f>"300857"</x:f>
        <x:v>300857</x:v>
      </x:c>
      <x:c r="D113" s="1" t="str">
        <x:v>协创数据</x:v>
      </x:c>
      <x:c r="E113" s="12" t="n">
        <x:v>258.98</x:v>
      </x:c>
      <x:c r="F113" s="12" t="n">
        <x:v>263</x:v>
      </x:c>
      <x:c r="G113" s="12" t="n">
        <x:v>275.99</x:v>
      </x:c>
      <x:c r="H113" s="12" t="n">
        <x:v>261.52</x:v>
      </x:c>
      <x:c r="I113" s="12" t="n">
        <x:v>266.98</x:v>
      </x:c>
      <x:c r="J113" s="11" t="n">
        <x:v>0.030890416248358976</x:v>
      </x:c>
      <x:c r="K113" s="14" t="n">
        <x:v>17765362</x:v>
      </x:c>
      <x:c r="L113" s="14" t="n">
        <x:v>4777318922.56</x:v>
      </x:c>
      <x:c r="M113" s="11" t="n">
        <x:v>0.036638000000000004</x:v>
      </x:c>
    </x:row>
    <x:row r="114" ht="21" customHeight="1">
      <x:c r="A114" s="1" t="n">
        <x:v>12</x:v>
      </x:c>
      <x:c r="B114" s="1" t="n">
        <x:v>3</x:v>
      </x:c>
      <x:c r="C114" s="10" t="str">
        <x:f>"688361"</x:f>
        <x:v>688361</x:v>
      </x:c>
      <x:c r="D114" s="1" t="str">
        <x:v>中科飞测</x:v>
      </x:c>
      <x:c r="E114" s="12" t="n">
        <x:v>338</x:v>
      </x:c>
      <x:c r="F114" s="12" t="n">
        <x:v>344.76</x:v>
      </x:c>
      <x:c r="G114" s="12" t="n">
        <x:v>366</x:v>
      </x:c>
      <x:c r="H114" s="12" t="n">
        <x:v>339.9</x:v>
      </x:c>
      <x:c r="I114" s="12" t="n">
        <x:v>358.71</x:v>
      </x:c>
      <x:c r="J114" s="11" t="n">
        <x:v>0.06127218934911238</x:v>
      </x:c>
      <x:c r="K114" s="14" t="n">
        <x:v>13044249</x:v>
      </x:c>
      <x:c r="L114" s="14" t="n">
        <x:v>4622134139</x:v>
      </x:c>
      <x:c r="M114" s="11" t="n">
        <x:v>0.037052</x:v>
      </x:c>
    </x:row>
    <x:row r="115" ht="21" customHeight="1">
      <x:c r="A115" s="1" t="n">
        <x:v>12</x:v>
      </x:c>
      <x:c r="B115" s="1" t="n">
        <x:v>4</x:v>
      </x:c>
      <x:c r="C115" s="10" t="str">
        <x:f>"688521"</x:f>
        <x:v>688521</x:v>
      </x:c>
      <x:c r="D115" s="1" t="str">
        <x:v>芯原股份</x:v>
      </x:c>
      <x:c r="E115" s="12" t="n">
        <x:v>189.82</x:v>
      </x:c>
      <x:c r="F115" s="12" t="n">
        <x:v>191.72</x:v>
      </x:c>
      <x:c r="G115" s="12" t="n">
        <x:v>199.53</x:v>
      </x:c>
      <x:c r="H115" s="12" t="n">
        <x:v>191.72</x:v>
      </x:c>
      <x:c r="I115" s="12" t="n">
        <x:v>196.1</x:v>
      </x:c>
      <x:c r="J115" s="11" t="n">
        <x:v>0.03308397429143395</x:v>
      </x:c>
      <x:c r="K115" s="14" t="n">
        <x:v>21515383</x:v>
      </x:c>
      <x:c r="L115" s="14" t="n">
        <x:v>4209942472</x:v>
      </x:c>
      <x:c r="M115" s="11" t="n">
        <x:v>0.04091</x:v>
      </x:c>
    </x:row>
    <x:row r="116" ht="21" customHeight="1">
      <x:c r="A116" s="1" t="n">
        <x:v>12</x:v>
      </x:c>
      <x:c r="B116" s="1" t="n">
        <x:v>5</x:v>
      </x:c>
      <x:c r="C116" s="10" t="str">
        <x:f>"002827"</x:f>
        <x:v>002827</x:v>
      </x:c>
      <x:c r="D116" s="1" t="str">
        <x:v>高争民爆</x:v>
      </x:c>
      <x:c r="E116" s="12" t="n">
        <x:v>64.34</x:v>
      </x:c>
      <x:c r="F116" s="12" t="n">
        <x:v>64.9</x:v>
      </x:c>
      <x:c r="G116" s="12" t="n">
        <x:v>67.9</x:v>
      </x:c>
      <x:c r="H116" s="12" t="n">
        <x:v>64.9</x:v>
      </x:c>
      <x:c r="I116" s="12" t="n">
        <x:v>67.88</x:v>
      </x:c>
      <x:c r="J116" s="11" t="n">
        <x:v>0.05502020516008699</x:v>
      </x:c>
      <x:c r="K116" s="14" t="n">
        <x:v>8757381</x:v>
      </x:c>
      <x:c r="L116" s="14" t="n">
        <x:v>585597350.54</x:v>
      </x:c>
      <x:c r="M116" s="11" t="n">
        <x:v>0.03173</x:v>
      </x:c>
    </x:row>
    <x:row r="117" ht="21" customHeight="1">
      <x:c r="A117" s="1" t="n">
        <x:v>12</x:v>
      </x:c>
      <x:c r="B117" s="1" t="n">
        <x:v>6</x:v>
      </x:c>
      <x:c r="C117" s="10" t="str">
        <x:f>"300661"</x:f>
        <x:v>300661</x:v>
      </x:c>
      <x:c r="D117" s="1" t="str">
        <x:v>圣邦股份</x:v>
      </x:c>
      <x:c r="E117" s="12" t="n">
        <x:v>111.8</x:v>
      </x:c>
      <x:c r="F117" s="12" t="n">
        <x:v>114.33</x:v>
      </x:c>
      <x:c r="G117" s="12" t="n">
        <x:v>119</x:v>
      </x:c>
      <x:c r="H117" s="12" t="n">
        <x:v>112.95</x:v>
      </x:c>
      <x:c r="I117" s="12" t="n">
        <x:v>116.46</x:v>
      </x:c>
      <x:c r="J117" s="11" t="n">
        <x:v>0.04168157423971364</x:v>
      </x:c>
      <x:c r="K117" s="14" t="n">
        <x:v>14202662</x:v>
      </x:c>
      <x:c r="L117" s="14" t="n">
        <x:v>1660034684.64</x:v>
      </x:c>
      <x:c r="M117" s="11" t="n">
        <x:v>0.023597</x:v>
      </x:c>
    </x:row>
    <x:row r="118" ht="21" customHeight="1">
      <x:c r="A118" s="1" t="n">
        <x:v>12</x:v>
      </x:c>
      <x:c r="B118" s="1" t="n">
        <x:v>7</x:v>
      </x:c>
      <x:c r="C118" s="10" t="str">
        <x:f>"000338"</x:f>
        <x:v>000338</x:v>
      </x:c>
      <x:c r="D118" s="1" t="str">
        <x:v>潍柴动力</x:v>
      </x:c>
      <x:c r="E118" s="12" t="n">
        <x:v>25.52</x:v>
      </x:c>
      <x:c r="F118" s="12" t="n">
        <x:v>26.79</x:v>
      </x:c>
      <x:c r="G118" s="12" t="n">
        <x:v>27.17</x:v>
      </x:c>
      <x:c r="H118" s="12" t="n">
        <x:v>26.37</x:v>
      </x:c>
      <x:c r="I118" s="12" t="n">
        <x:v>26.65</x:v>
      </x:c>
      <x:c r="J118" s="11" t="n">
        <x:v>0.04427899686520376</x:v>
      </x:c>
      <x:c r="K118" s="14" t="n">
        <x:v>131599016</x:v>
      </x:c>
      <x:c r="L118" s="14" t="n">
        <x:v>3524320366.01</x:v>
      </x:c>
      <x:c r="M118" s="11" t="n">
        <x:v>0.026551</x:v>
      </x:c>
    </x:row>
    <x:row r="119" ht="21" customHeight="1">
      <x:c r="A119" s="1" t="n">
        <x:v>12</x:v>
      </x:c>
      <x:c r="B119" s="1" t="n">
        <x:v>8</x:v>
      </x:c>
      <x:c r="C119" s="10" t="str">
        <x:f>"600487"</x:f>
        <x:v>600487</x:v>
      </x:c>
      <x:c r="D119" s="1" t="str">
        <x:v>亨通光电</x:v>
      </x:c>
      <x:c r="E119" s="12" t="n">
        <x:v>65.4</x:v>
      </x:c>
      <x:c r="F119" s="12" t="n">
        <x:v>65.4</x:v>
      </x:c>
      <x:c r="G119" s="12" t="n">
        <x:v>69.7</x:v>
      </x:c>
      <x:c r="H119" s="12" t="n">
        <x:v>65.39</x:v>
      </x:c>
      <x:c r="I119" s="12" t="n">
        <x:v>68.49</x:v>
      </x:c>
      <x:c r="J119" s="11" t="n">
        <x:v>0.047247706422018254</x:v>
      </x:c>
      <x:c r="K119" s="14" t="n">
        <x:v>233828077</x:v>
      </x:c>
      <x:c r="L119" s="14" t="n">
        <x:v>15891431479</x:v>
      </x:c>
      <x:c r="M119" s="11" t="n">
        <x:v>0.095298</x:v>
      </x:c>
    </x:row>
    <x:row r="120" ht="21" customHeight="1">
      <x:c r="A120" s="1" t="n">
        <x:v>12</x:v>
      </x:c>
      <x:c r="B120" s="1" t="n">
        <x:v>9</x:v>
      </x:c>
      <x:c r="C120" s="10" t="str">
        <x:f>"301165"</x:f>
        <x:v>301165</x:v>
      </x:c>
      <x:c r="D120" s="1" t="str">
        <x:v>锐捷网络</x:v>
      </x:c>
      <x:c r="E120" s="12" t="n">
        <x:v>112.73</x:v>
      </x:c>
      <x:c r="F120" s="12" t="n">
        <x:v>114.24</x:v>
      </x:c>
      <x:c r="G120" s="12" t="n">
        <x:v>119.02</x:v>
      </x:c>
      <x:c r="H120" s="12" t="n">
        <x:v>111.94</x:v>
      </x:c>
      <x:c r="I120" s="12" t="n">
        <x:v>116.08</x:v>
      </x:c>
      <x:c r="J120" s="11" t="n">
        <x:v>0.029717022975250584</x:v>
      </x:c>
      <x:c r="K120" s="14" t="n">
        <x:v>20423110</x:v>
      </x:c>
      <x:c r="L120" s="14" t="n">
        <x:v>2371607086.73</x:v>
      </x:c>
      <x:c r="M120" s="11" t="n">
        <x:v>0.018339</x:v>
      </x:c>
    </x:row>
    <x:row r="121" ht="21" customHeight="1">
      <x:c r="A121" s="1" t="n">
        <x:v>12</x:v>
      </x:c>
      <x:c r="B121" s="1" t="n">
        <x:v>10</x:v>
      </x:c>
      <x:c r="C121" s="10" t="str">
        <x:f>"002080"</x:f>
        <x:v>002080</x:v>
      </x:c>
      <x:c r="D121" s="1" t="str">
        <x:v>中材科技</x:v>
      </x:c>
      <x:c r="E121" s="12" t="n">
        <x:v>55.88</x:v>
      </x:c>
      <x:c r="F121" s="12" t="n">
        <x:v>60.92</x:v>
      </x:c>
      <x:c r="G121" s="12" t="n">
        <x:v>61.47</x:v>
      </x:c>
      <x:c r="H121" s="12" t="n">
        <x:v>58.5</x:v>
      </x:c>
      <x:c r="I121" s="12" t="n">
        <x:v>58.69</x:v>
      </x:c>
      <x:c r="J121" s="11" t="n">
        <x:v>0.050286327845382894</x:v>
      </x:c>
      <x:c r="K121" s="14" t="n">
        <x:v>97385881</x:v>
      </x:c>
      <x:c r="L121" s="14" t="n">
        <x:v>5846451281.12</x:v>
      </x:c>
      <x:c r="M121" s="11" t="n">
        <x:v>0.058033</x:v>
      </x:c>
    </x:row>
    <x:row r="122" ht="21" customHeight="1">
      <x:c r="A122" s="1" t="n">
        <x:v>13</x:v>
      </x:c>
      <x:c r="B122" s="1" t="n">
        <x:v>1</x:v>
      </x:c>
      <x:c r="C122" s="10" t="str">
        <x:f>"300308"</x:f>
        <x:v>300308</x:v>
      </x:c>
      <x:c r="D122" s="1" t="str">
        <x:v>中际旭创</x:v>
      </x:c>
      <x:c r="E122" s="12" t="n">
        <x:v>896</x:v>
      </x:c>
      <x:c r="F122" s="12" t="n">
        <x:v>910</x:v>
      </x:c>
      <x:c r="G122" s="12" t="n">
        <x:v>947.6</x:v>
      </x:c>
      <x:c r="H122" s="12" t="n">
        <x:v>893.08</x:v>
      </x:c>
      <x:c r="I122" s="12" t="n">
        <x:v>926.43</x:v>
      </x:c>
      <x:c r="J122" s="11" t="n">
        <x:v>0.03396205357142845</x:v>
      </x:c>
      <x:c r="K122" s="14" t="n">
        <x:v>29505475</x:v>
      </x:c>
      <x:c r="L122" s="14" t="n">
        <x:v>27079558744.68</x:v>
      </x:c>
      <x:c r="M122" s="11" t="n">
        <x:v>0.026583000000000002</x:v>
      </x:c>
    </x:row>
    <x:row r="123" ht="21" customHeight="1">
      <x:c r="A123" s="1" t="n">
        <x:v>13</x:v>
      </x:c>
      <x:c r="B123" s="1" t="n">
        <x:v>2</x:v>
      </x:c>
      <x:c r="C123" s="10" t="str">
        <x:f>"688041"</x:f>
        <x:v>688041</x:v>
      </x:c>
      <x:c r="D123" s="1" t="str">
        <x:v>海光信息</x:v>
      </x:c>
      <x:c r="E123" s="12" t="n">
        <x:v>232</x:v>
      </x:c>
      <x:c r="F123" s="12" t="n">
        <x:v>236.89</x:v>
      </x:c>
      <x:c r="G123" s="12" t="n">
        <x:v>245.8</x:v>
      </x:c>
      <x:c r="H123" s="12" t="n">
        <x:v>236.89</x:v>
      </x:c>
      <x:c r="I123" s="12" t="n">
        <x:v>241.38</x:v>
      </x:c>
      <x:c r="J123" s="11" t="n">
        <x:v>0.04043103448275853</x:v>
      </x:c>
      <x:c r="K123" s="14" t="n">
        <x:v>26831418</x:v>
      </x:c>
      <x:c r="L123" s="14" t="n">
        <x:v>6488472536</x:v>
      </x:c>
      <x:c r="M123" s="11" t="n">
        <x:v>0.011544</x:v>
      </x:c>
    </x:row>
    <x:row r="124" ht="21" customHeight="1">
      <x:c r="A124" s="1" t="n">
        <x:v>13</x:v>
      </x:c>
      <x:c r="B124" s="1" t="n">
        <x:v>3</x:v>
      </x:c>
      <x:c r="C124" s="10" t="str">
        <x:f>"002371"</x:f>
        <x:v>002371</x:v>
      </x:c>
      <x:c r="D124" s="1" t="str">
        <x:v>北方华创</x:v>
      </x:c>
      <x:c r="E124" s="12" t="n">
        <x:v>665.5</x:v>
      </x:c>
      <x:c r="F124" s="12" t="n">
        <x:v>674</x:v>
      </x:c>
      <x:c r="G124" s="12" t="n">
        <x:v>694.4</x:v>
      </x:c>
      <x:c r="H124" s="12" t="n">
        <x:v>665.29</x:v>
      </x:c>
      <x:c r="I124" s="12" t="n">
        <x:v>686.51</x:v>
      </x:c>
      <x:c r="J124" s="11" t="n">
        <x:v>0.03157024793388419</x:v>
      </x:c>
      <x:c r="K124" s="14" t="n">
        <x:v>9737477</x:v>
      </x:c>
      <x:c r="L124" s="14" t="n">
        <x:v>6630755824.9</x:v>
      </x:c>
      <x:c r="M124" s="11" t="n">
        <x:v>0.013429</x:v>
      </x:c>
    </x:row>
    <x:row r="125" ht="21" customHeight="1">
      <x:c r="A125" s="1" t="n">
        <x:v>13</x:v>
      </x:c>
      <x:c r="B125" s="1" t="n">
        <x:v>4</x:v>
      </x:c>
      <x:c r="C125" s="10" t="str">
        <x:f>"002475"</x:f>
        <x:v>002475</x:v>
      </x:c>
      <x:c r="D125" s="1" t="str">
        <x:v>立讯精密</x:v>
      </x:c>
      <x:c r="E125" s="12" t="n">
        <x:v>52.13</x:v>
      </x:c>
      <x:c r="F125" s="12" t="n">
        <x:v>52.99</x:v>
      </x:c>
      <x:c r="G125" s="12" t="n">
        <x:v>54.7</x:v>
      </x:c>
      <x:c r="H125" s="12" t="n">
        <x:v>52.56</x:v>
      </x:c>
      <x:c r="I125" s="12" t="n">
        <x:v>54.1</x:v>
      </x:c>
      <x:c r="J125" s="11" t="n">
        <x:v>0.037790140034529074</x:v>
      </x:c>
      <x:c r="K125" s="14" t="n">
        <x:v>125030631</x:v>
      </x:c>
      <x:c r="L125" s="14" t="n">
        <x:v>6713114043.99</x:v>
      </x:c>
      <x:c r="M125" s="11" t="n">
        <x:v>0.017063</x:v>
      </x:c>
    </x:row>
    <x:row r="126" ht="21" customHeight="1">
      <x:c r="A126" s="1" t="n">
        <x:v>13</x:v>
      </x:c>
      <x:c r="B126" s="1" t="n">
        <x:v>5</x:v>
      </x:c>
      <x:c r="C126" s="10" t="str">
        <x:f>"688981"</x:f>
        <x:v>688981</x:v>
      </x:c>
      <x:c r="D126" s="1" t="str">
        <x:v>中芯国际</x:v>
      </x:c>
      <x:c r="E126" s="12" t="n">
        <x:v>118.62</x:v>
      </x:c>
      <x:c r="F126" s="12" t="n">
        <x:v>120.78</x:v>
      </x:c>
      <x:c r="G126" s="12" t="n">
        <x:v>123.43</x:v>
      </x:c>
      <x:c r="H126" s="12" t="n">
        <x:v>119.93</x:v>
      </x:c>
      <x:c r="I126" s="12" t="n">
        <x:v>122</x:v>
      </x:c>
      <x:c r="J126" s="11" t="n">
        <x:v>0.028494351711347177</x:v>
      </x:c>
      <x:c r="K126" s="14" t="n">
        <x:v>38721991</x:v>
      </x:c>
      <x:c r="L126" s="14" t="n">
        <x:v>4711862657</x:v>
      </x:c>
      <x:c r="M126" s="11" t="n">
        <x:v>0.019355</x:v>
      </x:c>
    </x:row>
    <x:row r="127" ht="21" customHeight="1">
      <x:c r="A127" s="1" t="n">
        <x:v>13</x:v>
      </x:c>
      <x:c r="B127" s="1" t="n">
        <x:v>6</x:v>
      </x:c>
      <x:c r="C127" s="10" t="str">
        <x:f>"300502"</x:f>
        <x:v>300502</x:v>
      </x:c>
      <x:c r="D127" s="1" t="str">
        <x:v>新易盛</x:v>
      </x:c>
      <x:c r="E127" s="12" t="n">
        <x:v>424.34</x:v>
      </x:c>
      <x:c r="F127" s="12" t="n">
        <x:v>435.01</x:v>
      </x:c>
      <x:c r="G127" s="12" t="n">
        <x:v>453.78</x:v>
      </x:c>
      <x:c r="H127" s="12" t="n">
        <x:v>426.51</x:v>
      </x:c>
      <x:c r="I127" s="12" t="n">
        <x:v>445</x:v>
      </x:c>
      <x:c r="J127" s="11" t="n">
        <x:v>0.0486873733327049</x:v>
      </x:c>
      <x:c r="K127" s="14" t="n">
        <x:v>42092149</x:v>
      </x:c>
      <x:c r="L127" s="14" t="n">
        <x:v>18511043622.23</x:v>
      </x:c>
      <x:c r="M127" s="11" t="n">
        <x:v>0.033547</x:v>
      </x:c>
    </x:row>
    <x:row r="128" ht="21" customHeight="1">
      <x:c r="A128" s="1" t="n">
        <x:v>13</x:v>
      </x:c>
      <x:c r="B128" s="1" t="n">
        <x:v>7</x:v>
      </x:c>
      <x:c r="C128" s="10" t="str">
        <x:f>"601061"</x:f>
        <x:v>601061</x:v>
      </x:c>
      <x:c r="D128" s="1" t="str">
        <x:v>中信金属</x:v>
      </x:c>
      <x:c r="E128" s="12" t="n">
        <x:v>11.13</x:v>
      </x:c>
      <x:c r="F128" s="12" t="n">
        <x:v>11.32</x:v>
      </x:c>
      <x:c r="G128" s="12" t="n">
        <x:v>11.64</x:v>
      </x:c>
      <x:c r="H128" s="12" t="n">
        <x:v>11.29</x:v>
      </x:c>
      <x:c r="I128" s="12" t="n">
        <x:v>11.54</x:v>
      </x:c>
      <x:c r="J128" s="11" t="n">
        <x:v>0.036837376460017834</x:v>
      </x:c>
      <x:c r="K128" s="14" t="n">
        <x:v>18612288</x:v>
      </x:c>
      <x:c r="L128" s="14" t="n">
        <x:v>213904820</x:v>
      </x:c>
      <x:c r="M128" s="11" t="n">
        <x:v>0.003798</x:v>
      </x:c>
    </x:row>
    <x:row r="129" ht="21" customHeight="1">
      <x:c r="A129" s="1" t="n">
        <x:v>13</x:v>
      </x:c>
      <x:c r="B129" s="1" t="n">
        <x:v>8</x:v>
      </x:c>
      <x:c r="C129" s="10" t="str">
        <x:f>"000776"</x:f>
        <x:v>000776</x:v>
      </x:c>
      <x:c r="D129" s="1" t="str">
        <x:v>广发证券</x:v>
      </x:c>
      <x:c r="E129" s="12" t="n">
        <x:v>20.02</x:v>
      </x:c>
      <x:c r="F129" s="12" t="n">
        <x:v>20.15</x:v>
      </x:c>
      <x:c r="G129" s="12" t="n">
        <x:v>20.8</x:v>
      </x:c>
      <x:c r="H129" s="12" t="n">
        <x:v>20.15</x:v>
      </x:c>
      <x:c r="I129" s="12" t="n">
        <x:v>20.79</x:v>
      </x:c>
      <x:c r="J129" s="11" t="n">
        <x:v>0.03846153846153855</x:v>
      </x:c>
      <x:c r="K129" s="14" t="n">
        <x:v>58526708</x:v>
      </x:c>
      <x:c r="L129" s="14" t="n">
        <x:v>1202735405.74</x:v>
      </x:c>
      <x:c r="M129" s="11" t="n">
        <x:v>0.009913</x:v>
      </x:c>
    </x:row>
    <x:row r="130" ht="21" customHeight="1">
      <x:c r="A130" s="1" t="n">
        <x:v>13</x:v>
      </x:c>
      <x:c r="B130" s="1" t="n">
        <x:v>9</x:v>
      </x:c>
      <x:c r="C130" s="10" t="str">
        <x:f>"600482"</x:f>
        <x:v>600482</x:v>
      </x:c>
      <x:c r="D130" s="1" t="str">
        <x:v>中国动力</x:v>
      </x:c>
      <x:c r="E130" s="12" t="n">
        <x:v>32.6</x:v>
      </x:c>
      <x:c r="F130" s="12" t="n">
        <x:v>32.68</x:v>
      </x:c>
      <x:c r="G130" s="12" t="n">
        <x:v>34</x:v>
      </x:c>
      <x:c r="H130" s="12" t="n">
        <x:v>32.32</x:v>
      </x:c>
      <x:c r="I130" s="12" t="n">
        <x:v>33.95</x:v>
      </x:c>
      <x:c r="J130" s="11" t="n">
        <x:v>0.04141104294478537</x:v>
      </x:c>
      <x:c r="K130" s="14" t="n">
        <x:v>18919201</x:v>
      </x:c>
      <x:c r="L130" s="14" t="n">
        <x:v>633457132</x:v>
      </x:c>
      <x:c r="M130" s="11" t="n">
        <x:v>0.008341</x:v>
      </x:c>
    </x:row>
    <x:row r="131" ht="21" customHeight="1">
      <x:c r="A131" s="1" t="n">
        <x:v>13</x:v>
      </x:c>
      <x:c r="B131" s="1" t="n">
        <x:v>10</x:v>
      </x:c>
      <x:c r="C131" s="10" t="str">
        <x:f>"920019"</x:f>
        <x:v>920019</x:v>
      </x:c>
      <x:c r="D131" s="1" t="str">
        <x:v>铜冠矿建</x:v>
      </x:c>
      <x:c r="E131" s="12" t="n">
        <x:v>14.9</x:v>
      </x:c>
      <x:c r="F131" s="12" t="n">
        <x:v>15.08</x:v>
      </x:c>
      <x:c r="G131" s="12" t="n">
        <x:v>15.37</x:v>
      </x:c>
      <x:c r="H131" s="12" t="n">
        <x:v>14.96</x:v>
      </x:c>
      <x:c r="I131" s="12" t="n">
        <x:v>15.25</x:v>
      </x:c>
      <x:c r="J131" s="11" t="n">
        <x:v>0.02348993288590595</x:v>
      </x:c>
      <x:c r="K131" s="14" t="n">
        <x:v>1969251</x:v>
      </x:c>
      <x:c r="L131" s="14" t="n">
        <x:v>30004652.78</x:v>
      </x:c>
      <x:c r="M131" s="11" t="n">
        <x:v>0.011754</x:v>
      </x:c>
    </x:row>
    <x:row r="132" ht="21" customHeight="1">
      <x:c r="A132" s="1" t="n">
        <x:v>14</x:v>
      </x:c>
      <x:c r="B132" s="1" t="n">
        <x:v>1</x:v>
      </x:c>
      <x:c r="C132" s="10" t="str">
        <x:f>"603259"</x:f>
        <x:v>603259</x:v>
      </x:c>
      <x:c r="D132" s="1" t="str">
        <x:v>药明康德</x:v>
      </x:c>
      <x:c r="E132" s="12" t="n">
        <x:v>160</x:v>
      </x:c>
      <x:c r="F132" s="12" t="n">
        <x:v>161.99</x:v>
      </x:c>
      <x:c r="G132" s="12" t="n">
        <x:v>168.28</x:v>
      </x:c>
      <x:c r="H132" s="12" t="n">
        <x:v>161</x:v>
      </x:c>
      <x:c r="I132" s="12" t="n">
        <x:v>167.96</x:v>
      </x:c>
      <x:c r="J132" s="11" t="n">
        <x:v>0.04974999999999996</x:v>
      </x:c>
      <x:c r="K132" s="14" t="n">
        <x:v>51260107</x:v>
      </x:c>
      <x:c r="L132" s="14" t="n">
        <x:v>8522477046</x:v>
      </x:c>
      <x:c r="M132" s="11" t="n">
        <x:v>0.020726</x:v>
      </x:c>
    </x:row>
    <x:row r="133" ht="21" customHeight="1">
      <x:c r="A133" s="1" t="n">
        <x:v>14</x:v>
      </x:c>
      <x:c r="B133" s="1" t="n">
        <x:v>2</x:v>
      </x:c>
      <x:c r="C133" s="10" t="str">
        <x:f>"600150"</x:f>
        <x:v>600150</x:v>
      </x:c>
      <x:c r="D133" s="1" t="str">
        <x:v>中国船舶</x:v>
      </x:c>
      <x:c r="E133" s="12" t="n">
        <x:v>39.47</x:v>
      </x:c>
      <x:c r="F133" s="12" t="n">
        <x:v>39.34</x:v>
      </x:c>
      <x:c r="G133" s="12" t="n">
        <x:v>41.08</x:v>
      </x:c>
      <x:c r="H133" s="12" t="n">
        <x:v>38.84</x:v>
      </x:c>
      <x:c r="I133" s="12" t="n">
        <x:v>41.02</x:v>
      </x:c>
      <x:c r="J133" s="11" t="n">
        <x:v>0.03927033189764395</x:v>
      </x:c>
      <x:c r="K133" s="14" t="n">
        <x:v>131970742</x:v>
      </x:c>
      <x:c r="L133" s="14" t="n">
        <x:v>5333147386</x:v>
      </x:c>
      <x:c r="M133" s="11" t="n">
        <x:v>0.017536</x:v>
      </x:c>
    </x:row>
    <x:row r="134" ht="21" customHeight="1">
      <x:c r="A134" s="1" t="n">
        <x:v>14</x:v>
      </x:c>
      <x:c r="B134" s="1" t="n">
        <x:v>3</x:v>
      </x:c>
      <x:c r="C134" s="10" t="str">
        <x:f>"601919"</x:f>
        <x:v>601919</x:v>
      </x:c>
      <x:c r="D134" s="1" t="str">
        <x:v>中远海控</x:v>
      </x:c>
      <x:c r="E134" s="12" t="n">
        <x:v>16.1</x:v>
      </x:c>
      <x:c r="F134" s="12" t="n">
        <x:v>16.1</x:v>
      </x:c>
      <x:c r="G134" s="12" t="n">
        <x:v>16.74</x:v>
      </x:c>
      <x:c r="H134" s="12" t="n">
        <x:v>16.06</x:v>
      </x:c>
      <x:c r="I134" s="12" t="n">
        <x:v>16.71</x:v>
      </x:c>
      <x:c r="J134" s="11" t="n">
        <x:v>0.03788819875776395</x:v>
      </x:c>
      <x:c r="K134" s="14" t="n">
        <x:v>107520668</x:v>
      </x:c>
      <x:c r="L134" s="14" t="n">
        <x:v>1772287931</x:v>
      </x:c>
      <x:c r="M134" s="11" t="n">
        <x:v>0.008563</x:v>
      </x:c>
    </x:row>
    <x:row r="135" ht="21" customHeight="1">
      <x:c r="A135" s="1" t="n">
        <x:v>14</x:v>
      </x:c>
      <x:c r="B135" s="1" t="n">
        <x:v>4</x:v>
      </x:c>
      <x:c r="C135" s="10" t="str">
        <x:f>"600188"</x:f>
        <x:v>600188</x:v>
      </x:c>
      <x:c r="D135" s="1" t="str">
        <x:v>兖矿能源</x:v>
      </x:c>
      <x:c r="E135" s="12" t="n">
        <x:v>19.68</x:v>
      </x:c>
      <x:c r="F135" s="12" t="n">
        <x:v>19.6</x:v>
      </x:c>
      <x:c r="G135" s="12" t="n">
        <x:v>20.5</x:v>
      </x:c>
      <x:c r="H135" s="12" t="n">
        <x:v>19.4</x:v>
      </x:c>
      <x:c r="I135" s="12" t="n">
        <x:v>20.44</x:v>
      </x:c>
      <x:c r="J135" s="11" t="n">
        <x:v>0.03861788617886197</x:v>
      </x:c>
      <x:c r="K135" s="14" t="n">
        <x:v>45549950</x:v>
      </x:c>
      <x:c r="L135" s="14" t="n">
        <x:v>920584759</x:v>
      </x:c>
      <x:c r="M135" s="11" t="n">
        <x:v>0.007641</x:v>
      </x:c>
    </x:row>
    <x:row r="136" ht="21" customHeight="1">
      <x:c r="A136" s="1" t="n">
        <x:v>14</x:v>
      </x:c>
      <x:c r="B136" s="1" t="n">
        <x:v>5</x:v>
      </x:c>
      <x:c r="C136" s="10" t="str">
        <x:f>"600482"</x:f>
        <x:v>600482</x:v>
      </x:c>
      <x:c r="D136" s="1" t="str">
        <x:v>中国动力</x:v>
      </x:c>
      <x:c r="E136" s="12" t="n">
        <x:v>33.95</x:v>
      </x:c>
      <x:c r="F136" s="12" t="n">
        <x:v>33.94</x:v>
      </x:c>
      <x:c r="G136" s="12" t="n">
        <x:v>35.78</x:v>
      </x:c>
      <x:c r="H136" s="12" t="n">
        <x:v>33.75</x:v>
      </x:c>
      <x:c r="I136" s="12" t="n">
        <x:v>35.55</x:v>
      </x:c>
      <x:c r="J136" s="11" t="n">
        <x:v>0.04712812960235624</x:v>
      </x:c>
      <x:c r="K136" s="14" t="n">
        <x:v>19509720</x:v>
      </x:c>
      <x:c r="L136" s="14" t="n">
        <x:v>686965812</x:v>
      </x:c>
      <x:c r="M136" s="11" t="n">
        <x:v>0.008601</x:v>
      </x:c>
    </x:row>
    <x:row r="137" ht="21" customHeight="1">
      <x:c r="A137" s="1" t="n">
        <x:v>14</x:v>
      </x:c>
      <x:c r="B137" s="1" t="n">
        <x:v>6</x:v>
      </x:c>
      <x:c r="C137" s="10" t="str">
        <x:f>"600938"</x:f>
        <x:v>600938</x:v>
      </x:c>
      <x:c r="D137" s="1" t="str">
        <x:v>中国海油</x:v>
      </x:c>
      <x:c r="E137" s="12" t="n">
        <x:v>32.3</x:v>
      </x:c>
      <x:c r="F137" s="12" t="n">
        <x:v>32.01</x:v>
      </x:c>
      <x:c r="G137" s="12" t="n">
        <x:v>33.57</x:v>
      </x:c>
      <x:c r="H137" s="12" t="n">
        <x:v>31.84</x:v>
      </x:c>
      <x:c r="I137" s="12" t="n">
        <x:v>33.54</x:v>
      </x:c>
      <x:c r="J137" s="11" t="n">
        <x:v>0.0383900928792571</x:v>
      </x:c>
      <x:c r="K137" s="14" t="n">
        <x:v>52654644</x:v>
      </x:c>
      <x:c r="L137" s="14" t="n">
        <x:v>1729752819</x:v>
      </x:c>
      <x:c r="M137" s="11" t="n">
        <x:v>0.01761</x:v>
      </x:c>
    </x:row>
    <x:row r="138" ht="21" customHeight="1">
      <x:c r="A138" s="1" t="n">
        <x:v>14</x:v>
      </x:c>
      <x:c r="B138" s="1" t="n">
        <x:v>7</x:v>
      </x:c>
      <x:c r="C138" s="10" t="str">
        <x:f>"688008"</x:f>
        <x:v>688008</x:v>
      </x:c>
      <x:c r="D138" s="1" t="str">
        <x:v>澜起科技</x:v>
      </x:c>
      <x:c r="E138" s="12" t="n">
        <x:v>202.53</x:v>
      </x:c>
      <x:c r="F138" s="12" t="n">
        <x:v>210</x:v>
      </x:c>
      <x:c r="G138" s="12" t="n">
        <x:v>212.88</x:v>
      </x:c>
      <x:c r="H138" s="12" t="n">
        <x:v>206.85</x:v>
      </x:c>
      <x:c r="I138" s="12" t="n">
        <x:v>210.1</x:v>
      </x:c>
      <x:c r="J138" s="11" t="n">
        <x:v>0.037377178689576906</x:v>
      </x:c>
      <x:c r="K138" s="14" t="n">
        <x:v>38039758</x:v>
      </x:c>
      <x:c r="L138" s="14" t="n">
        <x:v>7973399925</x:v>
      </x:c>
      <x:c r="M138" s="11" t="n">
        <x:v>0.033229</x:v>
      </x:c>
    </x:row>
    <x:row r="139" ht="21" customHeight="1">
      <x:c r="A139" s="1" t="n">
        <x:v>14</x:v>
      </x:c>
      <x:c r="B139" s="1" t="n">
        <x:v>8</x:v>
      </x:c>
      <x:c r="C139" s="10" t="str">
        <x:f>"003039"</x:f>
        <x:v>003039</x:v>
      </x:c>
      <x:c r="D139" s="1" t="str">
        <x:v>顺控发展</x:v>
      </x:c>
      <x:c r="E139" s="12" t="n">
        <x:v>12.71</x:v>
      </x:c>
      <x:c r="F139" s="12" t="n">
        <x:v>12.71</x:v>
      </x:c>
      <x:c r="G139" s="12" t="n">
        <x:v>13.19</x:v>
      </x:c>
      <x:c r="H139" s="12" t="n">
        <x:v>12.6</x:v>
      </x:c>
      <x:c r="I139" s="12" t="n">
        <x:v>13.12</x:v>
      </x:c>
      <x:c r="J139" s="11" t="n">
        <x:v>0.032258064516129004</x:v>
      </x:c>
      <x:c r="K139" s="14" t="n">
        <x:v>7953659</x:v>
      </x:c>
      <x:c r="L139" s="14" t="n">
        <x:v>103312132.39</x:v>
      </x:c>
      <x:c r="M139" s="11" t="n">
        <x:v>0.01288</x:v>
      </x:c>
    </x:row>
    <x:row r="140" ht="21" customHeight="1">
      <x:c r="A140" s="1" t="n">
        <x:v>14</x:v>
      </x:c>
      <x:c r="B140" s="1" t="n">
        <x:v>9</x:v>
      </x:c>
      <x:c r="C140" s="10" t="str">
        <x:f>"603208"</x:f>
        <x:v>603208</x:v>
      </x:c>
      <x:c r="D140" s="1" t="str">
        <x:v>江山欧派</x:v>
      </x:c>
      <x:c r="E140" s="12" t="n">
        <x:v>10.77</x:v>
      </x:c>
      <x:c r="F140" s="12" t="n">
        <x:v>10.78</x:v>
      </x:c>
      <x:c r="G140" s="12" t="n">
        <x:v>11.36</x:v>
      </x:c>
      <x:c r="H140" s="12" t="n">
        <x:v>10.77</x:v>
      </x:c>
      <x:c r="I140" s="12" t="n">
        <x:v>11.31</x:v>
      </x:c>
      <x:c r="J140" s="11" t="n">
        <x:v>0.050139275766016844</x:v>
      </x:c>
      <x:c r="K140" s="14" t="n">
        <x:v>1808365</x:v>
      </x:c>
      <x:c r="L140" s="14" t="n">
        <x:v>20162214</x:v>
      </x:c>
      <x:c r="M140" s="11" t="n">
        <x:v>0.010282</x:v>
      </x:c>
    </x:row>
    <x:row r="141" ht="21" customHeight="1">
      <x:c r="A141" s="1" t="n">
        <x:v>14</x:v>
      </x:c>
      <x:c r="B141" s="1" t="n">
        <x:v>10</x:v>
      </x:c>
      <x:c r="C141" s="10" t="str">
        <x:f>"601808"</x:f>
        <x:v>601808</x:v>
      </x:c>
      <x:c r="D141" s="1" t="str">
        <x:v>中海油服</x:v>
      </x:c>
      <x:c r="E141" s="12" t="n">
        <x:v>12.15</x:v>
      </x:c>
      <x:c r="F141" s="12" t="n">
        <x:v>12.13</x:v>
      </x:c>
      <x:c r="G141" s="12" t="n">
        <x:v>12.57</x:v>
      </x:c>
      <x:c r="H141" s="12" t="n">
        <x:v>12.05</x:v>
      </x:c>
      <x:c r="I141" s="12" t="n">
        <x:v>12.52</x:v>
      </x:c>
      <x:c r="J141" s="11" t="n">
        <x:v>0.030452674897119225</x:v>
      </x:c>
      <x:c r="K141" s="14" t="n">
        <x:v>16292469</x:v>
      </x:c>
      <x:c r="L141" s="14" t="n">
        <x:v>201324867</x:v>
      </x:c>
      <x:c r="M141" s="11" t="n">
        <x:v>0.005503</x:v>
      </x:c>
    </x:row>
    <x:row r="142" ht="21" customHeight="1">
      <x:c r="A142" s="1" t="n">
        <x:v>15</x:v>
      </x:c>
      <x:c r="B142" s="1" t="n">
        <x:v>1</x:v>
      </x:c>
      <x:c r="C142" s="10" t="str">
        <x:f>"688041"</x:f>
        <x:v>688041</x:v>
      </x:c>
      <x:c r="D142" s="1" t="str">
        <x:v>海光信息</x:v>
      </x:c>
      <x:c r="E142" s="12" t="n">
        <x:v>246.45</x:v>
      </x:c>
      <x:c r="F142" s="12" t="n">
        <x:v>265</x:v>
      </x:c>
      <x:c r="G142" s="12" t="n">
        <x:v>269.74</x:v>
      </x:c>
      <x:c r="H142" s="12" t="n">
        <x:v>254.6</x:v>
      </x:c>
      <x:c r="I142" s="12" t="n">
        <x:v>256</x:v>
      </x:c>
      <x:c r="J142" s="11" t="n">
        <x:v>0.03875025360113615</x:v>
      </x:c>
      <x:c r="K142" s="14" t="n">
        <x:v>42733900</x:v>
      </x:c>
      <x:c r="L142" s="14" t="n">
        <x:v>11226516458</x:v>
      </x:c>
      <x:c r="M142" s="11" t="n">
        <x:v>0.018385</x:v>
      </x:c>
    </x:row>
    <x:row r="143" ht="21" customHeight="1">
      <x:c r="A143" s="1" t="n">
        <x:v>15</x:v>
      </x:c>
      <x:c r="B143" s="1" t="n">
        <x:v>2</x:v>
      </x:c>
      <x:c r="C143" s="10" t="str">
        <x:f>"603983"</x:f>
        <x:v>603983</x:v>
      </x:c>
      <x:c r="D143" s="1" t="str">
        <x:v>丸美生物</x:v>
      </x:c>
      <x:c r="E143" s="12" t="n">
        <x:v>30.77</x:v>
      </x:c>
      <x:c r="F143" s="12" t="n">
        <x:v>31.39</x:v>
      </x:c>
      <x:c r="G143" s="12" t="n">
        <x:v>32.2</x:v>
      </x:c>
      <x:c r="H143" s="12" t="n">
        <x:v>30.6</x:v>
      </x:c>
      <x:c r="I143" s="12" t="n">
        <x:v>32.04</x:v>
      </x:c>
      <x:c r="J143" s="11" t="n">
        <x:v>0.041273968150796314</x:v>
      </x:c>
      <x:c r="K143" s="14" t="n">
        <x:v>4856311</x:v>
      </x:c>
      <x:c r="L143" s="14" t="n">
        <x:v>152898933</x:v>
      </x:c>
      <x:c r="M143" s="11" t="n">
        <x:v>0.012111</x:v>
      </x:c>
    </x:row>
    <x:row r="144" ht="21" customHeight="1">
      <x:c r="A144" s="1" t="n">
        <x:v>15</x:v>
      </x:c>
      <x:c r="B144" s="1" t="n">
        <x:v>3</x:v>
      </x:c>
      <x:c r="C144" s="10" t="str">
        <x:f>"688428"</x:f>
        <x:v>688428</x:v>
      </x:c>
      <x:c r="D144" s="1" t="str">
        <x:v>诺诚健华</x:v>
      </x:c>
      <x:c r="E144" s="12" t="n">
        <x:v>30.44</x:v>
      </x:c>
      <x:c r="F144" s="12" t="n">
        <x:v>30.1</x:v>
      </x:c>
      <x:c r="G144" s="12" t="n">
        <x:v>32.32</x:v>
      </x:c>
      <x:c r="H144" s="12" t="n">
        <x:v>30.09</x:v>
      </x:c>
      <x:c r="I144" s="12" t="n">
        <x:v>32</x:v>
      </x:c>
      <x:c r="J144" s="11" t="n">
        <x:v>0.05124835742444156</x:v>
      </x:c>
      <x:c r="K144" s="14" t="n">
        <x:v>17769645</x:v>
      </x:c>
      <x:c r="L144" s="14" t="n">
        <x:v>558549697</x:v>
      </x:c>
      <x:c r="M144" s="11" t="n">
        <x:v>0.064994</x:v>
      </x:c>
    </x:row>
    <x:row r="145" ht="21" customHeight="1">
      <x:c r="A145" s="1" t="n">
        <x:v>15</x:v>
      </x:c>
      <x:c r="B145" s="1" t="n">
        <x:v>4</x:v>
      </x:c>
      <x:c r="C145" s="10" t="str">
        <x:f>"603530"</x:f>
        <x:v>603530</x:v>
      </x:c>
      <x:c r="D145" s="1" t="str">
        <x:v>神马电力</x:v>
      </x:c>
      <x:c r="E145" s="12" t="n">
        <x:v>45</x:v>
      </x:c>
      <x:c r="F145" s="12" t="n">
        <x:v>45.2</x:v>
      </x:c>
      <x:c r="G145" s="12" t="n">
        <x:v>46.88</x:v>
      </x:c>
      <x:c r="H145" s="12" t="n">
        <x:v>44.88</x:v>
      </x:c>
      <x:c r="I145" s="12" t="n">
        <x:v>46.72</x:v>
      </x:c>
      <x:c r="J145" s="11" t="n">
        <x:v>0.03822222222222216</x:v>
      </x:c>
      <x:c r="K145" s="14" t="n">
        <x:v>5104501</x:v>
      </x:c>
      <x:c r="L145" s="14" t="n">
        <x:v>235905273</x:v>
      </x:c>
      <x:c r="M145" s="11" t="n">
        <x:v>0.011941</x:v>
      </x:c>
    </x:row>
    <x:row r="146" ht="21" customHeight="1">
      <x:c r="A146" s="1" t="n">
        <x:v>15</x:v>
      </x:c>
      <x:c r="B146" s="1" t="n">
        <x:v>5</x:v>
      </x:c>
      <x:c r="C146" s="10" t="str">
        <x:f>"601001"</x:f>
        <x:v>601001</x:v>
      </x:c>
      <x:c r="D146" s="1" t="str">
        <x:v>晋控煤业</x:v>
      </x:c>
      <x:c r="E146" s="12" t="n">
        <x:v>17.61</x:v>
      </x:c>
      <x:c r="F146" s="12" t="n">
        <x:v>17.38</x:v>
      </x:c>
      <x:c r="G146" s="12" t="n">
        <x:v>18.51</x:v>
      </x:c>
      <x:c r="H146" s="12" t="n">
        <x:v>17.28</x:v>
      </x:c>
      <x:c r="I146" s="12" t="n">
        <x:v>18.28</x:v>
      </x:c>
      <x:c r="J146" s="11" t="n">
        <x:v>0.03804656445201604</x:v>
      </x:c>
      <x:c r="K146" s="14" t="n">
        <x:v>27432862</x:v>
      </x:c>
      <x:c r="L146" s="14" t="n">
        <x:v>494485621</x:v>
      </x:c>
      <x:c r="M146" s="11" t="n">
        <x:v>0.016391</x:v>
      </x:c>
    </x:row>
    <x:row r="147" ht="21" customHeight="1">
      <x:c r="A147" s="1" t="n">
        <x:v>15</x:v>
      </x:c>
      <x:c r="B147" s="1" t="n">
        <x:v>6</x:v>
      </x:c>
      <x:c r="C147" s="10" t="str">
        <x:f>"688193"</x:f>
        <x:v>688193</x:v>
      </x:c>
      <x:c r="D147" s="1" t="str">
        <x:v>仁度生物</x:v>
      </x:c>
      <x:c r="E147" s="12" t="n">
        <x:v>46.79</x:v>
      </x:c>
      <x:c r="F147" s="12" t="n">
        <x:v>47.18</x:v>
      </x:c>
      <x:c r="G147" s="12" t="n">
        <x:v>49.59</x:v>
      </x:c>
      <x:c r="H147" s="12" t="n">
        <x:v>46.83</x:v>
      </x:c>
      <x:c r="I147" s="12" t="n">
        <x:v>48.38</x:v>
      </x:c>
      <x:c r="J147" s="11" t="n">
        <x:v>0.033981620004274404</x:v>
      </x:c>
      <x:c r="K147" s="14" t="n">
        <x:v>563007</x:v>
      </x:c>
      <x:c r="L147" s="14" t="n">
        <x:v>27230994</x:v>
      </x:c>
      <x:c r="M147" s="11" t="n">
        <x:v>0.014051000000000001</x:v>
      </x:c>
    </x:row>
    <x:row r="148" ht="21" customHeight="1">
      <x:c r="A148" s="1" t="n">
        <x:v>15</x:v>
      </x:c>
      <x:c r="B148" s="1" t="n">
        <x:v>7</x:v>
      </x:c>
      <x:c r="C148" s="10" t="str">
        <x:f>"002534"</x:f>
        <x:v>002534</x:v>
      </x:c>
      <x:c r="D148" s="1" t="str">
        <x:v>西子洁能</x:v>
      </x:c>
      <x:c r="E148" s="12" t="n">
        <x:v>16.95</x:v>
      </x:c>
      <x:c r="F148" s="12" t="n">
        <x:v>17.05</x:v>
      </x:c>
      <x:c r="G148" s="12" t="n">
        <x:v>17.9</x:v>
      </x:c>
      <x:c r="H148" s="12" t="n">
        <x:v>17.01</x:v>
      </x:c>
      <x:c r="I148" s="12" t="n">
        <x:v>17.65</x:v>
      </x:c>
      <x:c r="J148" s="11" t="n">
        <x:v>0.041297935103244754</x:v>
      </x:c>
      <x:c r="K148" s="14" t="n">
        <x:v>13114927</x:v>
      </x:c>
      <x:c r="L148" s="14" t="n">
        <x:v>231266987.58</x:v>
      </x:c>
      <x:c r="M148" s="11" t="n">
        <x:v>0.01589</x:v>
      </x:c>
    </x:row>
    <x:row r="149" ht="21" customHeight="1">
      <x:c r="A149" s="1" t="n">
        <x:v>15</x:v>
      </x:c>
      <x:c r="B149" s="1" t="n">
        <x:v>8</x:v>
      </x:c>
      <x:c r="C149" s="10" t="str">
        <x:f>"688060"</x:f>
        <x:v>688060</x:v>
      </x:c>
      <x:c r="D149" s="1" t="str">
        <x:v>云涌科技</x:v>
      </x:c>
      <x:c r="E149" s="12" t="n">
        <x:v>36.61</x:v>
      </x:c>
      <x:c r="F149" s="12" t="n">
        <x:v>36.61</x:v>
      </x:c>
      <x:c r="G149" s="12" t="n">
        <x:v>38.67</x:v>
      </x:c>
      <x:c r="H149" s="12" t="n">
        <x:v>36.61</x:v>
      </x:c>
      <x:c r="I149" s="12" t="n">
        <x:v>38.2</x:v>
      </x:c>
      <x:c r="J149" s="11" t="n">
        <x:v>0.04343075662387341</x:v>
      </x:c>
      <x:c r="K149" s="14" t="n">
        <x:v>880487</x:v>
      </x:c>
      <x:c r="L149" s="14" t="n">
        <x:v>33465080</x:v>
      </x:c>
      <x:c r="M149" s="11" t="n">
        <x:v>0.014628</x:v>
      </x:c>
    </x:row>
    <x:row r="150" ht="21" customHeight="1">
      <x:c r="A150" s="1" t="n">
        <x:v>15</x:v>
      </x:c>
      <x:c r="B150" s="1" t="n">
        <x:v>9</x:v>
      </x:c>
      <x:c r="C150" s="10" t="str">
        <x:f>"688210"</x:f>
        <x:v>688210</x:v>
      </x:c>
      <x:c r="D150" s="1" t="str">
        <x:v>统联精密</x:v>
      </x:c>
      <x:c r="E150" s="12" t="n">
        <x:v>29.41</x:v>
      </x:c>
      <x:c r="F150" s="12" t="n">
        <x:v>29.59</x:v>
      </x:c>
      <x:c r="G150" s="12" t="n">
        <x:v>31.06</x:v>
      </x:c>
      <x:c r="H150" s="12" t="n">
        <x:v>29.41</x:v>
      </x:c>
      <x:c r="I150" s="12" t="n">
        <x:v>30.41</x:v>
      </x:c>
      <x:c r="J150" s="11" t="n">
        <x:v>0.03400204012240726</x:v>
      </x:c>
      <x:c r="K150" s="14" t="n">
        <x:v>4324887</x:v>
      </x:c>
      <x:c r="L150" s="14" t="n">
        <x:v>131987560</x:v>
      </x:c>
      <x:c r="M150" s="11" t="n">
        <x:v>0.026587999999999997</x:v>
      </x:c>
    </x:row>
    <x:row r="151" ht="21" customHeight="1">
      <x:c r="A151" s="1" t="n">
        <x:v>15</x:v>
      </x:c>
      <x:c r="B151" s="1" t="n">
        <x:v>10</x:v>
      </x:c>
      <x:c r="C151" s="10" t="str">
        <x:f>"300440"</x:f>
        <x:v>300440</x:v>
      </x:c>
      <x:c r="D151" s="1" t="str">
        <x:v>运达科技</x:v>
      </x:c>
      <x:c r="E151" s="12" t="n">
        <x:v>17.25</x:v>
      </x:c>
      <x:c r="F151" s="12" t="n">
        <x:v>17.38</x:v>
      </x:c>
      <x:c r="G151" s="12" t="n">
        <x:v>18.07</x:v>
      </x:c>
      <x:c r="H151" s="12" t="n">
        <x:v>17.25</x:v>
      </x:c>
      <x:c r="I151" s="12" t="n">
        <x:v>17.84</x:v>
      </x:c>
      <x:c r="J151" s="11" t="n">
        <x:v>0.03420289855072456</x:v>
      </x:c>
      <x:c r="K151" s="14" t="n">
        <x:v>13290500</x:v>
      </x:c>
      <x:c r="L151" s="14" t="n">
        <x:v>235421596</x:v>
      </x:c>
      <x:c r="M151" s="11" t="n">
        <x:v>0.030209</x:v>
      </x:c>
    </x:row>
    <x:row r="152" ht="21" customHeight="1">
      <x:c r="A152" s="1" t="n">
        <x:v>16</x:v>
      </x:c>
      <x:c r="B152" s="1" t="n">
        <x:v>1</x:v>
      </x:c>
      <x:c r="C152" s="10" t="str">
        <x:f>"002916"</x:f>
        <x:v>002916</x:v>
      </x:c>
      <x:c r="D152" s="1" t="str">
        <x:v>深南电路</x:v>
      </x:c>
      <x:c r="E152" s="12" t="n">
        <x:v>400</x:v>
      </x:c>
      <x:c r="F152" s="12" t="n">
        <x:v>399.02</x:v>
      </x:c>
      <x:c r="G152" s="12" t="n">
        <x:v>424.04</x:v>
      </x:c>
      <x:c r="H152" s="12" t="n">
        <x:v>398.03</x:v>
      </x:c>
      <x:c r="I152" s="12" t="n">
        <x:v>414.77</x:v>
      </x:c>
      <x:c r="J152" s="11" t="n">
        <x:v>0.036924999999999875</x:v>
      </x:c>
      <x:c r="K152" s="14" t="n">
        <x:v>10866549</x:v>
      </x:c>
      <x:c r="L152" s="14" t="n">
        <x:v>4521225432.89</x:v>
      </x:c>
      <x:c r="M152" s="11" t="n">
        <x:v>0.016345000000000002</x:v>
      </x:c>
    </x:row>
    <x:row r="153" ht="21" customHeight="1">
      <x:c r="A153" s="1" t="n">
        <x:v>16</x:v>
      </x:c>
      <x:c r="B153" s="1" t="n">
        <x:v>2</x:v>
      </x:c>
      <x:c r="C153" s="10" t="str">
        <x:f>"002493"</x:f>
        <x:v>002493</x:v>
      </x:c>
      <x:c r="D153" s="1" t="str">
        <x:v>荣盛石化</x:v>
      </x:c>
      <x:c r="E153" s="12" t="n">
        <x:v>13.13</x:v>
      </x:c>
      <x:c r="F153" s="12" t="n">
        <x:v>13.2</x:v>
      </x:c>
      <x:c r="G153" s="12" t="n">
        <x:v>13.66</x:v>
      </x:c>
      <x:c r="H153" s="12" t="n">
        <x:v>13.1</x:v>
      </x:c>
      <x:c r="I153" s="12" t="n">
        <x:v>13.55</x:v>
      </x:c>
      <x:c r="J153" s="11" t="n">
        <x:v>0.031987814166031914</x:v>
      </x:c>
      <x:c r="K153" s="14" t="n">
        <x:v>51836386</x:v>
      </x:c>
      <x:c r="L153" s="14" t="n">
        <x:v>694514239.11</x:v>
      </x:c>
      <x:c r="M153" s="11" t="n">
        <x:v>0.005536999999999999</x:v>
      </x:c>
    </x:row>
    <x:row r="154" ht="21" customHeight="1">
      <x:c r="A154" s="1" t="n">
        <x:v>16</x:v>
      </x:c>
      <x:c r="B154" s="1" t="n">
        <x:v>3</x:v>
      </x:c>
      <x:c r="C154" s="10" t="str">
        <x:f>"000739"</x:f>
        <x:v>000739</x:v>
      </x:c>
      <x:c r="D154" s="1" t="str">
        <x:v>普洛药业</x:v>
      </x:c>
      <x:c r="E154" s="12" t="n">
        <x:v>24</x:v>
      </x:c>
      <x:c r="F154" s="12" t="n">
        <x:v>24.14</x:v>
      </x:c>
      <x:c r="G154" s="12" t="n">
        <x:v>25.5</x:v>
      </x:c>
      <x:c r="H154" s="12" t="n">
        <x:v>24.06</x:v>
      </x:c>
      <x:c r="I154" s="12" t="n">
        <x:v>25.32</x:v>
      </x:c>
      <x:c r="J154" s="11" t="n">
        <x:v>0.05499999999999994</x:v>
      </x:c>
      <x:c r="K154" s="14" t="n">
        <x:v>19674914</x:v>
      </x:c>
      <x:c r="L154" s="14" t="n">
        <x:v>492558304.38</x:v>
      </x:c>
      <x:c r="M154" s="11" t="n">
        <x:v>0.016991</x:v>
      </x:c>
    </x:row>
    <x:row r="155" ht="21" customHeight="1">
      <x:c r="A155" s="1" t="n">
        <x:v>16</x:v>
      </x:c>
      <x:c r="B155" s="1" t="n">
        <x:v>4</x:v>
      </x:c>
      <x:c r="C155" s="10" t="str">
        <x:f>"688428"</x:f>
        <x:v>688428</x:v>
      </x:c>
      <x:c r="D155" s="1" t="str">
        <x:v>诺诚健华</x:v>
      </x:c>
      <x:c r="E155" s="12" t="n">
        <x:v>32</x:v>
      </x:c>
      <x:c r="F155" s="12" t="n">
        <x:v>31.94</x:v>
      </x:c>
      <x:c r="G155" s="12" t="n">
        <x:v>34.12</x:v>
      </x:c>
      <x:c r="H155" s="12" t="n">
        <x:v>31.6</x:v>
      </x:c>
      <x:c r="I155" s="12" t="n">
        <x:v>33.4</x:v>
      </x:c>
      <x:c r="J155" s="11" t="n">
        <x:v>0.043749999999999956</x:v>
      </x:c>
      <x:c r="K155" s="14" t="n">
        <x:v>21003924</x:v>
      </x:c>
      <x:c r="L155" s="14" t="n">
        <x:v>692903463</x:v>
      </x:c>
      <x:c r="M155" s="11" t="n">
        <x:v>0.076824</x:v>
      </x:c>
    </x:row>
    <x:row r="156" ht="21" customHeight="1">
      <x:c r="A156" s="1" t="n">
        <x:v>16</x:v>
      </x:c>
      <x:c r="B156" s="1" t="n">
        <x:v>5</x:v>
      </x:c>
      <x:c r="C156" s="10" t="str">
        <x:f>"688234"</x:f>
        <x:v>688234</x:v>
      </x:c>
      <x:c r="D156" s="1" t="str">
        <x:v>天岳先进</x:v>
      </x:c>
      <x:c r="E156" s="12" t="n">
        <x:v>109.4</x:v>
      </x:c>
      <x:c r="F156" s="12" t="n">
        <x:v>109.41</x:v>
      </x:c>
      <x:c r="G156" s="12" t="n">
        <x:v>115.88</x:v>
      </x:c>
      <x:c r="H156" s="12" t="n">
        <x:v>109.41</x:v>
      </x:c>
      <x:c r="I156" s="12" t="n">
        <x:v>114.07</x:v>
      </x:c>
      <x:c r="J156" s="11" t="n">
        <x:v>0.042687385740401984</x:v>
      </x:c>
      <x:c r="K156" s="14" t="n">
        <x:v>11997254</x:v>
      </x:c>
      <x:c r="L156" s="14" t="n">
        <x:v>1358862412</x:v>
      </x:c>
      <x:c r="M156" s="11" t="n">
        <x:v>0.027919</x:v>
      </x:c>
    </x:row>
    <x:row r="157" ht="21" customHeight="1">
      <x:c r="A157" s="1" t="n">
        <x:v>16</x:v>
      </x:c>
      <x:c r="B157" s="1" t="n">
        <x:v>6</x:v>
      </x:c>
      <x:c r="C157" s="10" t="str">
        <x:f>"301024"</x:f>
        <x:v>301024</x:v>
      </x:c>
      <x:c r="D157" s="1" t="str">
        <x:v>霍普股份</x:v>
      </x:c>
      <x:c r="E157" s="12" t="n">
        <x:v>33.58</x:v>
      </x:c>
      <x:c r="F157" s="12" t="n">
        <x:v>34.26</x:v>
      </x:c>
      <x:c r="G157" s="12" t="n">
        <x:v>35.59</x:v>
      </x:c>
      <x:c r="H157" s="12" t="n">
        <x:v>33.26</x:v>
      </x:c>
      <x:c r="I157" s="12" t="n">
        <x:v>35.19</x:v>
      </x:c>
      <x:c r="J157" s="11" t="n">
        <x:v>0.047945205479452024</x:v>
      </x:c>
      <x:c r="K157" s="14" t="n">
        <x:v>1214028</x:v>
      </x:c>
      <x:c r="L157" s="14" t="n">
        <x:v>42058729.33</x:v>
      </x:c>
      <x:c r="M157" s="11" t="n">
        <x:v>0.019721</x:v>
      </x:c>
    </x:row>
    <x:row r="158" ht="21" customHeight="1">
      <x:c r="A158" s="1" t="n">
        <x:v>16</x:v>
      </x:c>
      <x:c r="B158" s="1" t="n">
        <x:v>7</x:v>
      </x:c>
      <x:c r="C158" s="10" t="str">
        <x:f>"688092"</x:f>
        <x:v>688092</x:v>
      </x:c>
      <x:c r="D158" s="1" t="str">
        <x:v>爱科科技</x:v>
      </x:c>
      <x:c r="E158" s="12" t="n">
        <x:v>21.87</x:v>
      </x:c>
      <x:c r="F158" s="12" t="n">
        <x:v>21.88</x:v>
      </x:c>
      <x:c r="G158" s="12" t="n">
        <x:v>22.83</x:v>
      </x:c>
      <x:c r="H158" s="12" t="n">
        <x:v>21.72</x:v>
      </x:c>
      <x:c r="I158" s="12" t="n">
        <x:v>22.83</x:v>
      </x:c>
      <x:c r="J158" s="11" t="n">
        <x:v>0.04389574759945125</x:v>
      </x:c>
      <x:c r="K158" s="14" t="n">
        <x:v>950428</x:v>
      </x:c>
      <x:c r="L158" s="14" t="n">
        <x:v>21185721</x:v>
      </x:c>
      <x:c r="M158" s="11" t="n">
        <x:v>0.011498</x:v>
      </x:c>
    </x:row>
    <x:row r="159" ht="21" customHeight="1">
      <x:c r="A159" s="1" t="n">
        <x:v>16</x:v>
      </x:c>
      <x:c r="B159" s="1" t="n">
        <x:v>8</x:v>
      </x:c>
      <x:c r="C159" s="10" t="str">
        <x:f>"603307"</x:f>
        <x:v>603307</x:v>
      </x:c>
      <x:c r="D159" s="1" t="str">
        <x:v>扬州金泉</x:v>
      </x:c>
      <x:c r="E159" s="12" t="n">
        <x:v>25.61</x:v>
      </x:c>
      <x:c r="F159" s="12" t="n">
        <x:v>25.48</x:v>
      </x:c>
      <x:c r="G159" s="12" t="n">
        <x:v>26.45</x:v>
      </x:c>
      <x:c r="H159" s="12" t="n">
        <x:v>25.48</x:v>
      </x:c>
      <x:c r="I159" s="12" t="n">
        <x:v>26.43</x:v>
      </x:c>
      <x:c r="J159" s="11" t="n">
        <x:v>0.03201874267864113</x:v>
      </x:c>
      <x:c r="K159" s="14" t="n">
        <x:v>1448677</x:v>
      </x:c>
      <x:c r="L159" s="14" t="n">
        <x:v>37798694</x:v>
      </x:c>
      <x:c r="M159" s="11" t="n">
        <x:v>0.014912000000000002</x:v>
      </x:c>
    </x:row>
    <x:row r="160" ht="21" customHeight="1">
      <x:c r="A160" s="1" t="n">
        <x:v>16</x:v>
      </x:c>
      <x:c r="B160" s="1" t="n">
        <x:v>9</x:v>
      </x:c>
      <x:c r="C160" s="10" t="str">
        <x:f>"688529"</x:f>
        <x:v>688529</x:v>
      </x:c>
      <x:c r="D160" s="1" t="str">
        <x:v>豪森智能</x:v>
      </x:c>
      <x:c r="E160" s="12" t="n">
        <x:v>14.86</x:v>
      </x:c>
      <x:c r="F160" s="12" t="n">
        <x:v>14.87</x:v>
      </x:c>
      <x:c r="G160" s="12" t="n">
        <x:v>15.45</x:v>
      </x:c>
      <x:c r="H160" s="12" t="n">
        <x:v>14.62</x:v>
      </x:c>
      <x:c r="I160" s="12" t="n">
        <x:v>15.39</x:v>
      </x:c>
      <x:c r="J160" s="11" t="n">
        <x:v>0.03566621803499337</x:v>
      </x:c>
      <x:c r="K160" s="14" t="n">
        <x:v>1623541</x:v>
      </x:c>
      <x:c r="L160" s="14" t="n">
        <x:v>24527191</x:v>
      </x:c>
      <x:c r="M160" s="11" t="n">
        <x:v>0.009654000000000001</x:v>
      </x:c>
    </x:row>
    <x:row r="161" ht="21" customHeight="1">
      <x:c r="A161" s="1" t="n">
        <x:v>16</x:v>
      </x:c>
      <x:c r="B161" s="1" t="n">
        <x:v>10</x:v>
      </x:c>
      <x:c r="C161" s="10" t="str">
        <x:f>"688516"</x:f>
        <x:v>688516</x:v>
      </x:c>
      <x:c r="D161" s="1" t="str">
        <x:v>奥特维</x:v>
      </x:c>
      <x:c r="E161" s="12" t="n">
        <x:v>44.35</x:v>
      </x:c>
      <x:c r="F161" s="12" t="n">
        <x:v>44.27</x:v>
      </x:c>
      <x:c r="G161" s="12" t="n">
        <x:v>46.8</x:v>
      </x:c>
      <x:c r="H161" s="12" t="n">
        <x:v>44</x:v>
      </x:c>
      <x:c r="I161" s="12" t="n">
        <x:v>45.9</x:v>
      </x:c>
      <x:c r="J161" s="11" t="n">
        <x:v>0.03494926719278468</x:v>
      </x:c>
      <x:c r="K161" s="14" t="n">
        <x:v>7314022</x:v>
      </x:c>
      <x:c r="L161" s="14" t="n">
        <x:v>336601923</x:v>
      </x:c>
      <x:c r="M161" s="11" t="n">
        <x:v>0.023237</x:v>
      </x:c>
    </x:row>
    <x:row r="162" ht="21" customHeight="1">
      <x:c r="A162" s="1" t="n">
        <x:v>17</x:v>
      </x:c>
      <x:c r="B162" s="1" t="n">
        <x:v>1</x:v>
      </x:c>
      <x:c r="C162" s="10" t="str">
        <x:f>"600066"</x:f>
        <x:v>600066</x:v>
      </x:c>
      <x:c r="D162" s="1" t="str">
        <x:v>宇通客车</x:v>
      </x:c>
      <x:c r="E162" s="12" t="n">
        <x:v>25.25</x:v>
      </x:c>
      <x:c r="F162" s="12" t="n">
        <x:v>25.26</x:v>
      </x:c>
      <x:c r="G162" s="12" t="n">
        <x:v>26.19</x:v>
      </x:c>
      <x:c r="H162" s="12" t="n">
        <x:v>25.26</x:v>
      </x:c>
      <x:c r="I162" s="12" t="n">
        <x:v>26.01</x:v>
      </x:c>
      <x:c r="J162" s="11" t="n">
        <x:v>0.030099009900990126</x:v>
      </x:c>
      <x:c r="K162" s="14" t="n">
        <x:v>30261133</x:v>
      </x:c>
      <x:c r="L162" s="14" t="n">
        <x:v>783915396</x:v>
      </x:c>
      <x:c r="M162" s="11" t="n">
        <x:v>0.013668</x:v>
      </x:c>
    </x:row>
    <x:row r="163" ht="21" customHeight="1">
      <x:c r="A163" s="1" t="n">
        <x:v>17</x:v>
      </x:c>
      <x:c r="B163" s="1" t="n">
        <x:v>2</x:v>
      </x:c>
      <x:c r="C163" s="10" t="str">
        <x:f>"300669"</x:f>
        <x:v>300669</x:v>
      </x:c>
      <x:c r="D163" s="1" t="str">
        <x:v>沪宁股份</x:v>
      </x:c>
      <x:c r="E163" s="12" t="n">
        <x:v>24.68</x:v>
      </x:c>
      <x:c r="F163" s="12" t="n">
        <x:v>25.06</x:v>
      </x:c>
      <x:c r="G163" s="12" t="n">
        <x:v>26.09</x:v>
      </x:c>
      <x:c r="H163" s="12" t="n">
        <x:v>24.88</x:v>
      </x:c>
      <x:c r="I163" s="12" t="n">
        <x:v>25.54</x:v>
      </x:c>
      <x:c r="J163" s="11" t="n">
        <x:v>0.034846029173419835</x:v>
      </x:c>
      <x:c r="K163" s="14" t="n">
        <x:v>3309700</x:v>
      </x:c>
      <x:c r="L163" s="14" t="n">
        <x:v>84619487</x:v>
      </x:c>
      <x:c r="M163" s="11" t="n">
        <x:v>0.018135</x:v>
      </x:c>
    </x:row>
    <x:row r="164" ht="21" customHeight="1">
      <x:c r="A164" s="1" t="n">
        <x:v>17</x:v>
      </x:c>
      <x:c r="B164" s="1" t="n">
        <x:v>3</x:v>
      </x:c>
      <x:c r="C164" s="10" t="str">
        <x:f>"603813"</x:f>
        <x:v>603813</x:v>
      </x:c>
      <x:c r="D164" s="1" t="str">
        <x:v>原尚股份</x:v>
      </x:c>
      <x:c r="E164" s="12" t="n">
        <x:v>25.5</x:v>
      </x:c>
      <x:c r="F164" s="12" t="n">
        <x:v>25.13</x:v>
      </x:c>
      <x:c r="G164" s="12" t="n">
        <x:v>27</x:v>
      </x:c>
      <x:c r="H164" s="12" t="n">
        <x:v>25.13</x:v>
      </x:c>
      <x:c r="I164" s="12" t="n">
        <x:v>26.72</x:v>
      </x:c>
      <x:c r="J164" s="11" t="n">
        <x:v>0.04784313725490197</x:v>
      </x:c>
      <x:c r="K164" s="14" t="n">
        <x:v>1050800</x:v>
      </x:c>
      <x:c r="L164" s="14" t="n">
        <x:v>27761859</x:v>
      </x:c>
      <x:c r="M164" s="11" t="n">
        <x:v>0.010006</x:v>
      </x:c>
    </x:row>
    <x:row r="165" ht="21" customHeight="1">
      <x:c r="A165" s="1" t="n">
        <x:v>17</x:v>
      </x:c>
      <x:c r="B165" s="1" t="n">
        <x:v>4</x:v>
      </x:c>
      <x:c r="C165" s="10" t="str">
        <x:f>"688082"</x:f>
        <x:v>688082</x:v>
      </x:c>
      <x:c r="D165" s="1" t="str">
        <x:v>盛美上海</x:v>
      </x:c>
      <x:c r="E165" s="12" t="n">
        <x:v>291.33</x:v>
      </x:c>
      <x:c r="F165" s="12" t="n">
        <x:v>291</x:v>
      </x:c>
      <x:c r="G165" s="12" t="n">
        <x:v>315.8</x:v>
      </x:c>
      <x:c r="H165" s="12" t="n">
        <x:v>288.21</x:v>
      </x:c>
      <x:c r="I165" s="12" t="n">
        <x:v>304.11</x:v>
      </x:c>
      <x:c r="J165" s="11" t="n">
        <x:v>0.043867778807537894</x:v>
      </x:c>
      <x:c r="K165" s="14" t="n">
        <x:v>7530166</x:v>
      </x:c>
      <x:c r="L165" s="14" t="n">
        <x:v>2297156080</x:v>
      </x:c>
      <x:c r="M165" s="11" t="n">
        <x:v>0.015615</x:v>
      </x:c>
    </x:row>
    <x:row r="166" ht="21" customHeight="1">
      <x:c r="A166" s="1" t="n">
        <x:v>17</x:v>
      </x:c>
      <x:c r="B166" s="1" t="n">
        <x:v>5</x:v>
      </x:c>
      <x:c r="C166" s="10" t="str">
        <x:f>"300081"</x:f>
        <x:v>300081</x:v>
      </x:c>
      <x:c r="D166" s="1" t="str">
        <x:v>恒信东方</x:v>
      </x:c>
      <x:c r="E166" s="12" t="n">
        <x:v>3.35</x:v>
      </x:c>
      <x:c r="F166" s="12" t="n">
        <x:v>3.38</x:v>
      </x:c>
      <x:c r="G166" s="12" t="n">
        <x:v>3.51</x:v>
      </x:c>
      <x:c r="H166" s="12" t="n">
        <x:v>3.38</x:v>
      </x:c>
      <x:c r="I166" s="12" t="n">
        <x:v>3.47</x:v>
      </x:c>
      <x:c r="J166" s="11" t="n">
        <x:v>0.035820895522387985</x:v>
      </x:c>
      <x:c r="K166" s="14" t="n">
        <x:v>6969600</x:v>
      </x:c>
      <x:c r="L166" s="14" t="n">
        <x:v>23988621</x:v>
      </x:c>
      <x:c r="M166" s="11" t="n">
        <x:v>0.011527</x:v>
      </x:c>
    </x:row>
    <x:row r="167" ht="21" customHeight="1">
      <x:c r="A167" s="1" t="n">
        <x:v>17</x:v>
      </x:c>
      <x:c r="B167" s="1" t="n">
        <x:v>6</x:v>
      </x:c>
      <x:c r="C167" s="10" t="str">
        <x:f>"600337"</x:f>
        <x:v>600337</x:v>
      </x:c>
      <x:c r="D167" s="1" t="str">
        <x:v>美克家居</x:v>
      </x:c>
      <x:c r="E167" s="12" t="n">
        <x:v>3.32</x:v>
      </x:c>
      <x:c r="F167" s="12" t="n">
        <x:v>3.42</x:v>
      </x:c>
      <x:c r="G167" s="12" t="n">
        <x:v>3.49</x:v>
      </x:c>
      <x:c r="H167" s="12" t="n">
        <x:v>3.3</x:v>
      </x:c>
      <x:c r="I167" s="12" t="n">
        <x:v>3.43</x:v>
      </x:c>
      <x:c r="J167" s="11" t="n">
        <x:v>0.03313253012048212</x:v>
      </x:c>
      <x:c r="K167" s="14" t="n">
        <x:v>36266562</x:v>
      </x:c>
      <x:c r="L167" s="14" t="n">
        <x:v>124191044</x:v>
      </x:c>
      <x:c r="M167" s="11" t="n">
        <x:v>0.025238</x:v>
      </x:c>
    </x:row>
    <x:row r="168" ht="21" customHeight="1">
      <x:c r="A168" s="1" t="n">
        <x:v>17</x:v>
      </x:c>
      <x:c r="B168" s="1" t="n">
        <x:v>7</x:v>
      </x:c>
      <x:c r="C168" s="10" t="str">
        <x:f>"688622"</x:f>
        <x:v>688622</x:v>
      </x:c>
      <x:c r="D168" s="1" t="str">
        <x:v>禾信仪器</x:v>
      </x:c>
      <x:c r="E168" s="12" t="n">
        <x:v>136.82</x:v>
      </x:c>
      <x:c r="F168" s="12" t="n">
        <x:v>137.99</x:v>
      </x:c>
      <x:c r="G168" s="12" t="n">
        <x:v>144.98</x:v>
      </x:c>
      <x:c r="H168" s="12" t="n">
        <x:v>134.02</x:v>
      </x:c>
      <x:c r="I168" s="12" t="n">
        <x:v>142.39</x:v>
      </x:c>
      <x:c r="J168" s="11" t="n">
        <x:v>0.04071042245285783</x:v>
      </x:c>
      <x:c r="K168" s="14" t="n">
        <x:v>823901</x:v>
      </x:c>
      <x:c r="L168" s="14" t="n">
        <x:v>115592363</x:v>
      </x:c>
      <x:c r="M168" s="11" t="n">
        <x:v>0.011692000000000001</x:v>
      </x:c>
    </x:row>
    <x:row r="169" ht="21" customHeight="1">
      <x:c r="A169" s="1" t="n">
        <x:v>17</x:v>
      </x:c>
      <x:c r="B169" s="1" t="n">
        <x:v>8</x:v>
      </x:c>
      <x:c r="C169" s="10" t="str">
        <x:f>"603511"</x:f>
        <x:v>603511</x:v>
      </x:c>
      <x:c r="D169" s="1" t="str">
        <x:v>爱慕股份</x:v>
      </x:c>
      <x:c r="E169" s="12" t="n">
        <x:v>12.42</x:v>
      </x:c>
      <x:c r="F169" s="12" t="n">
        <x:v>12.39</x:v>
      </x:c>
      <x:c r="G169" s="12" t="n">
        <x:v>12.88</x:v>
      </x:c>
      <x:c r="H169" s="12" t="n">
        <x:v>12.31</x:v>
      </x:c>
      <x:c r="I169" s="12" t="n">
        <x:v>12.77</x:v>
      </x:c>
      <x:c r="J169" s="11" t="n">
        <x:v>0.028180354267310692</x:v>
      </x:c>
      <x:c r="K169" s="14" t="n">
        <x:v>2216100</x:v>
      </x:c>
      <x:c r="L169" s="14" t="n">
        <x:v>28291603</x:v>
      </x:c>
      <x:c r="M169" s="11" t="n">
        <x:v>0.005514</x:v>
      </x:c>
    </x:row>
    <x:row r="170" ht="21" customHeight="1">
      <x:c r="A170" s="1" t="n">
        <x:v>17</x:v>
      </x:c>
      <x:c r="B170" s="1" t="n">
        <x:v>9</x:v>
      </x:c>
      <x:c r="C170" s="10" t="str">
        <x:f>"600897"</x:f>
        <x:v>600897</x:v>
      </x:c>
      <x:c r="D170" s="1" t="str">
        <x:v>厦门空港</x:v>
      </x:c>
      <x:c r="E170" s="12" t="n">
        <x:v>15.05</x:v>
      </x:c>
      <x:c r="F170" s="12" t="n">
        <x:v>15.01</x:v>
      </x:c>
      <x:c r="G170" s="12" t="n">
        <x:v>16.56</x:v>
      </x:c>
      <x:c r="H170" s="12" t="n">
        <x:v>14.91</x:v>
      </x:c>
      <x:c r="I170" s="12" t="n">
        <x:v>16.25</x:v>
      </x:c>
      <x:c r="J170" s="11" t="n">
        <x:v>0.07973421926910285</x:v>
      </x:c>
      <x:c r="K170" s="14" t="n">
        <x:v>10867518</x:v>
      </x:c>
      <x:c r="L170" s="14" t="n">
        <x:v>173303053</x:v>
      </x:c>
      <x:c r="M170" s="11" t="n">
        <x:v>0.026065</x:v>
      </x:c>
    </x:row>
    <x:row r="171" ht="21" customHeight="1">
      <x:c r="A171" s="1" t="n">
        <x:v>17</x:v>
      </x:c>
      <x:c r="B171" s="1" t="n">
        <x:v>10</x:v>
      </x:c>
      <x:c r="C171" s="10" t="str">
        <x:f>"002743"</x:f>
        <x:v>002743</x:v>
      </x:c>
      <x:c r="D171" s="1" t="str">
        <x:v>富煌钢构</x:v>
      </x:c>
      <x:c r="E171" s="12" t="n">
        <x:v>4.57</x:v>
      </x:c>
      <x:c r="F171" s="12" t="n">
        <x:v>4.58</x:v>
      </x:c>
      <x:c r="G171" s="12" t="n">
        <x:v>4.8</x:v>
      </x:c>
      <x:c r="H171" s="12" t="n">
        <x:v>4.54</x:v>
      </x:c>
      <x:c r="I171" s="12" t="n">
        <x:v>4.75</x:v>
      </x:c>
      <x:c r="J171" s="11" t="n">
        <x:v>0.0393873085339167</x:v>
      </x:c>
      <x:c r="K171" s="14" t="n">
        <x:v>16499080</x:v>
      </x:c>
      <x:c r="L171" s="14" t="n">
        <x:v>77050898.61</x:v>
      </x:c>
      <x:c r="M171" s="11" t="n">
        <x:v>0.037966</x:v>
      </x:c>
    </x:row>
    <x:row r="172" ht="21" customHeight="1">
      <x:c r="A172" s="1" t="n">
        <x:v>18</x:v>
      </x:c>
      <x:c r="B172" s="1" t="n">
        <x:v>1</x:v>
      </x:c>
      <x:c r="C172" s="10" t="str">
        <x:f>"002493"</x:f>
        <x:v>002493</x:v>
      </x:c>
      <x:c r="D172" s="1" t="str">
        <x:v>荣盛石化</x:v>
      </x:c>
      <x:c r="E172" s="12" t="n">
        <x:v>13.11</x:v>
      </x:c>
      <x:c r="F172" s="12" t="n">
        <x:v>13.04</x:v>
      </x:c>
      <x:c r="G172" s="12" t="n">
        <x:v>13.85</x:v>
      </x:c>
      <x:c r="H172" s="12" t="n">
        <x:v>12.98</x:v>
      </x:c>
      <x:c r="I172" s="12" t="n">
        <x:v>13.69</x:v>
      </x:c>
      <x:c r="J172" s="11" t="n">
        <x:v>0.0442410373760489</x:v>
      </x:c>
      <x:c r="K172" s="14" t="n">
        <x:v>62486386</x:v>
      </x:c>
      <x:c r="L172" s="14" t="n">
        <x:v>850326528.63</x:v>
      </x:c>
      <x:c r="M172" s="11" t="n">
        <x:v>0.006674</x:v>
      </x:c>
    </x:row>
    <x:row r="173" ht="21" customHeight="1">
      <x:c r="A173" s="1" t="n">
        <x:v>18</x:v>
      </x:c>
      <x:c r="B173" s="1" t="n">
        <x:v>2</x:v>
      </x:c>
      <x:c r="C173" s="10" t="str">
        <x:f>"600886"</x:f>
        <x:v>600886</x:v>
      </x:c>
      <x:c r="D173" s="1" t="str">
        <x:v>国投电力</x:v>
      </x:c>
      <x:c r="E173" s="12" t="n">
        <x:v>14.86</x:v>
      </x:c>
      <x:c r="F173" s="12" t="n">
        <x:v>14.84</x:v>
      </x:c>
      <x:c r="G173" s="12" t="n">
        <x:v>15.38</x:v>
      </x:c>
      <x:c r="H173" s="12" t="n">
        <x:v>14.81</x:v>
      </x:c>
      <x:c r="I173" s="12" t="n">
        <x:v>15.33</x:v>
      </x:c>
      <x:c r="J173" s="11" t="n">
        <x:v>0.031628532974428136</x:v>
      </x:c>
      <x:c r="K173" s="14" t="n">
        <x:v>51788917</x:v>
      </x:c>
      <x:c r="L173" s="14" t="n">
        <x:v>789745932</x:v>
      </x:c>
      <x:c r="M173" s="11" t="n">
        <x:v>0.006947999999999999</x:v>
      </x:c>
    </x:row>
    <x:row r="174" ht="21" customHeight="1">
      <x:c r="A174" s="1" t="n">
        <x:v>18</x:v>
      </x:c>
      <x:c r="B174" s="1" t="n">
        <x:v>3</x:v>
      </x:c>
      <x:c r="C174" s="10" t="str">
        <x:f>"600053"</x:f>
        <x:v>600053</x:v>
      </x:c>
      <x:c r="D174" s="1" t="str">
        <x:v>九鼎投资</x:v>
      </x:c>
      <x:c r="E174" s="12" t="n">
        <x:v>7.26</x:v>
      </x:c>
      <x:c r="F174" s="12" t="n">
        <x:v>7.2</x:v>
      </x:c>
      <x:c r="G174" s="12" t="n">
        <x:v>7.68</x:v>
      </x:c>
      <x:c r="H174" s="12" t="n">
        <x:v>7.15</x:v>
      </x:c>
      <x:c r="I174" s="12" t="n">
        <x:v>7.68</x:v>
      </x:c>
      <x:c r="J174" s="11" t="n">
        <x:v>0.05785123966942152</x:v>
      </x:c>
      <x:c r="K174" s="14" t="n">
        <x:v>3230100</x:v>
      </x:c>
      <x:c r="L174" s="14" t="n">
        <x:v>24004282</x:v>
      </x:c>
      <x:c r="M174" s="11" t="n">
        <x:v>0.007451</x:v>
      </x:c>
    </x:row>
    <x:row r="175" ht="21" customHeight="1">
      <x:c r="A175" s="1" t="n">
        <x:v>18</x:v>
      </x:c>
      <x:c r="B175" s="1" t="n">
        <x:v>4</x:v>
      </x:c>
      <x:c r="C175" s="10" t="str">
        <x:f>"002714"</x:f>
        <x:v>002714</x:v>
      </x:c>
      <x:c r="D175" s="1" t="str">
        <x:v>牧原股份</x:v>
      </x:c>
      <x:c r="E175" s="12" t="n">
        <x:v>40.48</x:v>
      </x:c>
      <x:c r="F175" s="12" t="n">
        <x:v>40.38</x:v>
      </x:c>
      <x:c r="G175" s="12" t="n">
        <x:v>41.95</x:v>
      </x:c>
      <x:c r="H175" s="12" t="n">
        <x:v>40.24</x:v>
      </x:c>
      <x:c r="I175" s="12" t="n">
        <x:v>41.71</x:v>
      </x:c>
      <x:c r="J175" s="11" t="n">
        <x:v>0.030385375494071276</x:v>
      </x:c>
      <x:c r="K175" s="14" t="n">
        <x:v>46567139</x:v>
      </x:c>
      <x:c r="L175" s="14" t="n">
        <x:v>1922902763.74</x:v>
      </x:c>
      <x:c r="M175" s="11" t="n">
        <x:v>0.014195</x:v>
      </x:c>
    </x:row>
    <x:row r="176" ht="21" customHeight="1">
      <x:c r="A176" s="1" t="n">
        <x:v>18</x:v>
      </x:c>
      <x:c r="B176" s="1" t="n">
        <x:v>5</x:v>
      </x:c>
      <x:c r="C176" s="10" t="str">
        <x:f>"300702"</x:f>
        <x:v>300702</x:v>
      </x:c>
      <x:c r="D176" s="1" t="str">
        <x:v>天宇股份</x:v>
      </x:c>
      <x:c r="E176" s="12" t="n">
        <x:v>21.3</x:v>
      </x:c>
      <x:c r="F176" s="12" t="n">
        <x:v>21.68</x:v>
      </x:c>
      <x:c r="G176" s="12" t="n">
        <x:v>22.25</x:v>
      </x:c>
      <x:c r="H176" s="12" t="n">
        <x:v>21.13</x:v>
      </x:c>
      <x:c r="I176" s="12" t="n">
        <x:v>22.25</x:v>
      </x:c>
      <x:c r="J176" s="11" t="n">
        <x:v>0.04460093896713602</x:v>
      </x:c>
      <x:c r="K176" s="14" t="n">
        <x:v>3502377</x:v>
      </x:c>
      <x:c r="L176" s="14" t="n">
        <x:v>76012269.3</x:v>
      </x:c>
      <x:c r="M176" s="11" t="n">
        <x:v>0.016587</x:v>
      </x:c>
    </x:row>
    <x:row r="177" ht="21" customHeight="1">
      <x:c r="A177" s="1" t="n">
        <x:v>18</x:v>
      </x:c>
      <x:c r="B177" s="1" t="n">
        <x:v>6</x:v>
      </x:c>
      <x:c r="C177" s="10" t="str">
        <x:f>"600795"</x:f>
        <x:v>600795</x:v>
      </x:c>
      <x:c r="D177" s="1" t="str">
        <x:v>国电电力</x:v>
      </x:c>
      <x:c r="E177" s="12" t="n">
        <x:v>5.24</x:v>
      </x:c>
      <x:c r="F177" s="12" t="n">
        <x:v>5.25</x:v>
      </x:c>
      <x:c r="G177" s="12" t="n">
        <x:v>5.42</x:v>
      </x:c>
      <x:c r="H177" s="12" t="n">
        <x:v>5.23</x:v>
      </x:c>
      <x:c r="I177" s="12" t="n">
        <x:v>5.4</x:v>
      </x:c>
      <x:c r="J177" s="11" t="n">
        <x:v>0.03053435114503822</x:v>
      </x:c>
      <x:c r="K177" s="14" t="n">
        <x:v>173000295</x:v>
      </x:c>
      <x:c r="L177" s="14" t="n">
        <x:v>929257516</x:v>
      </x:c>
      <x:c r="M177" s="11" t="n">
        <x:v>0.0097</x:v>
      </x:c>
    </x:row>
    <x:row r="178" ht="21" customHeight="1">
      <x:c r="A178" s="1" t="n">
        <x:v>18</x:v>
      </x:c>
      <x:c r="B178" s="1" t="n">
        <x:v>7</x:v>
      </x:c>
      <x:c r="C178" s="10" t="str">
        <x:f>"300832"</x:f>
        <x:v>300832</x:v>
      </x:c>
      <x:c r="D178" s="1" t="str">
        <x:v>新产业</x:v>
      </x:c>
      <x:c r="E178" s="12" t="n">
        <x:v>47.73</x:v>
      </x:c>
      <x:c r="F178" s="12" t="n">
        <x:v>47.83</x:v>
      </x:c>
      <x:c r="G178" s="12" t="n">
        <x:v>49.9</x:v>
      </x:c>
      <x:c r="H178" s="12" t="n">
        <x:v>47.73</x:v>
      </x:c>
      <x:c r="I178" s="12" t="n">
        <x:v>49.61</x:v>
      </x:c>
      <x:c r="J178" s="11" t="n">
        <x:v>0.03938822543473708</x:v>
      </x:c>
      <x:c r="K178" s="14" t="n">
        <x:v>4648602</x:v>
      </x:c>
      <x:c r="L178" s="14" t="n">
        <x:v>228719515.24</x:v>
      </x:c>
      <x:c r="M178" s="11" t="n">
        <x:v>0.006805</x:v>
      </x:c>
    </x:row>
    <x:row r="179" ht="21" customHeight="1">
      <x:c r="A179" s="1" t="n">
        <x:v>18</x:v>
      </x:c>
      <x:c r="B179" s="1" t="n">
        <x:v>8</x:v>
      </x:c>
      <x:c r="C179" s="10" t="str">
        <x:f>"002244"</x:f>
        <x:v>002244</x:v>
      </x:c>
      <x:c r="D179" s="1" t="str">
        <x:v>滨江集团</x:v>
      </x:c>
      <x:c r="E179" s="12" t="n">
        <x:v>8.32</x:v>
      </x:c>
      <x:c r="F179" s="12" t="n">
        <x:v>8.3</x:v>
      </x:c>
      <x:c r="G179" s="12" t="n">
        <x:v>8.67</x:v>
      </x:c>
      <x:c r="H179" s="12" t="n">
        <x:v>8.15</x:v>
      </x:c>
      <x:c r="I179" s="12" t="n">
        <x:v>8.6</x:v>
      </x:c>
      <x:c r="J179" s="11" t="n">
        <x:v>0.033653846153846034</x:v>
      </x:c>
      <x:c r="K179" s="14" t="n">
        <x:v>49514277</x:v>
      </x:c>
      <x:c r="L179" s="14" t="n">
        <x:v>421739912.73</x:v>
      </x:c>
      <x:c r="M179" s="11" t="n">
        <x:v>0.017956</x:v>
      </x:c>
    </x:row>
    <x:row r="180" ht="21" customHeight="1">
      <x:c r="A180" s="1" t="n">
        <x:v>18</x:v>
      </x:c>
      <x:c r="B180" s="1" t="n">
        <x:v>9</x:v>
      </x:c>
      <x:c r="C180" s="10" t="str">
        <x:f>"688622"</x:f>
        <x:v>688622</x:v>
      </x:c>
      <x:c r="D180" s="1" t="str">
        <x:v>禾信仪器</x:v>
      </x:c>
      <x:c r="E180" s="12" t="n">
        <x:v>142.39</x:v>
      </x:c>
      <x:c r="F180" s="12" t="n">
        <x:v>142.58</x:v>
      </x:c>
      <x:c r="G180" s="12" t="n">
        <x:v>147.8</x:v>
      </x:c>
      <x:c r="H180" s="12" t="n">
        <x:v>138.11</x:v>
      </x:c>
      <x:c r="I180" s="12" t="n">
        <x:v>145.18</x:v>
      </x:c>
      <x:c r="J180" s="11" t="n">
        <x:v>0.01959407261745927</x:v>
      </x:c>
      <x:c r="K180" s="14" t="n">
        <x:v>917175</x:v>
      </x:c>
      <x:c r="L180" s="14" t="n">
        <x:v>131011201</x:v>
      </x:c>
      <x:c r="M180" s="11" t="n">
        <x:v>0.013016000000000002</x:v>
      </x:c>
    </x:row>
    <x:row r="181" ht="21" customHeight="1">
      <x:c r="A181" s="1" t="n">
        <x:v>18</x:v>
      </x:c>
      <x:c r="B181" s="1" t="n">
        <x:v>10</x:v>
      </x:c>
      <x:c r="C181" s="10" t="str">
        <x:f>"601858"</x:f>
        <x:v>601858</x:v>
      </x:c>
      <x:c r="D181" s="1" t="str">
        <x:v>中国科传</x:v>
      </x:c>
      <x:c r="E181" s="12" t="n">
        <x:v>20.9</x:v>
      </x:c>
      <x:c r="F181" s="12" t="n">
        <x:v>21.16</x:v>
      </x:c>
      <x:c r="G181" s="12" t="n">
        <x:v>21.84</x:v>
      </x:c>
      <x:c r="H181" s="12" t="n">
        <x:v>20.76</x:v>
      </x:c>
      <x:c r="I181" s="12" t="n">
        <x:v>21.65</x:v>
      </x:c>
      <x:c r="J181" s="11" t="n">
        <x:v>0.03588516746411474</x:v>
      </x:c>
      <x:c r="K181" s="14" t="n">
        <x:v>12974410</x:v>
      </x:c>
      <x:c r="L181" s="14" t="n">
        <x:v>277503782</x:v>
      </x:c>
      <x:c r="M181" s="11" t="n">
        <x:v>0.016413</x:v>
      </x:c>
    </x:row>
    <x:row r="182" ht="21" customHeight="1">
      <x:c r="A182" s="1" t="n">
        <x:v>19</x:v>
      </x:c>
      <x:c r="B182" s="1" t="n">
        <x:v>1</x:v>
      </x:c>
      <x:c r="C182" s="10" t="str">
        <x:f>"601869"</x:f>
        <x:v>601869</x:v>
      </x:c>
      <x:c r="D182" s="1" t="str">
        <x:v>长飞光纤</x:v>
      </x:c>
      <x:c r="E182" s="12" t="n">
        <x:v>394.22</x:v>
      </x:c>
      <x:c r="F182" s="12" t="n">
        <x:v>392.7</x:v>
      </x:c>
      <x:c r="G182" s="12" t="n">
        <x:v>411.58</x:v>
      </x:c>
      <x:c r="H182" s="12" t="n">
        <x:v>389</x:v>
      </x:c>
      <x:c r="I182" s="12" t="n">
        <x:v>407.95</x:v>
      </x:c>
      <x:c r="J182" s="11" t="n">
        <x:v>0.034828268479529134</x:v>
      </x:c>
      <x:c r="K182" s="14" t="n">
        <x:v>9525182</x:v>
      </x:c>
      <x:c r="L182" s="14" t="n">
        <x:v>3821835526</x:v>
      </x:c>
      <x:c r="M182" s="11" t="n">
        <x:v>0.023441999999999998</x:v>
      </x:c>
    </x:row>
    <x:row r="183" ht="21" customHeight="1">
      <x:c r="A183" s="1" t="n">
        <x:v>19</x:v>
      </x:c>
      <x:c r="B183" s="1" t="n">
        <x:v>2</x:v>
      </x:c>
      <x:c r="C183" s="10" t="str">
        <x:f>"601600"</x:f>
        <x:v>601600</x:v>
      </x:c>
      <x:c r="D183" s="1" t="str">
        <x:v>中国铝业</x:v>
      </x:c>
      <x:c r="E183" s="12" t="n">
        <x:v>8.68</x:v>
      </x:c>
      <x:c r="F183" s="12" t="n">
        <x:v>8.73</x:v>
      </x:c>
      <x:c r="G183" s="12" t="n">
        <x:v>8.98</x:v>
      </x:c>
      <x:c r="H183" s="12" t="n">
        <x:v>8.68</x:v>
      </x:c>
      <x:c r="I183" s="12" t="n">
        <x:v>8.94</x:v>
      </x:c>
      <x:c r="J183" s="11" t="n">
        <x:v>0.02995391705069128</x:v>
      </x:c>
      <x:c r="K183" s="14" t="n">
        <x:v>138658623</x:v>
      </x:c>
      <x:c r="L183" s="14" t="n">
        <x:v>1223294708</x:v>
      </x:c>
      <x:c r="M183" s="11" t="n">
        <x:v>0.010502000000000001</x:v>
      </x:c>
    </x:row>
    <x:row r="184" ht="21" customHeight="1">
      <x:c r="A184" s="1" t="n">
        <x:v>19</x:v>
      </x:c>
      <x:c r="B184" s="1" t="n">
        <x:v>3</x:v>
      </x:c>
      <x:c r="C184" s="10" t="str">
        <x:f>"000631"</x:f>
        <x:v>000631</x:v>
      </x:c>
      <x:c r="D184" s="1" t="str">
        <x:v>顺发恒业</x:v>
      </x:c>
      <x:c r="E184" s="12" t="n">
        <x:v>2.96</x:v>
      </x:c>
      <x:c r="F184" s="12" t="n">
        <x:v>2.97</x:v>
      </x:c>
      <x:c r="G184" s="12" t="n">
        <x:v>3.05</x:v>
      </x:c>
      <x:c r="H184" s="12" t="n">
        <x:v>2.96</x:v>
      </x:c>
      <x:c r="I184" s="12" t="n">
        <x:v>3.04</x:v>
      </x:c>
      <x:c r="J184" s="11" t="n">
        <x:v>0.027027027027026973</x:v>
      </x:c>
      <x:c r="K184" s="14" t="n">
        <x:v>12195708</x:v>
      </x:c>
      <x:c r="L184" s="14" t="n">
        <x:v>36944302</x:v>
      </x:c>
      <x:c r="M184" s="11" t="n">
        <x:v>0.005302</x:v>
      </x:c>
    </x:row>
    <x:row r="185" ht="21" customHeight="1">
      <x:c r="A185" s="1" t="n">
        <x:v>19</x:v>
      </x:c>
      <x:c r="B185" s="1" t="n">
        <x:v>4</x:v>
      </x:c>
      <x:c r="C185" s="10" t="str">
        <x:f>"601168"</x:f>
        <x:v>601168</x:v>
      </x:c>
      <x:c r="D185" s="1" t="str">
        <x:v>西部矿业</x:v>
      </x:c>
      <x:c r="E185" s="12" t="n">
        <x:v>33.77</x:v>
      </x:c>
      <x:c r="F185" s="12" t="n">
        <x:v>33.6</x:v>
      </x:c>
      <x:c r="G185" s="12" t="n">
        <x:v>35.25</x:v>
      </x:c>
      <x:c r="H185" s="12" t="n">
        <x:v>33.5</x:v>
      </x:c>
      <x:c r="I185" s="12" t="n">
        <x:v>35.17</x:v>
      </x:c>
      <x:c r="J185" s="11" t="n">
        <x:v>0.04145691442108368</x:v>
      </x:c>
      <x:c r="K185" s="14" t="n">
        <x:v>25821077</x:v>
      </x:c>
      <x:c r="L185" s="14" t="n">
        <x:v>889642993</x:v>
      </x:c>
      <x:c r="M185" s="11" t="n">
        <x:v>0.010835999999999998</x:v>
      </x:c>
    </x:row>
    <x:row r="186" ht="21" customHeight="1">
      <x:c r="A186" s="1" t="n">
        <x:v>19</x:v>
      </x:c>
      <x:c r="B186" s="1" t="n">
        <x:v>5</x:v>
      </x:c>
      <x:c r="C186" s="10" t="str">
        <x:f>"002919"</x:f>
        <x:v>002919</x:v>
      </x:c>
      <x:c r="D186" s="1" t="str">
        <x:v>名臣健康</x:v>
      </x:c>
      <x:c r="E186" s="12" t="n">
        <x:v>15.72</x:v>
      </x:c>
      <x:c r="F186" s="12" t="n">
        <x:v>15.68</x:v>
      </x:c>
      <x:c r="G186" s="12" t="n">
        <x:v>16.21</x:v>
      </x:c>
      <x:c r="H186" s="12" t="n">
        <x:v>15.44</x:v>
      </x:c>
      <x:c r="I186" s="12" t="n">
        <x:v>16.1</x:v>
      </x:c>
      <x:c r="J186" s="11" t="n">
        <x:v>0.024173027989822016</x:v>
      </x:c>
      <x:c r="K186" s="14" t="n">
        <x:v>3466491</x:v>
      </x:c>
      <x:c r="L186" s="14" t="n">
        <x:v>55404250.81</x:v>
      </x:c>
      <x:c r="M186" s="11" t="n">
        <x:v>0.01312</x:v>
      </x:c>
    </x:row>
    <x:row r="187" ht="21" customHeight="1">
      <x:c r="A187" s="1" t="n">
        <x:v>19</x:v>
      </x:c>
      <x:c r="B187" s="1" t="n">
        <x:v>6</x:v>
      </x:c>
      <x:c r="C187" s="10" t="str">
        <x:f>"300394"</x:f>
        <x:v>300394</x:v>
      </x:c>
      <x:c r="D187" s="1" t="str">
        <x:v>天孚通信</x:v>
      </x:c>
      <x:c r="E187" s="12" t="n">
        <x:v>244.8</x:v>
      </x:c>
      <x:c r="F187" s="12" t="n">
        <x:v>245.2</x:v>
      </x:c>
      <x:c r="G187" s="12" t="n">
        <x:v>258</x:v>
      </x:c>
      <x:c r="H187" s="12" t="n">
        <x:v>242.16</x:v>
      </x:c>
      <x:c r="I187" s="12" t="n">
        <x:v>255.99</x:v>
      </x:c>
      <x:c r="J187" s="11" t="n">
        <x:v>0.04571078431372544</x:v>
      </x:c>
      <x:c r="K187" s="14" t="n">
        <x:v>29146687</x:v>
      </x:c>
      <x:c r="L187" s="14" t="n">
        <x:v>7359507758.66</x:v>
      </x:c>
      <x:c r="M187" s="11" t="n">
        <x:v>0.026779999999999998</x:v>
      </x:c>
    </x:row>
    <x:row r="188" ht="21" customHeight="1">
      <x:c r="A188" s="1" t="n">
        <x:v>19</x:v>
      </x:c>
      <x:c r="B188" s="1" t="n">
        <x:v>7</x:v>
      </x:c>
      <x:c r="C188" s="10" t="str">
        <x:f>"000898"</x:f>
        <x:v>000898</x:v>
      </x:c>
      <x:c r="D188" s="1" t="str">
        <x:v>鞍钢股份</x:v>
      </x:c>
      <x:c r="E188" s="12" t="n">
        <x:v>1.97</x:v>
      </x:c>
      <x:c r="F188" s="12" t="n">
        <x:v>1.97</x:v>
      </x:c>
      <x:c r="G188" s="12" t="n">
        <x:v>2.03</x:v>
      </x:c>
      <x:c r="H188" s="12" t="n">
        <x:v>1.97</x:v>
      </x:c>
      <x:c r="I188" s="12" t="n">
        <x:v>2.02</x:v>
      </x:c>
      <x:c r="J188" s="11" t="n">
        <x:v>0.025380710659898442</x:v>
      </x:c>
      <x:c r="K188" s="14" t="n">
        <x:v>35687650</x:v>
      </x:c>
      <x:c r="L188" s="14" t="n">
        <x:v>71790430.6</x:v>
      </x:c>
      <x:c r="M188" s="11" t="n">
        <x:v>0.004485</x:v>
      </x:c>
    </x:row>
    <x:row r="189" ht="21" customHeight="1">
      <x:c r="A189" s="1" t="n">
        <x:v>19</x:v>
      </x:c>
      <x:c r="B189" s="1" t="n">
        <x:v>8</x:v>
      </x:c>
      <x:c r="C189" s="10" t="str">
        <x:f>"688208"</x:f>
        <x:v>688208</x:v>
      </x:c>
      <x:c r="D189" s="1" t="str">
        <x:v>道通科技</x:v>
      </x:c>
      <x:c r="E189" s="12" t="n">
        <x:v>24.69</x:v>
      </x:c>
      <x:c r="F189" s="12" t="n">
        <x:v>24.76</x:v>
      </x:c>
      <x:c r="G189" s="12" t="n">
        <x:v>25.52</x:v>
      </x:c>
      <x:c r="H189" s="12" t="n">
        <x:v>24.68</x:v>
      </x:c>
      <x:c r="I189" s="12" t="n">
        <x:v>25.38</x:v>
      </x:c>
      <x:c r="J189" s="11" t="n">
        <x:v>0.0279465370595382</x:v>
      </x:c>
      <x:c r="K189" s="14" t="n">
        <x:v>5021274</x:v>
      </x:c>
      <x:c r="L189" s="14" t="n">
        <x:v>126261804</x:v>
      </x:c>
      <x:c r="M189" s="11" t="n">
        <x:v>0.0074919999999999995</x:v>
      </x:c>
    </x:row>
    <x:row r="190" ht="21" customHeight="1">
      <x:c r="A190" s="1" t="n">
        <x:v>19</x:v>
      </x:c>
      <x:c r="B190" s="1" t="n">
        <x:v>9</x:v>
      </x:c>
      <x:c r="C190" s="10" t="str">
        <x:f>"688280"</x:f>
        <x:v>688280</x:v>
      </x:c>
      <x:c r="D190" s="1" t="str">
        <x:v>精进电动</x:v>
      </x:c>
      <x:c r="E190" s="12" t="n">
        <x:v>4.87</x:v>
      </x:c>
      <x:c r="F190" s="12" t="n">
        <x:v>4.83</x:v>
      </x:c>
      <x:c r="G190" s="12" t="n">
        <x:v>5.05</x:v>
      </x:c>
      <x:c r="H190" s="12" t="n">
        <x:v>4.83</x:v>
      </x:c>
      <x:c r="I190" s="12" t="n">
        <x:v>5</x:v>
      </x:c>
      <x:c r="J190" s="11" t="n">
        <x:v>0.026694045174537884</x:v>
      </x:c>
      <x:c r="K190" s="14" t="n">
        <x:v>10839741</x:v>
      </x:c>
      <x:c r="L190" s="14" t="n">
        <x:v>54030244</x:v>
      </x:c>
      <x:c r="M190" s="11" t="n">
        <x:v>0.020824</x:v>
      </x:c>
    </x:row>
    <x:row r="191" ht="21" customHeight="1">
      <x:c r="A191" s="1" t="n">
        <x:v>19</x:v>
      </x:c>
      <x:c r="B191" s="1" t="n">
        <x:v>10</x:v>
      </x:c>
      <x:c r="C191" s="10" t="str">
        <x:f>"600231"</x:f>
        <x:v>600231</x:v>
      </x:c>
      <x:c r="D191" s="1" t="str">
        <x:v>凌钢股份</x:v>
      </x:c>
      <x:c r="E191" s="12" t="n">
        <x:v>1.61</x:v>
      </x:c>
      <x:c r="F191" s="12" t="n">
        <x:v>1.63</x:v>
      </x:c>
      <x:c r="G191" s="12" t="n">
        <x:v>1.67</x:v>
      </x:c>
      <x:c r="H191" s="12" t="n">
        <x:v>1.61</x:v>
      </x:c>
      <x:c r="I191" s="12" t="n">
        <x:v>1.65</x:v>
      </x:c>
      <x:c r="J191" s="11" t="n">
        <x:v>0.024844720496894235</x:v>
      </x:c>
      <x:c r="K191" s="14" t="n">
        <x:v>29131290</x:v>
      </x:c>
      <x:c r="L191" s="14" t="n">
        <x:v>48007967</x:v>
      </x:c>
      <x:c r="M191" s="11" t="n">
        <x:v>0.010270999999999999</x:v>
      </x:c>
    </x:row>
    <x:row r="192" ht="21" customHeight="1">
      <x:c r="A192" s="1" t="n">
        <x:v>20</x:v>
      </x:c>
      <x:c r="B192" s="1" t="n">
        <x:v>1</x:v>
      </x:c>
      <x:c r="C192" s="10" t="str">
        <x:f>"603259"</x:f>
        <x:v>603259</x:v>
      </x:c>
      <x:c r="D192" s="1" t="str">
        <x:v>药明康德</x:v>
      </x:c>
      <x:c r="E192" s="12" t="n">
        <x:v>160.66</x:v>
      </x:c>
      <x:c r="F192" s="12" t="n">
        <x:v>160.01</x:v>
      </x:c>
      <x:c r="G192" s="12" t="n">
        <x:v>169.2</x:v>
      </x:c>
      <x:c r="H192" s="12" t="n">
        <x:v>159.4</x:v>
      </x:c>
      <x:c r="I192" s="12" t="n">
        <x:v>167.34</x:v>
      </x:c>
      <x:c r="J192" s="11" t="n">
        <x:v>0.041578488733972296</x:v>
      </x:c>
      <x:c r="K192" s="14" t="n">
        <x:v>44950902</x:v>
      </x:c>
      <x:c r="L192" s="14" t="n">
        <x:v>7441616091</x:v>
      </x:c>
      <x:c r="M192" s="11" t="n">
        <x:v>0.018175</x:v>
      </x:c>
    </x:row>
    <x:row r="193" ht="21" customHeight="1">
      <x:c r="A193" s="1" t="n">
        <x:v>20</x:v>
      </x:c>
      <x:c r="B193" s="1" t="n">
        <x:v>2</x:v>
      </x:c>
      <x:c r="C193" s="10" t="str">
        <x:f>"600000"</x:f>
        <x:v>600000</x:v>
      </x:c>
      <x:c r="D193" s="1" t="str">
        <x:v>浦发银行</x:v>
      </x:c>
      <x:c r="E193" s="12" t="n">
        <x:v>9.18</x:v>
      </x:c>
      <x:c r="F193" s="12" t="n">
        <x:v>9.22</x:v>
      </x:c>
      <x:c r="G193" s="12" t="n">
        <x:v>9.49</x:v>
      </x:c>
      <x:c r="H193" s="12" t="n">
        <x:v>9.16</x:v>
      </x:c>
      <x:c r="I193" s="12" t="n">
        <x:v>9.48</x:v>
      </x:c>
      <x:c r="J193" s="11" t="n">
        <x:v>0.03267973856209161</x:v>
      </x:c>
      <x:c r="K193" s="14" t="n">
        <x:v>147484820</x:v>
      </x:c>
      <x:c r="L193" s="14" t="n">
        <x:v>1386209937</x:v>
      </x:c>
      <x:c r="M193" s="11" t="n">
        <x:v>0.0044280000000000005</x:v>
      </x:c>
    </x:row>
    <x:row r="194" ht="21" customHeight="1">
      <x:c r="A194" s="1" t="n">
        <x:v>20</x:v>
      </x:c>
      <x:c r="B194" s="1" t="n">
        <x:v>3</x:v>
      </x:c>
      <x:c r="C194" s="10" t="str">
        <x:f>"600415"</x:f>
        <x:v>600415</x:v>
      </x:c>
      <x:c r="D194" s="1" t="str">
        <x:v>小商品城</x:v>
      </x:c>
      <x:c r="E194" s="12" t="n">
        <x:v>10.72</x:v>
      </x:c>
      <x:c r="F194" s="12" t="n">
        <x:v>10.73</x:v>
      </x:c>
      <x:c r="G194" s="12" t="n">
        <x:v>11.12</x:v>
      </x:c>
      <x:c r="H194" s="12" t="n">
        <x:v>10.73</x:v>
      </x:c>
      <x:c r="I194" s="12" t="n">
        <x:v>11.08</x:v>
      </x:c>
      <x:c r="J194" s="11" t="n">
        <x:v>0.033582089552238736</x:v>
      </x:c>
      <x:c r="K194" s="14" t="n">
        <x:v>44263400</x:v>
      </x:c>
      <x:c r="L194" s="14" t="n">
        <x:v>484470540</x:v>
      </x:c>
      <x:c r="M194" s="11" t="n">
        <x:v>0.008072000000000001</x:v>
      </x:c>
    </x:row>
    <x:row r="195" ht="21" customHeight="1">
      <x:c r="A195" s="1" t="n">
        <x:v>20</x:v>
      </x:c>
      <x:c r="B195" s="1" t="n">
        <x:v>4</x:v>
      </x:c>
      <x:c r="C195" s="10" t="str">
        <x:f>"603130"</x:f>
        <x:v>603130</x:v>
      </x:c>
      <x:c r="D195" s="1" t="str">
        <x:v>云中马</x:v>
      </x:c>
      <x:c r="E195" s="12" t="n">
        <x:v>38.66</x:v>
      </x:c>
      <x:c r="F195" s="12" t="n">
        <x:v>39.01</x:v>
      </x:c>
      <x:c r="G195" s="12" t="n">
        <x:v>40.47</x:v>
      </x:c>
      <x:c r="H195" s="12" t="n">
        <x:v>38.55</x:v>
      </x:c>
      <x:c r="I195" s="12" t="n">
        <x:v>39.63</x:v>
      </x:c>
      <x:c r="J195" s="11" t="n">
        <x:v>0.025090532850491565</x:v>
      </x:c>
      <x:c r="K195" s="14" t="n">
        <x:v>1772747</x:v>
      </x:c>
      <x:c r="L195" s="14" t="n">
        <x:v>70010083</x:v>
      </x:c>
      <x:c r="M195" s="11" t="n">
        <x:v>0.012891</x:v>
      </x:c>
    </x:row>
    <x:row r="196" ht="21" customHeight="1">
      <x:c r="A196" s="1" t="n">
        <x:v>20</x:v>
      </x:c>
      <x:c r="B196" s="1" t="n">
        <x:v>5</x:v>
      </x:c>
      <x:c r="C196" s="10" t="str">
        <x:f>"300677"</x:f>
        <x:v>300677</x:v>
      </x:c>
      <x:c r="D196" s="1" t="str">
        <x:v>英科医疗</x:v>
      </x:c>
      <x:c r="E196" s="12" t="n">
        <x:v>49.18</x:v>
      </x:c>
      <x:c r="F196" s="12" t="n">
        <x:v>49.26</x:v>
      </x:c>
      <x:c r="G196" s="12" t="n">
        <x:v>51.2</x:v>
      </x:c>
      <x:c r="H196" s="12" t="n">
        <x:v>49.01</x:v>
      </x:c>
      <x:c r="I196" s="12" t="n">
        <x:v>50.96</x:v>
      </x:c>
      <x:c r="J196" s="11" t="n">
        <x:v>0.03619357462383088</x:v>
      </x:c>
      <x:c r="K196" s="14" t="n">
        <x:v>8159346</x:v>
      </x:c>
      <x:c r="L196" s="14" t="n">
        <x:v>412767511.91</x:v>
      </x:c>
      <x:c r="M196" s="11" t="n">
        <x:v>0.017523999999999998</x:v>
      </x:c>
    </x:row>
    <x:row r="197" ht="21" customHeight="1">
      <x:c r="A197" s="1" t="n">
        <x:v>20</x:v>
      </x:c>
      <x:c r="B197" s="1" t="n">
        <x:v>6</x:v>
      </x:c>
      <x:c r="C197" s="10" t="str">
        <x:f>"600276"</x:f>
        <x:v>600276</x:v>
      </x:c>
      <x:c r="D197" s="1" t="str">
        <x:v>恒瑞医药</x:v>
      </x:c>
      <x:c r="E197" s="12" t="n">
        <x:v>45.62</x:v>
      </x:c>
      <x:c r="F197" s="12" t="n">
        <x:v>45.6</x:v>
      </x:c>
      <x:c r="G197" s="12" t="n">
        <x:v>47.39</x:v>
      </x:c>
      <x:c r="H197" s="12" t="n">
        <x:v>45.25</x:v>
      </x:c>
      <x:c r="I197" s="12" t="n">
        <x:v>47.2</x:v>
      </x:c>
      <x:c r="J197" s="11" t="n">
        <x:v>0.034633932485752084</x:v>
      </x:c>
      <x:c r="K197" s="14" t="n">
        <x:v>112164009</x:v>
      </x:c>
      <x:c r="L197" s="14" t="n">
        <x:v>5234863148</x:v>
      </x:c>
      <x:c r="M197" s="11" t="n">
        <x:v>0.017583</x:v>
      </x:c>
    </x:row>
    <x:row r="198" ht="21" customHeight="1">
      <x:c r="A198" s="1" t="n">
        <x:v>20</x:v>
      </x:c>
      <x:c r="B198" s="1" t="n">
        <x:v>7</x:v>
      </x:c>
      <x:c r="C198" s="10" t="str">
        <x:f>"600547"</x:f>
        <x:v>600547</x:v>
      </x:c>
      <x:c r="D198" s="1" t="str">
        <x:v>山东黄金</x:v>
      </x:c>
      <x:c r="E198" s="12" t="n">
        <x:v>26.49</x:v>
      </x:c>
      <x:c r="F198" s="12" t="n">
        <x:v>26.7</x:v>
      </x:c>
      <x:c r="G198" s="12" t="n">
        <x:v>27.47</x:v>
      </x:c>
      <x:c r="H198" s="12" t="n">
        <x:v>26.5</x:v>
      </x:c>
      <x:c r="I198" s="12" t="n">
        <x:v>27.3</x:v>
      </x:c>
      <x:c r="J198" s="11" t="n">
        <x:v>0.0305775764439411</x:v>
      </x:c>
      <x:c r="K198" s="14" t="n">
        <x:v>87199909</x:v>
      </x:c>
      <x:c r="L198" s="14" t="n">
        <x:v>2361825199</x:v>
      </x:c>
      <x:c r="M198" s="11" t="n">
        <x:v>0.024125</x:v>
      </x:c>
    </x:row>
    <x:row r="199" ht="21" customHeight="1">
      <x:c r="A199" s="1" t="n">
        <x:v>20</x:v>
      </x:c>
      <x:c r="B199" s="1" t="n">
        <x:v>8</x:v>
      </x:c>
      <x:c r="C199" s="10" t="str">
        <x:f>"600809"</x:f>
        <x:v>600809</x:v>
      </x:c>
      <x:c r="D199" s="1" t="str">
        <x:v>山西汾酒</x:v>
      </x:c>
      <x:c r="E199" s="12" t="n">
        <x:v>111.5</x:v>
      </x:c>
      <x:c r="F199" s="12" t="n">
        <x:v>111.96</x:v>
      </x:c>
      <x:c r="G199" s="12" t="n">
        <x:v>117</x:v>
      </x:c>
      <x:c r="H199" s="12" t="n">
        <x:v>111.01</x:v>
      </x:c>
      <x:c r="I199" s="12" t="n">
        <x:v>115.6</x:v>
      </x:c>
      <x:c r="J199" s="11" t="n">
        <x:v>0.036771300448430466</x:v>
      </x:c>
      <x:c r="K199" s="14" t="n">
        <x:v>7440075</x:v>
      </x:c>
      <x:c r="L199" s="14" t="n">
        <x:v>853582842</x:v>
      </x:c>
      <x:c r="M199" s="11" t="n">
        <x:v>0.006099</x:v>
      </x:c>
    </x:row>
    <x:row r="200" ht="21" customHeight="1">
      <x:c r="A200" s="1" t="n">
        <x:v>20</x:v>
      </x:c>
      <x:c r="B200" s="1" t="n">
        <x:v>9</x:v>
      </x:c>
      <x:c r="C200" s="10" t="str">
        <x:f>"688223"</x:f>
        <x:v>688223</x:v>
      </x:c>
      <x:c r="D200" s="1" t="str">
        <x:v>晶科能源</x:v>
      </x:c>
      <x:c r="E200" s="12" t="n">
        <x:v>3.74</x:v>
      </x:c>
      <x:c r="F200" s="12" t="n">
        <x:v>3.76</x:v>
      </x:c>
      <x:c r="G200" s="12" t="n">
        <x:v>3.87</x:v>
      </x:c>
      <x:c r="H200" s="12" t="n">
        <x:v>3.75</x:v>
      </x:c>
      <x:c r="I200" s="12" t="n">
        <x:v>3.83</x:v>
      </x:c>
      <x:c r="J200" s="11" t="n">
        <x:v>0.024064171122994527</x:v>
      </x:c>
      <x:c r="K200" s="14" t="n">
        <x:v>78341287</x:v>
      </x:c>
      <x:c r="L200" s="14" t="n">
        <x:v>298691095</x:v>
      </x:c>
      <x:c r="M200" s="11" t="n">
        <x:v>0.007651</x:v>
      </x:c>
    </x:row>
    <x:row r="201" ht="21" customHeight="1">
      <x:c r="A201" s="1" t="n">
        <x:v>20</x:v>
      </x:c>
      <x:c r="B201" s="1" t="n">
        <x:v>10</x:v>
      </x:c>
      <x:c r="C201" s="10" t="str">
        <x:f>"300087"</x:f>
        <x:v>300087</x:v>
      </x:c>
      <x:c r="D201" s="1" t="str">
        <x:v>荃银高科</x:v>
      </x:c>
      <x:c r="E201" s="12" t="n">
        <x:v>5.52</x:v>
      </x:c>
      <x:c r="F201" s="12" t="n">
        <x:v>5.55</x:v>
      </x:c>
      <x:c r="G201" s="12" t="n">
        <x:v>5.71</x:v>
      </x:c>
      <x:c r="H201" s="12" t="n">
        <x:v>5.55</x:v>
      </x:c>
      <x:c r="I201" s="12" t="n">
        <x:v>5.69</x:v>
      </x:c>
      <x:c r="J201" s="11" t="n">
        <x:v>0.03079710144927561</x:v>
      </x:c>
      <x:c r="K201" s="14" t="n">
        <x:v>7200110</x:v>
      </x:c>
      <x:c r="L201" s="14" t="n">
        <x:v>40610242</x:v>
      </x:c>
      <x:c r="M201" s="11" t="n">
        <x:v>0.008091000000000001</x:v>
      </x:c>
    </x:row>
    <x:row r="202" ht="21" customHeight="1">
      <x:c r="A202" s="1" t="n">
        <x:v>21</x:v>
      </x:c>
      <x:c r="B202" s="1" t="n">
        <x:v>1</x:v>
      </x:c>
      <x:c r="C202" s="10" t="str">
        <x:f>"601857"</x:f>
        <x:v>601857</x:v>
      </x:c>
      <x:c r="D202" s="1" t="str">
        <x:v>中国石油</x:v>
      </x:c>
      <x:c r="E202" s="12" t="n">
        <x:v>11.21</x:v>
      </x:c>
      <x:c r="F202" s="12" t="n">
        <x:v>11.2</x:v>
      </x:c>
      <x:c r="G202" s="12" t="n">
        <x:v>11.66</x:v>
      </x:c>
      <x:c r="H202" s="12" t="n">
        <x:v>11.18</x:v>
      </x:c>
      <x:c r="I202" s="12" t="n">
        <x:v>11.59</x:v>
      </x:c>
      <x:c r="J202" s="11" t="n">
        <x:v>0.03389830508474567</x:v>
      </x:c>
      <x:c r="K202" s="14" t="n">
        <x:v>154596179</x:v>
      </x:c>
      <x:c r="L202" s="14" t="n">
        <x:v>1781854581</x:v>
      </x:c>
      <x:c r="M202" s="11" t="n">
        <x:v>0.000955</x:v>
      </x:c>
    </x:row>
    <x:row r="203" ht="21" customHeight="1">
      <x:c r="A203" s="1" t="n">
        <x:v>21</x:v>
      </x:c>
      <x:c r="B203" s="1" t="n">
        <x:v>2</x:v>
      </x:c>
      <x:c r="C203" s="10" t="str">
        <x:f>"600027"</x:f>
        <x:v>600027</x:v>
      </x:c>
      <x:c r="D203" s="1" t="str">
        <x:v>华电国际</x:v>
      </x:c>
      <x:c r="E203" s="12" t="n">
        <x:v>4.95</x:v>
      </x:c>
      <x:c r="F203" s="12" t="n">
        <x:v>4.95</x:v>
      </x:c>
      <x:c r="G203" s="12" t="n">
        <x:v>5.18</x:v>
      </x:c>
      <x:c r="H203" s="12" t="n">
        <x:v>4.95</x:v>
      </x:c>
      <x:c r="I203" s="12" t="n">
        <x:v>5.16</x:v>
      </x:c>
      <x:c r="J203" s="11" t="n">
        <x:v>0.042424242424242475</x:v>
      </x:c>
      <x:c r="K203" s="14" t="n">
        <x:v>125843844</x:v>
      </x:c>
      <x:c r="L203" s="14" t="n">
        <x:v>642172692</x:v>
      </x:c>
      <x:c r="M203" s="11" t="n">
        <x:v>0.013654999999999999</x:v>
      </x:c>
    </x:row>
    <x:row r="204" ht="21" customHeight="1">
      <x:c r="A204" s="1" t="n">
        <x:v>21</x:v>
      </x:c>
      <x:c r="B204" s="1" t="n">
        <x:v>3</x:v>
      </x:c>
      <x:c r="C204" s="10" t="str">
        <x:f>"603301"</x:f>
        <x:v>603301</x:v>
      </x:c>
      <x:c r="D204" s="1" t="str">
        <x:v>振德医疗</x:v>
      </x:c>
      <x:c r="E204" s="12" t="n">
        <x:v>75.17</x:v>
      </x:c>
      <x:c r="F204" s="12" t="n">
        <x:v>75.38</x:v>
      </x:c>
      <x:c r="G204" s="12" t="n">
        <x:v>79.66</x:v>
      </x:c>
      <x:c r="H204" s="12" t="n">
        <x:v>75.38</x:v>
      </x:c>
      <x:c r="I204" s="12" t="n">
        <x:v>78.49</x:v>
      </x:c>
      <x:c r="J204" s="11" t="n">
        <x:v>0.044166555806837815</x:v>
      </x:c>
      <x:c r="K204" s="14" t="n">
        <x:v>1524983</x:v>
      </x:c>
      <x:c r="L204" s="14" t="n">
        <x:v>119340775</x:v>
      </x:c>
      <x:c r="M204" s="11" t="n">
        <x:v>0.005778999999999999</x:v>
      </x:c>
    </x:row>
    <x:row r="205" ht="21" customHeight="1">
      <x:c r="A205" s="1" t="n">
        <x:v>21</x:v>
      </x:c>
      <x:c r="B205" s="1" t="n">
        <x:v>4</x:v>
      </x:c>
      <x:c r="C205" s="10" t="str">
        <x:f>"600475"</x:f>
        <x:v>600475</x:v>
      </x:c>
      <x:c r="D205" s="1" t="str">
        <x:v>华光环能</x:v>
      </x:c>
      <x:c r="E205" s="12" t="n">
        <x:v>13.97</x:v>
      </x:c>
      <x:c r="F205" s="12" t="n">
        <x:v>14.17</x:v>
      </x:c>
      <x:c r="G205" s="12" t="n">
        <x:v>14.67</x:v>
      </x:c>
      <x:c r="H205" s="12" t="n">
        <x:v>13.96</x:v>
      </x:c>
      <x:c r="I205" s="12" t="n">
        <x:v>14.4</x:v>
      </x:c>
      <x:c r="J205" s="11" t="n">
        <x:v>0.03078024337866858</x:v>
      </x:c>
      <x:c r="K205" s="14" t="n">
        <x:v>6486622</x:v>
      </x:c>
      <x:c r="L205" s="14" t="n">
        <x:v>93572250</x:v>
      </x:c>
      <x:c r="M205" s="11" t="n">
        <x:v>0.00688</x:v>
      </x:c>
    </x:row>
    <x:row r="206" ht="21" customHeight="1">
      <x:c r="A206" s="1" t="n">
        <x:v>21</x:v>
      </x:c>
      <x:c r="B206" s="1" t="n">
        <x:v>5</x:v>
      </x:c>
      <x:c r="C206" s="10" t="str">
        <x:f>"002648"</x:f>
        <x:v>002648</x:v>
      </x:c>
      <x:c r="D206" s="1" t="str">
        <x:v>卫星化学</x:v>
      </x:c>
      <x:c r="E206" s="12" t="n">
        <x:v>26.51</x:v>
      </x:c>
      <x:c r="F206" s="12" t="n">
        <x:v>27</x:v>
      </x:c>
      <x:c r="G206" s="12" t="n">
        <x:v>27.76</x:v>
      </x:c>
      <x:c r="H206" s="12" t="n">
        <x:v>26.7</x:v>
      </x:c>
      <x:c r="I206" s="12" t="n">
        <x:v>27.36</x:v>
      </x:c>
      <x:c r="J206" s="11" t="n">
        <x:v>0.032063372312334915</x:v>
      </x:c>
      <x:c r="K206" s="14" t="n">
        <x:v>39052125</x:v>
      </x:c>
      <x:c r="L206" s="14" t="n">
        <x:v>1071108815.55</x:v>
      </x:c>
      <x:c r="M206" s="11" t="n">
        <x:v>0.0116</x:v>
      </x:c>
    </x:row>
    <x:row r="207" ht="21" customHeight="1">
      <x:c r="A207" s="1" t="n">
        <x:v>21</x:v>
      </x:c>
      <x:c r="B207" s="1" t="n">
        <x:v>6</x:v>
      </x:c>
      <x:c r="C207" s="10" t="str">
        <x:f>"688066"</x:f>
        <x:v>688066</x:v>
      </x:c>
      <x:c r="D207" s="1" t="str">
        <x:v>航天宏图</x:v>
      </x:c>
      <x:c r="E207" s="12" t="n">
        <x:v>8.8</x:v>
      </x:c>
      <x:c r="F207" s="12" t="n">
        <x:v>8.8</x:v>
      </x:c>
      <x:c r="G207" s="12" t="n">
        <x:v>9.22</x:v>
      </x:c>
      <x:c r="H207" s="12" t="n">
        <x:v>8.76</x:v>
      </x:c>
      <x:c r="I207" s="12" t="n">
        <x:v>9.17</x:v>
      </x:c>
      <x:c r="J207" s="11" t="n">
        <x:v>0.0420454545454545</x:v>
      </x:c>
      <x:c r="K207" s="14" t="n">
        <x:v>11769812</x:v>
      </x:c>
      <x:c r="L207" s="14" t="n">
        <x:v>107018616</x:v>
      </x:c>
      <x:c r="M207" s="11" t="n">
        <x:v>0.038610000000000005</x:v>
      </x:c>
    </x:row>
    <x:row r="208" ht="21" customHeight="1">
      <x:c r="A208" s="1" t="n">
        <x:v>21</x:v>
      </x:c>
      <x:c r="B208" s="1" t="n">
        <x:v>7</x:v>
      </x:c>
      <x:c r="C208" s="10" t="str">
        <x:f>"600011"</x:f>
        <x:v>600011</x:v>
      </x:c>
      <x:c r="D208" s="1" t="str">
        <x:v>华能国际</x:v>
      </x:c>
      <x:c r="E208" s="12" t="n">
        <x:v>7.04</x:v>
      </x:c>
      <x:c r="F208" s="12" t="n">
        <x:v>7.05</x:v>
      </x:c>
      <x:c r="G208" s="12" t="n">
        <x:v>7.3</x:v>
      </x:c>
      <x:c r="H208" s="12" t="n">
        <x:v>7.02</x:v>
      </x:c>
      <x:c r="I208" s="12" t="n">
        <x:v>7.24</x:v>
      </x:c>
      <x:c r="J208" s="11" t="n">
        <x:v>0.02840909090909083</x:v>
      </x:c>
      <x:c r="K208" s="14" t="n">
        <x:v>144061661</x:v>
      </x:c>
      <x:c r="L208" s="14" t="n">
        <x:v>1035570449</x:v>
      </x:c>
      <x:c r="M208" s="11" t="n">
        <x:v>0.013099000000000001</x:v>
      </x:c>
    </x:row>
    <x:row r="209" ht="21" customHeight="1">
      <x:c r="A209" s="1" t="n">
        <x:v>21</x:v>
      </x:c>
      <x:c r="B209" s="1" t="n">
        <x:v>8</x:v>
      </x:c>
      <x:c r="C209" s="10" t="str">
        <x:f>"600681"</x:f>
        <x:v>600681</x:v>
      </x:c>
      <x:c r="D209" s="1" t="str">
        <x:v>百川能源</x:v>
      </x:c>
      <x:c r="E209" s="12" t="n">
        <x:v>3.52</x:v>
      </x:c>
      <x:c r="F209" s="12" t="n">
        <x:v>3.53</x:v>
      </x:c>
      <x:c r="G209" s="12" t="n">
        <x:v>3.64</x:v>
      </x:c>
      <x:c r="H209" s="12" t="n">
        <x:v>3.53</x:v>
      </x:c>
      <x:c r="I209" s="12" t="n">
        <x:v>3.63</x:v>
      </x:c>
      <x:c r="J209" s="11" t="n">
        <x:v>0.03125</x:v>
      </x:c>
      <x:c r="K209" s="14" t="n">
        <x:v>37381140</x:v>
      </x:c>
      <x:c r="L209" s="14" t="n">
        <x:v>134774116</x:v>
      </x:c>
      <x:c r="M209" s="11" t="n">
        <x:v>0.0279</x:v>
      </x:c>
    </x:row>
    <x:row r="210" ht="21" customHeight="1">
      <x:c r="A210" s="1" t="n">
        <x:v>21</x:v>
      </x:c>
      <x:c r="B210" s="1" t="n">
        <x:v>9</x:v>
      </x:c>
      <x:c r="C210" s="10" t="str">
        <x:f>"002180"</x:f>
        <x:v>002180</x:v>
      </x:c>
      <x:c r="D210" s="1" t="str">
        <x:v>纳思达</x:v>
      </x:c>
      <x:c r="E210" s="12" t="n">
        <x:v>16.14</x:v>
      </x:c>
      <x:c r="F210" s="12" t="n">
        <x:v>16.14</x:v>
      </x:c>
      <x:c r="G210" s="12" t="n">
        <x:v>16.87</x:v>
      </x:c>
      <x:c r="H210" s="12" t="n">
        <x:v>15.74</x:v>
      </x:c>
      <x:c r="I210" s="12" t="n">
        <x:v>16.83</x:v>
      </x:c>
      <x:c r="J210" s="11" t="n">
        <x:v>0.04275092936802949</x:v>
      </x:c>
      <x:c r="K210" s="14" t="n">
        <x:v>15055408</x:v>
      </x:c>
      <x:c r="L210" s="14" t="n">
        <x:v>245566862.35</x:v>
      </x:c>
      <x:c r="M210" s="11" t="n">
        <x:v>0.010939</x:v>
      </x:c>
    </x:row>
    <x:row r="211" ht="21" customHeight="1">
      <x:c r="A211" s="1" t="n">
        <x:v>21</x:v>
      </x:c>
      <x:c r="B211" s="1" t="n">
        <x:v>10</x:v>
      </x:c>
      <x:c r="C211" s="10" t="str">
        <x:f>"600028"</x:f>
        <x:v>600028</x:v>
      </x:c>
      <x:c r="D211" s="1" t="str">
        <x:v>中国石化</x:v>
      </x:c>
      <x:c r="E211" s="12" t="n">
        <x:v>5.28</x:v>
      </x:c>
      <x:c r="F211" s="12" t="n">
        <x:v>5.29</x:v>
      </x:c>
      <x:c r="G211" s="12" t="n">
        <x:v>5.49</x:v>
      </x:c>
      <x:c r="H211" s="12" t="n">
        <x:v>5.27</x:v>
      </x:c>
      <x:c r="I211" s="12" t="n">
        <x:v>5.48</x:v>
      </x:c>
      <x:c r="J211" s="11" t="n">
        <x:v>0.037878787878787845</x:v>
      </x:c>
      <x:c r="K211" s="14" t="n">
        <x:v>339797752</x:v>
      </x:c>
      <x:c r="L211" s="14" t="n">
        <x:v>1849847663</x:v>
      </x:c>
      <x:c r="M211" s="11" t="n">
        <x:v>0.00359</x:v>
      </x:c>
    </x:row>
  </x:sheetData>
  <x:pageMargins left="0.7" right="0.7" top="0.75" bottom="0.75" header="0.3" footer="0.3"/>
  <x:tableParts count="1">
    <x:tablePart xmlns:r="http://schemas.openxmlformats.org/officeDocument/2006/relationships" r:id="Rfb20915de8244105"/>
  </x:tableParts>
</x:worksheet>
</file>